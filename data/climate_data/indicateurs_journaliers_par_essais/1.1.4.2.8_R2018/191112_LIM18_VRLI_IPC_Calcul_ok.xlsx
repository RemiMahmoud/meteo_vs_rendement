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28800" windowHeight="11700" activeTab="1"/>
  </bookViews>
  <sheets>
    <sheet name="N-" sheetId="1" r:id="rId1"/>
    <sheet name="N+" sheetId="2" r:id="rId2"/>
  </sheets>
  <calcPr calcId="162913"/>
</workbook>
</file>

<file path=xl/calcChain.xml><?xml version="1.0" encoding="utf-8"?>
<calcChain xmlns="http://schemas.openxmlformats.org/spreadsheetml/2006/main">
  <c r="AB227" i="2" l="1"/>
  <c r="AB225" i="2"/>
  <c r="AB223" i="2"/>
  <c r="AB221" i="2"/>
  <c r="AB219" i="2"/>
  <c r="AA234" i="2"/>
  <c r="AA226" i="2"/>
  <c r="AA211" i="2"/>
  <c r="AA203" i="2"/>
  <c r="AA211" i="1"/>
  <c r="AA203" i="1"/>
  <c r="L320" i="2" l="1"/>
  <c r="L318" i="2"/>
  <c r="L316" i="2"/>
  <c r="L304" i="2"/>
  <c r="L302" i="2"/>
  <c r="L300" i="2"/>
  <c r="L282" i="2"/>
  <c r="L280" i="2"/>
  <c r="L278" i="2"/>
  <c r="L261" i="2"/>
  <c r="L259" i="2"/>
  <c r="L257" i="2"/>
  <c r="L224" i="2"/>
  <c r="L222" i="2"/>
  <c r="L220" i="2"/>
  <c r="L130" i="2"/>
  <c r="L128" i="2"/>
  <c r="L126" i="2"/>
  <c r="L39" i="2"/>
  <c r="L37" i="2"/>
  <c r="L35" i="2"/>
  <c r="Z315" i="1"/>
  <c r="L319" i="1"/>
  <c r="L317" i="1"/>
  <c r="L315" i="1"/>
  <c r="L303" i="1"/>
  <c r="L301" i="1"/>
  <c r="L299" i="1"/>
  <c r="L280" i="1"/>
  <c r="L278" i="1"/>
  <c r="L276" i="1"/>
  <c r="L259" i="1"/>
  <c r="L257" i="1"/>
  <c r="L255" i="1"/>
  <c r="L224" i="1"/>
  <c r="L222" i="1"/>
  <c r="L220" i="1"/>
  <c r="L130" i="1"/>
  <c r="L128" i="1"/>
  <c r="L126" i="1"/>
  <c r="L35" i="1"/>
  <c r="Z316" i="2"/>
  <c r="Z299" i="1"/>
  <c r="Z300" i="2"/>
  <c r="Z278" i="2"/>
  <c r="Z276" i="1"/>
  <c r="Z257" i="2"/>
  <c r="Z255" i="1"/>
  <c r="Z220" i="2"/>
  <c r="Z220" i="1"/>
  <c r="Z126" i="1"/>
  <c r="Z126" i="2"/>
  <c r="Z35" i="2"/>
  <c r="Z35" i="1"/>
  <c r="L39" i="1"/>
  <c r="L37" i="1"/>
  <c r="K254" i="2"/>
  <c r="R298" i="2"/>
  <c r="R299" i="2"/>
  <c r="R300" i="2"/>
  <c r="R301" i="2"/>
  <c r="S301" i="2" s="1"/>
  <c r="T301" i="2" s="1"/>
  <c r="R302" i="2"/>
  <c r="R303" i="2"/>
  <c r="S303" i="2" s="1"/>
  <c r="T303" i="2" s="1"/>
  <c r="R304" i="2"/>
  <c r="R305" i="2"/>
  <c r="S305" i="2" s="1"/>
  <c r="T305" i="2" s="1"/>
  <c r="R306" i="2"/>
  <c r="R307" i="2"/>
  <c r="R308" i="2"/>
  <c r="R309" i="2"/>
  <c r="S309" i="2" s="1"/>
  <c r="T309" i="2" s="1"/>
  <c r="R310" i="2"/>
  <c r="R311" i="2"/>
  <c r="S311" i="2" s="1"/>
  <c r="T311" i="2" s="1"/>
  <c r="R312" i="2"/>
  <c r="R313" i="2"/>
  <c r="S313" i="2" s="1"/>
  <c r="T313" i="2" s="1"/>
  <c r="R314" i="2"/>
  <c r="R315" i="2"/>
  <c r="R316" i="2"/>
  <c r="R317" i="2"/>
  <c r="S317" i="2" s="1"/>
  <c r="T317" i="2" s="1"/>
  <c r="R318" i="2"/>
  <c r="R319" i="2"/>
  <c r="S319" i="2" s="1"/>
  <c r="T319" i="2" s="1"/>
  <c r="R320" i="2"/>
  <c r="R321" i="2"/>
  <c r="S321" i="2" s="1"/>
  <c r="T321" i="2" s="1"/>
  <c r="R322" i="2"/>
  <c r="R323" i="2"/>
  <c r="R324" i="2"/>
  <c r="R325" i="2"/>
  <c r="S325" i="2" s="1"/>
  <c r="T325" i="2" s="1"/>
  <c r="R326" i="2"/>
  <c r="R327" i="2"/>
  <c r="S327" i="2" s="1"/>
  <c r="T327" i="2" s="1"/>
  <c r="R328" i="2"/>
  <c r="R329" i="2"/>
  <c r="S329" i="2" s="1"/>
  <c r="T329" i="2" s="1"/>
  <c r="R330" i="2"/>
  <c r="R331" i="2"/>
  <c r="R332" i="2"/>
  <c r="R333" i="2"/>
  <c r="S333" i="2" s="1"/>
  <c r="T333" i="2" s="1"/>
  <c r="R334" i="2"/>
  <c r="R335" i="2"/>
  <c r="S335" i="2" s="1"/>
  <c r="T335" i="2" s="1"/>
  <c r="R336" i="2"/>
  <c r="R337" i="2"/>
  <c r="S337" i="2" s="1"/>
  <c r="T337" i="2" s="1"/>
  <c r="R338" i="2"/>
  <c r="R339" i="2"/>
  <c r="R340" i="2"/>
  <c r="R341" i="2"/>
  <c r="S341" i="2" s="1"/>
  <c r="T341" i="2" s="1"/>
  <c r="R342" i="2"/>
  <c r="R343" i="2"/>
  <c r="S343" i="2" s="1"/>
  <c r="T343" i="2" s="1"/>
  <c r="R344" i="2"/>
  <c r="R345" i="2"/>
  <c r="S345" i="2" s="1"/>
  <c r="T345" i="2" s="1"/>
  <c r="R346" i="2"/>
  <c r="R297" i="2"/>
  <c r="S297" i="2" s="1"/>
  <c r="T297" i="2" s="1"/>
  <c r="X313" i="2"/>
  <c r="K313" i="2"/>
  <c r="X297" i="2"/>
  <c r="K297" i="2"/>
  <c r="K275" i="2"/>
  <c r="X275" i="2"/>
  <c r="X254" i="2"/>
  <c r="R218" i="2"/>
  <c r="R219" i="2"/>
  <c r="R220" i="2"/>
  <c r="R221" i="2"/>
  <c r="R222" i="2"/>
  <c r="S222" i="2" s="1"/>
  <c r="T222" i="2" s="1"/>
  <c r="R223" i="2"/>
  <c r="R224" i="2"/>
  <c r="R225" i="2"/>
  <c r="R226" i="2"/>
  <c r="R227" i="2"/>
  <c r="R228" i="2"/>
  <c r="R229" i="2"/>
  <c r="R230" i="2"/>
  <c r="S230" i="2" s="1"/>
  <c r="T230" i="2" s="1"/>
  <c r="R231" i="2"/>
  <c r="R232" i="2"/>
  <c r="R233" i="2"/>
  <c r="R234" i="2"/>
  <c r="S234" i="2" s="1"/>
  <c r="T234" i="2" s="1"/>
  <c r="R235" i="2"/>
  <c r="R236" i="2"/>
  <c r="R237" i="2"/>
  <c r="R238" i="2"/>
  <c r="S238" i="2" s="1"/>
  <c r="T238" i="2" s="1"/>
  <c r="R239" i="2"/>
  <c r="R240" i="2"/>
  <c r="R241" i="2"/>
  <c r="R242" i="2"/>
  <c r="S242" i="2" s="1"/>
  <c r="T242" i="2" s="1"/>
  <c r="R243" i="2"/>
  <c r="R244" i="2"/>
  <c r="R245" i="2"/>
  <c r="R246" i="2"/>
  <c r="S246" i="2" s="1"/>
  <c r="T246" i="2" s="1"/>
  <c r="R247" i="2"/>
  <c r="R248" i="2"/>
  <c r="R249" i="2"/>
  <c r="R250" i="2"/>
  <c r="S250" i="2" s="1"/>
  <c r="T250" i="2" s="1"/>
  <c r="R251" i="2"/>
  <c r="R252" i="2"/>
  <c r="R253" i="2"/>
  <c r="R217" i="2"/>
  <c r="S217" i="2" s="1"/>
  <c r="T217" i="2" s="1"/>
  <c r="S367" i="2"/>
  <c r="T367" i="2" s="1"/>
  <c r="O367" i="2"/>
  <c r="S366" i="2"/>
  <c r="T366" i="2" s="1"/>
  <c r="O366" i="2"/>
  <c r="S365" i="2"/>
  <c r="T365" i="2" s="1"/>
  <c r="O365" i="2"/>
  <c r="T364" i="2"/>
  <c r="S364" i="2"/>
  <c r="O364" i="2"/>
  <c r="S363" i="2"/>
  <c r="T363" i="2" s="1"/>
  <c r="O363" i="2"/>
  <c r="S362" i="2"/>
  <c r="T362" i="2" s="1"/>
  <c r="O362" i="2"/>
  <c r="S361" i="2"/>
  <c r="T361" i="2" s="1"/>
  <c r="O361" i="2"/>
  <c r="S360" i="2"/>
  <c r="T360" i="2" s="1"/>
  <c r="O360" i="2"/>
  <c r="S359" i="2"/>
  <c r="T359" i="2" s="1"/>
  <c r="O359" i="2"/>
  <c r="S358" i="2"/>
  <c r="T358" i="2" s="1"/>
  <c r="O358" i="2"/>
  <c r="S357" i="2"/>
  <c r="T357" i="2" s="1"/>
  <c r="O357" i="2"/>
  <c r="T356" i="2"/>
  <c r="S356" i="2"/>
  <c r="O356" i="2"/>
  <c r="S355" i="2"/>
  <c r="T355" i="2" s="1"/>
  <c r="O355" i="2"/>
  <c r="T354" i="2"/>
  <c r="S354" i="2"/>
  <c r="O354" i="2"/>
  <c r="S353" i="2"/>
  <c r="T353" i="2" s="1"/>
  <c r="O353" i="2"/>
  <c r="T352" i="2"/>
  <c r="S352" i="2"/>
  <c r="O352" i="2"/>
  <c r="S351" i="2"/>
  <c r="T351" i="2" s="1"/>
  <c r="O351" i="2"/>
  <c r="S350" i="2"/>
  <c r="T350" i="2" s="1"/>
  <c r="O350" i="2"/>
  <c r="S349" i="2"/>
  <c r="T349" i="2" s="1"/>
  <c r="O349" i="2"/>
  <c r="S348" i="2"/>
  <c r="T348" i="2" s="1"/>
  <c r="O348" i="2"/>
  <c r="S347" i="2"/>
  <c r="T347" i="2" s="1"/>
  <c r="O347" i="2"/>
  <c r="S346" i="2"/>
  <c r="T346" i="2" s="1"/>
  <c r="O346" i="2"/>
  <c r="O345" i="2"/>
  <c r="S344" i="2"/>
  <c r="T344" i="2" s="1"/>
  <c r="O344" i="2"/>
  <c r="O343" i="2"/>
  <c r="S342" i="2"/>
  <c r="T342" i="2" s="1"/>
  <c r="O342" i="2"/>
  <c r="O341" i="2"/>
  <c r="S340" i="2"/>
  <c r="T340" i="2" s="1"/>
  <c r="O340" i="2"/>
  <c r="S339" i="2"/>
  <c r="T339" i="2" s="1"/>
  <c r="O339" i="2"/>
  <c r="S338" i="2"/>
  <c r="T338" i="2" s="1"/>
  <c r="O338" i="2"/>
  <c r="O337" i="2"/>
  <c r="S336" i="2"/>
  <c r="T336" i="2" s="1"/>
  <c r="O336" i="2"/>
  <c r="O335" i="2"/>
  <c r="S334" i="2"/>
  <c r="T334" i="2" s="1"/>
  <c r="O334" i="2"/>
  <c r="O333" i="2"/>
  <c r="S332" i="2"/>
  <c r="T332" i="2" s="1"/>
  <c r="O332" i="2"/>
  <c r="S331" i="2"/>
  <c r="T331" i="2" s="1"/>
  <c r="O331" i="2"/>
  <c r="S330" i="2"/>
  <c r="T330" i="2" s="1"/>
  <c r="O330" i="2"/>
  <c r="O329" i="2"/>
  <c r="S328" i="2"/>
  <c r="T328" i="2" s="1"/>
  <c r="O328" i="2"/>
  <c r="O327" i="2"/>
  <c r="S326" i="2"/>
  <c r="T326" i="2" s="1"/>
  <c r="O326" i="2"/>
  <c r="O325" i="2"/>
  <c r="S324" i="2"/>
  <c r="T324" i="2" s="1"/>
  <c r="O324" i="2"/>
  <c r="S323" i="2"/>
  <c r="T323" i="2" s="1"/>
  <c r="O323" i="2"/>
  <c r="S322" i="2"/>
  <c r="T322" i="2" s="1"/>
  <c r="O322" i="2"/>
  <c r="O321" i="2"/>
  <c r="S320" i="2"/>
  <c r="T320" i="2" s="1"/>
  <c r="O320" i="2"/>
  <c r="O319" i="2"/>
  <c r="S318" i="2"/>
  <c r="T318" i="2" s="1"/>
  <c r="O318" i="2"/>
  <c r="O317" i="2"/>
  <c r="S316" i="2"/>
  <c r="T316" i="2" s="1"/>
  <c r="O316" i="2"/>
  <c r="S315" i="2"/>
  <c r="T315" i="2" s="1"/>
  <c r="O315" i="2"/>
  <c r="S314" i="2"/>
  <c r="T314" i="2" s="1"/>
  <c r="O314" i="2"/>
  <c r="O313" i="2"/>
  <c r="S312" i="2"/>
  <c r="T312" i="2" s="1"/>
  <c r="O312" i="2"/>
  <c r="O311" i="2"/>
  <c r="S310" i="2"/>
  <c r="T310" i="2" s="1"/>
  <c r="O310" i="2"/>
  <c r="O309" i="2"/>
  <c r="S308" i="2"/>
  <c r="T308" i="2" s="1"/>
  <c r="O308" i="2"/>
  <c r="S307" i="2"/>
  <c r="T307" i="2" s="1"/>
  <c r="O307" i="2"/>
  <c r="S306" i="2"/>
  <c r="T306" i="2" s="1"/>
  <c r="O306" i="2"/>
  <c r="O305" i="2"/>
  <c r="S304" i="2"/>
  <c r="T304" i="2" s="1"/>
  <c r="O304" i="2"/>
  <c r="O303" i="2"/>
  <c r="S302" i="2"/>
  <c r="T302" i="2" s="1"/>
  <c r="O302" i="2"/>
  <c r="O301" i="2"/>
  <c r="S300" i="2"/>
  <c r="T300" i="2" s="1"/>
  <c r="O300" i="2"/>
  <c r="S299" i="2"/>
  <c r="T299" i="2" s="1"/>
  <c r="O299" i="2"/>
  <c r="S298" i="2"/>
  <c r="T298" i="2" s="1"/>
  <c r="O298" i="2"/>
  <c r="O297" i="2"/>
  <c r="S296" i="2"/>
  <c r="T296" i="2" s="1"/>
  <c r="O296" i="2"/>
  <c r="S295" i="2"/>
  <c r="T295" i="2" s="1"/>
  <c r="O295" i="2"/>
  <c r="S294" i="2"/>
  <c r="T294" i="2" s="1"/>
  <c r="O294" i="2"/>
  <c r="S293" i="2"/>
  <c r="T293" i="2" s="1"/>
  <c r="O293" i="2"/>
  <c r="S292" i="2"/>
  <c r="T292" i="2" s="1"/>
  <c r="O292" i="2"/>
  <c r="T291" i="2"/>
  <c r="S291" i="2"/>
  <c r="O291" i="2"/>
  <c r="S290" i="2"/>
  <c r="T290" i="2" s="1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S285" i="2"/>
  <c r="T285" i="2" s="1"/>
  <c r="O285" i="2"/>
  <c r="S284" i="2"/>
  <c r="T284" i="2" s="1"/>
  <c r="O284" i="2"/>
  <c r="S283" i="2"/>
  <c r="T283" i="2" s="1"/>
  <c r="O283" i="2"/>
  <c r="S282" i="2"/>
  <c r="T282" i="2" s="1"/>
  <c r="O282" i="2"/>
  <c r="S281" i="2"/>
  <c r="T281" i="2" s="1"/>
  <c r="O281" i="2"/>
  <c r="T280" i="2"/>
  <c r="S280" i="2"/>
  <c r="O280" i="2"/>
  <c r="S279" i="2"/>
  <c r="T279" i="2" s="1"/>
  <c r="O279" i="2"/>
  <c r="S278" i="2"/>
  <c r="T278" i="2" s="1"/>
  <c r="O278" i="2"/>
  <c r="S277" i="2"/>
  <c r="T277" i="2" s="1"/>
  <c r="O277" i="2"/>
  <c r="S276" i="2"/>
  <c r="T276" i="2" s="1"/>
  <c r="O276" i="2"/>
  <c r="S275" i="2"/>
  <c r="T275" i="2" s="1"/>
  <c r="O275" i="2"/>
  <c r="T274" i="2"/>
  <c r="S274" i="2"/>
  <c r="O274" i="2"/>
  <c r="T273" i="2"/>
  <c r="S273" i="2"/>
  <c r="O273" i="2"/>
  <c r="T272" i="2"/>
  <c r="S272" i="2"/>
  <c r="O272" i="2"/>
  <c r="S271" i="2"/>
  <c r="T271" i="2" s="1"/>
  <c r="O271" i="2"/>
  <c r="T270" i="2"/>
  <c r="S270" i="2"/>
  <c r="O270" i="2"/>
  <c r="S269" i="2"/>
  <c r="T269" i="2" s="1"/>
  <c r="O269" i="2"/>
  <c r="S268" i="2"/>
  <c r="T268" i="2" s="1"/>
  <c r="O268" i="2"/>
  <c r="S267" i="2"/>
  <c r="T267" i="2" s="1"/>
  <c r="O267" i="2"/>
  <c r="S266" i="2"/>
  <c r="T266" i="2" s="1"/>
  <c r="O266" i="2"/>
  <c r="T265" i="2"/>
  <c r="S265" i="2"/>
  <c r="O265" i="2"/>
  <c r="S264" i="2"/>
  <c r="T264" i="2" s="1"/>
  <c r="O264" i="2"/>
  <c r="S263" i="2"/>
  <c r="T263" i="2" s="1"/>
  <c r="O263" i="2"/>
  <c r="S262" i="2"/>
  <c r="T262" i="2" s="1"/>
  <c r="O262" i="2"/>
  <c r="S261" i="2"/>
  <c r="T261" i="2" s="1"/>
  <c r="O261" i="2"/>
  <c r="S260" i="2"/>
  <c r="T260" i="2" s="1"/>
  <c r="O260" i="2"/>
  <c r="S259" i="2"/>
  <c r="T259" i="2" s="1"/>
  <c r="O259" i="2"/>
  <c r="S258" i="2"/>
  <c r="T258" i="2" s="1"/>
  <c r="O258" i="2"/>
  <c r="T257" i="2"/>
  <c r="S257" i="2"/>
  <c r="O257" i="2"/>
  <c r="S256" i="2"/>
  <c r="T256" i="2" s="1"/>
  <c r="O256" i="2"/>
  <c r="S255" i="2"/>
  <c r="T255" i="2" s="1"/>
  <c r="O255" i="2"/>
  <c r="S254" i="2"/>
  <c r="T254" i="2" s="1"/>
  <c r="O254" i="2"/>
  <c r="S253" i="2"/>
  <c r="T253" i="2" s="1"/>
  <c r="O253" i="2"/>
  <c r="S252" i="2"/>
  <c r="T252" i="2" s="1"/>
  <c r="O252" i="2"/>
  <c r="S251" i="2"/>
  <c r="T251" i="2" s="1"/>
  <c r="O251" i="2"/>
  <c r="O250" i="2"/>
  <c r="S249" i="2"/>
  <c r="T249" i="2" s="1"/>
  <c r="O249" i="2"/>
  <c r="S248" i="2"/>
  <c r="T248" i="2" s="1"/>
  <c r="O248" i="2"/>
  <c r="S247" i="2"/>
  <c r="T247" i="2" s="1"/>
  <c r="O247" i="2"/>
  <c r="O246" i="2"/>
  <c r="S245" i="2"/>
  <c r="T245" i="2" s="1"/>
  <c r="O245" i="2"/>
  <c r="S244" i="2"/>
  <c r="T244" i="2" s="1"/>
  <c r="O244" i="2"/>
  <c r="S243" i="2"/>
  <c r="T243" i="2" s="1"/>
  <c r="O243" i="2"/>
  <c r="O242" i="2"/>
  <c r="S241" i="2"/>
  <c r="T241" i="2" s="1"/>
  <c r="O241" i="2"/>
  <c r="S240" i="2"/>
  <c r="T240" i="2" s="1"/>
  <c r="O240" i="2"/>
  <c r="S239" i="2"/>
  <c r="T239" i="2" s="1"/>
  <c r="O239" i="2"/>
  <c r="O238" i="2"/>
  <c r="S237" i="2"/>
  <c r="T237" i="2" s="1"/>
  <c r="O237" i="2"/>
  <c r="S236" i="2"/>
  <c r="T236" i="2" s="1"/>
  <c r="O236" i="2"/>
  <c r="S235" i="2"/>
  <c r="T235" i="2" s="1"/>
  <c r="O235" i="2"/>
  <c r="O234" i="2"/>
  <c r="K234" i="2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J234" i="2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S233" i="2"/>
  <c r="T233" i="2" s="1"/>
  <c r="O233" i="2"/>
  <c r="S232" i="2"/>
  <c r="T232" i="2" s="1"/>
  <c r="O232" i="2"/>
  <c r="S231" i="2"/>
  <c r="T231" i="2" s="1"/>
  <c r="O231" i="2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O222" i="2"/>
  <c r="S221" i="2"/>
  <c r="T221" i="2" s="1"/>
  <c r="O221" i="2"/>
  <c r="S220" i="2"/>
  <c r="T220" i="2" s="1"/>
  <c r="O220" i="2"/>
  <c r="S219" i="2"/>
  <c r="T219" i="2" s="1"/>
  <c r="O219" i="2"/>
  <c r="S218" i="2"/>
  <c r="T218" i="2" s="1"/>
  <c r="O218" i="2"/>
  <c r="X217" i="2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O217" i="2"/>
  <c r="K217" i="2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S216" i="2"/>
  <c r="T216" i="2" s="1"/>
  <c r="O216" i="2"/>
  <c r="K216" i="2"/>
  <c r="J216" i="2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T215" i="2"/>
  <c r="S215" i="2"/>
  <c r="O215" i="2"/>
  <c r="T214" i="2"/>
  <c r="S214" i="2"/>
  <c r="O214" i="2"/>
  <c r="T213" i="2"/>
  <c r="S213" i="2"/>
  <c r="O213" i="2"/>
  <c r="S212" i="2"/>
  <c r="T212" i="2" s="1"/>
  <c r="O212" i="2"/>
  <c r="T211" i="2"/>
  <c r="S211" i="2"/>
  <c r="O211" i="2"/>
  <c r="S210" i="2"/>
  <c r="T210" i="2" s="1"/>
  <c r="O210" i="2"/>
  <c r="T209" i="2"/>
  <c r="S209" i="2"/>
  <c r="O209" i="2"/>
  <c r="S208" i="2"/>
  <c r="T208" i="2" s="1"/>
  <c r="O208" i="2"/>
  <c r="S207" i="2"/>
  <c r="T207" i="2" s="1"/>
  <c r="O207" i="2"/>
  <c r="S206" i="2"/>
  <c r="T206" i="2" s="1"/>
  <c r="O206" i="2"/>
  <c r="T205" i="2"/>
  <c r="S205" i="2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S196" i="2"/>
  <c r="T196" i="2" s="1"/>
  <c r="O196" i="2"/>
  <c r="K196" i="2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J196" i="2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T195" i="2"/>
  <c r="S195" i="2"/>
  <c r="O195" i="2"/>
  <c r="S194" i="2"/>
  <c r="T194" i="2" s="1"/>
  <c r="O194" i="2"/>
  <c r="T193" i="2"/>
  <c r="S193" i="2"/>
  <c r="O193" i="2"/>
  <c r="S192" i="2"/>
  <c r="T192" i="2" s="1"/>
  <c r="O192" i="2"/>
  <c r="S191" i="2"/>
  <c r="T191" i="2" s="1"/>
  <c r="O191" i="2"/>
  <c r="S190" i="2"/>
  <c r="T190" i="2" s="1"/>
  <c r="O190" i="2"/>
  <c r="T189" i="2"/>
  <c r="S189" i="2"/>
  <c r="O189" i="2"/>
  <c r="S188" i="2"/>
  <c r="T188" i="2" s="1"/>
  <c r="O188" i="2"/>
  <c r="S187" i="2"/>
  <c r="T187" i="2" s="1"/>
  <c r="O187" i="2"/>
  <c r="T186" i="2"/>
  <c r="S186" i="2"/>
  <c r="O186" i="2"/>
  <c r="S185" i="2"/>
  <c r="T185" i="2" s="1"/>
  <c r="O185" i="2"/>
  <c r="S184" i="2"/>
  <c r="T184" i="2" s="1"/>
  <c r="O184" i="2"/>
  <c r="T183" i="2"/>
  <c r="S183" i="2"/>
  <c r="O183" i="2"/>
  <c r="S182" i="2"/>
  <c r="T182" i="2" s="1"/>
  <c r="O182" i="2"/>
  <c r="S181" i="2"/>
  <c r="T181" i="2" s="1"/>
  <c r="O181" i="2"/>
  <c r="S180" i="2"/>
  <c r="T180" i="2" s="1"/>
  <c r="O180" i="2"/>
  <c r="T179" i="2"/>
  <c r="S179" i="2"/>
  <c r="O179" i="2"/>
  <c r="T178" i="2"/>
  <c r="S178" i="2"/>
  <c r="O178" i="2"/>
  <c r="S177" i="2"/>
  <c r="T177" i="2" s="1"/>
  <c r="O177" i="2"/>
  <c r="T176" i="2"/>
  <c r="S176" i="2"/>
  <c r="O176" i="2"/>
  <c r="T175" i="2"/>
  <c r="S175" i="2"/>
  <c r="O175" i="2"/>
  <c r="S174" i="2"/>
  <c r="T174" i="2" s="1"/>
  <c r="O174" i="2"/>
  <c r="T173" i="2"/>
  <c r="S173" i="2"/>
  <c r="O173" i="2"/>
  <c r="S172" i="2"/>
  <c r="T172" i="2" s="1"/>
  <c r="O172" i="2"/>
  <c r="T171" i="2"/>
  <c r="S171" i="2"/>
  <c r="O171" i="2"/>
  <c r="S170" i="2"/>
  <c r="T170" i="2" s="1"/>
  <c r="O170" i="2"/>
  <c r="S169" i="2"/>
  <c r="T169" i="2" s="1"/>
  <c r="O169" i="2"/>
  <c r="S168" i="2"/>
  <c r="T168" i="2" s="1"/>
  <c r="O168" i="2"/>
  <c r="T167" i="2"/>
  <c r="S167" i="2"/>
  <c r="O167" i="2"/>
  <c r="S166" i="2"/>
  <c r="T166" i="2" s="1"/>
  <c r="O166" i="2"/>
  <c r="S165" i="2"/>
  <c r="T165" i="2" s="1"/>
  <c r="O165" i="2"/>
  <c r="S164" i="2"/>
  <c r="T164" i="2" s="1"/>
  <c r="O164" i="2"/>
  <c r="T163" i="2"/>
  <c r="S163" i="2"/>
  <c r="O163" i="2"/>
  <c r="S162" i="2"/>
  <c r="T162" i="2" s="1"/>
  <c r="O162" i="2"/>
  <c r="T161" i="2"/>
  <c r="S161" i="2"/>
  <c r="O161" i="2"/>
  <c r="T160" i="2"/>
  <c r="S160" i="2"/>
  <c r="O160" i="2"/>
  <c r="S159" i="2"/>
  <c r="T159" i="2" s="1"/>
  <c r="O159" i="2"/>
  <c r="S158" i="2"/>
  <c r="T158" i="2" s="1"/>
  <c r="O158" i="2"/>
  <c r="S157" i="2"/>
  <c r="T157" i="2" s="1"/>
  <c r="O157" i="2"/>
  <c r="S156" i="2"/>
  <c r="T156" i="2" s="1"/>
  <c r="O156" i="2"/>
  <c r="S155" i="2"/>
  <c r="T155" i="2" s="1"/>
  <c r="O155" i="2"/>
  <c r="S154" i="2"/>
  <c r="T154" i="2" s="1"/>
  <c r="O154" i="2"/>
  <c r="S153" i="2"/>
  <c r="T153" i="2" s="1"/>
  <c r="O153" i="2"/>
  <c r="T152" i="2"/>
  <c r="S152" i="2"/>
  <c r="O152" i="2"/>
  <c r="S151" i="2"/>
  <c r="T151" i="2" s="1"/>
  <c r="O151" i="2"/>
  <c r="S150" i="2"/>
  <c r="T150" i="2" s="1"/>
  <c r="O150" i="2"/>
  <c r="S149" i="2"/>
  <c r="T149" i="2" s="1"/>
  <c r="O149" i="2"/>
  <c r="T148" i="2"/>
  <c r="S148" i="2"/>
  <c r="O148" i="2"/>
  <c r="T147" i="2"/>
  <c r="S147" i="2"/>
  <c r="O147" i="2"/>
  <c r="S146" i="2"/>
  <c r="T146" i="2" s="1"/>
  <c r="O146" i="2"/>
  <c r="S145" i="2"/>
  <c r="T145" i="2" s="1"/>
  <c r="O145" i="2"/>
  <c r="T144" i="2"/>
  <c r="S144" i="2"/>
  <c r="O144" i="2"/>
  <c r="S143" i="2"/>
  <c r="T143" i="2" s="1"/>
  <c r="O143" i="2"/>
  <c r="S142" i="2"/>
  <c r="T142" i="2" s="1"/>
  <c r="O142" i="2"/>
  <c r="S141" i="2"/>
  <c r="T141" i="2" s="1"/>
  <c r="O141" i="2"/>
  <c r="T140" i="2"/>
  <c r="S140" i="2"/>
  <c r="O140" i="2"/>
  <c r="S139" i="2"/>
  <c r="T139" i="2" s="1"/>
  <c r="O139" i="2"/>
  <c r="S138" i="2"/>
  <c r="T138" i="2" s="1"/>
  <c r="O138" i="2"/>
  <c r="S137" i="2"/>
  <c r="T137" i="2" s="1"/>
  <c r="O137" i="2"/>
  <c r="S136" i="2"/>
  <c r="T136" i="2" s="1"/>
  <c r="O136" i="2"/>
  <c r="S135" i="2"/>
  <c r="T135" i="2" s="1"/>
  <c r="O135" i="2"/>
  <c r="S134" i="2"/>
  <c r="T134" i="2" s="1"/>
  <c r="O134" i="2"/>
  <c r="S133" i="2"/>
  <c r="T133" i="2" s="1"/>
  <c r="O133" i="2"/>
  <c r="S132" i="2"/>
  <c r="T132" i="2" s="1"/>
  <c r="O132" i="2"/>
  <c r="J132" i="2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T131" i="2"/>
  <c r="S131" i="2"/>
  <c r="O131" i="2"/>
  <c r="S130" i="2"/>
  <c r="T130" i="2" s="1"/>
  <c r="O130" i="2"/>
  <c r="S129" i="2"/>
  <c r="T129" i="2" s="1"/>
  <c r="O129" i="2"/>
  <c r="T128" i="2"/>
  <c r="S128" i="2"/>
  <c r="O128" i="2"/>
  <c r="J128" i="2"/>
  <c r="J129" i="2" s="1"/>
  <c r="J130" i="2" s="1"/>
  <c r="J131" i="2" s="1"/>
  <c r="S127" i="2"/>
  <c r="T127" i="2" s="1"/>
  <c r="O127" i="2"/>
  <c r="K127" i="2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J127" i="2"/>
  <c r="S126" i="2"/>
  <c r="T126" i="2" s="1"/>
  <c r="O126" i="2"/>
  <c r="S125" i="2"/>
  <c r="T125" i="2" s="1"/>
  <c r="O125" i="2"/>
  <c r="S124" i="2"/>
  <c r="T124" i="2" s="1"/>
  <c r="O124" i="2"/>
  <c r="X123" i="2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S123" i="2"/>
  <c r="T123" i="2" s="1"/>
  <c r="O123" i="2"/>
  <c r="K123" i="2"/>
  <c r="K124" i="2" s="1"/>
  <c r="K125" i="2" s="1"/>
  <c r="T122" i="2"/>
  <c r="R122" i="2"/>
  <c r="S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R111" i="2"/>
  <c r="S111" i="2" s="1"/>
  <c r="T111" i="2" s="1"/>
  <c r="O111" i="2"/>
  <c r="T110" i="2"/>
  <c r="R110" i="2"/>
  <c r="S110" i="2" s="1"/>
  <c r="O110" i="2"/>
  <c r="R109" i="2"/>
  <c r="S109" i="2" s="1"/>
  <c r="T109" i="2" s="1"/>
  <c r="O109" i="2"/>
  <c r="R108" i="2"/>
  <c r="S108" i="2" s="1"/>
  <c r="T108" i="2" s="1"/>
  <c r="O108" i="2"/>
  <c r="R107" i="2"/>
  <c r="S107" i="2" s="1"/>
  <c r="T107" i="2" s="1"/>
  <c r="O107" i="2"/>
  <c r="R106" i="2"/>
  <c r="S106" i="2" s="1"/>
  <c r="T106" i="2" s="1"/>
  <c r="O106" i="2"/>
  <c r="R105" i="2"/>
  <c r="S105" i="2" s="1"/>
  <c r="T105" i="2" s="1"/>
  <c r="O105" i="2"/>
  <c r="R104" i="2"/>
  <c r="S104" i="2" s="1"/>
  <c r="T104" i="2" s="1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T100" i="2"/>
  <c r="R100" i="2"/>
  <c r="S100" i="2" s="1"/>
  <c r="O100" i="2"/>
  <c r="R99" i="2"/>
  <c r="S99" i="2" s="1"/>
  <c r="T99" i="2" s="1"/>
  <c r="O99" i="2"/>
  <c r="T98" i="2"/>
  <c r="R98" i="2"/>
  <c r="S98" i="2" s="1"/>
  <c r="O98" i="2"/>
  <c r="R97" i="2"/>
  <c r="S97" i="2" s="1"/>
  <c r="T97" i="2" s="1"/>
  <c r="O97" i="2"/>
  <c r="R96" i="2"/>
  <c r="S96" i="2" s="1"/>
  <c r="T96" i="2" s="1"/>
  <c r="O96" i="2"/>
  <c r="T95" i="2"/>
  <c r="R95" i="2"/>
  <c r="S95" i="2" s="1"/>
  <c r="O95" i="2"/>
  <c r="T94" i="2"/>
  <c r="R94" i="2"/>
  <c r="S94" i="2" s="1"/>
  <c r="O94" i="2"/>
  <c r="R93" i="2"/>
  <c r="S93" i="2" s="1"/>
  <c r="T93" i="2" s="1"/>
  <c r="O93" i="2"/>
  <c r="T92" i="2"/>
  <c r="R92" i="2"/>
  <c r="S92" i="2" s="1"/>
  <c r="O92" i="2"/>
  <c r="T91" i="2"/>
  <c r="R91" i="2"/>
  <c r="S91" i="2" s="1"/>
  <c r="O91" i="2"/>
  <c r="T90" i="2"/>
  <c r="R90" i="2"/>
  <c r="S90" i="2" s="1"/>
  <c r="O90" i="2"/>
  <c r="R89" i="2"/>
  <c r="S89" i="2" s="1"/>
  <c r="T89" i="2" s="1"/>
  <c r="O89" i="2"/>
  <c r="T88" i="2"/>
  <c r="R88" i="2"/>
  <c r="S88" i="2" s="1"/>
  <c r="O88" i="2"/>
  <c r="T87" i="2"/>
  <c r="R87" i="2"/>
  <c r="S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R78" i="2"/>
  <c r="S78" i="2" s="1"/>
  <c r="T78" i="2" s="1"/>
  <c r="O78" i="2"/>
  <c r="R77" i="2"/>
  <c r="S77" i="2" s="1"/>
  <c r="T77" i="2" s="1"/>
  <c r="O77" i="2"/>
  <c r="R76" i="2"/>
  <c r="S76" i="2" s="1"/>
  <c r="T76" i="2" s="1"/>
  <c r="O76" i="2"/>
  <c r="R75" i="2"/>
  <c r="S75" i="2" s="1"/>
  <c r="T75" i="2" s="1"/>
  <c r="O75" i="2"/>
  <c r="R74" i="2"/>
  <c r="S74" i="2" s="1"/>
  <c r="T74" i="2" s="1"/>
  <c r="O74" i="2"/>
  <c r="R73" i="2"/>
  <c r="S73" i="2" s="1"/>
  <c r="T73" i="2" s="1"/>
  <c r="O73" i="2"/>
  <c r="R72" i="2"/>
  <c r="S72" i="2" s="1"/>
  <c r="T72" i="2" s="1"/>
  <c r="O72" i="2"/>
  <c r="R71" i="2"/>
  <c r="S71" i="2" s="1"/>
  <c r="T71" i="2" s="1"/>
  <c r="O71" i="2"/>
  <c r="R70" i="2"/>
  <c r="S70" i="2" s="1"/>
  <c r="T70" i="2" s="1"/>
  <c r="O70" i="2"/>
  <c r="R69" i="2"/>
  <c r="S69" i="2" s="1"/>
  <c r="T69" i="2" s="1"/>
  <c r="O69" i="2"/>
  <c r="R68" i="2"/>
  <c r="S68" i="2" s="1"/>
  <c r="T68" i="2" s="1"/>
  <c r="O68" i="2"/>
  <c r="R67" i="2"/>
  <c r="S67" i="2" s="1"/>
  <c r="T67" i="2" s="1"/>
  <c r="O67" i="2"/>
  <c r="R66" i="2"/>
  <c r="S66" i="2" s="1"/>
  <c r="T66" i="2" s="1"/>
  <c r="O66" i="2"/>
  <c r="R65" i="2"/>
  <c r="S65" i="2" s="1"/>
  <c r="T65" i="2" s="1"/>
  <c r="O65" i="2"/>
  <c r="R64" i="2"/>
  <c r="S64" i="2" s="1"/>
  <c r="T64" i="2" s="1"/>
  <c r="O64" i="2"/>
  <c r="R63" i="2"/>
  <c r="S63" i="2" s="1"/>
  <c r="T63" i="2" s="1"/>
  <c r="O63" i="2"/>
  <c r="R62" i="2"/>
  <c r="S62" i="2" s="1"/>
  <c r="T62" i="2" s="1"/>
  <c r="O62" i="2"/>
  <c r="R61" i="2"/>
  <c r="S61" i="2" s="1"/>
  <c r="T61" i="2" s="1"/>
  <c r="O61" i="2"/>
  <c r="R60" i="2"/>
  <c r="S60" i="2" s="1"/>
  <c r="T60" i="2" s="1"/>
  <c r="O60" i="2"/>
  <c r="R59" i="2"/>
  <c r="S59" i="2" s="1"/>
  <c r="T59" i="2" s="1"/>
  <c r="O59" i="2"/>
  <c r="R58" i="2"/>
  <c r="S58" i="2" s="1"/>
  <c r="T58" i="2" s="1"/>
  <c r="O58" i="2"/>
  <c r="R57" i="2"/>
  <c r="S57" i="2" s="1"/>
  <c r="T57" i="2" s="1"/>
  <c r="O57" i="2"/>
  <c r="R56" i="2"/>
  <c r="S56" i="2" s="1"/>
  <c r="T56" i="2" s="1"/>
  <c r="O56" i="2"/>
  <c r="R55" i="2"/>
  <c r="S55" i="2" s="1"/>
  <c r="T55" i="2" s="1"/>
  <c r="O55" i="2"/>
  <c r="R54" i="2"/>
  <c r="S54" i="2" s="1"/>
  <c r="T54" i="2" s="1"/>
  <c r="O54" i="2"/>
  <c r="R53" i="2"/>
  <c r="S53" i="2" s="1"/>
  <c r="T53" i="2" s="1"/>
  <c r="O53" i="2"/>
  <c r="R52" i="2"/>
  <c r="S52" i="2" s="1"/>
  <c r="T52" i="2" s="1"/>
  <c r="O52" i="2"/>
  <c r="R51" i="2"/>
  <c r="S51" i="2" s="1"/>
  <c r="T51" i="2" s="1"/>
  <c r="O51" i="2"/>
  <c r="R50" i="2"/>
  <c r="S50" i="2" s="1"/>
  <c r="T50" i="2" s="1"/>
  <c r="O50" i="2"/>
  <c r="R49" i="2"/>
  <c r="S49" i="2" s="1"/>
  <c r="T49" i="2" s="1"/>
  <c r="O49" i="2"/>
  <c r="R48" i="2"/>
  <c r="S48" i="2" s="1"/>
  <c r="T48" i="2" s="1"/>
  <c r="O48" i="2"/>
  <c r="R47" i="2"/>
  <c r="S47" i="2" s="1"/>
  <c r="T47" i="2" s="1"/>
  <c r="O47" i="2"/>
  <c r="R46" i="2"/>
  <c r="S46" i="2" s="1"/>
  <c r="T46" i="2" s="1"/>
  <c r="O46" i="2"/>
  <c r="R45" i="2"/>
  <c r="S45" i="2" s="1"/>
  <c r="T45" i="2" s="1"/>
  <c r="O45" i="2"/>
  <c r="R44" i="2"/>
  <c r="S44" i="2" s="1"/>
  <c r="T44" i="2" s="1"/>
  <c r="O44" i="2"/>
  <c r="S43" i="2"/>
  <c r="T43" i="2" s="1"/>
  <c r="R43" i="2"/>
  <c r="O43" i="2"/>
  <c r="R42" i="2"/>
  <c r="S42" i="2" s="1"/>
  <c r="T42" i="2" s="1"/>
  <c r="O42" i="2"/>
  <c r="S41" i="2"/>
  <c r="T41" i="2" s="1"/>
  <c r="R41" i="2"/>
  <c r="O41" i="2"/>
  <c r="R40" i="2"/>
  <c r="S40" i="2" s="1"/>
  <c r="T40" i="2" s="1"/>
  <c r="O40" i="2"/>
  <c r="S39" i="2"/>
  <c r="T39" i="2" s="1"/>
  <c r="O39" i="2"/>
  <c r="T38" i="2"/>
  <c r="S38" i="2"/>
  <c r="O38" i="2"/>
  <c r="S37" i="2"/>
  <c r="T37" i="2" s="1"/>
  <c r="O37" i="2"/>
  <c r="S36" i="2"/>
  <c r="T36" i="2" s="1"/>
  <c r="O36" i="2"/>
  <c r="S35" i="2"/>
  <c r="T35" i="2" s="1"/>
  <c r="O35" i="2"/>
  <c r="T34" i="2"/>
  <c r="S34" i="2"/>
  <c r="O34" i="2"/>
  <c r="S33" i="2"/>
  <c r="T33" i="2" s="1"/>
  <c r="O33" i="2"/>
  <c r="X32" i="2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S32" i="2"/>
  <c r="T32" i="2" s="1"/>
  <c r="O32" i="2"/>
  <c r="K32" i="2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J32" i="2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S31" i="2"/>
  <c r="T31" i="2" s="1"/>
  <c r="O31" i="2"/>
  <c r="S30" i="2"/>
  <c r="T30" i="2" s="1"/>
  <c r="O30" i="2"/>
  <c r="S29" i="2"/>
  <c r="T29" i="2" s="1"/>
  <c r="O29" i="2"/>
  <c r="S28" i="2"/>
  <c r="T28" i="2" s="1"/>
  <c r="O28" i="2"/>
  <c r="S27" i="2"/>
  <c r="T27" i="2" s="1"/>
  <c r="O27" i="2"/>
  <c r="S26" i="2"/>
  <c r="T26" i="2" s="1"/>
  <c r="O26" i="2"/>
  <c r="S25" i="2"/>
  <c r="T25" i="2" s="1"/>
  <c r="O25" i="2"/>
  <c r="S24" i="2"/>
  <c r="T24" i="2" s="1"/>
  <c r="O24" i="2"/>
  <c r="S23" i="2"/>
  <c r="T23" i="2" s="1"/>
  <c r="O23" i="2"/>
  <c r="S22" i="2"/>
  <c r="T22" i="2" s="1"/>
  <c r="O22" i="2"/>
  <c r="S21" i="2"/>
  <c r="T21" i="2" s="1"/>
  <c r="O21" i="2"/>
  <c r="S20" i="2"/>
  <c r="T20" i="2" s="1"/>
  <c r="O20" i="2"/>
  <c r="S19" i="2"/>
  <c r="T19" i="2" s="1"/>
  <c r="O19" i="2"/>
  <c r="S18" i="2"/>
  <c r="T18" i="2" s="1"/>
  <c r="O18" i="2"/>
  <c r="S17" i="2"/>
  <c r="T17" i="2" s="1"/>
  <c r="O17" i="2"/>
  <c r="S16" i="2"/>
  <c r="T16" i="2" s="1"/>
  <c r="O16" i="2"/>
  <c r="S15" i="2"/>
  <c r="T15" i="2" s="1"/>
  <c r="O15" i="2"/>
  <c r="S14" i="2"/>
  <c r="T14" i="2" s="1"/>
  <c r="O14" i="2"/>
  <c r="S13" i="2"/>
  <c r="T13" i="2" s="1"/>
  <c r="O13" i="2"/>
  <c r="S12" i="2"/>
  <c r="T12" i="2" s="1"/>
  <c r="O12" i="2"/>
  <c r="S11" i="2"/>
  <c r="T11" i="2" s="1"/>
  <c r="O11" i="2"/>
  <c r="S10" i="2"/>
  <c r="T10" i="2" s="1"/>
  <c r="O10" i="2"/>
  <c r="P10" i="2" s="1"/>
  <c r="P11" i="2" s="1"/>
  <c r="S9" i="2"/>
  <c r="T9" i="2" s="1"/>
  <c r="O9" i="2"/>
  <c r="S8" i="2"/>
  <c r="T8" i="2" s="1"/>
  <c r="O8" i="2"/>
  <c r="S7" i="2"/>
  <c r="T7" i="2" s="1"/>
  <c r="O7" i="2"/>
  <c r="S6" i="2"/>
  <c r="T6" i="2" s="1"/>
  <c r="O6" i="2"/>
  <c r="S5" i="2"/>
  <c r="T5" i="2" s="1"/>
  <c r="O5" i="2"/>
  <c r="T4" i="2"/>
  <c r="S4" i="2"/>
  <c r="O4" i="2"/>
  <c r="S1" i="2"/>
  <c r="P12" i="2" l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K314" i="2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X298" i="2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U124" i="2" l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V41" i="2"/>
  <c r="V43" i="2" s="1"/>
  <c r="V39" i="2"/>
  <c r="V37" i="2"/>
  <c r="R297" i="1"/>
  <c r="S297" i="1" s="1"/>
  <c r="T297" i="1" s="1"/>
  <c r="R298" i="1"/>
  <c r="R299" i="1"/>
  <c r="R300" i="1"/>
  <c r="R301" i="1"/>
  <c r="R302" i="1"/>
  <c r="S302" i="1" s="1"/>
  <c r="T302" i="1" s="1"/>
  <c r="R303" i="1"/>
  <c r="R304" i="1"/>
  <c r="S304" i="1" s="1"/>
  <c r="T304" i="1" s="1"/>
  <c r="R305" i="1"/>
  <c r="R306" i="1"/>
  <c r="R307" i="1"/>
  <c r="R308" i="1"/>
  <c r="R309" i="1"/>
  <c r="R310" i="1"/>
  <c r="S310" i="1" s="1"/>
  <c r="T310" i="1" s="1"/>
  <c r="R311" i="1"/>
  <c r="R312" i="1"/>
  <c r="S312" i="1" s="1"/>
  <c r="T312" i="1" s="1"/>
  <c r="R313" i="1"/>
  <c r="S313" i="1" s="1"/>
  <c r="T313" i="1" s="1"/>
  <c r="R314" i="1"/>
  <c r="R315" i="1"/>
  <c r="R316" i="1"/>
  <c r="R317" i="1"/>
  <c r="R318" i="1"/>
  <c r="S318" i="1" s="1"/>
  <c r="T318" i="1" s="1"/>
  <c r="R319" i="1"/>
  <c r="R320" i="1"/>
  <c r="S320" i="1" s="1"/>
  <c r="T320" i="1" s="1"/>
  <c r="R321" i="1"/>
  <c r="S321" i="1" s="1"/>
  <c r="T321" i="1" s="1"/>
  <c r="R322" i="1"/>
  <c r="R323" i="1"/>
  <c r="R324" i="1"/>
  <c r="R325" i="1"/>
  <c r="R326" i="1"/>
  <c r="R327" i="1"/>
  <c r="R328" i="1"/>
  <c r="S328" i="1" s="1"/>
  <c r="T328" i="1" s="1"/>
  <c r="R329" i="1"/>
  <c r="S329" i="1" s="1"/>
  <c r="T329" i="1" s="1"/>
  <c r="R330" i="1"/>
  <c r="R331" i="1"/>
  <c r="R332" i="1"/>
  <c r="R333" i="1"/>
  <c r="R334" i="1"/>
  <c r="S334" i="1" s="1"/>
  <c r="T334" i="1" s="1"/>
  <c r="R335" i="1"/>
  <c r="R336" i="1"/>
  <c r="S336" i="1" s="1"/>
  <c r="T336" i="1" s="1"/>
  <c r="R337" i="1"/>
  <c r="R338" i="1"/>
  <c r="R339" i="1"/>
  <c r="R340" i="1"/>
  <c r="R341" i="1"/>
  <c r="R342" i="1"/>
  <c r="S342" i="1" s="1"/>
  <c r="T342" i="1" s="1"/>
  <c r="R343" i="1"/>
  <c r="R344" i="1"/>
  <c r="S344" i="1" s="1"/>
  <c r="T344" i="1" s="1"/>
  <c r="R345" i="1"/>
  <c r="S345" i="1" s="1"/>
  <c r="T345" i="1" s="1"/>
  <c r="R346" i="1"/>
  <c r="R296" i="1"/>
  <c r="X312" i="1"/>
  <c r="K312" i="1"/>
  <c r="X296" i="1"/>
  <c r="K296" i="1"/>
  <c r="K273" i="1"/>
  <c r="X273" i="1"/>
  <c r="X252" i="1"/>
  <c r="K252" i="1"/>
  <c r="K217" i="1"/>
  <c r="X217" i="1"/>
  <c r="K123" i="1"/>
  <c r="X123" i="1"/>
  <c r="K33" i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4" i="1" s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6" i="1" s="1"/>
  <c r="K32" i="1"/>
  <c r="J32" i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X32" i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R218" i="1"/>
  <c r="R219" i="1"/>
  <c r="R220" i="1"/>
  <c r="R221" i="1"/>
  <c r="S221" i="1" s="1"/>
  <c r="T221" i="1" s="1"/>
  <c r="R222" i="1"/>
  <c r="S222" i="1" s="1"/>
  <c r="T222" i="1" s="1"/>
  <c r="R223" i="1"/>
  <c r="R224" i="1"/>
  <c r="R225" i="1"/>
  <c r="S225" i="1" s="1"/>
  <c r="T225" i="1" s="1"/>
  <c r="R226" i="1"/>
  <c r="R227" i="1"/>
  <c r="R228" i="1"/>
  <c r="R229" i="1"/>
  <c r="S229" i="1" s="1"/>
  <c r="T229" i="1" s="1"/>
  <c r="R230" i="1"/>
  <c r="R231" i="1"/>
  <c r="R232" i="1"/>
  <c r="R233" i="1"/>
  <c r="R234" i="1"/>
  <c r="R235" i="1"/>
  <c r="R236" i="1"/>
  <c r="R237" i="1"/>
  <c r="S237" i="1" s="1"/>
  <c r="T237" i="1" s="1"/>
  <c r="R238" i="1"/>
  <c r="S238" i="1" s="1"/>
  <c r="T238" i="1" s="1"/>
  <c r="R239" i="1"/>
  <c r="R240" i="1"/>
  <c r="R241" i="1"/>
  <c r="S241" i="1" s="1"/>
  <c r="T241" i="1" s="1"/>
  <c r="R242" i="1"/>
  <c r="R243" i="1"/>
  <c r="R244" i="1"/>
  <c r="R245" i="1"/>
  <c r="S245" i="1" s="1"/>
  <c r="T245" i="1" s="1"/>
  <c r="R246" i="1"/>
  <c r="S246" i="1" s="1"/>
  <c r="T246" i="1" s="1"/>
  <c r="R247" i="1"/>
  <c r="R248" i="1"/>
  <c r="R249" i="1"/>
  <c r="S249" i="1" s="1"/>
  <c r="T249" i="1" s="1"/>
  <c r="R250" i="1"/>
  <c r="R251" i="1"/>
  <c r="R217" i="1"/>
  <c r="R41" i="1"/>
  <c r="S41" i="1" s="1"/>
  <c r="T41" i="1" s="1"/>
  <c r="R42" i="1"/>
  <c r="R43" i="1"/>
  <c r="R44" i="1"/>
  <c r="S44" i="1" s="1"/>
  <c r="T44" i="1" s="1"/>
  <c r="R45" i="1"/>
  <c r="S45" i="1" s="1"/>
  <c r="T45" i="1" s="1"/>
  <c r="R46" i="1"/>
  <c r="S46" i="1" s="1"/>
  <c r="T46" i="1" s="1"/>
  <c r="R47" i="1"/>
  <c r="R48" i="1"/>
  <c r="R49" i="1"/>
  <c r="S49" i="1" s="1"/>
  <c r="T49" i="1" s="1"/>
  <c r="R50" i="1"/>
  <c r="R51" i="1"/>
  <c r="R52" i="1"/>
  <c r="S52" i="1" s="1"/>
  <c r="T52" i="1" s="1"/>
  <c r="R53" i="1"/>
  <c r="S53" i="1" s="1"/>
  <c r="T53" i="1" s="1"/>
  <c r="R54" i="1"/>
  <c r="S54" i="1" s="1"/>
  <c r="T54" i="1" s="1"/>
  <c r="R55" i="1"/>
  <c r="R56" i="1"/>
  <c r="R57" i="1"/>
  <c r="S57" i="1" s="1"/>
  <c r="T57" i="1" s="1"/>
  <c r="R58" i="1"/>
  <c r="R59" i="1"/>
  <c r="R60" i="1"/>
  <c r="R61" i="1"/>
  <c r="S61" i="1" s="1"/>
  <c r="T61" i="1" s="1"/>
  <c r="R62" i="1"/>
  <c r="S62" i="1" s="1"/>
  <c r="T62" i="1" s="1"/>
  <c r="R63" i="1"/>
  <c r="R64" i="1"/>
  <c r="R65" i="1"/>
  <c r="R66" i="1"/>
  <c r="R67" i="1"/>
  <c r="R68" i="1"/>
  <c r="S68" i="1" s="1"/>
  <c r="T68" i="1" s="1"/>
  <c r="R69" i="1"/>
  <c r="S69" i="1" s="1"/>
  <c r="T69" i="1" s="1"/>
  <c r="R70" i="1"/>
  <c r="S70" i="1" s="1"/>
  <c r="T70" i="1" s="1"/>
  <c r="R71" i="1"/>
  <c r="R72" i="1"/>
  <c r="R73" i="1"/>
  <c r="S73" i="1" s="1"/>
  <c r="T73" i="1" s="1"/>
  <c r="R74" i="1"/>
  <c r="R75" i="1"/>
  <c r="R76" i="1"/>
  <c r="S76" i="1" s="1"/>
  <c r="T76" i="1" s="1"/>
  <c r="R77" i="1"/>
  <c r="S77" i="1" s="1"/>
  <c r="T77" i="1" s="1"/>
  <c r="R78" i="1"/>
  <c r="S78" i="1" s="1"/>
  <c r="T78" i="1" s="1"/>
  <c r="R79" i="1"/>
  <c r="R80" i="1"/>
  <c r="R81" i="1"/>
  <c r="S81" i="1" s="1"/>
  <c r="T81" i="1" s="1"/>
  <c r="R82" i="1"/>
  <c r="R83" i="1"/>
  <c r="R84" i="1"/>
  <c r="S84" i="1" s="1"/>
  <c r="T84" i="1" s="1"/>
  <c r="R85" i="1"/>
  <c r="S85" i="1" s="1"/>
  <c r="T85" i="1" s="1"/>
  <c r="R86" i="1"/>
  <c r="S86" i="1" s="1"/>
  <c r="T86" i="1" s="1"/>
  <c r="R87" i="1"/>
  <c r="R88" i="1"/>
  <c r="R89" i="1"/>
  <c r="S89" i="1" s="1"/>
  <c r="T89" i="1" s="1"/>
  <c r="R90" i="1"/>
  <c r="R91" i="1"/>
  <c r="R92" i="1"/>
  <c r="R93" i="1"/>
  <c r="S93" i="1" s="1"/>
  <c r="T93" i="1" s="1"/>
  <c r="R94" i="1"/>
  <c r="S94" i="1" s="1"/>
  <c r="T94" i="1" s="1"/>
  <c r="R95" i="1"/>
  <c r="R96" i="1"/>
  <c r="R97" i="1"/>
  <c r="R98" i="1"/>
  <c r="R99" i="1"/>
  <c r="R100" i="1"/>
  <c r="S100" i="1" s="1"/>
  <c r="T100" i="1" s="1"/>
  <c r="R101" i="1"/>
  <c r="S101" i="1" s="1"/>
  <c r="T101" i="1" s="1"/>
  <c r="R102" i="1"/>
  <c r="S102" i="1" s="1"/>
  <c r="T102" i="1" s="1"/>
  <c r="R103" i="1"/>
  <c r="R104" i="1"/>
  <c r="R105" i="1"/>
  <c r="S105" i="1" s="1"/>
  <c r="T105" i="1" s="1"/>
  <c r="R106" i="1"/>
  <c r="R107" i="1"/>
  <c r="R108" i="1"/>
  <c r="S108" i="1" s="1"/>
  <c r="T108" i="1" s="1"/>
  <c r="R109" i="1"/>
  <c r="S109" i="1" s="1"/>
  <c r="T109" i="1" s="1"/>
  <c r="R110" i="1"/>
  <c r="S110" i="1" s="1"/>
  <c r="T110" i="1" s="1"/>
  <c r="R111" i="1"/>
  <c r="R112" i="1"/>
  <c r="R113" i="1"/>
  <c r="S113" i="1" s="1"/>
  <c r="T113" i="1" s="1"/>
  <c r="R114" i="1"/>
  <c r="R115" i="1"/>
  <c r="R116" i="1"/>
  <c r="S116" i="1" s="1"/>
  <c r="T116" i="1" s="1"/>
  <c r="R117" i="1"/>
  <c r="S117" i="1" s="1"/>
  <c r="T117" i="1" s="1"/>
  <c r="R118" i="1"/>
  <c r="S118" i="1" s="1"/>
  <c r="T118" i="1" s="1"/>
  <c r="R119" i="1"/>
  <c r="R120" i="1"/>
  <c r="R121" i="1"/>
  <c r="S121" i="1" s="1"/>
  <c r="T121" i="1" s="1"/>
  <c r="R122" i="1"/>
  <c r="R40" i="1"/>
  <c r="S40" i="1" s="1"/>
  <c r="T40" i="1" s="1"/>
  <c r="T66" i="1"/>
  <c r="T98" i="1"/>
  <c r="T133" i="1"/>
  <c r="T154" i="1"/>
  <c r="T193" i="1"/>
  <c r="T203" i="1"/>
  <c r="T211" i="1"/>
  <c r="T255" i="1"/>
  <c r="T276" i="1"/>
  <c r="T303" i="1"/>
  <c r="T311" i="1"/>
  <c r="T325" i="1"/>
  <c r="T333" i="1"/>
  <c r="T350" i="1"/>
  <c r="T358" i="1"/>
  <c r="T366" i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2" i="1"/>
  <c r="T42" i="1" s="1"/>
  <c r="S43" i="1"/>
  <c r="T43" i="1" s="1"/>
  <c r="S47" i="1"/>
  <c r="T47" i="1" s="1"/>
  <c r="S48" i="1"/>
  <c r="T48" i="1" s="1"/>
  <c r="S50" i="1"/>
  <c r="T50" i="1" s="1"/>
  <c r="S51" i="1"/>
  <c r="T51" i="1" s="1"/>
  <c r="S55" i="1"/>
  <c r="T55" i="1" s="1"/>
  <c r="S56" i="1"/>
  <c r="T56" i="1" s="1"/>
  <c r="S58" i="1"/>
  <c r="T58" i="1" s="1"/>
  <c r="S59" i="1"/>
  <c r="T59" i="1" s="1"/>
  <c r="S60" i="1"/>
  <c r="T60" i="1" s="1"/>
  <c r="S63" i="1"/>
  <c r="T63" i="1" s="1"/>
  <c r="S64" i="1"/>
  <c r="T64" i="1" s="1"/>
  <c r="S65" i="1"/>
  <c r="T65" i="1" s="1"/>
  <c r="S66" i="1"/>
  <c r="S67" i="1"/>
  <c r="T67" i="1" s="1"/>
  <c r="S71" i="1"/>
  <c r="T71" i="1" s="1"/>
  <c r="S72" i="1"/>
  <c r="T72" i="1" s="1"/>
  <c r="S74" i="1"/>
  <c r="T74" i="1" s="1"/>
  <c r="S75" i="1"/>
  <c r="T75" i="1" s="1"/>
  <c r="S79" i="1"/>
  <c r="T79" i="1" s="1"/>
  <c r="S80" i="1"/>
  <c r="T80" i="1" s="1"/>
  <c r="S82" i="1"/>
  <c r="T82" i="1" s="1"/>
  <c r="S83" i="1"/>
  <c r="T83" i="1" s="1"/>
  <c r="S87" i="1"/>
  <c r="T87" i="1" s="1"/>
  <c r="S88" i="1"/>
  <c r="T88" i="1" s="1"/>
  <c r="S90" i="1"/>
  <c r="T90" i="1" s="1"/>
  <c r="S91" i="1"/>
  <c r="T91" i="1" s="1"/>
  <c r="S92" i="1"/>
  <c r="T92" i="1" s="1"/>
  <c r="S95" i="1"/>
  <c r="T95" i="1" s="1"/>
  <c r="S96" i="1"/>
  <c r="T96" i="1" s="1"/>
  <c r="S97" i="1"/>
  <c r="T97" i="1" s="1"/>
  <c r="S98" i="1"/>
  <c r="S99" i="1"/>
  <c r="T99" i="1" s="1"/>
  <c r="S103" i="1"/>
  <c r="T103" i="1" s="1"/>
  <c r="S104" i="1"/>
  <c r="T104" i="1" s="1"/>
  <c r="S106" i="1"/>
  <c r="T106" i="1" s="1"/>
  <c r="S107" i="1"/>
  <c r="T107" i="1" s="1"/>
  <c r="S111" i="1"/>
  <c r="T111" i="1" s="1"/>
  <c r="S112" i="1"/>
  <c r="T112" i="1" s="1"/>
  <c r="S114" i="1"/>
  <c r="T114" i="1" s="1"/>
  <c r="S115" i="1"/>
  <c r="T115" i="1" s="1"/>
  <c r="S119" i="1"/>
  <c r="T119" i="1" s="1"/>
  <c r="S120" i="1"/>
  <c r="T120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3" i="1"/>
  <c r="T223" i="1" s="1"/>
  <c r="S224" i="1"/>
  <c r="T224" i="1" s="1"/>
  <c r="S226" i="1"/>
  <c r="T226" i="1" s="1"/>
  <c r="S227" i="1"/>
  <c r="T227" i="1" s="1"/>
  <c r="S228" i="1"/>
  <c r="T228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9" i="1"/>
  <c r="T239" i="1" s="1"/>
  <c r="S240" i="1"/>
  <c r="T240" i="1" s="1"/>
  <c r="S242" i="1"/>
  <c r="T242" i="1" s="1"/>
  <c r="S243" i="1"/>
  <c r="T243" i="1" s="1"/>
  <c r="S244" i="1"/>
  <c r="T244" i="1" s="1"/>
  <c r="S247" i="1"/>
  <c r="T247" i="1" s="1"/>
  <c r="S248" i="1"/>
  <c r="T248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8" i="1"/>
  <c r="T298" i="1" s="1"/>
  <c r="S299" i="1"/>
  <c r="T299" i="1" s="1"/>
  <c r="S300" i="1"/>
  <c r="T300" i="1" s="1"/>
  <c r="S301" i="1"/>
  <c r="T301" i="1" s="1"/>
  <c r="S303" i="1"/>
  <c r="S305" i="1"/>
  <c r="T305" i="1" s="1"/>
  <c r="S306" i="1"/>
  <c r="T306" i="1" s="1"/>
  <c r="S307" i="1"/>
  <c r="T307" i="1" s="1"/>
  <c r="S308" i="1"/>
  <c r="T308" i="1" s="1"/>
  <c r="S309" i="1"/>
  <c r="T309" i="1" s="1"/>
  <c r="S311" i="1"/>
  <c r="S314" i="1"/>
  <c r="T314" i="1" s="1"/>
  <c r="S315" i="1"/>
  <c r="T315" i="1" s="1"/>
  <c r="S316" i="1"/>
  <c r="T316" i="1" s="1"/>
  <c r="S317" i="1"/>
  <c r="T317" i="1" s="1"/>
  <c r="S319" i="1"/>
  <c r="T319" i="1" s="1"/>
  <c r="S322" i="1"/>
  <c r="T322" i="1" s="1"/>
  <c r="S323" i="1"/>
  <c r="T323" i="1" s="1"/>
  <c r="S324" i="1"/>
  <c r="T324" i="1" s="1"/>
  <c r="S325" i="1"/>
  <c r="S326" i="1"/>
  <c r="T326" i="1" s="1"/>
  <c r="S327" i="1"/>
  <c r="T327" i="1" s="1"/>
  <c r="S330" i="1"/>
  <c r="T330" i="1" s="1"/>
  <c r="S331" i="1"/>
  <c r="T331" i="1" s="1"/>
  <c r="S332" i="1"/>
  <c r="T332" i="1" s="1"/>
  <c r="S333" i="1"/>
  <c r="S335" i="1"/>
  <c r="T335" i="1" s="1"/>
  <c r="S337" i="1"/>
  <c r="T337" i="1" s="1"/>
  <c r="S338" i="1"/>
  <c r="T338" i="1" s="1"/>
  <c r="S339" i="1"/>
  <c r="T339" i="1" s="1"/>
  <c r="S340" i="1"/>
  <c r="T340" i="1" s="1"/>
  <c r="S341" i="1"/>
  <c r="T341" i="1" s="1"/>
  <c r="S343" i="1"/>
  <c r="T343" i="1" s="1"/>
  <c r="S346" i="1"/>
  <c r="T346" i="1" s="1"/>
  <c r="S347" i="1"/>
  <c r="T347" i="1" s="1"/>
  <c r="S348" i="1"/>
  <c r="T348" i="1" s="1"/>
  <c r="S349" i="1"/>
  <c r="T349" i="1" s="1"/>
  <c r="S350" i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S367" i="1"/>
  <c r="T367" i="1" s="1"/>
  <c r="S4" i="1"/>
  <c r="T4" i="1" s="1"/>
  <c r="S1" i="1"/>
  <c r="O5" i="1"/>
  <c r="O6" i="1"/>
  <c r="O7" i="1"/>
  <c r="O8" i="1"/>
  <c r="O9" i="1"/>
  <c r="O10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U32" i="1" l="1"/>
  <c r="V128" i="2"/>
  <c r="V130" i="2"/>
  <c r="V132" i="2"/>
  <c r="V134" i="2" s="1"/>
  <c r="U218" i="2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K218" i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X218" i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U33" i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l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V222" i="2"/>
  <c r="V224" i="2"/>
  <c r="V226" i="2"/>
  <c r="V228" i="2" s="1"/>
  <c r="U255" i="2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V39" i="1"/>
  <c r="V41" i="1"/>
  <c r="V43" i="1" s="1"/>
  <c r="V37" i="1"/>
  <c r="V261" i="2" l="1"/>
  <c r="V128" i="1"/>
  <c r="U276" i="2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V132" i="1"/>
  <c r="V134" i="1" s="1"/>
  <c r="V259" i="2"/>
  <c r="V263" i="2"/>
  <c r="V265" i="2" s="1"/>
  <c r="V130" i="1"/>
  <c r="U218" i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V224" i="1" l="1"/>
  <c r="V282" i="2"/>
  <c r="V226" i="1"/>
  <c r="V228" i="1" s="1"/>
  <c r="V284" i="2"/>
  <c r="V286" i="2" s="1"/>
  <c r="V222" i="1"/>
  <c r="V280" i="2"/>
  <c r="U298" i="2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253" i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V304" i="2" l="1"/>
  <c r="V261" i="1"/>
  <c r="V263" i="1" s="1"/>
  <c r="U314" i="2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V259" i="1"/>
  <c r="V257" i="1"/>
  <c r="V306" i="2"/>
  <c r="V308" i="2" s="1"/>
  <c r="U274" i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V302" i="2"/>
  <c r="V320" i="2" l="1"/>
  <c r="V278" i="1"/>
  <c r="V322" i="2"/>
  <c r="V324" i="2" s="1"/>
  <c r="V280" i="1"/>
  <c r="V282" i="1"/>
  <c r="V284" i="1" s="1"/>
  <c r="U297" i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V305" i="1" l="1"/>
  <c r="V307" i="1" s="1"/>
  <c r="V301" i="1"/>
  <c r="U313" i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V303" i="1"/>
  <c r="V317" i="1" l="1"/>
  <c r="V319" i="1"/>
  <c r="V321" i="1"/>
  <c r="V323" i="1" s="1"/>
</calcChain>
</file>

<file path=xl/sharedStrings.xml><?xml version="1.0" encoding="utf-8"?>
<sst xmlns="http://schemas.openxmlformats.org/spreadsheetml/2006/main" count="328" uniqueCount="68">
  <si>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</si>
  <si>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</si>
  <si>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</si>
  <si>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</si>
  <si>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</si>
  <si>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</si>
  <si>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</si>
  <si>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</si>
  <si>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</si>
  <si>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</si>
  <si>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Vernalisation</t>
  </si>
  <si>
    <t>Période</t>
  </si>
  <si>
    <t>GDD/cumul</t>
  </si>
  <si>
    <t>GDD/période</t>
  </si>
  <si>
    <t>IPC</t>
  </si>
  <si>
    <t>TEMPERATURE</t>
  </si>
  <si>
    <t>P-ETP</t>
  </si>
  <si>
    <t>RU avant semis</t>
  </si>
  <si>
    <t>i</t>
  </si>
  <si>
    <t>kc</t>
  </si>
  <si>
    <t>ETM</t>
  </si>
  <si>
    <t>P-ETM</t>
  </si>
  <si>
    <t>WSCi</t>
  </si>
  <si>
    <t>SSI cumul</t>
  </si>
  <si>
    <t>Photopériode</t>
  </si>
  <si>
    <t>WATER</t>
  </si>
  <si>
    <t>SOLAR</t>
  </si>
  <si>
    <t>RU</t>
  </si>
  <si>
    <t>1/3</t>
  </si>
  <si>
    <t>semis</t>
  </si>
  <si>
    <t>levée</t>
  </si>
  <si>
    <t>récolte</t>
  </si>
  <si>
    <t>h</t>
  </si>
  <si>
    <t>fh</t>
  </si>
  <si>
    <t>FLO</t>
  </si>
  <si>
    <t>Fin FLO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</si>
  <si>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</si>
  <si>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</si>
  <si>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</si>
  <si>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</si>
  <si>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</si>
  <si>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</si>
  <si>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</si>
  <si>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</si>
  <si>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</si>
  <si>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</si>
  <si>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</si>
  <si>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</si>
  <si>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</si>
  <si>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</si>
  <si>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</si>
  <si>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</si>
  <si>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</si>
  <si>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</si>
  <si>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P1000</t>
  </si>
  <si>
    <t>P600</t>
  </si>
  <si>
    <t>P300</t>
  </si>
  <si>
    <t>FLOWERING</t>
  </si>
  <si>
    <t>BOLTING</t>
  </si>
  <si>
    <t>CLIMATIC WINTER</t>
  </si>
  <si>
    <t>FALL</t>
  </si>
  <si>
    <t>WSC_I</t>
  </si>
  <si>
    <t>BI</t>
  </si>
  <si>
    <t>DRF</t>
  </si>
  <si>
    <t>TS</t>
  </si>
  <si>
    <t>IRF</t>
  </si>
  <si>
    <t>N60</t>
  </si>
  <si>
    <t>N87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</si>
</sst>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0" fontId="16" fillId="0" borderId="0" xfId="0" quotePrefix="1" applyFont="1"/>
    <xf numFmtId="2" fontId="16" fillId="0" borderId="0" xfId="0" applyNumberFormat="1" applyFon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0" fillId="0" borderId="0" xfId="0" applyFont="1" applyBorder="1"/>
    <xf numFmtId="14" fontId="0" fillId="0" borderId="0" xfId="0" applyNumberFormat="1" applyFont="1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0" borderId="0" xfId="0" applyFont="1" applyAlignment="1">
      <alignment horizontal="center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Border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0" fillId="40" borderId="0" xfId="0" applyFill="1"/>
    <xf numFmtId="0" fontId="0" fillId="41" borderId="0" xfId="0" applyFill="1"/>
    <xf numFmtId="14" fontId="0" fillId="41" borderId="0" xfId="0" applyNumberFormat="1" applyFill="1"/>
    <xf numFmtId="0" fontId="16" fillId="40" borderId="1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2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7"/>
  <sheetViews>
    <sheetView zoomScale="80" zoomScaleNormal="80" workbookViewId="0">
      <pane xSplit="6" ySplit="3" topLeftCell="G191" activePane="bottomRight" state="frozen"/>
      <selection pane="topRight" activeCell="G1" sqref="G1"/>
      <selection pane="bottomLeft" activeCell="A4" sqref="A4"/>
      <selection pane="bottomRight" activeCell="AA203" sqref="AA203"/>
    </sheetView>
  </sheetViews>
  <sheetFormatPr baseColWidth="10" defaultRowHeight="15" x14ac:dyDescent="0.25"/>
  <sheetData>
    <row r="1" spans="1:26" s="3" customFormat="1" x14ac:dyDescent="0.25">
      <c r="P1" s="3" t="s">
        <v>27</v>
      </c>
      <c r="Q1" s="3">
        <v>179.3</v>
      </c>
      <c r="R1" s="4" t="s">
        <v>28</v>
      </c>
      <c r="S1" s="5">
        <f>Q1/3</f>
        <v>59.766666666666673</v>
      </c>
    </row>
    <row r="2" spans="1:26" s="3" customFormat="1" x14ac:dyDescent="0.25">
      <c r="G2" s="30" t="s">
        <v>15</v>
      </c>
      <c r="H2" s="30"/>
      <c r="I2" s="30"/>
      <c r="J2" s="30"/>
      <c r="K2" s="30"/>
      <c r="L2" s="30"/>
      <c r="M2" s="30" t="s">
        <v>25</v>
      </c>
      <c r="N2" s="30"/>
      <c r="O2" s="30"/>
      <c r="P2" s="30"/>
      <c r="Q2" s="30"/>
      <c r="R2" s="30"/>
      <c r="S2" s="30"/>
      <c r="T2" s="30"/>
      <c r="U2" s="30"/>
      <c r="V2" s="30"/>
      <c r="W2" s="30" t="s">
        <v>26</v>
      </c>
      <c r="X2" s="30"/>
      <c r="Y2" s="30"/>
      <c r="Z2" s="30"/>
    </row>
    <row r="3" spans="1:26" s="3" customFormat="1" x14ac:dyDescent="0.25">
      <c r="A3" s="3" t="s">
        <v>0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  <c r="G3" s="3" t="s">
        <v>4</v>
      </c>
      <c r="H3" s="3" t="s">
        <v>7</v>
      </c>
      <c r="I3" s="3" t="s">
        <v>8</v>
      </c>
      <c r="J3" s="3" t="s">
        <v>12</v>
      </c>
      <c r="K3" s="3" t="s">
        <v>13</v>
      </c>
      <c r="L3" s="3" t="s">
        <v>14</v>
      </c>
      <c r="M3" s="3" t="s">
        <v>3</v>
      </c>
      <c r="N3" s="3" t="s">
        <v>6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14</v>
      </c>
      <c r="W3" s="3" t="s">
        <v>5</v>
      </c>
      <c r="X3" s="3" t="s">
        <v>23</v>
      </c>
      <c r="Y3" s="3" t="s">
        <v>24</v>
      </c>
      <c r="Z3" s="3" t="s">
        <v>14</v>
      </c>
    </row>
    <row r="4" spans="1:26" x14ac:dyDescent="0.25">
      <c r="A4">
        <v>6360</v>
      </c>
      <c r="B4">
        <v>24170</v>
      </c>
      <c r="C4" s="1">
        <v>42949</v>
      </c>
      <c r="G4">
        <v>22.3</v>
      </c>
      <c r="H4">
        <v>16.7</v>
      </c>
      <c r="I4">
        <v>27.9</v>
      </c>
      <c r="M4">
        <v>0.6</v>
      </c>
      <c r="N4">
        <v>2.9</v>
      </c>
      <c r="O4">
        <f>M4-N4</f>
        <v>-2.2999999999999998</v>
      </c>
      <c r="P4">
        <v>0</v>
      </c>
      <c r="S4">
        <f>R4*N4</f>
        <v>0</v>
      </c>
      <c r="T4">
        <f>M4-S4</f>
        <v>0.6</v>
      </c>
      <c r="W4">
        <v>970</v>
      </c>
    </row>
    <row r="5" spans="1:26" x14ac:dyDescent="0.25">
      <c r="A5">
        <v>6360</v>
      </c>
      <c r="B5">
        <v>24170</v>
      </c>
      <c r="C5" s="1">
        <v>42950</v>
      </c>
      <c r="G5">
        <v>22</v>
      </c>
      <c r="H5">
        <v>18.399999999999999</v>
      </c>
      <c r="I5">
        <v>24.6</v>
      </c>
      <c r="M5">
        <v>0</v>
      </c>
      <c r="N5">
        <v>4.5</v>
      </c>
      <c r="O5">
        <f t="shared" ref="O5:O68" si="0">M5-N5</f>
        <v>-4.5</v>
      </c>
      <c r="P5">
        <v>0</v>
      </c>
      <c r="S5">
        <f t="shared" ref="S5:S68" si="1">R5*N5</f>
        <v>0</v>
      </c>
      <c r="T5">
        <f t="shared" ref="T5:T68" si="2">M5-S5</f>
        <v>0</v>
      </c>
      <c r="W5">
        <v>1646.6</v>
      </c>
    </row>
    <row r="6" spans="1:26" x14ac:dyDescent="0.25">
      <c r="A6">
        <v>6360</v>
      </c>
      <c r="B6">
        <v>24170</v>
      </c>
      <c r="C6" s="1">
        <v>42951</v>
      </c>
      <c r="G6">
        <v>21.5</v>
      </c>
      <c r="H6">
        <v>18.100000000000001</v>
      </c>
      <c r="I6">
        <v>24.1</v>
      </c>
      <c r="M6">
        <v>0.4</v>
      </c>
      <c r="N6">
        <v>3.7</v>
      </c>
      <c r="O6">
        <f t="shared" si="0"/>
        <v>-3.3000000000000003</v>
      </c>
      <c r="P6">
        <v>0</v>
      </c>
      <c r="S6">
        <f t="shared" si="1"/>
        <v>0</v>
      </c>
      <c r="T6">
        <f t="shared" si="2"/>
        <v>0.4</v>
      </c>
      <c r="W6">
        <v>1173</v>
      </c>
    </row>
    <row r="7" spans="1:26" x14ac:dyDescent="0.25">
      <c r="A7">
        <v>6360</v>
      </c>
      <c r="B7">
        <v>24170</v>
      </c>
      <c r="C7" s="1">
        <v>42952</v>
      </c>
      <c r="G7">
        <v>18.899999999999999</v>
      </c>
      <c r="H7">
        <v>15.5</v>
      </c>
      <c r="I7">
        <v>22.4</v>
      </c>
      <c r="M7">
        <v>0</v>
      </c>
      <c r="N7">
        <v>3.3</v>
      </c>
      <c r="O7">
        <f t="shared" si="0"/>
        <v>-3.3</v>
      </c>
      <c r="P7">
        <v>0</v>
      </c>
      <c r="S7">
        <f t="shared" si="1"/>
        <v>0</v>
      </c>
      <c r="T7">
        <f t="shared" si="2"/>
        <v>0</v>
      </c>
      <c r="W7">
        <v>1409</v>
      </c>
    </row>
    <row r="8" spans="1:26" x14ac:dyDescent="0.25">
      <c r="A8">
        <v>6360</v>
      </c>
      <c r="B8">
        <v>24170</v>
      </c>
      <c r="C8" s="1">
        <v>42953</v>
      </c>
      <c r="G8">
        <v>17.7</v>
      </c>
      <c r="H8">
        <v>13.2</v>
      </c>
      <c r="I8">
        <v>22.4</v>
      </c>
      <c r="M8">
        <v>0</v>
      </c>
      <c r="N8">
        <v>4.2</v>
      </c>
      <c r="O8">
        <f t="shared" si="0"/>
        <v>-4.2</v>
      </c>
      <c r="P8">
        <v>0</v>
      </c>
      <c r="S8">
        <f t="shared" si="1"/>
        <v>0</v>
      </c>
      <c r="T8">
        <f t="shared" si="2"/>
        <v>0</v>
      </c>
      <c r="W8">
        <v>2169.3000000000002</v>
      </c>
    </row>
    <row r="9" spans="1:26" x14ac:dyDescent="0.25">
      <c r="A9">
        <v>6360</v>
      </c>
      <c r="B9">
        <v>24170</v>
      </c>
      <c r="C9" s="1">
        <v>42954</v>
      </c>
      <c r="G9">
        <v>19.899999999999999</v>
      </c>
      <c r="H9">
        <v>13.5</v>
      </c>
      <c r="I9">
        <v>25.1</v>
      </c>
      <c r="M9">
        <v>0.6</v>
      </c>
      <c r="N9">
        <v>4</v>
      </c>
      <c r="O9">
        <f t="shared" si="0"/>
        <v>-3.4</v>
      </c>
      <c r="P9">
        <v>0</v>
      </c>
      <c r="S9">
        <f t="shared" si="1"/>
        <v>0</v>
      </c>
      <c r="T9">
        <f t="shared" si="2"/>
        <v>0.6</v>
      </c>
      <c r="W9">
        <v>1870.4</v>
      </c>
    </row>
    <row r="10" spans="1:26" x14ac:dyDescent="0.25">
      <c r="A10">
        <v>6360</v>
      </c>
      <c r="B10">
        <v>24170</v>
      </c>
      <c r="C10" s="1">
        <v>42955</v>
      </c>
      <c r="G10">
        <v>15.8</v>
      </c>
      <c r="H10">
        <v>15.5</v>
      </c>
      <c r="I10">
        <v>16.399999999999999</v>
      </c>
      <c r="M10">
        <v>3.5</v>
      </c>
      <c r="N10">
        <v>1.2</v>
      </c>
      <c r="O10">
        <f t="shared" si="0"/>
        <v>2.2999999999999998</v>
      </c>
      <c r="P10">
        <f>P9+O10</f>
        <v>2.2999999999999998</v>
      </c>
      <c r="S10">
        <f t="shared" si="1"/>
        <v>0</v>
      </c>
      <c r="T10">
        <f t="shared" si="2"/>
        <v>3.5</v>
      </c>
      <c r="W10">
        <v>546.4</v>
      </c>
    </row>
    <row r="11" spans="1:26" x14ac:dyDescent="0.25">
      <c r="A11">
        <v>6360</v>
      </c>
      <c r="B11">
        <v>24170</v>
      </c>
      <c r="C11" s="1">
        <v>42956</v>
      </c>
      <c r="G11">
        <v>14.4</v>
      </c>
      <c r="H11">
        <v>12.8</v>
      </c>
      <c r="I11">
        <v>17.600000000000001</v>
      </c>
      <c r="M11">
        <v>7.5</v>
      </c>
      <c r="N11">
        <v>2.1</v>
      </c>
      <c r="O11">
        <f t="shared" si="0"/>
        <v>5.4</v>
      </c>
      <c r="P11">
        <f t="shared" ref="P11:P31" si="3">P10+O11</f>
        <v>7.7</v>
      </c>
      <c r="S11">
        <f t="shared" si="1"/>
        <v>0</v>
      </c>
      <c r="T11">
        <f t="shared" si="2"/>
        <v>7.5</v>
      </c>
      <c r="W11">
        <v>1281.5</v>
      </c>
    </row>
    <row r="12" spans="1:26" x14ac:dyDescent="0.25">
      <c r="A12">
        <v>6360</v>
      </c>
      <c r="B12">
        <v>24170</v>
      </c>
      <c r="C12" s="1">
        <v>42957</v>
      </c>
      <c r="G12">
        <v>13.9</v>
      </c>
      <c r="H12">
        <v>11.3</v>
      </c>
      <c r="I12">
        <v>17.100000000000001</v>
      </c>
      <c r="M12">
        <v>0.9</v>
      </c>
      <c r="N12">
        <v>2.1</v>
      </c>
      <c r="O12">
        <f t="shared" si="0"/>
        <v>-1.2000000000000002</v>
      </c>
      <c r="P12">
        <f t="shared" si="3"/>
        <v>6.5</v>
      </c>
      <c r="S12">
        <f t="shared" si="1"/>
        <v>0</v>
      </c>
      <c r="T12">
        <f t="shared" si="2"/>
        <v>0.9</v>
      </c>
      <c r="W12">
        <v>1174.2</v>
      </c>
    </row>
    <row r="13" spans="1:26" x14ac:dyDescent="0.25">
      <c r="A13">
        <v>6360</v>
      </c>
      <c r="B13">
        <v>24170</v>
      </c>
      <c r="C13" s="1">
        <v>42958</v>
      </c>
      <c r="G13">
        <v>16.7</v>
      </c>
      <c r="H13">
        <v>12.3</v>
      </c>
      <c r="I13">
        <v>20.3</v>
      </c>
      <c r="M13">
        <v>0</v>
      </c>
      <c r="N13">
        <v>2.9</v>
      </c>
      <c r="O13">
        <f t="shared" si="0"/>
        <v>-2.9</v>
      </c>
      <c r="P13">
        <f t="shared" si="3"/>
        <v>3.6</v>
      </c>
      <c r="S13">
        <f t="shared" si="1"/>
        <v>0</v>
      </c>
      <c r="T13">
        <f t="shared" si="2"/>
        <v>0</v>
      </c>
      <c r="W13">
        <v>1636.4</v>
      </c>
    </row>
    <row r="14" spans="1:26" x14ac:dyDescent="0.25">
      <c r="A14">
        <v>6360</v>
      </c>
      <c r="B14">
        <v>24170</v>
      </c>
      <c r="C14" s="1">
        <v>42959</v>
      </c>
      <c r="G14">
        <v>16.7</v>
      </c>
      <c r="H14">
        <v>14.1</v>
      </c>
      <c r="I14">
        <v>19.600000000000001</v>
      </c>
      <c r="M14">
        <v>2.5</v>
      </c>
      <c r="N14">
        <v>1.8</v>
      </c>
      <c r="O14">
        <f t="shared" si="0"/>
        <v>0.7</v>
      </c>
      <c r="P14">
        <f t="shared" si="3"/>
        <v>4.3</v>
      </c>
      <c r="S14">
        <f t="shared" si="1"/>
        <v>0</v>
      </c>
      <c r="T14">
        <f t="shared" si="2"/>
        <v>2.5</v>
      </c>
      <c r="W14">
        <v>652.4</v>
      </c>
    </row>
    <row r="15" spans="1:26" x14ac:dyDescent="0.25">
      <c r="A15">
        <v>6360</v>
      </c>
      <c r="B15">
        <v>24170</v>
      </c>
      <c r="C15" s="1">
        <v>42960</v>
      </c>
      <c r="G15">
        <v>17.3</v>
      </c>
      <c r="H15">
        <v>13.3</v>
      </c>
      <c r="I15">
        <v>21.3</v>
      </c>
      <c r="M15">
        <v>0.1</v>
      </c>
      <c r="N15">
        <v>3</v>
      </c>
      <c r="O15">
        <f t="shared" si="0"/>
        <v>-2.9</v>
      </c>
      <c r="P15">
        <f t="shared" si="3"/>
        <v>1.4</v>
      </c>
      <c r="S15">
        <f t="shared" si="1"/>
        <v>0</v>
      </c>
      <c r="T15">
        <f t="shared" si="2"/>
        <v>0.1</v>
      </c>
      <c r="W15">
        <v>1486.4</v>
      </c>
    </row>
    <row r="16" spans="1:26" x14ac:dyDescent="0.25">
      <c r="A16">
        <v>6360</v>
      </c>
      <c r="B16">
        <v>24170</v>
      </c>
      <c r="C16" s="1">
        <v>42961</v>
      </c>
      <c r="G16">
        <v>19.8</v>
      </c>
      <c r="H16">
        <v>12.5</v>
      </c>
      <c r="I16">
        <v>25.6</v>
      </c>
      <c r="M16">
        <v>8.6</v>
      </c>
      <c r="N16">
        <v>2.8</v>
      </c>
      <c r="O16">
        <f t="shared" si="0"/>
        <v>5.8</v>
      </c>
      <c r="P16">
        <f t="shared" si="3"/>
        <v>7.1999999999999993</v>
      </c>
      <c r="S16">
        <f t="shared" si="1"/>
        <v>0</v>
      </c>
      <c r="T16">
        <f t="shared" si="2"/>
        <v>8.6</v>
      </c>
      <c r="W16">
        <v>1463</v>
      </c>
    </row>
    <row r="17" spans="1:26" x14ac:dyDescent="0.25">
      <c r="A17">
        <v>6360</v>
      </c>
      <c r="B17">
        <v>24170</v>
      </c>
      <c r="C17" s="1">
        <v>42962</v>
      </c>
      <c r="G17">
        <v>20.2</v>
      </c>
      <c r="H17">
        <v>19.100000000000001</v>
      </c>
      <c r="I17">
        <v>23.9</v>
      </c>
      <c r="M17">
        <v>33.799999999999997</v>
      </c>
      <c r="N17">
        <v>2.7</v>
      </c>
      <c r="O17">
        <f t="shared" si="0"/>
        <v>31.099999999999998</v>
      </c>
      <c r="P17">
        <f t="shared" si="3"/>
        <v>38.299999999999997</v>
      </c>
      <c r="S17">
        <f t="shared" si="1"/>
        <v>0</v>
      </c>
      <c r="T17">
        <f t="shared" si="2"/>
        <v>33.799999999999997</v>
      </c>
      <c r="W17">
        <v>1288.5999999999999</v>
      </c>
    </row>
    <row r="18" spans="1:26" x14ac:dyDescent="0.25">
      <c r="A18">
        <v>6360</v>
      </c>
      <c r="B18">
        <v>24170</v>
      </c>
      <c r="C18" s="1">
        <v>42963</v>
      </c>
      <c r="G18">
        <v>19.600000000000001</v>
      </c>
      <c r="H18">
        <v>15.4</v>
      </c>
      <c r="I18">
        <v>23</v>
      </c>
      <c r="M18">
        <v>1</v>
      </c>
      <c r="N18">
        <v>2.8</v>
      </c>
      <c r="O18">
        <f t="shared" si="0"/>
        <v>-1.7999999999999998</v>
      </c>
      <c r="P18">
        <f t="shared" si="3"/>
        <v>36.5</v>
      </c>
      <c r="S18">
        <f t="shared" si="1"/>
        <v>0</v>
      </c>
      <c r="T18">
        <f t="shared" si="2"/>
        <v>1</v>
      </c>
      <c r="W18">
        <v>1389.3</v>
      </c>
    </row>
    <row r="19" spans="1:26" x14ac:dyDescent="0.25">
      <c r="A19">
        <v>6360</v>
      </c>
      <c r="B19">
        <v>24170</v>
      </c>
      <c r="C19" s="1">
        <v>42964</v>
      </c>
      <c r="G19">
        <v>19.100000000000001</v>
      </c>
      <c r="H19">
        <v>16.2</v>
      </c>
      <c r="I19">
        <v>21.2</v>
      </c>
      <c r="M19">
        <v>13</v>
      </c>
      <c r="N19">
        <v>0.9</v>
      </c>
      <c r="O19">
        <f t="shared" si="0"/>
        <v>12.1</v>
      </c>
      <c r="P19">
        <f t="shared" si="3"/>
        <v>48.6</v>
      </c>
      <c r="S19">
        <f t="shared" si="1"/>
        <v>0</v>
      </c>
      <c r="T19">
        <f t="shared" si="2"/>
        <v>13</v>
      </c>
      <c r="W19">
        <v>485.7</v>
      </c>
    </row>
    <row r="20" spans="1:26" x14ac:dyDescent="0.25">
      <c r="A20">
        <v>6360</v>
      </c>
      <c r="B20">
        <v>24170</v>
      </c>
      <c r="C20" s="1">
        <v>42965</v>
      </c>
      <c r="G20">
        <v>17.3</v>
      </c>
      <c r="H20">
        <v>17.3</v>
      </c>
      <c r="I20">
        <v>18.2</v>
      </c>
      <c r="M20">
        <v>7.1</v>
      </c>
      <c r="N20">
        <v>1</v>
      </c>
      <c r="O20">
        <f t="shared" si="0"/>
        <v>6.1</v>
      </c>
      <c r="P20">
        <f t="shared" si="3"/>
        <v>54.7</v>
      </c>
      <c r="S20">
        <f t="shared" si="1"/>
        <v>0</v>
      </c>
      <c r="T20">
        <f t="shared" si="2"/>
        <v>7.1</v>
      </c>
      <c r="W20">
        <v>482.7</v>
      </c>
    </row>
    <row r="21" spans="1:26" x14ac:dyDescent="0.25">
      <c r="A21">
        <v>6360</v>
      </c>
      <c r="B21">
        <v>24170</v>
      </c>
      <c r="C21" s="1">
        <v>42966</v>
      </c>
      <c r="G21">
        <v>15.7</v>
      </c>
      <c r="H21">
        <v>12.1</v>
      </c>
      <c r="I21">
        <v>19.600000000000001</v>
      </c>
      <c r="M21">
        <v>0.1</v>
      </c>
      <c r="N21">
        <v>3</v>
      </c>
      <c r="O21">
        <f t="shared" si="0"/>
        <v>-2.9</v>
      </c>
      <c r="P21">
        <f t="shared" si="3"/>
        <v>51.800000000000004</v>
      </c>
      <c r="S21">
        <f t="shared" si="1"/>
        <v>0</v>
      </c>
      <c r="T21">
        <f t="shared" si="2"/>
        <v>0.1</v>
      </c>
      <c r="W21">
        <v>1633.1</v>
      </c>
    </row>
    <row r="22" spans="1:26" x14ac:dyDescent="0.25">
      <c r="A22">
        <v>6360</v>
      </c>
      <c r="B22">
        <v>24170</v>
      </c>
      <c r="C22" s="1">
        <v>42967</v>
      </c>
      <c r="G22">
        <v>16.3</v>
      </c>
      <c r="H22">
        <v>10.7</v>
      </c>
      <c r="I22">
        <v>20.100000000000001</v>
      </c>
      <c r="M22">
        <v>0</v>
      </c>
      <c r="N22">
        <v>2.5</v>
      </c>
      <c r="O22">
        <f t="shared" si="0"/>
        <v>-2.5</v>
      </c>
      <c r="P22">
        <f t="shared" si="3"/>
        <v>49.300000000000004</v>
      </c>
      <c r="S22">
        <f t="shared" si="1"/>
        <v>0</v>
      </c>
      <c r="T22">
        <f t="shared" si="2"/>
        <v>0</v>
      </c>
      <c r="W22">
        <v>1303.2</v>
      </c>
    </row>
    <row r="23" spans="1:26" x14ac:dyDescent="0.25">
      <c r="A23">
        <v>6360</v>
      </c>
      <c r="B23">
        <v>24170</v>
      </c>
      <c r="C23" s="1">
        <v>42968</v>
      </c>
      <c r="G23">
        <v>19</v>
      </c>
      <c r="H23">
        <v>16.100000000000001</v>
      </c>
      <c r="I23">
        <v>22.3</v>
      </c>
      <c r="M23">
        <v>0</v>
      </c>
      <c r="N23">
        <v>1.7</v>
      </c>
      <c r="O23">
        <f t="shared" si="0"/>
        <v>-1.7</v>
      </c>
      <c r="P23">
        <f t="shared" si="3"/>
        <v>47.6</v>
      </c>
      <c r="S23">
        <f t="shared" si="1"/>
        <v>0</v>
      </c>
      <c r="T23">
        <f t="shared" si="2"/>
        <v>0</v>
      </c>
      <c r="W23">
        <v>628.4</v>
      </c>
    </row>
    <row r="24" spans="1:26" x14ac:dyDescent="0.25">
      <c r="A24">
        <v>6360</v>
      </c>
      <c r="B24">
        <v>24170</v>
      </c>
      <c r="C24" s="1">
        <v>42969</v>
      </c>
      <c r="G24">
        <v>21.3</v>
      </c>
      <c r="H24">
        <v>15.8</v>
      </c>
      <c r="I24">
        <v>25.8</v>
      </c>
      <c r="M24">
        <v>0</v>
      </c>
      <c r="N24">
        <v>3.3</v>
      </c>
      <c r="O24">
        <f t="shared" si="0"/>
        <v>-3.3</v>
      </c>
      <c r="P24">
        <f t="shared" si="3"/>
        <v>44.300000000000004</v>
      </c>
      <c r="S24">
        <f t="shared" si="1"/>
        <v>0</v>
      </c>
      <c r="T24">
        <f t="shared" si="2"/>
        <v>0</v>
      </c>
      <c r="W24">
        <v>1624.4</v>
      </c>
    </row>
    <row r="25" spans="1:26" x14ac:dyDescent="0.25">
      <c r="A25">
        <v>6360</v>
      </c>
      <c r="B25">
        <v>24170</v>
      </c>
      <c r="C25" s="1">
        <v>42970</v>
      </c>
      <c r="G25">
        <v>20</v>
      </c>
      <c r="H25">
        <v>18.2</v>
      </c>
      <c r="I25">
        <v>24.3</v>
      </c>
      <c r="M25">
        <v>0</v>
      </c>
      <c r="N25">
        <v>3.5</v>
      </c>
      <c r="O25">
        <f t="shared" si="0"/>
        <v>-3.5</v>
      </c>
      <c r="P25">
        <f t="shared" si="3"/>
        <v>40.800000000000004</v>
      </c>
      <c r="S25">
        <f t="shared" si="1"/>
        <v>0</v>
      </c>
      <c r="T25">
        <f t="shared" si="2"/>
        <v>0</v>
      </c>
      <c r="W25">
        <v>1585.8</v>
      </c>
    </row>
    <row r="26" spans="1:26" x14ac:dyDescent="0.25">
      <c r="A26">
        <v>6360</v>
      </c>
      <c r="B26">
        <v>24170</v>
      </c>
      <c r="C26" s="1">
        <v>42971</v>
      </c>
      <c r="G26">
        <v>18.2</v>
      </c>
      <c r="H26">
        <v>13</v>
      </c>
      <c r="I26">
        <v>21.7</v>
      </c>
      <c r="M26">
        <v>0</v>
      </c>
      <c r="N26">
        <v>2.1</v>
      </c>
      <c r="O26">
        <f t="shared" si="0"/>
        <v>-2.1</v>
      </c>
      <c r="P26">
        <f t="shared" si="3"/>
        <v>38.700000000000003</v>
      </c>
      <c r="S26">
        <f t="shared" si="1"/>
        <v>0</v>
      </c>
      <c r="T26">
        <f t="shared" si="2"/>
        <v>0</v>
      </c>
      <c r="W26">
        <v>1122.0999999999999</v>
      </c>
    </row>
    <row r="27" spans="1:26" x14ac:dyDescent="0.25">
      <c r="A27">
        <v>6360</v>
      </c>
      <c r="B27">
        <v>24170</v>
      </c>
      <c r="C27" s="1">
        <v>42972</v>
      </c>
      <c r="G27">
        <v>18.600000000000001</v>
      </c>
      <c r="H27">
        <v>17</v>
      </c>
      <c r="I27">
        <v>21.3</v>
      </c>
      <c r="M27">
        <v>31.3</v>
      </c>
      <c r="N27">
        <v>1.6</v>
      </c>
      <c r="O27">
        <f t="shared" si="0"/>
        <v>29.7</v>
      </c>
      <c r="P27">
        <f t="shared" si="3"/>
        <v>68.400000000000006</v>
      </c>
      <c r="S27">
        <f t="shared" si="1"/>
        <v>0</v>
      </c>
      <c r="T27">
        <f t="shared" si="2"/>
        <v>31.3</v>
      </c>
      <c r="W27">
        <v>635.79999999999995</v>
      </c>
    </row>
    <row r="28" spans="1:26" x14ac:dyDescent="0.25">
      <c r="A28">
        <v>6360</v>
      </c>
      <c r="B28">
        <v>24170</v>
      </c>
      <c r="C28" s="1">
        <v>42973</v>
      </c>
      <c r="G28">
        <v>21.3</v>
      </c>
      <c r="H28">
        <v>17.100000000000001</v>
      </c>
      <c r="I28">
        <v>25.4</v>
      </c>
      <c r="M28">
        <v>0.4</v>
      </c>
      <c r="N28">
        <v>2.6</v>
      </c>
      <c r="O28">
        <f t="shared" si="0"/>
        <v>-2.2000000000000002</v>
      </c>
      <c r="P28">
        <f t="shared" si="3"/>
        <v>66.2</v>
      </c>
      <c r="S28">
        <f t="shared" si="1"/>
        <v>0</v>
      </c>
      <c r="T28">
        <f t="shared" si="2"/>
        <v>0.4</v>
      </c>
      <c r="W28">
        <v>1316.4</v>
      </c>
    </row>
    <row r="29" spans="1:26" x14ac:dyDescent="0.25">
      <c r="A29">
        <v>6360</v>
      </c>
      <c r="B29">
        <v>24170</v>
      </c>
      <c r="C29" s="1">
        <v>42974</v>
      </c>
      <c r="G29">
        <v>21.7</v>
      </c>
      <c r="H29">
        <v>17.600000000000001</v>
      </c>
      <c r="I29">
        <v>26.2</v>
      </c>
      <c r="M29">
        <v>3.6</v>
      </c>
      <c r="N29">
        <v>3.4</v>
      </c>
      <c r="O29">
        <f t="shared" si="0"/>
        <v>0.20000000000000018</v>
      </c>
      <c r="P29">
        <f t="shared" si="3"/>
        <v>66.400000000000006</v>
      </c>
      <c r="S29">
        <f t="shared" si="1"/>
        <v>0</v>
      </c>
      <c r="T29">
        <f t="shared" si="2"/>
        <v>3.6</v>
      </c>
      <c r="W29">
        <v>1614.3</v>
      </c>
    </row>
    <row r="30" spans="1:26" x14ac:dyDescent="0.25">
      <c r="A30">
        <v>6360</v>
      </c>
      <c r="B30">
        <v>24170</v>
      </c>
      <c r="C30" s="1">
        <v>42975</v>
      </c>
      <c r="G30">
        <v>22.8</v>
      </c>
      <c r="H30">
        <v>18.100000000000001</v>
      </c>
      <c r="I30">
        <v>28</v>
      </c>
      <c r="M30">
        <v>0</v>
      </c>
      <c r="N30">
        <v>4</v>
      </c>
      <c r="O30">
        <f t="shared" si="0"/>
        <v>-4</v>
      </c>
      <c r="P30">
        <f t="shared" si="3"/>
        <v>62.400000000000006</v>
      </c>
      <c r="S30">
        <f t="shared" si="1"/>
        <v>0</v>
      </c>
      <c r="T30">
        <f t="shared" si="2"/>
        <v>0</v>
      </c>
      <c r="W30">
        <v>1792.3</v>
      </c>
    </row>
    <row r="31" spans="1:26" s="6" customFormat="1" ht="15.75" thickBot="1" x14ac:dyDescent="0.3">
      <c r="A31" s="6">
        <v>6360</v>
      </c>
      <c r="B31" s="6">
        <v>24170</v>
      </c>
      <c r="C31" s="7">
        <v>42976</v>
      </c>
      <c r="G31" s="6">
        <v>24.6</v>
      </c>
      <c r="H31" s="6">
        <v>18.600000000000001</v>
      </c>
      <c r="I31" s="6">
        <v>30</v>
      </c>
      <c r="M31" s="6">
        <v>0</v>
      </c>
      <c r="N31" s="6">
        <v>4.2</v>
      </c>
      <c r="O31" s="6">
        <f t="shared" si="0"/>
        <v>-4.2</v>
      </c>
      <c r="P31" s="8">
        <f t="shared" si="3"/>
        <v>58.2</v>
      </c>
      <c r="S31" s="6">
        <f t="shared" si="1"/>
        <v>0</v>
      </c>
      <c r="T31" s="6">
        <f t="shared" si="2"/>
        <v>0</v>
      </c>
      <c r="W31" s="6">
        <v>1761.7</v>
      </c>
    </row>
    <row r="32" spans="1:26" x14ac:dyDescent="0.25">
      <c r="A32">
        <v>6360</v>
      </c>
      <c r="B32">
        <v>24170</v>
      </c>
      <c r="C32" s="1">
        <v>42977</v>
      </c>
      <c r="D32" t="s">
        <v>29</v>
      </c>
      <c r="F32" s="49" t="s">
        <v>60</v>
      </c>
      <c r="G32">
        <v>18.600000000000001</v>
      </c>
      <c r="H32">
        <v>15.8</v>
      </c>
      <c r="I32">
        <v>22.5</v>
      </c>
      <c r="J32">
        <f>G32</f>
        <v>18.600000000000001</v>
      </c>
      <c r="K32">
        <f>G32</f>
        <v>18.600000000000001</v>
      </c>
      <c r="L32" s="11" t="s">
        <v>38</v>
      </c>
      <c r="M32">
        <v>3.8</v>
      </c>
      <c r="N32">
        <v>1.2</v>
      </c>
      <c r="O32">
        <f t="shared" si="0"/>
        <v>2.5999999999999996</v>
      </c>
      <c r="Q32">
        <v>1</v>
      </c>
      <c r="R32">
        <v>0.35</v>
      </c>
      <c r="S32">
        <f t="shared" si="1"/>
        <v>0.42</v>
      </c>
      <c r="T32">
        <f t="shared" si="2"/>
        <v>3.38</v>
      </c>
      <c r="U32">
        <f>P31+T32</f>
        <v>61.580000000000005</v>
      </c>
      <c r="V32" s="15" t="s">
        <v>45</v>
      </c>
      <c r="W32">
        <v>535.70000000000005</v>
      </c>
      <c r="X32">
        <f>W32</f>
        <v>535.70000000000005</v>
      </c>
      <c r="Y32">
        <v>13.305085745166945</v>
      </c>
      <c r="Z32" s="15" t="s">
        <v>50</v>
      </c>
    </row>
    <row r="33" spans="1:26" x14ac:dyDescent="0.25">
      <c r="A33">
        <v>6360</v>
      </c>
      <c r="B33">
        <v>24170</v>
      </c>
      <c r="C33" s="1">
        <v>42978</v>
      </c>
      <c r="F33" s="50"/>
      <c r="G33">
        <v>15.4</v>
      </c>
      <c r="H33">
        <v>12</v>
      </c>
      <c r="I33">
        <v>19.3</v>
      </c>
      <c r="J33">
        <f>J32+G33</f>
        <v>34</v>
      </c>
      <c r="K33">
        <f>K32+G33</f>
        <v>34</v>
      </c>
      <c r="L33" s="12">
        <v>1086.7</v>
      </c>
      <c r="M33">
        <v>0</v>
      </c>
      <c r="N33">
        <v>2.9</v>
      </c>
      <c r="O33">
        <f t="shared" si="0"/>
        <v>-2.9</v>
      </c>
      <c r="Q33">
        <v>2</v>
      </c>
      <c r="R33">
        <v>0.35</v>
      </c>
      <c r="S33">
        <f t="shared" si="1"/>
        <v>1.0149999999999999</v>
      </c>
      <c r="T33">
        <f t="shared" si="2"/>
        <v>-1.0149999999999999</v>
      </c>
      <c r="U33">
        <f>MIN(U32+T33,179.3)</f>
        <v>60.565000000000005</v>
      </c>
      <c r="V33">
        <v>0</v>
      </c>
      <c r="W33">
        <v>1554.5</v>
      </c>
      <c r="X33">
        <f>X32+W33</f>
        <v>2090.1999999999998</v>
      </c>
      <c r="Y33">
        <v>13.245649835930276</v>
      </c>
      <c r="Z33">
        <v>59416.1</v>
      </c>
    </row>
    <row r="34" spans="1:26" x14ac:dyDescent="0.25">
      <c r="A34">
        <v>6360</v>
      </c>
      <c r="B34">
        <v>24170</v>
      </c>
      <c r="C34" s="1">
        <v>42979</v>
      </c>
      <c r="F34" s="50"/>
      <c r="G34">
        <v>15.1</v>
      </c>
      <c r="H34">
        <v>12.6</v>
      </c>
      <c r="I34">
        <v>18.899999999999999</v>
      </c>
      <c r="J34">
        <f t="shared" ref="J34:J97" si="4">J33+G34</f>
        <v>49.1</v>
      </c>
      <c r="K34">
        <f t="shared" ref="K34:K97" si="5">K33+G34</f>
        <v>49.1</v>
      </c>
      <c r="L34" s="11" t="s">
        <v>39</v>
      </c>
      <c r="M34">
        <v>0.3</v>
      </c>
      <c r="N34">
        <v>1.6</v>
      </c>
      <c r="O34">
        <f t="shared" si="0"/>
        <v>-1.3</v>
      </c>
      <c r="Q34">
        <v>3</v>
      </c>
      <c r="R34">
        <v>0.35</v>
      </c>
      <c r="S34">
        <f t="shared" si="1"/>
        <v>0.55999999999999994</v>
      </c>
      <c r="T34">
        <f t="shared" si="2"/>
        <v>-0.25999999999999995</v>
      </c>
      <c r="U34">
        <f t="shared" ref="U34:U97" si="6">MIN(U33+T34,179.3)</f>
        <v>60.305000000000007</v>
      </c>
      <c r="V34" s="15" t="s">
        <v>46</v>
      </c>
      <c r="W34">
        <v>1078.8</v>
      </c>
      <c r="X34">
        <f t="shared" ref="X34:X97" si="7">X33+W34</f>
        <v>3169</v>
      </c>
      <c r="Y34">
        <v>13.186024875621438</v>
      </c>
      <c r="Z34" s="15" t="s">
        <v>51</v>
      </c>
    </row>
    <row r="35" spans="1:26" x14ac:dyDescent="0.25">
      <c r="A35">
        <v>6360</v>
      </c>
      <c r="B35">
        <v>24170</v>
      </c>
      <c r="C35" s="1">
        <v>42980</v>
      </c>
      <c r="F35" s="50"/>
      <c r="G35">
        <v>14.8</v>
      </c>
      <c r="H35">
        <v>12</v>
      </c>
      <c r="I35">
        <v>18.7</v>
      </c>
      <c r="J35">
        <f t="shared" si="4"/>
        <v>63.900000000000006</v>
      </c>
      <c r="K35">
        <f t="shared" si="5"/>
        <v>63.900000000000006</v>
      </c>
      <c r="L35" s="13">
        <f>AVERAGE(G32:G122)</f>
        <v>11.941758241758247</v>
      </c>
      <c r="M35">
        <v>0.4</v>
      </c>
      <c r="N35">
        <v>3.3</v>
      </c>
      <c r="O35">
        <f t="shared" si="0"/>
        <v>-2.9</v>
      </c>
      <c r="Q35">
        <v>4</v>
      </c>
      <c r="R35">
        <v>0.35</v>
      </c>
      <c r="S35">
        <f t="shared" si="1"/>
        <v>1.1549999999999998</v>
      </c>
      <c r="T35">
        <f t="shared" si="2"/>
        <v>-0.75499999999999978</v>
      </c>
      <c r="U35">
        <f t="shared" si="6"/>
        <v>59.550000000000004</v>
      </c>
      <c r="V35">
        <v>6</v>
      </c>
      <c r="W35">
        <v>1808.2</v>
      </c>
      <c r="X35">
        <f t="shared" si="7"/>
        <v>4977.2</v>
      </c>
      <c r="Y35">
        <v>13.126222078469397</v>
      </c>
      <c r="Z35">
        <f>(Z33/100)/L33</f>
        <v>0.54675715468850639</v>
      </c>
    </row>
    <row r="36" spans="1:26" x14ac:dyDescent="0.25">
      <c r="A36">
        <v>6360</v>
      </c>
      <c r="B36">
        <v>24170</v>
      </c>
      <c r="C36" s="1">
        <v>42981</v>
      </c>
      <c r="F36" s="50"/>
      <c r="G36">
        <v>15.2</v>
      </c>
      <c r="H36">
        <v>9.6</v>
      </c>
      <c r="I36">
        <v>20</v>
      </c>
      <c r="J36">
        <f t="shared" si="4"/>
        <v>79.100000000000009</v>
      </c>
      <c r="K36">
        <f t="shared" si="5"/>
        <v>79.100000000000009</v>
      </c>
      <c r="L36" s="11" t="s">
        <v>40</v>
      </c>
      <c r="M36">
        <v>0</v>
      </c>
      <c r="N36">
        <v>2.1</v>
      </c>
      <c r="O36">
        <f t="shared" si="0"/>
        <v>-2.1</v>
      </c>
      <c r="Q36">
        <v>5</v>
      </c>
      <c r="R36">
        <v>0.35</v>
      </c>
      <c r="S36">
        <f t="shared" si="1"/>
        <v>0.73499999999999999</v>
      </c>
      <c r="T36">
        <f t="shared" si="2"/>
        <v>-0.73499999999999999</v>
      </c>
      <c r="U36">
        <f t="shared" si="6"/>
        <v>58.815000000000005</v>
      </c>
      <c r="V36" s="15" t="s">
        <v>47</v>
      </c>
      <c r="W36">
        <v>1124.5</v>
      </c>
      <c r="X36">
        <f t="shared" si="7"/>
        <v>6101.7</v>
      </c>
      <c r="Y36">
        <v>13.066252365350364</v>
      </c>
      <c r="Z36" s="15" t="s">
        <v>52</v>
      </c>
    </row>
    <row r="37" spans="1:26" x14ac:dyDescent="0.25">
      <c r="A37">
        <v>6360</v>
      </c>
      <c r="B37">
        <v>24170</v>
      </c>
      <c r="C37" s="1">
        <v>42982</v>
      </c>
      <c r="F37" s="50"/>
      <c r="G37">
        <v>19.600000000000001</v>
      </c>
      <c r="H37">
        <v>15.7</v>
      </c>
      <c r="I37">
        <v>22.6</v>
      </c>
      <c r="J37">
        <f t="shared" si="4"/>
        <v>98.700000000000017</v>
      </c>
      <c r="K37">
        <f t="shared" si="5"/>
        <v>98.700000000000017</v>
      </c>
      <c r="L37" s="14">
        <f>MIN(H32:H122)</f>
        <v>-0.9</v>
      </c>
      <c r="M37">
        <v>0</v>
      </c>
      <c r="N37">
        <v>2.2999999999999998</v>
      </c>
      <c r="O37">
        <f t="shared" si="0"/>
        <v>-2.2999999999999998</v>
      </c>
      <c r="Q37">
        <v>6</v>
      </c>
      <c r="R37">
        <v>0.35</v>
      </c>
      <c r="S37">
        <f t="shared" si="1"/>
        <v>0.80499999999999994</v>
      </c>
      <c r="T37">
        <f t="shared" si="2"/>
        <v>-0.80499999999999994</v>
      </c>
      <c r="U37">
        <f t="shared" si="6"/>
        <v>58.010000000000005</v>
      </c>
      <c r="V37" s="2">
        <f>MIN(U32:U122)</f>
        <v>55.967469879518077</v>
      </c>
      <c r="W37">
        <v>1066.0999999999999</v>
      </c>
      <c r="X37">
        <f t="shared" si="7"/>
        <v>7167.7999999999993</v>
      </c>
      <c r="Y37">
        <v>13.006126377301541</v>
      </c>
      <c r="Z37">
        <v>66</v>
      </c>
    </row>
    <row r="38" spans="1:26" x14ac:dyDescent="0.25">
      <c r="A38">
        <v>6360</v>
      </c>
      <c r="B38">
        <v>24170</v>
      </c>
      <c r="C38" s="1">
        <v>42983</v>
      </c>
      <c r="F38" s="50"/>
      <c r="G38">
        <v>19.399999999999999</v>
      </c>
      <c r="H38">
        <v>18.3</v>
      </c>
      <c r="I38">
        <v>20.8</v>
      </c>
      <c r="J38">
        <f t="shared" si="4"/>
        <v>118.10000000000002</v>
      </c>
      <c r="K38">
        <f t="shared" si="5"/>
        <v>118.10000000000002</v>
      </c>
      <c r="L38" s="11" t="s">
        <v>41</v>
      </c>
      <c r="M38">
        <v>0</v>
      </c>
      <c r="N38">
        <v>1.7</v>
      </c>
      <c r="O38">
        <f t="shared" si="0"/>
        <v>-1.7</v>
      </c>
      <c r="Q38">
        <v>7</v>
      </c>
      <c r="R38">
        <v>0.35</v>
      </c>
      <c r="S38">
        <f t="shared" si="1"/>
        <v>0.59499999999999997</v>
      </c>
      <c r="T38">
        <f t="shared" si="2"/>
        <v>-0.59499999999999997</v>
      </c>
      <c r="U38">
        <f t="shared" si="6"/>
        <v>57.415000000000006</v>
      </c>
      <c r="V38" s="15" t="s">
        <v>48</v>
      </c>
      <c r="W38">
        <v>522.1</v>
      </c>
      <c r="X38">
        <f t="shared" si="7"/>
        <v>7689.9</v>
      </c>
      <c r="Y38">
        <v>12.945854489322299</v>
      </c>
    </row>
    <row r="39" spans="1:26" x14ac:dyDescent="0.25">
      <c r="A39">
        <v>6360</v>
      </c>
      <c r="B39">
        <v>24170</v>
      </c>
      <c r="C39" s="1">
        <v>42984</v>
      </c>
      <c r="D39" t="s">
        <v>30</v>
      </c>
      <c r="F39" s="50"/>
      <c r="G39">
        <v>16.899999999999999</v>
      </c>
      <c r="H39">
        <v>14.5</v>
      </c>
      <c r="I39">
        <v>18.7</v>
      </c>
      <c r="J39">
        <f t="shared" si="4"/>
        <v>135.00000000000003</v>
      </c>
      <c r="K39">
        <f t="shared" si="5"/>
        <v>135.00000000000003</v>
      </c>
      <c r="L39" s="12">
        <f>MAX(I32:I122)</f>
        <v>23.1</v>
      </c>
      <c r="M39">
        <v>0</v>
      </c>
      <c r="N39">
        <v>2.5</v>
      </c>
      <c r="O39">
        <f t="shared" si="0"/>
        <v>-2.5</v>
      </c>
      <c r="Q39">
        <v>8</v>
      </c>
      <c r="R39">
        <v>0.35</v>
      </c>
      <c r="S39">
        <f t="shared" si="1"/>
        <v>0.875</v>
      </c>
      <c r="T39">
        <f t="shared" si="2"/>
        <v>-0.875</v>
      </c>
      <c r="U39">
        <f t="shared" si="6"/>
        <v>56.540000000000006</v>
      </c>
      <c r="V39" s="2">
        <f>MAX(U32:U122)</f>
        <v>179.3</v>
      </c>
      <c r="W39">
        <v>1140.5</v>
      </c>
      <c r="X39">
        <f t="shared" si="7"/>
        <v>8830.4</v>
      </c>
      <c r="Y39">
        <v>12.885446824434901</v>
      </c>
    </row>
    <row r="40" spans="1:26" x14ac:dyDescent="0.25">
      <c r="A40">
        <v>6360</v>
      </c>
      <c r="B40">
        <v>24170</v>
      </c>
      <c r="C40" s="1">
        <v>42985</v>
      </c>
      <c r="F40" s="50"/>
      <c r="G40">
        <v>15.6</v>
      </c>
      <c r="H40">
        <v>12.5</v>
      </c>
      <c r="I40">
        <v>17.5</v>
      </c>
      <c r="J40">
        <f t="shared" si="4"/>
        <v>150.60000000000002</v>
      </c>
      <c r="K40">
        <f t="shared" si="5"/>
        <v>150.60000000000002</v>
      </c>
      <c r="L40" s="11" t="s">
        <v>42</v>
      </c>
      <c r="M40">
        <v>0</v>
      </c>
      <c r="N40">
        <v>1.6</v>
      </c>
      <c r="O40">
        <f t="shared" si="0"/>
        <v>-1.6</v>
      </c>
      <c r="Q40">
        <v>9</v>
      </c>
      <c r="R40">
        <f>0.35+((Q40-8)/83)*(1-0.35)</f>
        <v>0.35783132530120482</v>
      </c>
      <c r="S40">
        <f t="shared" si="1"/>
        <v>0.57253012048192775</v>
      </c>
      <c r="T40">
        <f t="shared" si="2"/>
        <v>-0.57253012048192775</v>
      </c>
      <c r="U40">
        <f t="shared" si="6"/>
        <v>55.967469879518077</v>
      </c>
      <c r="V40" s="15" t="s">
        <v>49</v>
      </c>
      <c r="W40">
        <v>895.5</v>
      </c>
      <c r="X40">
        <f t="shared" si="7"/>
        <v>9725.9</v>
      </c>
      <c r="Y40">
        <v>12.824913267978895</v>
      </c>
    </row>
    <row r="41" spans="1:26" x14ac:dyDescent="0.25">
      <c r="A41">
        <v>6360</v>
      </c>
      <c r="B41">
        <v>24170</v>
      </c>
      <c r="C41" s="1">
        <v>42986</v>
      </c>
      <c r="F41" s="50"/>
      <c r="G41">
        <v>15.7</v>
      </c>
      <c r="H41">
        <v>15</v>
      </c>
      <c r="I41">
        <v>17.3</v>
      </c>
      <c r="J41">
        <f t="shared" si="4"/>
        <v>166.3</v>
      </c>
      <c r="K41">
        <f t="shared" si="5"/>
        <v>166.3</v>
      </c>
      <c r="L41" s="12">
        <v>0</v>
      </c>
      <c r="M41">
        <v>20.399999999999999</v>
      </c>
      <c r="N41">
        <v>1.7</v>
      </c>
      <c r="O41">
        <f t="shared" si="0"/>
        <v>18.7</v>
      </c>
      <c r="Q41">
        <v>10</v>
      </c>
      <c r="R41">
        <f t="shared" ref="R41:R104" si="8">0.35+((Q41-8)/83)*(1-0.35)</f>
        <v>0.3656626506024096</v>
      </c>
      <c r="S41">
        <f t="shared" si="1"/>
        <v>0.6216265060240963</v>
      </c>
      <c r="T41">
        <f t="shared" si="2"/>
        <v>19.778373493975902</v>
      </c>
      <c r="U41">
        <f t="shared" si="6"/>
        <v>75.745843373493983</v>
      </c>
      <c r="V41" s="2">
        <f>AVERAGE(U32:U122)</f>
        <v>143.51993115318416</v>
      </c>
      <c r="W41">
        <v>565.20000000000005</v>
      </c>
      <c r="X41">
        <f t="shared" si="7"/>
        <v>10291.1</v>
      </c>
      <c r="Y41">
        <v>12.764263482115272</v>
      </c>
    </row>
    <row r="42" spans="1:26" x14ac:dyDescent="0.25">
      <c r="A42">
        <v>6360</v>
      </c>
      <c r="B42">
        <v>24170</v>
      </c>
      <c r="C42" s="1">
        <v>42987</v>
      </c>
      <c r="F42" s="50"/>
      <c r="G42">
        <v>13.6</v>
      </c>
      <c r="H42">
        <v>13.2</v>
      </c>
      <c r="I42">
        <v>15.3</v>
      </c>
      <c r="J42">
        <f t="shared" si="4"/>
        <v>179.9</v>
      </c>
      <c r="K42">
        <f t="shared" si="5"/>
        <v>179.9</v>
      </c>
      <c r="L42" s="11" t="s">
        <v>43</v>
      </c>
      <c r="M42">
        <v>5.4</v>
      </c>
      <c r="N42">
        <v>1.4</v>
      </c>
      <c r="O42">
        <f t="shared" si="0"/>
        <v>4</v>
      </c>
      <c r="Q42">
        <v>11</v>
      </c>
      <c r="R42">
        <f t="shared" si="8"/>
        <v>0.37349397590361444</v>
      </c>
      <c r="S42">
        <f t="shared" si="1"/>
        <v>0.52289156626506017</v>
      </c>
      <c r="T42">
        <f t="shared" si="2"/>
        <v>4.8771084337349402</v>
      </c>
      <c r="U42">
        <f t="shared" si="6"/>
        <v>80.62295180722893</v>
      </c>
      <c r="W42">
        <v>579.4</v>
      </c>
      <c r="X42">
        <f t="shared" si="7"/>
        <v>10870.5</v>
      </c>
      <c r="Y42">
        <v>12.703506920518249</v>
      </c>
    </row>
    <row r="43" spans="1:26" x14ac:dyDescent="0.25">
      <c r="A43">
        <v>6360</v>
      </c>
      <c r="B43">
        <v>24170</v>
      </c>
      <c r="C43" s="1">
        <v>42988</v>
      </c>
      <c r="F43" s="50"/>
      <c r="G43">
        <v>14.1</v>
      </c>
      <c r="H43">
        <v>10.1</v>
      </c>
      <c r="I43">
        <v>17</v>
      </c>
      <c r="J43">
        <f t="shared" si="4"/>
        <v>194</v>
      </c>
      <c r="K43">
        <f t="shared" si="5"/>
        <v>194</v>
      </c>
      <c r="L43" s="12">
        <v>17</v>
      </c>
      <c r="M43">
        <v>0.8</v>
      </c>
      <c r="N43">
        <v>1.6</v>
      </c>
      <c r="O43">
        <f t="shared" si="0"/>
        <v>-0.8</v>
      </c>
      <c r="Q43">
        <v>12</v>
      </c>
      <c r="R43">
        <f t="shared" si="8"/>
        <v>0.38132530120481928</v>
      </c>
      <c r="S43">
        <f t="shared" si="1"/>
        <v>0.61012048192771084</v>
      </c>
      <c r="T43">
        <f t="shared" si="2"/>
        <v>0.1898795180722892</v>
      </c>
      <c r="U43">
        <f t="shared" si="6"/>
        <v>80.812831325301218</v>
      </c>
      <c r="V43" s="16">
        <f>(V41*100)/179.3</f>
        <v>80.044579561173535</v>
      </c>
      <c r="W43">
        <v>898.8</v>
      </c>
      <c r="X43">
        <f t="shared" si="7"/>
        <v>11769.3</v>
      </c>
      <c r="Y43">
        <v>12.642652843234337</v>
      </c>
    </row>
    <row r="44" spans="1:26" x14ac:dyDescent="0.25">
      <c r="A44">
        <v>6360</v>
      </c>
      <c r="B44">
        <v>24170</v>
      </c>
      <c r="C44" s="1">
        <v>42989</v>
      </c>
      <c r="F44" s="50"/>
      <c r="G44">
        <v>14.5</v>
      </c>
      <c r="H44">
        <v>12</v>
      </c>
      <c r="I44">
        <v>16.600000000000001</v>
      </c>
      <c r="J44">
        <f t="shared" si="4"/>
        <v>208.5</v>
      </c>
      <c r="K44">
        <f t="shared" si="5"/>
        <v>208.5</v>
      </c>
      <c r="L44" s="11" t="s">
        <v>44</v>
      </c>
      <c r="M44">
        <v>0</v>
      </c>
      <c r="N44">
        <v>2.4</v>
      </c>
      <c r="O44">
        <f t="shared" si="0"/>
        <v>-2.4</v>
      </c>
      <c r="Q44">
        <v>13</v>
      </c>
      <c r="R44">
        <f t="shared" si="8"/>
        <v>0.38915662650602406</v>
      </c>
      <c r="S44">
        <f t="shared" si="1"/>
        <v>0.9339759036144577</v>
      </c>
      <c r="T44">
        <f t="shared" si="2"/>
        <v>-0.9339759036144577</v>
      </c>
      <c r="U44">
        <f t="shared" si="6"/>
        <v>79.878855421686765</v>
      </c>
      <c r="W44">
        <v>1023.5</v>
      </c>
      <c r="X44">
        <f t="shared" si="7"/>
        <v>12792.8</v>
      </c>
      <c r="Y44">
        <v>12.581710331689843</v>
      </c>
    </row>
    <row r="45" spans="1:26" x14ac:dyDescent="0.25">
      <c r="A45">
        <v>6360</v>
      </c>
      <c r="B45">
        <v>24170</v>
      </c>
      <c r="C45" s="1">
        <v>42990</v>
      </c>
      <c r="F45" s="50"/>
      <c r="G45">
        <v>14.5</v>
      </c>
      <c r="H45">
        <v>11.6</v>
      </c>
      <c r="I45">
        <v>17.399999999999999</v>
      </c>
      <c r="J45">
        <f t="shared" si="4"/>
        <v>223</v>
      </c>
      <c r="K45">
        <f t="shared" si="5"/>
        <v>223</v>
      </c>
      <c r="L45" s="12">
        <v>2</v>
      </c>
      <c r="M45">
        <v>2.2999999999999998</v>
      </c>
      <c r="N45">
        <v>2.2000000000000002</v>
      </c>
      <c r="O45">
        <f t="shared" si="0"/>
        <v>9.9999999999999645E-2</v>
      </c>
      <c r="Q45">
        <v>14</v>
      </c>
      <c r="R45">
        <f t="shared" si="8"/>
        <v>0.3969879518072289</v>
      </c>
      <c r="S45">
        <f t="shared" si="1"/>
        <v>0.87337349397590369</v>
      </c>
      <c r="T45">
        <f t="shared" si="2"/>
        <v>1.4266265060240961</v>
      </c>
      <c r="U45">
        <f t="shared" si="6"/>
        <v>81.305481927710858</v>
      </c>
      <c r="W45">
        <v>949.6</v>
      </c>
      <c r="X45">
        <f t="shared" si="7"/>
        <v>13742.4</v>
      </c>
      <c r="Y45">
        <v>12.520688303829518</v>
      </c>
    </row>
    <row r="46" spans="1:26" x14ac:dyDescent="0.25">
      <c r="A46">
        <v>6360</v>
      </c>
      <c r="B46">
        <v>24170</v>
      </c>
      <c r="C46" s="1">
        <v>42991</v>
      </c>
      <c r="F46" s="50"/>
      <c r="G46">
        <v>14.2</v>
      </c>
      <c r="H46">
        <v>11.9</v>
      </c>
      <c r="I46">
        <v>16.399999999999999</v>
      </c>
      <c r="J46">
        <f t="shared" si="4"/>
        <v>237.2</v>
      </c>
      <c r="K46">
        <f t="shared" si="5"/>
        <v>237.2</v>
      </c>
      <c r="M46">
        <v>45.2</v>
      </c>
      <c r="N46">
        <v>1</v>
      </c>
      <c r="O46">
        <f t="shared" si="0"/>
        <v>44.2</v>
      </c>
      <c r="Q46">
        <v>15</v>
      </c>
      <c r="R46">
        <f t="shared" si="8"/>
        <v>0.40481927710843368</v>
      </c>
      <c r="S46">
        <f t="shared" si="1"/>
        <v>0.40481927710843368</v>
      </c>
      <c r="T46">
        <f t="shared" si="2"/>
        <v>44.795180722891573</v>
      </c>
      <c r="U46">
        <f t="shared" si="6"/>
        <v>126.10066265060243</v>
      </c>
      <c r="W46">
        <v>363</v>
      </c>
      <c r="X46">
        <f t="shared" si="7"/>
        <v>14105.4</v>
      </c>
      <c r="Y46">
        <v>12.459595529370404</v>
      </c>
    </row>
    <row r="47" spans="1:26" x14ac:dyDescent="0.25">
      <c r="A47">
        <v>6360</v>
      </c>
      <c r="B47">
        <v>24170</v>
      </c>
      <c r="C47" s="1">
        <v>42992</v>
      </c>
      <c r="F47" s="50"/>
      <c r="G47">
        <v>12.7</v>
      </c>
      <c r="H47">
        <v>11.4</v>
      </c>
      <c r="I47">
        <v>14.8</v>
      </c>
      <c r="J47">
        <f t="shared" si="4"/>
        <v>249.89999999999998</v>
      </c>
      <c r="K47">
        <f t="shared" si="5"/>
        <v>249.89999999999998</v>
      </c>
      <c r="M47">
        <v>1.6</v>
      </c>
      <c r="N47">
        <v>1.8</v>
      </c>
      <c r="O47">
        <f t="shared" si="0"/>
        <v>-0.19999999999999996</v>
      </c>
      <c r="Q47">
        <v>16</v>
      </c>
      <c r="R47">
        <f t="shared" si="8"/>
        <v>0.41265060240963852</v>
      </c>
      <c r="S47">
        <f t="shared" si="1"/>
        <v>0.7427710843373494</v>
      </c>
      <c r="T47">
        <f t="shared" si="2"/>
        <v>0.85722891566265069</v>
      </c>
      <c r="U47">
        <f t="shared" si="6"/>
        <v>126.95789156626508</v>
      </c>
      <c r="W47">
        <v>852.2</v>
      </c>
      <c r="X47">
        <f t="shared" si="7"/>
        <v>14957.6</v>
      </c>
      <c r="Y47">
        <v>12.398440645156137</v>
      </c>
    </row>
    <row r="48" spans="1:26" x14ac:dyDescent="0.25">
      <c r="A48">
        <v>6360</v>
      </c>
      <c r="B48">
        <v>24170</v>
      </c>
      <c r="C48" s="1">
        <v>42993</v>
      </c>
      <c r="F48" s="50"/>
      <c r="G48">
        <v>11.2</v>
      </c>
      <c r="H48">
        <v>8.6999999999999993</v>
      </c>
      <c r="I48">
        <v>14.6</v>
      </c>
      <c r="J48">
        <f t="shared" si="4"/>
        <v>261.09999999999997</v>
      </c>
      <c r="K48">
        <f t="shared" si="5"/>
        <v>261.09999999999997</v>
      </c>
      <c r="M48">
        <v>1.4</v>
      </c>
      <c r="N48">
        <v>2.2000000000000002</v>
      </c>
      <c r="O48">
        <f t="shared" si="0"/>
        <v>-0.80000000000000027</v>
      </c>
      <c r="Q48">
        <v>17</v>
      </c>
      <c r="R48">
        <f t="shared" si="8"/>
        <v>0.42048192771084336</v>
      </c>
      <c r="S48">
        <f t="shared" si="1"/>
        <v>0.92506024096385542</v>
      </c>
      <c r="T48">
        <f t="shared" si="2"/>
        <v>0.47493975903614449</v>
      </c>
      <c r="U48">
        <f t="shared" si="6"/>
        <v>127.43283132530122</v>
      </c>
      <c r="W48">
        <v>1501.8</v>
      </c>
      <c r="X48">
        <f t="shared" si="7"/>
        <v>16459.400000000001</v>
      </c>
      <c r="Y48">
        <v>12.337232170598144</v>
      </c>
    </row>
    <row r="49" spans="1:25" x14ac:dyDescent="0.25">
      <c r="A49">
        <v>6360</v>
      </c>
      <c r="B49">
        <v>24170</v>
      </c>
      <c r="C49" s="1">
        <v>42994</v>
      </c>
      <c r="F49" s="50"/>
      <c r="G49">
        <v>10.5</v>
      </c>
      <c r="H49">
        <v>6.3</v>
      </c>
      <c r="I49">
        <v>14.8</v>
      </c>
      <c r="J49">
        <f t="shared" si="4"/>
        <v>271.59999999999997</v>
      </c>
      <c r="K49">
        <f t="shared" si="5"/>
        <v>271.59999999999997</v>
      </c>
      <c r="M49">
        <v>0.5</v>
      </c>
      <c r="N49">
        <v>1.4</v>
      </c>
      <c r="O49">
        <f t="shared" si="0"/>
        <v>-0.89999999999999991</v>
      </c>
      <c r="Q49">
        <v>18</v>
      </c>
      <c r="R49">
        <f t="shared" si="8"/>
        <v>0.42831325301204815</v>
      </c>
      <c r="S49">
        <f t="shared" si="1"/>
        <v>0.5996385542168674</v>
      </c>
      <c r="T49">
        <f t="shared" si="2"/>
        <v>-9.9638554216867403E-2</v>
      </c>
      <c r="U49">
        <f t="shared" si="6"/>
        <v>127.33319277108436</v>
      </c>
      <c r="W49">
        <v>989.5</v>
      </c>
      <c r="X49">
        <f t="shared" si="7"/>
        <v>17448.900000000001</v>
      </c>
      <c r="Y49">
        <v>12.27597852319113</v>
      </c>
    </row>
    <row r="50" spans="1:25" x14ac:dyDescent="0.25">
      <c r="A50">
        <v>6360</v>
      </c>
      <c r="B50">
        <v>24170</v>
      </c>
      <c r="C50" s="1">
        <v>42995</v>
      </c>
      <c r="F50" s="50"/>
      <c r="G50">
        <v>10.8</v>
      </c>
      <c r="H50">
        <v>8.4</v>
      </c>
      <c r="I50">
        <v>14.2</v>
      </c>
      <c r="J50">
        <f t="shared" si="4"/>
        <v>282.39999999999998</v>
      </c>
      <c r="K50">
        <f t="shared" si="5"/>
        <v>282.39999999999998</v>
      </c>
      <c r="M50">
        <v>0.2</v>
      </c>
      <c r="N50">
        <v>1.6</v>
      </c>
      <c r="O50">
        <f t="shared" si="0"/>
        <v>-1.4000000000000001</v>
      </c>
      <c r="Q50">
        <v>19</v>
      </c>
      <c r="R50">
        <f t="shared" si="8"/>
        <v>0.43614457831325298</v>
      </c>
      <c r="S50">
        <f t="shared" si="1"/>
        <v>0.69783132530120484</v>
      </c>
      <c r="T50">
        <f t="shared" si="2"/>
        <v>-0.49783132530120483</v>
      </c>
      <c r="U50">
        <f t="shared" si="6"/>
        <v>126.83536144578315</v>
      </c>
      <c r="W50">
        <v>1106.0999999999999</v>
      </c>
      <c r="X50">
        <f t="shared" si="7"/>
        <v>18555</v>
      </c>
      <c r="Y50">
        <v>12.214688034091166</v>
      </c>
    </row>
    <row r="51" spans="1:25" x14ac:dyDescent="0.25">
      <c r="A51">
        <v>6360</v>
      </c>
      <c r="B51">
        <v>24170</v>
      </c>
      <c r="C51" s="1">
        <v>42996</v>
      </c>
      <c r="F51" s="50"/>
      <c r="G51">
        <v>10.6</v>
      </c>
      <c r="H51">
        <v>6.1</v>
      </c>
      <c r="I51">
        <v>15.7</v>
      </c>
      <c r="J51">
        <f t="shared" si="4"/>
        <v>293</v>
      </c>
      <c r="K51">
        <f t="shared" si="5"/>
        <v>293</v>
      </c>
      <c r="M51">
        <v>7.9</v>
      </c>
      <c r="N51">
        <v>1.5</v>
      </c>
      <c r="O51">
        <f t="shared" si="0"/>
        <v>6.4</v>
      </c>
      <c r="Q51">
        <v>20</v>
      </c>
      <c r="R51">
        <f t="shared" si="8"/>
        <v>0.44397590361445782</v>
      </c>
      <c r="S51">
        <f t="shared" si="1"/>
        <v>0.66596385542168668</v>
      </c>
      <c r="T51">
        <f t="shared" si="2"/>
        <v>7.2340361445783135</v>
      </c>
      <c r="U51">
        <f t="shared" si="6"/>
        <v>134.06939759036146</v>
      </c>
      <c r="W51">
        <v>871.3</v>
      </c>
      <c r="X51">
        <f t="shared" si="7"/>
        <v>19426.3</v>
      </c>
      <c r="Y51">
        <v>12.153368963745478</v>
      </c>
    </row>
    <row r="52" spans="1:25" x14ac:dyDescent="0.25">
      <c r="A52">
        <v>6360</v>
      </c>
      <c r="B52">
        <v>24170</v>
      </c>
      <c r="C52" s="1">
        <v>42997</v>
      </c>
      <c r="F52" s="50"/>
      <c r="G52">
        <v>11.7</v>
      </c>
      <c r="H52">
        <v>8.6999999999999993</v>
      </c>
      <c r="I52">
        <v>14.4</v>
      </c>
      <c r="J52">
        <f t="shared" si="4"/>
        <v>304.7</v>
      </c>
      <c r="K52">
        <f t="shared" si="5"/>
        <v>304.7</v>
      </c>
      <c r="M52">
        <v>0.5</v>
      </c>
      <c r="N52">
        <v>1.7</v>
      </c>
      <c r="O52">
        <f t="shared" si="0"/>
        <v>-1.2</v>
      </c>
      <c r="Q52">
        <v>21</v>
      </c>
      <c r="R52">
        <f t="shared" si="8"/>
        <v>0.45180722891566261</v>
      </c>
      <c r="S52">
        <f t="shared" si="1"/>
        <v>0.7680722891566264</v>
      </c>
      <c r="T52">
        <f t="shared" si="2"/>
        <v>-0.2680722891566264</v>
      </c>
      <c r="U52">
        <f t="shared" si="6"/>
        <v>133.80132530120483</v>
      </c>
      <c r="W52">
        <v>1116.2</v>
      </c>
      <c r="X52">
        <f t="shared" si="7"/>
        <v>20542.5</v>
      </c>
      <c r="Y52">
        <v>12.092029517563581</v>
      </c>
    </row>
    <row r="53" spans="1:25" x14ac:dyDescent="0.25">
      <c r="A53">
        <v>6360</v>
      </c>
      <c r="B53">
        <v>24170</v>
      </c>
      <c r="C53" s="1">
        <v>42998</v>
      </c>
      <c r="F53" s="50"/>
      <c r="G53">
        <v>11.6</v>
      </c>
      <c r="H53">
        <v>6</v>
      </c>
      <c r="I53">
        <v>17.100000000000001</v>
      </c>
      <c r="J53">
        <f t="shared" si="4"/>
        <v>316.3</v>
      </c>
      <c r="K53">
        <f t="shared" si="5"/>
        <v>316.3</v>
      </c>
      <c r="M53">
        <v>0</v>
      </c>
      <c r="N53">
        <v>2.2000000000000002</v>
      </c>
      <c r="O53">
        <f t="shared" si="0"/>
        <v>-2.2000000000000002</v>
      </c>
      <c r="Q53">
        <v>22</v>
      </c>
      <c r="R53">
        <f t="shared" si="8"/>
        <v>0.45963855421686745</v>
      </c>
      <c r="S53">
        <f t="shared" si="1"/>
        <v>1.0112048192771084</v>
      </c>
      <c r="T53">
        <f t="shared" si="2"/>
        <v>-1.0112048192771084</v>
      </c>
      <c r="U53">
        <f t="shared" si="6"/>
        <v>132.79012048192772</v>
      </c>
      <c r="W53">
        <v>1289.5999999999999</v>
      </c>
      <c r="X53">
        <f t="shared" si="7"/>
        <v>21832.1</v>
      </c>
      <c r="Y53">
        <v>12.030677861620102</v>
      </c>
    </row>
    <row r="54" spans="1:25" x14ac:dyDescent="0.25">
      <c r="A54">
        <v>6360</v>
      </c>
      <c r="B54">
        <v>24170</v>
      </c>
      <c r="C54" s="1">
        <v>42999</v>
      </c>
      <c r="F54" s="50"/>
      <c r="G54">
        <v>13</v>
      </c>
      <c r="H54">
        <v>8.3000000000000007</v>
      </c>
      <c r="I54">
        <v>18.600000000000001</v>
      </c>
      <c r="J54">
        <f t="shared" si="4"/>
        <v>329.3</v>
      </c>
      <c r="K54">
        <f t="shared" si="5"/>
        <v>329.3</v>
      </c>
      <c r="M54">
        <v>0</v>
      </c>
      <c r="N54">
        <v>2.6</v>
      </c>
      <c r="O54">
        <f t="shared" si="0"/>
        <v>-2.6</v>
      </c>
      <c r="Q54">
        <v>23</v>
      </c>
      <c r="R54">
        <f t="shared" si="8"/>
        <v>0.46746987951807228</v>
      </c>
      <c r="S54">
        <f t="shared" si="1"/>
        <v>1.215421686746988</v>
      </c>
      <c r="T54">
        <f t="shared" si="2"/>
        <v>-1.215421686746988</v>
      </c>
      <c r="U54">
        <f t="shared" si="6"/>
        <v>131.57469879518072</v>
      </c>
      <c r="W54">
        <v>1325.4</v>
      </c>
      <c r="X54">
        <f t="shared" si="7"/>
        <v>23157.5</v>
      </c>
      <c r="Y54">
        <v>11.969322138379898</v>
      </c>
    </row>
    <row r="55" spans="1:25" x14ac:dyDescent="0.25">
      <c r="A55">
        <v>6360</v>
      </c>
      <c r="B55">
        <v>24170</v>
      </c>
      <c r="C55" s="1">
        <v>43000</v>
      </c>
      <c r="F55" s="50"/>
      <c r="G55">
        <v>13</v>
      </c>
      <c r="H55">
        <v>10.1</v>
      </c>
      <c r="I55">
        <v>16.7</v>
      </c>
      <c r="J55">
        <f t="shared" si="4"/>
        <v>342.3</v>
      </c>
      <c r="K55">
        <f t="shared" si="5"/>
        <v>342.3</v>
      </c>
      <c r="M55">
        <v>0</v>
      </c>
      <c r="N55">
        <v>1.1000000000000001</v>
      </c>
      <c r="O55">
        <f t="shared" si="0"/>
        <v>-1.1000000000000001</v>
      </c>
      <c r="Q55">
        <v>24</v>
      </c>
      <c r="R55">
        <f t="shared" si="8"/>
        <v>0.47530120481927707</v>
      </c>
      <c r="S55">
        <f t="shared" si="1"/>
        <v>0.5228313253012048</v>
      </c>
      <c r="T55">
        <f t="shared" si="2"/>
        <v>-0.5228313253012048</v>
      </c>
      <c r="U55">
        <f t="shared" si="6"/>
        <v>131.05186746987951</v>
      </c>
      <c r="W55">
        <v>459.1</v>
      </c>
      <c r="X55">
        <f t="shared" si="7"/>
        <v>23616.6</v>
      </c>
      <c r="Y55">
        <v>11.907970482436419</v>
      </c>
    </row>
    <row r="56" spans="1:25" x14ac:dyDescent="0.25">
      <c r="A56">
        <v>6360</v>
      </c>
      <c r="B56">
        <v>24170</v>
      </c>
      <c r="C56" s="1">
        <v>43001</v>
      </c>
      <c r="F56" s="50"/>
      <c r="G56">
        <v>12.7</v>
      </c>
      <c r="H56">
        <v>7.1</v>
      </c>
      <c r="I56">
        <v>19.100000000000001</v>
      </c>
      <c r="J56">
        <f t="shared" si="4"/>
        <v>355</v>
      </c>
      <c r="K56">
        <f t="shared" si="5"/>
        <v>355</v>
      </c>
      <c r="M56">
        <v>0</v>
      </c>
      <c r="N56">
        <v>2.2000000000000002</v>
      </c>
      <c r="O56">
        <f t="shared" si="0"/>
        <v>-2.2000000000000002</v>
      </c>
      <c r="Q56">
        <v>25</v>
      </c>
      <c r="R56">
        <f t="shared" si="8"/>
        <v>0.48313253012048191</v>
      </c>
      <c r="S56">
        <f t="shared" si="1"/>
        <v>1.0628915662650602</v>
      </c>
      <c r="T56">
        <f t="shared" si="2"/>
        <v>-1.0628915662650602</v>
      </c>
      <c r="U56">
        <f t="shared" si="6"/>
        <v>129.98897590361446</v>
      </c>
      <c r="W56">
        <v>1134.5</v>
      </c>
      <c r="X56">
        <f t="shared" si="7"/>
        <v>24751.1</v>
      </c>
      <c r="Y56">
        <v>11.846631036254522</v>
      </c>
    </row>
    <row r="57" spans="1:25" x14ac:dyDescent="0.25">
      <c r="A57">
        <v>6360</v>
      </c>
      <c r="B57">
        <v>24170</v>
      </c>
      <c r="C57" s="1">
        <v>43002</v>
      </c>
      <c r="F57" s="50"/>
      <c r="G57">
        <v>15.1</v>
      </c>
      <c r="H57">
        <v>8.9</v>
      </c>
      <c r="I57">
        <v>21</v>
      </c>
      <c r="J57">
        <f t="shared" si="4"/>
        <v>370.1</v>
      </c>
      <c r="K57">
        <f t="shared" si="5"/>
        <v>370.1</v>
      </c>
      <c r="M57">
        <v>0</v>
      </c>
      <c r="N57">
        <v>2.6</v>
      </c>
      <c r="O57">
        <f t="shared" si="0"/>
        <v>-2.6</v>
      </c>
      <c r="Q57">
        <v>26</v>
      </c>
      <c r="R57">
        <f t="shared" si="8"/>
        <v>0.49096385542168675</v>
      </c>
      <c r="S57">
        <f t="shared" si="1"/>
        <v>1.2765060240963855</v>
      </c>
      <c r="T57">
        <f t="shared" si="2"/>
        <v>-1.2765060240963855</v>
      </c>
      <c r="U57">
        <f t="shared" si="6"/>
        <v>128.71246987951807</v>
      </c>
      <c r="W57">
        <v>1235.9000000000001</v>
      </c>
      <c r="X57">
        <f t="shared" si="7"/>
        <v>25987</v>
      </c>
      <c r="Y57">
        <v>11.785311965908832</v>
      </c>
    </row>
    <row r="58" spans="1:25" x14ac:dyDescent="0.25">
      <c r="A58">
        <v>6360</v>
      </c>
      <c r="B58">
        <v>24170</v>
      </c>
      <c r="C58" s="1">
        <v>43003</v>
      </c>
      <c r="F58" s="50"/>
      <c r="G58">
        <v>16.600000000000001</v>
      </c>
      <c r="H58">
        <v>14.4</v>
      </c>
      <c r="I58">
        <v>18.899999999999999</v>
      </c>
      <c r="J58">
        <f t="shared" si="4"/>
        <v>386.70000000000005</v>
      </c>
      <c r="K58">
        <f t="shared" si="5"/>
        <v>386.70000000000005</v>
      </c>
      <c r="M58">
        <v>4.0999999999999996</v>
      </c>
      <c r="N58">
        <v>1.2</v>
      </c>
      <c r="O58">
        <f t="shared" si="0"/>
        <v>2.8999999999999995</v>
      </c>
      <c r="Q58">
        <v>27</v>
      </c>
      <c r="R58">
        <f t="shared" si="8"/>
        <v>0.49879518072289153</v>
      </c>
      <c r="S58">
        <f t="shared" si="1"/>
        <v>0.59855421686746979</v>
      </c>
      <c r="T58">
        <f t="shared" si="2"/>
        <v>3.5014457831325299</v>
      </c>
      <c r="U58">
        <f t="shared" si="6"/>
        <v>132.21391566265061</v>
      </c>
      <c r="W58">
        <v>315.39999999999998</v>
      </c>
      <c r="X58">
        <f t="shared" si="7"/>
        <v>26302.400000000001</v>
      </c>
      <c r="Y58">
        <v>11.724021476808872</v>
      </c>
    </row>
    <row r="59" spans="1:25" x14ac:dyDescent="0.25">
      <c r="A59">
        <v>6360</v>
      </c>
      <c r="B59">
        <v>24170</v>
      </c>
      <c r="C59" s="1">
        <v>43004</v>
      </c>
      <c r="F59" s="50"/>
      <c r="G59">
        <v>15.8</v>
      </c>
      <c r="H59">
        <v>14.3</v>
      </c>
      <c r="I59">
        <v>19.5</v>
      </c>
      <c r="J59">
        <f t="shared" si="4"/>
        <v>402.50000000000006</v>
      </c>
      <c r="K59">
        <f t="shared" si="5"/>
        <v>402.50000000000006</v>
      </c>
      <c r="M59">
        <v>0.2</v>
      </c>
      <c r="N59">
        <v>1.4</v>
      </c>
      <c r="O59">
        <f t="shared" si="0"/>
        <v>-1.2</v>
      </c>
      <c r="Q59">
        <v>28</v>
      </c>
      <c r="R59">
        <f t="shared" si="8"/>
        <v>0.50662650602409642</v>
      </c>
      <c r="S59">
        <f t="shared" si="1"/>
        <v>0.70927710843373493</v>
      </c>
      <c r="T59">
        <f t="shared" si="2"/>
        <v>-0.50927710843373486</v>
      </c>
      <c r="U59">
        <f t="shared" si="6"/>
        <v>131.70463855421687</v>
      </c>
      <c r="W59">
        <v>631</v>
      </c>
      <c r="X59">
        <f t="shared" si="7"/>
        <v>26933.4</v>
      </c>
      <c r="Y59">
        <v>11.662767829401854</v>
      </c>
    </row>
    <row r="60" spans="1:25" x14ac:dyDescent="0.25">
      <c r="A60">
        <v>6360</v>
      </c>
      <c r="B60">
        <v>24170</v>
      </c>
      <c r="C60" s="1">
        <v>43005</v>
      </c>
      <c r="F60" s="50"/>
      <c r="G60">
        <v>14.4</v>
      </c>
      <c r="H60">
        <v>11.2</v>
      </c>
      <c r="I60">
        <v>17.3</v>
      </c>
      <c r="J60">
        <f t="shared" si="4"/>
        <v>416.90000000000003</v>
      </c>
      <c r="K60">
        <f t="shared" si="5"/>
        <v>416.90000000000003</v>
      </c>
      <c r="M60">
        <v>0</v>
      </c>
      <c r="N60">
        <v>0.9</v>
      </c>
      <c r="O60">
        <f t="shared" si="0"/>
        <v>-0.9</v>
      </c>
      <c r="Q60">
        <v>29</v>
      </c>
      <c r="R60">
        <f t="shared" si="8"/>
        <v>0.51445783132530121</v>
      </c>
      <c r="S60">
        <f t="shared" si="1"/>
        <v>0.46301204819277109</v>
      </c>
      <c r="T60">
        <f t="shared" si="2"/>
        <v>-0.46301204819277109</v>
      </c>
      <c r="U60">
        <f t="shared" si="6"/>
        <v>131.24162650602409</v>
      </c>
      <c r="W60">
        <v>456.6</v>
      </c>
      <c r="X60">
        <f t="shared" si="7"/>
        <v>27390</v>
      </c>
      <c r="Y60">
        <v>11.601559354843863</v>
      </c>
    </row>
    <row r="61" spans="1:25" x14ac:dyDescent="0.25">
      <c r="A61">
        <v>6360</v>
      </c>
      <c r="B61">
        <v>24170</v>
      </c>
      <c r="C61" s="1">
        <v>43006</v>
      </c>
      <c r="F61" s="50"/>
      <c r="G61">
        <v>16.7</v>
      </c>
      <c r="H61">
        <v>14.5</v>
      </c>
      <c r="I61">
        <v>18.2</v>
      </c>
      <c r="J61">
        <f t="shared" si="4"/>
        <v>433.6</v>
      </c>
      <c r="K61">
        <f t="shared" si="5"/>
        <v>433.6</v>
      </c>
      <c r="M61">
        <v>1.6</v>
      </c>
      <c r="N61">
        <v>0.6</v>
      </c>
      <c r="O61">
        <f t="shared" si="0"/>
        <v>1</v>
      </c>
      <c r="Q61">
        <v>30</v>
      </c>
      <c r="R61">
        <f t="shared" si="8"/>
        <v>0.52228915662650599</v>
      </c>
      <c r="S61">
        <f t="shared" si="1"/>
        <v>0.31337349397590358</v>
      </c>
      <c r="T61">
        <f t="shared" si="2"/>
        <v>1.2866265060240965</v>
      </c>
      <c r="U61">
        <f t="shared" si="6"/>
        <v>132.5282530120482</v>
      </c>
      <c r="W61">
        <v>317.2</v>
      </c>
      <c r="X61">
        <f t="shared" si="7"/>
        <v>27707.200000000001</v>
      </c>
      <c r="Y61">
        <v>11.540404470629596</v>
      </c>
    </row>
    <row r="62" spans="1:25" x14ac:dyDescent="0.25">
      <c r="A62">
        <v>6360</v>
      </c>
      <c r="B62">
        <v>24170</v>
      </c>
      <c r="C62" s="1">
        <v>43007</v>
      </c>
      <c r="F62" s="50"/>
      <c r="G62">
        <v>18.8</v>
      </c>
      <c r="H62">
        <v>15.8</v>
      </c>
      <c r="I62">
        <v>23.1</v>
      </c>
      <c r="J62">
        <f t="shared" si="4"/>
        <v>452.40000000000003</v>
      </c>
      <c r="K62">
        <f t="shared" si="5"/>
        <v>452.40000000000003</v>
      </c>
      <c r="M62">
        <v>22.1</v>
      </c>
      <c r="N62">
        <v>2.2000000000000002</v>
      </c>
      <c r="O62">
        <f t="shared" si="0"/>
        <v>19.900000000000002</v>
      </c>
      <c r="Q62">
        <v>31</v>
      </c>
      <c r="R62">
        <f t="shared" si="8"/>
        <v>0.53012048192771077</v>
      </c>
      <c r="S62">
        <f t="shared" si="1"/>
        <v>1.1662650602409639</v>
      </c>
      <c r="T62">
        <f t="shared" si="2"/>
        <v>20.933734939759038</v>
      </c>
      <c r="U62">
        <f t="shared" si="6"/>
        <v>153.46198795180723</v>
      </c>
      <c r="W62">
        <v>1017.6</v>
      </c>
      <c r="X62">
        <f t="shared" si="7"/>
        <v>28724.799999999999</v>
      </c>
      <c r="Y62">
        <v>11.479311696170482</v>
      </c>
    </row>
    <row r="63" spans="1:25" x14ac:dyDescent="0.25">
      <c r="A63">
        <v>6360</v>
      </c>
      <c r="B63">
        <v>24170</v>
      </c>
      <c r="C63" s="1">
        <v>43008</v>
      </c>
      <c r="F63" s="50"/>
      <c r="G63">
        <v>14.6</v>
      </c>
      <c r="H63">
        <v>13.2</v>
      </c>
      <c r="I63">
        <v>16.3</v>
      </c>
      <c r="J63">
        <f t="shared" si="4"/>
        <v>467.00000000000006</v>
      </c>
      <c r="K63">
        <f t="shared" si="5"/>
        <v>467.00000000000006</v>
      </c>
      <c r="M63">
        <v>2</v>
      </c>
      <c r="N63">
        <v>1.7</v>
      </c>
      <c r="O63">
        <f t="shared" si="0"/>
        <v>0.30000000000000004</v>
      </c>
      <c r="Q63">
        <v>32</v>
      </c>
      <c r="R63">
        <f t="shared" si="8"/>
        <v>0.53795180722891567</v>
      </c>
      <c r="S63">
        <f t="shared" si="1"/>
        <v>0.9145180722891566</v>
      </c>
      <c r="T63">
        <f t="shared" si="2"/>
        <v>1.0854819277108434</v>
      </c>
      <c r="U63">
        <f t="shared" si="6"/>
        <v>154.54746987951808</v>
      </c>
      <c r="W63">
        <v>920.2</v>
      </c>
      <c r="X63">
        <f t="shared" si="7"/>
        <v>29645</v>
      </c>
      <c r="Y63">
        <v>11.418289668310159</v>
      </c>
    </row>
    <row r="64" spans="1:25" x14ac:dyDescent="0.25">
      <c r="A64">
        <v>6360</v>
      </c>
      <c r="B64">
        <v>24170</v>
      </c>
      <c r="C64" s="1">
        <v>43009</v>
      </c>
      <c r="F64" s="50"/>
      <c r="G64">
        <v>13.7</v>
      </c>
      <c r="H64">
        <v>12</v>
      </c>
      <c r="I64">
        <v>15.9</v>
      </c>
      <c r="J64">
        <f t="shared" si="4"/>
        <v>480.70000000000005</v>
      </c>
      <c r="K64">
        <f t="shared" si="5"/>
        <v>480.70000000000005</v>
      </c>
      <c r="M64">
        <v>1</v>
      </c>
      <c r="N64">
        <v>0.8</v>
      </c>
      <c r="O64">
        <f t="shared" si="0"/>
        <v>0.19999999999999996</v>
      </c>
      <c r="Q64">
        <v>33</v>
      </c>
      <c r="R64">
        <f t="shared" si="8"/>
        <v>0.54578313253012045</v>
      </c>
      <c r="S64">
        <f t="shared" si="1"/>
        <v>0.43662650602409636</v>
      </c>
      <c r="T64">
        <f t="shared" si="2"/>
        <v>0.56337349397590364</v>
      </c>
      <c r="U64">
        <f t="shared" si="6"/>
        <v>155.11084337349399</v>
      </c>
      <c r="W64">
        <v>239.2</v>
      </c>
      <c r="X64">
        <f t="shared" si="7"/>
        <v>29884.2</v>
      </c>
      <c r="Y64">
        <v>11.357347156765661</v>
      </c>
    </row>
    <row r="65" spans="1:25" x14ac:dyDescent="0.25">
      <c r="A65">
        <v>6360</v>
      </c>
      <c r="B65">
        <v>24170</v>
      </c>
      <c r="C65" s="1">
        <v>43010</v>
      </c>
      <c r="F65" s="50"/>
      <c r="G65">
        <v>16.399999999999999</v>
      </c>
      <c r="H65">
        <v>14.7</v>
      </c>
      <c r="I65">
        <v>18</v>
      </c>
      <c r="J65">
        <f t="shared" si="4"/>
        <v>497.1</v>
      </c>
      <c r="K65">
        <f t="shared" si="5"/>
        <v>497.1</v>
      </c>
      <c r="M65">
        <v>8.8000000000000007</v>
      </c>
      <c r="N65">
        <v>0.9</v>
      </c>
      <c r="O65">
        <f t="shared" si="0"/>
        <v>7.9</v>
      </c>
      <c r="Q65">
        <v>34</v>
      </c>
      <c r="R65">
        <f t="shared" si="8"/>
        <v>0.55361445783132535</v>
      </c>
      <c r="S65">
        <f t="shared" si="1"/>
        <v>0.49825301204819283</v>
      </c>
      <c r="T65">
        <f t="shared" si="2"/>
        <v>8.3017469879518071</v>
      </c>
      <c r="U65">
        <f t="shared" si="6"/>
        <v>163.41259036144581</v>
      </c>
      <c r="W65">
        <v>366.8</v>
      </c>
      <c r="X65">
        <f t="shared" si="7"/>
        <v>30251</v>
      </c>
      <c r="Y65">
        <v>11.296493079481749</v>
      </c>
    </row>
    <row r="66" spans="1:25" x14ac:dyDescent="0.25">
      <c r="A66">
        <v>6360</v>
      </c>
      <c r="B66">
        <v>24170</v>
      </c>
      <c r="C66" s="1">
        <v>43011</v>
      </c>
      <c r="F66" s="50"/>
      <c r="G66">
        <v>12.1</v>
      </c>
      <c r="H66">
        <v>10.6</v>
      </c>
      <c r="I66">
        <v>15.7</v>
      </c>
      <c r="J66">
        <f t="shared" si="4"/>
        <v>509.20000000000005</v>
      </c>
      <c r="K66">
        <f t="shared" si="5"/>
        <v>509.20000000000005</v>
      </c>
      <c r="M66">
        <v>0</v>
      </c>
      <c r="N66">
        <v>2.1</v>
      </c>
      <c r="O66">
        <f t="shared" si="0"/>
        <v>-2.1</v>
      </c>
      <c r="Q66">
        <v>35</v>
      </c>
      <c r="R66">
        <f t="shared" si="8"/>
        <v>0.56144578313253013</v>
      </c>
      <c r="S66">
        <f t="shared" si="1"/>
        <v>1.1790361445783133</v>
      </c>
      <c r="T66">
        <f t="shared" si="2"/>
        <v>-1.1790361445783133</v>
      </c>
      <c r="U66">
        <f t="shared" si="6"/>
        <v>162.2335542168675</v>
      </c>
      <c r="W66">
        <v>1050.3</v>
      </c>
      <c r="X66">
        <f t="shared" si="7"/>
        <v>31301.3</v>
      </c>
      <c r="Y66">
        <v>11.235736517884728</v>
      </c>
    </row>
    <row r="67" spans="1:25" x14ac:dyDescent="0.25">
      <c r="A67">
        <v>6360</v>
      </c>
      <c r="B67">
        <v>24170</v>
      </c>
      <c r="C67" s="1">
        <v>43012</v>
      </c>
      <c r="F67" s="50"/>
      <c r="G67">
        <v>11.9</v>
      </c>
      <c r="H67">
        <v>8.1</v>
      </c>
      <c r="I67">
        <v>16.2</v>
      </c>
      <c r="J67">
        <f t="shared" si="4"/>
        <v>521.1</v>
      </c>
      <c r="K67">
        <f t="shared" si="5"/>
        <v>521.1</v>
      </c>
      <c r="M67">
        <v>0</v>
      </c>
      <c r="N67">
        <v>1.7</v>
      </c>
      <c r="O67">
        <f t="shared" si="0"/>
        <v>-1.7</v>
      </c>
      <c r="Q67">
        <v>36</v>
      </c>
      <c r="R67">
        <f t="shared" si="8"/>
        <v>0.56927710843373491</v>
      </c>
      <c r="S67">
        <f t="shared" si="1"/>
        <v>0.96777108433734937</v>
      </c>
      <c r="T67">
        <f t="shared" si="2"/>
        <v>-0.96777108433734937</v>
      </c>
      <c r="U67">
        <f t="shared" si="6"/>
        <v>161.26578313253015</v>
      </c>
      <c r="W67">
        <v>852</v>
      </c>
      <c r="X67">
        <f t="shared" si="7"/>
        <v>32153.3</v>
      </c>
      <c r="Y67">
        <v>11.175086732021107</v>
      </c>
    </row>
    <row r="68" spans="1:25" x14ac:dyDescent="0.25">
      <c r="A68">
        <v>6360</v>
      </c>
      <c r="B68">
        <v>24170</v>
      </c>
      <c r="C68" s="1">
        <v>43013</v>
      </c>
      <c r="F68" s="50"/>
      <c r="G68">
        <v>11.5</v>
      </c>
      <c r="H68">
        <v>9.4</v>
      </c>
      <c r="I68">
        <v>15.5</v>
      </c>
      <c r="J68">
        <f t="shared" si="4"/>
        <v>532.6</v>
      </c>
      <c r="K68">
        <f t="shared" si="5"/>
        <v>532.6</v>
      </c>
      <c r="M68">
        <v>2.9</v>
      </c>
      <c r="N68">
        <v>1.3</v>
      </c>
      <c r="O68">
        <f t="shared" si="0"/>
        <v>1.5999999999999999</v>
      </c>
      <c r="Q68">
        <v>37</v>
      </c>
      <c r="R68">
        <f t="shared" si="8"/>
        <v>0.5771084337349397</v>
      </c>
      <c r="S68">
        <f t="shared" si="1"/>
        <v>0.75024096385542161</v>
      </c>
      <c r="T68">
        <f t="shared" si="2"/>
        <v>2.1497590361445784</v>
      </c>
      <c r="U68">
        <f t="shared" si="6"/>
        <v>163.41554216867473</v>
      </c>
      <c r="W68">
        <v>528.20000000000005</v>
      </c>
      <c r="X68">
        <f t="shared" si="7"/>
        <v>32681.5</v>
      </c>
      <c r="Y68">
        <v>11.114553175565101</v>
      </c>
    </row>
    <row r="69" spans="1:25" x14ac:dyDescent="0.25">
      <c r="A69">
        <v>6360</v>
      </c>
      <c r="B69">
        <v>24170</v>
      </c>
      <c r="C69" s="1">
        <v>43014</v>
      </c>
      <c r="F69" s="50"/>
      <c r="G69">
        <v>9.6</v>
      </c>
      <c r="H69">
        <v>7.1</v>
      </c>
      <c r="I69">
        <v>14.6</v>
      </c>
      <c r="J69">
        <f t="shared" si="4"/>
        <v>542.20000000000005</v>
      </c>
      <c r="K69">
        <f t="shared" si="5"/>
        <v>542.20000000000005</v>
      </c>
      <c r="M69">
        <v>0</v>
      </c>
      <c r="N69">
        <v>2</v>
      </c>
      <c r="O69">
        <f t="shared" ref="O69:O132" si="9">M69-N69</f>
        <v>-2</v>
      </c>
      <c r="Q69">
        <v>38</v>
      </c>
      <c r="R69">
        <f t="shared" si="8"/>
        <v>0.58493975903614459</v>
      </c>
      <c r="S69">
        <f t="shared" ref="S69:S132" si="10">R69*N69</f>
        <v>1.1698795180722892</v>
      </c>
      <c r="T69">
        <f t="shared" ref="T69:T132" si="11">M69-S69</f>
        <v>-1.1698795180722892</v>
      </c>
      <c r="U69">
        <f t="shared" si="6"/>
        <v>162.24566265060244</v>
      </c>
      <c r="W69">
        <v>1103.8</v>
      </c>
      <c r="X69">
        <f t="shared" si="7"/>
        <v>33785.300000000003</v>
      </c>
      <c r="Y69">
        <v>11.054145510677701</v>
      </c>
    </row>
    <row r="70" spans="1:25" x14ac:dyDescent="0.25">
      <c r="A70">
        <v>6360</v>
      </c>
      <c r="B70">
        <v>24170</v>
      </c>
      <c r="C70" s="1">
        <v>43015</v>
      </c>
      <c r="F70" s="50"/>
      <c r="G70">
        <v>10.5</v>
      </c>
      <c r="H70">
        <v>5</v>
      </c>
      <c r="I70">
        <v>14.6</v>
      </c>
      <c r="J70">
        <f t="shared" si="4"/>
        <v>552.70000000000005</v>
      </c>
      <c r="K70">
        <f t="shared" si="5"/>
        <v>552.70000000000005</v>
      </c>
      <c r="M70">
        <v>0.9</v>
      </c>
      <c r="N70">
        <v>1.4</v>
      </c>
      <c r="O70">
        <f t="shared" si="9"/>
        <v>-0.49999999999999989</v>
      </c>
      <c r="Q70">
        <v>39</v>
      </c>
      <c r="R70">
        <f t="shared" si="8"/>
        <v>0.59277108433734937</v>
      </c>
      <c r="S70">
        <f t="shared" si="10"/>
        <v>0.8298795180722891</v>
      </c>
      <c r="T70">
        <f t="shared" si="11"/>
        <v>7.012048192771092E-2</v>
      </c>
      <c r="U70">
        <f t="shared" si="6"/>
        <v>162.31578313253016</v>
      </c>
      <c r="W70">
        <v>651</v>
      </c>
      <c r="X70">
        <f t="shared" si="7"/>
        <v>34436.300000000003</v>
      </c>
      <c r="Y70">
        <v>10.993873622698461</v>
      </c>
    </row>
    <row r="71" spans="1:25" x14ac:dyDescent="0.25">
      <c r="A71">
        <v>6360</v>
      </c>
      <c r="B71">
        <v>24170</v>
      </c>
      <c r="C71" s="1">
        <v>43016</v>
      </c>
      <c r="F71" s="50"/>
      <c r="G71">
        <v>13.2</v>
      </c>
      <c r="H71">
        <v>12.5</v>
      </c>
      <c r="I71">
        <v>15.7</v>
      </c>
      <c r="J71">
        <f t="shared" si="4"/>
        <v>565.90000000000009</v>
      </c>
      <c r="K71">
        <f t="shared" si="5"/>
        <v>565.90000000000009</v>
      </c>
      <c r="M71">
        <v>0.7</v>
      </c>
      <c r="N71">
        <v>1.5</v>
      </c>
      <c r="O71">
        <f t="shared" si="9"/>
        <v>-0.8</v>
      </c>
      <c r="Q71">
        <v>40</v>
      </c>
      <c r="R71">
        <f t="shared" si="8"/>
        <v>0.60060240963855427</v>
      </c>
      <c r="S71">
        <f t="shared" si="10"/>
        <v>0.9009036144578314</v>
      </c>
      <c r="T71">
        <f t="shared" si="11"/>
        <v>-0.20090361445783145</v>
      </c>
      <c r="U71">
        <f t="shared" si="6"/>
        <v>162.11487951807231</v>
      </c>
      <c r="W71">
        <v>797.3</v>
      </c>
      <c r="X71">
        <f t="shared" si="7"/>
        <v>35233.600000000006</v>
      </c>
      <c r="Y71">
        <v>10.933747634649638</v>
      </c>
    </row>
    <row r="72" spans="1:25" x14ac:dyDescent="0.25">
      <c r="A72">
        <v>6360</v>
      </c>
      <c r="B72">
        <v>24170</v>
      </c>
      <c r="C72" s="1">
        <v>43017</v>
      </c>
      <c r="F72" s="50"/>
      <c r="G72">
        <v>13.2</v>
      </c>
      <c r="H72">
        <v>9</v>
      </c>
      <c r="I72">
        <v>16</v>
      </c>
      <c r="J72">
        <f t="shared" si="4"/>
        <v>579.10000000000014</v>
      </c>
      <c r="K72">
        <f t="shared" si="5"/>
        <v>579.10000000000014</v>
      </c>
      <c r="M72">
        <v>1.2</v>
      </c>
      <c r="N72">
        <v>0.9</v>
      </c>
      <c r="O72">
        <f t="shared" si="9"/>
        <v>0.29999999999999993</v>
      </c>
      <c r="Q72">
        <v>41</v>
      </c>
      <c r="R72">
        <f t="shared" si="8"/>
        <v>0.60843373493975905</v>
      </c>
      <c r="S72">
        <f t="shared" si="10"/>
        <v>0.54759036144578321</v>
      </c>
      <c r="T72">
        <f t="shared" si="11"/>
        <v>0.65240963855421674</v>
      </c>
      <c r="U72">
        <f t="shared" si="6"/>
        <v>162.76728915662653</v>
      </c>
      <c r="W72">
        <v>491.7</v>
      </c>
      <c r="X72">
        <f t="shared" si="7"/>
        <v>35725.300000000003</v>
      </c>
      <c r="Y72">
        <v>10.873777921530603</v>
      </c>
    </row>
    <row r="73" spans="1:25" x14ac:dyDescent="0.25">
      <c r="A73">
        <v>6360</v>
      </c>
      <c r="B73">
        <v>24170</v>
      </c>
      <c r="C73" s="1">
        <v>43018</v>
      </c>
      <c r="F73" s="50"/>
      <c r="G73">
        <v>14.1</v>
      </c>
      <c r="H73">
        <v>12</v>
      </c>
      <c r="I73">
        <v>15.6</v>
      </c>
      <c r="J73">
        <f t="shared" si="4"/>
        <v>593.20000000000016</v>
      </c>
      <c r="K73">
        <f t="shared" si="5"/>
        <v>593.20000000000016</v>
      </c>
      <c r="M73">
        <v>0</v>
      </c>
      <c r="N73">
        <v>0.7</v>
      </c>
      <c r="O73">
        <f t="shared" si="9"/>
        <v>-0.7</v>
      </c>
      <c r="Q73">
        <v>42</v>
      </c>
      <c r="R73">
        <f t="shared" si="8"/>
        <v>0.61626506024096384</v>
      </c>
      <c r="S73">
        <f t="shared" si="10"/>
        <v>0.43138554216867464</v>
      </c>
      <c r="T73">
        <f t="shared" si="11"/>
        <v>-0.43138554216867464</v>
      </c>
      <c r="U73">
        <f t="shared" si="6"/>
        <v>162.33590361445786</v>
      </c>
      <c r="W73">
        <v>260.10000000000002</v>
      </c>
      <c r="X73">
        <f t="shared" si="7"/>
        <v>35985.4</v>
      </c>
      <c r="Y73">
        <v>10.813975124378562</v>
      </c>
    </row>
    <row r="74" spans="1:25" x14ac:dyDescent="0.25">
      <c r="A74">
        <v>6360</v>
      </c>
      <c r="B74">
        <v>24170</v>
      </c>
      <c r="C74" s="1">
        <v>43019</v>
      </c>
      <c r="F74" s="50"/>
      <c r="G74">
        <v>15.4</v>
      </c>
      <c r="H74">
        <v>13.8</v>
      </c>
      <c r="I74">
        <v>17</v>
      </c>
      <c r="J74">
        <f t="shared" si="4"/>
        <v>608.60000000000014</v>
      </c>
      <c r="K74">
        <f t="shared" si="5"/>
        <v>608.60000000000014</v>
      </c>
      <c r="M74">
        <v>0</v>
      </c>
      <c r="N74">
        <v>1.1000000000000001</v>
      </c>
      <c r="O74">
        <f t="shared" si="9"/>
        <v>-1.1000000000000001</v>
      </c>
      <c r="Q74">
        <v>43</v>
      </c>
      <c r="R74">
        <f t="shared" si="8"/>
        <v>0.62409638554216862</v>
      </c>
      <c r="S74">
        <f t="shared" si="10"/>
        <v>0.6865060240963855</v>
      </c>
      <c r="T74">
        <f t="shared" si="11"/>
        <v>-0.6865060240963855</v>
      </c>
      <c r="U74">
        <f t="shared" si="6"/>
        <v>161.64939759036147</v>
      </c>
      <c r="W74">
        <v>291.3</v>
      </c>
      <c r="X74">
        <f t="shared" si="7"/>
        <v>36276.700000000004</v>
      </c>
      <c r="Y74">
        <v>10.754350164069725</v>
      </c>
    </row>
    <row r="75" spans="1:25" x14ac:dyDescent="0.25">
      <c r="A75">
        <v>6360</v>
      </c>
      <c r="B75">
        <v>24170</v>
      </c>
      <c r="C75" s="1">
        <v>43020</v>
      </c>
      <c r="F75" s="50"/>
      <c r="G75">
        <v>16.100000000000001</v>
      </c>
      <c r="H75">
        <v>13.5</v>
      </c>
      <c r="I75">
        <v>19.5</v>
      </c>
      <c r="J75">
        <f t="shared" si="4"/>
        <v>624.70000000000016</v>
      </c>
      <c r="K75">
        <f t="shared" si="5"/>
        <v>624.70000000000016</v>
      </c>
      <c r="M75">
        <v>0</v>
      </c>
      <c r="N75">
        <v>1.5</v>
      </c>
      <c r="O75">
        <f t="shared" si="9"/>
        <v>-1.5</v>
      </c>
      <c r="Q75">
        <v>44</v>
      </c>
      <c r="R75">
        <f t="shared" si="8"/>
        <v>0.63192771084337351</v>
      </c>
      <c r="S75">
        <f t="shared" si="10"/>
        <v>0.94789156626506021</v>
      </c>
      <c r="T75">
        <f t="shared" si="11"/>
        <v>-0.94789156626506021</v>
      </c>
      <c r="U75">
        <f t="shared" si="6"/>
        <v>160.7015060240964</v>
      </c>
      <c r="W75">
        <v>741.8</v>
      </c>
      <c r="X75">
        <f t="shared" si="7"/>
        <v>37018.500000000007</v>
      </c>
      <c r="Y75">
        <v>10.694914254833055</v>
      </c>
    </row>
    <row r="76" spans="1:25" x14ac:dyDescent="0.25">
      <c r="A76">
        <v>6360</v>
      </c>
      <c r="B76">
        <v>24170</v>
      </c>
      <c r="C76" s="1">
        <v>43021</v>
      </c>
      <c r="F76" s="50"/>
      <c r="G76">
        <v>15.8</v>
      </c>
      <c r="H76">
        <v>13.5</v>
      </c>
      <c r="I76">
        <v>20.5</v>
      </c>
      <c r="J76">
        <f t="shared" si="4"/>
        <v>640.50000000000011</v>
      </c>
      <c r="K76">
        <f t="shared" si="5"/>
        <v>640.50000000000011</v>
      </c>
      <c r="M76">
        <v>0</v>
      </c>
      <c r="N76">
        <v>2.2000000000000002</v>
      </c>
      <c r="O76">
        <f t="shared" si="9"/>
        <v>-2.2000000000000002</v>
      </c>
      <c r="Q76">
        <v>45</v>
      </c>
      <c r="R76">
        <f t="shared" si="8"/>
        <v>0.6397590361445783</v>
      </c>
      <c r="S76">
        <f t="shared" si="10"/>
        <v>1.4074698795180725</v>
      </c>
      <c r="T76">
        <f t="shared" si="11"/>
        <v>-1.4074698795180725</v>
      </c>
      <c r="U76">
        <f t="shared" si="6"/>
        <v>159.29403614457834</v>
      </c>
      <c r="W76">
        <v>1082.7</v>
      </c>
      <c r="X76">
        <f t="shared" si="7"/>
        <v>38101.200000000004</v>
      </c>
      <c r="Y76">
        <v>10.635678917446494</v>
      </c>
    </row>
    <row r="77" spans="1:25" x14ac:dyDescent="0.25">
      <c r="A77">
        <v>6360</v>
      </c>
      <c r="B77">
        <v>24170</v>
      </c>
      <c r="C77" s="1">
        <v>43022</v>
      </c>
      <c r="F77" s="50"/>
      <c r="G77">
        <v>14.7</v>
      </c>
      <c r="H77">
        <v>9.8000000000000007</v>
      </c>
      <c r="I77">
        <v>21.4</v>
      </c>
      <c r="J77">
        <f t="shared" si="4"/>
        <v>655.20000000000016</v>
      </c>
      <c r="K77">
        <f t="shared" si="5"/>
        <v>655.20000000000016</v>
      </c>
      <c r="M77">
        <v>0.1</v>
      </c>
      <c r="N77">
        <v>2.7</v>
      </c>
      <c r="O77">
        <f t="shared" si="9"/>
        <v>-2.6</v>
      </c>
      <c r="Q77">
        <v>46</v>
      </c>
      <c r="R77">
        <f t="shared" si="8"/>
        <v>0.64759036144578308</v>
      </c>
      <c r="S77">
        <f t="shared" si="10"/>
        <v>1.7484939759036144</v>
      </c>
      <c r="T77">
        <f t="shared" si="11"/>
        <v>-1.6484939759036144</v>
      </c>
      <c r="U77">
        <f t="shared" si="6"/>
        <v>157.64554216867472</v>
      </c>
      <c r="W77">
        <v>1191.7</v>
      </c>
      <c r="X77">
        <f t="shared" si="7"/>
        <v>39292.9</v>
      </c>
      <c r="Y77">
        <v>10.57665599208341</v>
      </c>
    </row>
    <row r="78" spans="1:25" x14ac:dyDescent="0.25">
      <c r="A78">
        <v>6360</v>
      </c>
      <c r="B78">
        <v>24170</v>
      </c>
      <c r="C78" s="1">
        <v>43023</v>
      </c>
      <c r="F78" s="50"/>
      <c r="G78">
        <v>16.2</v>
      </c>
      <c r="H78">
        <v>10.3</v>
      </c>
      <c r="I78">
        <v>21.3</v>
      </c>
      <c r="J78">
        <f t="shared" si="4"/>
        <v>671.4000000000002</v>
      </c>
      <c r="K78">
        <f t="shared" si="5"/>
        <v>671.4000000000002</v>
      </c>
      <c r="M78">
        <v>0</v>
      </c>
      <c r="N78">
        <v>2.4</v>
      </c>
      <c r="O78">
        <f t="shared" si="9"/>
        <v>-2.4</v>
      </c>
      <c r="Q78">
        <v>47</v>
      </c>
      <c r="R78">
        <f t="shared" si="8"/>
        <v>0.65542168674698797</v>
      </c>
      <c r="S78">
        <f t="shared" si="10"/>
        <v>1.5730120481927712</v>
      </c>
      <c r="T78">
        <f t="shared" si="11"/>
        <v>-1.5730120481927712</v>
      </c>
      <c r="U78">
        <f t="shared" si="6"/>
        <v>156.07253012048196</v>
      </c>
      <c r="W78">
        <v>1213.4000000000001</v>
      </c>
      <c r="X78">
        <f t="shared" si="7"/>
        <v>40506.300000000003</v>
      </c>
      <c r="Y78">
        <v>10.517857650774602</v>
      </c>
    </row>
    <row r="79" spans="1:25" x14ac:dyDescent="0.25">
      <c r="A79">
        <v>6360</v>
      </c>
      <c r="B79">
        <v>24170</v>
      </c>
      <c r="C79" s="1">
        <v>43024</v>
      </c>
      <c r="F79" s="50"/>
      <c r="G79">
        <v>17.7</v>
      </c>
      <c r="H79">
        <v>14.8</v>
      </c>
      <c r="I79">
        <v>22.7</v>
      </c>
      <c r="J79">
        <f t="shared" si="4"/>
        <v>689.10000000000025</v>
      </c>
      <c r="K79">
        <f t="shared" si="5"/>
        <v>689.10000000000025</v>
      </c>
      <c r="M79">
        <v>0</v>
      </c>
      <c r="N79">
        <v>2.9</v>
      </c>
      <c r="O79">
        <f t="shared" si="9"/>
        <v>-2.9</v>
      </c>
      <c r="Q79">
        <v>48</v>
      </c>
      <c r="R79">
        <f t="shared" si="8"/>
        <v>0.66325301204819276</v>
      </c>
      <c r="S79">
        <f t="shared" si="10"/>
        <v>1.923433734939759</v>
      </c>
      <c r="T79">
        <f t="shared" si="11"/>
        <v>-1.923433734939759</v>
      </c>
      <c r="U79">
        <f t="shared" si="6"/>
        <v>154.14909638554221</v>
      </c>
      <c r="W79">
        <v>1134.9000000000001</v>
      </c>
      <c r="X79">
        <f t="shared" si="7"/>
        <v>41641.200000000004</v>
      </c>
      <c r="Y79">
        <v>10.459296409448797</v>
      </c>
    </row>
    <row r="80" spans="1:25" x14ac:dyDescent="0.25">
      <c r="A80">
        <v>6360</v>
      </c>
      <c r="B80">
        <v>24170</v>
      </c>
      <c r="C80" s="1">
        <v>43025</v>
      </c>
      <c r="F80" s="50"/>
      <c r="G80">
        <v>15.7</v>
      </c>
      <c r="H80">
        <v>11.4</v>
      </c>
      <c r="I80">
        <v>21.2</v>
      </c>
      <c r="J80">
        <f t="shared" si="4"/>
        <v>704.8000000000003</v>
      </c>
      <c r="K80">
        <f t="shared" si="5"/>
        <v>704.8000000000003</v>
      </c>
      <c r="M80">
        <v>0.1</v>
      </c>
      <c r="N80">
        <v>2</v>
      </c>
      <c r="O80">
        <f t="shared" si="9"/>
        <v>-1.9</v>
      </c>
      <c r="Q80">
        <v>49</v>
      </c>
      <c r="R80">
        <f t="shared" si="8"/>
        <v>0.67108433734939754</v>
      </c>
      <c r="S80">
        <f t="shared" si="10"/>
        <v>1.3421686746987951</v>
      </c>
      <c r="T80">
        <f t="shared" si="11"/>
        <v>-1.242168674698795</v>
      </c>
      <c r="U80">
        <f t="shared" si="6"/>
        <v>152.90692771084341</v>
      </c>
      <c r="W80">
        <v>941.4</v>
      </c>
      <c r="X80">
        <f t="shared" si="7"/>
        <v>42582.600000000006</v>
      </c>
      <c r="Y80">
        <v>10.400985139512111</v>
      </c>
    </row>
    <row r="81" spans="1:25" x14ac:dyDescent="0.25">
      <c r="A81">
        <v>6360</v>
      </c>
      <c r="B81">
        <v>24170</v>
      </c>
      <c r="C81" s="1">
        <v>43026</v>
      </c>
      <c r="F81" s="50"/>
      <c r="G81">
        <v>15.3</v>
      </c>
      <c r="H81">
        <v>12.2</v>
      </c>
      <c r="I81">
        <v>20.399999999999999</v>
      </c>
      <c r="J81">
        <f t="shared" si="4"/>
        <v>720.10000000000025</v>
      </c>
      <c r="K81">
        <f t="shared" si="5"/>
        <v>720.10000000000025</v>
      </c>
      <c r="M81">
        <v>0</v>
      </c>
      <c r="N81">
        <v>2</v>
      </c>
      <c r="O81">
        <f t="shared" si="9"/>
        <v>-2</v>
      </c>
      <c r="Q81">
        <v>50</v>
      </c>
      <c r="R81">
        <f t="shared" si="8"/>
        <v>0.67891566265060233</v>
      </c>
      <c r="S81">
        <f t="shared" si="10"/>
        <v>1.3578313253012047</v>
      </c>
      <c r="T81">
        <f t="shared" si="11"/>
        <v>-1.3578313253012047</v>
      </c>
      <c r="U81">
        <f t="shared" si="6"/>
        <v>151.54909638554221</v>
      </c>
      <c r="W81">
        <v>852.5</v>
      </c>
      <c r="X81">
        <f t="shared" si="7"/>
        <v>43435.100000000006</v>
      </c>
      <c r="Y81">
        <v>10.342937078924274</v>
      </c>
    </row>
    <row r="82" spans="1:25" x14ac:dyDescent="0.25">
      <c r="A82">
        <v>6360</v>
      </c>
      <c r="B82">
        <v>24170</v>
      </c>
      <c r="C82" s="1">
        <v>43027</v>
      </c>
      <c r="F82" s="50"/>
      <c r="G82">
        <v>16.600000000000001</v>
      </c>
      <c r="H82">
        <v>13.1</v>
      </c>
      <c r="I82">
        <v>21.6</v>
      </c>
      <c r="J82">
        <f t="shared" si="4"/>
        <v>736.70000000000027</v>
      </c>
      <c r="K82">
        <f t="shared" si="5"/>
        <v>736.70000000000027</v>
      </c>
      <c r="M82">
        <v>4.5999999999999996</v>
      </c>
      <c r="N82">
        <v>1.9</v>
      </c>
      <c r="O82">
        <f t="shared" si="9"/>
        <v>2.6999999999999997</v>
      </c>
      <c r="Q82">
        <v>51</v>
      </c>
      <c r="R82">
        <f t="shared" si="8"/>
        <v>0.68674698795180722</v>
      </c>
      <c r="S82">
        <f t="shared" si="10"/>
        <v>1.3048192771084337</v>
      </c>
      <c r="T82">
        <f t="shared" si="11"/>
        <v>3.2951807228915659</v>
      </c>
      <c r="U82">
        <f t="shared" si="6"/>
        <v>154.84427710843377</v>
      </c>
      <c r="W82">
        <v>659.5</v>
      </c>
      <c r="X82">
        <f t="shared" si="7"/>
        <v>44094.600000000006</v>
      </c>
      <c r="Y82">
        <v>10.285165842726915</v>
      </c>
    </row>
    <row r="83" spans="1:25" x14ac:dyDescent="0.25">
      <c r="A83">
        <v>6360</v>
      </c>
      <c r="B83">
        <v>24170</v>
      </c>
      <c r="C83" s="1">
        <v>43028</v>
      </c>
      <c r="F83" s="50"/>
      <c r="G83">
        <v>13.1</v>
      </c>
      <c r="H83">
        <v>11.6</v>
      </c>
      <c r="I83">
        <v>15.6</v>
      </c>
      <c r="J83">
        <f t="shared" si="4"/>
        <v>749.8000000000003</v>
      </c>
      <c r="K83">
        <f t="shared" si="5"/>
        <v>749.8000000000003</v>
      </c>
      <c r="M83">
        <v>0.1</v>
      </c>
      <c r="N83">
        <v>2</v>
      </c>
      <c r="O83">
        <f t="shared" si="9"/>
        <v>-1.9</v>
      </c>
      <c r="Q83">
        <v>52</v>
      </c>
      <c r="R83">
        <f t="shared" si="8"/>
        <v>0.69457831325301211</v>
      </c>
      <c r="S83">
        <f t="shared" si="10"/>
        <v>1.3891566265060242</v>
      </c>
      <c r="T83">
        <f t="shared" si="11"/>
        <v>-1.2891566265060241</v>
      </c>
      <c r="U83">
        <f t="shared" si="6"/>
        <v>153.55512048192776</v>
      </c>
      <c r="W83">
        <v>849.8</v>
      </c>
      <c r="X83">
        <f t="shared" si="7"/>
        <v>44944.400000000009</v>
      </c>
      <c r="Y83">
        <v>10.227685432976413</v>
      </c>
    </row>
    <row r="84" spans="1:25" x14ac:dyDescent="0.25">
      <c r="A84">
        <v>6360</v>
      </c>
      <c r="B84">
        <v>24170</v>
      </c>
      <c r="C84" s="1">
        <v>43029</v>
      </c>
      <c r="F84" s="50"/>
      <c r="G84">
        <v>13.7</v>
      </c>
      <c r="H84">
        <v>11.4</v>
      </c>
      <c r="I84">
        <v>16</v>
      </c>
      <c r="J84">
        <f t="shared" si="4"/>
        <v>763.50000000000034</v>
      </c>
      <c r="K84">
        <f t="shared" si="5"/>
        <v>763.50000000000034</v>
      </c>
      <c r="M84">
        <v>3.1</v>
      </c>
      <c r="N84">
        <v>1.6</v>
      </c>
      <c r="O84">
        <f t="shared" si="9"/>
        <v>1.5</v>
      </c>
      <c r="Q84">
        <v>53</v>
      </c>
      <c r="R84">
        <f t="shared" si="8"/>
        <v>0.7024096385542169</v>
      </c>
      <c r="S84">
        <f t="shared" si="10"/>
        <v>1.1238554216867471</v>
      </c>
      <c r="T84">
        <f t="shared" si="11"/>
        <v>1.976144578313253</v>
      </c>
      <c r="U84">
        <f t="shared" si="6"/>
        <v>155.53126506024103</v>
      </c>
      <c r="W84">
        <v>524.6</v>
      </c>
      <c r="X84">
        <f t="shared" si="7"/>
        <v>45469.000000000007</v>
      </c>
      <c r="Y84">
        <v>10.170510248031226</v>
      </c>
    </row>
    <row r="85" spans="1:25" x14ac:dyDescent="0.25">
      <c r="A85">
        <v>6360</v>
      </c>
      <c r="B85">
        <v>24170</v>
      </c>
      <c r="C85" s="1">
        <v>43030</v>
      </c>
      <c r="F85" s="50"/>
      <c r="G85">
        <v>10.7</v>
      </c>
      <c r="H85">
        <v>9.5</v>
      </c>
      <c r="I85">
        <v>12.5</v>
      </c>
      <c r="J85">
        <f t="shared" si="4"/>
        <v>774.20000000000039</v>
      </c>
      <c r="K85">
        <f t="shared" si="5"/>
        <v>774.20000000000039</v>
      </c>
      <c r="M85">
        <v>4.2</v>
      </c>
      <c r="N85">
        <v>1.6</v>
      </c>
      <c r="O85">
        <f t="shared" si="9"/>
        <v>2.6</v>
      </c>
      <c r="Q85">
        <v>54</v>
      </c>
      <c r="R85">
        <f t="shared" si="8"/>
        <v>0.71024096385542168</v>
      </c>
      <c r="S85">
        <f t="shared" si="10"/>
        <v>1.1363855421686748</v>
      </c>
      <c r="T85">
        <f t="shared" si="11"/>
        <v>3.0636144578313251</v>
      </c>
      <c r="U85">
        <f t="shared" si="6"/>
        <v>158.59487951807236</v>
      </c>
      <c r="W85">
        <v>542.1</v>
      </c>
      <c r="X85">
        <f t="shared" si="7"/>
        <v>46011.100000000006</v>
      </c>
      <c r="Y85">
        <v>10.113655091140842</v>
      </c>
    </row>
    <row r="86" spans="1:25" x14ac:dyDescent="0.25">
      <c r="A86">
        <v>6360</v>
      </c>
      <c r="B86">
        <v>24170</v>
      </c>
      <c r="C86" s="1">
        <v>43031</v>
      </c>
      <c r="F86" s="50"/>
      <c r="G86">
        <v>12.1</v>
      </c>
      <c r="H86">
        <v>10</v>
      </c>
      <c r="I86">
        <v>14</v>
      </c>
      <c r="J86">
        <f t="shared" si="4"/>
        <v>786.30000000000041</v>
      </c>
      <c r="K86">
        <f t="shared" si="5"/>
        <v>786.30000000000041</v>
      </c>
      <c r="M86">
        <v>4.2</v>
      </c>
      <c r="N86">
        <v>0.9</v>
      </c>
      <c r="O86">
        <f t="shared" si="9"/>
        <v>3.3000000000000003</v>
      </c>
      <c r="Q86">
        <v>55</v>
      </c>
      <c r="R86">
        <f t="shared" si="8"/>
        <v>0.71807228915662646</v>
      </c>
      <c r="S86">
        <f t="shared" si="10"/>
        <v>0.64626506024096386</v>
      </c>
      <c r="T86">
        <f t="shared" si="11"/>
        <v>3.5537349397590363</v>
      </c>
      <c r="U86">
        <f t="shared" si="6"/>
        <v>162.1486144578314</v>
      </c>
      <c r="W86">
        <v>383.2</v>
      </c>
      <c r="X86">
        <f t="shared" si="7"/>
        <v>46394.3</v>
      </c>
      <c r="Y86">
        <v>10.057135178280747</v>
      </c>
    </row>
    <row r="87" spans="1:25" x14ac:dyDescent="0.25">
      <c r="A87">
        <v>6360</v>
      </c>
      <c r="B87">
        <v>24170</v>
      </c>
      <c r="C87" s="1">
        <v>43032</v>
      </c>
      <c r="F87" s="50"/>
      <c r="G87">
        <v>15</v>
      </c>
      <c r="H87">
        <v>12.7</v>
      </c>
      <c r="I87">
        <v>16.3</v>
      </c>
      <c r="J87">
        <f t="shared" si="4"/>
        <v>801.30000000000041</v>
      </c>
      <c r="K87">
        <f t="shared" si="5"/>
        <v>801.30000000000041</v>
      </c>
      <c r="M87">
        <v>1.2</v>
      </c>
      <c r="N87">
        <v>0.4</v>
      </c>
      <c r="O87">
        <f t="shared" si="9"/>
        <v>0.79999999999999993</v>
      </c>
      <c r="Q87">
        <v>56</v>
      </c>
      <c r="R87">
        <f t="shared" si="8"/>
        <v>0.72590361445783125</v>
      </c>
      <c r="S87">
        <f t="shared" si="10"/>
        <v>0.2903614457831325</v>
      </c>
      <c r="T87">
        <f t="shared" si="11"/>
        <v>0.90963855421686746</v>
      </c>
      <c r="U87">
        <f t="shared" si="6"/>
        <v>163.05825301204825</v>
      </c>
      <c r="W87">
        <v>162.9</v>
      </c>
      <c r="X87">
        <f t="shared" si="7"/>
        <v>46557.200000000004</v>
      </c>
      <c r="Y87">
        <v>10.000966145175267</v>
      </c>
    </row>
    <row r="88" spans="1:25" x14ac:dyDescent="0.25">
      <c r="A88">
        <v>6360</v>
      </c>
      <c r="B88">
        <v>24170</v>
      </c>
      <c r="C88" s="1">
        <v>43033</v>
      </c>
      <c r="F88" s="50"/>
      <c r="G88">
        <v>14.6</v>
      </c>
      <c r="H88">
        <v>14</v>
      </c>
      <c r="I88">
        <v>17.8</v>
      </c>
      <c r="J88">
        <f t="shared" si="4"/>
        <v>815.90000000000043</v>
      </c>
      <c r="K88">
        <f t="shared" si="5"/>
        <v>815.90000000000043</v>
      </c>
      <c r="M88">
        <v>0.1</v>
      </c>
      <c r="N88">
        <v>1</v>
      </c>
      <c r="O88">
        <f t="shared" si="9"/>
        <v>-0.9</v>
      </c>
      <c r="Q88">
        <v>57</v>
      </c>
      <c r="R88">
        <f t="shared" si="8"/>
        <v>0.73373493975903614</v>
      </c>
      <c r="S88">
        <f t="shared" si="10"/>
        <v>0.73373493975903614</v>
      </c>
      <c r="T88">
        <f t="shared" si="11"/>
        <v>-0.63373493975903616</v>
      </c>
      <c r="U88">
        <f t="shared" si="6"/>
        <v>162.42451807228923</v>
      </c>
      <c r="W88">
        <v>296.7</v>
      </c>
      <c r="X88">
        <f t="shared" si="7"/>
        <v>46853.9</v>
      </c>
      <c r="Y88">
        <v>9.9451640534473906</v>
      </c>
    </row>
    <row r="89" spans="1:25" x14ac:dyDescent="0.25">
      <c r="A89">
        <v>6360</v>
      </c>
      <c r="B89">
        <v>24170</v>
      </c>
      <c r="C89" s="1">
        <v>43034</v>
      </c>
      <c r="F89" s="50"/>
      <c r="G89">
        <v>12.7</v>
      </c>
      <c r="H89">
        <v>10.1</v>
      </c>
      <c r="I89">
        <v>13.9</v>
      </c>
      <c r="J89">
        <f t="shared" si="4"/>
        <v>828.60000000000048</v>
      </c>
      <c r="K89">
        <f t="shared" si="5"/>
        <v>828.60000000000048</v>
      </c>
      <c r="M89">
        <v>0</v>
      </c>
      <c r="N89">
        <v>0.7</v>
      </c>
      <c r="O89">
        <f t="shared" si="9"/>
        <v>-0.7</v>
      </c>
      <c r="Q89">
        <v>58</v>
      </c>
      <c r="R89">
        <f t="shared" si="8"/>
        <v>0.74156626506024104</v>
      </c>
      <c r="S89">
        <f t="shared" si="10"/>
        <v>0.51909638554216875</v>
      </c>
      <c r="T89">
        <f t="shared" si="11"/>
        <v>-0.51909638554216875</v>
      </c>
      <c r="U89">
        <f t="shared" si="6"/>
        <v>161.90542168674708</v>
      </c>
      <c r="W89">
        <v>345.9</v>
      </c>
      <c r="X89">
        <f t="shared" si="7"/>
        <v>47199.8</v>
      </c>
      <c r="Y89">
        <v>9.8897453958322323</v>
      </c>
    </row>
    <row r="90" spans="1:25" x14ac:dyDescent="0.25">
      <c r="A90">
        <v>6360</v>
      </c>
      <c r="B90">
        <v>24170</v>
      </c>
      <c r="C90" s="1">
        <v>43035</v>
      </c>
      <c r="F90" s="50"/>
      <c r="G90">
        <v>11.6</v>
      </c>
      <c r="H90">
        <v>10.5</v>
      </c>
      <c r="I90">
        <v>14.7</v>
      </c>
      <c r="J90">
        <f t="shared" si="4"/>
        <v>840.2000000000005</v>
      </c>
      <c r="K90">
        <f t="shared" si="5"/>
        <v>840.2000000000005</v>
      </c>
      <c r="M90">
        <v>0</v>
      </c>
      <c r="N90">
        <v>1.4</v>
      </c>
      <c r="O90">
        <f t="shared" si="9"/>
        <v>-1.4</v>
      </c>
      <c r="Q90">
        <v>59</v>
      </c>
      <c r="R90">
        <f t="shared" si="8"/>
        <v>0.74939759036144582</v>
      </c>
      <c r="S90">
        <f t="shared" si="10"/>
        <v>1.0491566265060241</v>
      </c>
      <c r="T90">
        <f t="shared" si="11"/>
        <v>-1.0491566265060241</v>
      </c>
      <c r="U90">
        <f t="shared" si="6"/>
        <v>160.85626506024104</v>
      </c>
      <c r="W90">
        <v>610.9</v>
      </c>
      <c r="X90">
        <f t="shared" si="7"/>
        <v>47810.700000000004</v>
      </c>
      <c r="Y90">
        <v>9.8347271003883066</v>
      </c>
    </row>
    <row r="91" spans="1:25" x14ac:dyDescent="0.25">
      <c r="A91">
        <v>6360</v>
      </c>
      <c r="B91">
        <v>24170</v>
      </c>
      <c r="C91" s="1">
        <v>43036</v>
      </c>
      <c r="F91" s="50"/>
      <c r="G91">
        <v>9.8000000000000007</v>
      </c>
      <c r="H91">
        <v>4.3</v>
      </c>
      <c r="I91">
        <v>13.2</v>
      </c>
      <c r="J91">
        <f t="shared" si="4"/>
        <v>850.00000000000045</v>
      </c>
      <c r="K91">
        <f t="shared" si="5"/>
        <v>850.00000000000045</v>
      </c>
      <c r="M91">
        <v>0.1</v>
      </c>
      <c r="N91">
        <v>1</v>
      </c>
      <c r="O91">
        <f t="shared" si="9"/>
        <v>-0.9</v>
      </c>
      <c r="Q91">
        <v>60</v>
      </c>
      <c r="R91">
        <f t="shared" si="8"/>
        <v>0.7572289156626506</v>
      </c>
      <c r="S91">
        <f t="shared" si="10"/>
        <v>0.7572289156626506</v>
      </c>
      <c r="T91">
        <f t="shared" si="11"/>
        <v>-0.65722891566265063</v>
      </c>
      <c r="U91">
        <f t="shared" si="6"/>
        <v>160.1990361445784</v>
      </c>
      <c r="W91">
        <v>478</v>
      </c>
      <c r="X91">
        <f t="shared" si="7"/>
        <v>48288.700000000004</v>
      </c>
      <c r="Y91">
        <v>9.7801265336385761</v>
      </c>
    </row>
    <row r="92" spans="1:25" x14ac:dyDescent="0.25">
      <c r="A92">
        <v>6360</v>
      </c>
      <c r="B92">
        <v>24170</v>
      </c>
      <c r="C92" s="1">
        <v>43037</v>
      </c>
      <c r="F92" s="50"/>
      <c r="G92">
        <v>11.3</v>
      </c>
      <c r="H92">
        <v>9.6</v>
      </c>
      <c r="I92">
        <v>14</v>
      </c>
      <c r="J92">
        <f t="shared" si="4"/>
        <v>861.30000000000041</v>
      </c>
      <c r="K92">
        <f t="shared" si="5"/>
        <v>861.30000000000041</v>
      </c>
      <c r="M92">
        <v>1.7</v>
      </c>
      <c r="N92">
        <v>0.8</v>
      </c>
      <c r="O92">
        <f t="shared" si="9"/>
        <v>0.89999999999999991</v>
      </c>
      <c r="Q92">
        <v>61</v>
      </c>
      <c r="R92">
        <f t="shared" si="8"/>
        <v>0.76506024096385539</v>
      </c>
      <c r="S92">
        <f t="shared" si="10"/>
        <v>0.61204819277108435</v>
      </c>
      <c r="T92">
        <f t="shared" si="11"/>
        <v>1.0879518072289156</v>
      </c>
      <c r="U92">
        <f t="shared" si="6"/>
        <v>161.2869879518073</v>
      </c>
      <c r="W92">
        <v>218.9</v>
      </c>
      <c r="X92">
        <f t="shared" si="7"/>
        <v>48507.600000000006</v>
      </c>
      <c r="Y92">
        <v>9.725961502571101</v>
      </c>
    </row>
    <row r="93" spans="1:25" x14ac:dyDescent="0.25">
      <c r="A93">
        <v>6360</v>
      </c>
      <c r="B93">
        <v>24170</v>
      </c>
      <c r="C93" s="1">
        <v>43038</v>
      </c>
      <c r="F93" s="50"/>
      <c r="G93">
        <v>7</v>
      </c>
      <c r="H93">
        <v>4.5</v>
      </c>
      <c r="I93">
        <v>11.3</v>
      </c>
      <c r="J93">
        <f t="shared" si="4"/>
        <v>868.30000000000041</v>
      </c>
      <c r="K93">
        <f t="shared" si="5"/>
        <v>868.30000000000041</v>
      </c>
      <c r="M93">
        <v>0</v>
      </c>
      <c r="N93">
        <v>1.2</v>
      </c>
      <c r="O93">
        <f t="shared" si="9"/>
        <v>-1.2</v>
      </c>
      <c r="Q93">
        <v>62</v>
      </c>
      <c r="R93">
        <f t="shared" si="8"/>
        <v>0.77289156626506017</v>
      </c>
      <c r="S93">
        <f t="shared" si="10"/>
        <v>0.92746987951807214</v>
      </c>
      <c r="T93">
        <f t="shared" si="11"/>
        <v>-0.92746987951807214</v>
      </c>
      <c r="U93">
        <f t="shared" si="6"/>
        <v>160.35951807228923</v>
      </c>
      <c r="W93">
        <v>573.20000000000005</v>
      </c>
      <c r="X93">
        <f t="shared" si="7"/>
        <v>49080.800000000003</v>
      </c>
      <c r="Y93">
        <v>9.6722502554272562</v>
      </c>
    </row>
    <row r="94" spans="1:25" x14ac:dyDescent="0.25">
      <c r="A94">
        <v>6360</v>
      </c>
      <c r="B94">
        <v>24170</v>
      </c>
      <c r="C94" s="1">
        <v>43039</v>
      </c>
      <c r="F94" s="50"/>
      <c r="G94">
        <v>6</v>
      </c>
      <c r="H94">
        <v>1.9</v>
      </c>
      <c r="I94">
        <v>11.6</v>
      </c>
      <c r="J94">
        <f t="shared" si="4"/>
        <v>874.30000000000041</v>
      </c>
      <c r="K94">
        <f t="shared" si="5"/>
        <v>874.30000000000041</v>
      </c>
      <c r="M94">
        <v>0</v>
      </c>
      <c r="N94">
        <v>1.2</v>
      </c>
      <c r="O94">
        <f t="shared" si="9"/>
        <v>-1.2</v>
      </c>
      <c r="Q94">
        <v>63</v>
      </c>
      <c r="R94">
        <f t="shared" si="8"/>
        <v>0.78072289156626506</v>
      </c>
      <c r="S94">
        <f t="shared" si="10"/>
        <v>0.93686746987951808</v>
      </c>
      <c r="T94">
        <f t="shared" si="11"/>
        <v>-0.93686746987951808</v>
      </c>
      <c r="U94">
        <f t="shared" si="6"/>
        <v>159.4226506024097</v>
      </c>
      <c r="W94">
        <v>666.7</v>
      </c>
      <c r="X94">
        <f t="shared" si="7"/>
        <v>49747.5</v>
      </c>
      <c r="Y94">
        <v>9.6190114812038434</v>
      </c>
    </row>
    <row r="95" spans="1:25" x14ac:dyDescent="0.25">
      <c r="A95">
        <v>6360</v>
      </c>
      <c r="B95">
        <v>24170</v>
      </c>
      <c r="C95" s="1">
        <v>43040</v>
      </c>
      <c r="F95" s="50"/>
      <c r="G95">
        <v>8.1</v>
      </c>
      <c r="H95">
        <v>3.8</v>
      </c>
      <c r="I95">
        <v>13.4</v>
      </c>
      <c r="J95">
        <f t="shared" si="4"/>
        <v>882.40000000000043</v>
      </c>
      <c r="K95">
        <f t="shared" si="5"/>
        <v>882.40000000000043</v>
      </c>
      <c r="M95">
        <v>0</v>
      </c>
      <c r="N95">
        <v>1.4</v>
      </c>
      <c r="O95">
        <f t="shared" si="9"/>
        <v>-1.4</v>
      </c>
      <c r="Q95">
        <v>64</v>
      </c>
      <c r="R95">
        <f t="shared" si="8"/>
        <v>0.78855421686746985</v>
      </c>
      <c r="S95">
        <f t="shared" si="10"/>
        <v>1.1039759036144576</v>
      </c>
      <c r="T95">
        <f t="shared" si="11"/>
        <v>-1.1039759036144576</v>
      </c>
      <c r="U95">
        <f t="shared" si="6"/>
        <v>158.31867469879523</v>
      </c>
      <c r="W95">
        <v>705.9</v>
      </c>
      <c r="X95">
        <f t="shared" si="7"/>
        <v>50453.4</v>
      </c>
      <c r="Y95">
        <v>9.5662643077942597</v>
      </c>
    </row>
    <row r="96" spans="1:25" x14ac:dyDescent="0.25">
      <c r="A96">
        <v>6360</v>
      </c>
      <c r="B96">
        <v>24170</v>
      </c>
      <c r="C96" s="1">
        <v>43041</v>
      </c>
      <c r="F96" s="50"/>
      <c r="G96">
        <v>10.1</v>
      </c>
      <c r="H96">
        <v>7.4</v>
      </c>
      <c r="I96">
        <v>12.7</v>
      </c>
      <c r="J96">
        <f t="shared" si="4"/>
        <v>892.50000000000045</v>
      </c>
      <c r="K96">
        <f t="shared" si="5"/>
        <v>892.50000000000045</v>
      </c>
      <c r="M96">
        <v>0</v>
      </c>
      <c r="N96">
        <v>0.5</v>
      </c>
      <c r="O96">
        <f t="shared" si="9"/>
        <v>-0.5</v>
      </c>
      <c r="Q96">
        <v>65</v>
      </c>
      <c r="R96">
        <f t="shared" si="8"/>
        <v>0.79638554216867474</v>
      </c>
      <c r="S96">
        <f t="shared" si="10"/>
        <v>0.39819277108433737</v>
      </c>
      <c r="T96">
        <f t="shared" si="11"/>
        <v>-0.39819277108433737</v>
      </c>
      <c r="U96">
        <f t="shared" si="6"/>
        <v>157.92048192771091</v>
      </c>
      <c r="W96">
        <v>120.5</v>
      </c>
      <c r="X96">
        <f t="shared" si="7"/>
        <v>50573.9</v>
      </c>
      <c r="Y96">
        <v>9.5140282986927271</v>
      </c>
    </row>
    <row r="97" spans="1:25" x14ac:dyDescent="0.25">
      <c r="A97">
        <v>6360</v>
      </c>
      <c r="B97">
        <v>24170</v>
      </c>
      <c r="C97" s="1">
        <v>43042</v>
      </c>
      <c r="F97" s="50"/>
      <c r="G97">
        <v>11.8</v>
      </c>
      <c r="H97">
        <v>9.9</v>
      </c>
      <c r="I97">
        <v>14.6</v>
      </c>
      <c r="J97">
        <f t="shared" si="4"/>
        <v>904.30000000000041</v>
      </c>
      <c r="K97">
        <f t="shared" si="5"/>
        <v>904.30000000000041</v>
      </c>
      <c r="M97">
        <v>0</v>
      </c>
      <c r="N97">
        <v>1.1000000000000001</v>
      </c>
      <c r="O97">
        <f t="shared" si="9"/>
        <v>-1.1000000000000001</v>
      </c>
      <c r="Q97">
        <v>66</v>
      </c>
      <c r="R97">
        <f t="shared" si="8"/>
        <v>0.80421686746987953</v>
      </c>
      <c r="S97">
        <f t="shared" si="10"/>
        <v>0.88463855421686755</v>
      </c>
      <c r="T97">
        <f t="shared" si="11"/>
        <v>-0.88463855421686755</v>
      </c>
      <c r="U97">
        <f t="shared" si="6"/>
        <v>157.03584337349403</v>
      </c>
      <c r="W97">
        <v>548.70000000000005</v>
      </c>
      <c r="X97">
        <f t="shared" si="7"/>
        <v>51122.6</v>
      </c>
      <c r="Y97">
        <v>9.4623234481852947</v>
      </c>
    </row>
    <row r="98" spans="1:25" x14ac:dyDescent="0.25">
      <c r="A98">
        <v>6360</v>
      </c>
      <c r="B98">
        <v>24170</v>
      </c>
      <c r="C98" s="1">
        <v>43043</v>
      </c>
      <c r="F98" s="50"/>
      <c r="G98">
        <v>12.1</v>
      </c>
      <c r="H98">
        <v>10.5</v>
      </c>
      <c r="I98">
        <v>14.5</v>
      </c>
      <c r="J98">
        <f t="shared" ref="J98:J161" si="12">J97+G98</f>
        <v>916.40000000000043</v>
      </c>
      <c r="K98">
        <f t="shared" ref="K98:K161" si="13">K97+G98</f>
        <v>916.40000000000043</v>
      </c>
      <c r="M98">
        <v>4.4000000000000004</v>
      </c>
      <c r="N98">
        <v>0.8</v>
      </c>
      <c r="O98">
        <f t="shared" si="9"/>
        <v>3.6000000000000005</v>
      </c>
      <c r="Q98">
        <v>67</v>
      </c>
      <c r="R98">
        <f t="shared" si="8"/>
        <v>0.81204819277108431</v>
      </c>
      <c r="S98">
        <f t="shared" si="10"/>
        <v>0.64963855421686745</v>
      </c>
      <c r="T98">
        <f t="shared" si="11"/>
        <v>3.7503614457831329</v>
      </c>
      <c r="U98">
        <f t="shared" ref="U98:U161" si="14">MIN(U97+T98,179.3)</f>
        <v>160.78620481927717</v>
      </c>
      <c r="W98">
        <v>183.3</v>
      </c>
      <c r="X98">
        <f t="shared" ref="X98:X161" si="15">X97+W98</f>
        <v>51305.9</v>
      </c>
      <c r="Y98">
        <v>9.4111701749511134</v>
      </c>
    </row>
    <row r="99" spans="1:25" x14ac:dyDescent="0.25">
      <c r="A99">
        <v>6360</v>
      </c>
      <c r="B99">
        <v>24170</v>
      </c>
      <c r="C99" s="1">
        <v>43044</v>
      </c>
      <c r="F99" s="50"/>
      <c r="G99">
        <v>7</v>
      </c>
      <c r="H99">
        <v>4.9000000000000004</v>
      </c>
      <c r="I99">
        <v>9.6999999999999993</v>
      </c>
      <c r="J99">
        <f t="shared" si="12"/>
        <v>923.40000000000043</v>
      </c>
      <c r="K99">
        <f t="shared" si="13"/>
        <v>923.40000000000043</v>
      </c>
      <c r="M99">
        <v>0.3</v>
      </c>
      <c r="N99">
        <v>0.9</v>
      </c>
      <c r="O99">
        <f t="shared" si="9"/>
        <v>-0.60000000000000009</v>
      </c>
      <c r="Q99">
        <v>68</v>
      </c>
      <c r="R99">
        <f t="shared" si="8"/>
        <v>0.81987951807228909</v>
      </c>
      <c r="S99">
        <f t="shared" si="10"/>
        <v>0.73789156626506025</v>
      </c>
      <c r="T99">
        <f t="shared" si="11"/>
        <v>-0.43789156626506026</v>
      </c>
      <c r="U99">
        <f t="shared" si="14"/>
        <v>160.34831325301212</v>
      </c>
      <c r="W99">
        <v>592.29999999999995</v>
      </c>
      <c r="X99">
        <f t="shared" si="15"/>
        <v>51898.200000000004</v>
      </c>
      <c r="Y99">
        <v>9.3605893139980374</v>
      </c>
    </row>
    <row r="100" spans="1:25" x14ac:dyDescent="0.25">
      <c r="A100">
        <v>6360</v>
      </c>
      <c r="B100">
        <v>24170</v>
      </c>
      <c r="C100" s="1">
        <v>43045</v>
      </c>
      <c r="F100" s="50"/>
      <c r="G100">
        <v>5.5</v>
      </c>
      <c r="H100">
        <v>4.9000000000000004</v>
      </c>
      <c r="I100">
        <v>9.6999999999999993</v>
      </c>
      <c r="J100">
        <f t="shared" si="12"/>
        <v>928.90000000000043</v>
      </c>
      <c r="K100">
        <f t="shared" si="13"/>
        <v>928.90000000000043</v>
      </c>
      <c r="M100">
        <v>0</v>
      </c>
      <c r="N100">
        <v>1.4</v>
      </c>
      <c r="O100">
        <f t="shared" si="9"/>
        <v>-1.4</v>
      </c>
      <c r="Q100">
        <v>69</v>
      </c>
      <c r="R100">
        <f t="shared" si="8"/>
        <v>0.82771084337349399</v>
      </c>
      <c r="S100">
        <f t="shared" si="10"/>
        <v>1.1587951807228916</v>
      </c>
      <c r="T100">
        <f t="shared" si="11"/>
        <v>-1.1587951807228916</v>
      </c>
      <c r="U100">
        <f t="shared" si="14"/>
        <v>159.18951807228922</v>
      </c>
      <c r="W100">
        <v>623</v>
      </c>
      <c r="X100">
        <f t="shared" si="15"/>
        <v>52521.200000000004</v>
      </c>
      <c r="Y100">
        <v>9.310602106857564</v>
      </c>
    </row>
    <row r="101" spans="1:25" x14ac:dyDescent="0.25">
      <c r="A101">
        <v>6360</v>
      </c>
      <c r="B101">
        <v>24170</v>
      </c>
      <c r="C101" s="1">
        <v>43046</v>
      </c>
      <c r="F101" s="50"/>
      <c r="G101">
        <v>2.7</v>
      </c>
      <c r="H101">
        <v>-0.9</v>
      </c>
      <c r="I101">
        <v>8.9</v>
      </c>
      <c r="J101">
        <f t="shared" si="12"/>
        <v>931.60000000000048</v>
      </c>
      <c r="K101">
        <f t="shared" si="13"/>
        <v>931.60000000000048</v>
      </c>
      <c r="M101">
        <v>0.1</v>
      </c>
      <c r="N101">
        <v>1.2</v>
      </c>
      <c r="O101">
        <f t="shared" si="9"/>
        <v>-1.0999999999999999</v>
      </c>
      <c r="Q101">
        <v>70</v>
      </c>
      <c r="R101">
        <f t="shared" si="8"/>
        <v>0.83554216867469877</v>
      </c>
      <c r="S101">
        <f t="shared" si="10"/>
        <v>1.0026506024096384</v>
      </c>
      <c r="T101">
        <f t="shared" si="11"/>
        <v>-0.90265060240963846</v>
      </c>
      <c r="U101">
        <f t="shared" si="14"/>
        <v>158.28686746987958</v>
      </c>
      <c r="W101">
        <v>819.8</v>
      </c>
      <c r="X101">
        <f t="shared" si="15"/>
        <v>53341.000000000007</v>
      </c>
      <c r="Y101">
        <v>9.2612301899659535</v>
      </c>
    </row>
    <row r="102" spans="1:25" x14ac:dyDescent="0.25">
      <c r="A102">
        <v>6360</v>
      </c>
      <c r="B102">
        <v>24170</v>
      </c>
      <c r="C102" s="1">
        <v>43047</v>
      </c>
      <c r="F102" s="50"/>
      <c r="G102">
        <v>4.8</v>
      </c>
      <c r="H102">
        <v>-0.5</v>
      </c>
      <c r="I102">
        <v>6.7</v>
      </c>
      <c r="J102">
        <f t="shared" si="12"/>
        <v>936.40000000000043</v>
      </c>
      <c r="K102">
        <f t="shared" si="13"/>
        <v>936.40000000000043</v>
      </c>
      <c r="M102">
        <v>0</v>
      </c>
      <c r="N102">
        <v>0.3</v>
      </c>
      <c r="O102">
        <f t="shared" si="9"/>
        <v>-0.3</v>
      </c>
      <c r="Q102">
        <v>71</v>
      </c>
      <c r="R102">
        <f t="shared" si="8"/>
        <v>0.84337349397590367</v>
      </c>
      <c r="S102">
        <f t="shared" si="10"/>
        <v>0.25301204819277107</v>
      </c>
      <c r="T102">
        <f t="shared" si="11"/>
        <v>-0.25301204819277107</v>
      </c>
      <c r="U102">
        <f t="shared" si="14"/>
        <v>158.03385542168681</v>
      </c>
      <c r="W102">
        <v>281.10000000000002</v>
      </c>
      <c r="X102">
        <f t="shared" si="15"/>
        <v>53622.100000000006</v>
      </c>
      <c r="Y102">
        <v>9.2124955811606206</v>
      </c>
    </row>
    <row r="103" spans="1:25" x14ac:dyDescent="0.25">
      <c r="A103">
        <v>6360</v>
      </c>
      <c r="B103">
        <v>24170</v>
      </c>
      <c r="C103" s="1">
        <v>43048</v>
      </c>
      <c r="F103" s="50"/>
      <c r="G103">
        <v>7.4</v>
      </c>
      <c r="H103">
        <v>5.5</v>
      </c>
      <c r="I103">
        <v>9</v>
      </c>
      <c r="J103">
        <f t="shared" si="12"/>
        <v>943.80000000000041</v>
      </c>
      <c r="K103">
        <f t="shared" si="13"/>
        <v>943.80000000000041</v>
      </c>
      <c r="M103">
        <v>0.4</v>
      </c>
      <c r="N103">
        <v>0.6</v>
      </c>
      <c r="O103">
        <f t="shared" si="9"/>
        <v>-0.19999999999999996</v>
      </c>
      <c r="Q103">
        <v>72</v>
      </c>
      <c r="R103">
        <f t="shared" si="8"/>
        <v>0.85120481927710845</v>
      </c>
      <c r="S103">
        <f t="shared" si="10"/>
        <v>0.51072289156626505</v>
      </c>
      <c r="T103">
        <f t="shared" si="11"/>
        <v>-0.11072289156626502</v>
      </c>
      <c r="U103">
        <f t="shared" si="14"/>
        <v>157.92313253012054</v>
      </c>
      <c r="W103">
        <v>386.5</v>
      </c>
      <c r="X103">
        <f t="shared" si="15"/>
        <v>54008.600000000006</v>
      </c>
      <c r="Y103">
        <v>9.1644206642241581</v>
      </c>
    </row>
    <row r="104" spans="1:25" x14ac:dyDescent="0.25">
      <c r="A104">
        <v>6360</v>
      </c>
      <c r="B104">
        <v>24170</v>
      </c>
      <c r="C104" s="1">
        <v>43049</v>
      </c>
      <c r="F104" s="50"/>
      <c r="G104">
        <v>9.8000000000000007</v>
      </c>
      <c r="H104">
        <v>7.8</v>
      </c>
      <c r="I104">
        <v>11.1</v>
      </c>
      <c r="J104">
        <f t="shared" si="12"/>
        <v>953.60000000000036</v>
      </c>
      <c r="K104">
        <f t="shared" si="13"/>
        <v>953.60000000000036</v>
      </c>
      <c r="M104">
        <v>4</v>
      </c>
      <c r="N104">
        <v>0.4</v>
      </c>
      <c r="O104">
        <f t="shared" si="9"/>
        <v>3.6</v>
      </c>
      <c r="Q104">
        <v>73</v>
      </c>
      <c r="R104">
        <f t="shared" si="8"/>
        <v>0.85903614457831323</v>
      </c>
      <c r="S104">
        <f t="shared" si="10"/>
        <v>0.34361445783132533</v>
      </c>
      <c r="T104">
        <f t="shared" si="11"/>
        <v>3.6563855421686746</v>
      </c>
      <c r="U104">
        <f t="shared" si="14"/>
        <v>161.5795180722892</v>
      </c>
      <c r="W104">
        <v>105</v>
      </c>
      <c r="X104">
        <f t="shared" si="15"/>
        <v>54113.600000000006</v>
      </c>
      <c r="Y104">
        <v>9.1170281714122599</v>
      </c>
    </row>
    <row r="105" spans="1:25" x14ac:dyDescent="0.25">
      <c r="A105">
        <v>6360</v>
      </c>
      <c r="B105">
        <v>24170</v>
      </c>
      <c r="C105" s="1">
        <v>43050</v>
      </c>
      <c r="F105" s="50"/>
      <c r="G105">
        <v>10.6</v>
      </c>
      <c r="H105">
        <v>8.8000000000000007</v>
      </c>
      <c r="I105">
        <v>12.6</v>
      </c>
      <c r="J105">
        <f t="shared" si="12"/>
        <v>964.20000000000039</v>
      </c>
      <c r="K105">
        <f t="shared" si="13"/>
        <v>964.20000000000039</v>
      </c>
      <c r="M105">
        <v>11.3</v>
      </c>
      <c r="N105">
        <v>0.6</v>
      </c>
      <c r="O105">
        <f t="shared" si="9"/>
        <v>10.700000000000001</v>
      </c>
      <c r="Q105">
        <v>74</v>
      </c>
      <c r="R105">
        <f t="shared" ref="R105:R122" si="16">0.35+((Q105-8)/83)*(1-0.35)</f>
        <v>0.86686746987951813</v>
      </c>
      <c r="S105">
        <f t="shared" si="10"/>
        <v>0.52012048192771088</v>
      </c>
      <c r="T105">
        <f t="shared" si="11"/>
        <v>10.77987951807229</v>
      </c>
      <c r="U105">
        <f t="shared" si="14"/>
        <v>172.35939759036148</v>
      </c>
      <c r="W105">
        <v>141.30000000000001</v>
      </c>
      <c r="X105">
        <f t="shared" si="15"/>
        <v>54254.900000000009</v>
      </c>
      <c r="Y105">
        <v>9.0703411639067806</v>
      </c>
    </row>
    <row r="106" spans="1:25" x14ac:dyDescent="0.25">
      <c r="A106">
        <v>6360</v>
      </c>
      <c r="B106">
        <v>24170</v>
      </c>
      <c r="C106" s="1">
        <v>43051</v>
      </c>
      <c r="F106" s="50"/>
      <c r="G106">
        <v>8.3000000000000007</v>
      </c>
      <c r="H106">
        <v>5.4</v>
      </c>
      <c r="I106">
        <v>11</v>
      </c>
      <c r="J106">
        <f t="shared" si="12"/>
        <v>972.50000000000034</v>
      </c>
      <c r="K106">
        <f t="shared" si="13"/>
        <v>972.50000000000034</v>
      </c>
      <c r="M106">
        <v>7.6</v>
      </c>
      <c r="N106">
        <v>0.5</v>
      </c>
      <c r="O106">
        <f t="shared" si="9"/>
        <v>7.1</v>
      </c>
      <c r="Q106">
        <v>75</v>
      </c>
      <c r="R106">
        <f t="shared" si="16"/>
        <v>0.87469879518072291</v>
      </c>
      <c r="S106">
        <f t="shared" si="10"/>
        <v>0.43734939759036146</v>
      </c>
      <c r="T106">
        <f t="shared" si="11"/>
        <v>7.1626506024096379</v>
      </c>
      <c r="U106">
        <f t="shared" si="14"/>
        <v>179.3</v>
      </c>
      <c r="W106">
        <v>363.4</v>
      </c>
      <c r="X106">
        <f t="shared" si="15"/>
        <v>54618.30000000001</v>
      </c>
      <c r="Y106">
        <v>9.0243830101408076</v>
      </c>
    </row>
    <row r="107" spans="1:25" x14ac:dyDescent="0.25">
      <c r="A107">
        <v>6360</v>
      </c>
      <c r="B107">
        <v>24170</v>
      </c>
      <c r="C107" s="1">
        <v>43052</v>
      </c>
      <c r="D107" t="s">
        <v>36</v>
      </c>
      <c r="F107" s="50"/>
      <c r="G107">
        <v>6.2</v>
      </c>
      <c r="H107">
        <v>5.3</v>
      </c>
      <c r="I107">
        <v>8.3000000000000007</v>
      </c>
      <c r="J107">
        <f t="shared" si="12"/>
        <v>978.70000000000039</v>
      </c>
      <c r="K107">
        <f t="shared" si="13"/>
        <v>978.70000000000039</v>
      </c>
      <c r="M107">
        <v>0.1</v>
      </c>
      <c r="N107">
        <v>1</v>
      </c>
      <c r="O107">
        <f t="shared" si="9"/>
        <v>-0.9</v>
      </c>
      <c r="Q107">
        <v>76</v>
      </c>
      <c r="R107">
        <f t="shared" si="16"/>
        <v>0.88253012048192769</v>
      </c>
      <c r="S107">
        <f t="shared" si="10"/>
        <v>0.88253012048192769</v>
      </c>
      <c r="T107">
        <f t="shared" si="11"/>
        <v>-0.78253012048192772</v>
      </c>
      <c r="U107">
        <f t="shared" si="14"/>
        <v>178.51746987951807</v>
      </c>
      <c r="W107">
        <v>510.4</v>
      </c>
      <c r="X107">
        <f t="shared" si="15"/>
        <v>55128.700000000012</v>
      </c>
      <c r="Y107">
        <v>8.9791773619496489</v>
      </c>
    </row>
    <row r="108" spans="1:25" x14ac:dyDescent="0.25">
      <c r="A108">
        <v>6360</v>
      </c>
      <c r="B108">
        <v>24170</v>
      </c>
      <c r="C108" s="1">
        <v>43053</v>
      </c>
      <c r="F108" s="50"/>
      <c r="G108">
        <v>5.2</v>
      </c>
      <c r="H108">
        <v>0.8</v>
      </c>
      <c r="I108">
        <v>9.3000000000000007</v>
      </c>
      <c r="J108">
        <f t="shared" si="12"/>
        <v>983.90000000000043</v>
      </c>
      <c r="K108">
        <f t="shared" si="13"/>
        <v>983.90000000000043</v>
      </c>
      <c r="M108">
        <v>0</v>
      </c>
      <c r="N108">
        <v>0.7</v>
      </c>
      <c r="O108">
        <f t="shared" si="9"/>
        <v>-0.7</v>
      </c>
      <c r="Q108">
        <v>77</v>
      </c>
      <c r="R108">
        <f t="shared" si="16"/>
        <v>0.89036144578313259</v>
      </c>
      <c r="S108">
        <f t="shared" si="10"/>
        <v>0.62325301204819272</v>
      </c>
      <c r="T108">
        <f t="shared" si="11"/>
        <v>-0.62325301204819272</v>
      </c>
      <c r="U108">
        <f t="shared" si="14"/>
        <v>177.89421686746988</v>
      </c>
      <c r="W108">
        <v>492.6</v>
      </c>
      <c r="X108">
        <f t="shared" si="15"/>
        <v>55621.30000000001</v>
      </c>
      <c r="Y108">
        <v>8.9347481285092467</v>
      </c>
    </row>
    <row r="109" spans="1:25" x14ac:dyDescent="0.25">
      <c r="A109">
        <v>6360</v>
      </c>
      <c r="B109">
        <v>24170</v>
      </c>
      <c r="C109" s="1">
        <v>43054</v>
      </c>
      <c r="F109" s="50"/>
      <c r="G109">
        <v>6.1</v>
      </c>
      <c r="H109">
        <v>3.9</v>
      </c>
      <c r="I109">
        <v>7.9</v>
      </c>
      <c r="J109">
        <f t="shared" si="12"/>
        <v>990.00000000000045</v>
      </c>
      <c r="K109">
        <f t="shared" si="13"/>
        <v>990.00000000000045</v>
      </c>
      <c r="M109">
        <v>0</v>
      </c>
      <c r="N109">
        <v>0.5</v>
      </c>
      <c r="O109">
        <f t="shared" si="9"/>
        <v>-0.5</v>
      </c>
      <c r="Q109">
        <v>78</v>
      </c>
      <c r="R109">
        <f t="shared" si="16"/>
        <v>0.89819277108433737</v>
      </c>
      <c r="S109">
        <f t="shared" si="10"/>
        <v>0.44909638554216869</v>
      </c>
      <c r="T109">
        <f t="shared" si="11"/>
        <v>-0.44909638554216869</v>
      </c>
      <c r="U109">
        <f t="shared" si="14"/>
        <v>177.44512048192772</v>
      </c>
      <c r="W109">
        <v>172.2</v>
      </c>
      <c r="X109">
        <f t="shared" si="15"/>
        <v>55793.500000000007</v>
      </c>
      <c r="Y109">
        <v>8.8911194480325175</v>
      </c>
    </row>
    <row r="110" spans="1:25" x14ac:dyDescent="0.25">
      <c r="A110">
        <v>6360</v>
      </c>
      <c r="B110">
        <v>24170</v>
      </c>
      <c r="C110" s="1">
        <v>43055</v>
      </c>
      <c r="F110" s="50"/>
      <c r="G110">
        <v>7</v>
      </c>
      <c r="H110">
        <v>4.4000000000000004</v>
      </c>
      <c r="I110">
        <v>9.9</v>
      </c>
      <c r="J110">
        <f t="shared" si="12"/>
        <v>997.00000000000045</v>
      </c>
      <c r="K110">
        <f t="shared" si="13"/>
        <v>997.00000000000045</v>
      </c>
      <c r="M110">
        <v>1.4</v>
      </c>
      <c r="N110">
        <v>0.8</v>
      </c>
      <c r="O110">
        <f t="shared" si="9"/>
        <v>0.59999999999999987</v>
      </c>
      <c r="Q110">
        <v>79</v>
      </c>
      <c r="R110">
        <f t="shared" si="16"/>
        <v>0.90602409638554215</v>
      </c>
      <c r="S110">
        <f t="shared" si="10"/>
        <v>0.72481927710843375</v>
      </c>
      <c r="T110">
        <f t="shared" si="11"/>
        <v>0.67518072289156617</v>
      </c>
      <c r="U110">
        <f t="shared" si="14"/>
        <v>178.12030120481927</v>
      </c>
      <c r="W110">
        <v>366.1</v>
      </c>
      <c r="X110">
        <f t="shared" si="15"/>
        <v>56159.600000000006</v>
      </c>
      <c r="Y110">
        <v>8.8483156572041857</v>
      </c>
    </row>
    <row r="111" spans="1:25" x14ac:dyDescent="0.25">
      <c r="A111">
        <v>6360</v>
      </c>
      <c r="B111">
        <v>24170</v>
      </c>
      <c r="C111" s="1">
        <v>43056</v>
      </c>
      <c r="F111" s="50"/>
      <c r="G111">
        <v>7.4</v>
      </c>
      <c r="H111">
        <v>7.1</v>
      </c>
      <c r="I111">
        <v>9.1999999999999993</v>
      </c>
      <c r="J111">
        <f t="shared" si="12"/>
        <v>1004.4000000000004</v>
      </c>
      <c r="K111">
        <f t="shared" si="13"/>
        <v>1004.4000000000004</v>
      </c>
      <c r="M111">
        <v>0.5</v>
      </c>
      <c r="N111">
        <v>0.5</v>
      </c>
      <c r="O111">
        <f t="shared" si="9"/>
        <v>0</v>
      </c>
      <c r="Q111">
        <v>80</v>
      </c>
      <c r="R111">
        <f t="shared" si="16"/>
        <v>0.91385542168674705</v>
      </c>
      <c r="S111">
        <f t="shared" si="10"/>
        <v>0.45692771084337352</v>
      </c>
      <c r="T111">
        <f t="shared" si="11"/>
        <v>4.3072289156626475E-2</v>
      </c>
      <c r="U111">
        <f t="shared" si="14"/>
        <v>178.16337349397591</v>
      </c>
      <c r="W111">
        <v>157.30000000000001</v>
      </c>
      <c r="X111">
        <f t="shared" si="15"/>
        <v>56316.900000000009</v>
      </c>
      <c r="Y111">
        <v>8.8063612583456319</v>
      </c>
    </row>
    <row r="112" spans="1:25" x14ac:dyDescent="0.25">
      <c r="A112">
        <v>6360</v>
      </c>
      <c r="B112">
        <v>24170</v>
      </c>
      <c r="C112" s="1">
        <v>43057</v>
      </c>
      <c r="F112" s="50"/>
      <c r="G112">
        <v>5.4</v>
      </c>
      <c r="H112">
        <v>1.8</v>
      </c>
      <c r="I112">
        <v>7.7</v>
      </c>
      <c r="J112">
        <f t="shared" si="12"/>
        <v>1009.8000000000004</v>
      </c>
      <c r="K112">
        <f t="shared" si="13"/>
        <v>1009.8000000000004</v>
      </c>
      <c r="M112">
        <v>0.9</v>
      </c>
      <c r="N112">
        <v>0.3</v>
      </c>
      <c r="O112">
        <f t="shared" si="9"/>
        <v>0.60000000000000009</v>
      </c>
      <c r="Q112">
        <v>81</v>
      </c>
      <c r="R112">
        <f t="shared" si="16"/>
        <v>0.92168674698795172</v>
      </c>
      <c r="S112">
        <f t="shared" si="10"/>
        <v>0.27650602409638553</v>
      </c>
      <c r="T112">
        <f t="shared" si="11"/>
        <v>0.62349397590361444</v>
      </c>
      <c r="U112">
        <f t="shared" si="14"/>
        <v>178.78686746987952</v>
      </c>
      <c r="W112">
        <v>136.6</v>
      </c>
      <c r="X112">
        <f t="shared" si="15"/>
        <v>56453.500000000007</v>
      </c>
      <c r="Y112">
        <v>8.7652808843136132</v>
      </c>
    </row>
    <row r="113" spans="1:26" x14ac:dyDescent="0.25">
      <c r="A113">
        <v>6360</v>
      </c>
      <c r="B113">
        <v>24170</v>
      </c>
      <c r="C113" s="1">
        <v>43058</v>
      </c>
      <c r="F113" s="50"/>
      <c r="G113">
        <v>5.6</v>
      </c>
      <c r="H113">
        <v>2.6</v>
      </c>
      <c r="I113">
        <v>7.8</v>
      </c>
      <c r="J113">
        <f t="shared" si="12"/>
        <v>1015.4000000000004</v>
      </c>
      <c r="K113">
        <f t="shared" si="13"/>
        <v>1015.4000000000004</v>
      </c>
      <c r="M113">
        <v>0</v>
      </c>
      <c r="N113">
        <v>0.4</v>
      </c>
      <c r="O113">
        <f t="shared" si="9"/>
        <v>-0.4</v>
      </c>
      <c r="Q113">
        <v>82</v>
      </c>
      <c r="R113">
        <f t="shared" si="16"/>
        <v>0.92951807228915662</v>
      </c>
      <c r="S113">
        <f t="shared" si="10"/>
        <v>0.37180722891566265</v>
      </c>
      <c r="T113">
        <f t="shared" si="11"/>
        <v>-0.37180722891566265</v>
      </c>
      <c r="U113">
        <f t="shared" si="14"/>
        <v>178.41506024096387</v>
      </c>
      <c r="W113">
        <v>328.7</v>
      </c>
      <c r="X113">
        <f t="shared" si="15"/>
        <v>56782.200000000004</v>
      </c>
      <c r="Y113">
        <v>8.7250992611499942</v>
      </c>
    </row>
    <row r="114" spans="1:26" x14ac:dyDescent="0.25">
      <c r="A114">
        <v>6360</v>
      </c>
      <c r="B114">
        <v>24170</v>
      </c>
      <c r="C114" s="1">
        <v>43059</v>
      </c>
      <c r="F114" s="50"/>
      <c r="G114">
        <v>6.7</v>
      </c>
      <c r="H114">
        <v>2.7</v>
      </c>
      <c r="I114">
        <v>9</v>
      </c>
      <c r="J114">
        <f t="shared" si="12"/>
        <v>1022.1000000000005</v>
      </c>
      <c r="K114">
        <f t="shared" si="13"/>
        <v>1022.1000000000005</v>
      </c>
      <c r="M114">
        <v>0</v>
      </c>
      <c r="N114">
        <v>0.3</v>
      </c>
      <c r="O114">
        <f t="shared" si="9"/>
        <v>-0.3</v>
      </c>
      <c r="Q114">
        <v>83</v>
      </c>
      <c r="R114">
        <f t="shared" si="16"/>
        <v>0.93734939759036151</v>
      </c>
      <c r="S114">
        <f t="shared" si="10"/>
        <v>0.28120481927710844</v>
      </c>
      <c r="T114">
        <f t="shared" si="11"/>
        <v>-0.28120481927710844</v>
      </c>
      <c r="U114">
        <f t="shared" si="14"/>
        <v>178.13385542168675</v>
      </c>
      <c r="W114">
        <v>136.5</v>
      </c>
      <c r="X114">
        <f t="shared" si="15"/>
        <v>56918.700000000004</v>
      </c>
      <c r="Y114">
        <v>8.6858411685140968</v>
      </c>
    </row>
    <row r="115" spans="1:26" x14ac:dyDescent="0.25">
      <c r="A115">
        <v>6360</v>
      </c>
      <c r="B115">
        <v>24170</v>
      </c>
      <c r="C115" s="1">
        <v>43060</v>
      </c>
      <c r="F115" s="50"/>
      <c r="G115">
        <v>8.6</v>
      </c>
      <c r="H115">
        <v>7.5</v>
      </c>
      <c r="I115">
        <v>9.4</v>
      </c>
      <c r="J115">
        <f t="shared" si="12"/>
        <v>1030.7000000000005</v>
      </c>
      <c r="K115">
        <f t="shared" si="13"/>
        <v>1030.7000000000005</v>
      </c>
      <c r="M115">
        <v>0</v>
      </c>
      <c r="N115">
        <v>0.6</v>
      </c>
      <c r="O115">
        <f t="shared" si="9"/>
        <v>-0.6</v>
      </c>
      <c r="Q115">
        <v>84</v>
      </c>
      <c r="R115">
        <f t="shared" si="16"/>
        <v>0.94518072289156618</v>
      </c>
      <c r="S115">
        <f t="shared" si="10"/>
        <v>0.56710843373493969</v>
      </c>
      <c r="T115">
        <f t="shared" si="11"/>
        <v>-0.56710843373493969</v>
      </c>
      <c r="U115">
        <f t="shared" si="14"/>
        <v>177.5667469879518</v>
      </c>
      <c r="W115">
        <v>101.3</v>
      </c>
      <c r="X115">
        <f t="shared" si="15"/>
        <v>57020.000000000007</v>
      </c>
      <c r="Y115">
        <v>8.6475313979445811</v>
      </c>
    </row>
    <row r="116" spans="1:26" x14ac:dyDescent="0.25">
      <c r="A116">
        <v>6360</v>
      </c>
      <c r="B116">
        <v>24170</v>
      </c>
      <c r="C116" s="1">
        <v>43061</v>
      </c>
      <c r="F116" s="50"/>
      <c r="G116">
        <v>10.4</v>
      </c>
      <c r="H116">
        <v>8.1</v>
      </c>
      <c r="I116">
        <v>13.5</v>
      </c>
      <c r="J116">
        <f t="shared" si="12"/>
        <v>1041.1000000000006</v>
      </c>
      <c r="K116">
        <f t="shared" si="13"/>
        <v>1041.1000000000006</v>
      </c>
      <c r="M116">
        <v>0</v>
      </c>
      <c r="N116">
        <v>1.7</v>
      </c>
      <c r="O116">
        <f t="shared" si="9"/>
        <v>-1.7</v>
      </c>
      <c r="Q116">
        <v>85</v>
      </c>
      <c r="R116">
        <f t="shared" si="16"/>
        <v>0.95301204819277108</v>
      </c>
      <c r="S116">
        <f t="shared" si="10"/>
        <v>1.6201204819277109</v>
      </c>
      <c r="T116">
        <f t="shared" si="11"/>
        <v>-1.6201204819277109</v>
      </c>
      <c r="U116">
        <f t="shared" si="14"/>
        <v>175.9466265060241</v>
      </c>
      <c r="W116">
        <v>579.1</v>
      </c>
      <c r="X116">
        <f t="shared" si="15"/>
        <v>57599.100000000006</v>
      </c>
      <c r="Y116">
        <v>8.6101947090143653</v>
      </c>
    </row>
    <row r="117" spans="1:26" x14ac:dyDescent="0.25">
      <c r="A117">
        <v>6360</v>
      </c>
      <c r="B117">
        <v>24170</v>
      </c>
      <c r="C117" s="1">
        <v>43062</v>
      </c>
      <c r="F117" s="50"/>
      <c r="G117">
        <v>13.6</v>
      </c>
      <c r="H117">
        <v>11.1</v>
      </c>
      <c r="I117">
        <v>15.7</v>
      </c>
      <c r="J117">
        <f t="shared" si="12"/>
        <v>1054.7000000000005</v>
      </c>
      <c r="K117">
        <f t="shared" si="13"/>
        <v>1054.7000000000005</v>
      </c>
      <c r="M117">
        <v>6.2</v>
      </c>
      <c r="N117">
        <v>2</v>
      </c>
      <c r="O117">
        <f t="shared" si="9"/>
        <v>4.2</v>
      </c>
      <c r="Q117">
        <v>86</v>
      </c>
      <c r="R117">
        <f t="shared" si="16"/>
        <v>0.96084337349397597</v>
      </c>
      <c r="S117">
        <f t="shared" si="10"/>
        <v>1.9216867469879519</v>
      </c>
      <c r="T117">
        <f t="shared" si="11"/>
        <v>4.2783132530120485</v>
      </c>
      <c r="U117">
        <f t="shared" si="14"/>
        <v>179.3</v>
      </c>
      <c r="W117">
        <v>224.4</v>
      </c>
      <c r="X117">
        <f t="shared" si="15"/>
        <v>57823.500000000007</v>
      </c>
      <c r="Y117">
        <v>8.5738557834592068</v>
      </c>
    </row>
    <row r="118" spans="1:26" x14ac:dyDescent="0.25">
      <c r="A118">
        <v>6360</v>
      </c>
      <c r="B118">
        <v>24170</v>
      </c>
      <c r="C118" s="1">
        <v>43063</v>
      </c>
      <c r="F118" s="50"/>
      <c r="G118">
        <v>10.3</v>
      </c>
      <c r="H118">
        <v>9</v>
      </c>
      <c r="I118">
        <v>11.6</v>
      </c>
      <c r="J118">
        <f t="shared" si="12"/>
        <v>1065.0000000000005</v>
      </c>
      <c r="K118">
        <f t="shared" si="13"/>
        <v>1065.0000000000005</v>
      </c>
      <c r="M118">
        <v>1.3</v>
      </c>
      <c r="N118">
        <v>0.5</v>
      </c>
      <c r="O118">
        <f t="shared" si="9"/>
        <v>0.8</v>
      </c>
      <c r="Q118">
        <v>87</v>
      </c>
      <c r="R118">
        <f t="shared" si="16"/>
        <v>0.96867469879518064</v>
      </c>
      <c r="S118">
        <f t="shared" si="10"/>
        <v>0.48433734939759032</v>
      </c>
      <c r="T118">
        <f t="shared" si="11"/>
        <v>0.81566265060240972</v>
      </c>
      <c r="U118">
        <f t="shared" si="14"/>
        <v>179.3</v>
      </c>
      <c r="W118">
        <v>231.5</v>
      </c>
      <c r="X118">
        <f t="shared" si="15"/>
        <v>58055.000000000007</v>
      </c>
      <c r="Y118">
        <v>8.538539177378718</v>
      </c>
    </row>
    <row r="119" spans="1:26" x14ac:dyDescent="0.25">
      <c r="A119">
        <v>6360</v>
      </c>
      <c r="B119">
        <v>24170</v>
      </c>
      <c r="C119" s="1">
        <v>43064</v>
      </c>
      <c r="E119">
        <v>1</v>
      </c>
      <c r="F119" s="50"/>
      <c r="G119">
        <v>4.9000000000000004</v>
      </c>
      <c r="H119">
        <v>3.8</v>
      </c>
      <c r="I119">
        <v>6.2</v>
      </c>
      <c r="J119">
        <f t="shared" si="12"/>
        <v>1069.9000000000005</v>
      </c>
      <c r="K119">
        <f t="shared" si="13"/>
        <v>1069.9000000000005</v>
      </c>
      <c r="M119">
        <v>1.9</v>
      </c>
      <c r="N119">
        <v>0.4</v>
      </c>
      <c r="O119">
        <f t="shared" si="9"/>
        <v>1.5</v>
      </c>
      <c r="Q119">
        <v>88</v>
      </c>
      <c r="R119">
        <f t="shared" si="16"/>
        <v>0.97650602409638554</v>
      </c>
      <c r="S119">
        <f t="shared" si="10"/>
        <v>0.39060240963855425</v>
      </c>
      <c r="T119">
        <f t="shared" si="11"/>
        <v>1.5093975903614456</v>
      </c>
      <c r="U119">
        <f t="shared" si="14"/>
        <v>179.3</v>
      </c>
      <c r="W119">
        <v>217.2</v>
      </c>
      <c r="X119">
        <f t="shared" si="15"/>
        <v>58272.200000000004</v>
      </c>
      <c r="Y119">
        <v>8.5042692716272921</v>
      </c>
    </row>
    <row r="120" spans="1:26" x14ac:dyDescent="0.25">
      <c r="A120">
        <v>6360</v>
      </c>
      <c r="B120">
        <v>24170</v>
      </c>
      <c r="C120" s="1">
        <v>43065</v>
      </c>
      <c r="E120">
        <v>2</v>
      </c>
      <c r="F120" s="50"/>
      <c r="G120">
        <v>4.4000000000000004</v>
      </c>
      <c r="H120">
        <v>0.7</v>
      </c>
      <c r="I120">
        <v>7.3</v>
      </c>
      <c r="J120">
        <f t="shared" si="12"/>
        <v>1074.3000000000006</v>
      </c>
      <c r="K120">
        <f t="shared" si="13"/>
        <v>1074.3000000000006</v>
      </c>
      <c r="M120">
        <v>0.2</v>
      </c>
      <c r="N120">
        <v>0.6</v>
      </c>
      <c r="O120">
        <f t="shared" si="9"/>
        <v>-0.39999999999999997</v>
      </c>
      <c r="Q120">
        <v>89</v>
      </c>
      <c r="R120">
        <f t="shared" si="16"/>
        <v>0.98433734939759043</v>
      </c>
      <c r="S120">
        <f t="shared" si="10"/>
        <v>0.59060240963855426</v>
      </c>
      <c r="T120">
        <f t="shared" si="11"/>
        <v>-0.39060240963855425</v>
      </c>
      <c r="U120">
        <f t="shared" si="14"/>
        <v>178.90939759036146</v>
      </c>
      <c r="W120">
        <v>502.8</v>
      </c>
      <c r="X120">
        <f t="shared" si="15"/>
        <v>58775.000000000007</v>
      </c>
      <c r="Y120">
        <v>8.4710702205314785</v>
      </c>
    </row>
    <row r="121" spans="1:26" x14ac:dyDescent="0.25">
      <c r="A121">
        <v>6360</v>
      </c>
      <c r="B121">
        <v>24170</v>
      </c>
      <c r="C121" s="1">
        <v>43066</v>
      </c>
      <c r="F121" s="50"/>
      <c r="G121">
        <v>6.8</v>
      </c>
      <c r="H121">
        <v>4.5999999999999996</v>
      </c>
      <c r="I121">
        <v>7.7</v>
      </c>
      <c r="J121">
        <f t="shared" si="12"/>
        <v>1081.1000000000006</v>
      </c>
      <c r="K121">
        <f t="shared" si="13"/>
        <v>1081.1000000000006</v>
      </c>
      <c r="M121">
        <v>16.7</v>
      </c>
      <c r="N121">
        <v>0.5</v>
      </c>
      <c r="O121">
        <f t="shared" si="9"/>
        <v>16.2</v>
      </c>
      <c r="Q121">
        <v>90</v>
      </c>
      <c r="R121">
        <f t="shared" si="16"/>
        <v>0.99216867469879511</v>
      </c>
      <c r="S121">
        <f t="shared" si="10"/>
        <v>0.49608433734939755</v>
      </c>
      <c r="T121">
        <f t="shared" si="11"/>
        <v>16.203915662650601</v>
      </c>
      <c r="U121">
        <f t="shared" si="14"/>
        <v>179.3</v>
      </c>
      <c r="W121">
        <v>166.7</v>
      </c>
      <c r="X121">
        <f t="shared" si="15"/>
        <v>58941.700000000004</v>
      </c>
      <c r="Y121">
        <v>8.4389658990899665</v>
      </c>
    </row>
    <row r="122" spans="1:26" s="6" customFormat="1" ht="15.75" thickBot="1" x14ac:dyDescent="0.3">
      <c r="A122" s="6">
        <v>6360</v>
      </c>
      <c r="B122" s="6">
        <v>24170</v>
      </c>
      <c r="C122" s="7">
        <v>43067</v>
      </c>
      <c r="F122" s="51"/>
      <c r="G122" s="6">
        <v>5.6</v>
      </c>
      <c r="H122" s="6">
        <v>4.3</v>
      </c>
      <c r="I122" s="6">
        <v>9.1999999999999993</v>
      </c>
      <c r="J122" s="6">
        <f t="shared" si="12"/>
        <v>1086.7000000000005</v>
      </c>
      <c r="K122" s="6">
        <f t="shared" si="13"/>
        <v>1086.7000000000005</v>
      </c>
      <c r="M122" s="6">
        <v>2.7</v>
      </c>
      <c r="N122" s="6">
        <v>0.9</v>
      </c>
      <c r="O122" s="6">
        <f t="shared" si="9"/>
        <v>1.8000000000000003</v>
      </c>
      <c r="Q122" s="6">
        <v>91</v>
      </c>
      <c r="R122" s="6">
        <f t="shared" si="16"/>
        <v>1</v>
      </c>
      <c r="S122" s="6">
        <f t="shared" si="10"/>
        <v>0.9</v>
      </c>
      <c r="T122" s="6">
        <f t="shared" si="11"/>
        <v>1.8000000000000003</v>
      </c>
      <c r="U122" s="6">
        <f t="shared" si="14"/>
        <v>179.3</v>
      </c>
      <c r="W122" s="6">
        <v>474.4</v>
      </c>
      <c r="X122" s="6">
        <f t="shared" si="15"/>
        <v>59416.100000000006</v>
      </c>
      <c r="Y122" s="6">
        <v>8.4079798488317667</v>
      </c>
    </row>
    <row r="123" spans="1:26" x14ac:dyDescent="0.25">
      <c r="A123">
        <v>6360</v>
      </c>
      <c r="B123">
        <v>24170</v>
      </c>
      <c r="C123" s="1">
        <v>43068</v>
      </c>
      <c r="D123" t="s">
        <v>32</v>
      </c>
      <c r="E123">
        <v>3</v>
      </c>
      <c r="F123" s="46" t="s">
        <v>59</v>
      </c>
      <c r="G123">
        <v>2.8</v>
      </c>
      <c r="H123">
        <v>0.1</v>
      </c>
      <c r="I123">
        <v>5.3</v>
      </c>
      <c r="J123">
        <f t="shared" si="12"/>
        <v>1089.5000000000005</v>
      </c>
      <c r="K123">
        <f>G123</f>
        <v>2.8</v>
      </c>
      <c r="L123" s="17" t="s">
        <v>38</v>
      </c>
      <c r="M123">
        <v>0.2</v>
      </c>
      <c r="N123">
        <v>0.2</v>
      </c>
      <c r="O123">
        <f t="shared" si="9"/>
        <v>0</v>
      </c>
      <c r="Q123">
        <v>92</v>
      </c>
      <c r="R123">
        <v>1</v>
      </c>
      <c r="S123">
        <f t="shared" si="10"/>
        <v>0.2</v>
      </c>
      <c r="T123">
        <f t="shared" si="11"/>
        <v>0</v>
      </c>
      <c r="U123">
        <f t="shared" si="14"/>
        <v>179.3</v>
      </c>
      <c r="V123" s="18" t="s">
        <v>45</v>
      </c>
      <c r="W123">
        <v>309.3</v>
      </c>
      <c r="X123">
        <f>W123</f>
        <v>309.3</v>
      </c>
      <c r="Y123">
        <v>8.3781352225277033</v>
      </c>
      <c r="Z123" s="18" t="s">
        <v>50</v>
      </c>
    </row>
    <row r="124" spans="1:26" x14ac:dyDescent="0.25">
      <c r="A124">
        <v>6360</v>
      </c>
      <c r="B124">
        <v>24170</v>
      </c>
      <c r="C124" s="1">
        <v>43069</v>
      </c>
      <c r="E124">
        <v>4</v>
      </c>
      <c r="F124" s="47"/>
      <c r="G124">
        <v>2.8</v>
      </c>
      <c r="H124">
        <v>1.8</v>
      </c>
      <c r="I124">
        <v>4</v>
      </c>
      <c r="J124">
        <f t="shared" si="12"/>
        <v>1092.3000000000004</v>
      </c>
      <c r="K124">
        <f t="shared" si="13"/>
        <v>5.6</v>
      </c>
      <c r="L124" s="12">
        <v>451.3</v>
      </c>
      <c r="M124">
        <v>0.3</v>
      </c>
      <c r="N124">
        <v>0.6</v>
      </c>
      <c r="O124">
        <f t="shared" si="9"/>
        <v>-0.3</v>
      </c>
      <c r="Q124">
        <v>93</v>
      </c>
      <c r="R124">
        <v>1</v>
      </c>
      <c r="S124">
        <f t="shared" si="10"/>
        <v>0.6</v>
      </c>
      <c r="T124">
        <f t="shared" si="11"/>
        <v>-0.3</v>
      </c>
      <c r="U124">
        <f t="shared" si="14"/>
        <v>179</v>
      </c>
      <c r="V124">
        <v>0</v>
      </c>
      <c r="W124">
        <v>595.29999999999995</v>
      </c>
      <c r="X124">
        <f t="shared" si="15"/>
        <v>904.59999999999991</v>
      </c>
      <c r="Y124">
        <v>8.3494547279693325</v>
      </c>
      <c r="Z124">
        <v>32348.2</v>
      </c>
    </row>
    <row r="125" spans="1:26" x14ac:dyDescent="0.25">
      <c r="A125">
        <v>6360</v>
      </c>
      <c r="B125">
        <v>24170</v>
      </c>
      <c r="C125" s="1">
        <v>43070</v>
      </c>
      <c r="E125">
        <v>5</v>
      </c>
      <c r="F125" s="47"/>
      <c r="G125">
        <v>1.5</v>
      </c>
      <c r="H125">
        <v>1</v>
      </c>
      <c r="I125">
        <v>2.7</v>
      </c>
      <c r="J125">
        <f t="shared" si="12"/>
        <v>1093.8000000000004</v>
      </c>
      <c r="K125">
        <f t="shared" si="13"/>
        <v>7.1</v>
      </c>
      <c r="L125" s="17" t="s">
        <v>39</v>
      </c>
      <c r="M125">
        <v>0.1</v>
      </c>
      <c r="N125">
        <v>0.4</v>
      </c>
      <c r="O125">
        <f t="shared" si="9"/>
        <v>-0.30000000000000004</v>
      </c>
      <c r="Q125">
        <v>94</v>
      </c>
      <c r="R125">
        <v>1</v>
      </c>
      <c r="S125">
        <f t="shared" si="10"/>
        <v>0.4</v>
      </c>
      <c r="T125">
        <f t="shared" si="11"/>
        <v>-0.30000000000000004</v>
      </c>
      <c r="U125">
        <f t="shared" si="14"/>
        <v>178.7</v>
      </c>
      <c r="V125" s="18" t="s">
        <v>46</v>
      </c>
      <c r="W125">
        <v>190</v>
      </c>
      <c r="X125">
        <f t="shared" si="15"/>
        <v>1094.5999999999999</v>
      </c>
      <c r="Y125">
        <v>8.3219605710478763</v>
      </c>
      <c r="Z125" s="18" t="s">
        <v>51</v>
      </c>
    </row>
    <row r="126" spans="1:26" x14ac:dyDescent="0.25">
      <c r="A126">
        <v>6360</v>
      </c>
      <c r="B126">
        <v>24170</v>
      </c>
      <c r="C126" s="1">
        <v>43071</v>
      </c>
      <c r="E126">
        <v>6</v>
      </c>
      <c r="F126" s="47"/>
      <c r="G126">
        <v>-0.3</v>
      </c>
      <c r="H126">
        <v>-0.4</v>
      </c>
      <c r="I126">
        <v>0.4</v>
      </c>
      <c r="J126">
        <v>1093.8</v>
      </c>
      <c r="K126">
        <v>7.1</v>
      </c>
      <c r="L126" s="13">
        <f>AVERAGE(G123:G216)</f>
        <v>4.5670212765957432</v>
      </c>
      <c r="M126">
        <v>0</v>
      </c>
      <c r="N126">
        <v>0.4</v>
      </c>
      <c r="O126">
        <f t="shared" si="9"/>
        <v>-0.4</v>
      </c>
      <c r="Q126">
        <v>95</v>
      </c>
      <c r="R126">
        <v>1</v>
      </c>
      <c r="S126">
        <f t="shared" si="10"/>
        <v>0.4</v>
      </c>
      <c r="T126">
        <f t="shared" si="11"/>
        <v>-0.4</v>
      </c>
      <c r="U126">
        <f t="shared" si="14"/>
        <v>178.29999999999998</v>
      </c>
      <c r="V126">
        <v>0</v>
      </c>
      <c r="W126">
        <v>250.3</v>
      </c>
      <c r="X126">
        <f t="shared" si="15"/>
        <v>1344.8999999999999</v>
      </c>
      <c r="Y126">
        <v>8.2956743983831736</v>
      </c>
      <c r="Z126">
        <f>(Z124/100)/L124</f>
        <v>0.71677819632173723</v>
      </c>
    </row>
    <row r="127" spans="1:26" x14ac:dyDescent="0.25">
      <c r="A127">
        <v>6360</v>
      </c>
      <c r="B127">
        <v>24170</v>
      </c>
      <c r="C127" s="1">
        <v>43072</v>
      </c>
      <c r="E127">
        <v>7</v>
      </c>
      <c r="F127" s="47"/>
      <c r="G127">
        <v>0.4</v>
      </c>
      <c r="H127">
        <v>-1.8</v>
      </c>
      <c r="I127">
        <v>3.8</v>
      </c>
      <c r="J127">
        <f t="shared" si="12"/>
        <v>1094.2</v>
      </c>
      <c r="K127">
        <f t="shared" si="13"/>
        <v>7.5</v>
      </c>
      <c r="L127" s="17" t="s">
        <v>40</v>
      </c>
      <c r="M127">
        <v>0.7</v>
      </c>
      <c r="N127">
        <v>0.3</v>
      </c>
      <c r="O127">
        <f t="shared" si="9"/>
        <v>0.39999999999999997</v>
      </c>
      <c r="Q127">
        <v>96</v>
      </c>
      <c r="R127">
        <v>1</v>
      </c>
      <c r="S127">
        <f t="shared" si="10"/>
        <v>0.3</v>
      </c>
      <c r="T127">
        <f t="shared" si="11"/>
        <v>0.39999999999999997</v>
      </c>
      <c r="U127">
        <f t="shared" si="14"/>
        <v>178.7</v>
      </c>
      <c r="V127" s="18" t="s">
        <v>47</v>
      </c>
      <c r="W127">
        <v>96.2</v>
      </c>
      <c r="X127">
        <f t="shared" si="15"/>
        <v>1441.1</v>
      </c>
      <c r="Y127">
        <v>8.2706172397690629</v>
      </c>
      <c r="Z127" s="18" t="s">
        <v>52</v>
      </c>
    </row>
    <row r="128" spans="1:26" x14ac:dyDescent="0.25">
      <c r="A128">
        <v>6360</v>
      </c>
      <c r="B128">
        <v>24170</v>
      </c>
      <c r="C128" s="1">
        <v>43073</v>
      </c>
      <c r="F128" s="47"/>
      <c r="G128">
        <v>5.4</v>
      </c>
      <c r="H128">
        <v>2</v>
      </c>
      <c r="I128">
        <v>6.9</v>
      </c>
      <c r="J128">
        <f t="shared" si="12"/>
        <v>1099.6000000000001</v>
      </c>
      <c r="K128">
        <f t="shared" si="13"/>
        <v>12.9</v>
      </c>
      <c r="L128" s="14">
        <f>MIN(H123:H216)</f>
        <v>-9.1999999999999993</v>
      </c>
      <c r="M128">
        <v>0</v>
      </c>
      <c r="N128">
        <v>0.2</v>
      </c>
      <c r="O128">
        <f t="shared" si="9"/>
        <v>-0.2</v>
      </c>
      <c r="Q128">
        <v>97</v>
      </c>
      <c r="R128">
        <v>1</v>
      </c>
      <c r="S128">
        <f t="shared" si="10"/>
        <v>0.2</v>
      </c>
      <c r="T128">
        <f t="shared" si="11"/>
        <v>-0.2</v>
      </c>
      <c r="U128">
        <f t="shared" si="14"/>
        <v>178.5</v>
      </c>
      <c r="V128" s="2">
        <f>MIN(U123:U216)</f>
        <v>164.90000000000003</v>
      </c>
      <c r="W128">
        <v>180</v>
      </c>
      <c r="X128">
        <f t="shared" si="15"/>
        <v>1621.1</v>
      </c>
      <c r="Y128">
        <v>8.2468094507162988</v>
      </c>
      <c r="Z128">
        <v>84</v>
      </c>
    </row>
    <row r="129" spans="1:26" x14ac:dyDescent="0.25">
      <c r="A129">
        <v>6360</v>
      </c>
      <c r="B129">
        <v>24170</v>
      </c>
      <c r="C129" s="1">
        <v>43074</v>
      </c>
      <c r="E129">
        <v>8</v>
      </c>
      <c r="F129" s="47"/>
      <c r="G129">
        <v>4.5</v>
      </c>
      <c r="H129">
        <v>0.8</v>
      </c>
      <c r="I129">
        <v>6.2</v>
      </c>
      <c r="J129">
        <f t="shared" si="12"/>
        <v>1104.1000000000001</v>
      </c>
      <c r="K129">
        <f t="shared" si="13"/>
        <v>17.399999999999999</v>
      </c>
      <c r="L129" s="17" t="s">
        <v>41</v>
      </c>
      <c r="M129">
        <v>0</v>
      </c>
      <c r="N129">
        <v>0.2</v>
      </c>
      <c r="O129">
        <f t="shared" si="9"/>
        <v>-0.2</v>
      </c>
      <c r="Q129">
        <v>98</v>
      </c>
      <c r="R129">
        <v>1</v>
      </c>
      <c r="S129">
        <f t="shared" si="10"/>
        <v>0.2</v>
      </c>
      <c r="T129">
        <f t="shared" si="11"/>
        <v>-0.2</v>
      </c>
      <c r="U129">
        <f t="shared" si="14"/>
        <v>178.3</v>
      </c>
      <c r="V129" s="18" t="s">
        <v>48</v>
      </c>
      <c r="W129">
        <v>80.7</v>
      </c>
      <c r="X129">
        <f t="shared" si="15"/>
        <v>1701.8</v>
      </c>
      <c r="Y129">
        <v>8.2242706553872402</v>
      </c>
      <c r="Z129" t="s">
        <v>53</v>
      </c>
    </row>
    <row r="130" spans="1:26" x14ac:dyDescent="0.25">
      <c r="A130">
        <v>6360</v>
      </c>
      <c r="B130">
        <v>24170</v>
      </c>
      <c r="C130" s="1">
        <v>43075</v>
      </c>
      <c r="F130" s="47"/>
      <c r="G130">
        <v>5.0999999999999996</v>
      </c>
      <c r="H130">
        <v>4.2</v>
      </c>
      <c r="I130">
        <v>6.1</v>
      </c>
      <c r="J130">
        <f t="shared" si="12"/>
        <v>1109.2</v>
      </c>
      <c r="K130">
        <f t="shared" si="13"/>
        <v>22.5</v>
      </c>
      <c r="L130" s="12">
        <f>MAX(I123:I216)</f>
        <v>14.7</v>
      </c>
      <c r="M130">
        <v>0</v>
      </c>
      <c r="N130">
        <v>0.3</v>
      </c>
      <c r="O130">
        <f t="shared" si="9"/>
        <v>-0.3</v>
      </c>
      <c r="Q130">
        <v>99</v>
      </c>
      <c r="R130">
        <v>1</v>
      </c>
      <c r="S130">
        <f t="shared" si="10"/>
        <v>0.3</v>
      </c>
      <c r="T130">
        <f t="shared" si="11"/>
        <v>-0.3</v>
      </c>
      <c r="U130">
        <f t="shared" si="14"/>
        <v>178</v>
      </c>
      <c r="V130" s="2">
        <f>MAX(U123:U216)</f>
        <v>179.3</v>
      </c>
      <c r="W130">
        <v>88.3</v>
      </c>
      <c r="X130">
        <f t="shared" si="15"/>
        <v>1790.1</v>
      </c>
      <c r="Y130">
        <v>8.2030196902273147</v>
      </c>
      <c r="Z130">
        <v>24</v>
      </c>
    </row>
    <row r="131" spans="1:26" x14ac:dyDescent="0.25">
      <c r="A131">
        <v>6360</v>
      </c>
      <c r="B131">
        <v>24170</v>
      </c>
      <c r="C131" s="1">
        <v>43076</v>
      </c>
      <c r="E131">
        <v>9</v>
      </c>
      <c r="F131" s="47"/>
      <c r="G131">
        <v>4.9000000000000004</v>
      </c>
      <c r="H131">
        <v>2.4</v>
      </c>
      <c r="I131">
        <v>8.3000000000000007</v>
      </c>
      <c r="J131">
        <f t="shared" si="12"/>
        <v>1114.1000000000001</v>
      </c>
      <c r="K131">
        <f t="shared" si="13"/>
        <v>27.4</v>
      </c>
      <c r="L131" s="17" t="s">
        <v>42</v>
      </c>
      <c r="M131">
        <v>6.6</v>
      </c>
      <c r="N131">
        <v>0.8</v>
      </c>
      <c r="O131">
        <f t="shared" si="9"/>
        <v>5.8</v>
      </c>
      <c r="Q131">
        <v>100</v>
      </c>
      <c r="R131">
        <v>1</v>
      </c>
      <c r="S131">
        <f t="shared" si="10"/>
        <v>0.8</v>
      </c>
      <c r="T131">
        <f t="shared" si="11"/>
        <v>5.8</v>
      </c>
      <c r="U131">
        <f t="shared" si="14"/>
        <v>179.3</v>
      </c>
      <c r="V131" s="18" t="s">
        <v>49</v>
      </c>
      <c r="W131">
        <v>128.69999999999999</v>
      </c>
      <c r="X131">
        <f t="shared" si="15"/>
        <v>1918.8</v>
      </c>
      <c r="Y131">
        <v>8.1830745486070811</v>
      </c>
    </row>
    <row r="132" spans="1:26" x14ac:dyDescent="0.25">
      <c r="A132">
        <v>6360</v>
      </c>
      <c r="B132">
        <v>24170</v>
      </c>
      <c r="C132" s="1">
        <v>43077</v>
      </c>
      <c r="E132">
        <v>10</v>
      </c>
      <c r="F132" s="47"/>
      <c r="G132">
        <v>3.3</v>
      </c>
      <c r="H132">
        <v>1.8</v>
      </c>
      <c r="I132">
        <v>4.0999999999999996</v>
      </c>
      <c r="J132">
        <f t="shared" si="12"/>
        <v>1117.4000000000001</v>
      </c>
      <c r="K132">
        <f t="shared" si="13"/>
        <v>30.7</v>
      </c>
      <c r="L132" s="12">
        <v>0</v>
      </c>
      <c r="M132">
        <v>0.5</v>
      </c>
      <c r="N132">
        <v>0.4</v>
      </c>
      <c r="O132">
        <f t="shared" si="9"/>
        <v>9.9999999999999978E-2</v>
      </c>
      <c r="Q132">
        <v>101</v>
      </c>
      <c r="R132">
        <v>1</v>
      </c>
      <c r="S132">
        <f t="shared" si="10"/>
        <v>0.4</v>
      </c>
      <c r="T132">
        <f t="shared" si="11"/>
        <v>9.9999999999999978E-2</v>
      </c>
      <c r="U132">
        <f t="shared" si="14"/>
        <v>179.3</v>
      </c>
      <c r="V132" s="2">
        <f>AVERAGE(U123:U216)</f>
        <v>177.98085106382968</v>
      </c>
      <c r="W132">
        <v>206.3</v>
      </c>
      <c r="X132">
        <f t="shared" si="15"/>
        <v>2125.1</v>
      </c>
      <c r="Y132">
        <v>8.1644523267944091</v>
      </c>
    </row>
    <row r="133" spans="1:26" x14ac:dyDescent="0.25">
      <c r="A133">
        <v>6360</v>
      </c>
      <c r="B133">
        <v>24170</v>
      </c>
      <c r="C133" s="1">
        <v>43078</v>
      </c>
      <c r="E133">
        <v>11</v>
      </c>
      <c r="F133" s="47"/>
      <c r="G133">
        <v>1.8</v>
      </c>
      <c r="H133">
        <v>-0.9</v>
      </c>
      <c r="I133">
        <v>4.0999999999999996</v>
      </c>
      <c r="J133">
        <f t="shared" si="12"/>
        <v>1119.2</v>
      </c>
      <c r="K133">
        <f t="shared" si="13"/>
        <v>32.5</v>
      </c>
      <c r="L133" s="17" t="s">
        <v>43</v>
      </c>
      <c r="M133">
        <v>5.2</v>
      </c>
      <c r="N133">
        <v>0.4</v>
      </c>
      <c r="O133">
        <f t="shared" ref="O133:O196" si="17">M133-N133</f>
        <v>4.8</v>
      </c>
      <c r="Q133">
        <v>102</v>
      </c>
      <c r="R133">
        <v>1</v>
      </c>
      <c r="S133">
        <f t="shared" ref="S133:S196" si="18">R133*N133</f>
        <v>0.4</v>
      </c>
      <c r="T133">
        <f t="shared" ref="T133:T196" si="19">M133-S133</f>
        <v>4.8</v>
      </c>
      <c r="U133">
        <f t="shared" si="14"/>
        <v>179.3</v>
      </c>
      <c r="W133">
        <v>479.8</v>
      </c>
      <c r="X133">
        <f t="shared" si="15"/>
        <v>2604.9</v>
      </c>
      <c r="Y133">
        <v>8.1471691715797441</v>
      </c>
    </row>
    <row r="134" spans="1:26" x14ac:dyDescent="0.25">
      <c r="A134">
        <v>6360</v>
      </c>
      <c r="B134">
        <v>24170</v>
      </c>
      <c r="C134" s="1">
        <v>43079</v>
      </c>
      <c r="F134" s="47"/>
      <c r="G134">
        <v>5.9</v>
      </c>
      <c r="H134">
        <v>0.8</v>
      </c>
      <c r="I134">
        <v>10.1</v>
      </c>
      <c r="J134">
        <f t="shared" si="12"/>
        <v>1125.1000000000001</v>
      </c>
      <c r="K134">
        <f t="shared" si="13"/>
        <v>38.4</v>
      </c>
      <c r="L134" s="12">
        <v>45</v>
      </c>
      <c r="M134">
        <v>22.9</v>
      </c>
      <c r="N134">
        <v>0.8</v>
      </c>
      <c r="O134">
        <f t="shared" si="17"/>
        <v>22.099999999999998</v>
      </c>
      <c r="Q134">
        <v>103</v>
      </c>
      <c r="R134">
        <v>1</v>
      </c>
      <c r="S134">
        <f t="shared" si="18"/>
        <v>0.8</v>
      </c>
      <c r="T134">
        <f t="shared" si="19"/>
        <v>22.099999999999998</v>
      </c>
      <c r="U134">
        <f t="shared" si="14"/>
        <v>179.3</v>
      </c>
      <c r="V134" s="16">
        <f>(V132*100)/179.3</f>
        <v>99.264278340116945</v>
      </c>
      <c r="W134">
        <v>292.39999999999998</v>
      </c>
      <c r="X134">
        <f t="shared" si="15"/>
        <v>2897.3</v>
      </c>
      <c r="Y134">
        <v>8.1312402298772302</v>
      </c>
    </row>
    <row r="135" spans="1:26" x14ac:dyDescent="0.25">
      <c r="A135">
        <v>6360</v>
      </c>
      <c r="B135">
        <v>24170</v>
      </c>
      <c r="C135" s="1">
        <v>43080</v>
      </c>
      <c r="F135" s="47"/>
      <c r="G135">
        <v>5.8</v>
      </c>
      <c r="H135">
        <v>2.5</v>
      </c>
      <c r="I135">
        <v>8.1999999999999993</v>
      </c>
      <c r="J135">
        <f t="shared" si="12"/>
        <v>1130.9000000000001</v>
      </c>
      <c r="K135">
        <f t="shared" si="13"/>
        <v>44.199999999999996</v>
      </c>
      <c r="L135" s="17" t="s">
        <v>44</v>
      </c>
      <c r="M135">
        <v>2.7</v>
      </c>
      <c r="N135">
        <v>0.3</v>
      </c>
      <c r="O135">
        <f t="shared" si="17"/>
        <v>2.4000000000000004</v>
      </c>
      <c r="Q135">
        <v>104</v>
      </c>
      <c r="R135">
        <v>1</v>
      </c>
      <c r="S135">
        <f t="shared" si="18"/>
        <v>0.3</v>
      </c>
      <c r="T135">
        <f t="shared" si="19"/>
        <v>2.4000000000000004</v>
      </c>
      <c r="U135">
        <f t="shared" si="14"/>
        <v>179.3</v>
      </c>
      <c r="W135">
        <v>74.900000000000006</v>
      </c>
      <c r="X135">
        <f t="shared" si="15"/>
        <v>2972.2000000000003</v>
      </c>
      <c r="Y135">
        <v>8.1166796006216018</v>
      </c>
    </row>
    <row r="136" spans="1:26" x14ac:dyDescent="0.25">
      <c r="A136">
        <v>6360</v>
      </c>
      <c r="B136">
        <v>24170</v>
      </c>
      <c r="C136" s="1">
        <v>43081</v>
      </c>
      <c r="E136">
        <v>12</v>
      </c>
      <c r="F136" s="47"/>
      <c r="G136">
        <v>2.6</v>
      </c>
      <c r="H136">
        <v>0.5</v>
      </c>
      <c r="I136">
        <v>4.9000000000000004</v>
      </c>
      <c r="J136">
        <f t="shared" si="12"/>
        <v>1133.5</v>
      </c>
      <c r="K136">
        <f t="shared" si="13"/>
        <v>46.8</v>
      </c>
      <c r="L136" s="12">
        <v>21</v>
      </c>
      <c r="M136">
        <v>0.6</v>
      </c>
      <c r="N136">
        <v>0.5</v>
      </c>
      <c r="O136">
        <f t="shared" si="17"/>
        <v>9.9999999999999978E-2</v>
      </c>
      <c r="Q136">
        <v>105</v>
      </c>
      <c r="R136">
        <v>1</v>
      </c>
      <c r="S136">
        <f t="shared" si="18"/>
        <v>0.5</v>
      </c>
      <c r="T136">
        <f t="shared" si="19"/>
        <v>9.9999999999999978E-2</v>
      </c>
      <c r="U136">
        <f t="shared" si="14"/>
        <v>179.3</v>
      </c>
      <c r="W136">
        <v>425.6</v>
      </c>
      <c r="X136">
        <f t="shared" si="15"/>
        <v>3397.8</v>
      </c>
      <c r="Y136">
        <v>8.1035002892741854</v>
      </c>
    </row>
    <row r="137" spans="1:26" x14ac:dyDescent="0.25">
      <c r="A137">
        <v>6360</v>
      </c>
      <c r="B137">
        <v>24170</v>
      </c>
      <c r="C137" s="1">
        <v>43082</v>
      </c>
      <c r="F137" s="47"/>
      <c r="G137">
        <v>6.7</v>
      </c>
      <c r="H137">
        <v>2.6</v>
      </c>
      <c r="I137">
        <v>8.6</v>
      </c>
      <c r="J137">
        <f t="shared" si="12"/>
        <v>1140.2</v>
      </c>
      <c r="K137">
        <f t="shared" si="13"/>
        <v>53.5</v>
      </c>
      <c r="M137">
        <v>16.7</v>
      </c>
      <c r="N137">
        <v>0.3</v>
      </c>
      <c r="O137">
        <f t="shared" si="17"/>
        <v>16.399999999999999</v>
      </c>
      <c r="Q137">
        <v>106</v>
      </c>
      <c r="R137">
        <v>1</v>
      </c>
      <c r="S137">
        <f t="shared" si="18"/>
        <v>0.3</v>
      </c>
      <c r="T137">
        <f t="shared" si="19"/>
        <v>16.399999999999999</v>
      </c>
      <c r="U137">
        <f t="shared" si="14"/>
        <v>179.3</v>
      </c>
      <c r="W137">
        <v>75.8</v>
      </c>
      <c r="X137">
        <f t="shared" si="15"/>
        <v>3473.6000000000004</v>
      </c>
      <c r="Y137">
        <v>8.0917141652416706</v>
      </c>
    </row>
    <row r="138" spans="1:26" x14ac:dyDescent="0.25">
      <c r="A138">
        <v>6360</v>
      </c>
      <c r="B138">
        <v>24170</v>
      </c>
      <c r="C138" s="1">
        <v>43083</v>
      </c>
      <c r="F138" s="47"/>
      <c r="G138">
        <v>5.3</v>
      </c>
      <c r="H138">
        <v>4.7</v>
      </c>
      <c r="I138">
        <v>6.1</v>
      </c>
      <c r="J138">
        <f t="shared" si="12"/>
        <v>1145.5</v>
      </c>
      <c r="K138">
        <f t="shared" si="13"/>
        <v>58.8</v>
      </c>
      <c r="M138">
        <v>1.8</v>
      </c>
      <c r="N138">
        <v>0.7</v>
      </c>
      <c r="O138">
        <f t="shared" si="17"/>
        <v>1.1000000000000001</v>
      </c>
      <c r="Q138">
        <v>107</v>
      </c>
      <c r="R138">
        <v>1</v>
      </c>
      <c r="S138">
        <f t="shared" si="18"/>
        <v>0.7</v>
      </c>
      <c r="T138">
        <f t="shared" si="19"/>
        <v>1.1000000000000001</v>
      </c>
      <c r="U138">
        <f t="shared" si="14"/>
        <v>179.3</v>
      </c>
      <c r="W138">
        <v>134.1</v>
      </c>
      <c r="X138">
        <f t="shared" si="15"/>
        <v>3607.7000000000003</v>
      </c>
      <c r="Y138">
        <v>8.081331922498034</v>
      </c>
    </row>
    <row r="139" spans="1:26" x14ac:dyDescent="0.25">
      <c r="A139">
        <v>6360</v>
      </c>
      <c r="B139">
        <v>24170</v>
      </c>
      <c r="C139" s="1">
        <v>43084</v>
      </c>
      <c r="E139">
        <v>13</v>
      </c>
      <c r="F139" s="47"/>
      <c r="G139">
        <v>4.7</v>
      </c>
      <c r="H139">
        <v>3.7</v>
      </c>
      <c r="I139">
        <v>5.6</v>
      </c>
      <c r="J139">
        <f t="shared" si="12"/>
        <v>1150.2</v>
      </c>
      <c r="K139">
        <f t="shared" si="13"/>
        <v>63.5</v>
      </c>
      <c r="M139">
        <v>2</v>
      </c>
      <c r="N139">
        <v>0.6</v>
      </c>
      <c r="O139">
        <f t="shared" si="17"/>
        <v>1.4</v>
      </c>
      <c r="Q139">
        <v>108</v>
      </c>
      <c r="R139">
        <v>1</v>
      </c>
      <c r="S139">
        <f t="shared" si="18"/>
        <v>0.6</v>
      </c>
      <c r="T139">
        <f t="shared" si="19"/>
        <v>1.4</v>
      </c>
      <c r="U139">
        <f t="shared" si="14"/>
        <v>179.3</v>
      </c>
      <c r="W139">
        <v>150.80000000000001</v>
      </c>
      <c r="X139">
        <f t="shared" si="15"/>
        <v>3758.5000000000005</v>
      </c>
      <c r="Y139">
        <v>8.072363043683481</v>
      </c>
    </row>
    <row r="140" spans="1:26" x14ac:dyDescent="0.25">
      <c r="A140">
        <v>6360</v>
      </c>
      <c r="B140">
        <v>24170</v>
      </c>
      <c r="C140" s="1">
        <v>43085</v>
      </c>
      <c r="E140">
        <v>14</v>
      </c>
      <c r="F140" s="47"/>
      <c r="G140">
        <v>4.0999999999999996</v>
      </c>
      <c r="H140">
        <v>3.4</v>
      </c>
      <c r="I140">
        <v>5</v>
      </c>
      <c r="J140">
        <f t="shared" si="12"/>
        <v>1154.3</v>
      </c>
      <c r="K140">
        <f t="shared" si="13"/>
        <v>67.599999999999994</v>
      </c>
      <c r="M140">
        <v>0.4</v>
      </c>
      <c r="N140">
        <v>0.6</v>
      </c>
      <c r="O140">
        <f t="shared" si="17"/>
        <v>-0.19999999999999996</v>
      </c>
      <c r="Q140">
        <v>109</v>
      </c>
      <c r="R140">
        <v>1</v>
      </c>
      <c r="S140">
        <f t="shared" si="18"/>
        <v>0.6</v>
      </c>
      <c r="T140">
        <f t="shared" si="19"/>
        <v>-0.19999999999999996</v>
      </c>
      <c r="U140">
        <f t="shared" si="14"/>
        <v>179.10000000000002</v>
      </c>
      <c r="W140">
        <v>264.2</v>
      </c>
      <c r="X140">
        <f t="shared" si="15"/>
        <v>4022.7000000000003</v>
      </c>
      <c r="Y140">
        <v>8.0648157679345012</v>
      </c>
    </row>
    <row r="141" spans="1:26" x14ac:dyDescent="0.25">
      <c r="A141">
        <v>6360</v>
      </c>
      <c r="B141">
        <v>24170</v>
      </c>
      <c r="C141" s="1">
        <v>43086</v>
      </c>
      <c r="E141">
        <v>15</v>
      </c>
      <c r="F141" s="47"/>
      <c r="G141">
        <v>2.9</v>
      </c>
      <c r="H141">
        <v>1.5</v>
      </c>
      <c r="I141">
        <v>7.6</v>
      </c>
      <c r="J141">
        <f t="shared" si="12"/>
        <v>1157.2</v>
      </c>
      <c r="K141">
        <f t="shared" si="13"/>
        <v>70.5</v>
      </c>
      <c r="M141">
        <v>8.9</v>
      </c>
      <c r="N141">
        <v>0.5</v>
      </c>
      <c r="O141">
        <f t="shared" si="17"/>
        <v>8.4</v>
      </c>
      <c r="Q141">
        <v>110</v>
      </c>
      <c r="R141">
        <v>1</v>
      </c>
      <c r="S141">
        <f t="shared" si="18"/>
        <v>0.5</v>
      </c>
      <c r="T141">
        <f t="shared" si="19"/>
        <v>8.4</v>
      </c>
      <c r="U141">
        <f t="shared" si="14"/>
        <v>179.3</v>
      </c>
      <c r="W141">
        <v>137.19999999999999</v>
      </c>
      <c r="X141">
        <f t="shared" si="15"/>
        <v>4159.9000000000005</v>
      </c>
      <c r="Y141">
        <v>8.0586970626761882</v>
      </c>
    </row>
    <row r="142" spans="1:26" x14ac:dyDescent="0.25">
      <c r="A142">
        <v>6360</v>
      </c>
      <c r="B142">
        <v>24170</v>
      </c>
      <c r="C142" s="1">
        <v>43087</v>
      </c>
      <c r="F142" s="47"/>
      <c r="G142">
        <v>6.2</v>
      </c>
      <c r="H142">
        <v>3.7</v>
      </c>
      <c r="I142">
        <v>7.5</v>
      </c>
      <c r="J142">
        <f t="shared" si="12"/>
        <v>1163.4000000000001</v>
      </c>
      <c r="K142">
        <f t="shared" si="13"/>
        <v>76.7</v>
      </c>
      <c r="M142">
        <v>0</v>
      </c>
      <c r="N142">
        <v>0.4</v>
      </c>
      <c r="O142">
        <f t="shared" si="17"/>
        <v>-0.4</v>
      </c>
      <c r="Q142">
        <v>111</v>
      </c>
      <c r="R142">
        <v>1</v>
      </c>
      <c r="S142">
        <f t="shared" si="18"/>
        <v>0.4</v>
      </c>
      <c r="T142">
        <f t="shared" si="19"/>
        <v>-0.4</v>
      </c>
      <c r="U142">
        <f t="shared" si="14"/>
        <v>178.9</v>
      </c>
      <c r="W142">
        <v>313.89999999999998</v>
      </c>
      <c r="X142">
        <f t="shared" si="15"/>
        <v>4473.8</v>
      </c>
      <c r="Y142">
        <v>8.0540125995822578</v>
      </c>
    </row>
    <row r="143" spans="1:26" x14ac:dyDescent="0.25">
      <c r="A143">
        <v>6360</v>
      </c>
      <c r="B143">
        <v>24170</v>
      </c>
      <c r="C143" s="1">
        <v>43088</v>
      </c>
      <c r="E143">
        <v>16</v>
      </c>
      <c r="F143" s="47"/>
      <c r="G143">
        <v>3.5</v>
      </c>
      <c r="H143">
        <v>2.6</v>
      </c>
      <c r="I143">
        <v>4.5999999999999996</v>
      </c>
      <c r="J143">
        <f t="shared" si="12"/>
        <v>1166.9000000000001</v>
      </c>
      <c r="K143">
        <f t="shared" si="13"/>
        <v>80.2</v>
      </c>
      <c r="M143">
        <v>0</v>
      </c>
      <c r="N143">
        <v>0.3</v>
      </c>
      <c r="O143">
        <f t="shared" si="17"/>
        <v>-0.3</v>
      </c>
      <c r="Q143">
        <v>112</v>
      </c>
      <c r="R143">
        <v>1</v>
      </c>
      <c r="S143">
        <f t="shared" si="18"/>
        <v>0.3</v>
      </c>
      <c r="T143">
        <f t="shared" si="19"/>
        <v>-0.3</v>
      </c>
      <c r="U143">
        <f t="shared" si="14"/>
        <v>178.6</v>
      </c>
      <c r="W143">
        <v>143.1</v>
      </c>
      <c r="X143">
        <f t="shared" si="15"/>
        <v>4616.9000000000005</v>
      </c>
      <c r="Y143">
        <v>8.0507667348797565</v>
      </c>
    </row>
    <row r="144" spans="1:26" x14ac:dyDescent="0.25">
      <c r="A144">
        <v>6360</v>
      </c>
      <c r="B144">
        <v>24170</v>
      </c>
      <c r="C144" s="1">
        <v>43089</v>
      </c>
      <c r="F144" s="47"/>
      <c r="G144">
        <v>6.6</v>
      </c>
      <c r="H144">
        <v>3.7</v>
      </c>
      <c r="I144">
        <v>8.3000000000000007</v>
      </c>
      <c r="J144">
        <f t="shared" si="12"/>
        <v>1173.5</v>
      </c>
      <c r="K144">
        <f t="shared" si="13"/>
        <v>86.8</v>
      </c>
      <c r="M144">
        <v>1.2</v>
      </c>
      <c r="N144">
        <v>0.2</v>
      </c>
      <c r="O144">
        <f t="shared" si="17"/>
        <v>1</v>
      </c>
      <c r="Q144">
        <v>113</v>
      </c>
      <c r="R144">
        <v>1</v>
      </c>
      <c r="S144">
        <f t="shared" si="18"/>
        <v>0.2</v>
      </c>
      <c r="T144">
        <f t="shared" si="19"/>
        <v>1</v>
      </c>
      <c r="U144">
        <f t="shared" si="14"/>
        <v>179.3</v>
      </c>
      <c r="W144">
        <v>61.8</v>
      </c>
      <c r="X144">
        <f t="shared" si="15"/>
        <v>4678.7000000000007</v>
      </c>
      <c r="Y144">
        <v>8.0489624941449005</v>
      </c>
    </row>
    <row r="145" spans="1:25" x14ac:dyDescent="0.25">
      <c r="A145">
        <v>6360</v>
      </c>
      <c r="B145">
        <v>24170</v>
      </c>
      <c r="C145" s="1">
        <v>43090</v>
      </c>
      <c r="F145" s="47"/>
      <c r="G145">
        <v>9.3000000000000007</v>
      </c>
      <c r="H145">
        <v>8</v>
      </c>
      <c r="I145">
        <v>10.1</v>
      </c>
      <c r="J145">
        <f t="shared" si="12"/>
        <v>1182.8</v>
      </c>
      <c r="K145">
        <f t="shared" si="13"/>
        <v>96.1</v>
      </c>
      <c r="M145">
        <v>1</v>
      </c>
      <c r="N145">
        <v>0.2</v>
      </c>
      <c r="O145">
        <f t="shared" si="17"/>
        <v>0.8</v>
      </c>
      <c r="Q145">
        <v>114</v>
      </c>
      <c r="R145">
        <v>1</v>
      </c>
      <c r="S145">
        <f t="shared" si="18"/>
        <v>0.2</v>
      </c>
      <c r="T145">
        <f t="shared" si="19"/>
        <v>0.8</v>
      </c>
      <c r="U145">
        <f t="shared" si="14"/>
        <v>179.3</v>
      </c>
      <c r="W145">
        <v>46.5</v>
      </c>
      <c r="X145">
        <f t="shared" si="15"/>
        <v>4725.2000000000007</v>
      </c>
      <c r="Y145">
        <v>8.0486015617038369</v>
      </c>
    </row>
    <row r="146" spans="1:25" x14ac:dyDescent="0.25">
      <c r="A146">
        <v>6360</v>
      </c>
      <c r="B146">
        <v>24170</v>
      </c>
      <c r="C146" s="1">
        <v>43091</v>
      </c>
      <c r="F146" s="47"/>
      <c r="G146">
        <v>9</v>
      </c>
      <c r="H146">
        <v>8.1999999999999993</v>
      </c>
      <c r="I146">
        <v>9.4</v>
      </c>
      <c r="J146">
        <f t="shared" si="12"/>
        <v>1191.8</v>
      </c>
      <c r="K146">
        <f t="shared" si="13"/>
        <v>105.1</v>
      </c>
      <c r="M146">
        <v>0.1</v>
      </c>
      <c r="N146">
        <v>0.2</v>
      </c>
      <c r="O146">
        <f t="shared" si="17"/>
        <v>-0.1</v>
      </c>
      <c r="Q146">
        <v>115</v>
      </c>
      <c r="R146">
        <v>1</v>
      </c>
      <c r="S146">
        <f t="shared" si="18"/>
        <v>0.2</v>
      </c>
      <c r="T146">
        <f t="shared" si="19"/>
        <v>-0.1</v>
      </c>
      <c r="U146">
        <f t="shared" si="14"/>
        <v>179.20000000000002</v>
      </c>
      <c r="W146">
        <v>107.5</v>
      </c>
      <c r="X146">
        <f t="shared" si="15"/>
        <v>4832.7000000000007</v>
      </c>
      <c r="Y146">
        <v>8.049684274718107</v>
      </c>
    </row>
    <row r="147" spans="1:25" x14ac:dyDescent="0.25">
      <c r="A147">
        <v>6360</v>
      </c>
      <c r="B147">
        <v>24170</v>
      </c>
      <c r="C147" s="1">
        <v>43092</v>
      </c>
      <c r="F147" s="47"/>
      <c r="G147">
        <v>8.6</v>
      </c>
      <c r="H147">
        <v>8.5</v>
      </c>
      <c r="I147">
        <v>8.8000000000000007</v>
      </c>
      <c r="J147">
        <f t="shared" si="12"/>
        <v>1200.3999999999999</v>
      </c>
      <c r="K147">
        <f t="shared" si="13"/>
        <v>113.69999999999999</v>
      </c>
      <c r="M147">
        <v>0</v>
      </c>
      <c r="N147">
        <v>0.4</v>
      </c>
      <c r="O147">
        <f t="shared" si="17"/>
        <v>-0.4</v>
      </c>
      <c r="Q147">
        <v>116</v>
      </c>
      <c r="R147">
        <v>1</v>
      </c>
      <c r="S147">
        <f t="shared" si="18"/>
        <v>0.4</v>
      </c>
      <c r="T147">
        <f t="shared" si="19"/>
        <v>-0.4</v>
      </c>
      <c r="U147">
        <f t="shared" si="14"/>
        <v>178.8</v>
      </c>
      <c r="W147">
        <v>67.400000000000006</v>
      </c>
      <c r="X147">
        <f t="shared" si="15"/>
        <v>4900.1000000000004</v>
      </c>
      <c r="Y147">
        <v>8.0522096219995074</v>
      </c>
    </row>
    <row r="148" spans="1:25" x14ac:dyDescent="0.25">
      <c r="A148">
        <v>6360</v>
      </c>
      <c r="B148">
        <v>24170</v>
      </c>
      <c r="C148" s="1">
        <v>43093</v>
      </c>
      <c r="F148" s="47"/>
      <c r="G148">
        <v>8.1</v>
      </c>
      <c r="H148">
        <v>8</v>
      </c>
      <c r="I148">
        <v>8.3000000000000007</v>
      </c>
      <c r="J148">
        <f t="shared" si="12"/>
        <v>1208.4999999999998</v>
      </c>
      <c r="K148">
        <f t="shared" si="13"/>
        <v>121.79999999999998</v>
      </c>
      <c r="M148">
        <v>1</v>
      </c>
      <c r="N148">
        <v>0.5</v>
      </c>
      <c r="O148">
        <f t="shared" si="17"/>
        <v>0.5</v>
      </c>
      <c r="Q148">
        <v>117</v>
      </c>
      <c r="R148">
        <v>1</v>
      </c>
      <c r="S148">
        <f t="shared" si="18"/>
        <v>0.5</v>
      </c>
      <c r="T148">
        <f t="shared" si="19"/>
        <v>0.5</v>
      </c>
      <c r="U148">
        <f t="shared" si="14"/>
        <v>179.3</v>
      </c>
      <c r="W148">
        <v>70.8</v>
      </c>
      <c r="X148">
        <f t="shared" si="15"/>
        <v>4970.9000000000005</v>
      </c>
      <c r="Y148">
        <v>8.0561752475632868</v>
      </c>
    </row>
    <row r="149" spans="1:25" x14ac:dyDescent="0.25">
      <c r="A149">
        <v>6360</v>
      </c>
      <c r="B149">
        <v>24170</v>
      </c>
      <c r="C149" s="1">
        <v>43094</v>
      </c>
      <c r="E149">
        <v>17</v>
      </c>
      <c r="F149" s="47"/>
      <c r="G149">
        <v>4.9000000000000004</v>
      </c>
      <c r="H149">
        <v>3.5</v>
      </c>
      <c r="I149">
        <v>5.4</v>
      </c>
      <c r="J149">
        <f t="shared" si="12"/>
        <v>1213.3999999999999</v>
      </c>
      <c r="K149">
        <f t="shared" si="13"/>
        <v>126.69999999999999</v>
      </c>
      <c r="M149">
        <v>3.6</v>
      </c>
      <c r="N149">
        <v>0.3</v>
      </c>
      <c r="O149">
        <f t="shared" si="17"/>
        <v>3.3000000000000003</v>
      </c>
      <c r="Q149">
        <v>118</v>
      </c>
      <c r="R149">
        <v>1</v>
      </c>
      <c r="S149">
        <f t="shared" si="18"/>
        <v>0.3</v>
      </c>
      <c r="T149">
        <f t="shared" si="19"/>
        <v>3.3000000000000003</v>
      </c>
      <c r="U149">
        <f t="shared" si="14"/>
        <v>179.3</v>
      </c>
      <c r="W149">
        <v>111.9</v>
      </c>
      <c r="X149">
        <f t="shared" si="15"/>
        <v>5082.8</v>
      </c>
      <c r="Y149">
        <v>8.0615774588928222</v>
      </c>
    </row>
    <row r="150" spans="1:25" x14ac:dyDescent="0.25">
      <c r="A150">
        <v>6360</v>
      </c>
      <c r="B150">
        <v>24170</v>
      </c>
      <c r="C150" s="1">
        <v>43095</v>
      </c>
      <c r="F150" s="47"/>
      <c r="G150">
        <v>6</v>
      </c>
      <c r="H150">
        <v>3.6</v>
      </c>
      <c r="I150">
        <v>7.5</v>
      </c>
      <c r="J150">
        <f t="shared" si="12"/>
        <v>1219.3999999999999</v>
      </c>
      <c r="K150">
        <f t="shared" si="13"/>
        <v>132.69999999999999</v>
      </c>
      <c r="M150">
        <v>10.199999999999999</v>
      </c>
      <c r="N150">
        <v>0.5</v>
      </c>
      <c r="O150">
        <f t="shared" si="17"/>
        <v>9.6999999999999993</v>
      </c>
      <c r="Q150">
        <v>119</v>
      </c>
      <c r="R150">
        <v>1</v>
      </c>
      <c r="S150">
        <f t="shared" si="18"/>
        <v>0.5</v>
      </c>
      <c r="T150">
        <f t="shared" si="19"/>
        <v>9.6999999999999993</v>
      </c>
      <c r="U150">
        <f t="shared" si="14"/>
        <v>179.3</v>
      </c>
      <c r="W150">
        <v>261.3</v>
      </c>
      <c r="X150">
        <f t="shared" si="15"/>
        <v>5344.1</v>
      </c>
      <c r="Y150">
        <v>8.0684112398534573</v>
      </c>
    </row>
    <row r="151" spans="1:25" x14ac:dyDescent="0.25">
      <c r="A151">
        <v>6360</v>
      </c>
      <c r="B151">
        <v>24170</v>
      </c>
      <c r="C151" s="1">
        <v>43096</v>
      </c>
      <c r="E151">
        <v>18</v>
      </c>
      <c r="F151" s="47"/>
      <c r="G151">
        <v>4.5</v>
      </c>
      <c r="H151">
        <v>3.5</v>
      </c>
      <c r="I151">
        <v>5.3</v>
      </c>
      <c r="J151">
        <f t="shared" si="12"/>
        <v>1223.8999999999999</v>
      </c>
      <c r="K151">
        <f t="shared" si="13"/>
        <v>137.19999999999999</v>
      </c>
      <c r="M151">
        <v>1.6</v>
      </c>
      <c r="N151">
        <v>0.6</v>
      </c>
      <c r="O151">
        <f t="shared" si="17"/>
        <v>1</v>
      </c>
      <c r="Q151">
        <v>120</v>
      </c>
      <c r="R151">
        <v>1</v>
      </c>
      <c r="S151">
        <f t="shared" si="18"/>
        <v>0.6</v>
      </c>
      <c r="T151">
        <f t="shared" si="19"/>
        <v>1</v>
      </c>
      <c r="U151">
        <f t="shared" si="14"/>
        <v>179.3</v>
      </c>
      <c r="W151">
        <v>150.5</v>
      </c>
      <c r="X151">
        <f t="shared" si="15"/>
        <v>5494.6</v>
      </c>
      <c r="Y151">
        <v>8.0766702681585372</v>
      </c>
    </row>
    <row r="152" spans="1:25" x14ac:dyDescent="0.25">
      <c r="A152">
        <v>6360</v>
      </c>
      <c r="B152">
        <v>24170</v>
      </c>
      <c r="C152" s="1">
        <v>43097</v>
      </c>
      <c r="E152">
        <v>19</v>
      </c>
      <c r="F152" s="47"/>
      <c r="G152">
        <v>2.4</v>
      </c>
      <c r="H152">
        <v>0.5</v>
      </c>
      <c r="I152">
        <v>4.9000000000000004</v>
      </c>
      <c r="J152">
        <f t="shared" si="12"/>
        <v>1226.3</v>
      </c>
      <c r="K152">
        <f t="shared" si="13"/>
        <v>139.6</v>
      </c>
      <c r="M152">
        <v>0.3</v>
      </c>
      <c r="N152">
        <v>0.6</v>
      </c>
      <c r="O152">
        <f t="shared" si="17"/>
        <v>-0.3</v>
      </c>
      <c r="Q152">
        <v>121</v>
      </c>
      <c r="R152">
        <v>1</v>
      </c>
      <c r="S152">
        <f t="shared" si="18"/>
        <v>0.6</v>
      </c>
      <c r="T152">
        <f t="shared" si="19"/>
        <v>-0.3</v>
      </c>
      <c r="U152">
        <f t="shared" si="14"/>
        <v>179</v>
      </c>
      <c r="W152">
        <v>556.9</v>
      </c>
      <c r="X152">
        <f t="shared" si="15"/>
        <v>6051.5</v>
      </c>
      <c r="Y152">
        <v>8.0863469372572929</v>
      </c>
    </row>
    <row r="153" spans="1:25" x14ac:dyDescent="0.25">
      <c r="A153">
        <v>6360</v>
      </c>
      <c r="B153">
        <v>24170</v>
      </c>
      <c r="C153" s="1">
        <v>43098</v>
      </c>
      <c r="E153">
        <v>20</v>
      </c>
      <c r="F153" s="47"/>
      <c r="G153">
        <v>4.0999999999999996</v>
      </c>
      <c r="H153">
        <v>0.7</v>
      </c>
      <c r="I153">
        <v>11.1</v>
      </c>
      <c r="J153">
        <f t="shared" si="12"/>
        <v>1230.3999999999999</v>
      </c>
      <c r="K153">
        <f t="shared" si="13"/>
        <v>143.69999999999999</v>
      </c>
      <c r="M153">
        <v>14.5</v>
      </c>
      <c r="N153">
        <v>1</v>
      </c>
      <c r="O153">
        <f t="shared" si="17"/>
        <v>13.5</v>
      </c>
      <c r="Q153">
        <v>122</v>
      </c>
      <c r="R153">
        <v>1</v>
      </c>
      <c r="S153">
        <f t="shared" si="18"/>
        <v>1</v>
      </c>
      <c r="T153">
        <f t="shared" si="19"/>
        <v>13.5</v>
      </c>
      <c r="U153">
        <f t="shared" si="14"/>
        <v>179.3</v>
      </c>
      <c r="W153">
        <v>86.3</v>
      </c>
      <c r="X153">
        <f t="shared" si="15"/>
        <v>6137.8</v>
      </c>
      <c r="Y153">
        <v>8.0974323824826495</v>
      </c>
    </row>
    <row r="154" spans="1:25" x14ac:dyDescent="0.25">
      <c r="A154">
        <v>6360</v>
      </c>
      <c r="B154">
        <v>24170</v>
      </c>
      <c r="C154" s="1">
        <v>43099</v>
      </c>
      <c r="F154" s="47"/>
      <c r="G154">
        <v>12.5</v>
      </c>
      <c r="H154">
        <v>6.9</v>
      </c>
      <c r="I154">
        <v>14.2</v>
      </c>
      <c r="J154">
        <f t="shared" si="12"/>
        <v>1242.8999999999999</v>
      </c>
      <c r="K154">
        <f t="shared" si="13"/>
        <v>156.19999999999999</v>
      </c>
      <c r="M154">
        <v>1.2</v>
      </c>
      <c r="N154">
        <v>0.2</v>
      </c>
      <c r="O154">
        <f t="shared" si="17"/>
        <v>1</v>
      </c>
      <c r="Q154">
        <v>123</v>
      </c>
      <c r="R154">
        <v>1</v>
      </c>
      <c r="S154">
        <f t="shared" si="18"/>
        <v>0.2</v>
      </c>
      <c r="T154">
        <f t="shared" si="19"/>
        <v>1</v>
      </c>
      <c r="U154">
        <f t="shared" si="14"/>
        <v>179.3</v>
      </c>
      <c r="W154">
        <v>135.80000000000001</v>
      </c>
      <c r="X154">
        <f t="shared" si="15"/>
        <v>6273.6</v>
      </c>
      <c r="Y154">
        <v>8.1099165112673752</v>
      </c>
    </row>
    <row r="155" spans="1:25" x14ac:dyDescent="0.25">
      <c r="A155">
        <v>6360</v>
      </c>
      <c r="B155">
        <v>24170</v>
      </c>
      <c r="C155" s="1">
        <v>43100</v>
      </c>
      <c r="F155" s="47"/>
      <c r="G155">
        <v>12</v>
      </c>
      <c r="H155">
        <v>10.199999999999999</v>
      </c>
      <c r="I155">
        <v>14.7</v>
      </c>
      <c r="J155">
        <f t="shared" si="12"/>
        <v>1254.8999999999999</v>
      </c>
      <c r="K155">
        <f t="shared" si="13"/>
        <v>168.2</v>
      </c>
      <c r="M155">
        <v>1.8</v>
      </c>
      <c r="N155">
        <v>1.9</v>
      </c>
      <c r="O155">
        <f t="shared" si="17"/>
        <v>-9.9999999999999867E-2</v>
      </c>
      <c r="Q155">
        <v>124</v>
      </c>
      <c r="R155">
        <v>1</v>
      </c>
      <c r="S155">
        <f t="shared" si="18"/>
        <v>1.9</v>
      </c>
      <c r="T155">
        <f t="shared" si="19"/>
        <v>-9.9999999999999867E-2</v>
      </c>
      <c r="U155">
        <f t="shared" si="14"/>
        <v>179.20000000000002</v>
      </c>
      <c r="W155">
        <v>398.4</v>
      </c>
      <c r="X155">
        <f t="shared" si="15"/>
        <v>6672</v>
      </c>
      <c r="Y155">
        <v>8.1237880372099944</v>
      </c>
    </row>
    <row r="156" spans="1:25" x14ac:dyDescent="0.25">
      <c r="A156">
        <v>6360</v>
      </c>
      <c r="B156">
        <v>24170</v>
      </c>
      <c r="C156" s="1">
        <v>43101</v>
      </c>
      <c r="F156" s="47"/>
      <c r="G156">
        <v>7.5</v>
      </c>
      <c r="H156">
        <v>6.5</v>
      </c>
      <c r="I156">
        <v>8</v>
      </c>
      <c r="J156">
        <f t="shared" si="12"/>
        <v>1262.3999999999999</v>
      </c>
      <c r="K156">
        <f t="shared" si="13"/>
        <v>175.7</v>
      </c>
      <c r="M156">
        <v>13.1</v>
      </c>
      <c r="N156">
        <v>0.9</v>
      </c>
      <c r="O156">
        <f t="shared" si="17"/>
        <v>12.2</v>
      </c>
      <c r="Q156">
        <v>125</v>
      </c>
      <c r="R156">
        <v>1</v>
      </c>
      <c r="S156">
        <f t="shared" si="18"/>
        <v>0.9</v>
      </c>
      <c r="T156">
        <f t="shared" si="19"/>
        <v>12.2</v>
      </c>
      <c r="U156">
        <f t="shared" si="14"/>
        <v>179.3</v>
      </c>
      <c r="W156">
        <v>98.5</v>
      </c>
      <c r="X156">
        <f t="shared" si="15"/>
        <v>6770.5</v>
      </c>
      <c r="Y156">
        <v>8.1390345177474064</v>
      </c>
    </row>
    <row r="157" spans="1:25" x14ac:dyDescent="0.25">
      <c r="A157">
        <v>6360</v>
      </c>
      <c r="B157">
        <v>24170</v>
      </c>
      <c r="C157" s="1">
        <v>43102</v>
      </c>
      <c r="F157" s="47"/>
      <c r="G157">
        <v>8.1999999999999993</v>
      </c>
      <c r="H157">
        <v>6</v>
      </c>
      <c r="I157">
        <v>12.4</v>
      </c>
      <c r="J157">
        <f t="shared" si="12"/>
        <v>1270.5999999999999</v>
      </c>
      <c r="K157">
        <f t="shared" si="13"/>
        <v>183.89999999999998</v>
      </c>
      <c r="M157">
        <v>10.3</v>
      </c>
      <c r="N157">
        <v>1.2</v>
      </c>
      <c r="O157">
        <f t="shared" si="17"/>
        <v>9.1000000000000014</v>
      </c>
      <c r="Q157">
        <v>126</v>
      </c>
      <c r="R157">
        <v>1</v>
      </c>
      <c r="S157">
        <f t="shared" si="18"/>
        <v>1.2</v>
      </c>
      <c r="T157">
        <f t="shared" si="19"/>
        <v>9.1000000000000014</v>
      </c>
      <c r="U157">
        <f t="shared" si="14"/>
        <v>179.3</v>
      </c>
      <c r="W157">
        <v>293.8</v>
      </c>
      <c r="X157">
        <f t="shared" si="15"/>
        <v>7064.3</v>
      </c>
      <c r="Y157">
        <v>8.1556423951699006</v>
      </c>
    </row>
    <row r="158" spans="1:25" x14ac:dyDescent="0.25">
      <c r="A158">
        <v>6360</v>
      </c>
      <c r="B158">
        <v>24170</v>
      </c>
      <c r="C158" s="1">
        <v>43103</v>
      </c>
      <c r="F158" s="47"/>
      <c r="G158">
        <v>9.3000000000000007</v>
      </c>
      <c r="H158">
        <v>7.7</v>
      </c>
      <c r="I158">
        <v>10.3</v>
      </c>
      <c r="J158">
        <f t="shared" si="12"/>
        <v>1279.8999999999999</v>
      </c>
      <c r="K158">
        <f t="shared" si="13"/>
        <v>193.2</v>
      </c>
      <c r="M158">
        <v>9.5</v>
      </c>
      <c r="N158">
        <v>1.2</v>
      </c>
      <c r="O158">
        <f t="shared" si="17"/>
        <v>8.3000000000000007</v>
      </c>
      <c r="Q158">
        <v>127</v>
      </c>
      <c r="R158">
        <v>1</v>
      </c>
      <c r="S158">
        <f t="shared" si="18"/>
        <v>1.2</v>
      </c>
      <c r="T158">
        <f t="shared" si="19"/>
        <v>8.3000000000000007</v>
      </c>
      <c r="U158">
        <f t="shared" si="14"/>
        <v>179.3</v>
      </c>
      <c r="W158">
        <v>210</v>
      </c>
      <c r="X158">
        <f t="shared" si="15"/>
        <v>7274.3</v>
      </c>
      <c r="Y158">
        <v>8.1735970406959755</v>
      </c>
    </row>
    <row r="159" spans="1:25" x14ac:dyDescent="0.25">
      <c r="A159">
        <v>6360</v>
      </c>
      <c r="B159">
        <v>24170</v>
      </c>
      <c r="C159" s="1">
        <v>43104</v>
      </c>
      <c r="F159" s="47"/>
      <c r="G159">
        <v>11</v>
      </c>
      <c r="H159">
        <v>7.3</v>
      </c>
      <c r="I159">
        <v>13.8</v>
      </c>
      <c r="J159">
        <f t="shared" si="12"/>
        <v>1290.8999999999999</v>
      </c>
      <c r="K159">
        <f t="shared" si="13"/>
        <v>204.2</v>
      </c>
      <c r="M159">
        <v>8.4</v>
      </c>
      <c r="N159">
        <v>0.5</v>
      </c>
      <c r="O159">
        <f t="shared" si="17"/>
        <v>7.9</v>
      </c>
      <c r="Q159">
        <v>128</v>
      </c>
      <c r="R159">
        <v>1</v>
      </c>
      <c r="S159">
        <f t="shared" si="18"/>
        <v>0.5</v>
      </c>
      <c r="T159">
        <f t="shared" si="19"/>
        <v>7.9</v>
      </c>
      <c r="U159">
        <f t="shared" si="14"/>
        <v>179.3</v>
      </c>
      <c r="W159">
        <v>96</v>
      </c>
      <c r="X159">
        <f t="shared" si="15"/>
        <v>7370.3</v>
      </c>
      <c r="Y159">
        <v>8.1928828013095227</v>
      </c>
    </row>
    <row r="160" spans="1:25" x14ac:dyDescent="0.25">
      <c r="A160">
        <v>6360</v>
      </c>
      <c r="B160">
        <v>24170</v>
      </c>
      <c r="C160" s="1">
        <v>43105</v>
      </c>
      <c r="F160" s="47"/>
      <c r="G160">
        <v>8.4</v>
      </c>
      <c r="H160">
        <v>8</v>
      </c>
      <c r="I160">
        <v>9.6999999999999993</v>
      </c>
      <c r="J160">
        <f t="shared" si="12"/>
        <v>1299.3</v>
      </c>
      <c r="K160">
        <f t="shared" si="13"/>
        <v>212.6</v>
      </c>
      <c r="M160">
        <v>0.3</v>
      </c>
      <c r="N160">
        <v>0.6</v>
      </c>
      <c r="O160">
        <f t="shared" si="17"/>
        <v>-0.3</v>
      </c>
      <c r="Q160">
        <v>129</v>
      </c>
      <c r="R160">
        <v>1</v>
      </c>
      <c r="S160">
        <f t="shared" si="18"/>
        <v>0.6</v>
      </c>
      <c r="T160">
        <f t="shared" si="19"/>
        <v>-0.3</v>
      </c>
      <c r="U160">
        <f t="shared" si="14"/>
        <v>179</v>
      </c>
      <c r="W160">
        <v>233.7</v>
      </c>
      <c r="X160">
        <f t="shared" si="15"/>
        <v>7604</v>
      </c>
      <c r="Y160">
        <v>8.2134830490504882</v>
      </c>
    </row>
    <row r="161" spans="1:25" x14ac:dyDescent="0.25">
      <c r="A161">
        <v>6360</v>
      </c>
      <c r="B161">
        <v>24170</v>
      </c>
      <c r="C161" s="1">
        <v>43106</v>
      </c>
      <c r="F161" s="47"/>
      <c r="G161">
        <v>7</v>
      </c>
      <c r="H161">
        <v>5.5</v>
      </c>
      <c r="I161">
        <v>8</v>
      </c>
      <c r="J161">
        <f t="shared" si="12"/>
        <v>1306.3</v>
      </c>
      <c r="K161">
        <f t="shared" si="13"/>
        <v>219.6</v>
      </c>
      <c r="M161">
        <v>4.9000000000000004</v>
      </c>
      <c r="N161">
        <v>0.3</v>
      </c>
      <c r="O161">
        <f t="shared" si="17"/>
        <v>4.6000000000000005</v>
      </c>
      <c r="Q161">
        <v>130</v>
      </c>
      <c r="R161">
        <v>1</v>
      </c>
      <c r="S161">
        <f t="shared" si="18"/>
        <v>0.3</v>
      </c>
      <c r="T161">
        <f t="shared" si="19"/>
        <v>4.6000000000000005</v>
      </c>
      <c r="U161">
        <f t="shared" si="14"/>
        <v>179.3</v>
      </c>
      <c r="W161">
        <v>113.5</v>
      </c>
      <c r="X161">
        <f t="shared" si="15"/>
        <v>7717.5</v>
      </c>
      <c r="Y161">
        <v>8.2353802324419139</v>
      </c>
    </row>
    <row r="162" spans="1:25" x14ac:dyDescent="0.25">
      <c r="A162">
        <v>6360</v>
      </c>
      <c r="B162">
        <v>24170</v>
      </c>
      <c r="C162" s="1">
        <v>43107</v>
      </c>
      <c r="F162" s="47"/>
      <c r="G162">
        <v>6.1</v>
      </c>
      <c r="H162">
        <v>5.7</v>
      </c>
      <c r="I162">
        <v>6.5</v>
      </c>
      <c r="J162">
        <f t="shared" ref="J162:J225" si="20">J161+G162</f>
        <v>1312.3999999999999</v>
      </c>
      <c r="K162">
        <f t="shared" ref="K162:K225" si="21">K161+G162</f>
        <v>225.7</v>
      </c>
      <c r="M162">
        <v>0</v>
      </c>
      <c r="N162">
        <v>0.6</v>
      </c>
      <c r="O162">
        <f t="shared" si="17"/>
        <v>-0.6</v>
      </c>
      <c r="Q162">
        <v>131</v>
      </c>
      <c r="R162">
        <v>1</v>
      </c>
      <c r="S162">
        <f t="shared" si="18"/>
        <v>0.6</v>
      </c>
      <c r="T162">
        <f t="shared" si="19"/>
        <v>-0.6</v>
      </c>
      <c r="U162">
        <f t="shared" ref="U162:U225" si="22">MIN(U161+T162,179.3)</f>
        <v>178.70000000000002</v>
      </c>
      <c r="W162">
        <v>101.6</v>
      </c>
      <c r="X162">
        <f t="shared" ref="X162:X225" si="23">X161+W162</f>
        <v>7819.1</v>
      </c>
      <c r="Y162">
        <v>8.2585559297316564</v>
      </c>
    </row>
    <row r="163" spans="1:25" x14ac:dyDescent="0.25">
      <c r="A163">
        <v>6360</v>
      </c>
      <c r="B163">
        <v>24170</v>
      </c>
      <c r="C163" s="1">
        <v>43108</v>
      </c>
      <c r="F163" s="47"/>
      <c r="G163">
        <v>5.9</v>
      </c>
      <c r="H163">
        <v>5.8</v>
      </c>
      <c r="I163">
        <v>7</v>
      </c>
      <c r="J163">
        <f t="shared" si="20"/>
        <v>1318.3</v>
      </c>
      <c r="K163">
        <f t="shared" si="21"/>
        <v>231.6</v>
      </c>
      <c r="M163">
        <v>0</v>
      </c>
      <c r="N163">
        <v>0.8</v>
      </c>
      <c r="O163">
        <f t="shared" si="17"/>
        <v>-0.8</v>
      </c>
      <c r="Q163">
        <v>132</v>
      </c>
      <c r="R163">
        <v>1</v>
      </c>
      <c r="S163">
        <f t="shared" si="18"/>
        <v>0.8</v>
      </c>
      <c r="T163">
        <f t="shared" si="19"/>
        <v>-0.8</v>
      </c>
      <c r="U163">
        <f t="shared" si="22"/>
        <v>177.9</v>
      </c>
      <c r="W163">
        <v>297.89999999999998</v>
      </c>
      <c r="X163">
        <f t="shared" si="23"/>
        <v>8117</v>
      </c>
      <c r="Y163">
        <v>8.2829909036254801</v>
      </c>
    </row>
    <row r="164" spans="1:25" x14ac:dyDescent="0.25">
      <c r="A164">
        <v>6360</v>
      </c>
      <c r="B164">
        <v>24170</v>
      </c>
      <c r="C164" s="1">
        <v>43109</v>
      </c>
      <c r="F164" s="47"/>
      <c r="G164">
        <v>5.6</v>
      </c>
      <c r="H164">
        <v>2.7</v>
      </c>
      <c r="I164">
        <v>7.7</v>
      </c>
      <c r="J164">
        <f t="shared" si="20"/>
        <v>1323.8999999999999</v>
      </c>
      <c r="K164">
        <f t="shared" si="21"/>
        <v>237.2</v>
      </c>
      <c r="M164">
        <v>3.1</v>
      </c>
      <c r="N164">
        <v>0.2</v>
      </c>
      <c r="O164">
        <f t="shared" si="17"/>
        <v>2.9</v>
      </c>
      <c r="Q164">
        <v>133</v>
      </c>
      <c r="R164">
        <v>1</v>
      </c>
      <c r="S164">
        <f t="shared" si="18"/>
        <v>0.2</v>
      </c>
      <c r="T164">
        <f t="shared" si="19"/>
        <v>2.9</v>
      </c>
      <c r="U164">
        <f t="shared" si="22"/>
        <v>179.3</v>
      </c>
      <c r="W164">
        <v>160.30000000000001</v>
      </c>
      <c r="X164">
        <f t="shared" si="23"/>
        <v>8277.2999999999993</v>
      </c>
      <c r="Y164">
        <v>8.3086651571899512</v>
      </c>
    </row>
    <row r="165" spans="1:25" x14ac:dyDescent="0.25">
      <c r="A165">
        <v>6360</v>
      </c>
      <c r="B165">
        <v>24170</v>
      </c>
      <c r="C165" s="1">
        <v>43110</v>
      </c>
      <c r="F165" s="47"/>
      <c r="G165">
        <v>7.1</v>
      </c>
      <c r="H165">
        <v>6.5</v>
      </c>
      <c r="I165">
        <v>8</v>
      </c>
      <c r="J165">
        <f t="shared" si="20"/>
        <v>1330.9999999999998</v>
      </c>
      <c r="K165">
        <f t="shared" si="21"/>
        <v>244.29999999999998</v>
      </c>
      <c r="M165">
        <v>1.8</v>
      </c>
      <c r="N165">
        <v>0.4</v>
      </c>
      <c r="O165">
        <f t="shared" si="17"/>
        <v>1.4</v>
      </c>
      <c r="Q165">
        <v>134</v>
      </c>
      <c r="R165">
        <v>1</v>
      </c>
      <c r="S165">
        <f t="shared" si="18"/>
        <v>0.4</v>
      </c>
      <c r="T165">
        <f t="shared" si="19"/>
        <v>1.4</v>
      </c>
      <c r="U165">
        <f t="shared" si="22"/>
        <v>179.3</v>
      </c>
      <c r="W165">
        <v>118.7</v>
      </c>
      <c r="X165">
        <f t="shared" si="23"/>
        <v>8396</v>
      </c>
      <c r="Y165">
        <v>8.3355579906080841</v>
      </c>
    </row>
    <row r="166" spans="1:25" x14ac:dyDescent="0.25">
      <c r="A166">
        <v>6360</v>
      </c>
      <c r="B166">
        <v>24170</v>
      </c>
      <c r="C166" s="1">
        <v>43111</v>
      </c>
      <c r="F166" s="47"/>
      <c r="G166">
        <v>6.2</v>
      </c>
      <c r="H166">
        <v>5.6</v>
      </c>
      <c r="I166">
        <v>7</v>
      </c>
      <c r="J166">
        <f t="shared" si="20"/>
        <v>1337.1999999999998</v>
      </c>
      <c r="K166">
        <f t="shared" si="21"/>
        <v>250.49999999999997</v>
      </c>
      <c r="M166">
        <v>0</v>
      </c>
      <c r="N166">
        <v>0.2</v>
      </c>
      <c r="O166">
        <f t="shared" si="17"/>
        <v>-0.2</v>
      </c>
      <c r="Q166">
        <v>135</v>
      </c>
      <c r="R166">
        <v>1</v>
      </c>
      <c r="S166">
        <f t="shared" si="18"/>
        <v>0.2</v>
      </c>
      <c r="T166">
        <f t="shared" si="19"/>
        <v>-0.2</v>
      </c>
      <c r="U166">
        <f t="shared" si="22"/>
        <v>179.10000000000002</v>
      </c>
      <c r="W166">
        <v>35.1</v>
      </c>
      <c r="X166">
        <f t="shared" si="23"/>
        <v>8431.1</v>
      </c>
      <c r="Y166">
        <v>8.3636480584780628</v>
      </c>
    </row>
    <row r="167" spans="1:25" x14ac:dyDescent="0.25">
      <c r="A167">
        <v>6360</v>
      </c>
      <c r="B167">
        <v>24170</v>
      </c>
      <c r="C167" s="1">
        <v>43112</v>
      </c>
      <c r="F167" s="47"/>
      <c r="G167">
        <v>5.2</v>
      </c>
      <c r="H167">
        <v>5.2</v>
      </c>
      <c r="I167">
        <v>6.2</v>
      </c>
      <c r="J167">
        <f t="shared" si="20"/>
        <v>1342.3999999999999</v>
      </c>
      <c r="K167">
        <f t="shared" si="21"/>
        <v>255.69999999999996</v>
      </c>
      <c r="M167">
        <v>0</v>
      </c>
      <c r="N167">
        <v>0.5</v>
      </c>
      <c r="O167">
        <f t="shared" si="17"/>
        <v>-0.5</v>
      </c>
      <c r="Q167">
        <v>136</v>
      </c>
      <c r="R167">
        <v>1</v>
      </c>
      <c r="S167">
        <f t="shared" si="18"/>
        <v>0.5</v>
      </c>
      <c r="T167">
        <f t="shared" si="19"/>
        <v>-0.5</v>
      </c>
      <c r="U167">
        <f t="shared" si="22"/>
        <v>178.60000000000002</v>
      </c>
      <c r="W167">
        <v>203.4</v>
      </c>
      <c r="X167">
        <f t="shared" si="23"/>
        <v>8634.5</v>
      </c>
      <c r="Y167">
        <v>8.3929134273550758</v>
      </c>
    </row>
    <row r="168" spans="1:25" x14ac:dyDescent="0.25">
      <c r="A168">
        <v>6360</v>
      </c>
      <c r="B168">
        <v>24170</v>
      </c>
      <c r="C168" s="1">
        <v>43113</v>
      </c>
      <c r="E168">
        <v>21</v>
      </c>
      <c r="F168" s="47"/>
      <c r="G168">
        <v>3.4</v>
      </c>
      <c r="H168">
        <v>2</v>
      </c>
      <c r="I168">
        <v>4.4000000000000004</v>
      </c>
      <c r="J168">
        <f t="shared" si="20"/>
        <v>1345.8</v>
      </c>
      <c r="K168">
        <f t="shared" si="21"/>
        <v>259.09999999999997</v>
      </c>
      <c r="M168">
        <v>0</v>
      </c>
      <c r="N168">
        <v>0.3</v>
      </c>
      <c r="O168">
        <f t="shared" si="17"/>
        <v>-0.3</v>
      </c>
      <c r="Q168">
        <v>137</v>
      </c>
      <c r="R168">
        <v>1</v>
      </c>
      <c r="S168">
        <f t="shared" si="18"/>
        <v>0.3</v>
      </c>
      <c r="T168">
        <f t="shared" si="19"/>
        <v>-0.3</v>
      </c>
      <c r="U168">
        <f t="shared" si="22"/>
        <v>178.3</v>
      </c>
      <c r="W168">
        <v>150</v>
      </c>
      <c r="X168">
        <f t="shared" si="23"/>
        <v>8784.5</v>
      </c>
      <c r="Y168">
        <v>8.4233316332484218</v>
      </c>
    </row>
    <row r="169" spans="1:25" x14ac:dyDescent="0.25">
      <c r="A169">
        <v>6360</v>
      </c>
      <c r="B169">
        <v>24170</v>
      </c>
      <c r="C169" s="1">
        <v>43114</v>
      </c>
      <c r="E169">
        <v>22</v>
      </c>
      <c r="F169" s="47"/>
      <c r="G169">
        <v>3.9</v>
      </c>
      <c r="H169">
        <v>0.7</v>
      </c>
      <c r="I169">
        <v>7.2</v>
      </c>
      <c r="J169">
        <f t="shared" si="20"/>
        <v>1349.7</v>
      </c>
      <c r="K169">
        <f t="shared" si="21"/>
        <v>262.99999999999994</v>
      </c>
      <c r="M169">
        <v>0</v>
      </c>
      <c r="N169">
        <v>0.8</v>
      </c>
      <c r="O169">
        <f t="shared" si="17"/>
        <v>-0.8</v>
      </c>
      <c r="Q169">
        <v>138</v>
      </c>
      <c r="R169">
        <v>1</v>
      </c>
      <c r="S169">
        <f t="shared" si="18"/>
        <v>0.8</v>
      </c>
      <c r="T169">
        <f t="shared" si="19"/>
        <v>-0.8</v>
      </c>
      <c r="U169">
        <f t="shared" si="22"/>
        <v>177.5</v>
      </c>
      <c r="W169">
        <v>580.6</v>
      </c>
      <c r="X169">
        <f t="shared" si="23"/>
        <v>9365.1</v>
      </c>
      <c r="Y169">
        <v>8.4548797387998604</v>
      </c>
    </row>
    <row r="170" spans="1:25" x14ac:dyDescent="0.25">
      <c r="A170">
        <v>6360</v>
      </c>
      <c r="B170">
        <v>24170</v>
      </c>
      <c r="C170" s="1">
        <v>43115</v>
      </c>
      <c r="F170" s="47"/>
      <c r="G170">
        <v>6.7</v>
      </c>
      <c r="H170">
        <v>4.0999999999999996</v>
      </c>
      <c r="I170">
        <v>8.9</v>
      </c>
      <c r="J170">
        <f t="shared" si="20"/>
        <v>1356.4</v>
      </c>
      <c r="K170">
        <f t="shared" si="21"/>
        <v>269.69999999999993</v>
      </c>
      <c r="M170">
        <v>11</v>
      </c>
      <c r="N170">
        <v>0.5</v>
      </c>
      <c r="O170">
        <f t="shared" si="17"/>
        <v>10.5</v>
      </c>
      <c r="Q170">
        <v>139</v>
      </c>
      <c r="R170">
        <v>1</v>
      </c>
      <c r="S170">
        <f t="shared" si="18"/>
        <v>0.5</v>
      </c>
      <c r="T170">
        <f t="shared" si="19"/>
        <v>10.5</v>
      </c>
      <c r="U170">
        <f t="shared" si="22"/>
        <v>179.3</v>
      </c>
      <c r="W170">
        <v>100.3</v>
      </c>
      <c r="X170">
        <f t="shared" si="23"/>
        <v>9465.4</v>
      </c>
      <c r="Y170">
        <v>8.4875343898848907</v>
      </c>
    </row>
    <row r="171" spans="1:25" x14ac:dyDescent="0.25">
      <c r="A171">
        <v>6360</v>
      </c>
      <c r="B171">
        <v>24170</v>
      </c>
      <c r="C171" s="1">
        <v>43116</v>
      </c>
      <c r="F171" s="47"/>
      <c r="G171">
        <v>7.6</v>
      </c>
      <c r="H171">
        <v>6.2</v>
      </c>
      <c r="I171">
        <v>10.3</v>
      </c>
      <c r="J171">
        <f t="shared" si="20"/>
        <v>1364</v>
      </c>
      <c r="K171">
        <f t="shared" si="21"/>
        <v>277.29999999999995</v>
      </c>
      <c r="M171">
        <v>5.7</v>
      </c>
      <c r="N171">
        <v>1.2</v>
      </c>
      <c r="O171">
        <f t="shared" si="17"/>
        <v>4.5</v>
      </c>
      <c r="Q171">
        <v>140</v>
      </c>
      <c r="R171">
        <v>1</v>
      </c>
      <c r="S171">
        <f t="shared" si="18"/>
        <v>1.2</v>
      </c>
      <c r="T171">
        <f t="shared" si="19"/>
        <v>4.5</v>
      </c>
      <c r="U171">
        <f t="shared" si="22"/>
        <v>179.3</v>
      </c>
      <c r="W171">
        <v>213.5</v>
      </c>
      <c r="X171">
        <f t="shared" si="23"/>
        <v>9678.9</v>
      </c>
      <c r="Y171">
        <v>8.5212718713954665</v>
      </c>
    </row>
    <row r="172" spans="1:25" x14ac:dyDescent="0.25">
      <c r="A172">
        <v>6360</v>
      </c>
      <c r="B172">
        <v>24170</v>
      </c>
      <c r="C172" s="1">
        <v>43117</v>
      </c>
      <c r="F172" s="47"/>
      <c r="G172">
        <v>5.5</v>
      </c>
      <c r="H172">
        <v>4</v>
      </c>
      <c r="I172">
        <v>8.5</v>
      </c>
      <c r="J172">
        <f t="shared" si="20"/>
        <v>1369.5</v>
      </c>
      <c r="K172">
        <f t="shared" si="21"/>
        <v>282.79999999999995</v>
      </c>
      <c r="M172">
        <v>6.2</v>
      </c>
      <c r="N172">
        <v>1.5</v>
      </c>
      <c r="O172">
        <f t="shared" si="17"/>
        <v>4.7</v>
      </c>
      <c r="Q172">
        <v>141</v>
      </c>
      <c r="R172">
        <v>1</v>
      </c>
      <c r="S172">
        <f t="shared" si="18"/>
        <v>1.5</v>
      </c>
      <c r="T172">
        <f t="shared" si="19"/>
        <v>4.7</v>
      </c>
      <c r="U172">
        <f t="shared" si="22"/>
        <v>179.3</v>
      </c>
      <c r="W172">
        <v>344.8</v>
      </c>
      <c r="X172">
        <f t="shared" si="23"/>
        <v>10023.699999999999</v>
      </c>
      <c r="Y172">
        <v>8.5560681619807628</v>
      </c>
    </row>
    <row r="173" spans="1:25" x14ac:dyDescent="0.25">
      <c r="A173">
        <v>6360</v>
      </c>
      <c r="B173">
        <v>24170</v>
      </c>
      <c r="C173" s="1">
        <v>43118</v>
      </c>
      <c r="F173" s="47"/>
      <c r="G173">
        <v>8.1999999999999993</v>
      </c>
      <c r="H173">
        <v>6.1</v>
      </c>
      <c r="I173">
        <v>9.8000000000000007</v>
      </c>
      <c r="J173">
        <f t="shared" si="20"/>
        <v>1377.7</v>
      </c>
      <c r="K173">
        <f t="shared" si="21"/>
        <v>290.99999999999994</v>
      </c>
      <c r="M173">
        <v>5.8</v>
      </c>
      <c r="N173">
        <v>0.7</v>
      </c>
      <c r="O173">
        <f t="shared" si="17"/>
        <v>5.0999999999999996</v>
      </c>
      <c r="Q173">
        <v>142</v>
      </c>
      <c r="R173">
        <v>1</v>
      </c>
      <c r="S173">
        <f t="shared" si="18"/>
        <v>0.7</v>
      </c>
      <c r="T173">
        <f t="shared" si="19"/>
        <v>5.0999999999999996</v>
      </c>
      <c r="U173">
        <f t="shared" si="22"/>
        <v>179.3</v>
      </c>
      <c r="W173">
        <v>135.9</v>
      </c>
      <c r="X173">
        <f t="shared" si="23"/>
        <v>10159.599999999999</v>
      </c>
      <c r="Y173">
        <v>8.591898987541251</v>
      </c>
    </row>
    <row r="174" spans="1:25" x14ac:dyDescent="0.25">
      <c r="A174">
        <v>6360</v>
      </c>
      <c r="B174">
        <v>24170</v>
      </c>
      <c r="C174" s="1">
        <v>43119</v>
      </c>
      <c r="E174">
        <v>23</v>
      </c>
      <c r="F174" s="47"/>
      <c r="G174">
        <v>4.5</v>
      </c>
      <c r="H174">
        <v>4</v>
      </c>
      <c r="I174">
        <v>5.6</v>
      </c>
      <c r="J174">
        <f t="shared" si="20"/>
        <v>1382.2</v>
      </c>
      <c r="K174">
        <f t="shared" si="21"/>
        <v>295.49999999999994</v>
      </c>
      <c r="M174">
        <v>4</v>
      </c>
      <c r="N174">
        <v>0.6</v>
      </c>
      <c r="O174">
        <f t="shared" si="17"/>
        <v>3.4</v>
      </c>
      <c r="Q174">
        <v>143</v>
      </c>
      <c r="R174">
        <v>1</v>
      </c>
      <c r="S174">
        <f t="shared" si="18"/>
        <v>0.6</v>
      </c>
      <c r="T174">
        <f t="shared" si="19"/>
        <v>3.4</v>
      </c>
      <c r="U174">
        <f t="shared" si="22"/>
        <v>179.3</v>
      </c>
      <c r="W174">
        <v>262.5</v>
      </c>
      <c r="X174">
        <f t="shared" si="23"/>
        <v>10422.099999999999</v>
      </c>
      <c r="Y174">
        <v>8.628739873290769</v>
      </c>
    </row>
    <row r="175" spans="1:25" x14ac:dyDescent="0.25">
      <c r="A175">
        <v>6360</v>
      </c>
      <c r="B175">
        <v>24170</v>
      </c>
      <c r="C175" s="1">
        <v>43120</v>
      </c>
      <c r="F175" s="47"/>
      <c r="G175">
        <v>6.5</v>
      </c>
      <c r="H175">
        <v>3.3</v>
      </c>
      <c r="I175">
        <v>9.8000000000000007</v>
      </c>
      <c r="J175">
        <f t="shared" si="20"/>
        <v>1388.7</v>
      </c>
      <c r="K175">
        <f t="shared" si="21"/>
        <v>301.99999999999994</v>
      </c>
      <c r="M175">
        <v>7.2</v>
      </c>
      <c r="N175">
        <v>0.4</v>
      </c>
      <c r="O175">
        <f t="shared" si="17"/>
        <v>6.8</v>
      </c>
      <c r="Q175">
        <v>144</v>
      </c>
      <c r="R175">
        <v>1</v>
      </c>
      <c r="S175">
        <f t="shared" si="18"/>
        <v>0.4</v>
      </c>
      <c r="T175">
        <f t="shared" si="19"/>
        <v>6.8</v>
      </c>
      <c r="U175">
        <f t="shared" si="22"/>
        <v>179.3</v>
      </c>
      <c r="W175">
        <v>115.8</v>
      </c>
      <c r="X175">
        <f t="shared" si="23"/>
        <v>10537.899999999998</v>
      </c>
      <c r="Y175">
        <v>8.6665661942206533</v>
      </c>
    </row>
    <row r="176" spans="1:25" x14ac:dyDescent="0.25">
      <c r="A176">
        <v>6360</v>
      </c>
      <c r="B176">
        <v>24170</v>
      </c>
      <c r="C176" s="1">
        <v>43121</v>
      </c>
      <c r="F176" s="47"/>
      <c r="G176">
        <v>6.8</v>
      </c>
      <c r="H176">
        <v>5.3</v>
      </c>
      <c r="I176">
        <v>11.4</v>
      </c>
      <c r="J176">
        <f t="shared" si="20"/>
        <v>1395.5</v>
      </c>
      <c r="K176">
        <f t="shared" si="21"/>
        <v>308.79999999999995</v>
      </c>
      <c r="M176">
        <v>12.7</v>
      </c>
      <c r="N176">
        <v>0.8</v>
      </c>
      <c r="O176">
        <f t="shared" si="17"/>
        <v>11.899999999999999</v>
      </c>
      <c r="Q176">
        <v>145</v>
      </c>
      <c r="R176">
        <v>1</v>
      </c>
      <c r="S176">
        <f t="shared" si="18"/>
        <v>0.8</v>
      </c>
      <c r="T176">
        <f t="shared" si="19"/>
        <v>11.899999999999999</v>
      </c>
      <c r="U176">
        <f t="shared" si="22"/>
        <v>179.3</v>
      </c>
      <c r="W176">
        <v>161</v>
      </c>
      <c r="X176">
        <f t="shared" si="23"/>
        <v>10698.899999999998</v>
      </c>
      <c r="Y176">
        <v>8.7053532238196372</v>
      </c>
    </row>
    <row r="177" spans="1:25" x14ac:dyDescent="0.25">
      <c r="A177">
        <v>6360</v>
      </c>
      <c r="B177">
        <v>24170</v>
      </c>
      <c r="C177" s="1">
        <v>43122</v>
      </c>
      <c r="F177" s="47"/>
      <c r="G177">
        <v>10.199999999999999</v>
      </c>
      <c r="H177">
        <v>7.1</v>
      </c>
      <c r="I177">
        <v>11.3</v>
      </c>
      <c r="J177">
        <f t="shared" si="20"/>
        <v>1405.7</v>
      </c>
      <c r="K177">
        <f t="shared" si="21"/>
        <v>318.99999999999994</v>
      </c>
      <c r="M177">
        <v>17.3</v>
      </c>
      <c r="N177">
        <v>0.2</v>
      </c>
      <c r="O177">
        <f t="shared" si="17"/>
        <v>17.100000000000001</v>
      </c>
      <c r="Q177">
        <v>146</v>
      </c>
      <c r="R177">
        <v>1</v>
      </c>
      <c r="S177">
        <f t="shared" si="18"/>
        <v>0.2</v>
      </c>
      <c r="T177">
        <f t="shared" si="19"/>
        <v>17.100000000000001</v>
      </c>
      <c r="U177">
        <f t="shared" si="22"/>
        <v>179.3</v>
      </c>
      <c r="W177">
        <v>97.8</v>
      </c>
      <c r="X177">
        <f t="shared" si="23"/>
        <v>10796.699999999997</v>
      </c>
      <c r="Y177">
        <v>8.7450761809225472</v>
      </c>
    </row>
    <row r="178" spans="1:25" x14ac:dyDescent="0.25">
      <c r="A178">
        <v>6360</v>
      </c>
      <c r="B178">
        <v>24170</v>
      </c>
      <c r="C178" s="1">
        <v>43123</v>
      </c>
      <c r="F178" s="47"/>
      <c r="G178">
        <v>9.4</v>
      </c>
      <c r="H178">
        <v>7.9</v>
      </c>
      <c r="I178">
        <v>11.6</v>
      </c>
      <c r="J178">
        <f t="shared" si="20"/>
        <v>1415.1000000000001</v>
      </c>
      <c r="K178">
        <f t="shared" si="21"/>
        <v>328.39999999999992</v>
      </c>
      <c r="M178">
        <v>0.1</v>
      </c>
      <c r="N178">
        <v>0.8</v>
      </c>
      <c r="O178">
        <f t="shared" si="17"/>
        <v>-0.70000000000000007</v>
      </c>
      <c r="Q178">
        <v>147</v>
      </c>
      <c r="R178">
        <v>1</v>
      </c>
      <c r="S178">
        <f t="shared" si="18"/>
        <v>0.8</v>
      </c>
      <c r="T178">
        <f t="shared" si="19"/>
        <v>-0.70000000000000007</v>
      </c>
      <c r="U178">
        <f t="shared" si="22"/>
        <v>178.60000000000002</v>
      </c>
      <c r="W178">
        <v>237.9</v>
      </c>
      <c r="X178">
        <f t="shared" si="23"/>
        <v>11034.599999999997</v>
      </c>
      <c r="Y178">
        <v>8.7857102745797597</v>
      </c>
    </row>
    <row r="179" spans="1:25" x14ac:dyDescent="0.25">
      <c r="A179">
        <v>6360</v>
      </c>
      <c r="B179">
        <v>24170</v>
      </c>
      <c r="C179" s="1">
        <v>43124</v>
      </c>
      <c r="F179" s="47"/>
      <c r="G179">
        <v>11.8</v>
      </c>
      <c r="H179">
        <v>10.9</v>
      </c>
      <c r="I179">
        <v>12.7</v>
      </c>
      <c r="J179">
        <f t="shared" si="20"/>
        <v>1426.9</v>
      </c>
      <c r="K179">
        <f t="shared" si="21"/>
        <v>340.19999999999993</v>
      </c>
      <c r="M179">
        <v>4.9000000000000004</v>
      </c>
      <c r="N179">
        <v>1.1000000000000001</v>
      </c>
      <c r="O179">
        <f t="shared" si="17"/>
        <v>3.8000000000000003</v>
      </c>
      <c r="Q179">
        <v>148</v>
      </c>
      <c r="R179">
        <v>1</v>
      </c>
      <c r="S179">
        <f t="shared" si="18"/>
        <v>1.1000000000000001</v>
      </c>
      <c r="T179">
        <f t="shared" si="19"/>
        <v>3.8000000000000003</v>
      </c>
      <c r="U179">
        <f t="shared" si="22"/>
        <v>179.3</v>
      </c>
      <c r="W179">
        <v>281.2</v>
      </c>
      <c r="X179">
        <f t="shared" si="23"/>
        <v>11315.799999999997</v>
      </c>
      <c r="Y179">
        <v>8.8272307468577846</v>
      </c>
    </row>
    <row r="180" spans="1:25" x14ac:dyDescent="0.25">
      <c r="A180">
        <v>6360</v>
      </c>
      <c r="B180">
        <v>24170</v>
      </c>
      <c r="C180" s="1">
        <v>43125</v>
      </c>
      <c r="F180" s="47"/>
      <c r="G180">
        <v>8.4</v>
      </c>
      <c r="H180">
        <v>7.9</v>
      </c>
      <c r="I180">
        <v>8.6999999999999993</v>
      </c>
      <c r="J180">
        <f t="shared" si="20"/>
        <v>1435.3000000000002</v>
      </c>
      <c r="K180">
        <f t="shared" si="21"/>
        <v>348.59999999999991</v>
      </c>
      <c r="M180">
        <v>2.2000000000000002</v>
      </c>
      <c r="N180">
        <v>0.3</v>
      </c>
      <c r="O180">
        <f t="shared" si="17"/>
        <v>1.9000000000000001</v>
      </c>
      <c r="Q180">
        <v>149</v>
      </c>
      <c r="R180">
        <v>1</v>
      </c>
      <c r="S180">
        <f t="shared" si="18"/>
        <v>0.3</v>
      </c>
      <c r="T180">
        <f t="shared" si="19"/>
        <v>1.9000000000000001</v>
      </c>
      <c r="U180">
        <f t="shared" si="22"/>
        <v>179.3</v>
      </c>
      <c r="W180">
        <v>121.1</v>
      </c>
      <c r="X180">
        <f t="shared" si="23"/>
        <v>11436.899999999998</v>
      </c>
      <c r="Y180">
        <v>8.8696129134990187</v>
      </c>
    </row>
    <row r="181" spans="1:25" x14ac:dyDescent="0.25">
      <c r="A181">
        <v>6360</v>
      </c>
      <c r="B181">
        <v>24170</v>
      </c>
      <c r="C181" s="1">
        <v>43126</v>
      </c>
      <c r="F181" s="47"/>
      <c r="G181">
        <v>5.9</v>
      </c>
      <c r="H181">
        <v>5.2</v>
      </c>
      <c r="I181">
        <v>7.9</v>
      </c>
      <c r="J181">
        <f t="shared" si="20"/>
        <v>1441.2000000000003</v>
      </c>
      <c r="K181">
        <f t="shared" si="21"/>
        <v>354.49999999999989</v>
      </c>
      <c r="M181">
        <v>0.1</v>
      </c>
      <c r="N181">
        <v>0.6</v>
      </c>
      <c r="O181">
        <f t="shared" si="17"/>
        <v>-0.5</v>
      </c>
      <c r="Q181">
        <v>150</v>
      </c>
      <c r="R181">
        <v>1</v>
      </c>
      <c r="S181">
        <f t="shared" si="18"/>
        <v>0.6</v>
      </c>
      <c r="T181">
        <f t="shared" si="19"/>
        <v>-0.5</v>
      </c>
      <c r="U181">
        <f t="shared" si="22"/>
        <v>178.8</v>
      </c>
      <c r="W181">
        <v>379.9</v>
      </c>
      <c r="X181">
        <f t="shared" si="23"/>
        <v>11816.799999999997</v>
      </c>
      <c r="Y181">
        <v>8.9128322023856104</v>
      </c>
    </row>
    <row r="182" spans="1:25" x14ac:dyDescent="0.25">
      <c r="A182">
        <v>6360</v>
      </c>
      <c r="B182">
        <v>24170</v>
      </c>
      <c r="C182" s="1">
        <v>43127</v>
      </c>
      <c r="D182" t="s">
        <v>37</v>
      </c>
      <c r="E182">
        <v>24</v>
      </c>
      <c r="F182" s="47"/>
      <c r="G182">
        <v>3.8</v>
      </c>
      <c r="H182">
        <v>2.8</v>
      </c>
      <c r="I182">
        <v>5.3</v>
      </c>
      <c r="J182">
        <f t="shared" si="20"/>
        <v>1445.0000000000002</v>
      </c>
      <c r="K182">
        <f t="shared" si="21"/>
        <v>358.2999999999999</v>
      </c>
      <c r="M182">
        <v>0.2</v>
      </c>
      <c r="N182">
        <v>0.4</v>
      </c>
      <c r="O182">
        <f t="shared" si="17"/>
        <v>-0.2</v>
      </c>
      <c r="Q182">
        <v>151</v>
      </c>
      <c r="R182">
        <v>1</v>
      </c>
      <c r="S182">
        <f t="shared" si="18"/>
        <v>0.4</v>
      </c>
      <c r="T182">
        <f t="shared" si="19"/>
        <v>-0.2</v>
      </c>
      <c r="U182">
        <f t="shared" si="22"/>
        <v>178.60000000000002</v>
      </c>
      <c r="W182">
        <v>251.4</v>
      </c>
      <c r="X182">
        <f t="shared" si="23"/>
        <v>12068.199999999997</v>
      </c>
      <c r="Y182">
        <v>8.9568641897682415</v>
      </c>
    </row>
    <row r="183" spans="1:25" x14ac:dyDescent="0.25">
      <c r="A183">
        <v>6360</v>
      </c>
      <c r="B183">
        <v>24170</v>
      </c>
      <c r="C183" s="1">
        <v>43128</v>
      </c>
      <c r="F183" s="47"/>
      <c r="G183">
        <v>7.6</v>
      </c>
      <c r="H183">
        <v>3.9</v>
      </c>
      <c r="I183">
        <v>9.6</v>
      </c>
      <c r="J183">
        <f t="shared" si="20"/>
        <v>1452.6000000000001</v>
      </c>
      <c r="K183">
        <f t="shared" si="21"/>
        <v>365.89999999999992</v>
      </c>
      <c r="M183">
        <v>1.5</v>
      </c>
      <c r="N183">
        <v>0.3</v>
      </c>
      <c r="O183">
        <f t="shared" si="17"/>
        <v>1.2</v>
      </c>
      <c r="Q183">
        <v>152</v>
      </c>
      <c r="R183">
        <v>1</v>
      </c>
      <c r="S183">
        <f t="shared" si="18"/>
        <v>0.3</v>
      </c>
      <c r="T183">
        <f t="shared" si="19"/>
        <v>1.2</v>
      </c>
      <c r="U183">
        <f t="shared" si="22"/>
        <v>179.3</v>
      </c>
      <c r="W183">
        <v>208.7</v>
      </c>
      <c r="X183">
        <f t="shared" si="23"/>
        <v>12276.899999999998</v>
      </c>
      <c r="Y183">
        <v>9.0016846342356249</v>
      </c>
    </row>
    <row r="184" spans="1:25" x14ac:dyDescent="0.25">
      <c r="A184">
        <v>6360</v>
      </c>
      <c r="B184">
        <v>24170</v>
      </c>
      <c r="C184" s="1">
        <v>43129</v>
      </c>
      <c r="F184" s="47"/>
      <c r="G184">
        <v>9.9</v>
      </c>
      <c r="H184">
        <v>9.5</v>
      </c>
      <c r="I184">
        <v>10.4</v>
      </c>
      <c r="J184">
        <f t="shared" si="20"/>
        <v>1462.5000000000002</v>
      </c>
      <c r="K184">
        <f t="shared" si="21"/>
        <v>375.7999999999999</v>
      </c>
      <c r="M184">
        <v>0</v>
      </c>
      <c r="N184">
        <v>0.8</v>
      </c>
      <c r="O184">
        <f t="shared" si="17"/>
        <v>-0.8</v>
      </c>
      <c r="Q184">
        <v>153</v>
      </c>
      <c r="R184">
        <v>1</v>
      </c>
      <c r="S184">
        <f t="shared" si="18"/>
        <v>0.8</v>
      </c>
      <c r="T184">
        <f t="shared" si="19"/>
        <v>-0.8</v>
      </c>
      <c r="U184">
        <f t="shared" si="22"/>
        <v>178.5</v>
      </c>
      <c r="W184">
        <v>133.4</v>
      </c>
      <c r="X184">
        <f t="shared" si="23"/>
        <v>12410.299999999997</v>
      </c>
      <c r="Y184">
        <v>9.0472695084143648</v>
      </c>
    </row>
    <row r="185" spans="1:25" x14ac:dyDescent="0.25">
      <c r="A185">
        <v>6360</v>
      </c>
      <c r="B185">
        <v>24170</v>
      </c>
      <c r="C185" s="1">
        <v>43130</v>
      </c>
      <c r="F185" s="47"/>
      <c r="G185">
        <v>9.6</v>
      </c>
      <c r="H185">
        <v>8.6999999999999993</v>
      </c>
      <c r="I185">
        <v>10.3</v>
      </c>
      <c r="J185">
        <f t="shared" si="20"/>
        <v>1472.1000000000001</v>
      </c>
      <c r="K185">
        <f t="shared" si="21"/>
        <v>385.39999999999992</v>
      </c>
      <c r="M185">
        <v>0.5</v>
      </c>
      <c r="N185">
        <v>0.5</v>
      </c>
      <c r="O185">
        <f t="shared" si="17"/>
        <v>0</v>
      </c>
      <c r="Q185">
        <v>154</v>
      </c>
      <c r="R185">
        <v>1</v>
      </c>
      <c r="S185">
        <f t="shared" si="18"/>
        <v>0.5</v>
      </c>
      <c r="T185">
        <f t="shared" si="19"/>
        <v>0</v>
      </c>
      <c r="U185">
        <f t="shared" si="22"/>
        <v>178.5</v>
      </c>
      <c r="W185">
        <v>135.4</v>
      </c>
      <c r="X185">
        <f t="shared" si="23"/>
        <v>12545.699999999997</v>
      </c>
      <c r="Y185">
        <v>9.0935950284015892</v>
      </c>
    </row>
    <row r="186" spans="1:25" x14ac:dyDescent="0.25">
      <c r="A186">
        <v>6360</v>
      </c>
      <c r="B186">
        <v>24170</v>
      </c>
      <c r="C186" s="1">
        <v>43131</v>
      </c>
      <c r="F186" s="47"/>
      <c r="G186">
        <v>7.4</v>
      </c>
      <c r="H186">
        <v>7.3</v>
      </c>
      <c r="I186">
        <v>8.1</v>
      </c>
      <c r="J186">
        <f t="shared" si="20"/>
        <v>1479.5000000000002</v>
      </c>
      <c r="K186">
        <f t="shared" si="21"/>
        <v>392.7999999999999</v>
      </c>
      <c r="M186">
        <v>16</v>
      </c>
      <c r="N186">
        <v>0.7</v>
      </c>
      <c r="O186">
        <f t="shared" si="17"/>
        <v>15.3</v>
      </c>
      <c r="Q186">
        <v>155</v>
      </c>
      <c r="R186">
        <v>1</v>
      </c>
      <c r="S186">
        <f t="shared" si="18"/>
        <v>0.7</v>
      </c>
      <c r="T186">
        <f t="shared" si="19"/>
        <v>15.3</v>
      </c>
      <c r="U186">
        <f t="shared" si="22"/>
        <v>179.3</v>
      </c>
      <c r="W186">
        <v>155.19999999999999</v>
      </c>
      <c r="X186">
        <f t="shared" si="23"/>
        <v>12700.899999999998</v>
      </c>
      <c r="Y186">
        <v>9.1406376809444865</v>
      </c>
    </row>
    <row r="187" spans="1:25" x14ac:dyDescent="0.25">
      <c r="A187">
        <v>6360</v>
      </c>
      <c r="B187">
        <v>24170</v>
      </c>
      <c r="C187" s="1">
        <v>43132</v>
      </c>
      <c r="F187" s="47"/>
      <c r="G187">
        <v>3.9</v>
      </c>
      <c r="H187">
        <v>2.1</v>
      </c>
      <c r="I187">
        <v>6.1</v>
      </c>
      <c r="J187">
        <f t="shared" si="20"/>
        <v>1483.4000000000003</v>
      </c>
      <c r="K187">
        <f t="shared" si="21"/>
        <v>396.69999999999987</v>
      </c>
      <c r="M187">
        <v>2</v>
      </c>
      <c r="N187">
        <v>0.6</v>
      </c>
      <c r="O187">
        <f t="shared" si="17"/>
        <v>1.4</v>
      </c>
      <c r="Q187">
        <v>156</v>
      </c>
      <c r="R187">
        <v>1</v>
      </c>
      <c r="S187">
        <f t="shared" si="18"/>
        <v>0.6</v>
      </c>
      <c r="T187">
        <f t="shared" si="19"/>
        <v>1.4</v>
      </c>
      <c r="U187">
        <f t="shared" si="22"/>
        <v>179.3</v>
      </c>
      <c r="W187">
        <v>474.7</v>
      </c>
      <c r="X187">
        <f t="shared" si="23"/>
        <v>13175.599999999999</v>
      </c>
      <c r="Y187">
        <v>9.1883742483913373</v>
      </c>
    </row>
    <row r="188" spans="1:25" x14ac:dyDescent="0.25">
      <c r="A188">
        <v>6360</v>
      </c>
      <c r="B188">
        <v>24170</v>
      </c>
      <c r="C188" s="1">
        <v>43133</v>
      </c>
      <c r="F188" s="47"/>
      <c r="G188">
        <v>4.2</v>
      </c>
      <c r="H188">
        <v>2.2999999999999998</v>
      </c>
      <c r="I188">
        <v>6.5</v>
      </c>
      <c r="J188">
        <f t="shared" si="20"/>
        <v>1487.6000000000004</v>
      </c>
      <c r="K188">
        <f t="shared" si="21"/>
        <v>400.89999999999986</v>
      </c>
      <c r="M188">
        <v>0.8</v>
      </c>
      <c r="N188">
        <v>0.7</v>
      </c>
      <c r="O188">
        <f t="shared" si="17"/>
        <v>0.10000000000000009</v>
      </c>
      <c r="Q188">
        <v>157</v>
      </c>
      <c r="R188">
        <v>1</v>
      </c>
      <c r="S188">
        <f t="shared" si="18"/>
        <v>0.7</v>
      </c>
      <c r="T188">
        <f t="shared" si="19"/>
        <v>0.10000000000000009</v>
      </c>
      <c r="U188">
        <f t="shared" si="22"/>
        <v>179.3</v>
      </c>
      <c r="W188">
        <v>259.3</v>
      </c>
      <c r="X188">
        <f t="shared" si="23"/>
        <v>13434.899999999998</v>
      </c>
      <c r="Y188">
        <v>9.2367818314481713</v>
      </c>
    </row>
    <row r="189" spans="1:25" x14ac:dyDescent="0.25">
      <c r="A189">
        <v>6360</v>
      </c>
      <c r="B189">
        <v>24170</v>
      </c>
      <c r="C189" s="1">
        <v>43134</v>
      </c>
      <c r="F189" s="47"/>
      <c r="G189">
        <v>3.3</v>
      </c>
      <c r="H189">
        <v>1.5</v>
      </c>
      <c r="I189">
        <v>4.4000000000000004</v>
      </c>
      <c r="J189">
        <f t="shared" si="20"/>
        <v>1490.9000000000003</v>
      </c>
      <c r="K189">
        <f t="shared" si="21"/>
        <v>404.19999999999987</v>
      </c>
      <c r="M189">
        <v>4.4000000000000004</v>
      </c>
      <c r="N189">
        <v>0.2</v>
      </c>
      <c r="O189">
        <f t="shared" si="17"/>
        <v>4.2</v>
      </c>
      <c r="Q189">
        <v>158</v>
      </c>
      <c r="R189">
        <v>1</v>
      </c>
      <c r="S189">
        <f t="shared" si="18"/>
        <v>0.2</v>
      </c>
      <c r="T189">
        <f t="shared" si="19"/>
        <v>4.2</v>
      </c>
      <c r="U189">
        <f t="shared" si="22"/>
        <v>179.3</v>
      </c>
      <c r="W189">
        <v>192.7</v>
      </c>
      <c r="X189">
        <f t="shared" si="23"/>
        <v>13627.599999999999</v>
      </c>
      <c r="Y189">
        <v>9.2858378697834691</v>
      </c>
    </row>
    <row r="190" spans="1:25" x14ac:dyDescent="0.25">
      <c r="A190">
        <v>6360</v>
      </c>
      <c r="B190">
        <v>24170</v>
      </c>
      <c r="C190" s="1">
        <v>43135</v>
      </c>
      <c r="F190" s="47"/>
      <c r="G190">
        <v>1.4</v>
      </c>
      <c r="H190">
        <v>1.1000000000000001</v>
      </c>
      <c r="I190">
        <v>1.9</v>
      </c>
      <c r="J190">
        <f t="shared" si="20"/>
        <v>1492.3000000000004</v>
      </c>
      <c r="K190">
        <f t="shared" si="21"/>
        <v>405.59999999999985</v>
      </c>
      <c r="M190">
        <v>0</v>
      </c>
      <c r="N190">
        <v>0.5</v>
      </c>
      <c r="O190">
        <f t="shared" si="17"/>
        <v>-0.5</v>
      </c>
      <c r="Q190">
        <v>159</v>
      </c>
      <c r="R190">
        <v>1</v>
      </c>
      <c r="S190">
        <f t="shared" si="18"/>
        <v>0.5</v>
      </c>
      <c r="T190">
        <f t="shared" si="19"/>
        <v>-0.5</v>
      </c>
      <c r="U190">
        <f t="shared" si="22"/>
        <v>178.8</v>
      </c>
      <c r="W190">
        <v>199.9</v>
      </c>
      <c r="X190">
        <f t="shared" si="23"/>
        <v>13827.499999999998</v>
      </c>
      <c r="Y190">
        <v>9.335520160530665</v>
      </c>
    </row>
    <row r="191" spans="1:25" x14ac:dyDescent="0.25">
      <c r="A191">
        <v>6360</v>
      </c>
      <c r="B191">
        <v>24170</v>
      </c>
      <c r="C191" s="1">
        <v>43136</v>
      </c>
      <c r="F191" s="47"/>
      <c r="G191">
        <v>-0.3</v>
      </c>
      <c r="H191">
        <v>-1.9</v>
      </c>
      <c r="I191">
        <v>1.3</v>
      </c>
      <c r="J191">
        <v>1492.3</v>
      </c>
      <c r="K191">
        <v>405.6</v>
      </c>
      <c r="M191">
        <v>0.3</v>
      </c>
      <c r="N191">
        <v>0.3</v>
      </c>
      <c r="O191">
        <f t="shared" si="17"/>
        <v>0</v>
      </c>
      <c r="Q191">
        <v>160</v>
      </c>
      <c r="R191">
        <v>1</v>
      </c>
      <c r="S191">
        <f t="shared" si="18"/>
        <v>0.3</v>
      </c>
      <c r="T191">
        <f t="shared" si="19"/>
        <v>0</v>
      </c>
      <c r="U191">
        <f t="shared" si="22"/>
        <v>178.8</v>
      </c>
      <c r="W191">
        <v>164.7</v>
      </c>
      <c r="X191">
        <f t="shared" si="23"/>
        <v>13992.199999999999</v>
      </c>
      <c r="Y191">
        <v>9.3858068747444907</v>
      </c>
    </row>
    <row r="192" spans="1:25" x14ac:dyDescent="0.25">
      <c r="A192">
        <v>6360</v>
      </c>
      <c r="B192">
        <v>24170</v>
      </c>
      <c r="C192" s="1">
        <v>43137</v>
      </c>
      <c r="F192" s="47"/>
      <c r="G192">
        <v>-0.6</v>
      </c>
      <c r="H192">
        <v>-1.4</v>
      </c>
      <c r="I192">
        <v>-0.3</v>
      </c>
      <c r="J192">
        <v>1492.3</v>
      </c>
      <c r="K192">
        <v>405.6</v>
      </c>
      <c r="M192">
        <v>0</v>
      </c>
      <c r="N192">
        <v>0.2</v>
      </c>
      <c r="O192">
        <f t="shared" si="17"/>
        <v>-0.2</v>
      </c>
      <c r="Q192">
        <v>161</v>
      </c>
      <c r="R192">
        <v>1</v>
      </c>
      <c r="S192">
        <f t="shared" si="18"/>
        <v>0.2</v>
      </c>
      <c r="T192">
        <f t="shared" si="19"/>
        <v>-0.2</v>
      </c>
      <c r="U192">
        <f t="shared" si="22"/>
        <v>178.60000000000002</v>
      </c>
      <c r="W192">
        <v>144.1</v>
      </c>
      <c r="X192">
        <f t="shared" si="23"/>
        <v>14136.3</v>
      </c>
      <c r="Y192">
        <v>9.4366765718725389</v>
      </c>
    </row>
    <row r="193" spans="1:27" x14ac:dyDescent="0.25">
      <c r="A193">
        <v>6360</v>
      </c>
      <c r="B193">
        <v>24170</v>
      </c>
      <c r="C193" s="1">
        <v>43138</v>
      </c>
      <c r="F193" s="47"/>
      <c r="G193">
        <v>-2</v>
      </c>
      <c r="H193">
        <v>-1.8</v>
      </c>
      <c r="I193">
        <v>-1.2</v>
      </c>
      <c r="J193">
        <v>1492.3</v>
      </c>
      <c r="K193">
        <v>405.6</v>
      </c>
      <c r="M193">
        <v>0</v>
      </c>
      <c r="N193">
        <v>0.3</v>
      </c>
      <c r="O193">
        <f t="shared" si="17"/>
        <v>-0.3</v>
      </c>
      <c r="Q193">
        <v>162</v>
      </c>
      <c r="R193">
        <v>1</v>
      </c>
      <c r="S193">
        <f t="shared" si="18"/>
        <v>0.3</v>
      </c>
      <c r="T193">
        <f t="shared" si="19"/>
        <v>-0.3</v>
      </c>
      <c r="U193">
        <f t="shared" si="22"/>
        <v>178.3</v>
      </c>
      <c r="W193">
        <v>162.4</v>
      </c>
      <c r="X193">
        <f t="shared" si="23"/>
        <v>14298.699999999999</v>
      </c>
      <c r="Y193">
        <v>9.4881082123078251</v>
      </c>
    </row>
    <row r="194" spans="1:27" x14ac:dyDescent="0.25">
      <c r="A194">
        <v>6360</v>
      </c>
      <c r="B194">
        <v>24170</v>
      </c>
      <c r="C194" s="1">
        <v>43139</v>
      </c>
      <c r="F194" s="47"/>
      <c r="G194">
        <v>-3.1</v>
      </c>
      <c r="H194">
        <v>-6.7</v>
      </c>
      <c r="I194">
        <v>1.7</v>
      </c>
      <c r="J194">
        <v>1492.3</v>
      </c>
      <c r="K194">
        <v>405.6</v>
      </c>
      <c r="M194">
        <v>0</v>
      </c>
      <c r="N194">
        <v>0.8</v>
      </c>
      <c r="O194">
        <f t="shared" si="17"/>
        <v>-0.8</v>
      </c>
      <c r="Q194">
        <v>163</v>
      </c>
      <c r="R194">
        <v>1</v>
      </c>
      <c r="S194">
        <f t="shared" si="18"/>
        <v>0.8</v>
      </c>
      <c r="T194">
        <f t="shared" si="19"/>
        <v>-0.8</v>
      </c>
      <c r="U194">
        <f t="shared" si="22"/>
        <v>177.5</v>
      </c>
      <c r="W194">
        <v>775.1</v>
      </c>
      <c r="X194">
        <f t="shared" si="23"/>
        <v>15073.8</v>
      </c>
      <c r="Y194">
        <v>9.5400811680917545</v>
      </c>
    </row>
    <row r="195" spans="1:27" x14ac:dyDescent="0.25">
      <c r="A195">
        <v>6360</v>
      </c>
      <c r="B195">
        <v>24170</v>
      </c>
      <c r="C195" s="1">
        <v>43140</v>
      </c>
      <c r="F195" s="47"/>
      <c r="G195">
        <v>-1.3</v>
      </c>
      <c r="H195">
        <v>-4</v>
      </c>
      <c r="I195">
        <v>0.8</v>
      </c>
      <c r="J195">
        <v>1492.3</v>
      </c>
      <c r="K195">
        <v>405.6</v>
      </c>
      <c r="M195">
        <v>0</v>
      </c>
      <c r="N195">
        <v>0.3</v>
      </c>
      <c r="O195">
        <f t="shared" si="17"/>
        <v>-0.3</v>
      </c>
      <c r="Q195">
        <v>164</v>
      </c>
      <c r="R195">
        <v>1</v>
      </c>
      <c r="S195">
        <f t="shared" si="18"/>
        <v>0.3</v>
      </c>
      <c r="T195">
        <f t="shared" si="19"/>
        <v>-0.3</v>
      </c>
      <c r="U195">
        <f t="shared" si="22"/>
        <v>177.2</v>
      </c>
      <c r="W195">
        <v>210.8</v>
      </c>
      <c r="X195">
        <f t="shared" si="23"/>
        <v>15284.599999999999</v>
      </c>
      <c r="Y195">
        <v>9.5925752318395485</v>
      </c>
    </row>
    <row r="196" spans="1:27" x14ac:dyDescent="0.25">
      <c r="A196">
        <v>6360</v>
      </c>
      <c r="B196">
        <v>24170</v>
      </c>
      <c r="C196" s="1">
        <v>43141</v>
      </c>
      <c r="F196" s="47"/>
      <c r="G196">
        <v>1.7</v>
      </c>
      <c r="H196">
        <v>-0.6</v>
      </c>
      <c r="I196">
        <v>4.2</v>
      </c>
      <c r="J196">
        <f t="shared" si="20"/>
        <v>1494</v>
      </c>
      <c r="K196">
        <f t="shared" si="21"/>
        <v>407.3</v>
      </c>
      <c r="M196">
        <v>4.3</v>
      </c>
      <c r="N196">
        <v>0.8</v>
      </c>
      <c r="O196">
        <f t="shared" si="17"/>
        <v>3.5</v>
      </c>
      <c r="Q196">
        <v>165</v>
      </c>
      <c r="R196">
        <v>1</v>
      </c>
      <c r="S196">
        <f t="shared" si="18"/>
        <v>0.8</v>
      </c>
      <c r="T196">
        <f t="shared" si="19"/>
        <v>3.5</v>
      </c>
      <c r="U196">
        <f t="shared" si="22"/>
        <v>179.3</v>
      </c>
      <c r="W196">
        <v>648.9</v>
      </c>
      <c r="X196">
        <f t="shared" si="23"/>
        <v>15933.499999999998</v>
      </c>
      <c r="Y196">
        <v>9.6455706239623762</v>
      </c>
    </row>
    <row r="197" spans="1:27" x14ac:dyDescent="0.25">
      <c r="A197">
        <v>6360</v>
      </c>
      <c r="B197">
        <v>24170</v>
      </c>
      <c r="C197" s="1">
        <v>43142</v>
      </c>
      <c r="F197" s="47"/>
      <c r="G197">
        <v>4.0999999999999996</v>
      </c>
      <c r="H197">
        <v>2.2000000000000002</v>
      </c>
      <c r="I197">
        <v>7</v>
      </c>
      <c r="J197">
        <f t="shared" si="20"/>
        <v>1498.1</v>
      </c>
      <c r="K197">
        <f t="shared" si="21"/>
        <v>411.40000000000003</v>
      </c>
      <c r="M197">
        <v>0.9</v>
      </c>
      <c r="N197">
        <v>1</v>
      </c>
      <c r="O197">
        <f t="shared" ref="O197:O260" si="24">M197-N197</f>
        <v>-9.9999999999999978E-2</v>
      </c>
      <c r="Q197">
        <v>166</v>
      </c>
      <c r="R197">
        <v>1</v>
      </c>
      <c r="S197">
        <f t="shared" ref="S197:S260" si="25">R197*N197</f>
        <v>1</v>
      </c>
      <c r="T197">
        <f t="shared" ref="T197:T260" si="26">M197-S197</f>
        <v>-9.9999999999999978E-2</v>
      </c>
      <c r="U197">
        <f t="shared" si="22"/>
        <v>179.20000000000002</v>
      </c>
      <c r="W197">
        <v>615.79999999999995</v>
      </c>
      <c r="X197">
        <f t="shared" si="23"/>
        <v>16549.3</v>
      </c>
      <c r="Y197">
        <v>9.6990479982616762</v>
      </c>
    </row>
    <row r="198" spans="1:27" x14ac:dyDescent="0.25">
      <c r="A198">
        <v>6360</v>
      </c>
      <c r="B198">
        <v>24170</v>
      </c>
      <c r="C198" s="1">
        <v>43143</v>
      </c>
      <c r="F198" s="47"/>
      <c r="G198">
        <v>1.8</v>
      </c>
      <c r="H198">
        <v>-0.1</v>
      </c>
      <c r="I198">
        <v>5.3</v>
      </c>
      <c r="J198">
        <f t="shared" si="20"/>
        <v>1499.8999999999999</v>
      </c>
      <c r="K198">
        <f t="shared" si="21"/>
        <v>413.20000000000005</v>
      </c>
      <c r="M198">
        <v>0.1</v>
      </c>
      <c r="N198">
        <v>1.1000000000000001</v>
      </c>
      <c r="O198">
        <f t="shared" si="24"/>
        <v>-1</v>
      </c>
      <c r="Q198">
        <v>167</v>
      </c>
      <c r="R198">
        <v>1</v>
      </c>
      <c r="S198">
        <f t="shared" si="25"/>
        <v>1.1000000000000001</v>
      </c>
      <c r="T198">
        <f t="shared" si="26"/>
        <v>-1</v>
      </c>
      <c r="U198">
        <f t="shared" si="22"/>
        <v>178.20000000000002</v>
      </c>
      <c r="W198">
        <v>1055.5</v>
      </c>
      <c r="X198">
        <f t="shared" si="23"/>
        <v>17604.8</v>
      </c>
      <c r="Y198">
        <v>9.7529884459719725</v>
      </c>
    </row>
    <row r="199" spans="1:27" x14ac:dyDescent="0.25">
      <c r="A199">
        <v>6360</v>
      </c>
      <c r="B199">
        <v>24170</v>
      </c>
      <c r="C199" s="1">
        <v>43144</v>
      </c>
      <c r="F199" s="47"/>
      <c r="G199">
        <v>1</v>
      </c>
      <c r="H199">
        <v>-0.7</v>
      </c>
      <c r="I199">
        <v>3.2</v>
      </c>
      <c r="J199">
        <f t="shared" si="20"/>
        <v>1500.8999999999999</v>
      </c>
      <c r="K199">
        <f t="shared" si="21"/>
        <v>414.20000000000005</v>
      </c>
      <c r="M199">
        <v>0.4</v>
      </c>
      <c r="N199">
        <v>0.8</v>
      </c>
      <c r="O199">
        <f t="shared" si="24"/>
        <v>-0.4</v>
      </c>
      <c r="Q199">
        <v>168</v>
      </c>
      <c r="R199">
        <v>1</v>
      </c>
      <c r="S199">
        <f t="shared" si="25"/>
        <v>0.8</v>
      </c>
      <c r="T199">
        <f t="shared" si="26"/>
        <v>-0.4</v>
      </c>
      <c r="U199">
        <f t="shared" si="22"/>
        <v>177.8</v>
      </c>
      <c r="W199">
        <v>486.2</v>
      </c>
      <c r="X199">
        <f t="shared" si="23"/>
        <v>18091</v>
      </c>
      <c r="Y199">
        <v>9.8073734983286496</v>
      </c>
    </row>
    <row r="200" spans="1:27" x14ac:dyDescent="0.25">
      <c r="A200">
        <v>6360</v>
      </c>
      <c r="B200">
        <v>24170</v>
      </c>
      <c r="C200" s="1">
        <v>43145</v>
      </c>
      <c r="F200" s="47"/>
      <c r="G200">
        <v>2.5</v>
      </c>
      <c r="H200">
        <v>0.8</v>
      </c>
      <c r="I200">
        <v>6.3</v>
      </c>
      <c r="J200">
        <f t="shared" si="20"/>
        <v>1503.3999999999999</v>
      </c>
      <c r="K200">
        <f t="shared" si="21"/>
        <v>416.70000000000005</v>
      </c>
      <c r="M200">
        <v>7.8</v>
      </c>
      <c r="N200">
        <v>0.9</v>
      </c>
      <c r="O200">
        <f t="shared" si="24"/>
        <v>6.8999999999999995</v>
      </c>
      <c r="Q200">
        <v>169</v>
      </c>
      <c r="R200">
        <v>1</v>
      </c>
      <c r="S200">
        <f t="shared" si="25"/>
        <v>0.9</v>
      </c>
      <c r="T200">
        <f t="shared" si="26"/>
        <v>6.8999999999999995</v>
      </c>
      <c r="U200">
        <f t="shared" si="22"/>
        <v>179.3</v>
      </c>
      <c r="W200">
        <v>529.1</v>
      </c>
      <c r="X200">
        <f t="shared" si="23"/>
        <v>18620.099999999999</v>
      </c>
      <c r="Y200">
        <v>9.8621851277368773</v>
      </c>
    </row>
    <row r="201" spans="1:27" x14ac:dyDescent="0.25">
      <c r="A201">
        <v>6360</v>
      </c>
      <c r="B201">
        <v>24170</v>
      </c>
      <c r="C201" s="1">
        <v>43146</v>
      </c>
      <c r="F201" s="47"/>
      <c r="G201">
        <v>7.7</v>
      </c>
      <c r="H201">
        <v>3.7</v>
      </c>
      <c r="I201">
        <v>10.7</v>
      </c>
      <c r="J201">
        <f t="shared" si="20"/>
        <v>1511.1</v>
      </c>
      <c r="K201">
        <f t="shared" si="21"/>
        <v>424.40000000000003</v>
      </c>
      <c r="M201">
        <v>5.2</v>
      </c>
      <c r="N201">
        <v>0.2</v>
      </c>
      <c r="O201">
        <f t="shared" si="24"/>
        <v>5</v>
      </c>
      <c r="Q201">
        <v>170</v>
      </c>
      <c r="R201">
        <v>1</v>
      </c>
      <c r="S201">
        <f t="shared" si="25"/>
        <v>0.2</v>
      </c>
      <c r="T201">
        <f t="shared" si="26"/>
        <v>5</v>
      </c>
      <c r="U201">
        <f t="shared" si="22"/>
        <v>179.3</v>
      </c>
      <c r="W201">
        <v>155.4</v>
      </c>
      <c r="X201">
        <f t="shared" si="23"/>
        <v>18775.5</v>
      </c>
      <c r="Y201">
        <v>9.9174057476171598</v>
      </c>
    </row>
    <row r="202" spans="1:27" x14ac:dyDescent="0.25">
      <c r="A202">
        <v>6360</v>
      </c>
      <c r="B202">
        <v>24170</v>
      </c>
      <c r="C202" s="1">
        <v>43147</v>
      </c>
      <c r="F202" s="47"/>
      <c r="G202">
        <v>5.2</v>
      </c>
      <c r="H202">
        <v>1.6</v>
      </c>
      <c r="I202">
        <v>8.8000000000000007</v>
      </c>
      <c r="J202">
        <f t="shared" si="20"/>
        <v>1516.3</v>
      </c>
      <c r="K202">
        <f t="shared" si="21"/>
        <v>429.6</v>
      </c>
      <c r="M202" s="52">
        <v>0</v>
      </c>
      <c r="N202">
        <v>0.9</v>
      </c>
      <c r="O202">
        <f t="shared" si="24"/>
        <v>-0.9</v>
      </c>
      <c r="Q202">
        <v>171</v>
      </c>
      <c r="R202">
        <v>1</v>
      </c>
      <c r="S202">
        <f t="shared" si="25"/>
        <v>0.9</v>
      </c>
      <c r="T202">
        <f t="shared" si="26"/>
        <v>-0.9</v>
      </c>
      <c r="U202">
        <f t="shared" si="22"/>
        <v>178.4</v>
      </c>
      <c r="W202">
        <v>837.2</v>
      </c>
      <c r="X202">
        <f t="shared" si="23"/>
        <v>19612.7</v>
      </c>
      <c r="Y202">
        <v>9.9730182110017829</v>
      </c>
      <c r="AA202" t="s">
        <v>61</v>
      </c>
    </row>
    <row r="203" spans="1:27" x14ac:dyDescent="0.25">
      <c r="A203">
        <v>6360</v>
      </c>
      <c r="B203">
        <v>24170</v>
      </c>
      <c r="C203" s="1">
        <v>43148</v>
      </c>
      <c r="F203" s="47"/>
      <c r="G203">
        <v>4.3</v>
      </c>
      <c r="H203">
        <v>4</v>
      </c>
      <c r="I203">
        <v>6.2</v>
      </c>
      <c r="J203">
        <f t="shared" si="20"/>
        <v>1520.6</v>
      </c>
      <c r="K203">
        <f t="shared" si="21"/>
        <v>433.90000000000003</v>
      </c>
      <c r="M203" s="52">
        <v>0</v>
      </c>
      <c r="N203">
        <v>0.7</v>
      </c>
      <c r="O203">
        <f t="shared" si="24"/>
        <v>-0.7</v>
      </c>
      <c r="Q203">
        <v>172</v>
      </c>
      <c r="R203">
        <v>1</v>
      </c>
      <c r="S203">
        <f t="shared" si="25"/>
        <v>0.7</v>
      </c>
      <c r="T203">
        <f t="shared" si="26"/>
        <v>-0.7</v>
      </c>
      <c r="U203">
        <f t="shared" si="22"/>
        <v>177.70000000000002</v>
      </c>
      <c r="W203">
        <v>243.2</v>
      </c>
      <c r="X203">
        <f t="shared" si="23"/>
        <v>19855.900000000001</v>
      </c>
      <c r="Y203">
        <v>10.029005807955066</v>
      </c>
      <c r="AA203" s="2">
        <f>AVERAGE(U209:U222)</f>
        <v>170.01414285714287</v>
      </c>
    </row>
    <row r="204" spans="1:27" x14ac:dyDescent="0.25">
      <c r="A204">
        <v>6360</v>
      </c>
      <c r="B204">
        <v>24170</v>
      </c>
      <c r="C204" s="1">
        <v>43149</v>
      </c>
      <c r="F204" s="47"/>
      <c r="G204">
        <v>2.9</v>
      </c>
      <c r="H204">
        <v>0.3</v>
      </c>
      <c r="I204">
        <v>6</v>
      </c>
      <c r="J204">
        <f t="shared" si="20"/>
        <v>1523.5</v>
      </c>
      <c r="K204">
        <f t="shared" si="21"/>
        <v>436.8</v>
      </c>
      <c r="M204" s="52">
        <v>0</v>
      </c>
      <c r="N204">
        <v>1</v>
      </c>
      <c r="O204">
        <f t="shared" si="24"/>
        <v>-1</v>
      </c>
      <c r="Q204">
        <v>173</v>
      </c>
      <c r="R204">
        <v>1</v>
      </c>
      <c r="S204">
        <f t="shared" si="25"/>
        <v>1</v>
      </c>
      <c r="T204">
        <f t="shared" si="26"/>
        <v>-1</v>
      </c>
      <c r="U204">
        <f t="shared" si="22"/>
        <v>176.70000000000002</v>
      </c>
      <c r="W204">
        <v>931.5</v>
      </c>
      <c r="X204">
        <f t="shared" si="23"/>
        <v>20787.400000000001</v>
      </c>
      <c r="Y204">
        <v>10.085352261888584</v>
      </c>
      <c r="AA204" t="s">
        <v>62</v>
      </c>
    </row>
    <row r="205" spans="1:27" x14ac:dyDescent="0.25">
      <c r="A205">
        <v>6360</v>
      </c>
      <c r="B205">
        <v>24170</v>
      </c>
      <c r="C205" s="1">
        <v>43150</v>
      </c>
      <c r="F205" s="47"/>
      <c r="G205">
        <v>2.8</v>
      </c>
      <c r="H205">
        <v>-0.2</v>
      </c>
      <c r="I205">
        <v>4.5999999999999996</v>
      </c>
      <c r="J205">
        <f t="shared" si="20"/>
        <v>1526.3</v>
      </c>
      <c r="K205">
        <f t="shared" si="21"/>
        <v>439.6</v>
      </c>
      <c r="M205" s="52">
        <v>2.2999999999999998</v>
      </c>
      <c r="N205">
        <v>0.3</v>
      </c>
      <c r="O205">
        <f t="shared" si="24"/>
        <v>1.9999999999999998</v>
      </c>
      <c r="Q205">
        <v>174</v>
      </c>
      <c r="R205">
        <v>1</v>
      </c>
      <c r="S205">
        <f t="shared" si="25"/>
        <v>0.3</v>
      </c>
      <c r="T205">
        <f t="shared" si="26"/>
        <v>1.9999999999999998</v>
      </c>
      <c r="U205">
        <f t="shared" si="22"/>
        <v>178.70000000000002</v>
      </c>
      <c r="W205">
        <v>172.4</v>
      </c>
      <c r="X205">
        <f t="shared" si="23"/>
        <v>20959.800000000003</v>
      </c>
      <c r="Y205">
        <v>10.142041724840391</v>
      </c>
      <c r="AA205">
        <v>6</v>
      </c>
    </row>
    <row r="206" spans="1:27" x14ac:dyDescent="0.25">
      <c r="A206">
        <v>6360</v>
      </c>
      <c r="B206">
        <v>24170</v>
      </c>
      <c r="C206" s="1">
        <v>43151</v>
      </c>
      <c r="F206" s="47"/>
      <c r="G206">
        <v>4.0999999999999996</v>
      </c>
      <c r="H206">
        <v>2.7</v>
      </c>
      <c r="I206">
        <v>5.2</v>
      </c>
      <c r="J206">
        <f t="shared" si="20"/>
        <v>1530.3999999999999</v>
      </c>
      <c r="K206">
        <f t="shared" si="21"/>
        <v>443.70000000000005</v>
      </c>
      <c r="M206" s="52">
        <v>0</v>
      </c>
      <c r="N206">
        <v>0.5</v>
      </c>
      <c r="O206">
        <f t="shared" si="24"/>
        <v>-0.5</v>
      </c>
      <c r="Q206">
        <v>175</v>
      </c>
      <c r="R206">
        <v>1</v>
      </c>
      <c r="S206">
        <f t="shared" si="25"/>
        <v>0.5</v>
      </c>
      <c r="T206">
        <f t="shared" si="26"/>
        <v>-0.5</v>
      </c>
      <c r="U206">
        <f t="shared" si="22"/>
        <v>178.20000000000002</v>
      </c>
      <c r="W206">
        <v>229.8</v>
      </c>
      <c r="X206">
        <f t="shared" si="23"/>
        <v>21189.600000000002</v>
      </c>
      <c r="Y206">
        <v>10.19905877178533</v>
      </c>
      <c r="AA206" t="s">
        <v>63</v>
      </c>
    </row>
    <row r="207" spans="1:27" x14ac:dyDescent="0.25">
      <c r="A207">
        <v>6360</v>
      </c>
      <c r="B207">
        <v>24170</v>
      </c>
      <c r="C207" s="1">
        <v>43152</v>
      </c>
      <c r="F207" s="47"/>
      <c r="G207">
        <v>1.6</v>
      </c>
      <c r="H207">
        <v>-0.3</v>
      </c>
      <c r="I207">
        <v>2.7</v>
      </c>
      <c r="J207">
        <f t="shared" si="20"/>
        <v>1531.9999999999998</v>
      </c>
      <c r="K207">
        <f t="shared" si="21"/>
        <v>445.30000000000007</v>
      </c>
      <c r="M207" s="52">
        <v>0</v>
      </c>
      <c r="N207">
        <v>0.9</v>
      </c>
      <c r="O207">
        <f t="shared" si="24"/>
        <v>-0.9</v>
      </c>
      <c r="Q207">
        <v>176</v>
      </c>
      <c r="R207">
        <v>1</v>
      </c>
      <c r="S207">
        <f t="shared" si="25"/>
        <v>0.9</v>
      </c>
      <c r="T207">
        <f t="shared" si="26"/>
        <v>-0.9</v>
      </c>
      <c r="U207">
        <f t="shared" si="22"/>
        <v>177.3</v>
      </c>
      <c r="W207">
        <v>944.6</v>
      </c>
      <c r="X207">
        <f t="shared" si="23"/>
        <v>22134.2</v>
      </c>
      <c r="Y207">
        <v>10.256388394040927</v>
      </c>
      <c r="AA207">
        <v>5</v>
      </c>
    </row>
    <row r="208" spans="1:27" x14ac:dyDescent="0.25">
      <c r="A208">
        <v>6360</v>
      </c>
      <c r="B208">
        <v>24170</v>
      </c>
      <c r="C208" s="1">
        <v>43153</v>
      </c>
      <c r="F208" s="47"/>
      <c r="G208">
        <v>0.8</v>
      </c>
      <c r="H208">
        <v>-2</v>
      </c>
      <c r="I208">
        <v>2.9</v>
      </c>
      <c r="J208">
        <f t="shared" si="20"/>
        <v>1532.7999999999997</v>
      </c>
      <c r="K208">
        <f t="shared" si="21"/>
        <v>446.10000000000008</v>
      </c>
      <c r="M208" s="52">
        <v>0</v>
      </c>
      <c r="N208">
        <v>1.3</v>
      </c>
      <c r="O208">
        <f t="shared" si="24"/>
        <v>-1.3</v>
      </c>
      <c r="Q208">
        <v>177</v>
      </c>
      <c r="R208">
        <v>1</v>
      </c>
      <c r="S208">
        <f t="shared" si="25"/>
        <v>1.3</v>
      </c>
      <c r="T208">
        <f t="shared" si="26"/>
        <v>-1.3</v>
      </c>
      <c r="U208">
        <f t="shared" si="22"/>
        <v>176</v>
      </c>
      <c r="W208">
        <v>1335.2</v>
      </c>
      <c r="X208">
        <f t="shared" si="23"/>
        <v>23469.4</v>
      </c>
      <c r="Y208">
        <v>10.314015991831035</v>
      </c>
      <c r="AA208" t="s">
        <v>64</v>
      </c>
    </row>
    <row r="209" spans="1:27" x14ac:dyDescent="0.25">
      <c r="A209">
        <v>6360</v>
      </c>
      <c r="B209">
        <v>24170</v>
      </c>
      <c r="C209" s="1">
        <v>43154</v>
      </c>
      <c r="F209" s="47"/>
      <c r="G209">
        <v>0.3</v>
      </c>
      <c r="H209">
        <v>-2.2999999999999998</v>
      </c>
      <c r="I209">
        <v>2.2000000000000002</v>
      </c>
      <c r="J209">
        <f t="shared" si="20"/>
        <v>1533.0999999999997</v>
      </c>
      <c r="K209">
        <f t="shared" si="21"/>
        <v>446.40000000000009</v>
      </c>
      <c r="M209" s="52">
        <v>0</v>
      </c>
      <c r="N209">
        <v>1.6</v>
      </c>
      <c r="O209">
        <f t="shared" si="24"/>
        <v>-1.6</v>
      </c>
      <c r="Q209">
        <v>178</v>
      </c>
      <c r="R209">
        <v>1</v>
      </c>
      <c r="S209">
        <f t="shared" si="25"/>
        <v>1.6</v>
      </c>
      <c r="T209">
        <f t="shared" si="26"/>
        <v>-1.6</v>
      </c>
      <c r="U209" s="52">
        <f t="shared" si="22"/>
        <v>174.4</v>
      </c>
      <c r="W209">
        <v>1336.9</v>
      </c>
      <c r="X209">
        <f t="shared" si="23"/>
        <v>24806.300000000003</v>
      </c>
      <c r="Y209">
        <v>10.371927366066771</v>
      </c>
      <c r="AA209">
        <v>1</v>
      </c>
    </row>
    <row r="210" spans="1:27" x14ac:dyDescent="0.25">
      <c r="A210">
        <v>6360</v>
      </c>
      <c r="B210">
        <v>24170</v>
      </c>
      <c r="C210" s="1">
        <v>43155</v>
      </c>
      <c r="F210" s="47"/>
      <c r="G210">
        <v>1.3</v>
      </c>
      <c r="H210">
        <v>-1.7</v>
      </c>
      <c r="I210">
        <v>4.5999999999999996</v>
      </c>
      <c r="J210">
        <f t="shared" si="20"/>
        <v>1534.3999999999996</v>
      </c>
      <c r="K210">
        <f t="shared" si="21"/>
        <v>447.7000000000001</v>
      </c>
      <c r="M210" s="52">
        <v>0</v>
      </c>
      <c r="N210">
        <v>2.1</v>
      </c>
      <c r="O210">
        <f t="shared" si="24"/>
        <v>-2.1</v>
      </c>
      <c r="Q210">
        <v>179</v>
      </c>
      <c r="R210">
        <v>1</v>
      </c>
      <c r="S210">
        <f t="shared" si="25"/>
        <v>2.1</v>
      </c>
      <c r="T210">
        <f t="shared" si="26"/>
        <v>-2.1</v>
      </c>
      <c r="U210" s="52">
        <f t="shared" si="22"/>
        <v>172.3</v>
      </c>
      <c r="W210">
        <v>1403</v>
      </c>
      <c r="X210">
        <f t="shared" si="23"/>
        <v>26209.300000000003</v>
      </c>
      <c r="Y210">
        <v>10.430108709401598</v>
      </c>
      <c r="AA210" t="s">
        <v>65</v>
      </c>
    </row>
    <row r="211" spans="1:27" x14ac:dyDescent="0.25">
      <c r="A211">
        <v>6360</v>
      </c>
      <c r="B211">
        <v>24170</v>
      </c>
      <c r="C211" s="1">
        <v>43156</v>
      </c>
      <c r="F211" s="47"/>
      <c r="G211">
        <v>-0.4</v>
      </c>
      <c r="H211">
        <v>-2.2000000000000002</v>
      </c>
      <c r="I211">
        <v>1.3</v>
      </c>
      <c r="J211">
        <v>1534.4</v>
      </c>
      <c r="K211">
        <v>447.7</v>
      </c>
      <c r="M211" s="52">
        <v>0</v>
      </c>
      <c r="N211">
        <v>2</v>
      </c>
      <c r="O211">
        <f t="shared" si="24"/>
        <v>-2</v>
      </c>
      <c r="Q211">
        <v>180</v>
      </c>
      <c r="R211">
        <v>1</v>
      </c>
      <c r="S211">
        <f t="shared" si="25"/>
        <v>2</v>
      </c>
      <c r="T211">
        <f t="shared" si="26"/>
        <v>-2</v>
      </c>
      <c r="U211" s="52">
        <f t="shared" si="22"/>
        <v>170.3</v>
      </c>
      <c r="W211">
        <v>1429.8</v>
      </c>
      <c r="X211">
        <f t="shared" si="23"/>
        <v>27639.100000000002</v>
      </c>
      <c r="Y211">
        <v>10.488546596614805</v>
      </c>
      <c r="AA211">
        <f>SUM(M213:M222)</f>
        <v>20.7</v>
      </c>
    </row>
    <row r="212" spans="1:27" s="53" customFormat="1" x14ac:dyDescent="0.25">
      <c r="A212" s="53">
        <v>6360</v>
      </c>
      <c r="B212" s="53">
        <v>24170</v>
      </c>
      <c r="C212" s="54">
        <v>43157</v>
      </c>
      <c r="F212" s="47"/>
      <c r="G212" s="53">
        <v>-3</v>
      </c>
      <c r="H212" s="53">
        <v>-4.3</v>
      </c>
      <c r="I212" s="53">
        <v>-1.6</v>
      </c>
      <c r="J212" s="53">
        <v>1534.4</v>
      </c>
      <c r="K212" s="53">
        <v>447.7</v>
      </c>
      <c r="M212" s="53">
        <v>0</v>
      </c>
      <c r="N212" s="53">
        <v>1.7</v>
      </c>
      <c r="O212" s="53">
        <f t="shared" si="24"/>
        <v>-1.7</v>
      </c>
      <c r="Q212" s="53">
        <v>181</v>
      </c>
      <c r="R212" s="53">
        <v>1</v>
      </c>
      <c r="S212" s="53">
        <f t="shared" si="25"/>
        <v>1.7</v>
      </c>
      <c r="T212" s="53">
        <f t="shared" si="26"/>
        <v>-1.7</v>
      </c>
      <c r="U212" s="53">
        <f t="shared" si="22"/>
        <v>168.60000000000002</v>
      </c>
      <c r="W212" s="53">
        <v>1468.5</v>
      </c>
      <c r="X212" s="53">
        <f t="shared" si="23"/>
        <v>29107.600000000002</v>
      </c>
      <c r="Y212" s="53">
        <v>10.547227974374831</v>
      </c>
    </row>
    <row r="213" spans="1:27" x14ac:dyDescent="0.25">
      <c r="A213">
        <v>6360</v>
      </c>
      <c r="B213">
        <v>24170</v>
      </c>
      <c r="C213" s="1">
        <v>43158</v>
      </c>
      <c r="F213" s="47"/>
      <c r="G213">
        <v>-5.0999999999999996</v>
      </c>
      <c r="H213">
        <v>-5.9</v>
      </c>
      <c r="I213">
        <v>-3.4</v>
      </c>
      <c r="J213">
        <v>1534.4</v>
      </c>
      <c r="K213">
        <v>447.7</v>
      </c>
      <c r="M213" s="52">
        <v>0</v>
      </c>
      <c r="N213">
        <v>1.1000000000000001</v>
      </c>
      <c r="O213">
        <f t="shared" si="24"/>
        <v>-1.1000000000000001</v>
      </c>
      <c r="Q213">
        <v>182</v>
      </c>
      <c r="R213">
        <v>1</v>
      </c>
      <c r="S213">
        <f t="shared" si="25"/>
        <v>1.1000000000000001</v>
      </c>
      <c r="T213">
        <f t="shared" si="26"/>
        <v>-1.1000000000000001</v>
      </c>
      <c r="U213" s="52">
        <f t="shared" si="22"/>
        <v>167.50000000000003</v>
      </c>
      <c r="W213">
        <v>1492.4</v>
      </c>
      <c r="X213">
        <f t="shared" si="23"/>
        <v>30600.000000000004</v>
      </c>
      <c r="Y213">
        <v>10.606140150431251</v>
      </c>
    </row>
    <row r="214" spans="1:27" x14ac:dyDescent="0.25">
      <c r="A214">
        <v>6360</v>
      </c>
      <c r="B214">
        <v>24170</v>
      </c>
      <c r="C214" s="1">
        <v>43159</v>
      </c>
      <c r="F214" s="47"/>
      <c r="G214">
        <v>-4.9000000000000004</v>
      </c>
      <c r="H214">
        <v>-9.1999999999999993</v>
      </c>
      <c r="I214">
        <v>-2</v>
      </c>
      <c r="J214">
        <v>1534.4</v>
      </c>
      <c r="K214">
        <v>447.7</v>
      </c>
      <c r="M214" s="52">
        <v>0</v>
      </c>
      <c r="N214">
        <v>1.3</v>
      </c>
      <c r="O214">
        <f t="shared" si="24"/>
        <v>-1.3</v>
      </c>
      <c r="Q214">
        <v>183</v>
      </c>
      <c r="R214">
        <v>1</v>
      </c>
      <c r="S214">
        <f t="shared" si="25"/>
        <v>1.3</v>
      </c>
      <c r="T214">
        <f t="shared" si="26"/>
        <v>-1.3</v>
      </c>
      <c r="U214" s="52">
        <f t="shared" si="22"/>
        <v>166.20000000000002</v>
      </c>
      <c r="W214">
        <v>1054.9000000000001</v>
      </c>
      <c r="X214">
        <f t="shared" si="23"/>
        <v>31654.900000000005</v>
      </c>
      <c r="Y214">
        <v>10.665270782281508</v>
      </c>
    </row>
    <row r="215" spans="1:27" x14ac:dyDescent="0.25">
      <c r="A215">
        <v>6360</v>
      </c>
      <c r="B215">
        <v>24170</v>
      </c>
      <c r="C215" s="1">
        <v>43160</v>
      </c>
      <c r="F215" s="47"/>
      <c r="G215">
        <v>-1</v>
      </c>
      <c r="H215">
        <v>-4.2</v>
      </c>
      <c r="I215">
        <v>1.8</v>
      </c>
      <c r="J215">
        <v>1534.4</v>
      </c>
      <c r="K215">
        <v>447.7</v>
      </c>
      <c r="M215" s="52">
        <v>0</v>
      </c>
      <c r="N215">
        <v>1.2</v>
      </c>
      <c r="O215">
        <f t="shared" si="24"/>
        <v>-1.2</v>
      </c>
      <c r="Q215">
        <v>184</v>
      </c>
      <c r="R215">
        <v>1</v>
      </c>
      <c r="S215">
        <f t="shared" si="25"/>
        <v>1.2</v>
      </c>
      <c r="T215">
        <f t="shared" si="26"/>
        <v>-1.2</v>
      </c>
      <c r="U215" s="52">
        <f t="shared" si="22"/>
        <v>165.00000000000003</v>
      </c>
      <c r="W215">
        <v>300.89999999999998</v>
      </c>
      <c r="X215">
        <f t="shared" si="23"/>
        <v>31955.800000000007</v>
      </c>
      <c r="Y215">
        <v>10.724607865355823</v>
      </c>
    </row>
    <row r="216" spans="1:27" s="6" customFormat="1" ht="15.75" thickBot="1" x14ac:dyDescent="0.3">
      <c r="A216" s="6">
        <v>6360</v>
      </c>
      <c r="B216" s="6">
        <v>24170</v>
      </c>
      <c r="C216" s="7">
        <v>43161</v>
      </c>
      <c r="D216" s="6" t="s">
        <v>33</v>
      </c>
      <c r="F216" s="48"/>
      <c r="G216" s="6">
        <v>3.6</v>
      </c>
      <c r="H216" s="6">
        <v>0.9</v>
      </c>
      <c r="I216" s="6">
        <v>6.9</v>
      </c>
      <c r="J216" s="6">
        <f t="shared" si="20"/>
        <v>1538</v>
      </c>
      <c r="K216" s="6">
        <f t="shared" si="21"/>
        <v>451.3</v>
      </c>
      <c r="M216" s="55">
        <v>0.8</v>
      </c>
      <c r="N216" s="6">
        <v>0.9</v>
      </c>
      <c r="O216" s="6">
        <f t="shared" si="24"/>
        <v>-9.9999999999999978E-2</v>
      </c>
      <c r="Q216" s="6">
        <v>185</v>
      </c>
      <c r="R216" s="6">
        <v>1</v>
      </c>
      <c r="S216" s="6">
        <f t="shared" si="25"/>
        <v>0.9</v>
      </c>
      <c r="T216" s="6">
        <f t="shared" si="26"/>
        <v>-9.9999999999999978E-2</v>
      </c>
      <c r="U216" s="55">
        <f t="shared" si="22"/>
        <v>164.90000000000003</v>
      </c>
      <c r="W216" s="6">
        <v>392.4</v>
      </c>
      <c r="X216" s="6">
        <f t="shared" si="23"/>
        <v>32348.200000000008</v>
      </c>
      <c r="Y216" s="6">
        <v>10.784139720761157</v>
      </c>
    </row>
    <row r="217" spans="1:27" x14ac:dyDescent="0.25">
      <c r="A217">
        <v>6360</v>
      </c>
      <c r="B217">
        <v>24170</v>
      </c>
      <c r="C217" s="1">
        <v>43162</v>
      </c>
      <c r="F217" s="43" t="s">
        <v>58</v>
      </c>
      <c r="G217">
        <v>5.3</v>
      </c>
      <c r="H217">
        <v>0.5</v>
      </c>
      <c r="I217">
        <v>8.1</v>
      </c>
      <c r="J217">
        <f t="shared" si="20"/>
        <v>1543.3</v>
      </c>
      <c r="K217">
        <f>G217</f>
        <v>5.3</v>
      </c>
      <c r="L217" s="19" t="s">
        <v>38</v>
      </c>
      <c r="M217" s="52">
        <v>0</v>
      </c>
      <c r="N217">
        <v>0.6</v>
      </c>
      <c r="O217">
        <f t="shared" si="24"/>
        <v>-0.6</v>
      </c>
      <c r="Q217">
        <v>186</v>
      </c>
      <c r="R217">
        <f>1+((Q217-185)/35)*(1.15-1)</f>
        <v>1.0042857142857142</v>
      </c>
      <c r="S217">
        <f t="shared" si="25"/>
        <v>0.60257142857142854</v>
      </c>
      <c r="T217">
        <f t="shared" si="26"/>
        <v>-0.60257142857142854</v>
      </c>
      <c r="U217" s="52">
        <f t="shared" si="22"/>
        <v>164.29742857142861</v>
      </c>
      <c r="V217" s="20" t="s">
        <v>45</v>
      </c>
      <c r="W217">
        <v>471.1</v>
      </c>
      <c r="X217">
        <f>W217</f>
        <v>471.1</v>
      </c>
      <c r="Y217">
        <v>10.84385498262251</v>
      </c>
      <c r="Z217" s="20" t="s">
        <v>50</v>
      </c>
    </row>
    <row r="218" spans="1:27" x14ac:dyDescent="0.25">
      <c r="A218">
        <v>6360</v>
      </c>
      <c r="B218">
        <v>24170</v>
      </c>
      <c r="C218" s="1">
        <v>43163</v>
      </c>
      <c r="F218" s="44"/>
      <c r="G218">
        <v>5.8</v>
      </c>
      <c r="H218">
        <v>4.5999999999999996</v>
      </c>
      <c r="I218">
        <v>6.6</v>
      </c>
      <c r="J218">
        <f t="shared" si="20"/>
        <v>1549.1</v>
      </c>
      <c r="K218">
        <f t="shared" si="21"/>
        <v>11.1</v>
      </c>
      <c r="L218" s="12">
        <v>265.8</v>
      </c>
      <c r="M218" s="52">
        <v>5</v>
      </c>
      <c r="N218">
        <v>0.4</v>
      </c>
      <c r="O218">
        <f t="shared" si="24"/>
        <v>4.5999999999999996</v>
      </c>
      <c r="Q218">
        <v>187</v>
      </c>
      <c r="R218">
        <f t="shared" ref="R218:R251" si="27">1+((Q218-185)/35)*(1.15-1)</f>
        <v>1.0085714285714287</v>
      </c>
      <c r="S218">
        <f t="shared" si="25"/>
        <v>0.40342857142857147</v>
      </c>
      <c r="T218">
        <f t="shared" si="26"/>
        <v>4.5965714285714281</v>
      </c>
      <c r="U218" s="52">
        <f t="shared" si="22"/>
        <v>168.89400000000003</v>
      </c>
      <c r="V218">
        <v>0</v>
      </c>
      <c r="W218">
        <v>256.8</v>
      </c>
      <c r="X218">
        <f t="shared" si="23"/>
        <v>727.90000000000009</v>
      </c>
      <c r="Y218">
        <v>10.903742585057397</v>
      </c>
      <c r="Z218">
        <v>23364.9</v>
      </c>
    </row>
    <row r="219" spans="1:27" x14ac:dyDescent="0.25">
      <c r="A219">
        <v>6360</v>
      </c>
      <c r="B219">
        <v>24170</v>
      </c>
      <c r="C219" s="1">
        <v>43164</v>
      </c>
      <c r="F219" s="44"/>
      <c r="G219">
        <v>8.4</v>
      </c>
      <c r="H219">
        <v>4.8</v>
      </c>
      <c r="I219">
        <v>11</v>
      </c>
      <c r="J219">
        <f t="shared" si="20"/>
        <v>1557.5</v>
      </c>
      <c r="K219">
        <f t="shared" si="21"/>
        <v>19.5</v>
      </c>
      <c r="L219" s="19" t="s">
        <v>39</v>
      </c>
      <c r="M219" s="52">
        <v>0</v>
      </c>
      <c r="N219">
        <v>0.8</v>
      </c>
      <c r="O219">
        <f t="shared" si="24"/>
        <v>-0.8</v>
      </c>
      <c r="Q219">
        <v>188</v>
      </c>
      <c r="R219">
        <f t="shared" si="27"/>
        <v>1.0128571428571429</v>
      </c>
      <c r="S219">
        <f t="shared" si="25"/>
        <v>0.81028571428571439</v>
      </c>
      <c r="T219">
        <f t="shared" si="26"/>
        <v>-0.81028571428571439</v>
      </c>
      <c r="U219" s="52">
        <f t="shared" si="22"/>
        <v>168.08371428571431</v>
      </c>
      <c r="V219" s="20" t="s">
        <v>46</v>
      </c>
      <c r="W219">
        <v>398.3</v>
      </c>
      <c r="X219">
        <f t="shared" si="23"/>
        <v>1126.2</v>
      </c>
      <c r="Y219">
        <v>10.963791748816975</v>
      </c>
      <c r="Z219" s="20" t="s">
        <v>51</v>
      </c>
    </row>
    <row r="220" spans="1:27" x14ac:dyDescent="0.25">
      <c r="A220">
        <v>6360</v>
      </c>
      <c r="B220">
        <v>24170</v>
      </c>
      <c r="C220" s="1">
        <v>43165</v>
      </c>
      <c r="F220" s="44"/>
      <c r="G220">
        <v>7.9</v>
      </c>
      <c r="H220">
        <v>5.5</v>
      </c>
      <c r="I220">
        <v>9.8000000000000007</v>
      </c>
      <c r="J220">
        <f t="shared" si="20"/>
        <v>1565.4</v>
      </c>
      <c r="K220">
        <f t="shared" si="21"/>
        <v>27.4</v>
      </c>
      <c r="L220" s="13">
        <f>AVERAGE(G217:G251)</f>
        <v>7.571428571428573</v>
      </c>
      <c r="M220" s="52">
        <v>5.5</v>
      </c>
      <c r="N220">
        <v>0.8</v>
      </c>
      <c r="O220">
        <f t="shared" si="24"/>
        <v>4.7</v>
      </c>
      <c r="Q220">
        <v>189</v>
      </c>
      <c r="R220">
        <f t="shared" si="27"/>
        <v>1.0171428571428571</v>
      </c>
      <c r="S220">
        <f t="shared" si="25"/>
        <v>0.81371428571428572</v>
      </c>
      <c r="T220">
        <f t="shared" si="26"/>
        <v>4.6862857142857139</v>
      </c>
      <c r="U220" s="52">
        <f t="shared" si="22"/>
        <v>172.77</v>
      </c>
      <c r="V220">
        <v>0</v>
      </c>
      <c r="W220">
        <v>355.2</v>
      </c>
      <c r="X220">
        <f t="shared" si="23"/>
        <v>1481.4</v>
      </c>
      <c r="Y220">
        <v>11.023991967624951</v>
      </c>
      <c r="Z220">
        <f>(Z218/100)/L218</f>
        <v>0.87904063205417604</v>
      </c>
    </row>
    <row r="221" spans="1:27" x14ac:dyDescent="0.25">
      <c r="A221">
        <v>6360</v>
      </c>
      <c r="B221">
        <v>24170</v>
      </c>
      <c r="C221" s="1">
        <v>43166</v>
      </c>
      <c r="F221" s="44"/>
      <c r="G221">
        <v>6.2</v>
      </c>
      <c r="H221">
        <v>4.9000000000000004</v>
      </c>
      <c r="I221">
        <v>8.4</v>
      </c>
      <c r="J221">
        <f t="shared" si="20"/>
        <v>1571.6000000000001</v>
      </c>
      <c r="K221">
        <f t="shared" si="21"/>
        <v>33.6</v>
      </c>
      <c r="L221" s="19" t="s">
        <v>40</v>
      </c>
      <c r="M221" s="52">
        <v>5.7</v>
      </c>
      <c r="N221">
        <v>0.8</v>
      </c>
      <c r="O221">
        <f t="shared" si="24"/>
        <v>4.9000000000000004</v>
      </c>
      <c r="Q221">
        <v>190</v>
      </c>
      <c r="R221">
        <f t="shared" si="27"/>
        <v>1.0214285714285714</v>
      </c>
      <c r="S221">
        <f t="shared" si="25"/>
        <v>0.81714285714285717</v>
      </c>
      <c r="T221">
        <f t="shared" si="26"/>
        <v>4.8828571428571426</v>
      </c>
      <c r="U221" s="52">
        <f t="shared" si="22"/>
        <v>177.65285714285716</v>
      </c>
      <c r="V221" s="20" t="s">
        <v>47</v>
      </c>
      <c r="W221">
        <v>351.9</v>
      </c>
      <c r="X221">
        <f t="shared" si="23"/>
        <v>1833.3000000000002</v>
      </c>
      <c r="Y221">
        <v>11.084332994243288</v>
      </c>
      <c r="Z221" s="20" t="s">
        <v>52</v>
      </c>
    </row>
    <row r="222" spans="1:27" x14ac:dyDescent="0.25">
      <c r="A222">
        <v>6360</v>
      </c>
      <c r="B222">
        <v>24170</v>
      </c>
      <c r="C222" s="1">
        <v>43167</v>
      </c>
      <c r="F222" s="44"/>
      <c r="G222">
        <v>6.4</v>
      </c>
      <c r="H222">
        <v>4.2</v>
      </c>
      <c r="I222">
        <v>9.9</v>
      </c>
      <c r="J222">
        <f t="shared" si="20"/>
        <v>1578.0000000000002</v>
      </c>
      <c r="K222">
        <f t="shared" si="21"/>
        <v>40</v>
      </c>
      <c r="L222" s="14">
        <f>MIN(H217:H251)</f>
        <v>-2.1</v>
      </c>
      <c r="M222" s="52">
        <v>3.7</v>
      </c>
      <c r="N222">
        <v>1</v>
      </c>
      <c r="O222">
        <f t="shared" si="24"/>
        <v>2.7</v>
      </c>
      <c r="Q222">
        <v>191</v>
      </c>
      <c r="R222">
        <f t="shared" si="27"/>
        <v>1.0257142857142858</v>
      </c>
      <c r="S222">
        <f t="shared" si="25"/>
        <v>1.0257142857142858</v>
      </c>
      <c r="T222">
        <f t="shared" si="26"/>
        <v>2.6742857142857144</v>
      </c>
      <c r="U222" s="52">
        <f t="shared" si="22"/>
        <v>179.3</v>
      </c>
      <c r="V222" s="2">
        <f>MIN(U217:U251)</f>
        <v>164.29742857142861</v>
      </c>
      <c r="W222">
        <v>366.8</v>
      </c>
      <c r="X222">
        <f t="shared" si="23"/>
        <v>2200.1000000000004</v>
      </c>
      <c r="Y222">
        <v>11.14480482629153</v>
      </c>
      <c r="Z222">
        <v>27</v>
      </c>
    </row>
    <row r="223" spans="1:27" x14ac:dyDescent="0.25">
      <c r="A223">
        <v>6360</v>
      </c>
      <c r="B223">
        <v>24170</v>
      </c>
      <c r="C223" s="1">
        <v>43168</v>
      </c>
      <c r="F223" s="44"/>
      <c r="G223">
        <v>10</v>
      </c>
      <c r="H223">
        <v>5.5</v>
      </c>
      <c r="I223">
        <v>13.5</v>
      </c>
      <c r="J223">
        <f t="shared" si="20"/>
        <v>1588.0000000000002</v>
      </c>
      <c r="K223">
        <f t="shared" si="21"/>
        <v>50</v>
      </c>
      <c r="L223" s="19" t="s">
        <v>41</v>
      </c>
      <c r="M223">
        <v>0.3</v>
      </c>
      <c r="N223">
        <v>0.7</v>
      </c>
      <c r="O223">
        <f t="shared" si="24"/>
        <v>-0.39999999999999997</v>
      </c>
      <c r="Q223">
        <v>192</v>
      </c>
      <c r="R223">
        <f t="shared" si="27"/>
        <v>1.03</v>
      </c>
      <c r="S223">
        <f t="shared" si="25"/>
        <v>0.72099999999999997</v>
      </c>
      <c r="T223">
        <f t="shared" si="26"/>
        <v>-0.42099999999999999</v>
      </c>
      <c r="U223">
        <f t="shared" si="22"/>
        <v>178.87900000000002</v>
      </c>
      <c r="V223" s="20" t="s">
        <v>48</v>
      </c>
      <c r="W223">
        <v>249.3</v>
      </c>
      <c r="X223">
        <f t="shared" si="23"/>
        <v>2449.4000000000005</v>
      </c>
      <c r="Y223">
        <v>11.205397691844651</v>
      </c>
    </row>
    <row r="224" spans="1:27" x14ac:dyDescent="0.25">
      <c r="A224">
        <v>6360</v>
      </c>
      <c r="B224">
        <v>24170</v>
      </c>
      <c r="C224" s="1">
        <v>43169</v>
      </c>
      <c r="F224" s="44"/>
      <c r="G224">
        <v>13.3</v>
      </c>
      <c r="H224">
        <v>12</v>
      </c>
      <c r="I224">
        <v>15.1</v>
      </c>
      <c r="J224">
        <f t="shared" si="20"/>
        <v>1601.3000000000002</v>
      </c>
      <c r="K224">
        <f t="shared" si="21"/>
        <v>63.3</v>
      </c>
      <c r="L224" s="12">
        <f>MAX(I217:I251)</f>
        <v>17.100000000000001</v>
      </c>
      <c r="M224">
        <v>16.899999999999999</v>
      </c>
      <c r="N224">
        <v>1.1000000000000001</v>
      </c>
      <c r="O224">
        <f t="shared" si="24"/>
        <v>15.799999999999999</v>
      </c>
      <c r="Q224">
        <v>193</v>
      </c>
      <c r="R224">
        <f t="shared" si="27"/>
        <v>1.0342857142857143</v>
      </c>
      <c r="S224">
        <f t="shared" si="25"/>
        <v>1.1377142857142857</v>
      </c>
      <c r="T224">
        <f t="shared" si="26"/>
        <v>15.762285714285714</v>
      </c>
      <c r="U224">
        <f t="shared" si="22"/>
        <v>179.3</v>
      </c>
      <c r="V224" s="2">
        <f>MAX(U217:U251)</f>
        <v>179.3</v>
      </c>
      <c r="W224">
        <v>282.8</v>
      </c>
      <c r="X224">
        <f t="shared" si="23"/>
        <v>2732.2000000000007</v>
      </c>
      <c r="Y224">
        <v>11.266102034832434</v>
      </c>
    </row>
    <row r="225" spans="1:25" x14ac:dyDescent="0.25">
      <c r="A225">
        <v>6360</v>
      </c>
      <c r="B225">
        <v>24170</v>
      </c>
      <c r="C225" s="1">
        <v>43170</v>
      </c>
      <c r="F225" s="44"/>
      <c r="G225">
        <v>13.1</v>
      </c>
      <c r="H225">
        <v>10.6</v>
      </c>
      <c r="I225">
        <v>16.7</v>
      </c>
      <c r="J225">
        <f t="shared" si="20"/>
        <v>1614.4</v>
      </c>
      <c r="K225">
        <f t="shared" si="21"/>
        <v>76.399999999999991</v>
      </c>
      <c r="L225" s="19" t="s">
        <v>42</v>
      </c>
      <c r="M225">
        <v>0.1</v>
      </c>
      <c r="N225">
        <v>2</v>
      </c>
      <c r="O225">
        <f t="shared" si="24"/>
        <v>-1.9</v>
      </c>
      <c r="Q225">
        <v>194</v>
      </c>
      <c r="R225">
        <f t="shared" si="27"/>
        <v>1.0385714285714285</v>
      </c>
      <c r="S225">
        <f t="shared" si="25"/>
        <v>2.077142857142857</v>
      </c>
      <c r="T225">
        <f t="shared" si="26"/>
        <v>-1.9771428571428569</v>
      </c>
      <c r="U225">
        <f t="shared" si="22"/>
        <v>177.32285714285715</v>
      </c>
      <c r="V225" s="20" t="s">
        <v>49</v>
      </c>
      <c r="W225">
        <v>952.8</v>
      </c>
      <c r="X225">
        <f t="shared" si="23"/>
        <v>3685.0000000000009</v>
      </c>
      <c r="Y225">
        <v>11.326908500261592</v>
      </c>
    </row>
    <row r="226" spans="1:25" x14ac:dyDescent="0.25">
      <c r="A226">
        <v>6360</v>
      </c>
      <c r="B226">
        <v>24170</v>
      </c>
      <c r="C226" s="1">
        <v>43171</v>
      </c>
      <c r="F226" s="44"/>
      <c r="G226">
        <v>10.4</v>
      </c>
      <c r="H226">
        <v>10.199999999999999</v>
      </c>
      <c r="I226">
        <v>11.6</v>
      </c>
      <c r="J226">
        <f t="shared" ref="J226:J289" si="28">J225+G226</f>
        <v>1624.8000000000002</v>
      </c>
      <c r="K226">
        <f t="shared" ref="K226:K289" si="29">K225+G226</f>
        <v>86.8</v>
      </c>
      <c r="L226" s="12">
        <v>0</v>
      </c>
      <c r="M226">
        <v>3.1</v>
      </c>
      <c r="N226">
        <v>1.7</v>
      </c>
      <c r="O226">
        <f t="shared" si="24"/>
        <v>1.4000000000000001</v>
      </c>
      <c r="Q226">
        <v>195</v>
      </c>
      <c r="R226">
        <f t="shared" si="27"/>
        <v>1.0428571428571429</v>
      </c>
      <c r="S226">
        <f t="shared" si="25"/>
        <v>1.7728571428571429</v>
      </c>
      <c r="T226">
        <f t="shared" si="26"/>
        <v>1.3271428571428572</v>
      </c>
      <c r="U226">
        <f t="shared" ref="U226:U289" si="30">MIN(U225+T226,179.3)</f>
        <v>178.65</v>
      </c>
      <c r="V226" s="2">
        <f>AVERAGE(U217:U251)</f>
        <v>176.15659591836737</v>
      </c>
      <c r="W226">
        <v>495.6</v>
      </c>
      <c r="X226">
        <f t="shared" ref="X226:X289" si="31">X225+W226</f>
        <v>4180.6000000000013</v>
      </c>
      <c r="Y226">
        <v>11.387807919280251</v>
      </c>
    </row>
    <row r="227" spans="1:25" x14ac:dyDescent="0.25">
      <c r="A227">
        <v>6360</v>
      </c>
      <c r="B227">
        <v>24170</v>
      </c>
      <c r="C227" s="1">
        <v>43172</v>
      </c>
      <c r="F227" s="44"/>
      <c r="G227">
        <v>8.6</v>
      </c>
      <c r="H227">
        <v>7.8</v>
      </c>
      <c r="I227">
        <v>10.6</v>
      </c>
      <c r="J227">
        <f t="shared" si="28"/>
        <v>1633.4</v>
      </c>
      <c r="K227">
        <f t="shared" si="29"/>
        <v>95.399999999999991</v>
      </c>
      <c r="L227" s="19" t="s">
        <v>43</v>
      </c>
      <c r="M227">
        <v>1.2</v>
      </c>
      <c r="N227">
        <v>1.1000000000000001</v>
      </c>
      <c r="O227">
        <f t="shared" si="24"/>
        <v>9.9999999999999867E-2</v>
      </c>
      <c r="Q227">
        <v>196</v>
      </c>
      <c r="R227">
        <f t="shared" si="27"/>
        <v>1.0471428571428572</v>
      </c>
      <c r="S227">
        <f t="shared" si="25"/>
        <v>1.1518571428571429</v>
      </c>
      <c r="T227">
        <f t="shared" si="26"/>
        <v>4.8142857142857043E-2</v>
      </c>
      <c r="U227">
        <f t="shared" si="30"/>
        <v>178.69814285714287</v>
      </c>
      <c r="W227">
        <v>373.2</v>
      </c>
      <c r="X227">
        <f t="shared" si="31"/>
        <v>4553.8000000000011</v>
      </c>
      <c r="Y227">
        <v>11.448791294102765</v>
      </c>
    </row>
    <row r="228" spans="1:25" x14ac:dyDescent="0.25">
      <c r="A228">
        <v>6360</v>
      </c>
      <c r="B228">
        <v>24170</v>
      </c>
      <c r="C228" s="1">
        <v>43173</v>
      </c>
      <c r="F228" s="44"/>
      <c r="G228">
        <v>8.8000000000000007</v>
      </c>
      <c r="H228">
        <v>2.8</v>
      </c>
      <c r="I228">
        <v>12.7</v>
      </c>
      <c r="J228">
        <f t="shared" si="28"/>
        <v>1642.2</v>
      </c>
      <c r="K228">
        <f t="shared" si="29"/>
        <v>104.19999999999999</v>
      </c>
      <c r="L228" s="12">
        <v>10</v>
      </c>
      <c r="M228">
        <v>3.8</v>
      </c>
      <c r="N228">
        <v>1.9</v>
      </c>
      <c r="O228">
        <f t="shared" si="24"/>
        <v>1.9</v>
      </c>
      <c r="Q228">
        <v>197</v>
      </c>
      <c r="R228">
        <f t="shared" si="27"/>
        <v>1.0514285714285714</v>
      </c>
      <c r="S228">
        <f t="shared" si="25"/>
        <v>1.9977142857142856</v>
      </c>
      <c r="T228">
        <f t="shared" si="26"/>
        <v>1.8022857142857143</v>
      </c>
      <c r="U228">
        <f t="shared" si="30"/>
        <v>179.3</v>
      </c>
      <c r="V228" s="16">
        <f>(V226*100)/179.3</f>
        <v>98.246846580238355</v>
      </c>
      <c r="W228">
        <v>1176.2</v>
      </c>
      <c r="X228">
        <f t="shared" si="31"/>
        <v>5730.0000000000009</v>
      </c>
      <c r="Y228">
        <v>11.509849782811578</v>
      </c>
    </row>
    <row r="229" spans="1:25" x14ac:dyDescent="0.25">
      <c r="A229">
        <v>6360</v>
      </c>
      <c r="B229">
        <v>24170</v>
      </c>
      <c r="C229" s="1">
        <v>43174</v>
      </c>
      <c r="F229" s="44"/>
      <c r="G229">
        <v>9.5</v>
      </c>
      <c r="H229">
        <v>8.4</v>
      </c>
      <c r="I229">
        <v>10.9</v>
      </c>
      <c r="J229">
        <f t="shared" si="28"/>
        <v>1651.7</v>
      </c>
      <c r="K229">
        <f t="shared" si="29"/>
        <v>113.69999999999999</v>
      </c>
      <c r="L229" s="19" t="s">
        <v>44</v>
      </c>
      <c r="M229">
        <v>2</v>
      </c>
      <c r="N229">
        <v>0.9</v>
      </c>
      <c r="O229">
        <f t="shared" si="24"/>
        <v>1.1000000000000001</v>
      </c>
      <c r="Q229">
        <v>198</v>
      </c>
      <c r="R229">
        <f t="shared" si="27"/>
        <v>1.0557142857142856</v>
      </c>
      <c r="S229">
        <f t="shared" si="25"/>
        <v>0.95014285714285707</v>
      </c>
      <c r="T229">
        <f t="shared" si="26"/>
        <v>1.0498571428571428</v>
      </c>
      <c r="U229">
        <f t="shared" si="30"/>
        <v>179.3</v>
      </c>
      <c r="W229">
        <v>334.7</v>
      </c>
      <c r="X229">
        <f t="shared" si="31"/>
        <v>6064.7000000000007</v>
      </c>
      <c r="Y229">
        <v>11.570974684051377</v>
      </c>
    </row>
    <row r="230" spans="1:25" x14ac:dyDescent="0.25">
      <c r="A230">
        <v>6360</v>
      </c>
      <c r="B230">
        <v>24170</v>
      </c>
      <c r="C230" s="1">
        <v>43175</v>
      </c>
      <c r="F230" s="44"/>
      <c r="G230">
        <v>9</v>
      </c>
      <c r="H230">
        <v>6.7</v>
      </c>
      <c r="I230">
        <v>11.3</v>
      </c>
      <c r="J230">
        <f t="shared" si="28"/>
        <v>1660.7</v>
      </c>
      <c r="K230">
        <f t="shared" si="29"/>
        <v>122.69999999999999</v>
      </c>
      <c r="L230" s="12">
        <v>5</v>
      </c>
      <c r="M230">
        <v>0.1</v>
      </c>
      <c r="N230">
        <v>1</v>
      </c>
      <c r="O230">
        <f t="shared" si="24"/>
        <v>-0.9</v>
      </c>
      <c r="Q230">
        <v>199</v>
      </c>
      <c r="R230">
        <f t="shared" si="27"/>
        <v>1.06</v>
      </c>
      <c r="S230">
        <f t="shared" si="25"/>
        <v>1.06</v>
      </c>
      <c r="T230">
        <f t="shared" si="26"/>
        <v>-0.96000000000000008</v>
      </c>
      <c r="U230">
        <f t="shared" si="30"/>
        <v>178.34</v>
      </c>
      <c r="W230">
        <v>768.8</v>
      </c>
      <c r="X230">
        <f t="shared" si="31"/>
        <v>6833.5000000000009</v>
      </c>
      <c r="Y230">
        <v>11.632157421629707</v>
      </c>
    </row>
    <row r="231" spans="1:25" x14ac:dyDescent="0.25">
      <c r="A231">
        <v>6360</v>
      </c>
      <c r="B231">
        <v>24170</v>
      </c>
      <c r="C231" s="1">
        <v>43176</v>
      </c>
      <c r="F231" s="44"/>
      <c r="G231">
        <v>3.7</v>
      </c>
      <c r="H231">
        <v>1.5</v>
      </c>
      <c r="I231">
        <v>5.5</v>
      </c>
      <c r="J231">
        <f t="shared" si="28"/>
        <v>1664.4</v>
      </c>
      <c r="K231">
        <f t="shared" si="29"/>
        <v>126.39999999999999</v>
      </c>
      <c r="M231">
        <v>2.2000000000000002</v>
      </c>
      <c r="N231">
        <v>0.4</v>
      </c>
      <c r="O231">
        <f t="shared" si="24"/>
        <v>1.8000000000000003</v>
      </c>
      <c r="Q231">
        <v>200</v>
      </c>
      <c r="R231">
        <f t="shared" si="27"/>
        <v>1.0642857142857143</v>
      </c>
      <c r="S231">
        <f t="shared" si="25"/>
        <v>0.42571428571428571</v>
      </c>
      <c r="T231">
        <f t="shared" si="26"/>
        <v>1.7742857142857145</v>
      </c>
      <c r="U231">
        <f t="shared" si="30"/>
        <v>179.3</v>
      </c>
      <c r="W231">
        <v>341.5</v>
      </c>
      <c r="X231">
        <f t="shared" si="31"/>
        <v>7175.0000000000009</v>
      </c>
      <c r="Y231">
        <v>11.693389529037116</v>
      </c>
    </row>
    <row r="232" spans="1:25" x14ac:dyDescent="0.25">
      <c r="A232">
        <v>6360</v>
      </c>
      <c r="B232">
        <v>24170</v>
      </c>
      <c r="C232" s="1">
        <v>43177</v>
      </c>
      <c r="F232" s="44"/>
      <c r="G232">
        <v>-0.6</v>
      </c>
      <c r="H232">
        <v>-1.5</v>
      </c>
      <c r="I232">
        <v>0.5</v>
      </c>
      <c r="J232">
        <v>1664.4</v>
      </c>
      <c r="K232">
        <v>126.4</v>
      </c>
      <c r="M232">
        <v>0</v>
      </c>
      <c r="N232">
        <v>0.4</v>
      </c>
      <c r="O232">
        <f t="shared" si="24"/>
        <v>-0.4</v>
      </c>
      <c r="Q232">
        <v>201</v>
      </c>
      <c r="R232">
        <f t="shared" si="27"/>
        <v>1.0685714285714285</v>
      </c>
      <c r="S232">
        <f t="shared" si="25"/>
        <v>0.42742857142857144</v>
      </c>
      <c r="T232">
        <f t="shared" si="26"/>
        <v>-0.42742857142857144</v>
      </c>
      <c r="U232">
        <f t="shared" si="30"/>
        <v>178.87257142857143</v>
      </c>
      <c r="W232">
        <v>373.1</v>
      </c>
      <c r="X232">
        <f t="shared" si="31"/>
        <v>7548.1000000000013</v>
      </c>
      <c r="Y232">
        <v>11.754662633898954</v>
      </c>
    </row>
    <row r="233" spans="1:25" x14ac:dyDescent="0.25">
      <c r="A233">
        <v>6360</v>
      </c>
      <c r="B233">
        <v>24170</v>
      </c>
      <c r="C233" s="1">
        <v>43178</v>
      </c>
      <c r="F233" s="44"/>
      <c r="G233">
        <v>-0.2</v>
      </c>
      <c r="H233">
        <v>-2</v>
      </c>
      <c r="I233">
        <v>1.1000000000000001</v>
      </c>
      <c r="J233">
        <v>1664.4</v>
      </c>
      <c r="K233">
        <v>126.4</v>
      </c>
      <c r="M233">
        <v>0</v>
      </c>
      <c r="N233">
        <v>0.6</v>
      </c>
      <c r="O233">
        <f t="shared" si="24"/>
        <v>-0.6</v>
      </c>
      <c r="Q233">
        <v>202</v>
      </c>
      <c r="R233">
        <f t="shared" si="27"/>
        <v>1.0728571428571427</v>
      </c>
      <c r="S233">
        <f t="shared" si="25"/>
        <v>0.64371428571428557</v>
      </c>
      <c r="T233">
        <f t="shared" si="26"/>
        <v>-0.64371428571428557</v>
      </c>
      <c r="U233">
        <f t="shared" si="30"/>
        <v>178.22885714285715</v>
      </c>
      <c r="W233">
        <v>475.8</v>
      </c>
      <c r="X233">
        <f t="shared" si="31"/>
        <v>8023.9000000000015</v>
      </c>
      <c r="Y233">
        <v>11.815968442370115</v>
      </c>
    </row>
    <row r="234" spans="1:25" x14ac:dyDescent="0.25">
      <c r="A234">
        <v>6360</v>
      </c>
      <c r="B234">
        <v>24170</v>
      </c>
      <c r="C234" s="1">
        <v>43179</v>
      </c>
      <c r="F234" s="44"/>
      <c r="G234">
        <v>2.1</v>
      </c>
      <c r="H234">
        <v>-2.1</v>
      </c>
      <c r="I234">
        <v>5.9</v>
      </c>
      <c r="J234">
        <f t="shared" si="28"/>
        <v>1666.5</v>
      </c>
      <c r="K234">
        <f t="shared" si="29"/>
        <v>128.5</v>
      </c>
      <c r="M234">
        <v>0</v>
      </c>
      <c r="N234">
        <v>1.1000000000000001</v>
      </c>
      <c r="O234">
        <f t="shared" si="24"/>
        <v>-1.1000000000000001</v>
      </c>
      <c r="Q234">
        <v>203</v>
      </c>
      <c r="R234">
        <f t="shared" si="27"/>
        <v>1.0771428571428572</v>
      </c>
      <c r="S234">
        <f t="shared" si="25"/>
        <v>1.1848571428571431</v>
      </c>
      <c r="T234">
        <f t="shared" si="26"/>
        <v>-1.1848571428571431</v>
      </c>
      <c r="U234">
        <f t="shared" si="30"/>
        <v>177.04400000000001</v>
      </c>
      <c r="W234">
        <v>765.6</v>
      </c>
      <c r="X234">
        <f t="shared" si="31"/>
        <v>8789.5000000000018</v>
      </c>
      <c r="Y234">
        <v>11.877298723483328</v>
      </c>
    </row>
    <row r="235" spans="1:25" x14ac:dyDescent="0.25">
      <c r="A235">
        <v>6360</v>
      </c>
      <c r="B235">
        <v>24170</v>
      </c>
      <c r="C235" s="1">
        <v>43180</v>
      </c>
      <c r="F235" s="44"/>
      <c r="G235">
        <v>2.6</v>
      </c>
      <c r="H235">
        <v>-0.2</v>
      </c>
      <c r="I235">
        <v>5.5</v>
      </c>
      <c r="J235">
        <f t="shared" si="28"/>
        <v>1669.1</v>
      </c>
      <c r="K235">
        <f t="shared" si="29"/>
        <v>131.1</v>
      </c>
      <c r="M235">
        <v>0</v>
      </c>
      <c r="N235">
        <v>1.6</v>
      </c>
      <c r="O235">
        <f t="shared" si="24"/>
        <v>-1.6</v>
      </c>
      <c r="Q235">
        <v>204</v>
      </c>
      <c r="R235">
        <f t="shared" si="27"/>
        <v>1.0814285714285714</v>
      </c>
      <c r="S235">
        <f t="shared" si="25"/>
        <v>1.7302857142857144</v>
      </c>
      <c r="T235">
        <f t="shared" si="26"/>
        <v>-1.7302857142857144</v>
      </c>
      <c r="U235">
        <f t="shared" si="30"/>
        <v>175.3137142857143</v>
      </c>
      <c r="W235">
        <v>1550</v>
      </c>
      <c r="X235">
        <f t="shared" si="31"/>
        <v>10339.500000000002</v>
      </c>
      <c r="Y235">
        <v>11.938645293460976</v>
      </c>
    </row>
    <row r="236" spans="1:25" x14ac:dyDescent="0.25">
      <c r="A236">
        <v>6360</v>
      </c>
      <c r="B236">
        <v>24170</v>
      </c>
      <c r="C236" s="1">
        <v>43181</v>
      </c>
      <c r="F236" s="44"/>
      <c r="G236">
        <v>4.5</v>
      </c>
      <c r="H236">
        <v>-0.2</v>
      </c>
      <c r="I236">
        <v>7.2</v>
      </c>
      <c r="J236">
        <f t="shared" si="28"/>
        <v>1673.6</v>
      </c>
      <c r="K236">
        <f t="shared" si="29"/>
        <v>135.6</v>
      </c>
      <c r="M236">
        <v>0</v>
      </c>
      <c r="N236">
        <v>0.6</v>
      </c>
      <c r="O236">
        <f t="shared" si="24"/>
        <v>-0.6</v>
      </c>
      <c r="Q236">
        <v>205</v>
      </c>
      <c r="R236">
        <f t="shared" si="27"/>
        <v>1.0857142857142856</v>
      </c>
      <c r="S236">
        <f t="shared" si="25"/>
        <v>0.65142857142857136</v>
      </c>
      <c r="T236">
        <f t="shared" si="26"/>
        <v>-0.65142857142857136</v>
      </c>
      <c r="U236">
        <f t="shared" si="30"/>
        <v>174.66228571428573</v>
      </c>
      <c r="W236">
        <v>375.8</v>
      </c>
      <c r="X236">
        <f t="shared" si="31"/>
        <v>10715.300000000001</v>
      </c>
      <c r="Y236">
        <v>12</v>
      </c>
    </row>
    <row r="237" spans="1:25" x14ac:dyDescent="0.25">
      <c r="A237">
        <v>6360</v>
      </c>
      <c r="B237">
        <v>24170</v>
      </c>
      <c r="C237" s="1">
        <v>43182</v>
      </c>
      <c r="F237" s="44"/>
      <c r="G237">
        <v>5.9</v>
      </c>
      <c r="H237">
        <v>4.7</v>
      </c>
      <c r="I237">
        <v>6.5</v>
      </c>
      <c r="J237">
        <f t="shared" si="28"/>
        <v>1679.5</v>
      </c>
      <c r="K237">
        <f t="shared" si="29"/>
        <v>141.5</v>
      </c>
      <c r="M237">
        <v>0</v>
      </c>
      <c r="N237">
        <v>1.1000000000000001</v>
      </c>
      <c r="O237">
        <f t="shared" si="24"/>
        <v>-1.1000000000000001</v>
      </c>
      <c r="Q237">
        <v>206</v>
      </c>
      <c r="R237">
        <f t="shared" si="27"/>
        <v>1.0899999999999999</v>
      </c>
      <c r="S237">
        <f t="shared" si="25"/>
        <v>1.1989999999999998</v>
      </c>
      <c r="T237">
        <f t="shared" si="26"/>
        <v>-1.1989999999999998</v>
      </c>
      <c r="U237">
        <f t="shared" si="30"/>
        <v>173.46328571428572</v>
      </c>
      <c r="W237">
        <v>388</v>
      </c>
      <c r="X237">
        <f t="shared" si="31"/>
        <v>11103.300000000001</v>
      </c>
      <c r="Y237">
        <v>12.061354706539023</v>
      </c>
    </row>
    <row r="238" spans="1:25" x14ac:dyDescent="0.25">
      <c r="A238">
        <v>6360</v>
      </c>
      <c r="B238">
        <v>24170</v>
      </c>
      <c r="C238" s="1">
        <v>43183</v>
      </c>
      <c r="F238" s="44"/>
      <c r="G238">
        <v>8.3000000000000007</v>
      </c>
      <c r="H238">
        <v>5.2</v>
      </c>
      <c r="I238">
        <v>11.1</v>
      </c>
      <c r="J238">
        <f t="shared" si="28"/>
        <v>1687.8</v>
      </c>
      <c r="K238">
        <f t="shared" si="29"/>
        <v>149.80000000000001</v>
      </c>
      <c r="M238">
        <v>0</v>
      </c>
      <c r="N238">
        <v>1.6</v>
      </c>
      <c r="O238">
        <f t="shared" si="24"/>
        <v>-1.6</v>
      </c>
      <c r="Q238">
        <v>207</v>
      </c>
      <c r="R238">
        <f t="shared" si="27"/>
        <v>1.0942857142857143</v>
      </c>
      <c r="S238">
        <f t="shared" si="25"/>
        <v>1.7508571428571429</v>
      </c>
      <c r="T238">
        <f t="shared" si="26"/>
        <v>-1.7508571428571429</v>
      </c>
      <c r="U238">
        <f t="shared" si="30"/>
        <v>171.71242857142857</v>
      </c>
      <c r="W238">
        <v>1152.5999999999999</v>
      </c>
      <c r="X238">
        <f t="shared" si="31"/>
        <v>12255.900000000001</v>
      </c>
      <c r="Y238">
        <v>12.122701276516672</v>
      </c>
    </row>
    <row r="239" spans="1:25" x14ac:dyDescent="0.25">
      <c r="A239">
        <v>6360</v>
      </c>
      <c r="B239">
        <v>24170</v>
      </c>
      <c r="C239" s="1">
        <v>43184</v>
      </c>
      <c r="F239" s="44"/>
      <c r="G239">
        <v>9.8000000000000007</v>
      </c>
      <c r="H239">
        <v>5.6</v>
      </c>
      <c r="I239">
        <v>14</v>
      </c>
      <c r="J239">
        <f t="shared" si="28"/>
        <v>1697.6</v>
      </c>
      <c r="K239">
        <f t="shared" si="29"/>
        <v>159.60000000000002</v>
      </c>
      <c r="M239">
        <v>0</v>
      </c>
      <c r="N239">
        <v>1.6</v>
      </c>
      <c r="O239">
        <f t="shared" si="24"/>
        <v>-1.6</v>
      </c>
      <c r="Q239">
        <v>208</v>
      </c>
      <c r="R239">
        <f t="shared" si="27"/>
        <v>1.0985714285714285</v>
      </c>
      <c r="S239">
        <f t="shared" si="25"/>
        <v>1.7577142857142858</v>
      </c>
      <c r="T239">
        <f t="shared" si="26"/>
        <v>-1.7577142857142858</v>
      </c>
      <c r="U239">
        <f t="shared" si="30"/>
        <v>169.95471428571429</v>
      </c>
      <c r="W239">
        <v>736.9</v>
      </c>
      <c r="X239">
        <f t="shared" si="31"/>
        <v>12992.800000000001</v>
      </c>
      <c r="Y239">
        <v>12.184031557629883</v>
      </c>
    </row>
    <row r="240" spans="1:25" x14ac:dyDescent="0.25">
      <c r="A240">
        <v>6360</v>
      </c>
      <c r="B240">
        <v>24170</v>
      </c>
      <c r="C240" s="1">
        <v>43185</v>
      </c>
      <c r="F240" s="44"/>
      <c r="G240">
        <v>8.9</v>
      </c>
      <c r="H240">
        <v>5.5</v>
      </c>
      <c r="I240">
        <v>12.3</v>
      </c>
      <c r="J240">
        <f t="shared" si="28"/>
        <v>1706.5</v>
      </c>
      <c r="K240">
        <f t="shared" si="29"/>
        <v>168.50000000000003</v>
      </c>
      <c r="M240">
        <v>0.2</v>
      </c>
      <c r="N240">
        <v>2.1</v>
      </c>
      <c r="O240">
        <f t="shared" si="24"/>
        <v>-1.9000000000000001</v>
      </c>
      <c r="Q240">
        <v>209</v>
      </c>
      <c r="R240">
        <f t="shared" si="27"/>
        <v>1.1028571428571428</v>
      </c>
      <c r="S240">
        <f t="shared" si="25"/>
        <v>2.3159999999999998</v>
      </c>
      <c r="T240">
        <f t="shared" si="26"/>
        <v>-2.1159999999999997</v>
      </c>
      <c r="U240">
        <f t="shared" si="30"/>
        <v>167.83871428571427</v>
      </c>
      <c r="W240">
        <v>1332.3</v>
      </c>
      <c r="X240">
        <f t="shared" si="31"/>
        <v>14325.1</v>
      </c>
      <c r="Y240">
        <v>12.245337366101044</v>
      </c>
    </row>
    <row r="241" spans="1:26" x14ac:dyDescent="0.25">
      <c r="A241">
        <v>6360</v>
      </c>
      <c r="B241">
        <v>24170</v>
      </c>
      <c r="C241" s="1">
        <v>43186</v>
      </c>
      <c r="F241" s="44"/>
      <c r="G241">
        <v>8.1</v>
      </c>
      <c r="H241">
        <v>6.1</v>
      </c>
      <c r="I241">
        <v>11</v>
      </c>
      <c r="J241">
        <f t="shared" si="28"/>
        <v>1714.6</v>
      </c>
      <c r="K241">
        <f t="shared" si="29"/>
        <v>176.60000000000002</v>
      </c>
      <c r="M241">
        <v>6.4</v>
      </c>
      <c r="N241">
        <v>0.9</v>
      </c>
      <c r="O241">
        <f t="shared" si="24"/>
        <v>5.5</v>
      </c>
      <c r="Q241">
        <v>210</v>
      </c>
      <c r="R241">
        <f t="shared" si="27"/>
        <v>1.107142857142857</v>
      </c>
      <c r="S241">
        <f t="shared" si="25"/>
        <v>0.99642857142857133</v>
      </c>
      <c r="T241">
        <f t="shared" si="26"/>
        <v>5.4035714285714294</v>
      </c>
      <c r="U241">
        <f t="shared" si="30"/>
        <v>173.24228571428571</v>
      </c>
      <c r="W241">
        <v>247</v>
      </c>
      <c r="X241">
        <f t="shared" si="31"/>
        <v>14572.1</v>
      </c>
      <c r="Y241">
        <v>12.306610470962882</v>
      </c>
    </row>
    <row r="242" spans="1:26" x14ac:dyDescent="0.25">
      <c r="A242">
        <v>6360</v>
      </c>
      <c r="B242">
        <v>24170</v>
      </c>
      <c r="C242" s="1">
        <v>43187</v>
      </c>
      <c r="F242" s="44"/>
      <c r="G242">
        <v>8.1999999999999993</v>
      </c>
      <c r="H242">
        <v>6.6</v>
      </c>
      <c r="I242">
        <v>12.5</v>
      </c>
      <c r="J242">
        <f t="shared" si="28"/>
        <v>1722.8</v>
      </c>
      <c r="K242">
        <f t="shared" si="29"/>
        <v>184.8</v>
      </c>
      <c r="M242">
        <v>8.4</v>
      </c>
      <c r="N242">
        <v>1.1000000000000001</v>
      </c>
      <c r="O242">
        <f t="shared" si="24"/>
        <v>7.3000000000000007</v>
      </c>
      <c r="Q242">
        <v>211</v>
      </c>
      <c r="R242">
        <f t="shared" si="27"/>
        <v>1.1114285714285714</v>
      </c>
      <c r="S242">
        <f t="shared" si="25"/>
        <v>1.2225714285714286</v>
      </c>
      <c r="T242">
        <f t="shared" si="26"/>
        <v>7.1774285714285719</v>
      </c>
      <c r="U242">
        <f t="shared" si="30"/>
        <v>179.3</v>
      </c>
      <c r="W242">
        <v>390.5</v>
      </c>
      <c r="X242">
        <f t="shared" si="31"/>
        <v>14962.6</v>
      </c>
      <c r="Y242">
        <v>12.367842578370293</v>
      </c>
    </row>
    <row r="243" spans="1:26" x14ac:dyDescent="0.25">
      <c r="A243">
        <v>6360</v>
      </c>
      <c r="B243">
        <v>24170</v>
      </c>
      <c r="C243" s="1">
        <v>43188</v>
      </c>
      <c r="F243" s="44"/>
      <c r="G243">
        <v>6.3</v>
      </c>
      <c r="H243">
        <v>2.5</v>
      </c>
      <c r="I243">
        <v>10.7</v>
      </c>
      <c r="J243">
        <f t="shared" si="28"/>
        <v>1729.1</v>
      </c>
      <c r="K243">
        <f t="shared" si="29"/>
        <v>191.10000000000002</v>
      </c>
      <c r="M243">
        <v>2.2999999999999998</v>
      </c>
      <c r="N243">
        <v>1.9</v>
      </c>
      <c r="O243">
        <f t="shared" si="24"/>
        <v>0.39999999999999991</v>
      </c>
      <c r="Q243">
        <v>212</v>
      </c>
      <c r="R243">
        <f t="shared" si="27"/>
        <v>1.1157142857142857</v>
      </c>
      <c r="S243">
        <f t="shared" si="25"/>
        <v>2.1198571428571427</v>
      </c>
      <c r="T243">
        <f t="shared" si="26"/>
        <v>0.18014285714285716</v>
      </c>
      <c r="U243">
        <f t="shared" si="30"/>
        <v>179.3</v>
      </c>
      <c r="W243">
        <v>1307.2</v>
      </c>
      <c r="X243">
        <f t="shared" si="31"/>
        <v>16269.800000000001</v>
      </c>
      <c r="Y243">
        <v>12.429025315948621</v>
      </c>
    </row>
    <row r="244" spans="1:26" x14ac:dyDescent="0.25">
      <c r="A244">
        <v>6360</v>
      </c>
      <c r="B244">
        <v>24170</v>
      </c>
      <c r="C244" s="1">
        <v>43189</v>
      </c>
      <c r="F244" s="44"/>
      <c r="G244">
        <v>7.2</v>
      </c>
      <c r="H244">
        <v>5.6</v>
      </c>
      <c r="I244">
        <v>9.1</v>
      </c>
      <c r="J244">
        <f t="shared" si="28"/>
        <v>1736.3</v>
      </c>
      <c r="K244">
        <f t="shared" si="29"/>
        <v>198.3</v>
      </c>
      <c r="M244">
        <v>1</v>
      </c>
      <c r="N244">
        <v>0.9</v>
      </c>
      <c r="O244">
        <f t="shared" si="24"/>
        <v>9.9999999999999978E-2</v>
      </c>
      <c r="Q244">
        <v>213</v>
      </c>
      <c r="R244">
        <f t="shared" si="27"/>
        <v>1.1199999999999999</v>
      </c>
      <c r="S244">
        <f t="shared" si="25"/>
        <v>1.008</v>
      </c>
      <c r="T244">
        <f t="shared" si="26"/>
        <v>-8.0000000000000071E-3</v>
      </c>
      <c r="U244">
        <f t="shared" si="30"/>
        <v>179.292</v>
      </c>
      <c r="W244">
        <v>683.8</v>
      </c>
      <c r="X244">
        <f t="shared" si="31"/>
        <v>16953.600000000002</v>
      </c>
      <c r="Y244">
        <v>12.490150217188422</v>
      </c>
    </row>
    <row r="245" spans="1:26" x14ac:dyDescent="0.25">
      <c r="A245">
        <v>6360</v>
      </c>
      <c r="B245">
        <v>24170</v>
      </c>
      <c r="C245" s="1">
        <v>43190</v>
      </c>
      <c r="F245" s="44"/>
      <c r="G245">
        <v>6.8</v>
      </c>
      <c r="H245">
        <v>3.2</v>
      </c>
      <c r="I245">
        <v>9.1999999999999993</v>
      </c>
      <c r="J245">
        <f t="shared" si="28"/>
        <v>1743.1</v>
      </c>
      <c r="K245">
        <f t="shared" si="29"/>
        <v>205.10000000000002</v>
      </c>
      <c r="M245">
        <v>1</v>
      </c>
      <c r="N245">
        <v>0.7</v>
      </c>
      <c r="O245">
        <f t="shared" si="24"/>
        <v>0.30000000000000004</v>
      </c>
      <c r="Q245">
        <v>214</v>
      </c>
      <c r="R245">
        <f t="shared" si="27"/>
        <v>1.1242857142857141</v>
      </c>
      <c r="S245">
        <f t="shared" si="25"/>
        <v>0.78699999999999981</v>
      </c>
      <c r="T245">
        <f t="shared" si="26"/>
        <v>0.21300000000000019</v>
      </c>
      <c r="U245">
        <f t="shared" si="30"/>
        <v>179.3</v>
      </c>
      <c r="W245">
        <v>516</v>
      </c>
      <c r="X245">
        <f t="shared" si="31"/>
        <v>17469.600000000002</v>
      </c>
      <c r="Y245">
        <v>12.551208705897235</v>
      </c>
    </row>
    <row r="246" spans="1:26" x14ac:dyDescent="0.25">
      <c r="A246">
        <v>6360</v>
      </c>
      <c r="B246">
        <v>24170</v>
      </c>
      <c r="C246" s="1">
        <v>43191</v>
      </c>
      <c r="F246" s="44"/>
      <c r="G246">
        <v>7.8</v>
      </c>
      <c r="H246">
        <v>6.1</v>
      </c>
      <c r="I246">
        <v>9.3000000000000007</v>
      </c>
      <c r="J246">
        <f t="shared" si="28"/>
        <v>1750.8999999999999</v>
      </c>
      <c r="K246">
        <f t="shared" si="29"/>
        <v>212.90000000000003</v>
      </c>
      <c r="M246">
        <v>0.6</v>
      </c>
      <c r="N246">
        <v>1.1000000000000001</v>
      </c>
      <c r="O246">
        <f t="shared" si="24"/>
        <v>-0.50000000000000011</v>
      </c>
      <c r="Q246">
        <v>215</v>
      </c>
      <c r="R246">
        <f t="shared" si="27"/>
        <v>1.1285714285714286</v>
      </c>
      <c r="S246">
        <f t="shared" si="25"/>
        <v>1.2414285714285715</v>
      </c>
      <c r="T246">
        <f t="shared" si="26"/>
        <v>-0.64142857142857157</v>
      </c>
      <c r="U246">
        <f t="shared" si="30"/>
        <v>178.65857142857143</v>
      </c>
      <c r="W246">
        <v>786.2</v>
      </c>
      <c r="X246">
        <f t="shared" si="31"/>
        <v>18255.800000000003</v>
      </c>
      <c r="Y246">
        <v>12.612192080719748</v>
      </c>
    </row>
    <row r="247" spans="1:26" x14ac:dyDescent="0.25">
      <c r="A247">
        <v>6360</v>
      </c>
      <c r="B247">
        <v>24170</v>
      </c>
      <c r="C247" s="1">
        <v>43192</v>
      </c>
      <c r="F247" s="44"/>
      <c r="G247">
        <v>10.7</v>
      </c>
      <c r="H247">
        <v>7</v>
      </c>
      <c r="I247">
        <v>13.2</v>
      </c>
      <c r="J247">
        <f t="shared" si="28"/>
        <v>1761.6</v>
      </c>
      <c r="K247">
        <f t="shared" si="29"/>
        <v>223.60000000000002</v>
      </c>
      <c r="M247">
        <v>2</v>
      </c>
      <c r="N247">
        <v>1.5</v>
      </c>
      <c r="O247">
        <f t="shared" si="24"/>
        <v>0.5</v>
      </c>
      <c r="Q247">
        <v>216</v>
      </c>
      <c r="R247">
        <f t="shared" si="27"/>
        <v>1.1328571428571428</v>
      </c>
      <c r="S247">
        <f t="shared" si="25"/>
        <v>1.6992857142857143</v>
      </c>
      <c r="T247">
        <f t="shared" si="26"/>
        <v>0.30071428571428571</v>
      </c>
      <c r="U247">
        <f t="shared" si="30"/>
        <v>178.95928571428573</v>
      </c>
      <c r="W247">
        <v>664.1</v>
      </c>
      <c r="X247">
        <f t="shared" si="31"/>
        <v>18919.900000000001</v>
      </c>
      <c r="Y247">
        <v>12.673091499738407</v>
      </c>
    </row>
    <row r="248" spans="1:26" x14ac:dyDescent="0.25">
      <c r="A248">
        <v>6360</v>
      </c>
      <c r="B248">
        <v>24170</v>
      </c>
      <c r="C248" s="1">
        <v>43193</v>
      </c>
      <c r="F248" s="44"/>
      <c r="G248">
        <v>10.9</v>
      </c>
      <c r="H248">
        <v>9.8000000000000007</v>
      </c>
      <c r="I248">
        <v>13.7</v>
      </c>
      <c r="J248">
        <f t="shared" si="28"/>
        <v>1772.5</v>
      </c>
      <c r="K248">
        <f t="shared" si="29"/>
        <v>234.50000000000003</v>
      </c>
      <c r="M248">
        <v>7.7</v>
      </c>
      <c r="N248">
        <v>1.8</v>
      </c>
      <c r="O248">
        <f t="shared" si="24"/>
        <v>5.9</v>
      </c>
      <c r="Q248">
        <v>217</v>
      </c>
      <c r="R248">
        <f t="shared" si="27"/>
        <v>1.137142857142857</v>
      </c>
      <c r="S248">
        <f t="shared" si="25"/>
        <v>2.0468571428571427</v>
      </c>
      <c r="T248">
        <f t="shared" si="26"/>
        <v>5.653142857142857</v>
      </c>
      <c r="U248">
        <f t="shared" si="30"/>
        <v>179.3</v>
      </c>
      <c r="W248">
        <v>795.7</v>
      </c>
      <c r="X248">
        <f t="shared" si="31"/>
        <v>19715.600000000002</v>
      </c>
      <c r="Y248">
        <v>12.733897965167566</v>
      </c>
    </row>
    <row r="249" spans="1:26" x14ac:dyDescent="0.25">
      <c r="A249">
        <v>6360</v>
      </c>
      <c r="B249">
        <v>24170</v>
      </c>
      <c r="C249" s="1">
        <v>43194</v>
      </c>
      <c r="F249" s="44"/>
      <c r="G249">
        <v>10.8</v>
      </c>
      <c r="H249">
        <v>8.5</v>
      </c>
      <c r="I249">
        <v>13.8</v>
      </c>
      <c r="J249">
        <f t="shared" si="28"/>
        <v>1783.3</v>
      </c>
      <c r="K249">
        <f t="shared" si="29"/>
        <v>245.30000000000004</v>
      </c>
      <c r="M249">
        <v>2.2999999999999998</v>
      </c>
      <c r="N249">
        <v>2.1</v>
      </c>
      <c r="O249">
        <f t="shared" si="24"/>
        <v>0.19999999999999973</v>
      </c>
      <c r="Q249">
        <v>218</v>
      </c>
      <c r="R249">
        <f t="shared" si="27"/>
        <v>1.1414285714285715</v>
      </c>
      <c r="S249">
        <f t="shared" si="25"/>
        <v>2.3970000000000002</v>
      </c>
      <c r="T249">
        <f t="shared" si="26"/>
        <v>-9.7000000000000419E-2</v>
      </c>
      <c r="U249">
        <f t="shared" si="30"/>
        <v>179.203</v>
      </c>
      <c r="W249">
        <v>1089.3</v>
      </c>
      <c r="X249">
        <f t="shared" si="31"/>
        <v>20804.900000000001</v>
      </c>
      <c r="Y249">
        <v>12.794602308155349</v>
      </c>
    </row>
    <row r="250" spans="1:26" x14ac:dyDescent="0.25">
      <c r="A250">
        <v>6360</v>
      </c>
      <c r="B250">
        <v>24170</v>
      </c>
      <c r="C250" s="1">
        <v>43195</v>
      </c>
      <c r="F250" s="44"/>
      <c r="G250">
        <v>8.4</v>
      </c>
      <c r="H250">
        <v>7.2</v>
      </c>
      <c r="I250">
        <v>9.6</v>
      </c>
      <c r="J250">
        <f t="shared" si="28"/>
        <v>1791.7</v>
      </c>
      <c r="K250">
        <f t="shared" si="29"/>
        <v>253.70000000000005</v>
      </c>
      <c r="M250">
        <v>0</v>
      </c>
      <c r="N250">
        <v>1.3</v>
      </c>
      <c r="O250">
        <f t="shared" si="24"/>
        <v>-1.3</v>
      </c>
      <c r="Q250">
        <v>219</v>
      </c>
      <c r="R250">
        <f t="shared" si="27"/>
        <v>1.1457142857142857</v>
      </c>
      <c r="S250">
        <f t="shared" si="25"/>
        <v>1.4894285714285715</v>
      </c>
      <c r="T250">
        <f t="shared" si="26"/>
        <v>-1.4894285714285715</v>
      </c>
      <c r="U250">
        <f t="shared" si="30"/>
        <v>177.71357142857144</v>
      </c>
      <c r="W250">
        <v>591.4</v>
      </c>
      <c r="X250">
        <f t="shared" si="31"/>
        <v>21396.300000000003</v>
      </c>
      <c r="Y250">
        <v>12.855195173708468</v>
      </c>
    </row>
    <row r="251" spans="1:26" s="6" customFormat="1" ht="15.75" thickBot="1" x14ac:dyDescent="0.3">
      <c r="A251" s="6">
        <v>6360</v>
      </c>
      <c r="B251" s="6">
        <v>24170</v>
      </c>
      <c r="C251" s="7">
        <v>43196</v>
      </c>
      <c r="F251" s="45"/>
      <c r="G251" s="6">
        <v>12.1</v>
      </c>
      <c r="H251" s="6">
        <v>5.8</v>
      </c>
      <c r="I251" s="6">
        <v>17.100000000000001</v>
      </c>
      <c r="J251" s="6">
        <f t="shared" si="28"/>
        <v>1803.8</v>
      </c>
      <c r="K251" s="6">
        <f t="shared" si="29"/>
        <v>265.80000000000007</v>
      </c>
      <c r="M251" s="6">
        <v>0</v>
      </c>
      <c r="N251" s="6">
        <v>3.2</v>
      </c>
      <c r="O251" s="6">
        <f t="shared" si="24"/>
        <v>-3.2</v>
      </c>
      <c r="Q251" s="6">
        <v>220</v>
      </c>
      <c r="R251" s="6">
        <f t="shared" si="27"/>
        <v>1.1499999999999999</v>
      </c>
      <c r="S251" s="6">
        <f t="shared" si="25"/>
        <v>3.6799999999999997</v>
      </c>
      <c r="T251" s="6">
        <f t="shared" si="26"/>
        <v>-3.6799999999999997</v>
      </c>
      <c r="U251" s="6">
        <f t="shared" si="30"/>
        <v>174.03357142857143</v>
      </c>
      <c r="W251" s="6">
        <v>1968.6</v>
      </c>
      <c r="X251" s="6">
        <f t="shared" si="31"/>
        <v>23364.9</v>
      </c>
      <c r="Y251" s="6">
        <v>12.91566700575671</v>
      </c>
    </row>
    <row r="252" spans="1:26" x14ac:dyDescent="0.25">
      <c r="A252">
        <v>6360</v>
      </c>
      <c r="B252">
        <v>24170</v>
      </c>
      <c r="C252" s="1">
        <v>43197</v>
      </c>
      <c r="D252" t="s">
        <v>34</v>
      </c>
      <c r="F252" s="40" t="s">
        <v>57</v>
      </c>
      <c r="G252">
        <v>15.5</v>
      </c>
      <c r="H252">
        <v>11.1</v>
      </c>
      <c r="I252">
        <v>19.100000000000001</v>
      </c>
      <c r="J252">
        <f t="shared" si="28"/>
        <v>1819.3</v>
      </c>
      <c r="K252">
        <f>G252</f>
        <v>15.5</v>
      </c>
      <c r="L252" s="21" t="s">
        <v>38</v>
      </c>
      <c r="M252">
        <v>1.2</v>
      </c>
      <c r="N252">
        <v>2.6</v>
      </c>
      <c r="O252">
        <f t="shared" si="24"/>
        <v>-1.4000000000000001</v>
      </c>
      <c r="Q252">
        <v>221</v>
      </c>
      <c r="R252">
        <v>1.1499999999999999</v>
      </c>
      <c r="S252">
        <f t="shared" si="25"/>
        <v>2.9899999999999998</v>
      </c>
      <c r="T252">
        <f t="shared" si="26"/>
        <v>-1.7899999999999998</v>
      </c>
      <c r="U252">
        <f t="shared" si="30"/>
        <v>172.24357142857144</v>
      </c>
      <c r="V252" s="23" t="s">
        <v>45</v>
      </c>
      <c r="W252">
        <v>1499.5</v>
      </c>
      <c r="X252">
        <f>W252</f>
        <v>1499.5</v>
      </c>
      <c r="Y252">
        <v>12.976008032375049</v>
      </c>
      <c r="Z252" s="23" t="s">
        <v>50</v>
      </c>
    </row>
    <row r="253" spans="1:26" x14ac:dyDescent="0.25">
      <c r="A253">
        <v>6360</v>
      </c>
      <c r="B253">
        <v>24170</v>
      </c>
      <c r="C253" s="1">
        <v>43198</v>
      </c>
      <c r="F253" s="41"/>
      <c r="G253">
        <v>15.3</v>
      </c>
      <c r="H253">
        <v>10.5</v>
      </c>
      <c r="I253">
        <v>20.6</v>
      </c>
      <c r="J253">
        <f t="shared" si="28"/>
        <v>1834.6</v>
      </c>
      <c r="K253">
        <f t="shared" si="29"/>
        <v>30.8</v>
      </c>
      <c r="L253" s="12">
        <v>305.2</v>
      </c>
      <c r="M253">
        <v>0</v>
      </c>
      <c r="N253">
        <v>2.1</v>
      </c>
      <c r="O253">
        <f t="shared" si="24"/>
        <v>-2.1</v>
      </c>
      <c r="Q253">
        <v>222</v>
      </c>
      <c r="R253">
        <v>1.1499999999999999</v>
      </c>
      <c r="S253">
        <f t="shared" si="25"/>
        <v>2.415</v>
      </c>
      <c r="T253">
        <f t="shared" si="26"/>
        <v>-2.415</v>
      </c>
      <c r="U253">
        <f t="shared" si="30"/>
        <v>169.82857142857145</v>
      </c>
      <c r="V253">
        <v>0</v>
      </c>
      <c r="W253">
        <v>754.7</v>
      </c>
      <c r="X253">
        <f t="shared" si="31"/>
        <v>2254.1999999999998</v>
      </c>
      <c r="Y253">
        <v>13.036208251183025</v>
      </c>
      <c r="Z253">
        <v>31909.9</v>
      </c>
    </row>
    <row r="254" spans="1:26" x14ac:dyDescent="0.25">
      <c r="A254">
        <v>6360</v>
      </c>
      <c r="B254">
        <v>24170</v>
      </c>
      <c r="C254" s="1">
        <v>43199</v>
      </c>
      <c r="F254" s="41"/>
      <c r="G254">
        <v>11.9</v>
      </c>
      <c r="H254">
        <v>11.1</v>
      </c>
      <c r="I254">
        <v>13.3</v>
      </c>
      <c r="J254">
        <f t="shared" si="28"/>
        <v>1846.5</v>
      </c>
      <c r="K254">
        <f t="shared" si="29"/>
        <v>42.7</v>
      </c>
      <c r="L254" s="21" t="s">
        <v>39</v>
      </c>
      <c r="M254">
        <v>12.3</v>
      </c>
      <c r="N254">
        <v>1</v>
      </c>
      <c r="O254">
        <f t="shared" si="24"/>
        <v>11.3</v>
      </c>
      <c r="Q254">
        <v>223</v>
      </c>
      <c r="R254">
        <v>1.1499999999999999</v>
      </c>
      <c r="S254">
        <f t="shared" si="25"/>
        <v>1.1499999999999999</v>
      </c>
      <c r="T254">
        <f t="shared" si="26"/>
        <v>11.15</v>
      </c>
      <c r="U254">
        <f t="shared" si="30"/>
        <v>179.3</v>
      </c>
      <c r="V254" s="23" t="s">
        <v>46</v>
      </c>
      <c r="W254">
        <v>479.9</v>
      </c>
      <c r="X254">
        <f t="shared" si="31"/>
        <v>2734.1</v>
      </c>
      <c r="Y254">
        <v>13.096257414942601</v>
      </c>
      <c r="Z254" s="23" t="s">
        <v>51</v>
      </c>
    </row>
    <row r="255" spans="1:26" x14ac:dyDescent="0.25">
      <c r="A255">
        <v>6360</v>
      </c>
      <c r="B255">
        <v>24170</v>
      </c>
      <c r="C255" s="1">
        <v>43200</v>
      </c>
      <c r="F255" s="41"/>
      <c r="G255">
        <v>11.9</v>
      </c>
      <c r="H255">
        <v>9.9</v>
      </c>
      <c r="I255">
        <v>14.7</v>
      </c>
      <c r="J255">
        <f t="shared" si="28"/>
        <v>1858.4</v>
      </c>
      <c r="K255">
        <f t="shared" si="29"/>
        <v>54.6</v>
      </c>
      <c r="L255" s="13">
        <f>AVERAGE(G252:G272)</f>
        <v>14.533333333333333</v>
      </c>
      <c r="M255">
        <v>0</v>
      </c>
      <c r="N255">
        <v>2.5</v>
      </c>
      <c r="O255">
        <f t="shared" si="24"/>
        <v>-2.5</v>
      </c>
      <c r="Q255">
        <v>224</v>
      </c>
      <c r="R255">
        <v>1.1499999999999999</v>
      </c>
      <c r="S255">
        <f t="shared" si="25"/>
        <v>2.875</v>
      </c>
      <c r="T255">
        <f t="shared" si="26"/>
        <v>-2.875</v>
      </c>
      <c r="U255">
        <f t="shared" si="30"/>
        <v>176.42500000000001</v>
      </c>
      <c r="V255">
        <v>0</v>
      </c>
      <c r="W255">
        <v>1283.2</v>
      </c>
      <c r="X255">
        <f t="shared" si="31"/>
        <v>4017.3</v>
      </c>
      <c r="Y255">
        <v>13.15614501737749</v>
      </c>
      <c r="Z255" s="2">
        <f>(Z253/100)/L253</f>
        <v>1.045540629095675</v>
      </c>
    </row>
    <row r="256" spans="1:26" x14ac:dyDescent="0.25">
      <c r="A256">
        <v>6360</v>
      </c>
      <c r="B256">
        <v>24170</v>
      </c>
      <c r="C256" s="1">
        <v>43201</v>
      </c>
      <c r="F256" s="41"/>
      <c r="G256">
        <v>12.8</v>
      </c>
      <c r="H256">
        <v>8.5</v>
      </c>
      <c r="I256">
        <v>16.8</v>
      </c>
      <c r="J256">
        <f t="shared" si="28"/>
        <v>1871.2</v>
      </c>
      <c r="K256">
        <f t="shared" si="29"/>
        <v>67.400000000000006</v>
      </c>
      <c r="L256" s="21" t="s">
        <v>40</v>
      </c>
      <c r="M256">
        <v>0</v>
      </c>
      <c r="N256">
        <v>2.6</v>
      </c>
      <c r="O256">
        <f t="shared" si="24"/>
        <v>-2.6</v>
      </c>
      <c r="Q256">
        <v>225</v>
      </c>
      <c r="R256">
        <v>1.1499999999999999</v>
      </c>
      <c r="S256">
        <f t="shared" si="25"/>
        <v>2.9899999999999998</v>
      </c>
      <c r="T256">
        <f t="shared" si="26"/>
        <v>-2.9899999999999998</v>
      </c>
      <c r="U256">
        <f t="shared" si="30"/>
        <v>173.435</v>
      </c>
      <c r="V256" s="23" t="s">
        <v>47</v>
      </c>
      <c r="W256">
        <v>1674.4</v>
      </c>
      <c r="X256">
        <f t="shared" si="31"/>
        <v>5691.7000000000007</v>
      </c>
      <c r="Y256">
        <v>13.215860279238841</v>
      </c>
      <c r="Z256" s="23" t="s">
        <v>52</v>
      </c>
    </row>
    <row r="257" spans="1:26" x14ac:dyDescent="0.25">
      <c r="A257">
        <v>6360</v>
      </c>
      <c r="B257">
        <v>24170</v>
      </c>
      <c r="C257" s="1">
        <v>43202</v>
      </c>
      <c r="F257" s="41"/>
      <c r="G257">
        <v>10.5</v>
      </c>
      <c r="H257">
        <v>8.5</v>
      </c>
      <c r="I257">
        <v>13.1</v>
      </c>
      <c r="J257">
        <f t="shared" si="28"/>
        <v>1881.7</v>
      </c>
      <c r="K257">
        <f t="shared" si="29"/>
        <v>77.900000000000006</v>
      </c>
      <c r="L257" s="14">
        <f>MIN(H252:H272)</f>
        <v>6.9</v>
      </c>
      <c r="M257">
        <v>3.3</v>
      </c>
      <c r="N257">
        <v>1.1000000000000001</v>
      </c>
      <c r="O257">
        <f t="shared" si="24"/>
        <v>2.1999999999999997</v>
      </c>
      <c r="Q257">
        <v>226</v>
      </c>
      <c r="R257">
        <v>1.1499999999999999</v>
      </c>
      <c r="S257">
        <f t="shared" si="25"/>
        <v>1.2649999999999999</v>
      </c>
      <c r="T257">
        <f t="shared" si="26"/>
        <v>2.0350000000000001</v>
      </c>
      <c r="U257">
        <f t="shared" si="30"/>
        <v>175.47</v>
      </c>
      <c r="V257" s="2">
        <f>MIN(U252:U272)</f>
        <v>120.17500000000003</v>
      </c>
      <c r="W257">
        <v>690</v>
      </c>
      <c r="X257">
        <f t="shared" si="31"/>
        <v>6381.7000000000007</v>
      </c>
      <c r="Y257">
        <v>13.275392134644177</v>
      </c>
      <c r="Z257">
        <v>3</v>
      </c>
    </row>
    <row r="258" spans="1:26" x14ac:dyDescent="0.25">
      <c r="A258">
        <v>6360</v>
      </c>
      <c r="B258">
        <v>24170</v>
      </c>
      <c r="C258" s="1">
        <v>43203</v>
      </c>
      <c r="F258" s="41"/>
      <c r="G258">
        <v>12.1</v>
      </c>
      <c r="H258">
        <v>8.1999999999999993</v>
      </c>
      <c r="I258">
        <v>16</v>
      </c>
      <c r="J258">
        <f t="shared" si="28"/>
        <v>1893.8</v>
      </c>
      <c r="K258">
        <f t="shared" si="29"/>
        <v>90</v>
      </c>
      <c r="L258" s="21" t="s">
        <v>41</v>
      </c>
      <c r="M258">
        <v>0</v>
      </c>
      <c r="N258">
        <v>2.1</v>
      </c>
      <c r="O258">
        <f t="shared" si="24"/>
        <v>-2.1</v>
      </c>
      <c r="Q258">
        <v>227</v>
      </c>
      <c r="R258">
        <v>1.1499999999999999</v>
      </c>
      <c r="S258">
        <f t="shared" si="25"/>
        <v>2.415</v>
      </c>
      <c r="T258">
        <f t="shared" si="26"/>
        <v>-2.415</v>
      </c>
      <c r="U258">
        <f t="shared" si="30"/>
        <v>173.05500000000001</v>
      </c>
      <c r="V258" s="23" t="s">
        <v>48</v>
      </c>
      <c r="W258">
        <v>1244.4000000000001</v>
      </c>
      <c r="X258">
        <f t="shared" si="31"/>
        <v>7626.1</v>
      </c>
      <c r="Y258">
        <v>13.334729217718492</v>
      </c>
    </row>
    <row r="259" spans="1:26" x14ac:dyDescent="0.25">
      <c r="A259">
        <v>6360</v>
      </c>
      <c r="B259">
        <v>24170</v>
      </c>
      <c r="C259" s="1">
        <v>43204</v>
      </c>
      <c r="F259" s="41"/>
      <c r="G259">
        <v>11.9</v>
      </c>
      <c r="H259">
        <v>8</v>
      </c>
      <c r="I259">
        <v>15.3</v>
      </c>
      <c r="J259">
        <f t="shared" si="28"/>
        <v>1905.7</v>
      </c>
      <c r="K259">
        <f t="shared" si="29"/>
        <v>101.9</v>
      </c>
      <c r="L259" s="12">
        <f>MAX(I252:I272)</f>
        <v>27.2</v>
      </c>
      <c r="M259">
        <v>0.1</v>
      </c>
      <c r="N259">
        <v>2</v>
      </c>
      <c r="O259">
        <f t="shared" si="24"/>
        <v>-1.9</v>
      </c>
      <c r="Q259">
        <v>228</v>
      </c>
      <c r="R259">
        <v>1.1499999999999999</v>
      </c>
      <c r="S259">
        <f t="shared" si="25"/>
        <v>2.2999999999999998</v>
      </c>
      <c r="T259">
        <f t="shared" si="26"/>
        <v>-2.1999999999999997</v>
      </c>
      <c r="U259">
        <f t="shared" si="30"/>
        <v>170.85500000000002</v>
      </c>
      <c r="V259" s="2">
        <f>MAX(U252:U272)</f>
        <v>179.3</v>
      </c>
      <c r="W259">
        <v>1328.4</v>
      </c>
      <c r="X259">
        <f t="shared" si="31"/>
        <v>8954.5</v>
      </c>
      <c r="Y259">
        <v>13.393859849568747</v>
      </c>
    </row>
    <row r="260" spans="1:26" x14ac:dyDescent="0.25">
      <c r="A260">
        <v>6360</v>
      </c>
      <c r="B260">
        <v>24170</v>
      </c>
      <c r="C260" s="1">
        <v>43205</v>
      </c>
      <c r="F260" s="41"/>
      <c r="G260">
        <v>12.8</v>
      </c>
      <c r="H260">
        <v>8.6999999999999993</v>
      </c>
      <c r="I260">
        <v>16.600000000000001</v>
      </c>
      <c r="J260">
        <f t="shared" si="28"/>
        <v>1918.5</v>
      </c>
      <c r="K260">
        <f t="shared" si="29"/>
        <v>114.7</v>
      </c>
      <c r="L260" s="21" t="s">
        <v>42</v>
      </c>
      <c r="M260">
        <v>0</v>
      </c>
      <c r="N260">
        <v>2.1</v>
      </c>
      <c r="O260">
        <f t="shared" si="24"/>
        <v>-2.1</v>
      </c>
      <c r="Q260">
        <v>229</v>
      </c>
      <c r="R260">
        <v>1.1499999999999999</v>
      </c>
      <c r="S260">
        <f t="shared" si="25"/>
        <v>2.415</v>
      </c>
      <c r="T260">
        <f t="shared" si="26"/>
        <v>-2.415</v>
      </c>
      <c r="U260">
        <f t="shared" si="30"/>
        <v>168.44000000000003</v>
      </c>
      <c r="V260" s="23" t="s">
        <v>49</v>
      </c>
      <c r="W260">
        <v>1423.7</v>
      </c>
      <c r="X260">
        <f t="shared" si="31"/>
        <v>10378.200000000001</v>
      </c>
      <c r="Y260">
        <v>13.452772025625167</v>
      </c>
    </row>
    <row r="261" spans="1:26" x14ac:dyDescent="0.25">
      <c r="A261">
        <v>6360</v>
      </c>
      <c r="B261">
        <v>24170</v>
      </c>
      <c r="C261" s="1">
        <v>43206</v>
      </c>
      <c r="F261" s="41"/>
      <c r="G261">
        <v>11.4</v>
      </c>
      <c r="H261">
        <v>7.8</v>
      </c>
      <c r="I261">
        <v>15.1</v>
      </c>
      <c r="J261">
        <f t="shared" si="28"/>
        <v>1929.9</v>
      </c>
      <c r="K261">
        <f t="shared" si="29"/>
        <v>126.10000000000001</v>
      </c>
      <c r="L261" s="12">
        <v>3</v>
      </c>
      <c r="M261">
        <v>0</v>
      </c>
      <c r="N261">
        <v>3</v>
      </c>
      <c r="O261">
        <f t="shared" ref="O261:O324" si="32">M261-N261</f>
        <v>-3</v>
      </c>
      <c r="Q261">
        <v>230</v>
      </c>
      <c r="R261">
        <v>1.1499999999999999</v>
      </c>
      <c r="S261">
        <f t="shared" ref="S261:S324" si="33">R261*N261</f>
        <v>3.4499999999999997</v>
      </c>
      <c r="T261">
        <f t="shared" ref="T261:T324" si="34">M261-S261</f>
        <v>-3.4499999999999997</v>
      </c>
      <c r="U261">
        <f t="shared" si="30"/>
        <v>164.99000000000004</v>
      </c>
      <c r="V261" s="2">
        <f>AVERAGE(U252:U272)</f>
        <v>154.64343537414967</v>
      </c>
      <c r="W261">
        <v>1916.1</v>
      </c>
      <c r="X261">
        <f t="shared" si="31"/>
        <v>12294.300000000001</v>
      </c>
      <c r="Y261">
        <v>13.511453403385195</v>
      </c>
    </row>
    <row r="262" spans="1:26" x14ac:dyDescent="0.25">
      <c r="A262">
        <v>6360</v>
      </c>
      <c r="B262">
        <v>24170</v>
      </c>
      <c r="C262" s="1">
        <v>43207</v>
      </c>
      <c r="F262" s="41"/>
      <c r="G262">
        <v>13.9</v>
      </c>
      <c r="H262">
        <v>6.9</v>
      </c>
      <c r="I262">
        <v>20</v>
      </c>
      <c r="J262">
        <f t="shared" si="28"/>
        <v>1943.8000000000002</v>
      </c>
      <c r="K262">
        <f t="shared" si="29"/>
        <v>140</v>
      </c>
      <c r="L262" s="21" t="s">
        <v>43</v>
      </c>
      <c r="M262">
        <v>0</v>
      </c>
      <c r="N262">
        <v>3.6</v>
      </c>
      <c r="O262">
        <f t="shared" si="32"/>
        <v>-3.6</v>
      </c>
      <c r="Q262">
        <v>231</v>
      </c>
      <c r="R262">
        <v>1.1499999999999999</v>
      </c>
      <c r="S262">
        <f t="shared" si="33"/>
        <v>4.1399999999999997</v>
      </c>
      <c r="T262">
        <f t="shared" si="34"/>
        <v>-4.1399999999999997</v>
      </c>
      <c r="U262">
        <f t="shared" si="30"/>
        <v>160.85000000000005</v>
      </c>
      <c r="W262">
        <v>1871</v>
      </c>
      <c r="X262">
        <f t="shared" si="31"/>
        <v>14165.300000000001</v>
      </c>
      <c r="Y262">
        <v>13.569891290598401</v>
      </c>
    </row>
    <row r="263" spans="1:26" x14ac:dyDescent="0.25">
      <c r="A263">
        <v>6360</v>
      </c>
      <c r="B263">
        <v>24170</v>
      </c>
      <c r="C263" s="1">
        <v>43208</v>
      </c>
      <c r="F263" s="41"/>
      <c r="G263">
        <v>17.600000000000001</v>
      </c>
      <c r="H263">
        <v>10.199999999999999</v>
      </c>
      <c r="I263">
        <v>24</v>
      </c>
      <c r="J263">
        <f t="shared" si="28"/>
        <v>1961.4</v>
      </c>
      <c r="K263">
        <f t="shared" si="29"/>
        <v>157.6</v>
      </c>
      <c r="L263" s="12">
        <v>0</v>
      </c>
      <c r="M263">
        <v>0</v>
      </c>
      <c r="N263">
        <v>4.4000000000000004</v>
      </c>
      <c r="O263">
        <f t="shared" si="32"/>
        <v>-4.4000000000000004</v>
      </c>
      <c r="Q263">
        <v>232</v>
      </c>
      <c r="R263">
        <v>1.1499999999999999</v>
      </c>
      <c r="S263">
        <f t="shared" si="33"/>
        <v>5.0599999999999996</v>
      </c>
      <c r="T263">
        <f t="shared" si="34"/>
        <v>-5.0599999999999996</v>
      </c>
      <c r="U263">
        <f t="shared" si="30"/>
        <v>155.79000000000005</v>
      </c>
      <c r="V263" s="16">
        <f>(V261*100)/179.3</f>
        <v>86.248430214249666</v>
      </c>
      <c r="W263">
        <v>1988.3</v>
      </c>
      <c r="X263">
        <f t="shared" si="31"/>
        <v>16153.6</v>
      </c>
      <c r="Y263">
        <v>13.628072633933227</v>
      </c>
    </row>
    <row r="264" spans="1:26" x14ac:dyDescent="0.25">
      <c r="A264">
        <v>6360</v>
      </c>
      <c r="B264">
        <v>24170</v>
      </c>
      <c r="C264" s="1">
        <v>43209</v>
      </c>
      <c r="F264" s="41"/>
      <c r="G264">
        <v>19.7</v>
      </c>
      <c r="H264">
        <v>13.4</v>
      </c>
      <c r="I264">
        <v>25.3</v>
      </c>
      <c r="J264">
        <f t="shared" si="28"/>
        <v>1981.1000000000001</v>
      </c>
      <c r="K264">
        <f t="shared" si="29"/>
        <v>177.29999999999998</v>
      </c>
      <c r="L264" s="21" t="s">
        <v>44</v>
      </c>
      <c r="M264">
        <v>0</v>
      </c>
      <c r="N264">
        <v>4.5</v>
      </c>
      <c r="O264">
        <f t="shared" si="32"/>
        <v>-4.5</v>
      </c>
      <c r="Q264">
        <v>233</v>
      </c>
      <c r="R264">
        <v>1.1499999999999999</v>
      </c>
      <c r="S264">
        <f t="shared" si="33"/>
        <v>5.1749999999999998</v>
      </c>
      <c r="T264">
        <f t="shared" si="34"/>
        <v>-5.1749999999999998</v>
      </c>
      <c r="U264">
        <f t="shared" si="30"/>
        <v>150.61500000000004</v>
      </c>
      <c r="W264">
        <v>2067</v>
      </c>
      <c r="X264">
        <f t="shared" si="31"/>
        <v>18220.599999999999</v>
      </c>
      <c r="Y264">
        <v>13.685984008168965</v>
      </c>
    </row>
    <row r="265" spans="1:26" x14ac:dyDescent="0.25">
      <c r="A265">
        <v>6360</v>
      </c>
      <c r="B265">
        <v>24170</v>
      </c>
      <c r="C265" s="1">
        <v>43210</v>
      </c>
      <c r="F265" s="41"/>
      <c r="G265">
        <v>20.7</v>
      </c>
      <c r="H265">
        <v>14.7</v>
      </c>
      <c r="I265">
        <v>27.2</v>
      </c>
      <c r="J265">
        <f t="shared" si="28"/>
        <v>2001.8000000000002</v>
      </c>
      <c r="K265">
        <f t="shared" si="29"/>
        <v>197.99999999999997</v>
      </c>
      <c r="L265" s="22">
        <v>0</v>
      </c>
      <c r="M265">
        <v>0</v>
      </c>
      <c r="N265">
        <v>4.8</v>
      </c>
      <c r="O265">
        <f t="shared" si="32"/>
        <v>-4.8</v>
      </c>
      <c r="Q265">
        <v>234</v>
      </c>
      <c r="R265">
        <v>1.1499999999999999</v>
      </c>
      <c r="S265">
        <f t="shared" si="33"/>
        <v>5.52</v>
      </c>
      <c r="T265">
        <f t="shared" si="34"/>
        <v>-5.52</v>
      </c>
      <c r="U265">
        <f t="shared" si="30"/>
        <v>145.09500000000003</v>
      </c>
      <c r="W265">
        <v>2079.8000000000002</v>
      </c>
      <c r="X265">
        <f t="shared" si="31"/>
        <v>20300.399999999998</v>
      </c>
      <c r="Y265">
        <v>13.743611605959073</v>
      </c>
    </row>
    <row r="266" spans="1:26" x14ac:dyDescent="0.25">
      <c r="A266">
        <v>6360</v>
      </c>
      <c r="B266">
        <v>24170</v>
      </c>
      <c r="C266" s="1">
        <v>43211</v>
      </c>
      <c r="F266" s="41"/>
      <c r="G266">
        <v>19.899999999999999</v>
      </c>
      <c r="H266">
        <v>14</v>
      </c>
      <c r="I266">
        <v>25.8</v>
      </c>
      <c r="J266">
        <f t="shared" si="28"/>
        <v>2021.7000000000003</v>
      </c>
      <c r="K266">
        <f t="shared" si="29"/>
        <v>217.89999999999998</v>
      </c>
      <c r="M266">
        <v>0</v>
      </c>
      <c r="N266">
        <v>4.5</v>
      </c>
      <c r="O266">
        <f t="shared" si="32"/>
        <v>-4.5</v>
      </c>
      <c r="Q266">
        <v>235</v>
      </c>
      <c r="R266">
        <v>1.1499999999999999</v>
      </c>
      <c r="S266">
        <f t="shared" si="33"/>
        <v>5.1749999999999998</v>
      </c>
      <c r="T266">
        <f t="shared" si="34"/>
        <v>-5.1749999999999998</v>
      </c>
      <c r="U266">
        <f t="shared" si="30"/>
        <v>139.92000000000002</v>
      </c>
      <c r="W266">
        <v>2027</v>
      </c>
      <c r="X266">
        <f t="shared" si="31"/>
        <v>22327.399999999998</v>
      </c>
      <c r="Y266">
        <v>13.80094122821467</v>
      </c>
    </row>
    <row r="267" spans="1:26" x14ac:dyDescent="0.25">
      <c r="A267">
        <v>6360</v>
      </c>
      <c r="B267">
        <v>24170</v>
      </c>
      <c r="C267" s="1">
        <v>43212</v>
      </c>
      <c r="F267" s="41"/>
      <c r="G267">
        <v>20.2</v>
      </c>
      <c r="H267">
        <v>15.4</v>
      </c>
      <c r="I267">
        <v>24.7</v>
      </c>
      <c r="J267">
        <f t="shared" si="28"/>
        <v>2041.9000000000003</v>
      </c>
      <c r="K267">
        <f t="shared" si="29"/>
        <v>238.09999999999997</v>
      </c>
      <c r="M267">
        <v>0</v>
      </c>
      <c r="N267">
        <v>3.7</v>
      </c>
      <c r="O267">
        <f t="shared" si="32"/>
        <v>-3.7</v>
      </c>
      <c r="Q267">
        <v>236</v>
      </c>
      <c r="R267">
        <v>1.1499999999999999</v>
      </c>
      <c r="S267">
        <f t="shared" si="33"/>
        <v>4.2549999999999999</v>
      </c>
      <c r="T267">
        <f t="shared" si="34"/>
        <v>-4.2549999999999999</v>
      </c>
      <c r="U267">
        <f t="shared" si="30"/>
        <v>135.66500000000002</v>
      </c>
      <c r="W267">
        <v>1595.6</v>
      </c>
      <c r="X267">
        <f t="shared" si="31"/>
        <v>23922.999999999996</v>
      </c>
      <c r="Y267">
        <v>13.857958275159609</v>
      </c>
    </row>
    <row r="268" spans="1:26" x14ac:dyDescent="0.25">
      <c r="A268">
        <v>6360</v>
      </c>
      <c r="B268">
        <v>24170</v>
      </c>
      <c r="C268" s="1">
        <v>43213</v>
      </c>
      <c r="F268" s="41"/>
      <c r="G268">
        <v>15</v>
      </c>
      <c r="H268">
        <v>12.7</v>
      </c>
      <c r="I268">
        <v>17.8</v>
      </c>
      <c r="J268">
        <f t="shared" si="28"/>
        <v>2056.9000000000005</v>
      </c>
      <c r="K268">
        <f t="shared" si="29"/>
        <v>253.09999999999997</v>
      </c>
      <c r="M268">
        <v>0</v>
      </c>
      <c r="N268">
        <v>2.2000000000000002</v>
      </c>
      <c r="O268">
        <f t="shared" si="32"/>
        <v>-2.2000000000000002</v>
      </c>
      <c r="Q268">
        <v>237</v>
      </c>
      <c r="R268">
        <v>1.1499999999999999</v>
      </c>
      <c r="S268">
        <f t="shared" si="33"/>
        <v>2.5299999999999998</v>
      </c>
      <c r="T268">
        <f t="shared" si="34"/>
        <v>-2.5299999999999998</v>
      </c>
      <c r="U268">
        <f t="shared" si="30"/>
        <v>133.13500000000002</v>
      </c>
      <c r="W268">
        <v>1003.6</v>
      </c>
      <c r="X268">
        <f t="shared" si="31"/>
        <v>24926.599999999995</v>
      </c>
      <c r="Y268">
        <v>13.914647738111414</v>
      </c>
    </row>
    <row r="269" spans="1:26" x14ac:dyDescent="0.25">
      <c r="A269">
        <v>6360</v>
      </c>
      <c r="B269">
        <v>24170</v>
      </c>
      <c r="C269" s="1">
        <v>43214</v>
      </c>
      <c r="F269" s="41"/>
      <c r="G269">
        <v>14.5</v>
      </c>
      <c r="H269">
        <v>8.9</v>
      </c>
      <c r="I269">
        <v>19.2</v>
      </c>
      <c r="J269">
        <f t="shared" si="28"/>
        <v>2071.4000000000005</v>
      </c>
      <c r="K269">
        <f t="shared" si="29"/>
        <v>267.59999999999997</v>
      </c>
      <c r="M269">
        <v>0</v>
      </c>
      <c r="N269">
        <v>3.1</v>
      </c>
      <c r="O269">
        <f t="shared" si="32"/>
        <v>-3.1</v>
      </c>
      <c r="Q269">
        <v>238</v>
      </c>
      <c r="R269">
        <v>1.1499999999999999</v>
      </c>
      <c r="S269">
        <f t="shared" si="33"/>
        <v>3.5649999999999999</v>
      </c>
      <c r="T269">
        <f t="shared" si="34"/>
        <v>-3.5649999999999999</v>
      </c>
      <c r="U269">
        <f t="shared" si="30"/>
        <v>129.57000000000002</v>
      </c>
      <c r="W269">
        <v>1762.4</v>
      </c>
      <c r="X269">
        <f t="shared" si="31"/>
        <v>26688.999999999996</v>
      </c>
      <c r="Y269">
        <v>13.970994192044932</v>
      </c>
    </row>
    <row r="270" spans="1:26" x14ac:dyDescent="0.25">
      <c r="A270">
        <v>6360</v>
      </c>
      <c r="B270">
        <v>24170</v>
      </c>
      <c r="C270" s="1">
        <v>43215</v>
      </c>
      <c r="F270" s="41"/>
      <c r="G270">
        <v>13.3</v>
      </c>
      <c r="H270">
        <v>12.4</v>
      </c>
      <c r="I270">
        <v>14.7</v>
      </c>
      <c r="J270">
        <f t="shared" si="28"/>
        <v>2084.7000000000007</v>
      </c>
      <c r="K270">
        <f t="shared" si="29"/>
        <v>280.89999999999998</v>
      </c>
      <c r="M270">
        <v>1.3</v>
      </c>
      <c r="N270">
        <v>2.5</v>
      </c>
      <c r="O270">
        <f t="shared" si="32"/>
        <v>-1.2</v>
      </c>
      <c r="Q270">
        <v>239</v>
      </c>
      <c r="R270">
        <v>1.1499999999999999</v>
      </c>
      <c r="S270">
        <f t="shared" si="33"/>
        <v>2.875</v>
      </c>
      <c r="T270">
        <f t="shared" si="34"/>
        <v>-1.575</v>
      </c>
      <c r="U270">
        <f t="shared" si="30"/>
        <v>127.99500000000002</v>
      </c>
      <c r="W270">
        <v>1338.9</v>
      </c>
      <c r="X270">
        <f t="shared" si="31"/>
        <v>28027.899999999998</v>
      </c>
      <c r="Y270">
        <v>14.026981788998217</v>
      </c>
    </row>
    <row r="271" spans="1:26" x14ac:dyDescent="0.25">
      <c r="A271">
        <v>6360</v>
      </c>
      <c r="B271">
        <v>24170</v>
      </c>
      <c r="C271" s="1">
        <v>43216</v>
      </c>
      <c r="F271" s="41"/>
      <c r="G271">
        <v>11</v>
      </c>
      <c r="H271">
        <v>8.1999999999999993</v>
      </c>
      <c r="I271">
        <v>13.7</v>
      </c>
      <c r="J271">
        <f t="shared" si="28"/>
        <v>2095.7000000000007</v>
      </c>
      <c r="K271">
        <f t="shared" si="29"/>
        <v>291.89999999999998</v>
      </c>
      <c r="M271">
        <v>0</v>
      </c>
      <c r="N271">
        <v>2.9</v>
      </c>
      <c r="O271">
        <f t="shared" si="32"/>
        <v>-2.9</v>
      </c>
      <c r="Q271">
        <v>240</v>
      </c>
      <c r="R271">
        <v>1.1499999999999999</v>
      </c>
      <c r="S271">
        <f t="shared" si="33"/>
        <v>3.3349999999999995</v>
      </c>
      <c r="T271">
        <f t="shared" si="34"/>
        <v>-3.3349999999999995</v>
      </c>
      <c r="U271">
        <f t="shared" si="30"/>
        <v>124.66000000000003</v>
      </c>
      <c r="W271">
        <v>1865.5</v>
      </c>
      <c r="X271">
        <f t="shared" si="31"/>
        <v>29893.399999999998</v>
      </c>
      <c r="Y271">
        <v>14.082594252382838</v>
      </c>
    </row>
    <row r="272" spans="1:26" s="6" customFormat="1" ht="15.75" thickBot="1" x14ac:dyDescent="0.3">
      <c r="A272" s="6">
        <v>6360</v>
      </c>
      <c r="B272" s="6">
        <v>24170</v>
      </c>
      <c r="C272" s="7">
        <v>43217</v>
      </c>
      <c r="D272" s="6" t="s">
        <v>35</v>
      </c>
      <c r="F272" s="42"/>
      <c r="G272" s="6">
        <v>13.3</v>
      </c>
      <c r="H272" s="6">
        <v>7.5</v>
      </c>
      <c r="I272" s="6">
        <v>17.600000000000001</v>
      </c>
      <c r="J272" s="6">
        <f t="shared" si="28"/>
        <v>2109.0000000000009</v>
      </c>
      <c r="K272" s="6">
        <f t="shared" si="29"/>
        <v>305.2</v>
      </c>
      <c r="M272" s="6">
        <v>0</v>
      </c>
      <c r="N272" s="6">
        <v>3.9</v>
      </c>
      <c r="O272" s="6">
        <f t="shared" si="32"/>
        <v>-3.9</v>
      </c>
      <c r="Q272" s="6">
        <v>241</v>
      </c>
      <c r="R272" s="6">
        <v>1.1499999999999999</v>
      </c>
      <c r="S272" s="6">
        <f t="shared" si="33"/>
        <v>4.4849999999999994</v>
      </c>
      <c r="T272" s="6">
        <f t="shared" si="34"/>
        <v>-4.4849999999999994</v>
      </c>
      <c r="U272" s="6">
        <f t="shared" si="30"/>
        <v>120.17500000000003</v>
      </c>
      <c r="W272" s="6">
        <v>2016.5</v>
      </c>
      <c r="X272" s="6">
        <f t="shared" si="31"/>
        <v>31909.899999999998</v>
      </c>
      <c r="Y272" s="6">
        <v>14.137814872263121</v>
      </c>
    </row>
    <row r="273" spans="1:26" x14ac:dyDescent="0.25">
      <c r="A273">
        <v>6360</v>
      </c>
      <c r="B273">
        <v>24170</v>
      </c>
      <c r="C273" s="1">
        <v>43218</v>
      </c>
      <c r="F273" s="37" t="s">
        <v>56</v>
      </c>
      <c r="G273">
        <v>12.4</v>
      </c>
      <c r="H273">
        <v>10.8</v>
      </c>
      <c r="I273">
        <v>14</v>
      </c>
      <c r="J273">
        <f t="shared" si="28"/>
        <v>2121.400000000001</v>
      </c>
      <c r="K273">
        <f>G273</f>
        <v>12.4</v>
      </c>
      <c r="L273" s="24" t="s">
        <v>38</v>
      </c>
      <c r="M273">
        <v>5.9</v>
      </c>
      <c r="N273">
        <v>2.2000000000000002</v>
      </c>
      <c r="O273">
        <f t="shared" si="32"/>
        <v>3.7</v>
      </c>
      <c r="Q273">
        <v>242</v>
      </c>
      <c r="R273">
        <v>1.1499999999999999</v>
      </c>
      <c r="S273">
        <f t="shared" si="33"/>
        <v>2.5299999999999998</v>
      </c>
      <c r="T273">
        <f t="shared" si="34"/>
        <v>3.3700000000000006</v>
      </c>
      <c r="U273">
        <f t="shared" si="30"/>
        <v>123.54500000000003</v>
      </c>
      <c r="V273" s="25" t="s">
        <v>45</v>
      </c>
      <c r="W273">
        <v>1124.4000000000001</v>
      </c>
      <c r="X273">
        <f>W273</f>
        <v>1124.4000000000001</v>
      </c>
      <c r="Y273">
        <v>14.19262650167135</v>
      </c>
      <c r="Z273" s="25" t="s">
        <v>50</v>
      </c>
    </row>
    <row r="274" spans="1:26" x14ac:dyDescent="0.25">
      <c r="A274">
        <v>6360</v>
      </c>
      <c r="B274">
        <v>24170</v>
      </c>
      <c r="C274" s="1">
        <v>43219</v>
      </c>
      <c r="F274" s="38"/>
      <c r="G274">
        <v>10.4</v>
      </c>
      <c r="H274">
        <v>9.4</v>
      </c>
      <c r="I274">
        <v>11.5</v>
      </c>
      <c r="J274">
        <f t="shared" si="28"/>
        <v>2131.8000000000011</v>
      </c>
      <c r="K274">
        <f t="shared" si="29"/>
        <v>22.8</v>
      </c>
      <c r="L274" s="12">
        <v>309.5</v>
      </c>
      <c r="M274">
        <v>15.2</v>
      </c>
      <c r="N274">
        <v>1.2</v>
      </c>
      <c r="O274">
        <f t="shared" si="32"/>
        <v>14</v>
      </c>
      <c r="Q274">
        <v>243</v>
      </c>
      <c r="R274">
        <v>1.1499999999999999</v>
      </c>
      <c r="S274">
        <f t="shared" si="33"/>
        <v>1.38</v>
      </c>
      <c r="T274">
        <f t="shared" si="34"/>
        <v>13.82</v>
      </c>
      <c r="U274">
        <f t="shared" si="30"/>
        <v>137.36500000000004</v>
      </c>
      <c r="V274">
        <v>0</v>
      </c>
      <c r="W274">
        <v>632.1</v>
      </c>
      <c r="X274">
        <f t="shared" si="31"/>
        <v>1756.5</v>
      </c>
      <c r="Y274">
        <v>14.247011554028028</v>
      </c>
      <c r="Z274">
        <v>41701.5</v>
      </c>
    </row>
    <row r="275" spans="1:26" x14ac:dyDescent="0.25">
      <c r="A275">
        <v>6360</v>
      </c>
      <c r="B275">
        <v>24170</v>
      </c>
      <c r="C275" s="1">
        <v>43220</v>
      </c>
      <c r="F275" s="38"/>
      <c r="G275">
        <v>6.4</v>
      </c>
      <c r="H275">
        <v>5</v>
      </c>
      <c r="I275">
        <v>7.4</v>
      </c>
      <c r="J275">
        <f t="shared" si="28"/>
        <v>2138.2000000000012</v>
      </c>
      <c r="K275">
        <f t="shared" si="29"/>
        <v>29.200000000000003</v>
      </c>
      <c r="L275" s="24" t="s">
        <v>39</v>
      </c>
      <c r="M275">
        <v>5.4</v>
      </c>
      <c r="N275">
        <v>0.9</v>
      </c>
      <c r="O275">
        <f t="shared" si="32"/>
        <v>4.5</v>
      </c>
      <c r="Q275">
        <v>244</v>
      </c>
      <c r="R275">
        <v>1.1499999999999999</v>
      </c>
      <c r="S275">
        <f t="shared" si="33"/>
        <v>1.0349999999999999</v>
      </c>
      <c r="T275">
        <f t="shared" si="34"/>
        <v>4.3650000000000002</v>
      </c>
      <c r="U275">
        <f t="shared" si="30"/>
        <v>141.73000000000005</v>
      </c>
      <c r="V275" s="25" t="s">
        <v>46</v>
      </c>
      <c r="W275">
        <v>649.29999999999995</v>
      </c>
      <c r="X275">
        <f t="shared" si="31"/>
        <v>2405.8000000000002</v>
      </c>
      <c r="Y275">
        <v>14.300952001738322</v>
      </c>
      <c r="Z275" s="25" t="s">
        <v>51</v>
      </c>
    </row>
    <row r="276" spans="1:26" x14ac:dyDescent="0.25">
      <c r="A276">
        <v>6360</v>
      </c>
      <c r="B276">
        <v>24170</v>
      </c>
      <c r="C276" s="1">
        <v>43221</v>
      </c>
      <c r="F276" s="38"/>
      <c r="G276">
        <v>8.3000000000000007</v>
      </c>
      <c r="H276">
        <v>4.5999999999999996</v>
      </c>
      <c r="I276">
        <v>11.7</v>
      </c>
      <c r="J276">
        <f t="shared" si="28"/>
        <v>2146.5000000000014</v>
      </c>
      <c r="K276">
        <f t="shared" si="29"/>
        <v>37.5</v>
      </c>
      <c r="L276" s="13">
        <f>AVERAGE(G273:G295)</f>
        <v>13.456521739130432</v>
      </c>
      <c r="M276">
        <v>0</v>
      </c>
      <c r="N276">
        <v>1.8</v>
      </c>
      <c r="O276">
        <f t="shared" si="32"/>
        <v>-1.8</v>
      </c>
      <c r="Q276">
        <v>245</v>
      </c>
      <c r="R276">
        <v>1.1499999999999999</v>
      </c>
      <c r="S276">
        <f t="shared" si="33"/>
        <v>2.0699999999999998</v>
      </c>
      <c r="T276">
        <f t="shared" si="34"/>
        <v>-2.0699999999999998</v>
      </c>
      <c r="U276">
        <f t="shared" si="30"/>
        <v>139.66000000000005</v>
      </c>
      <c r="V276">
        <v>0</v>
      </c>
      <c r="W276">
        <v>1263.3</v>
      </c>
      <c r="X276">
        <f t="shared" si="31"/>
        <v>3669.1000000000004</v>
      </c>
      <c r="Y276">
        <v>14.354429376037624</v>
      </c>
      <c r="Z276">
        <f>(Z274/100)/L274</f>
        <v>1.3473828756058157</v>
      </c>
    </row>
    <row r="277" spans="1:26" x14ac:dyDescent="0.25">
      <c r="A277">
        <v>6360</v>
      </c>
      <c r="B277">
        <v>24170</v>
      </c>
      <c r="C277" s="1">
        <v>43222</v>
      </c>
      <c r="F277" s="38"/>
      <c r="G277">
        <v>11.1</v>
      </c>
      <c r="H277">
        <v>4.9000000000000004</v>
      </c>
      <c r="I277">
        <v>15</v>
      </c>
      <c r="J277">
        <f t="shared" si="28"/>
        <v>2157.6000000000013</v>
      </c>
      <c r="K277">
        <f t="shared" si="29"/>
        <v>48.6</v>
      </c>
      <c r="L277" s="24" t="s">
        <v>40</v>
      </c>
      <c r="M277">
        <v>0</v>
      </c>
      <c r="N277">
        <v>2.9</v>
      </c>
      <c r="O277">
        <f t="shared" si="32"/>
        <v>-2.9</v>
      </c>
      <c r="Q277">
        <v>246</v>
      </c>
      <c r="R277">
        <v>1.1499999999999999</v>
      </c>
      <c r="S277">
        <f t="shared" si="33"/>
        <v>3.3349999999999995</v>
      </c>
      <c r="T277">
        <f t="shared" si="34"/>
        <v>-3.3349999999999995</v>
      </c>
      <c r="U277">
        <f t="shared" si="30"/>
        <v>136.32500000000005</v>
      </c>
      <c r="V277" s="25" t="s">
        <v>47</v>
      </c>
      <c r="W277">
        <v>1825.1</v>
      </c>
      <c r="X277">
        <f t="shared" si="31"/>
        <v>5494.2000000000007</v>
      </c>
      <c r="Y277">
        <v>14.40742476816045</v>
      </c>
      <c r="Z277" s="25" t="s">
        <v>52</v>
      </c>
    </row>
    <row r="278" spans="1:26" x14ac:dyDescent="0.25">
      <c r="A278">
        <v>6360</v>
      </c>
      <c r="B278">
        <v>24170</v>
      </c>
      <c r="C278" s="1">
        <v>43223</v>
      </c>
      <c r="F278" s="38"/>
      <c r="G278">
        <v>11.2</v>
      </c>
      <c r="H278">
        <v>7.7</v>
      </c>
      <c r="I278">
        <v>14.5</v>
      </c>
      <c r="J278">
        <f t="shared" si="28"/>
        <v>2168.8000000000011</v>
      </c>
      <c r="K278">
        <f t="shared" si="29"/>
        <v>59.8</v>
      </c>
      <c r="L278" s="14">
        <f>MIN(H273:H295)</f>
        <v>4.5999999999999996</v>
      </c>
      <c r="M278">
        <v>0</v>
      </c>
      <c r="N278">
        <v>3.3</v>
      </c>
      <c r="O278">
        <f t="shared" si="32"/>
        <v>-3.3</v>
      </c>
      <c r="Q278">
        <v>247</v>
      </c>
      <c r="R278">
        <v>1.1499999999999999</v>
      </c>
      <c r="S278">
        <f t="shared" si="33"/>
        <v>3.7949999999999995</v>
      </c>
      <c r="T278">
        <f t="shared" si="34"/>
        <v>-3.7949999999999995</v>
      </c>
      <c r="U278">
        <f t="shared" si="30"/>
        <v>132.53000000000006</v>
      </c>
      <c r="V278" s="2">
        <f>MIN(U273:U295)</f>
        <v>80.900000000000063</v>
      </c>
      <c r="W278">
        <v>1989.4</v>
      </c>
      <c r="X278">
        <f t="shared" si="31"/>
        <v>7483.6</v>
      </c>
      <c r="Y278">
        <v>14.459918831908244</v>
      </c>
      <c r="Z278">
        <v>5</v>
      </c>
    </row>
    <row r="279" spans="1:26" x14ac:dyDescent="0.25">
      <c r="A279">
        <v>6360</v>
      </c>
      <c r="B279">
        <v>24170</v>
      </c>
      <c r="C279" s="1">
        <v>43224</v>
      </c>
      <c r="F279" s="38"/>
      <c r="G279">
        <v>12.7</v>
      </c>
      <c r="H279">
        <v>7.3</v>
      </c>
      <c r="I279">
        <v>17.100000000000001</v>
      </c>
      <c r="J279">
        <f t="shared" si="28"/>
        <v>2181.5000000000009</v>
      </c>
      <c r="K279">
        <f t="shared" si="29"/>
        <v>72.5</v>
      </c>
      <c r="L279" s="24" t="s">
        <v>41</v>
      </c>
      <c r="M279">
        <v>0</v>
      </c>
      <c r="N279">
        <v>4.5999999999999996</v>
      </c>
      <c r="O279">
        <f t="shared" si="32"/>
        <v>-4.5999999999999996</v>
      </c>
      <c r="Q279">
        <v>248</v>
      </c>
      <c r="R279">
        <v>1.1499999999999999</v>
      </c>
      <c r="S279">
        <f t="shared" si="33"/>
        <v>5.2899999999999991</v>
      </c>
      <c r="T279">
        <f t="shared" si="34"/>
        <v>-5.2899999999999991</v>
      </c>
      <c r="U279">
        <f t="shared" si="30"/>
        <v>127.24000000000007</v>
      </c>
      <c r="V279" s="25" t="s">
        <v>48</v>
      </c>
      <c r="W279">
        <v>2809.8</v>
      </c>
      <c r="X279">
        <f t="shared" si="31"/>
        <v>10293.400000000001</v>
      </c>
      <c r="Y279">
        <v>14.511891787692173</v>
      </c>
    </row>
    <row r="280" spans="1:26" x14ac:dyDescent="0.25">
      <c r="A280">
        <v>6360</v>
      </c>
      <c r="B280">
        <v>24170</v>
      </c>
      <c r="C280" s="1">
        <v>43225</v>
      </c>
      <c r="F280" s="38"/>
      <c r="G280">
        <v>16.2</v>
      </c>
      <c r="H280">
        <v>10.199999999999999</v>
      </c>
      <c r="I280">
        <v>21.7</v>
      </c>
      <c r="J280">
        <f t="shared" si="28"/>
        <v>2197.7000000000007</v>
      </c>
      <c r="K280">
        <f t="shared" si="29"/>
        <v>88.7</v>
      </c>
      <c r="L280" s="12">
        <f>MAX(I273:I295)</f>
        <v>25.2</v>
      </c>
      <c r="M280">
        <v>0</v>
      </c>
      <c r="N280">
        <v>5.2</v>
      </c>
      <c r="O280">
        <f t="shared" si="32"/>
        <v>-5.2</v>
      </c>
      <c r="Q280">
        <v>249</v>
      </c>
      <c r="R280">
        <v>1.1499999999999999</v>
      </c>
      <c r="S280">
        <f t="shared" si="33"/>
        <v>5.9799999999999995</v>
      </c>
      <c r="T280">
        <f t="shared" si="34"/>
        <v>-5.9799999999999995</v>
      </c>
      <c r="U280">
        <f t="shared" si="30"/>
        <v>121.26000000000006</v>
      </c>
      <c r="V280" s="2">
        <f>MAX(U273:U295)</f>
        <v>141.73000000000005</v>
      </c>
      <c r="W280">
        <v>2843.4</v>
      </c>
      <c r="X280">
        <f t="shared" si="31"/>
        <v>13136.800000000001</v>
      </c>
      <c r="Y280">
        <v>14.563323428127461</v>
      </c>
    </row>
    <row r="281" spans="1:26" x14ac:dyDescent="0.25">
      <c r="A281">
        <v>6360</v>
      </c>
      <c r="B281">
        <v>24170</v>
      </c>
      <c r="C281" s="1">
        <v>43226</v>
      </c>
      <c r="F281" s="38"/>
      <c r="G281">
        <v>19</v>
      </c>
      <c r="H281">
        <v>13.4</v>
      </c>
      <c r="I281">
        <v>24.5</v>
      </c>
      <c r="J281">
        <f t="shared" si="28"/>
        <v>2216.7000000000007</v>
      </c>
      <c r="K281">
        <f t="shared" si="29"/>
        <v>107.7</v>
      </c>
      <c r="L281" s="24" t="s">
        <v>42</v>
      </c>
      <c r="M281">
        <v>0</v>
      </c>
      <c r="N281">
        <v>5.6</v>
      </c>
      <c r="O281">
        <f t="shared" si="32"/>
        <v>-5.6</v>
      </c>
      <c r="Q281">
        <v>250</v>
      </c>
      <c r="R281">
        <v>1.1499999999999999</v>
      </c>
      <c r="S281">
        <f t="shared" si="33"/>
        <v>6.4399999999999995</v>
      </c>
      <c r="T281">
        <f t="shared" si="34"/>
        <v>-6.4399999999999995</v>
      </c>
      <c r="U281">
        <f t="shared" si="30"/>
        <v>114.82000000000006</v>
      </c>
      <c r="V281" s="25" t="s">
        <v>49</v>
      </c>
      <c r="W281">
        <v>2670.6</v>
      </c>
      <c r="X281">
        <f t="shared" si="31"/>
        <v>15807.400000000001</v>
      </c>
      <c r="Y281">
        <v>14.614193125255508</v>
      </c>
    </row>
    <row r="282" spans="1:26" x14ac:dyDescent="0.25">
      <c r="A282">
        <v>6360</v>
      </c>
      <c r="B282">
        <v>24170</v>
      </c>
      <c r="C282" s="1">
        <v>43227</v>
      </c>
      <c r="F282" s="38"/>
      <c r="G282">
        <v>18.899999999999999</v>
      </c>
      <c r="H282">
        <v>13.6</v>
      </c>
      <c r="I282">
        <v>24</v>
      </c>
      <c r="J282">
        <f t="shared" si="28"/>
        <v>2235.6000000000008</v>
      </c>
      <c r="K282">
        <f t="shared" si="29"/>
        <v>126.6</v>
      </c>
      <c r="L282" s="12">
        <v>1</v>
      </c>
      <c r="M282">
        <v>0</v>
      </c>
      <c r="N282">
        <v>5.9</v>
      </c>
      <c r="O282">
        <f t="shared" si="32"/>
        <v>-5.9</v>
      </c>
      <c r="Q282">
        <v>251</v>
      </c>
      <c r="R282">
        <v>1.1499999999999999</v>
      </c>
      <c r="S282">
        <f t="shared" si="33"/>
        <v>6.7850000000000001</v>
      </c>
      <c r="T282">
        <f t="shared" si="34"/>
        <v>-6.7850000000000001</v>
      </c>
      <c r="U282">
        <f t="shared" si="30"/>
        <v>108.03500000000007</v>
      </c>
      <c r="V282" s="2">
        <f>AVERAGE(U273:U295)</f>
        <v>108.74891304347834</v>
      </c>
      <c r="W282">
        <v>2635.3</v>
      </c>
      <c r="X282">
        <f t="shared" si="31"/>
        <v>18442.7</v>
      </c>
      <c r="Y282">
        <v>14.664479839469335</v>
      </c>
    </row>
    <row r="283" spans="1:26" x14ac:dyDescent="0.25">
      <c r="A283">
        <v>6360</v>
      </c>
      <c r="B283">
        <v>24170</v>
      </c>
      <c r="C283" s="1">
        <v>43228</v>
      </c>
      <c r="F283" s="38"/>
      <c r="G283">
        <v>19.3</v>
      </c>
      <c r="H283">
        <v>12.8</v>
      </c>
      <c r="I283">
        <v>25.2</v>
      </c>
      <c r="J283">
        <f t="shared" si="28"/>
        <v>2254.900000000001</v>
      </c>
      <c r="K283">
        <f t="shared" si="29"/>
        <v>145.9</v>
      </c>
      <c r="L283" s="24" t="s">
        <v>43</v>
      </c>
      <c r="M283">
        <v>0</v>
      </c>
      <c r="N283">
        <v>5.7</v>
      </c>
      <c r="O283">
        <f t="shared" si="32"/>
        <v>-5.7</v>
      </c>
      <c r="Q283">
        <v>252</v>
      </c>
      <c r="R283">
        <v>1.1499999999999999</v>
      </c>
      <c r="S283">
        <f t="shared" si="33"/>
        <v>6.5549999999999997</v>
      </c>
      <c r="T283">
        <f t="shared" si="34"/>
        <v>-6.5549999999999997</v>
      </c>
      <c r="U283">
        <f t="shared" si="30"/>
        <v>101.48000000000008</v>
      </c>
      <c r="W283">
        <v>2700.7</v>
      </c>
      <c r="X283">
        <f t="shared" si="31"/>
        <v>21143.4</v>
      </c>
      <c r="Y283">
        <v>14.714162130216531</v>
      </c>
    </row>
    <row r="284" spans="1:26" x14ac:dyDescent="0.25">
      <c r="A284">
        <v>6360</v>
      </c>
      <c r="B284">
        <v>24170</v>
      </c>
      <c r="C284" s="1">
        <v>43229</v>
      </c>
      <c r="F284" s="38"/>
      <c r="G284">
        <v>17</v>
      </c>
      <c r="H284">
        <v>13.1</v>
      </c>
      <c r="I284">
        <v>21.1</v>
      </c>
      <c r="J284">
        <f t="shared" si="28"/>
        <v>2271.900000000001</v>
      </c>
      <c r="K284">
        <f t="shared" si="29"/>
        <v>162.9</v>
      </c>
      <c r="L284" s="12">
        <v>3</v>
      </c>
      <c r="M284">
        <v>0</v>
      </c>
      <c r="N284">
        <v>3.8</v>
      </c>
      <c r="O284">
        <f t="shared" si="32"/>
        <v>-3.8</v>
      </c>
      <c r="Q284">
        <v>253</v>
      </c>
      <c r="R284">
        <v>1.1499999999999999</v>
      </c>
      <c r="S284">
        <f t="shared" si="33"/>
        <v>4.3699999999999992</v>
      </c>
      <c r="T284">
        <f t="shared" si="34"/>
        <v>-4.3699999999999992</v>
      </c>
      <c r="U284">
        <f t="shared" si="30"/>
        <v>97.11000000000007</v>
      </c>
      <c r="V284" s="16">
        <f>(V282*100)/179.3</f>
        <v>60.651931424137381</v>
      </c>
      <c r="W284">
        <v>1927.8</v>
      </c>
      <c r="X284">
        <f t="shared" si="31"/>
        <v>23071.200000000001</v>
      </c>
      <c r="Y284">
        <v>14.763218168551827</v>
      </c>
    </row>
    <row r="285" spans="1:26" x14ac:dyDescent="0.25">
      <c r="A285">
        <v>6360</v>
      </c>
      <c r="B285">
        <v>24170</v>
      </c>
      <c r="C285" s="1">
        <v>43230</v>
      </c>
      <c r="F285" s="38"/>
      <c r="G285">
        <v>12.7</v>
      </c>
      <c r="H285">
        <v>11.5</v>
      </c>
      <c r="I285">
        <v>15.3</v>
      </c>
      <c r="J285">
        <f t="shared" si="28"/>
        <v>2284.6000000000008</v>
      </c>
      <c r="K285">
        <f t="shared" si="29"/>
        <v>175.6</v>
      </c>
      <c r="L285" s="24" t="s">
        <v>44</v>
      </c>
      <c r="M285">
        <v>0</v>
      </c>
      <c r="N285">
        <v>3.5</v>
      </c>
      <c r="O285">
        <f t="shared" si="32"/>
        <v>-3.5</v>
      </c>
      <c r="Q285">
        <v>254</v>
      </c>
      <c r="R285">
        <v>1.1499999999999999</v>
      </c>
      <c r="S285">
        <f t="shared" si="33"/>
        <v>4.0249999999999995</v>
      </c>
      <c r="T285">
        <f t="shared" si="34"/>
        <v>-4.0249999999999995</v>
      </c>
      <c r="U285">
        <f t="shared" si="30"/>
        <v>93.085000000000065</v>
      </c>
      <c r="W285">
        <v>1816.4</v>
      </c>
      <c r="X285">
        <f t="shared" si="31"/>
        <v>24887.600000000002</v>
      </c>
      <c r="Y285">
        <v>14.811625751608661</v>
      </c>
    </row>
    <row r="286" spans="1:26" x14ac:dyDescent="0.25">
      <c r="A286">
        <v>6360</v>
      </c>
      <c r="B286">
        <v>24170</v>
      </c>
      <c r="C286" s="1">
        <v>43231</v>
      </c>
      <c r="F286" s="38"/>
      <c r="G286">
        <v>14.6</v>
      </c>
      <c r="H286">
        <v>5.7</v>
      </c>
      <c r="I286">
        <v>18.899999999999999</v>
      </c>
      <c r="J286">
        <f t="shared" si="28"/>
        <v>2299.2000000000007</v>
      </c>
      <c r="K286">
        <f t="shared" si="29"/>
        <v>190.2</v>
      </c>
      <c r="L286" s="22">
        <v>0</v>
      </c>
      <c r="M286">
        <v>0</v>
      </c>
      <c r="N286">
        <v>3.7</v>
      </c>
      <c r="O286">
        <f t="shared" si="32"/>
        <v>-3.7</v>
      </c>
      <c r="Q286">
        <v>255</v>
      </c>
      <c r="R286">
        <v>1.1499999999999999</v>
      </c>
      <c r="S286">
        <f t="shared" si="33"/>
        <v>4.2549999999999999</v>
      </c>
      <c r="T286">
        <f t="shared" si="34"/>
        <v>-4.2549999999999999</v>
      </c>
      <c r="U286">
        <f t="shared" si="30"/>
        <v>88.830000000000069</v>
      </c>
      <c r="W286">
        <v>2378.6999999999998</v>
      </c>
      <c r="X286">
        <f t="shared" si="31"/>
        <v>27266.300000000003</v>
      </c>
      <c r="Y286">
        <v>14.859362319055512</v>
      </c>
    </row>
    <row r="287" spans="1:26" x14ac:dyDescent="0.25">
      <c r="A287">
        <v>6360</v>
      </c>
      <c r="B287">
        <v>24170</v>
      </c>
      <c r="C287" s="1">
        <v>43232</v>
      </c>
      <c r="F287" s="38"/>
      <c r="G287">
        <v>15.5</v>
      </c>
      <c r="H287">
        <v>13.3</v>
      </c>
      <c r="I287">
        <v>22.1</v>
      </c>
      <c r="J287">
        <f t="shared" si="28"/>
        <v>2314.7000000000007</v>
      </c>
      <c r="K287">
        <f t="shared" si="29"/>
        <v>205.7</v>
      </c>
      <c r="M287">
        <v>5.2</v>
      </c>
      <c r="N287">
        <v>2.7</v>
      </c>
      <c r="O287">
        <f t="shared" si="32"/>
        <v>2.5</v>
      </c>
      <c r="Q287">
        <v>256</v>
      </c>
      <c r="R287">
        <v>1.1499999999999999</v>
      </c>
      <c r="S287">
        <f t="shared" si="33"/>
        <v>3.105</v>
      </c>
      <c r="T287">
        <f t="shared" si="34"/>
        <v>2.0950000000000002</v>
      </c>
      <c r="U287">
        <f t="shared" si="30"/>
        <v>90.925000000000068</v>
      </c>
      <c r="W287">
        <v>887.1</v>
      </c>
      <c r="X287">
        <f t="shared" si="31"/>
        <v>28153.4</v>
      </c>
      <c r="Y287">
        <v>14.906404971598411</v>
      </c>
    </row>
    <row r="288" spans="1:26" x14ac:dyDescent="0.25">
      <c r="A288">
        <v>6360</v>
      </c>
      <c r="B288">
        <v>24170</v>
      </c>
      <c r="C288" s="1">
        <v>43233</v>
      </c>
      <c r="F288" s="38"/>
      <c r="G288">
        <v>10.7</v>
      </c>
      <c r="H288">
        <v>9.3000000000000007</v>
      </c>
      <c r="I288">
        <v>11.7</v>
      </c>
      <c r="J288">
        <f t="shared" si="28"/>
        <v>2325.4000000000005</v>
      </c>
      <c r="K288">
        <f t="shared" si="29"/>
        <v>216.39999999999998</v>
      </c>
      <c r="M288">
        <v>6.7</v>
      </c>
      <c r="N288">
        <v>1</v>
      </c>
      <c r="O288">
        <f t="shared" si="32"/>
        <v>5.7</v>
      </c>
      <c r="Q288">
        <v>257</v>
      </c>
      <c r="R288">
        <v>1.1499999999999999</v>
      </c>
      <c r="S288">
        <f t="shared" si="33"/>
        <v>1.1499999999999999</v>
      </c>
      <c r="T288">
        <f t="shared" si="34"/>
        <v>5.5500000000000007</v>
      </c>
      <c r="U288">
        <f t="shared" si="30"/>
        <v>96.475000000000065</v>
      </c>
      <c r="W288">
        <v>527.5</v>
      </c>
      <c r="X288">
        <f t="shared" si="31"/>
        <v>28680.9</v>
      </c>
      <c r="Y288">
        <v>14.952730491585635</v>
      </c>
    </row>
    <row r="289" spans="1:26" x14ac:dyDescent="0.25">
      <c r="A289">
        <v>6360</v>
      </c>
      <c r="B289">
        <v>24170</v>
      </c>
      <c r="C289" s="1">
        <v>43234</v>
      </c>
      <c r="F289" s="38"/>
      <c r="G289">
        <v>11.6</v>
      </c>
      <c r="H289">
        <v>9.8000000000000007</v>
      </c>
      <c r="I289">
        <v>12.6</v>
      </c>
      <c r="J289">
        <f t="shared" si="28"/>
        <v>2337.0000000000005</v>
      </c>
      <c r="K289">
        <f t="shared" si="29"/>
        <v>227.99999999999997</v>
      </c>
      <c r="M289">
        <v>6.9</v>
      </c>
      <c r="N289">
        <v>1</v>
      </c>
      <c r="O289">
        <f t="shared" si="32"/>
        <v>5.9</v>
      </c>
      <c r="Q289">
        <v>258</v>
      </c>
      <c r="R289">
        <v>1.1499999999999999</v>
      </c>
      <c r="S289">
        <f t="shared" si="33"/>
        <v>1.1499999999999999</v>
      </c>
      <c r="T289">
        <f t="shared" si="34"/>
        <v>5.75</v>
      </c>
      <c r="U289">
        <f t="shared" si="30"/>
        <v>102.22500000000007</v>
      </c>
      <c r="W289">
        <v>454.6</v>
      </c>
      <c r="X289">
        <f t="shared" si="31"/>
        <v>29135.5</v>
      </c>
      <c r="Y289">
        <v>14.998315365764373</v>
      </c>
    </row>
    <row r="290" spans="1:26" x14ac:dyDescent="0.25">
      <c r="A290">
        <v>6360</v>
      </c>
      <c r="B290">
        <v>24170</v>
      </c>
      <c r="C290" s="1">
        <v>43235</v>
      </c>
      <c r="F290" s="38"/>
      <c r="G290">
        <v>13.7</v>
      </c>
      <c r="H290">
        <v>10.8</v>
      </c>
      <c r="I290">
        <v>17.8</v>
      </c>
      <c r="J290">
        <f t="shared" ref="J290:J353" si="35">J289+G290</f>
        <v>2350.7000000000003</v>
      </c>
      <c r="K290">
        <f t="shared" ref="K290:K353" si="36">K289+G290</f>
        <v>241.69999999999996</v>
      </c>
      <c r="M290">
        <v>0</v>
      </c>
      <c r="N290">
        <v>2.2000000000000002</v>
      </c>
      <c r="O290">
        <f t="shared" si="32"/>
        <v>-2.2000000000000002</v>
      </c>
      <c r="Q290">
        <v>259</v>
      </c>
      <c r="R290">
        <v>1.1499999999999999</v>
      </c>
      <c r="S290">
        <f t="shared" si="33"/>
        <v>2.5299999999999998</v>
      </c>
      <c r="T290">
        <f t="shared" si="34"/>
        <v>-2.5299999999999998</v>
      </c>
      <c r="U290">
        <f t="shared" ref="U290:U346" si="37">MIN(U289+T290,179.3)</f>
        <v>99.695000000000064</v>
      </c>
      <c r="W290">
        <v>1205.3</v>
      </c>
      <c r="X290">
        <f t="shared" ref="X290:X353" si="38">X289+W290</f>
        <v>30340.799999999999</v>
      </c>
      <c r="Y290">
        <v>15.043135810231757</v>
      </c>
    </row>
    <row r="291" spans="1:26" x14ac:dyDescent="0.25">
      <c r="A291">
        <v>6360</v>
      </c>
      <c r="B291">
        <v>24170</v>
      </c>
      <c r="C291" s="1">
        <v>43236</v>
      </c>
      <c r="F291" s="38"/>
      <c r="G291">
        <v>14.8</v>
      </c>
      <c r="H291">
        <v>11.6</v>
      </c>
      <c r="I291">
        <v>19.100000000000001</v>
      </c>
      <c r="J291">
        <f t="shared" si="35"/>
        <v>2365.5000000000005</v>
      </c>
      <c r="K291">
        <f t="shared" si="36"/>
        <v>256.49999999999994</v>
      </c>
      <c r="M291">
        <v>3.4</v>
      </c>
      <c r="N291">
        <v>3.8</v>
      </c>
      <c r="O291">
        <f t="shared" si="32"/>
        <v>-0.39999999999999991</v>
      </c>
      <c r="Q291">
        <v>260</v>
      </c>
      <c r="R291">
        <v>1.1499999999999999</v>
      </c>
      <c r="S291">
        <f t="shared" si="33"/>
        <v>4.3699999999999992</v>
      </c>
      <c r="T291">
        <f t="shared" si="34"/>
        <v>-0.96999999999999931</v>
      </c>
      <c r="U291">
        <f t="shared" si="37"/>
        <v>98.725000000000065</v>
      </c>
      <c r="W291">
        <v>2210.1999999999998</v>
      </c>
      <c r="X291">
        <f t="shared" si="38"/>
        <v>32551</v>
      </c>
      <c r="Y291">
        <v>15.087167797614388</v>
      </c>
    </row>
    <row r="292" spans="1:26" x14ac:dyDescent="0.25">
      <c r="A292">
        <v>6360</v>
      </c>
      <c r="B292">
        <v>24170</v>
      </c>
      <c r="C292" s="1">
        <v>43237</v>
      </c>
      <c r="F292" s="38"/>
      <c r="G292">
        <v>13.1</v>
      </c>
      <c r="H292">
        <v>10.3</v>
      </c>
      <c r="I292">
        <v>16.5</v>
      </c>
      <c r="J292">
        <f t="shared" si="35"/>
        <v>2378.6000000000004</v>
      </c>
      <c r="K292">
        <f t="shared" si="36"/>
        <v>269.59999999999997</v>
      </c>
      <c r="M292">
        <v>0</v>
      </c>
      <c r="N292">
        <v>3.9</v>
      </c>
      <c r="O292">
        <f t="shared" si="32"/>
        <v>-3.9</v>
      </c>
      <c r="Q292">
        <v>261</v>
      </c>
      <c r="R292">
        <v>1.1499999999999999</v>
      </c>
      <c r="S292">
        <f t="shared" si="33"/>
        <v>4.4849999999999994</v>
      </c>
      <c r="T292">
        <f t="shared" si="34"/>
        <v>-4.4849999999999994</v>
      </c>
      <c r="U292">
        <f t="shared" si="37"/>
        <v>94.240000000000066</v>
      </c>
      <c r="W292">
        <v>2151.1999999999998</v>
      </c>
      <c r="X292">
        <f t="shared" si="38"/>
        <v>34702.199999999997</v>
      </c>
      <c r="Y292">
        <v>15.130387086500981</v>
      </c>
    </row>
    <row r="293" spans="1:26" x14ac:dyDescent="0.25">
      <c r="A293">
        <v>6360</v>
      </c>
      <c r="B293">
        <v>24170</v>
      </c>
      <c r="C293" s="1">
        <v>43238</v>
      </c>
      <c r="F293" s="38"/>
      <c r="G293">
        <v>12</v>
      </c>
      <c r="H293">
        <v>7.1</v>
      </c>
      <c r="I293">
        <v>16.5</v>
      </c>
      <c r="J293">
        <f t="shared" si="35"/>
        <v>2390.6000000000004</v>
      </c>
      <c r="K293">
        <f t="shared" si="36"/>
        <v>281.59999999999997</v>
      </c>
      <c r="M293">
        <v>0</v>
      </c>
      <c r="N293">
        <v>3.9</v>
      </c>
      <c r="O293">
        <f t="shared" si="32"/>
        <v>-3.9</v>
      </c>
      <c r="Q293">
        <v>262</v>
      </c>
      <c r="R293">
        <v>1.1499999999999999</v>
      </c>
      <c r="S293">
        <f t="shared" si="33"/>
        <v>4.4849999999999994</v>
      </c>
      <c r="T293">
        <f t="shared" si="34"/>
        <v>-4.4849999999999994</v>
      </c>
      <c r="U293">
        <f t="shared" si="37"/>
        <v>89.755000000000067</v>
      </c>
      <c r="W293">
        <v>2418.1999999999998</v>
      </c>
      <c r="X293">
        <f t="shared" si="38"/>
        <v>37120.399999999994</v>
      </c>
      <c r="Y293">
        <v>15.172769253142215</v>
      </c>
    </row>
    <row r="294" spans="1:26" x14ac:dyDescent="0.25">
      <c r="A294">
        <v>6360</v>
      </c>
      <c r="B294">
        <v>24170</v>
      </c>
      <c r="C294" s="1">
        <v>43239</v>
      </c>
      <c r="F294" s="38"/>
      <c r="G294">
        <v>12.7</v>
      </c>
      <c r="H294">
        <v>7.8</v>
      </c>
      <c r="I294">
        <v>17.2</v>
      </c>
      <c r="J294">
        <f t="shared" si="35"/>
        <v>2403.3000000000002</v>
      </c>
      <c r="K294">
        <f t="shared" si="36"/>
        <v>294.29999999999995</v>
      </c>
      <c r="M294">
        <v>0</v>
      </c>
      <c r="N294">
        <v>3.9</v>
      </c>
      <c r="O294">
        <f t="shared" si="32"/>
        <v>-3.9</v>
      </c>
      <c r="Q294">
        <v>263</v>
      </c>
      <c r="R294">
        <v>1.1499999999999999</v>
      </c>
      <c r="S294">
        <f t="shared" si="33"/>
        <v>4.4849999999999994</v>
      </c>
      <c r="T294">
        <f t="shared" si="34"/>
        <v>-4.4849999999999994</v>
      </c>
      <c r="U294">
        <f t="shared" si="37"/>
        <v>85.270000000000067</v>
      </c>
      <c r="W294">
        <v>2483.9</v>
      </c>
      <c r="X294">
        <f t="shared" si="38"/>
        <v>39604.299999999996</v>
      </c>
      <c r="Y294">
        <v>15.214289725420238</v>
      </c>
    </row>
    <row r="295" spans="1:26" s="6" customFormat="1" ht="15.75" thickBot="1" x14ac:dyDescent="0.3">
      <c r="A295" s="6">
        <v>6360</v>
      </c>
      <c r="B295" s="6">
        <v>24170</v>
      </c>
      <c r="C295" s="7">
        <v>43240</v>
      </c>
      <c r="F295" s="39"/>
      <c r="G295" s="6">
        <v>15.2</v>
      </c>
      <c r="H295" s="6">
        <v>8.4</v>
      </c>
      <c r="I295" s="6">
        <v>20.9</v>
      </c>
      <c r="J295" s="6">
        <f t="shared" si="35"/>
        <v>2418.5</v>
      </c>
      <c r="K295" s="6">
        <f t="shared" si="36"/>
        <v>309.49999999999994</v>
      </c>
      <c r="M295" s="6">
        <v>0</v>
      </c>
      <c r="N295" s="6">
        <v>3.8</v>
      </c>
      <c r="O295" s="6">
        <f t="shared" si="32"/>
        <v>-3.8</v>
      </c>
      <c r="Q295" s="6">
        <v>264</v>
      </c>
      <c r="R295" s="6">
        <v>1.1499999999999999</v>
      </c>
      <c r="S295" s="6">
        <f t="shared" si="33"/>
        <v>4.3699999999999992</v>
      </c>
      <c r="T295" s="6">
        <f t="shared" si="34"/>
        <v>-4.3699999999999992</v>
      </c>
      <c r="U295" s="6">
        <f t="shared" si="37"/>
        <v>80.900000000000063</v>
      </c>
      <c r="W295" s="6">
        <v>2097.1999999999998</v>
      </c>
      <c r="X295" s="6">
        <f t="shared" si="38"/>
        <v>41701.499999999993</v>
      </c>
      <c r="Y295" s="6">
        <v>15.254923819077451</v>
      </c>
    </row>
    <row r="296" spans="1:26" x14ac:dyDescent="0.25">
      <c r="A296">
        <v>6360</v>
      </c>
      <c r="B296">
        <v>24170</v>
      </c>
      <c r="C296" s="1">
        <v>43241</v>
      </c>
      <c r="F296" s="34" t="s">
        <v>55</v>
      </c>
      <c r="G296">
        <v>17.3</v>
      </c>
      <c r="H296">
        <v>12.1</v>
      </c>
      <c r="I296">
        <v>21.8</v>
      </c>
      <c r="J296">
        <f t="shared" si="35"/>
        <v>2435.8000000000002</v>
      </c>
      <c r="K296">
        <f>G296</f>
        <v>17.3</v>
      </c>
      <c r="L296" s="26" t="s">
        <v>38</v>
      </c>
      <c r="M296">
        <v>0</v>
      </c>
      <c r="N296">
        <v>4.2</v>
      </c>
      <c r="O296">
        <f t="shared" si="32"/>
        <v>-4.2</v>
      </c>
      <c r="Q296">
        <v>265</v>
      </c>
      <c r="R296">
        <f>1.15+((Q296-264)/51)*(0.35-1.15)</f>
        <v>1.134313725490196</v>
      </c>
      <c r="S296">
        <f t="shared" si="33"/>
        <v>4.764117647058824</v>
      </c>
      <c r="T296">
        <f t="shared" si="34"/>
        <v>-4.764117647058824</v>
      </c>
      <c r="U296">
        <f t="shared" si="37"/>
        <v>76.135882352941238</v>
      </c>
      <c r="V296" s="27" t="s">
        <v>45</v>
      </c>
      <c r="W296">
        <v>2486.1999999999998</v>
      </c>
      <c r="X296">
        <f>W296</f>
        <v>2486.1999999999998</v>
      </c>
      <c r="Y296">
        <v>15.294646776180361</v>
      </c>
      <c r="Z296" s="27" t="s">
        <v>50</v>
      </c>
    </row>
    <row r="297" spans="1:26" x14ac:dyDescent="0.25">
      <c r="A297">
        <v>6360</v>
      </c>
      <c r="B297">
        <v>24170</v>
      </c>
      <c r="C297" s="1">
        <v>43242</v>
      </c>
      <c r="F297" s="35"/>
      <c r="G297">
        <v>16.5</v>
      </c>
      <c r="H297">
        <v>13.4</v>
      </c>
      <c r="I297">
        <v>22.3</v>
      </c>
      <c r="J297">
        <f t="shared" si="35"/>
        <v>2452.3000000000002</v>
      </c>
      <c r="K297">
        <f t="shared" si="36"/>
        <v>33.799999999999997</v>
      </c>
      <c r="L297" s="12">
        <v>305.60000000000002</v>
      </c>
      <c r="M297">
        <v>0</v>
      </c>
      <c r="N297">
        <v>3.7</v>
      </c>
      <c r="O297">
        <f t="shared" si="32"/>
        <v>-3.7</v>
      </c>
      <c r="Q297">
        <v>266</v>
      </c>
      <c r="R297">
        <f t="shared" ref="R297:R346" si="39">1.15+((Q297-264)/51)*(0.35-1.15)</f>
        <v>1.1186274509803922</v>
      </c>
      <c r="S297">
        <f t="shared" si="33"/>
        <v>4.1389215686274516</v>
      </c>
      <c r="T297">
        <f t="shared" si="34"/>
        <v>-4.1389215686274516</v>
      </c>
      <c r="U297">
        <f t="shared" si="37"/>
        <v>71.996960784313785</v>
      </c>
      <c r="V297">
        <v>0</v>
      </c>
      <c r="W297">
        <v>1857.7</v>
      </c>
      <c r="X297">
        <f t="shared" si="38"/>
        <v>4343.8999999999996</v>
      </c>
      <c r="Y297">
        <v>15.333433805779345</v>
      </c>
      <c r="Z297">
        <v>25184.400000000001</v>
      </c>
    </row>
    <row r="298" spans="1:26" x14ac:dyDescent="0.25">
      <c r="A298">
        <v>6360</v>
      </c>
      <c r="B298">
        <v>24170</v>
      </c>
      <c r="C298" s="1">
        <v>43243</v>
      </c>
      <c r="F298" s="35"/>
      <c r="G298">
        <v>15.9</v>
      </c>
      <c r="H298">
        <v>12.3</v>
      </c>
      <c r="I298">
        <v>18.899999999999999</v>
      </c>
      <c r="J298">
        <f t="shared" si="35"/>
        <v>2468.2000000000003</v>
      </c>
      <c r="K298">
        <f t="shared" si="36"/>
        <v>49.699999999999996</v>
      </c>
      <c r="L298" s="26" t="s">
        <v>39</v>
      </c>
      <c r="M298">
        <v>0</v>
      </c>
      <c r="N298">
        <v>2.4</v>
      </c>
      <c r="O298">
        <f t="shared" si="32"/>
        <v>-2.4</v>
      </c>
      <c r="Q298">
        <v>267</v>
      </c>
      <c r="R298">
        <f t="shared" si="39"/>
        <v>1.1029411764705881</v>
      </c>
      <c r="S298">
        <f t="shared" si="33"/>
        <v>2.6470588235294112</v>
      </c>
      <c r="T298">
        <f t="shared" si="34"/>
        <v>-2.6470588235294112</v>
      </c>
      <c r="U298">
        <f t="shared" si="37"/>
        <v>69.349901960784379</v>
      </c>
      <c r="V298" s="27" t="s">
        <v>46</v>
      </c>
      <c r="W298">
        <v>1372</v>
      </c>
      <c r="X298">
        <f t="shared" si="38"/>
        <v>5715.9</v>
      </c>
      <c r="Y298">
        <v>15.371260126709229</v>
      </c>
      <c r="Z298" s="27" t="s">
        <v>51</v>
      </c>
    </row>
    <row r="299" spans="1:26" x14ac:dyDescent="0.25">
      <c r="A299">
        <v>6360</v>
      </c>
      <c r="B299">
        <v>24170</v>
      </c>
      <c r="C299" s="1">
        <v>43244</v>
      </c>
      <c r="F299" s="35"/>
      <c r="G299">
        <v>18.399999999999999</v>
      </c>
      <c r="H299">
        <v>14.4</v>
      </c>
      <c r="I299">
        <v>22.6</v>
      </c>
      <c r="J299">
        <f t="shared" si="35"/>
        <v>2486.6000000000004</v>
      </c>
      <c r="K299">
        <f t="shared" si="36"/>
        <v>68.099999999999994</v>
      </c>
      <c r="L299" s="13">
        <f>AVERAGE(G296:G311)</f>
        <v>19.100000000000001</v>
      </c>
      <c r="M299">
        <v>0</v>
      </c>
      <c r="N299">
        <v>4</v>
      </c>
      <c r="O299">
        <f t="shared" si="32"/>
        <v>-4</v>
      </c>
      <c r="Q299">
        <v>268</v>
      </c>
      <c r="R299">
        <f t="shared" si="39"/>
        <v>1.0872549019607842</v>
      </c>
      <c r="S299">
        <f t="shared" si="33"/>
        <v>4.3490196078431369</v>
      </c>
      <c r="T299">
        <f t="shared" si="34"/>
        <v>-4.3490196078431369</v>
      </c>
      <c r="U299">
        <f t="shared" si="37"/>
        <v>65.000882352941247</v>
      </c>
      <c r="V299">
        <v>0</v>
      </c>
      <c r="W299">
        <v>2069.1</v>
      </c>
      <c r="X299">
        <f t="shared" si="38"/>
        <v>7785</v>
      </c>
      <c r="Y299">
        <v>15.408101012458749</v>
      </c>
      <c r="Z299">
        <f>(Z297/100)/L297</f>
        <v>0.82409685863874349</v>
      </c>
    </row>
    <row r="300" spans="1:26" x14ac:dyDescent="0.25">
      <c r="A300">
        <v>6360</v>
      </c>
      <c r="B300">
        <v>24170</v>
      </c>
      <c r="C300" s="1">
        <v>43245</v>
      </c>
      <c r="F300" s="35"/>
      <c r="G300">
        <v>19.399999999999999</v>
      </c>
      <c r="H300">
        <v>13.3</v>
      </c>
      <c r="I300">
        <v>25.4</v>
      </c>
      <c r="J300">
        <f t="shared" si="35"/>
        <v>2506.0000000000005</v>
      </c>
      <c r="K300">
        <f t="shared" si="36"/>
        <v>87.5</v>
      </c>
      <c r="L300" s="26" t="s">
        <v>40</v>
      </c>
      <c r="M300">
        <v>22.9</v>
      </c>
      <c r="N300">
        <v>4.0999999999999996</v>
      </c>
      <c r="O300">
        <f t="shared" si="32"/>
        <v>18.799999999999997</v>
      </c>
      <c r="Q300">
        <v>269</v>
      </c>
      <c r="R300">
        <f t="shared" si="39"/>
        <v>1.0715686274509804</v>
      </c>
      <c r="S300">
        <f t="shared" si="33"/>
        <v>4.3934313725490188</v>
      </c>
      <c r="T300">
        <f t="shared" si="34"/>
        <v>18.506568627450982</v>
      </c>
      <c r="U300">
        <f t="shared" si="37"/>
        <v>83.507450980392235</v>
      </c>
      <c r="V300" s="27" t="s">
        <v>47</v>
      </c>
      <c r="W300">
        <v>1947.7</v>
      </c>
      <c r="X300">
        <f t="shared" si="38"/>
        <v>9732.7000000000007</v>
      </c>
      <c r="Y300">
        <v>15.443931838019237</v>
      </c>
      <c r="Z300" s="27" t="s">
        <v>52</v>
      </c>
    </row>
    <row r="301" spans="1:26" x14ac:dyDescent="0.25">
      <c r="A301">
        <v>6360</v>
      </c>
      <c r="B301">
        <v>24170</v>
      </c>
      <c r="C301" s="1">
        <v>43246</v>
      </c>
      <c r="F301" s="35"/>
      <c r="G301">
        <v>21.9</v>
      </c>
      <c r="H301">
        <v>16.8</v>
      </c>
      <c r="I301">
        <v>25.6</v>
      </c>
      <c r="J301">
        <f t="shared" si="35"/>
        <v>2527.9000000000005</v>
      </c>
      <c r="K301">
        <f t="shared" si="36"/>
        <v>109.4</v>
      </c>
      <c r="L301" s="14">
        <f>MIN(H296:H311)</f>
        <v>12.1</v>
      </c>
      <c r="M301">
        <v>0</v>
      </c>
      <c r="N301">
        <v>3.2</v>
      </c>
      <c r="O301">
        <f t="shared" si="32"/>
        <v>-3.2</v>
      </c>
      <c r="Q301">
        <v>270</v>
      </c>
      <c r="R301">
        <f t="shared" si="39"/>
        <v>1.0558823529411765</v>
      </c>
      <c r="S301">
        <f t="shared" si="33"/>
        <v>3.3788235294117648</v>
      </c>
      <c r="T301">
        <f t="shared" si="34"/>
        <v>-3.3788235294117648</v>
      </c>
      <c r="U301">
        <f t="shared" si="37"/>
        <v>80.128627450980474</v>
      </c>
      <c r="V301" s="2">
        <f>MIN(U296:U311)</f>
        <v>65.000882352941247</v>
      </c>
      <c r="W301">
        <v>1426.3</v>
      </c>
      <c r="X301">
        <f t="shared" si="38"/>
        <v>11159</v>
      </c>
      <c r="Y301">
        <v>15.478728128604532</v>
      </c>
      <c r="Z301">
        <v>3</v>
      </c>
    </row>
    <row r="302" spans="1:26" x14ac:dyDescent="0.25">
      <c r="A302">
        <v>6360</v>
      </c>
      <c r="B302">
        <v>24170</v>
      </c>
      <c r="C302" s="1">
        <v>43247</v>
      </c>
      <c r="F302" s="35"/>
      <c r="G302">
        <v>22.5</v>
      </c>
      <c r="H302">
        <v>18.8</v>
      </c>
      <c r="I302">
        <v>26.3</v>
      </c>
      <c r="J302">
        <f t="shared" si="35"/>
        <v>2550.4000000000005</v>
      </c>
      <c r="K302">
        <f t="shared" si="36"/>
        <v>131.9</v>
      </c>
      <c r="L302" s="26" t="s">
        <v>41</v>
      </c>
      <c r="M302">
        <v>1</v>
      </c>
      <c r="N302">
        <v>3.8</v>
      </c>
      <c r="O302">
        <f t="shared" si="32"/>
        <v>-2.8</v>
      </c>
      <c r="Q302">
        <v>271</v>
      </c>
      <c r="R302">
        <f t="shared" si="39"/>
        <v>1.0401960784313724</v>
      </c>
      <c r="S302">
        <f t="shared" si="33"/>
        <v>3.9527450980392151</v>
      </c>
      <c r="T302">
        <f t="shared" si="34"/>
        <v>-2.9527450980392151</v>
      </c>
      <c r="U302">
        <f t="shared" si="37"/>
        <v>77.175882352941258</v>
      </c>
      <c r="V302" s="27" t="s">
        <v>48</v>
      </c>
      <c r="W302">
        <v>1932.8</v>
      </c>
      <c r="X302">
        <f t="shared" si="38"/>
        <v>13091.8</v>
      </c>
      <c r="Y302">
        <v>15.512465610115107</v>
      </c>
    </row>
    <row r="303" spans="1:26" x14ac:dyDescent="0.25">
      <c r="A303">
        <v>6360</v>
      </c>
      <c r="B303">
        <v>24170</v>
      </c>
      <c r="C303" s="1">
        <v>43248</v>
      </c>
      <c r="F303" s="35"/>
      <c r="G303">
        <v>19.899999999999999</v>
      </c>
      <c r="H303">
        <v>17.3</v>
      </c>
      <c r="I303">
        <v>25.3</v>
      </c>
      <c r="J303">
        <f t="shared" si="35"/>
        <v>2570.3000000000006</v>
      </c>
      <c r="K303">
        <f t="shared" si="36"/>
        <v>151.80000000000001</v>
      </c>
      <c r="L303" s="12">
        <f>MAX(I296:I311)</f>
        <v>26.3</v>
      </c>
      <c r="M303">
        <v>25.3</v>
      </c>
      <c r="N303">
        <v>1.8</v>
      </c>
      <c r="O303">
        <f t="shared" si="32"/>
        <v>23.5</v>
      </c>
      <c r="Q303">
        <v>272</v>
      </c>
      <c r="R303">
        <f t="shared" si="39"/>
        <v>1.0245098039215685</v>
      </c>
      <c r="S303">
        <f t="shared" si="33"/>
        <v>1.8441176470588234</v>
      </c>
      <c r="T303">
        <f t="shared" si="34"/>
        <v>23.455882352941178</v>
      </c>
      <c r="U303">
        <f t="shared" si="37"/>
        <v>100.63176470588243</v>
      </c>
      <c r="V303" s="2">
        <f>MAX(U296:U311)</f>
        <v>156.85656862745105</v>
      </c>
      <c r="W303">
        <v>537</v>
      </c>
      <c r="X303">
        <f t="shared" si="38"/>
        <v>13628.8</v>
      </c>
      <c r="Y303">
        <v>15.545120261200138</v>
      </c>
    </row>
    <row r="304" spans="1:26" x14ac:dyDescent="0.25">
      <c r="A304">
        <v>6360</v>
      </c>
      <c r="B304">
        <v>24170</v>
      </c>
      <c r="C304" s="1">
        <v>43249</v>
      </c>
      <c r="F304" s="35"/>
      <c r="G304">
        <v>18.399999999999999</v>
      </c>
      <c r="H304">
        <v>16.2</v>
      </c>
      <c r="I304">
        <v>23</v>
      </c>
      <c r="J304">
        <f t="shared" si="35"/>
        <v>2588.7000000000007</v>
      </c>
      <c r="K304">
        <f t="shared" si="36"/>
        <v>170.20000000000002</v>
      </c>
      <c r="L304" s="26" t="s">
        <v>42</v>
      </c>
      <c r="M304">
        <v>13.5</v>
      </c>
      <c r="N304">
        <v>2.6</v>
      </c>
      <c r="O304">
        <f t="shared" si="32"/>
        <v>10.9</v>
      </c>
      <c r="Q304">
        <v>273</v>
      </c>
      <c r="R304">
        <f t="shared" si="39"/>
        <v>1.0088235294117647</v>
      </c>
      <c r="S304">
        <f t="shared" si="33"/>
        <v>2.6229411764705883</v>
      </c>
      <c r="T304">
        <f t="shared" si="34"/>
        <v>10.877058823529412</v>
      </c>
      <c r="U304">
        <f t="shared" si="37"/>
        <v>111.50882352941184</v>
      </c>
      <c r="V304" s="27" t="s">
        <v>49</v>
      </c>
      <c r="W304">
        <v>1336.9</v>
      </c>
      <c r="X304">
        <f t="shared" si="38"/>
        <v>14965.699999999999</v>
      </c>
      <c r="Y304">
        <v>15.576668366751578</v>
      </c>
    </row>
    <row r="305" spans="1:26" x14ac:dyDescent="0.25">
      <c r="A305">
        <v>6360</v>
      </c>
      <c r="B305">
        <v>24170</v>
      </c>
      <c r="C305" s="1">
        <v>43250</v>
      </c>
      <c r="F305" s="35"/>
      <c r="G305">
        <v>19.3</v>
      </c>
      <c r="H305">
        <v>15.4</v>
      </c>
      <c r="I305">
        <v>22.5</v>
      </c>
      <c r="J305">
        <f t="shared" si="35"/>
        <v>2608.0000000000009</v>
      </c>
      <c r="K305">
        <f t="shared" si="36"/>
        <v>189.50000000000003</v>
      </c>
      <c r="L305" s="12">
        <v>4</v>
      </c>
      <c r="M305">
        <v>1.9</v>
      </c>
      <c r="N305">
        <v>2.7</v>
      </c>
      <c r="O305">
        <f t="shared" si="32"/>
        <v>-0.80000000000000027</v>
      </c>
      <c r="Q305">
        <v>274</v>
      </c>
      <c r="R305">
        <f t="shared" si="39"/>
        <v>0.9931372549019607</v>
      </c>
      <c r="S305">
        <f t="shared" si="33"/>
        <v>2.6814705882352943</v>
      </c>
      <c r="T305">
        <f t="shared" si="34"/>
        <v>-0.78147058823529436</v>
      </c>
      <c r="U305">
        <f t="shared" si="37"/>
        <v>110.72735294117655</v>
      </c>
      <c r="V305" s="2">
        <f>AVERAGE(U296:U311)</f>
        <v>97.119975490196168</v>
      </c>
      <c r="W305">
        <v>1384.2</v>
      </c>
      <c r="X305">
        <f t="shared" si="38"/>
        <v>16349.9</v>
      </c>
      <c r="Y305">
        <v>15.607086572644922</v>
      </c>
    </row>
    <row r="306" spans="1:26" x14ac:dyDescent="0.25">
      <c r="A306">
        <v>6360</v>
      </c>
      <c r="B306">
        <v>24170</v>
      </c>
      <c r="C306" s="1">
        <v>43251</v>
      </c>
      <c r="F306" s="35"/>
      <c r="G306">
        <v>19.7</v>
      </c>
      <c r="H306">
        <v>16.899999999999999</v>
      </c>
      <c r="I306">
        <v>22.6</v>
      </c>
      <c r="J306">
        <f t="shared" si="35"/>
        <v>2627.7000000000007</v>
      </c>
      <c r="K306">
        <f t="shared" si="36"/>
        <v>209.20000000000002</v>
      </c>
      <c r="L306" s="26" t="s">
        <v>43</v>
      </c>
      <c r="M306">
        <v>0</v>
      </c>
      <c r="N306">
        <v>3.7</v>
      </c>
      <c r="O306">
        <f t="shared" si="32"/>
        <v>-3.7</v>
      </c>
      <c r="Q306">
        <v>275</v>
      </c>
      <c r="R306">
        <f t="shared" si="39"/>
        <v>0.97745098039215672</v>
      </c>
      <c r="S306">
        <f t="shared" si="33"/>
        <v>3.6165686274509801</v>
      </c>
      <c r="T306">
        <f t="shared" si="34"/>
        <v>-3.6165686274509801</v>
      </c>
      <c r="U306">
        <f t="shared" si="37"/>
        <v>107.11078431372557</v>
      </c>
      <c r="W306">
        <v>1937.2</v>
      </c>
      <c r="X306">
        <f t="shared" si="38"/>
        <v>18287.099999999999</v>
      </c>
      <c r="Y306">
        <v>15.636351941521937</v>
      </c>
    </row>
    <row r="307" spans="1:26" x14ac:dyDescent="0.25">
      <c r="A307">
        <v>6360</v>
      </c>
      <c r="B307">
        <v>24170</v>
      </c>
      <c r="C307" s="1">
        <v>43252</v>
      </c>
      <c r="F307" s="35"/>
      <c r="G307">
        <v>17.600000000000001</v>
      </c>
      <c r="H307">
        <v>16.8</v>
      </c>
      <c r="I307">
        <v>18.899999999999999</v>
      </c>
      <c r="J307">
        <f t="shared" si="35"/>
        <v>2645.3000000000006</v>
      </c>
      <c r="K307">
        <f t="shared" si="36"/>
        <v>226.8</v>
      </c>
      <c r="L307" s="12">
        <v>0</v>
      </c>
      <c r="M307">
        <v>8.1</v>
      </c>
      <c r="N307">
        <v>1.2</v>
      </c>
      <c r="O307">
        <f t="shared" si="32"/>
        <v>6.8999999999999995</v>
      </c>
      <c r="Q307">
        <v>276</v>
      </c>
      <c r="R307">
        <f t="shared" si="39"/>
        <v>0.96176470588235285</v>
      </c>
      <c r="S307">
        <f t="shared" si="33"/>
        <v>1.1541176470588235</v>
      </c>
      <c r="T307">
        <f t="shared" si="34"/>
        <v>6.945882352941176</v>
      </c>
      <c r="U307">
        <f t="shared" si="37"/>
        <v>114.05666666666676</v>
      </c>
      <c r="V307" s="16">
        <f>(V305*100)/179.3</f>
        <v>54.16618822654555</v>
      </c>
      <c r="W307">
        <v>554.29999999999995</v>
      </c>
      <c r="X307">
        <f t="shared" si="38"/>
        <v>18841.399999999998</v>
      </c>
      <c r="Y307">
        <v>15.664442009391914</v>
      </c>
    </row>
    <row r="308" spans="1:26" x14ac:dyDescent="0.25">
      <c r="A308">
        <v>6360</v>
      </c>
      <c r="B308">
        <v>24170</v>
      </c>
      <c r="C308" s="1">
        <v>43253</v>
      </c>
      <c r="F308" s="35"/>
      <c r="G308">
        <v>19</v>
      </c>
      <c r="H308">
        <v>16.2</v>
      </c>
      <c r="I308">
        <v>22.2</v>
      </c>
      <c r="J308">
        <f t="shared" si="35"/>
        <v>2664.3000000000006</v>
      </c>
      <c r="K308">
        <f t="shared" si="36"/>
        <v>245.8</v>
      </c>
      <c r="L308" s="26" t="s">
        <v>44</v>
      </c>
      <c r="M308">
        <v>0</v>
      </c>
      <c r="N308">
        <v>4.0999999999999996</v>
      </c>
      <c r="O308">
        <f t="shared" si="32"/>
        <v>-4.0999999999999996</v>
      </c>
      <c r="Q308">
        <v>277</v>
      </c>
      <c r="R308">
        <f t="shared" si="39"/>
        <v>0.94607843137254899</v>
      </c>
      <c r="S308">
        <f t="shared" si="33"/>
        <v>3.8789215686274505</v>
      </c>
      <c r="T308">
        <f t="shared" si="34"/>
        <v>-3.8789215686274505</v>
      </c>
      <c r="U308">
        <f t="shared" si="37"/>
        <v>110.17774509803931</v>
      </c>
      <c r="W308">
        <v>2138.4</v>
      </c>
      <c r="X308">
        <f t="shared" si="38"/>
        <v>20979.8</v>
      </c>
      <c r="Y308">
        <v>15.691334842810049</v>
      </c>
    </row>
    <row r="309" spans="1:26" x14ac:dyDescent="0.25">
      <c r="A309">
        <v>6360</v>
      </c>
      <c r="B309">
        <v>24170</v>
      </c>
      <c r="C309" s="1">
        <v>43254</v>
      </c>
      <c r="F309" s="35"/>
      <c r="G309">
        <v>20.5</v>
      </c>
      <c r="H309">
        <v>15.7</v>
      </c>
      <c r="I309">
        <v>23.9</v>
      </c>
      <c r="J309">
        <f t="shared" si="35"/>
        <v>2684.8000000000006</v>
      </c>
      <c r="K309">
        <f t="shared" si="36"/>
        <v>266.3</v>
      </c>
      <c r="L309" s="22">
        <v>0</v>
      </c>
      <c r="M309">
        <v>0.4</v>
      </c>
      <c r="N309">
        <v>3.9</v>
      </c>
      <c r="O309">
        <f t="shared" si="32"/>
        <v>-3.5</v>
      </c>
      <c r="Q309">
        <v>278</v>
      </c>
      <c r="R309">
        <f t="shared" si="39"/>
        <v>0.93039215686274501</v>
      </c>
      <c r="S309">
        <f t="shared" si="33"/>
        <v>3.6285294117647053</v>
      </c>
      <c r="T309">
        <f t="shared" si="34"/>
        <v>-3.2285294117647054</v>
      </c>
      <c r="U309">
        <f t="shared" si="37"/>
        <v>106.9492156862746</v>
      </c>
      <c r="W309">
        <v>2119.6</v>
      </c>
      <c r="X309">
        <f t="shared" si="38"/>
        <v>23099.399999999998</v>
      </c>
      <c r="Y309">
        <v>15.717009096374518</v>
      </c>
    </row>
    <row r="310" spans="1:26" x14ac:dyDescent="0.25">
      <c r="A310">
        <v>6360</v>
      </c>
      <c r="B310">
        <v>24170</v>
      </c>
      <c r="C310" s="1">
        <v>43255</v>
      </c>
      <c r="F310" s="35"/>
      <c r="G310">
        <v>21.1</v>
      </c>
      <c r="H310">
        <v>17.600000000000001</v>
      </c>
      <c r="I310">
        <v>24.6</v>
      </c>
      <c r="J310">
        <f t="shared" si="35"/>
        <v>2705.9000000000005</v>
      </c>
      <c r="K310">
        <f t="shared" si="36"/>
        <v>287.40000000000003</v>
      </c>
      <c r="M310">
        <v>8.4</v>
      </c>
      <c r="N310">
        <v>3</v>
      </c>
      <c r="O310">
        <f t="shared" si="32"/>
        <v>5.4</v>
      </c>
      <c r="Q310">
        <v>279</v>
      </c>
      <c r="R310">
        <f t="shared" si="39"/>
        <v>0.91470588235294104</v>
      </c>
      <c r="S310">
        <f t="shared" si="33"/>
        <v>2.7441176470588231</v>
      </c>
      <c r="T310">
        <f t="shared" si="34"/>
        <v>5.6558823529411768</v>
      </c>
      <c r="U310">
        <f t="shared" si="37"/>
        <v>112.60509803921578</v>
      </c>
      <c r="W310">
        <v>1345.8</v>
      </c>
      <c r="X310">
        <f t="shared" si="38"/>
        <v>24445.199999999997</v>
      </c>
      <c r="Y310">
        <v>15.741444070268344</v>
      </c>
    </row>
    <row r="311" spans="1:26" s="6" customFormat="1" ht="15.75" thickBot="1" x14ac:dyDescent="0.3">
      <c r="A311" s="6">
        <v>6360</v>
      </c>
      <c r="B311" s="6">
        <v>24170</v>
      </c>
      <c r="C311" s="7">
        <v>43256</v>
      </c>
      <c r="F311" s="36"/>
      <c r="G311" s="6">
        <v>18.2</v>
      </c>
      <c r="H311" s="6">
        <v>16.399999999999999</v>
      </c>
      <c r="I311" s="6">
        <v>20.8</v>
      </c>
      <c r="J311" s="6">
        <f t="shared" si="35"/>
        <v>2724.1000000000004</v>
      </c>
      <c r="K311" s="6">
        <f t="shared" si="36"/>
        <v>305.60000000000002</v>
      </c>
      <c r="M311" s="6">
        <v>45.6</v>
      </c>
      <c r="N311" s="6">
        <v>1.5</v>
      </c>
      <c r="O311" s="6">
        <f t="shared" si="32"/>
        <v>44.1</v>
      </c>
      <c r="Q311" s="6">
        <v>280</v>
      </c>
      <c r="R311">
        <f t="shared" si="39"/>
        <v>0.89901960784313717</v>
      </c>
      <c r="S311" s="6">
        <f t="shared" si="33"/>
        <v>1.3485294117647058</v>
      </c>
      <c r="T311" s="6">
        <f t="shared" si="34"/>
        <v>44.251470588235293</v>
      </c>
      <c r="U311" s="6">
        <f t="shared" si="37"/>
        <v>156.85656862745105</v>
      </c>
      <c r="W311" s="6">
        <v>739.2</v>
      </c>
      <c r="X311" s="6">
        <f t="shared" si="38"/>
        <v>25184.399999999998</v>
      </c>
      <c r="Y311" s="6">
        <v>15.764619767558086</v>
      </c>
    </row>
    <row r="312" spans="1:26" x14ac:dyDescent="0.25">
      <c r="A312">
        <v>6360</v>
      </c>
      <c r="B312">
        <v>24170</v>
      </c>
      <c r="C312" s="1">
        <v>43257</v>
      </c>
      <c r="F312" s="31" t="s">
        <v>54</v>
      </c>
      <c r="G312">
        <v>18.100000000000001</v>
      </c>
      <c r="H312">
        <v>15.2</v>
      </c>
      <c r="I312">
        <v>21.5</v>
      </c>
      <c r="J312">
        <f t="shared" si="35"/>
        <v>2742.2000000000003</v>
      </c>
      <c r="K312">
        <f>G312</f>
        <v>18.100000000000001</v>
      </c>
      <c r="L312" s="28" t="s">
        <v>38</v>
      </c>
      <c r="M312">
        <v>28.5</v>
      </c>
      <c r="N312">
        <v>2.1</v>
      </c>
      <c r="O312">
        <f t="shared" si="32"/>
        <v>26.4</v>
      </c>
      <c r="Q312">
        <v>281</v>
      </c>
      <c r="R312">
        <f t="shared" si="39"/>
        <v>0.8833333333333333</v>
      </c>
      <c r="S312">
        <f t="shared" si="33"/>
        <v>1.855</v>
      </c>
      <c r="T312">
        <f t="shared" si="34"/>
        <v>26.645</v>
      </c>
      <c r="U312">
        <f t="shared" si="37"/>
        <v>179.3</v>
      </c>
      <c r="V312" s="29" t="s">
        <v>45</v>
      </c>
      <c r="W312">
        <v>1064.9000000000001</v>
      </c>
      <c r="X312">
        <f>W312</f>
        <v>1064.9000000000001</v>
      </c>
      <c r="Y312">
        <v>15.786516950949512</v>
      </c>
      <c r="Z312" s="29" t="s">
        <v>50</v>
      </c>
    </row>
    <row r="313" spans="1:26" x14ac:dyDescent="0.25">
      <c r="A313">
        <v>6360</v>
      </c>
      <c r="B313">
        <v>24170</v>
      </c>
      <c r="C313" s="1">
        <v>43258</v>
      </c>
      <c r="F313" s="32"/>
      <c r="G313">
        <v>19.8</v>
      </c>
      <c r="H313">
        <v>17.2</v>
      </c>
      <c r="I313">
        <v>23.1</v>
      </c>
      <c r="J313">
        <f t="shared" si="35"/>
        <v>2762.0000000000005</v>
      </c>
      <c r="K313">
        <f t="shared" si="36"/>
        <v>37.900000000000006</v>
      </c>
      <c r="L313" s="12">
        <v>401.4</v>
      </c>
      <c r="M313">
        <v>0</v>
      </c>
      <c r="N313">
        <v>3.3</v>
      </c>
      <c r="O313">
        <f t="shared" si="32"/>
        <v>-3.3</v>
      </c>
      <c r="Q313">
        <v>282</v>
      </c>
      <c r="R313">
        <f t="shared" si="39"/>
        <v>0.86764705882352933</v>
      </c>
      <c r="S313">
        <f t="shared" si="33"/>
        <v>2.8632352941176467</v>
      </c>
      <c r="T313">
        <f t="shared" si="34"/>
        <v>-2.8632352941176467</v>
      </c>
      <c r="U313">
        <f t="shared" si="37"/>
        <v>176.43676470588235</v>
      </c>
      <c r="V313">
        <v>0</v>
      </c>
      <c r="W313">
        <v>1542.6</v>
      </c>
      <c r="X313">
        <f t="shared" si="38"/>
        <v>2607.5</v>
      </c>
      <c r="Y313">
        <v>15.807117198690477</v>
      </c>
      <c r="Z313">
        <v>37371.199999999997</v>
      </c>
    </row>
    <row r="314" spans="1:26" x14ac:dyDescent="0.25">
      <c r="A314">
        <v>6360</v>
      </c>
      <c r="B314">
        <v>24170</v>
      </c>
      <c r="C314" s="1">
        <v>43259</v>
      </c>
      <c r="F314" s="32"/>
      <c r="G314">
        <v>20.2</v>
      </c>
      <c r="H314">
        <v>15.9</v>
      </c>
      <c r="I314">
        <v>23.1</v>
      </c>
      <c r="J314">
        <f t="shared" si="35"/>
        <v>2782.2000000000003</v>
      </c>
      <c r="K314">
        <f t="shared" si="36"/>
        <v>58.100000000000009</v>
      </c>
      <c r="L314" s="28" t="s">
        <v>39</v>
      </c>
      <c r="M314">
        <v>0</v>
      </c>
      <c r="N314">
        <v>3.6</v>
      </c>
      <c r="O314">
        <f t="shared" si="32"/>
        <v>-3.6</v>
      </c>
      <c r="Q314">
        <v>283</v>
      </c>
      <c r="R314">
        <f t="shared" si="39"/>
        <v>0.85196078431372535</v>
      </c>
      <c r="S314">
        <f t="shared" si="33"/>
        <v>3.0670588235294112</v>
      </c>
      <c r="T314">
        <f t="shared" si="34"/>
        <v>-3.0670588235294112</v>
      </c>
      <c r="U314">
        <f t="shared" si="37"/>
        <v>173.36970588235295</v>
      </c>
      <c r="V314" s="29" t="s">
        <v>46</v>
      </c>
      <c r="W314">
        <v>1974.4</v>
      </c>
      <c r="X314">
        <f t="shared" si="38"/>
        <v>4581.8999999999996</v>
      </c>
      <c r="Y314">
        <v>15.826402959304025</v>
      </c>
      <c r="Z314" s="29" t="s">
        <v>51</v>
      </c>
    </row>
    <row r="315" spans="1:26" x14ac:dyDescent="0.25">
      <c r="A315">
        <v>6360</v>
      </c>
      <c r="B315">
        <v>24170</v>
      </c>
      <c r="C315" s="1">
        <v>43260</v>
      </c>
      <c r="F315" s="32"/>
      <c r="G315">
        <v>19.399999999999999</v>
      </c>
      <c r="H315">
        <v>15.7</v>
      </c>
      <c r="I315">
        <v>23</v>
      </c>
      <c r="J315">
        <f t="shared" si="35"/>
        <v>2801.6000000000004</v>
      </c>
      <c r="K315">
        <f t="shared" si="36"/>
        <v>77.5</v>
      </c>
      <c r="L315" s="13">
        <f>AVERAGE(G312:G333)</f>
        <v>18.245454545454546</v>
      </c>
      <c r="M315">
        <v>0.4</v>
      </c>
      <c r="N315">
        <v>2.8</v>
      </c>
      <c r="O315">
        <f t="shared" si="32"/>
        <v>-2.4</v>
      </c>
      <c r="Q315">
        <v>284</v>
      </c>
      <c r="R315">
        <f t="shared" si="39"/>
        <v>0.83627450980392148</v>
      </c>
      <c r="S315">
        <f t="shared" si="33"/>
        <v>2.3415686274509802</v>
      </c>
      <c r="T315">
        <f t="shared" si="34"/>
        <v>-1.9415686274509802</v>
      </c>
      <c r="U315">
        <f t="shared" si="37"/>
        <v>171.42813725490197</v>
      </c>
      <c r="V315">
        <v>0</v>
      </c>
      <c r="W315">
        <v>1571.7</v>
      </c>
      <c r="X315">
        <f t="shared" si="38"/>
        <v>6153.5999999999995</v>
      </c>
      <c r="Y315">
        <v>15.844357604830098</v>
      </c>
      <c r="Z315">
        <f>(Z313/100)/L313</f>
        <v>0.93102142501245644</v>
      </c>
    </row>
    <row r="316" spans="1:26" x14ac:dyDescent="0.25">
      <c r="A316">
        <v>6360</v>
      </c>
      <c r="B316">
        <v>24170</v>
      </c>
      <c r="C316" s="1">
        <v>43261</v>
      </c>
      <c r="F316" s="32"/>
      <c r="G316">
        <v>19.399999999999999</v>
      </c>
      <c r="H316">
        <v>16.600000000000001</v>
      </c>
      <c r="I316">
        <v>22.7</v>
      </c>
      <c r="J316">
        <f t="shared" si="35"/>
        <v>2821.0000000000005</v>
      </c>
      <c r="K316">
        <f t="shared" si="36"/>
        <v>96.9</v>
      </c>
      <c r="L316" s="28" t="s">
        <v>40</v>
      </c>
      <c r="M316">
        <v>3.1</v>
      </c>
      <c r="N316">
        <v>2.1</v>
      </c>
      <c r="O316">
        <f t="shared" si="32"/>
        <v>1</v>
      </c>
      <c r="Q316">
        <v>285</v>
      </c>
      <c r="R316">
        <f t="shared" si="39"/>
        <v>0.82058823529411762</v>
      </c>
      <c r="S316">
        <f t="shared" si="33"/>
        <v>1.723235294117647</v>
      </c>
      <c r="T316">
        <f t="shared" si="34"/>
        <v>1.3767647058823531</v>
      </c>
      <c r="U316">
        <f t="shared" si="37"/>
        <v>172.80490196078432</v>
      </c>
      <c r="V316" s="29" t="s">
        <v>47</v>
      </c>
      <c r="W316">
        <v>1069.9000000000001</v>
      </c>
      <c r="X316">
        <f t="shared" si="38"/>
        <v>7223.5</v>
      </c>
      <c r="Y316">
        <v>15.860965482252594</v>
      </c>
      <c r="Z316" s="29" t="s">
        <v>52</v>
      </c>
    </row>
    <row r="317" spans="1:26" x14ac:dyDescent="0.25">
      <c r="A317">
        <v>6360</v>
      </c>
      <c r="B317">
        <v>24170</v>
      </c>
      <c r="C317" s="1">
        <v>43262</v>
      </c>
      <c r="F317" s="32"/>
      <c r="G317">
        <v>18.399999999999999</v>
      </c>
      <c r="H317">
        <v>17.2</v>
      </c>
      <c r="I317">
        <v>19.8</v>
      </c>
      <c r="J317">
        <f t="shared" si="35"/>
        <v>2839.4000000000005</v>
      </c>
      <c r="K317">
        <f t="shared" si="36"/>
        <v>115.30000000000001</v>
      </c>
      <c r="L317" s="14">
        <f>MIN(H312:H333)</f>
        <v>10</v>
      </c>
      <c r="M317">
        <v>66.099999999999994</v>
      </c>
      <c r="N317">
        <v>1.5</v>
      </c>
      <c r="O317">
        <f t="shared" si="32"/>
        <v>64.599999999999994</v>
      </c>
      <c r="Q317">
        <v>286</v>
      </c>
      <c r="R317">
        <f t="shared" si="39"/>
        <v>0.80490196078431364</v>
      </c>
      <c r="S317">
        <f t="shared" si="33"/>
        <v>1.2073529411764705</v>
      </c>
      <c r="T317">
        <f t="shared" si="34"/>
        <v>64.892647058823528</v>
      </c>
      <c r="U317">
        <f t="shared" si="37"/>
        <v>179.3</v>
      </c>
      <c r="V317" s="2">
        <f>MIN(U312:U333)</f>
        <v>140.56617647058823</v>
      </c>
      <c r="W317">
        <v>665.2</v>
      </c>
      <c r="X317">
        <f t="shared" si="38"/>
        <v>7888.7</v>
      </c>
      <c r="Y317">
        <v>15.876211962790004</v>
      </c>
      <c r="Z317">
        <v>3</v>
      </c>
    </row>
    <row r="318" spans="1:26" x14ac:dyDescent="0.25">
      <c r="A318">
        <v>6360</v>
      </c>
      <c r="B318">
        <v>24170</v>
      </c>
      <c r="C318" s="1">
        <v>43263</v>
      </c>
      <c r="F318" s="32"/>
      <c r="G318">
        <v>16.3</v>
      </c>
      <c r="H318">
        <v>15.7</v>
      </c>
      <c r="I318">
        <v>18</v>
      </c>
      <c r="J318">
        <f t="shared" si="35"/>
        <v>2855.7000000000007</v>
      </c>
      <c r="K318">
        <f t="shared" si="36"/>
        <v>131.60000000000002</v>
      </c>
      <c r="L318" s="28" t="s">
        <v>41</v>
      </c>
      <c r="M318">
        <v>0.2</v>
      </c>
      <c r="N318">
        <v>1.4</v>
      </c>
      <c r="O318">
        <f t="shared" si="32"/>
        <v>-1.2</v>
      </c>
      <c r="Q318">
        <v>287</v>
      </c>
      <c r="R318">
        <f t="shared" si="39"/>
        <v>0.78921568627450966</v>
      </c>
      <c r="S318">
        <f t="shared" si="33"/>
        <v>1.1049019607843134</v>
      </c>
      <c r="T318">
        <f t="shared" si="34"/>
        <v>-0.9049019607843134</v>
      </c>
      <c r="U318">
        <f t="shared" si="37"/>
        <v>178.3950980392157</v>
      </c>
      <c r="V318" s="29" t="s">
        <v>48</v>
      </c>
      <c r="W318">
        <v>647.1</v>
      </c>
      <c r="X318">
        <f t="shared" si="38"/>
        <v>8535.7999999999993</v>
      </c>
      <c r="Y318">
        <v>15.890083488732621</v>
      </c>
    </row>
    <row r="319" spans="1:26" x14ac:dyDescent="0.25">
      <c r="A319">
        <v>6360</v>
      </c>
      <c r="B319">
        <v>24170</v>
      </c>
      <c r="C319" s="1">
        <v>43264</v>
      </c>
      <c r="F319" s="32"/>
      <c r="G319">
        <v>14.2</v>
      </c>
      <c r="H319">
        <v>11.4</v>
      </c>
      <c r="I319">
        <v>17</v>
      </c>
      <c r="J319">
        <f t="shared" si="35"/>
        <v>2869.9000000000005</v>
      </c>
      <c r="K319">
        <f t="shared" si="36"/>
        <v>145.80000000000001</v>
      </c>
      <c r="L319" s="12">
        <f>MAX(I312:I333)</f>
        <v>26.7</v>
      </c>
      <c r="M319">
        <v>0</v>
      </c>
      <c r="N319">
        <v>2.1</v>
      </c>
      <c r="O319">
        <f t="shared" si="32"/>
        <v>-2.1</v>
      </c>
      <c r="Q319">
        <v>288</v>
      </c>
      <c r="R319">
        <f t="shared" si="39"/>
        <v>0.7735294117647058</v>
      </c>
      <c r="S319">
        <f t="shared" si="33"/>
        <v>1.6244117647058822</v>
      </c>
      <c r="T319">
        <f t="shared" si="34"/>
        <v>-1.6244117647058822</v>
      </c>
      <c r="U319">
        <f t="shared" si="37"/>
        <v>176.77068627450981</v>
      </c>
      <c r="V319" s="2">
        <f>MAX(U312:U333)</f>
        <v>179.3</v>
      </c>
      <c r="W319">
        <v>1087.0999999999999</v>
      </c>
      <c r="X319">
        <f t="shared" si="38"/>
        <v>9622.9</v>
      </c>
      <c r="Y319">
        <v>15.902567617517349</v>
      </c>
    </row>
    <row r="320" spans="1:26" x14ac:dyDescent="0.25">
      <c r="A320">
        <v>6360</v>
      </c>
      <c r="B320">
        <v>24170</v>
      </c>
      <c r="C320" s="1">
        <v>43265</v>
      </c>
      <c r="F320" s="32"/>
      <c r="G320">
        <v>16.2</v>
      </c>
      <c r="H320">
        <v>11</v>
      </c>
      <c r="I320">
        <v>19</v>
      </c>
      <c r="J320">
        <f t="shared" si="35"/>
        <v>2886.1000000000004</v>
      </c>
      <c r="K320">
        <f t="shared" si="36"/>
        <v>162</v>
      </c>
      <c r="L320" s="28" t="s">
        <v>42</v>
      </c>
      <c r="M320">
        <v>0.1</v>
      </c>
      <c r="N320">
        <v>2.4</v>
      </c>
      <c r="O320">
        <f t="shared" si="32"/>
        <v>-2.2999999999999998</v>
      </c>
      <c r="Q320">
        <v>289</v>
      </c>
      <c r="R320">
        <f t="shared" si="39"/>
        <v>0.75784313725490193</v>
      </c>
      <c r="S320">
        <f t="shared" si="33"/>
        <v>1.8188235294117645</v>
      </c>
      <c r="T320">
        <f t="shared" si="34"/>
        <v>-1.7188235294117644</v>
      </c>
      <c r="U320">
        <f t="shared" si="37"/>
        <v>175.05186274509805</v>
      </c>
      <c r="V320" s="29" t="s">
        <v>49</v>
      </c>
      <c r="W320">
        <v>1375.5</v>
      </c>
      <c r="X320">
        <f t="shared" si="38"/>
        <v>10998.4</v>
      </c>
      <c r="Y320">
        <v>15.913653062742705</v>
      </c>
    </row>
    <row r="321" spans="1:25" x14ac:dyDescent="0.25">
      <c r="A321">
        <v>6360</v>
      </c>
      <c r="B321">
        <v>24170</v>
      </c>
      <c r="C321" s="1">
        <v>43266</v>
      </c>
      <c r="F321" s="32"/>
      <c r="G321">
        <v>18.399999999999999</v>
      </c>
      <c r="H321">
        <v>14.6</v>
      </c>
      <c r="I321">
        <v>22.2</v>
      </c>
      <c r="J321">
        <f t="shared" si="35"/>
        <v>2904.5000000000005</v>
      </c>
      <c r="K321">
        <f t="shared" si="36"/>
        <v>180.4</v>
      </c>
      <c r="L321" s="12">
        <v>2</v>
      </c>
      <c r="M321">
        <v>0</v>
      </c>
      <c r="N321">
        <v>3.2</v>
      </c>
      <c r="O321">
        <f t="shared" si="32"/>
        <v>-3.2</v>
      </c>
      <c r="Q321">
        <v>290</v>
      </c>
      <c r="R321">
        <f t="shared" si="39"/>
        <v>0.74215686274509807</v>
      </c>
      <c r="S321">
        <f t="shared" si="33"/>
        <v>2.3749019607843138</v>
      </c>
      <c r="T321">
        <f t="shared" si="34"/>
        <v>-2.3749019607843138</v>
      </c>
      <c r="U321">
        <f t="shared" si="37"/>
        <v>172.67696078431374</v>
      </c>
      <c r="V321" s="2">
        <f>AVERAGE(U312:U333)</f>
        <v>165.52371657754011</v>
      </c>
      <c r="W321">
        <v>1567.2</v>
      </c>
      <c r="X321">
        <f t="shared" si="38"/>
        <v>12565.6</v>
      </c>
      <c r="Y321">
        <v>15.923329731841465</v>
      </c>
    </row>
    <row r="322" spans="1:25" x14ac:dyDescent="0.25">
      <c r="A322">
        <v>6360</v>
      </c>
      <c r="B322">
        <v>24170</v>
      </c>
      <c r="C322" s="1">
        <v>43267</v>
      </c>
      <c r="F322" s="32"/>
      <c r="G322">
        <v>17.899999999999999</v>
      </c>
      <c r="H322">
        <v>14.4</v>
      </c>
      <c r="I322">
        <v>21.3</v>
      </c>
      <c r="J322">
        <f t="shared" si="35"/>
        <v>2922.4000000000005</v>
      </c>
      <c r="K322">
        <f t="shared" si="36"/>
        <v>198.3</v>
      </c>
      <c r="L322" s="28" t="s">
        <v>43</v>
      </c>
      <c r="M322">
        <v>0</v>
      </c>
      <c r="N322">
        <v>3.3</v>
      </c>
      <c r="O322">
        <f t="shared" si="32"/>
        <v>-3.3</v>
      </c>
      <c r="Q322">
        <v>291</v>
      </c>
      <c r="R322">
        <f t="shared" si="39"/>
        <v>0.72647058823529398</v>
      </c>
      <c r="S322">
        <f t="shared" si="33"/>
        <v>2.3973529411764698</v>
      </c>
      <c r="T322">
        <f t="shared" si="34"/>
        <v>-2.3973529411764698</v>
      </c>
      <c r="U322">
        <f t="shared" si="37"/>
        <v>170.27960784313726</v>
      </c>
      <c r="W322">
        <v>1697.2</v>
      </c>
      <c r="X322">
        <f t="shared" si="38"/>
        <v>14262.800000000001</v>
      </c>
      <c r="Y322">
        <v>15.931588760146543</v>
      </c>
    </row>
    <row r="323" spans="1:25" x14ac:dyDescent="0.25">
      <c r="A323">
        <v>6360</v>
      </c>
      <c r="B323">
        <v>24170</v>
      </c>
      <c r="C323" s="1">
        <v>43268</v>
      </c>
      <c r="F323" s="32"/>
      <c r="G323">
        <v>17.5</v>
      </c>
      <c r="H323">
        <v>15.1</v>
      </c>
      <c r="I323">
        <v>19.899999999999999</v>
      </c>
      <c r="J323">
        <f t="shared" si="35"/>
        <v>2939.9000000000005</v>
      </c>
      <c r="K323">
        <f t="shared" si="36"/>
        <v>215.8</v>
      </c>
      <c r="L323" s="12">
        <v>0</v>
      </c>
      <c r="M323">
        <v>0</v>
      </c>
      <c r="N323">
        <v>1.9</v>
      </c>
      <c r="O323">
        <f t="shared" si="32"/>
        <v>-1.9</v>
      </c>
      <c r="Q323">
        <v>292</v>
      </c>
      <c r="R323">
        <f t="shared" si="39"/>
        <v>0.71078431372549011</v>
      </c>
      <c r="S323">
        <f t="shared" si="33"/>
        <v>1.3504901960784312</v>
      </c>
      <c r="T323">
        <f t="shared" si="34"/>
        <v>-1.3504901960784312</v>
      </c>
      <c r="U323">
        <f t="shared" si="37"/>
        <v>168.92911764705883</v>
      </c>
      <c r="V323" s="16">
        <f>(V321*100)/179.3</f>
        <v>92.31662943532632</v>
      </c>
      <c r="W323">
        <v>765.6</v>
      </c>
      <c r="X323">
        <f t="shared" si="38"/>
        <v>15028.400000000001</v>
      </c>
      <c r="Y323">
        <v>15.93842254110718</v>
      </c>
    </row>
    <row r="324" spans="1:25" x14ac:dyDescent="0.25">
      <c r="A324">
        <v>6360</v>
      </c>
      <c r="B324">
        <v>24170</v>
      </c>
      <c r="C324" s="1">
        <v>43269</v>
      </c>
      <c r="F324" s="32"/>
      <c r="G324">
        <v>19.2</v>
      </c>
      <c r="H324">
        <v>16.899999999999999</v>
      </c>
      <c r="I324">
        <v>23</v>
      </c>
      <c r="J324">
        <f t="shared" si="35"/>
        <v>2959.1000000000004</v>
      </c>
      <c r="K324">
        <f t="shared" si="36"/>
        <v>235</v>
      </c>
      <c r="L324" s="28" t="s">
        <v>44</v>
      </c>
      <c r="M324">
        <v>0</v>
      </c>
      <c r="N324">
        <v>2.6</v>
      </c>
      <c r="O324">
        <f t="shared" si="32"/>
        <v>-2.6</v>
      </c>
      <c r="Q324">
        <v>293</v>
      </c>
      <c r="R324">
        <f t="shared" si="39"/>
        <v>0.69509803921568625</v>
      </c>
      <c r="S324">
        <f t="shared" si="33"/>
        <v>1.8072549019607842</v>
      </c>
      <c r="T324">
        <f t="shared" si="34"/>
        <v>-1.8072549019607842</v>
      </c>
      <c r="U324">
        <f t="shared" si="37"/>
        <v>167.12186274509804</v>
      </c>
      <c r="W324">
        <v>1082.0999999999999</v>
      </c>
      <c r="X324">
        <f t="shared" si="38"/>
        <v>16110.500000000002</v>
      </c>
      <c r="Y324">
        <v>15.943824752436711</v>
      </c>
    </row>
    <row r="325" spans="1:25" x14ac:dyDescent="0.25">
      <c r="A325">
        <v>6360</v>
      </c>
      <c r="B325">
        <v>24170</v>
      </c>
      <c r="C325" s="1">
        <v>43270</v>
      </c>
      <c r="F325" s="32"/>
      <c r="G325">
        <v>19.2</v>
      </c>
      <c r="H325">
        <v>15.1</v>
      </c>
      <c r="I325">
        <v>23.1</v>
      </c>
      <c r="J325">
        <f t="shared" si="35"/>
        <v>2978.3</v>
      </c>
      <c r="K325">
        <f t="shared" si="36"/>
        <v>254.2</v>
      </c>
      <c r="L325" s="22">
        <v>0</v>
      </c>
      <c r="M325">
        <v>0</v>
      </c>
      <c r="N325">
        <v>2.2999999999999998</v>
      </c>
      <c r="O325">
        <f t="shared" ref="O325:O367" si="40">M325-N325</f>
        <v>-2.2999999999999998</v>
      </c>
      <c r="Q325">
        <v>294</v>
      </c>
      <c r="R325">
        <f t="shared" si="39"/>
        <v>0.67941176470588227</v>
      </c>
      <c r="S325">
        <f t="shared" ref="S325:S367" si="41">R325*N325</f>
        <v>1.5626470588235291</v>
      </c>
      <c r="T325">
        <f t="shared" ref="T325:T367" si="42">M325-S325</f>
        <v>-1.5626470588235291</v>
      </c>
      <c r="U325">
        <f t="shared" si="37"/>
        <v>165.55921568627451</v>
      </c>
      <c r="W325">
        <v>967.5</v>
      </c>
      <c r="X325">
        <f t="shared" si="38"/>
        <v>17078</v>
      </c>
      <c r="Y325">
        <v>15.947790378000493</v>
      </c>
    </row>
    <row r="326" spans="1:25" x14ac:dyDescent="0.25">
      <c r="A326">
        <v>6360</v>
      </c>
      <c r="B326">
        <v>24170</v>
      </c>
      <c r="C326" s="1">
        <v>43271</v>
      </c>
      <c r="F326" s="32"/>
      <c r="G326">
        <v>22</v>
      </c>
      <c r="H326">
        <v>15.9</v>
      </c>
      <c r="I326">
        <v>26.7</v>
      </c>
      <c r="J326">
        <f t="shared" si="35"/>
        <v>3000.3</v>
      </c>
      <c r="K326">
        <f t="shared" si="36"/>
        <v>276.2</v>
      </c>
      <c r="M326">
        <v>0</v>
      </c>
      <c r="N326">
        <v>5.5</v>
      </c>
      <c r="O326">
        <f t="shared" si="40"/>
        <v>-5.5</v>
      </c>
      <c r="Q326">
        <v>295</v>
      </c>
      <c r="R326">
        <f t="shared" si="39"/>
        <v>0.6637254901960784</v>
      </c>
      <c r="S326">
        <f t="shared" si="41"/>
        <v>3.6504901960784313</v>
      </c>
      <c r="T326">
        <f t="shared" si="42"/>
        <v>-3.6504901960784313</v>
      </c>
      <c r="U326">
        <f t="shared" si="37"/>
        <v>161.90872549019608</v>
      </c>
      <c r="W326">
        <v>2657.9</v>
      </c>
      <c r="X326">
        <f t="shared" si="38"/>
        <v>19735.900000000001</v>
      </c>
      <c r="Y326">
        <v>15.950315725281893</v>
      </c>
    </row>
    <row r="327" spans="1:25" x14ac:dyDescent="0.25">
      <c r="A327">
        <v>6360</v>
      </c>
      <c r="B327">
        <v>24170</v>
      </c>
      <c r="C327" s="1">
        <v>43272</v>
      </c>
      <c r="F327" s="32"/>
      <c r="G327">
        <v>16.5</v>
      </c>
      <c r="H327">
        <v>15.9</v>
      </c>
      <c r="I327">
        <v>19.5</v>
      </c>
      <c r="J327">
        <f t="shared" si="35"/>
        <v>3016.8</v>
      </c>
      <c r="K327">
        <f t="shared" si="36"/>
        <v>292.7</v>
      </c>
      <c r="M327">
        <v>0</v>
      </c>
      <c r="N327">
        <v>4.2</v>
      </c>
      <c r="O327">
        <f t="shared" si="40"/>
        <v>-4.2</v>
      </c>
      <c r="Q327">
        <v>296</v>
      </c>
      <c r="R327">
        <f t="shared" si="39"/>
        <v>0.64803921568627443</v>
      </c>
      <c r="S327">
        <f t="shared" si="41"/>
        <v>2.7217647058823529</v>
      </c>
      <c r="T327">
        <f t="shared" si="42"/>
        <v>-2.7217647058823529</v>
      </c>
      <c r="U327">
        <f t="shared" si="37"/>
        <v>159.18696078431373</v>
      </c>
      <c r="W327">
        <v>1921.2</v>
      </c>
      <c r="X327">
        <f t="shared" si="38"/>
        <v>21657.100000000002</v>
      </c>
      <c r="Y327">
        <v>15.951398438296163</v>
      </c>
    </row>
    <row r="328" spans="1:25" x14ac:dyDescent="0.25">
      <c r="A328">
        <v>6360</v>
      </c>
      <c r="B328">
        <v>24170</v>
      </c>
      <c r="C328" s="1">
        <v>43273</v>
      </c>
      <c r="F328" s="32"/>
      <c r="G328">
        <v>15.1</v>
      </c>
      <c r="H328">
        <v>10</v>
      </c>
      <c r="I328">
        <v>19.3</v>
      </c>
      <c r="J328">
        <f t="shared" si="35"/>
        <v>3031.9</v>
      </c>
      <c r="K328">
        <f t="shared" si="36"/>
        <v>307.8</v>
      </c>
      <c r="M328">
        <v>0</v>
      </c>
      <c r="N328">
        <v>4.8</v>
      </c>
      <c r="O328">
        <f t="shared" si="40"/>
        <v>-4.8</v>
      </c>
      <c r="Q328">
        <v>297</v>
      </c>
      <c r="R328">
        <f t="shared" si="39"/>
        <v>0.63235294117647056</v>
      </c>
      <c r="S328">
        <f t="shared" si="41"/>
        <v>3.0352941176470587</v>
      </c>
      <c r="T328">
        <f t="shared" si="42"/>
        <v>-3.0352941176470587</v>
      </c>
      <c r="U328">
        <f t="shared" si="37"/>
        <v>156.15166666666667</v>
      </c>
      <c r="W328">
        <v>2605.9</v>
      </c>
      <c r="X328">
        <f t="shared" si="38"/>
        <v>24263.000000000004</v>
      </c>
      <c r="Y328">
        <v>15.951037505855099</v>
      </c>
    </row>
    <row r="329" spans="1:25" x14ac:dyDescent="0.25">
      <c r="A329">
        <v>6360</v>
      </c>
      <c r="B329">
        <v>24170</v>
      </c>
      <c r="C329" s="1">
        <v>43274</v>
      </c>
      <c r="F329" s="32"/>
      <c r="G329">
        <v>15.9</v>
      </c>
      <c r="H329">
        <v>11.3</v>
      </c>
      <c r="I329">
        <v>20.100000000000001</v>
      </c>
      <c r="J329">
        <f t="shared" si="35"/>
        <v>3047.8</v>
      </c>
      <c r="K329">
        <f t="shared" si="36"/>
        <v>323.7</v>
      </c>
      <c r="M329">
        <v>0</v>
      </c>
      <c r="N329">
        <v>4.9000000000000004</v>
      </c>
      <c r="O329">
        <f t="shared" si="40"/>
        <v>-4.9000000000000004</v>
      </c>
      <c r="Q329">
        <v>298</v>
      </c>
      <c r="R329">
        <f t="shared" si="39"/>
        <v>0.6166666666666667</v>
      </c>
      <c r="S329">
        <f t="shared" si="41"/>
        <v>3.0216666666666669</v>
      </c>
      <c r="T329">
        <f t="shared" si="42"/>
        <v>-3.0216666666666669</v>
      </c>
      <c r="U329">
        <f t="shared" si="37"/>
        <v>153.13</v>
      </c>
      <c r="W329">
        <v>2723.5</v>
      </c>
      <c r="X329">
        <f t="shared" si="38"/>
        <v>26986.500000000004</v>
      </c>
      <c r="Y329">
        <v>15.949233265120244</v>
      </c>
    </row>
    <row r="330" spans="1:25" x14ac:dyDescent="0.25">
      <c r="A330">
        <v>6360</v>
      </c>
      <c r="B330">
        <v>24170</v>
      </c>
      <c r="C330" s="1">
        <v>43275</v>
      </c>
      <c r="F330" s="32"/>
      <c r="G330">
        <v>17.3</v>
      </c>
      <c r="H330">
        <v>13.7</v>
      </c>
      <c r="I330">
        <v>20.9</v>
      </c>
      <c r="J330">
        <f t="shared" si="35"/>
        <v>3065.1000000000004</v>
      </c>
      <c r="K330">
        <f t="shared" si="36"/>
        <v>341</v>
      </c>
      <c r="M330">
        <v>0</v>
      </c>
      <c r="N330">
        <v>3.8</v>
      </c>
      <c r="O330">
        <f t="shared" si="40"/>
        <v>-3.8</v>
      </c>
      <c r="Q330">
        <v>299</v>
      </c>
      <c r="R330">
        <f t="shared" si="39"/>
        <v>0.60098039215686272</v>
      </c>
      <c r="S330">
        <f t="shared" si="41"/>
        <v>2.2837254901960784</v>
      </c>
      <c r="T330">
        <f t="shared" si="42"/>
        <v>-2.2837254901960784</v>
      </c>
      <c r="U330">
        <f t="shared" si="37"/>
        <v>150.84627450980392</v>
      </c>
      <c r="W330">
        <v>1779.6</v>
      </c>
      <c r="X330">
        <f t="shared" si="38"/>
        <v>28766.100000000002</v>
      </c>
      <c r="Y330">
        <v>15.94598740041774</v>
      </c>
    </row>
    <row r="331" spans="1:25" x14ac:dyDescent="0.25">
      <c r="A331">
        <v>6360</v>
      </c>
      <c r="B331">
        <v>24170</v>
      </c>
      <c r="C331" s="1">
        <v>43276</v>
      </c>
      <c r="F331" s="32"/>
      <c r="G331">
        <v>18.399999999999999</v>
      </c>
      <c r="H331">
        <v>14</v>
      </c>
      <c r="I331">
        <v>22.7</v>
      </c>
      <c r="J331">
        <f t="shared" si="35"/>
        <v>3083.5000000000005</v>
      </c>
      <c r="K331">
        <f t="shared" si="36"/>
        <v>359.4</v>
      </c>
      <c r="M331">
        <v>0</v>
      </c>
      <c r="N331">
        <v>5</v>
      </c>
      <c r="O331">
        <f t="shared" si="40"/>
        <v>-5</v>
      </c>
      <c r="Q331">
        <v>300</v>
      </c>
      <c r="R331">
        <f t="shared" si="39"/>
        <v>0.58529411764705874</v>
      </c>
      <c r="S331">
        <f t="shared" si="41"/>
        <v>2.9264705882352935</v>
      </c>
      <c r="T331">
        <f t="shared" si="42"/>
        <v>-2.9264705882352935</v>
      </c>
      <c r="U331">
        <f t="shared" si="37"/>
        <v>147.91980392156862</v>
      </c>
      <c r="W331">
        <v>2397</v>
      </c>
      <c r="X331">
        <f t="shared" si="38"/>
        <v>31163.100000000002</v>
      </c>
      <c r="Y331">
        <v>15.941302937323808</v>
      </c>
    </row>
    <row r="332" spans="1:25" x14ac:dyDescent="0.25">
      <c r="A332">
        <v>6360</v>
      </c>
      <c r="B332">
        <v>24170</v>
      </c>
      <c r="C332" s="1">
        <v>43277</v>
      </c>
      <c r="F332" s="32"/>
      <c r="G332">
        <v>20.2</v>
      </c>
      <c r="H332">
        <v>14.7</v>
      </c>
      <c r="I332">
        <v>24.9</v>
      </c>
      <c r="J332">
        <f t="shared" si="35"/>
        <v>3103.7000000000003</v>
      </c>
      <c r="K332">
        <f t="shared" si="36"/>
        <v>379.59999999999997</v>
      </c>
      <c r="M332">
        <v>0</v>
      </c>
      <c r="N332">
        <v>6.2</v>
      </c>
      <c r="O332">
        <f t="shared" si="40"/>
        <v>-6.2</v>
      </c>
      <c r="Q332">
        <v>301</v>
      </c>
      <c r="R332">
        <f t="shared" si="39"/>
        <v>0.56960784313725488</v>
      </c>
      <c r="S332">
        <f t="shared" si="41"/>
        <v>3.5315686274509805</v>
      </c>
      <c r="T332">
        <f t="shared" si="42"/>
        <v>-3.5315686274509805</v>
      </c>
      <c r="U332">
        <f t="shared" si="37"/>
        <v>144.38823529411764</v>
      </c>
      <c r="W332">
        <v>2902.9</v>
      </c>
      <c r="X332">
        <f t="shared" si="38"/>
        <v>34066</v>
      </c>
      <c r="Y332">
        <v>15.935184232065499</v>
      </c>
    </row>
    <row r="333" spans="1:25" s="6" customFormat="1" ht="15.75" thickBot="1" x14ac:dyDescent="0.3">
      <c r="A333" s="6">
        <v>6360</v>
      </c>
      <c r="B333" s="6">
        <v>24170</v>
      </c>
      <c r="C333" s="7">
        <v>43278</v>
      </c>
      <c r="F333" s="33"/>
      <c r="G333" s="6">
        <v>21.8</v>
      </c>
      <c r="H333" s="6">
        <v>14.8</v>
      </c>
      <c r="I333" s="6">
        <v>26.7</v>
      </c>
      <c r="J333" s="6">
        <f t="shared" si="35"/>
        <v>3125.5000000000005</v>
      </c>
      <c r="K333" s="6">
        <f t="shared" si="36"/>
        <v>401.4</v>
      </c>
      <c r="M333" s="6">
        <v>0</v>
      </c>
      <c r="N333" s="6">
        <v>6.9</v>
      </c>
      <c r="O333" s="6">
        <f t="shared" si="40"/>
        <v>-6.9</v>
      </c>
      <c r="Q333" s="6">
        <v>302</v>
      </c>
      <c r="R333">
        <f t="shared" si="39"/>
        <v>0.5539215686274509</v>
      </c>
      <c r="S333" s="6">
        <f t="shared" si="41"/>
        <v>3.8220588235294115</v>
      </c>
      <c r="T333" s="6">
        <f t="shared" si="42"/>
        <v>-3.8220588235294115</v>
      </c>
      <c r="U333" s="6">
        <f t="shared" si="37"/>
        <v>140.56617647058823</v>
      </c>
      <c r="W333" s="6">
        <v>3305.2</v>
      </c>
      <c r="X333" s="6">
        <f t="shared" si="38"/>
        <v>37371.199999999997</v>
      </c>
      <c r="Y333" s="6">
        <v>15.927636956316519</v>
      </c>
    </row>
    <row r="334" spans="1:25" x14ac:dyDescent="0.25">
      <c r="A334">
        <v>6360</v>
      </c>
      <c r="B334">
        <v>24170</v>
      </c>
      <c r="C334" s="1">
        <v>43279</v>
      </c>
      <c r="G334">
        <v>22.4</v>
      </c>
      <c r="H334">
        <v>18.5</v>
      </c>
      <c r="I334">
        <v>26</v>
      </c>
      <c r="J334">
        <f t="shared" si="35"/>
        <v>3147.9000000000005</v>
      </c>
      <c r="K334">
        <f t="shared" si="36"/>
        <v>423.79999999999995</v>
      </c>
      <c r="M334">
        <v>0</v>
      </c>
      <c r="N334">
        <v>7.6</v>
      </c>
      <c r="O334">
        <f t="shared" si="40"/>
        <v>-7.6</v>
      </c>
      <c r="Q334">
        <v>303</v>
      </c>
      <c r="R334">
        <f t="shared" si="39"/>
        <v>0.53823529411764703</v>
      </c>
      <c r="S334">
        <f t="shared" si="41"/>
        <v>4.090588235294117</v>
      </c>
      <c r="T334">
        <f t="shared" si="42"/>
        <v>-4.090588235294117</v>
      </c>
      <c r="U334">
        <f t="shared" si="37"/>
        <v>136.47558823529411</v>
      </c>
      <c r="W334">
        <v>3199.6</v>
      </c>
      <c r="X334">
        <f t="shared" si="38"/>
        <v>40570.799999999996</v>
      </c>
      <c r="Y334">
        <v>15.918668077501964</v>
      </c>
    </row>
    <row r="335" spans="1:25" x14ac:dyDescent="0.25">
      <c r="A335">
        <v>6360</v>
      </c>
      <c r="B335">
        <v>24170</v>
      </c>
      <c r="C335" s="1">
        <v>43280</v>
      </c>
      <c r="G335">
        <v>23.3</v>
      </c>
      <c r="H335">
        <v>18.7</v>
      </c>
      <c r="I335">
        <v>27.2</v>
      </c>
      <c r="J335">
        <f t="shared" si="35"/>
        <v>3171.2000000000007</v>
      </c>
      <c r="K335">
        <f t="shared" si="36"/>
        <v>447.09999999999997</v>
      </c>
      <c r="M335">
        <v>0</v>
      </c>
      <c r="N335">
        <v>5</v>
      </c>
      <c r="O335">
        <f t="shared" si="40"/>
        <v>-5</v>
      </c>
      <c r="Q335">
        <v>304</v>
      </c>
      <c r="R335">
        <f t="shared" si="39"/>
        <v>0.52254901960784306</v>
      </c>
      <c r="S335">
        <f t="shared" si="41"/>
        <v>2.6127450980392153</v>
      </c>
      <c r="T335">
        <f t="shared" si="42"/>
        <v>-2.6127450980392153</v>
      </c>
      <c r="U335">
        <f t="shared" si="37"/>
        <v>133.86284313725488</v>
      </c>
      <c r="W335">
        <v>1729</v>
      </c>
      <c r="X335">
        <f t="shared" si="38"/>
        <v>42299.799999999996</v>
      </c>
      <c r="Y335">
        <v>15.908285834758329</v>
      </c>
    </row>
    <row r="336" spans="1:25" x14ac:dyDescent="0.25">
      <c r="A336">
        <v>6360</v>
      </c>
      <c r="B336">
        <v>24170</v>
      </c>
      <c r="C336" s="1">
        <v>43281</v>
      </c>
      <c r="G336">
        <v>25</v>
      </c>
      <c r="H336">
        <v>19.600000000000001</v>
      </c>
      <c r="I336">
        <v>30</v>
      </c>
      <c r="J336">
        <f t="shared" si="35"/>
        <v>3196.2000000000007</v>
      </c>
      <c r="K336">
        <f t="shared" si="36"/>
        <v>472.09999999999997</v>
      </c>
      <c r="M336">
        <v>0</v>
      </c>
      <c r="N336">
        <v>6.1</v>
      </c>
      <c r="O336">
        <f t="shared" si="40"/>
        <v>-6.1</v>
      </c>
      <c r="Q336">
        <v>305</v>
      </c>
      <c r="R336">
        <f t="shared" si="39"/>
        <v>0.50686274509803919</v>
      </c>
      <c r="S336">
        <f t="shared" si="41"/>
        <v>3.0918627450980387</v>
      </c>
      <c r="T336">
        <f t="shared" si="42"/>
        <v>-3.0918627450980387</v>
      </c>
      <c r="U336">
        <f t="shared" si="37"/>
        <v>130.77098039215684</v>
      </c>
      <c r="W336">
        <v>2367.6999999999998</v>
      </c>
      <c r="X336">
        <f t="shared" si="38"/>
        <v>44667.499999999993</v>
      </c>
      <c r="Y336">
        <v>15.896499710725818</v>
      </c>
    </row>
    <row r="337" spans="1:25" x14ac:dyDescent="0.25">
      <c r="A337">
        <v>6360</v>
      </c>
      <c r="B337">
        <v>24170</v>
      </c>
      <c r="C337" s="1">
        <v>43282</v>
      </c>
      <c r="G337">
        <v>26.2</v>
      </c>
      <c r="H337">
        <v>21.5</v>
      </c>
      <c r="I337">
        <v>30.6</v>
      </c>
      <c r="J337">
        <f t="shared" si="35"/>
        <v>3222.4000000000005</v>
      </c>
      <c r="K337">
        <f t="shared" si="36"/>
        <v>498.29999999999995</v>
      </c>
      <c r="M337">
        <v>0</v>
      </c>
      <c r="N337">
        <v>6.8</v>
      </c>
      <c r="O337">
        <f t="shared" si="40"/>
        <v>-6.8</v>
      </c>
      <c r="Q337">
        <v>306</v>
      </c>
      <c r="R337">
        <f t="shared" si="39"/>
        <v>0.49117647058823533</v>
      </c>
      <c r="S337">
        <f t="shared" si="41"/>
        <v>3.3400000000000003</v>
      </c>
      <c r="T337">
        <f t="shared" si="42"/>
        <v>-3.3400000000000003</v>
      </c>
      <c r="U337">
        <f t="shared" si="37"/>
        <v>127.43098039215684</v>
      </c>
      <c r="W337">
        <v>2450.6999999999998</v>
      </c>
      <c r="X337">
        <f t="shared" si="38"/>
        <v>47118.19999999999</v>
      </c>
      <c r="Y337">
        <v>15.883320399378398</v>
      </c>
    </row>
    <row r="338" spans="1:25" x14ac:dyDescent="0.25">
      <c r="A338">
        <v>6360</v>
      </c>
      <c r="B338">
        <v>24170</v>
      </c>
      <c r="C338" s="1">
        <v>43283</v>
      </c>
      <c r="G338">
        <v>23.7</v>
      </c>
      <c r="H338">
        <v>20.8</v>
      </c>
      <c r="I338">
        <v>27.1</v>
      </c>
      <c r="J338">
        <f t="shared" si="35"/>
        <v>3246.1000000000004</v>
      </c>
      <c r="K338">
        <f t="shared" si="36"/>
        <v>522</v>
      </c>
      <c r="M338">
        <v>0.3</v>
      </c>
      <c r="N338">
        <v>4.4000000000000004</v>
      </c>
      <c r="O338">
        <f t="shared" si="40"/>
        <v>-4.1000000000000005</v>
      </c>
      <c r="Q338">
        <v>307</v>
      </c>
      <c r="R338">
        <f t="shared" si="39"/>
        <v>0.47549019607843135</v>
      </c>
      <c r="S338">
        <f t="shared" si="41"/>
        <v>2.0921568627450982</v>
      </c>
      <c r="T338">
        <f t="shared" si="42"/>
        <v>-1.7921568627450981</v>
      </c>
      <c r="U338">
        <f t="shared" si="37"/>
        <v>125.63882352941174</v>
      </c>
      <c r="W338">
        <v>1569</v>
      </c>
      <c r="X338">
        <f t="shared" si="38"/>
        <v>48687.19999999999</v>
      </c>
      <c r="Y338">
        <v>15.868759770122768</v>
      </c>
    </row>
    <row r="339" spans="1:25" x14ac:dyDescent="0.25">
      <c r="A339">
        <v>6360</v>
      </c>
      <c r="B339">
        <v>24170</v>
      </c>
      <c r="C339" s="1">
        <v>43284</v>
      </c>
      <c r="G339">
        <v>23.6</v>
      </c>
      <c r="H339">
        <v>20</v>
      </c>
      <c r="I339">
        <v>27.2</v>
      </c>
      <c r="J339">
        <f t="shared" si="35"/>
        <v>3269.7000000000003</v>
      </c>
      <c r="K339">
        <f t="shared" si="36"/>
        <v>545.6</v>
      </c>
      <c r="M339">
        <v>0</v>
      </c>
      <c r="N339">
        <v>5.4</v>
      </c>
      <c r="O339">
        <f t="shared" si="40"/>
        <v>-5.4</v>
      </c>
      <c r="Q339">
        <v>308</v>
      </c>
      <c r="R339">
        <f t="shared" si="39"/>
        <v>0.45980392156862737</v>
      </c>
      <c r="S339">
        <f t="shared" si="41"/>
        <v>2.4829411764705878</v>
      </c>
      <c r="T339">
        <f t="shared" si="42"/>
        <v>-2.4829411764705878</v>
      </c>
      <c r="U339">
        <f t="shared" si="37"/>
        <v>123.15588235294115</v>
      </c>
      <c r="W339">
        <v>2586.6</v>
      </c>
      <c r="X339">
        <f t="shared" si="38"/>
        <v>51273.799999999988</v>
      </c>
      <c r="Y339">
        <v>15.852830828420254</v>
      </c>
    </row>
    <row r="340" spans="1:25" x14ac:dyDescent="0.25">
      <c r="A340">
        <v>6360</v>
      </c>
      <c r="B340">
        <v>24170</v>
      </c>
      <c r="C340" s="1">
        <v>43285</v>
      </c>
      <c r="G340">
        <v>23.2</v>
      </c>
      <c r="H340">
        <v>18.600000000000001</v>
      </c>
      <c r="I340">
        <v>26.5</v>
      </c>
      <c r="J340">
        <f t="shared" si="35"/>
        <v>3292.9</v>
      </c>
      <c r="K340">
        <f t="shared" si="36"/>
        <v>568.80000000000007</v>
      </c>
      <c r="M340">
        <v>0.6</v>
      </c>
      <c r="N340">
        <v>4</v>
      </c>
      <c r="O340">
        <f t="shared" si="40"/>
        <v>-3.4</v>
      </c>
      <c r="Q340">
        <v>309</v>
      </c>
      <c r="R340">
        <f t="shared" si="39"/>
        <v>0.44411764705882351</v>
      </c>
      <c r="S340">
        <f t="shared" si="41"/>
        <v>1.776470588235294</v>
      </c>
      <c r="T340">
        <f t="shared" si="42"/>
        <v>-1.1764705882352939</v>
      </c>
      <c r="U340">
        <f t="shared" si="37"/>
        <v>121.97941176470586</v>
      </c>
      <c r="W340">
        <v>2068.9</v>
      </c>
      <c r="X340">
        <f t="shared" si="38"/>
        <v>53342.69999999999</v>
      </c>
      <c r="Y340">
        <v>15.835547673205587</v>
      </c>
    </row>
    <row r="341" spans="1:25" x14ac:dyDescent="0.25">
      <c r="A341">
        <v>6360</v>
      </c>
      <c r="B341">
        <v>24170</v>
      </c>
      <c r="C341" s="1">
        <v>43286</v>
      </c>
      <c r="G341">
        <v>21</v>
      </c>
      <c r="H341">
        <v>19.2</v>
      </c>
      <c r="I341">
        <v>25.3</v>
      </c>
      <c r="J341">
        <f t="shared" si="35"/>
        <v>3313.9</v>
      </c>
      <c r="K341">
        <f t="shared" si="36"/>
        <v>589.80000000000007</v>
      </c>
      <c r="M341">
        <v>0.2</v>
      </c>
      <c r="N341">
        <v>2.5</v>
      </c>
      <c r="O341">
        <f t="shared" si="40"/>
        <v>-2.2999999999999998</v>
      </c>
      <c r="Q341">
        <v>310</v>
      </c>
      <c r="R341">
        <f t="shared" si="39"/>
        <v>0.42843137254901953</v>
      </c>
      <c r="S341">
        <f t="shared" si="41"/>
        <v>1.0710784313725488</v>
      </c>
      <c r="T341">
        <f t="shared" si="42"/>
        <v>-0.87107843137254881</v>
      </c>
      <c r="U341">
        <f t="shared" si="37"/>
        <v>121.10833333333331</v>
      </c>
      <c r="W341">
        <v>1157.5999999999999</v>
      </c>
      <c r="X341">
        <f t="shared" si="38"/>
        <v>54500.299999999988</v>
      </c>
      <c r="Y341">
        <v>15.816925451392919</v>
      </c>
    </row>
    <row r="342" spans="1:25" x14ac:dyDescent="0.25">
      <c r="A342">
        <v>6360</v>
      </c>
      <c r="B342">
        <v>24170</v>
      </c>
      <c r="C342" s="1">
        <v>43287</v>
      </c>
      <c r="G342">
        <v>22.3</v>
      </c>
      <c r="H342">
        <v>16.8</v>
      </c>
      <c r="I342">
        <v>27</v>
      </c>
      <c r="J342">
        <f t="shared" si="35"/>
        <v>3336.2000000000003</v>
      </c>
      <c r="K342">
        <f t="shared" si="36"/>
        <v>612.1</v>
      </c>
      <c r="M342">
        <v>0</v>
      </c>
      <c r="N342">
        <v>5.3</v>
      </c>
      <c r="O342">
        <f t="shared" si="40"/>
        <v>-5.3</v>
      </c>
      <c r="Q342">
        <v>311</v>
      </c>
      <c r="R342">
        <f t="shared" si="39"/>
        <v>0.41274509803921566</v>
      </c>
      <c r="S342">
        <f t="shared" si="41"/>
        <v>2.1875490196078431</v>
      </c>
      <c r="T342">
        <f t="shared" si="42"/>
        <v>-2.1875490196078431</v>
      </c>
      <c r="U342">
        <f t="shared" si="37"/>
        <v>118.92078431372546</v>
      </c>
      <c r="W342">
        <v>2600</v>
      </c>
      <c r="X342">
        <f t="shared" si="38"/>
        <v>57100.299999999988</v>
      </c>
      <c r="Y342">
        <v>15.796980309772684</v>
      </c>
    </row>
    <row r="343" spans="1:25" x14ac:dyDescent="0.25">
      <c r="A343">
        <v>6360</v>
      </c>
      <c r="B343">
        <v>24170</v>
      </c>
      <c r="C343" s="1">
        <v>43288</v>
      </c>
      <c r="G343">
        <v>23.8</v>
      </c>
      <c r="H343">
        <v>19</v>
      </c>
      <c r="I343">
        <v>28.3</v>
      </c>
      <c r="J343">
        <f t="shared" si="35"/>
        <v>3360.0000000000005</v>
      </c>
      <c r="K343">
        <f t="shared" si="36"/>
        <v>635.9</v>
      </c>
      <c r="M343">
        <v>0</v>
      </c>
      <c r="N343">
        <v>5.5</v>
      </c>
      <c r="O343">
        <f t="shared" si="40"/>
        <v>-5.5</v>
      </c>
      <c r="Q343">
        <v>312</v>
      </c>
      <c r="R343">
        <f t="shared" si="39"/>
        <v>0.3970588235294118</v>
      </c>
      <c r="S343">
        <f t="shared" si="41"/>
        <v>2.1838235294117649</v>
      </c>
      <c r="T343">
        <f t="shared" si="42"/>
        <v>-2.1838235294117649</v>
      </c>
      <c r="U343">
        <f t="shared" si="37"/>
        <v>116.73696078431369</v>
      </c>
      <c r="W343">
        <v>2397.8000000000002</v>
      </c>
      <c r="X343">
        <f t="shared" si="38"/>
        <v>59498.099999999991</v>
      </c>
      <c r="Y343">
        <v>15.775729344612762</v>
      </c>
    </row>
    <row r="344" spans="1:25" x14ac:dyDescent="0.25">
      <c r="A344">
        <v>6360</v>
      </c>
      <c r="B344">
        <v>24170</v>
      </c>
      <c r="C344" s="1">
        <v>43289</v>
      </c>
      <c r="G344">
        <v>23.4</v>
      </c>
      <c r="H344">
        <v>19.3</v>
      </c>
      <c r="I344">
        <v>27.5</v>
      </c>
      <c r="J344">
        <f t="shared" si="35"/>
        <v>3383.4000000000005</v>
      </c>
      <c r="K344">
        <f t="shared" si="36"/>
        <v>659.3</v>
      </c>
      <c r="M344">
        <v>0</v>
      </c>
      <c r="N344">
        <v>5.7</v>
      </c>
      <c r="O344">
        <f t="shared" si="40"/>
        <v>-5.7</v>
      </c>
      <c r="Q344">
        <v>313</v>
      </c>
      <c r="R344">
        <f t="shared" si="39"/>
        <v>0.38137254901960782</v>
      </c>
      <c r="S344">
        <f t="shared" si="41"/>
        <v>2.1738235294117647</v>
      </c>
      <c r="T344">
        <f t="shared" si="42"/>
        <v>-2.1738235294117647</v>
      </c>
      <c r="U344">
        <f t="shared" si="37"/>
        <v>114.56313725490193</v>
      </c>
      <c r="W344">
        <v>2447.8000000000002</v>
      </c>
      <c r="X344">
        <f t="shared" si="38"/>
        <v>61945.899999999994</v>
      </c>
      <c r="Y344">
        <v>15.753190549283699</v>
      </c>
    </row>
    <row r="345" spans="1:25" x14ac:dyDescent="0.25">
      <c r="A345">
        <v>6360</v>
      </c>
      <c r="B345">
        <v>24170</v>
      </c>
      <c r="C345" s="1">
        <v>43290</v>
      </c>
      <c r="G345">
        <v>21.2</v>
      </c>
      <c r="H345">
        <v>17.7</v>
      </c>
      <c r="I345">
        <v>24.8</v>
      </c>
      <c r="J345">
        <f t="shared" si="35"/>
        <v>3404.6000000000004</v>
      </c>
      <c r="K345">
        <f t="shared" si="36"/>
        <v>680.5</v>
      </c>
      <c r="M345">
        <v>0</v>
      </c>
      <c r="N345">
        <v>6.2</v>
      </c>
      <c r="O345">
        <f t="shared" si="40"/>
        <v>-6.2</v>
      </c>
      <c r="Q345">
        <v>314</v>
      </c>
      <c r="R345">
        <f t="shared" si="39"/>
        <v>0.36568627450980395</v>
      </c>
      <c r="S345">
        <f t="shared" si="41"/>
        <v>2.2672549019607846</v>
      </c>
      <c r="T345">
        <f t="shared" si="42"/>
        <v>-2.2672549019607846</v>
      </c>
      <c r="U345">
        <f t="shared" si="37"/>
        <v>112.29588235294115</v>
      </c>
      <c r="W345">
        <v>2698.6</v>
      </c>
      <c r="X345">
        <f t="shared" si="38"/>
        <v>64644.499999999993</v>
      </c>
      <c r="Y345">
        <v>15.729382760230939</v>
      </c>
    </row>
    <row r="346" spans="1:25" s="6" customFormat="1" ht="15.75" thickBot="1" x14ac:dyDescent="0.3">
      <c r="A346" s="6">
        <v>6360</v>
      </c>
      <c r="B346" s="6">
        <v>24170</v>
      </c>
      <c r="C346" s="7">
        <v>43291</v>
      </c>
      <c r="D346" s="6" t="s">
        <v>31</v>
      </c>
      <c r="G346" s="6">
        <v>18</v>
      </c>
      <c r="H346" s="6">
        <v>16.7</v>
      </c>
      <c r="I346" s="6">
        <v>20.2</v>
      </c>
      <c r="J346" s="6">
        <f t="shared" si="35"/>
        <v>3422.6000000000004</v>
      </c>
      <c r="K346" s="6">
        <f t="shared" si="36"/>
        <v>698.5</v>
      </c>
      <c r="M346" s="6">
        <v>0</v>
      </c>
      <c r="N346" s="6">
        <v>4.7</v>
      </c>
      <c r="O346" s="6">
        <f t="shared" si="40"/>
        <v>-4.7</v>
      </c>
      <c r="Q346" s="6">
        <v>315</v>
      </c>
      <c r="R346">
        <f t="shared" si="39"/>
        <v>0.35</v>
      </c>
      <c r="S346" s="6">
        <f t="shared" si="41"/>
        <v>1.645</v>
      </c>
      <c r="T346" s="6">
        <f t="shared" si="42"/>
        <v>-1.645</v>
      </c>
      <c r="U346" s="6">
        <f t="shared" si="37"/>
        <v>110.65088235294115</v>
      </c>
      <c r="W346" s="6">
        <v>1977.9</v>
      </c>
      <c r="X346" s="6">
        <f t="shared" si="38"/>
        <v>66622.399999999994</v>
      </c>
      <c r="Y346" s="6">
        <v>15.704325601616826</v>
      </c>
    </row>
    <row r="347" spans="1:25" x14ac:dyDescent="0.25">
      <c r="A347">
        <v>6360</v>
      </c>
      <c r="B347">
        <v>24170</v>
      </c>
      <c r="C347" s="1">
        <v>43292</v>
      </c>
      <c r="G347">
        <v>18.100000000000001</v>
      </c>
      <c r="H347">
        <v>14.8</v>
      </c>
      <c r="I347">
        <v>21.3</v>
      </c>
      <c r="J347">
        <f t="shared" si="35"/>
        <v>3440.7000000000003</v>
      </c>
      <c r="K347">
        <f t="shared" si="36"/>
        <v>716.6</v>
      </c>
      <c r="M347">
        <v>0</v>
      </c>
      <c r="N347">
        <v>3.6</v>
      </c>
      <c r="O347">
        <f t="shared" si="40"/>
        <v>-3.6</v>
      </c>
      <c r="Q347">
        <v>316</v>
      </c>
      <c r="S347">
        <f t="shared" si="41"/>
        <v>0</v>
      </c>
      <c r="T347">
        <f t="shared" si="42"/>
        <v>0</v>
      </c>
      <c r="W347">
        <v>1676.9</v>
      </c>
      <c r="X347">
        <f t="shared" si="38"/>
        <v>68299.299999999988</v>
      </c>
    </row>
    <row r="348" spans="1:25" x14ac:dyDescent="0.25">
      <c r="A348">
        <v>6360</v>
      </c>
      <c r="B348">
        <v>24170</v>
      </c>
      <c r="C348" s="1">
        <v>43293</v>
      </c>
      <c r="G348">
        <v>20.399999999999999</v>
      </c>
      <c r="H348">
        <v>16.100000000000001</v>
      </c>
      <c r="I348">
        <v>24.1</v>
      </c>
      <c r="J348">
        <f t="shared" si="35"/>
        <v>3461.1000000000004</v>
      </c>
      <c r="K348">
        <f t="shared" si="36"/>
        <v>737</v>
      </c>
      <c r="M348">
        <v>0</v>
      </c>
      <c r="N348">
        <v>4.9000000000000004</v>
      </c>
      <c r="O348">
        <f t="shared" si="40"/>
        <v>-4.9000000000000004</v>
      </c>
      <c r="Q348">
        <v>317</v>
      </c>
      <c r="S348">
        <f t="shared" si="41"/>
        <v>0</v>
      </c>
      <c r="T348">
        <f t="shared" si="42"/>
        <v>0</v>
      </c>
      <c r="W348">
        <v>2334.6</v>
      </c>
      <c r="X348">
        <f t="shared" si="38"/>
        <v>70633.899999999994</v>
      </c>
    </row>
    <row r="349" spans="1:25" x14ac:dyDescent="0.25">
      <c r="A349">
        <v>6360</v>
      </c>
      <c r="B349">
        <v>24170</v>
      </c>
      <c r="C349" s="1">
        <v>43294</v>
      </c>
      <c r="G349">
        <v>21</v>
      </c>
      <c r="H349">
        <v>18.2</v>
      </c>
      <c r="I349">
        <v>26.2</v>
      </c>
      <c r="J349">
        <f t="shared" si="35"/>
        <v>3482.1000000000004</v>
      </c>
      <c r="K349">
        <f t="shared" si="36"/>
        <v>758</v>
      </c>
      <c r="M349">
        <v>1</v>
      </c>
      <c r="N349">
        <v>4.4000000000000004</v>
      </c>
      <c r="O349">
        <f t="shared" si="40"/>
        <v>-3.4000000000000004</v>
      </c>
      <c r="Q349">
        <v>318</v>
      </c>
      <c r="S349">
        <f t="shared" si="41"/>
        <v>0</v>
      </c>
      <c r="T349">
        <f t="shared" si="42"/>
        <v>1</v>
      </c>
      <c r="W349">
        <v>1810.5</v>
      </c>
      <c r="X349">
        <f t="shared" si="38"/>
        <v>72444.399999999994</v>
      </c>
    </row>
    <row r="350" spans="1:25" x14ac:dyDescent="0.25">
      <c r="A350">
        <v>6360</v>
      </c>
      <c r="B350">
        <v>24170</v>
      </c>
      <c r="C350" s="1">
        <v>43295</v>
      </c>
      <c r="G350">
        <v>23.2</v>
      </c>
      <c r="H350">
        <v>18</v>
      </c>
      <c r="I350">
        <v>27.7</v>
      </c>
      <c r="J350">
        <f t="shared" si="35"/>
        <v>3505.3</v>
      </c>
      <c r="K350">
        <f t="shared" si="36"/>
        <v>781.2</v>
      </c>
      <c r="M350">
        <v>4.5</v>
      </c>
      <c r="N350">
        <v>4.4000000000000004</v>
      </c>
      <c r="O350">
        <f t="shared" si="40"/>
        <v>9.9999999999999645E-2</v>
      </c>
      <c r="Q350">
        <v>319</v>
      </c>
      <c r="S350">
        <f t="shared" si="41"/>
        <v>0</v>
      </c>
      <c r="T350">
        <f t="shared" si="42"/>
        <v>4.5</v>
      </c>
      <c r="W350">
        <v>1787.2</v>
      </c>
      <c r="X350">
        <f t="shared" si="38"/>
        <v>74231.599999999991</v>
      </c>
    </row>
    <row r="351" spans="1:25" x14ac:dyDescent="0.25">
      <c r="A351">
        <v>6360</v>
      </c>
      <c r="B351">
        <v>24170</v>
      </c>
      <c r="C351" s="1">
        <v>43296</v>
      </c>
      <c r="G351">
        <v>23.5</v>
      </c>
      <c r="H351">
        <v>18.600000000000001</v>
      </c>
      <c r="I351">
        <v>28.8</v>
      </c>
      <c r="J351">
        <f t="shared" si="35"/>
        <v>3528.8</v>
      </c>
      <c r="K351">
        <f t="shared" si="36"/>
        <v>804.7</v>
      </c>
      <c r="M351">
        <v>0</v>
      </c>
      <c r="N351">
        <v>4.8</v>
      </c>
      <c r="O351">
        <f t="shared" si="40"/>
        <v>-4.8</v>
      </c>
      <c r="Q351">
        <v>320</v>
      </c>
      <c r="S351">
        <f t="shared" si="41"/>
        <v>0</v>
      </c>
      <c r="T351">
        <f t="shared" si="42"/>
        <v>0</v>
      </c>
      <c r="W351">
        <v>2072.6</v>
      </c>
      <c r="X351">
        <f t="shared" si="38"/>
        <v>76304.2</v>
      </c>
    </row>
    <row r="352" spans="1:25" x14ac:dyDescent="0.25">
      <c r="A352">
        <v>6360</v>
      </c>
      <c r="B352">
        <v>24170</v>
      </c>
      <c r="C352" s="1">
        <v>43297</v>
      </c>
      <c r="G352">
        <v>23.3</v>
      </c>
      <c r="H352">
        <v>18.3</v>
      </c>
      <c r="I352">
        <v>28.3</v>
      </c>
      <c r="J352">
        <f t="shared" si="35"/>
        <v>3552.1000000000004</v>
      </c>
      <c r="K352">
        <f t="shared" si="36"/>
        <v>828</v>
      </c>
      <c r="M352">
        <v>0</v>
      </c>
      <c r="N352">
        <v>4.2</v>
      </c>
      <c r="O352">
        <f t="shared" si="40"/>
        <v>-4.2</v>
      </c>
      <c r="Q352">
        <v>321</v>
      </c>
      <c r="S352">
        <f t="shared" si="41"/>
        <v>0</v>
      </c>
      <c r="T352">
        <f t="shared" si="42"/>
        <v>0</v>
      </c>
      <c r="W352">
        <v>1625.9</v>
      </c>
      <c r="X352">
        <f t="shared" si="38"/>
        <v>77930.099999999991</v>
      </c>
    </row>
    <row r="353" spans="1:24" x14ac:dyDescent="0.25">
      <c r="A353">
        <v>6360</v>
      </c>
      <c r="B353">
        <v>24170</v>
      </c>
      <c r="C353" s="1">
        <v>43298</v>
      </c>
      <c r="G353">
        <v>21</v>
      </c>
      <c r="H353">
        <v>18.5</v>
      </c>
      <c r="I353">
        <v>24.2</v>
      </c>
      <c r="J353">
        <f t="shared" si="35"/>
        <v>3573.1000000000004</v>
      </c>
      <c r="K353">
        <f t="shared" si="36"/>
        <v>849</v>
      </c>
      <c r="M353">
        <v>0</v>
      </c>
      <c r="N353">
        <v>4.7</v>
      </c>
      <c r="O353">
        <f t="shared" si="40"/>
        <v>-4.7</v>
      </c>
      <c r="Q353">
        <v>322</v>
      </c>
      <c r="S353">
        <f t="shared" si="41"/>
        <v>0</v>
      </c>
      <c r="T353">
        <f t="shared" si="42"/>
        <v>0</v>
      </c>
      <c r="W353">
        <v>2102.9</v>
      </c>
      <c r="X353">
        <f t="shared" si="38"/>
        <v>80032.999999999985</v>
      </c>
    </row>
    <row r="354" spans="1:24" x14ac:dyDescent="0.25">
      <c r="A354">
        <v>6360</v>
      </c>
      <c r="B354">
        <v>24170</v>
      </c>
      <c r="C354" s="1">
        <v>43299</v>
      </c>
      <c r="G354">
        <v>21.9</v>
      </c>
      <c r="H354">
        <v>16.600000000000001</v>
      </c>
      <c r="I354">
        <v>26.6</v>
      </c>
      <c r="J354">
        <f t="shared" ref="J354:J367" si="43">J353+G354</f>
        <v>3595.0000000000005</v>
      </c>
      <c r="K354">
        <f t="shared" ref="K354:K367" si="44">K353+G354</f>
        <v>870.9</v>
      </c>
      <c r="M354">
        <v>0</v>
      </c>
      <c r="N354">
        <v>4.5999999999999996</v>
      </c>
      <c r="O354">
        <f t="shared" si="40"/>
        <v>-4.5999999999999996</v>
      </c>
      <c r="Q354">
        <v>323</v>
      </c>
      <c r="S354">
        <f t="shared" si="41"/>
        <v>0</v>
      </c>
      <c r="T354">
        <f t="shared" si="42"/>
        <v>0</v>
      </c>
      <c r="W354">
        <v>2009.4</v>
      </c>
      <c r="X354">
        <f t="shared" ref="X354:X367" si="45">X353+W354</f>
        <v>82042.39999999998</v>
      </c>
    </row>
    <row r="355" spans="1:24" x14ac:dyDescent="0.25">
      <c r="A355">
        <v>6360</v>
      </c>
      <c r="B355">
        <v>24170</v>
      </c>
      <c r="C355" s="1">
        <v>43300</v>
      </c>
      <c r="G355">
        <v>23.9</v>
      </c>
      <c r="H355">
        <v>17.600000000000001</v>
      </c>
      <c r="I355">
        <v>28.6</v>
      </c>
      <c r="J355">
        <f t="shared" si="43"/>
        <v>3618.9000000000005</v>
      </c>
      <c r="K355">
        <f t="shared" si="44"/>
        <v>894.8</v>
      </c>
      <c r="M355">
        <v>0.5</v>
      </c>
      <c r="N355">
        <v>5.2</v>
      </c>
      <c r="O355">
        <f t="shared" si="40"/>
        <v>-4.7</v>
      </c>
      <c r="Q355">
        <v>324</v>
      </c>
      <c r="S355">
        <f t="shared" si="41"/>
        <v>0</v>
      </c>
      <c r="T355">
        <f t="shared" si="42"/>
        <v>0.5</v>
      </c>
      <c r="W355">
        <v>1998.9</v>
      </c>
      <c r="X355">
        <f t="shared" si="45"/>
        <v>84041.299999999974</v>
      </c>
    </row>
    <row r="356" spans="1:24" x14ac:dyDescent="0.25">
      <c r="A356">
        <v>6360</v>
      </c>
      <c r="B356">
        <v>24170</v>
      </c>
      <c r="C356" s="1">
        <v>43301</v>
      </c>
      <c r="G356">
        <v>20.5</v>
      </c>
      <c r="H356">
        <v>19</v>
      </c>
      <c r="I356">
        <v>23.9</v>
      </c>
      <c r="J356">
        <f t="shared" si="43"/>
        <v>3639.4000000000005</v>
      </c>
      <c r="K356">
        <f t="shared" si="44"/>
        <v>915.3</v>
      </c>
      <c r="M356">
        <v>14.7</v>
      </c>
      <c r="N356">
        <v>2.7</v>
      </c>
      <c r="O356">
        <f t="shared" si="40"/>
        <v>12</v>
      </c>
      <c r="Q356">
        <v>325</v>
      </c>
      <c r="S356">
        <f t="shared" si="41"/>
        <v>0</v>
      </c>
      <c r="T356">
        <f t="shared" si="42"/>
        <v>14.7</v>
      </c>
      <c r="W356">
        <v>1094.5999999999999</v>
      </c>
      <c r="X356">
        <f t="shared" si="45"/>
        <v>85135.89999999998</v>
      </c>
    </row>
    <row r="357" spans="1:24" x14ac:dyDescent="0.25">
      <c r="A357">
        <v>6360</v>
      </c>
      <c r="B357">
        <v>24170</v>
      </c>
      <c r="C357" s="1">
        <v>43302</v>
      </c>
      <c r="G357">
        <v>20.2</v>
      </c>
      <c r="H357">
        <v>17</v>
      </c>
      <c r="I357">
        <v>23.6</v>
      </c>
      <c r="J357">
        <f t="shared" si="43"/>
        <v>3659.6000000000004</v>
      </c>
      <c r="K357">
        <f t="shared" si="44"/>
        <v>935.5</v>
      </c>
      <c r="M357">
        <v>0</v>
      </c>
      <c r="N357">
        <v>4</v>
      </c>
      <c r="O357">
        <f t="shared" si="40"/>
        <v>-4</v>
      </c>
      <c r="Q357">
        <v>326</v>
      </c>
      <c r="S357">
        <f t="shared" si="41"/>
        <v>0</v>
      </c>
      <c r="T357">
        <f t="shared" si="42"/>
        <v>0</v>
      </c>
      <c r="W357">
        <v>1855.4</v>
      </c>
      <c r="X357">
        <f t="shared" si="45"/>
        <v>86991.299999999974</v>
      </c>
    </row>
    <row r="358" spans="1:24" x14ac:dyDescent="0.25">
      <c r="A358">
        <v>6360</v>
      </c>
      <c r="B358">
        <v>24170</v>
      </c>
      <c r="C358" s="1">
        <v>43303</v>
      </c>
      <c r="G358">
        <v>22.1</v>
      </c>
      <c r="H358">
        <v>16.2</v>
      </c>
      <c r="I358">
        <v>26.8</v>
      </c>
      <c r="J358">
        <f t="shared" si="43"/>
        <v>3681.7000000000003</v>
      </c>
      <c r="K358">
        <f t="shared" si="44"/>
        <v>957.6</v>
      </c>
      <c r="M358">
        <v>0</v>
      </c>
      <c r="N358">
        <v>4.0999999999999996</v>
      </c>
      <c r="O358">
        <f t="shared" si="40"/>
        <v>-4.0999999999999996</v>
      </c>
      <c r="Q358">
        <v>327</v>
      </c>
      <c r="S358">
        <f t="shared" si="41"/>
        <v>0</v>
      </c>
      <c r="T358">
        <f t="shared" si="42"/>
        <v>0</v>
      </c>
      <c r="W358">
        <v>1885.4</v>
      </c>
      <c r="X358">
        <f t="shared" si="45"/>
        <v>88876.699999999968</v>
      </c>
    </row>
    <row r="359" spans="1:24" x14ac:dyDescent="0.25">
      <c r="A359">
        <v>6360</v>
      </c>
      <c r="B359">
        <v>24170</v>
      </c>
      <c r="C359" s="1">
        <v>43304</v>
      </c>
      <c r="G359">
        <v>24.1</v>
      </c>
      <c r="H359">
        <v>19.399999999999999</v>
      </c>
      <c r="I359">
        <v>28.7</v>
      </c>
      <c r="J359">
        <f t="shared" si="43"/>
        <v>3705.8</v>
      </c>
      <c r="K359">
        <f t="shared" si="44"/>
        <v>981.7</v>
      </c>
      <c r="M359">
        <v>0</v>
      </c>
      <c r="N359">
        <v>5.3</v>
      </c>
      <c r="O359">
        <f t="shared" si="40"/>
        <v>-5.3</v>
      </c>
      <c r="Q359">
        <v>328</v>
      </c>
      <c r="S359">
        <f t="shared" si="41"/>
        <v>0</v>
      </c>
      <c r="T359">
        <f t="shared" si="42"/>
        <v>0</v>
      </c>
      <c r="W359">
        <v>2310.6</v>
      </c>
      <c r="X359">
        <f t="shared" si="45"/>
        <v>91187.299999999974</v>
      </c>
    </row>
    <row r="360" spans="1:24" x14ac:dyDescent="0.25">
      <c r="A360">
        <v>6360</v>
      </c>
      <c r="B360">
        <v>24170</v>
      </c>
      <c r="C360" s="1">
        <v>43305</v>
      </c>
      <c r="G360">
        <v>25.4</v>
      </c>
      <c r="H360">
        <v>19.7</v>
      </c>
      <c r="I360">
        <v>29.7</v>
      </c>
      <c r="J360">
        <f t="shared" si="43"/>
        <v>3731.2000000000003</v>
      </c>
      <c r="K360">
        <f t="shared" si="44"/>
        <v>1007.1</v>
      </c>
      <c r="M360">
        <v>0</v>
      </c>
      <c r="N360">
        <v>4.2</v>
      </c>
      <c r="O360">
        <f t="shared" si="40"/>
        <v>-4.2</v>
      </c>
      <c r="Q360">
        <v>329</v>
      </c>
      <c r="S360">
        <f t="shared" si="41"/>
        <v>0</v>
      </c>
      <c r="T360">
        <f t="shared" si="42"/>
        <v>0</v>
      </c>
      <c r="W360">
        <v>1694.2</v>
      </c>
      <c r="X360">
        <f t="shared" si="45"/>
        <v>92881.499999999971</v>
      </c>
    </row>
    <row r="361" spans="1:24" x14ac:dyDescent="0.25">
      <c r="A361">
        <v>6360</v>
      </c>
      <c r="B361">
        <v>24170</v>
      </c>
      <c r="C361" s="1">
        <v>43306</v>
      </c>
      <c r="G361">
        <v>26.5</v>
      </c>
      <c r="H361">
        <v>21.2</v>
      </c>
      <c r="I361">
        <v>31.3</v>
      </c>
      <c r="J361">
        <f t="shared" si="43"/>
        <v>3757.7000000000003</v>
      </c>
      <c r="K361">
        <f t="shared" si="44"/>
        <v>1033.5999999999999</v>
      </c>
      <c r="M361">
        <v>0</v>
      </c>
      <c r="N361">
        <v>6.5</v>
      </c>
      <c r="O361">
        <f t="shared" si="40"/>
        <v>-6.5</v>
      </c>
      <c r="Q361">
        <v>330</v>
      </c>
      <c r="S361">
        <f t="shared" si="41"/>
        <v>0</v>
      </c>
      <c r="T361">
        <f t="shared" si="42"/>
        <v>0</v>
      </c>
      <c r="W361">
        <v>2743</v>
      </c>
      <c r="X361">
        <f t="shared" si="45"/>
        <v>95624.499999999971</v>
      </c>
    </row>
    <row r="362" spans="1:24" x14ac:dyDescent="0.25">
      <c r="A362">
        <v>6360</v>
      </c>
      <c r="B362">
        <v>24170</v>
      </c>
      <c r="C362" s="1">
        <v>43307</v>
      </c>
      <c r="G362">
        <v>28.3</v>
      </c>
      <c r="H362">
        <v>22.6</v>
      </c>
      <c r="I362">
        <v>34</v>
      </c>
      <c r="J362">
        <f t="shared" si="43"/>
        <v>3786.0000000000005</v>
      </c>
      <c r="K362">
        <f t="shared" si="44"/>
        <v>1061.8999999999999</v>
      </c>
      <c r="M362">
        <v>0</v>
      </c>
      <c r="N362">
        <v>5.2</v>
      </c>
      <c r="O362">
        <f t="shared" si="40"/>
        <v>-5.2</v>
      </c>
      <c r="Q362">
        <v>331</v>
      </c>
      <c r="S362">
        <f t="shared" si="41"/>
        <v>0</v>
      </c>
      <c r="T362">
        <f t="shared" si="42"/>
        <v>0</v>
      </c>
      <c r="W362">
        <v>2167.9</v>
      </c>
      <c r="X362">
        <f t="shared" si="45"/>
        <v>97792.399999999965</v>
      </c>
    </row>
    <row r="363" spans="1:24" x14ac:dyDescent="0.25">
      <c r="A363">
        <v>6360</v>
      </c>
      <c r="B363">
        <v>24170</v>
      </c>
      <c r="C363" s="1">
        <v>43308</v>
      </c>
      <c r="G363">
        <v>25.6</v>
      </c>
      <c r="H363">
        <v>21.8</v>
      </c>
      <c r="I363">
        <v>35.1</v>
      </c>
      <c r="J363">
        <f t="shared" si="43"/>
        <v>3811.6000000000004</v>
      </c>
      <c r="K363">
        <f t="shared" si="44"/>
        <v>1087.4999999999998</v>
      </c>
      <c r="M363">
        <v>13.9</v>
      </c>
      <c r="N363">
        <v>5.9</v>
      </c>
      <c r="O363">
        <f t="shared" si="40"/>
        <v>8</v>
      </c>
      <c r="Q363">
        <v>332</v>
      </c>
      <c r="S363">
        <f t="shared" si="41"/>
        <v>0</v>
      </c>
      <c r="T363">
        <f t="shared" si="42"/>
        <v>13.9</v>
      </c>
      <c r="W363">
        <v>2193.5</v>
      </c>
      <c r="X363">
        <f t="shared" si="45"/>
        <v>99985.899999999965</v>
      </c>
    </row>
    <row r="364" spans="1:24" x14ac:dyDescent="0.25">
      <c r="A364">
        <v>6360</v>
      </c>
      <c r="B364">
        <v>24170</v>
      </c>
      <c r="C364" s="1">
        <v>43309</v>
      </c>
      <c r="G364">
        <v>21.8</v>
      </c>
      <c r="H364">
        <v>19.5</v>
      </c>
      <c r="I364">
        <v>24.9</v>
      </c>
      <c r="J364">
        <f t="shared" si="43"/>
        <v>3833.4000000000005</v>
      </c>
      <c r="K364">
        <f t="shared" si="44"/>
        <v>1109.2999999999997</v>
      </c>
      <c r="M364">
        <v>0</v>
      </c>
      <c r="N364">
        <v>5.0999999999999996</v>
      </c>
      <c r="O364">
        <f t="shared" si="40"/>
        <v>-5.0999999999999996</v>
      </c>
      <c r="Q364">
        <v>333</v>
      </c>
      <c r="S364">
        <f t="shared" si="41"/>
        <v>0</v>
      </c>
      <c r="T364">
        <f t="shared" si="42"/>
        <v>0</v>
      </c>
      <c r="W364">
        <v>1953.7</v>
      </c>
      <c r="X364">
        <f t="shared" si="45"/>
        <v>101939.59999999996</v>
      </c>
    </row>
    <row r="365" spans="1:24" x14ac:dyDescent="0.25">
      <c r="A365">
        <v>6360</v>
      </c>
      <c r="B365">
        <v>24170</v>
      </c>
      <c r="C365" s="1">
        <v>43310</v>
      </c>
      <c r="G365">
        <v>22.4</v>
      </c>
      <c r="H365">
        <v>17.7</v>
      </c>
      <c r="I365">
        <v>25.9</v>
      </c>
      <c r="J365">
        <f t="shared" si="43"/>
        <v>3855.8000000000006</v>
      </c>
      <c r="K365">
        <f t="shared" si="44"/>
        <v>1131.6999999999998</v>
      </c>
      <c r="M365">
        <v>0</v>
      </c>
      <c r="N365">
        <v>4.2</v>
      </c>
      <c r="O365">
        <f t="shared" si="40"/>
        <v>-4.2</v>
      </c>
      <c r="Q365">
        <v>334</v>
      </c>
      <c r="S365">
        <f t="shared" si="41"/>
        <v>0</v>
      </c>
      <c r="T365">
        <f t="shared" si="42"/>
        <v>0</v>
      </c>
      <c r="W365">
        <v>1372</v>
      </c>
      <c r="X365">
        <f t="shared" si="45"/>
        <v>103311.59999999996</v>
      </c>
    </row>
    <row r="366" spans="1:24" x14ac:dyDescent="0.25">
      <c r="A366">
        <v>6360</v>
      </c>
      <c r="B366">
        <v>24170</v>
      </c>
      <c r="C366" s="1">
        <v>43311</v>
      </c>
      <c r="G366">
        <v>23.1</v>
      </c>
      <c r="H366">
        <v>19.5</v>
      </c>
      <c r="I366">
        <v>26.9</v>
      </c>
      <c r="J366">
        <f t="shared" si="43"/>
        <v>3878.9000000000005</v>
      </c>
      <c r="K366">
        <f t="shared" si="44"/>
        <v>1154.7999999999997</v>
      </c>
      <c r="M366">
        <v>0</v>
      </c>
      <c r="N366">
        <v>4</v>
      </c>
      <c r="O366">
        <f t="shared" si="40"/>
        <v>-4</v>
      </c>
      <c r="Q366">
        <v>335</v>
      </c>
      <c r="S366">
        <f t="shared" si="41"/>
        <v>0</v>
      </c>
      <c r="T366">
        <f t="shared" si="42"/>
        <v>0</v>
      </c>
      <c r="W366">
        <v>1549.1</v>
      </c>
      <c r="X366">
        <f t="shared" si="45"/>
        <v>104860.69999999997</v>
      </c>
    </row>
    <row r="367" spans="1:24" x14ac:dyDescent="0.25">
      <c r="A367">
        <v>6360</v>
      </c>
      <c r="B367">
        <v>24170</v>
      </c>
      <c r="C367" s="1">
        <v>43312</v>
      </c>
      <c r="G367">
        <v>23.4</v>
      </c>
      <c r="H367">
        <v>19.7</v>
      </c>
      <c r="I367">
        <v>26.8</v>
      </c>
      <c r="J367">
        <f t="shared" si="43"/>
        <v>3902.3000000000006</v>
      </c>
      <c r="K367">
        <f t="shared" si="44"/>
        <v>1178.1999999999998</v>
      </c>
      <c r="M367">
        <v>0</v>
      </c>
      <c r="N367">
        <v>4.4000000000000004</v>
      </c>
      <c r="O367">
        <f t="shared" si="40"/>
        <v>-4.4000000000000004</v>
      </c>
      <c r="Q367">
        <v>336</v>
      </c>
      <c r="S367">
        <f t="shared" si="41"/>
        <v>0</v>
      </c>
      <c r="T367">
        <f t="shared" si="42"/>
        <v>0</v>
      </c>
      <c r="W367">
        <v>1885.6</v>
      </c>
      <c r="X367">
        <f t="shared" si="45"/>
        <v>106746.29999999997</v>
      </c>
    </row>
  </sheetData>
  <mergeCells count="10">
    <mergeCell ref="G2:L2"/>
    <mergeCell ref="M2:V2"/>
    <mergeCell ref="W2:Z2"/>
    <mergeCell ref="F312:F333"/>
    <mergeCell ref="F296:F311"/>
    <mergeCell ref="F273:F295"/>
    <mergeCell ref="F252:F272"/>
    <mergeCell ref="F217:F251"/>
    <mergeCell ref="F123:F216"/>
    <mergeCell ref="F32:F122"/>
  </mergeCells>
  <conditionalFormatting sqref="G4:I367">
    <cfRule type="cellIs" dxfId="61" priority="29" operator="lessThan">
      <formula>0</formula>
    </cfRule>
    <cfRule type="cellIs" dxfId="60" priority="30" operator="between">
      <formula>5</formula>
      <formula>0</formula>
    </cfRule>
    <cfRule type="cellIs" dxfId="59" priority="31" operator="greaterThanOrEqual">
      <formula>25</formula>
    </cfRule>
  </conditionalFormatting>
  <conditionalFormatting sqref="O4:O367">
    <cfRule type="cellIs" dxfId="58" priority="28" operator="lessThan">
      <formula>0</formula>
    </cfRule>
  </conditionalFormatting>
  <conditionalFormatting sqref="T4:T367">
    <cfRule type="cellIs" dxfId="57" priority="27" operator="lessThan">
      <formula>0</formula>
    </cfRule>
  </conditionalFormatting>
  <conditionalFormatting sqref="W4:W367">
    <cfRule type="cellIs" dxfId="56" priority="26" operator="lessThan">
      <formula>900</formula>
    </cfRule>
  </conditionalFormatting>
  <conditionalFormatting sqref="U4:U1048576">
    <cfRule type="cellIs" dxfId="55" priority="24" operator="equal">
      <formula>0</formula>
    </cfRule>
    <cfRule type="cellIs" dxfId="54" priority="25" operator="lessThanOrEqual">
      <formula>59.77</formula>
    </cfRule>
  </conditionalFormatting>
  <conditionalFormatting sqref="Y32:Y346">
    <cfRule type="cellIs" dxfId="53" priority="23" operator="lessThan">
      <formula>9</formula>
    </cfRule>
  </conditionalFormatting>
  <conditionalFormatting sqref="L33 L41 L45 L43">
    <cfRule type="cellIs" dxfId="52" priority="21" operator="lessThanOrEqual">
      <formula>0</formula>
    </cfRule>
    <cfRule type="cellIs" dxfId="51" priority="22" operator="lessThanOrEqual">
      <formula>5</formula>
    </cfRule>
  </conditionalFormatting>
  <conditionalFormatting sqref="V33">
    <cfRule type="cellIs" dxfId="50" priority="19" operator="equal">
      <formula>0</formula>
    </cfRule>
    <cfRule type="cellIs" dxfId="49" priority="20" operator="lessThanOrEqual">
      <formula>63.2</formula>
    </cfRule>
  </conditionalFormatting>
  <conditionalFormatting sqref="L124 L132 L136 L134">
    <cfRule type="cellIs" dxfId="48" priority="17" operator="lessThanOrEqual">
      <formula>0</formula>
    </cfRule>
    <cfRule type="cellIs" dxfId="47" priority="18" operator="lessThanOrEqual">
      <formula>5</formula>
    </cfRule>
  </conditionalFormatting>
  <conditionalFormatting sqref="Z124">
    <cfRule type="cellIs" dxfId="46" priority="16" operator="lessThan">
      <formula>9</formula>
    </cfRule>
  </conditionalFormatting>
  <conditionalFormatting sqref="L218 L226 L230 L228">
    <cfRule type="cellIs" dxfId="45" priority="14" operator="lessThanOrEqual">
      <formula>0</formula>
    </cfRule>
    <cfRule type="cellIs" dxfId="44" priority="15" operator="lessThanOrEqual">
      <formula>5</formula>
    </cfRule>
  </conditionalFormatting>
  <conditionalFormatting sqref="Z218">
    <cfRule type="cellIs" dxfId="43" priority="13" operator="lessThan">
      <formula>9</formula>
    </cfRule>
  </conditionalFormatting>
  <conditionalFormatting sqref="L253 L265 L263 L261">
    <cfRule type="cellIs" dxfId="42" priority="11" operator="lessThanOrEqual">
      <formula>0</formula>
    </cfRule>
    <cfRule type="cellIs" dxfId="41" priority="12" operator="lessThanOrEqual">
      <formula>5</formula>
    </cfRule>
  </conditionalFormatting>
  <conditionalFormatting sqref="Z253">
    <cfRule type="cellIs" dxfId="40" priority="10" operator="lessThan">
      <formula>9</formula>
    </cfRule>
  </conditionalFormatting>
  <conditionalFormatting sqref="L274 L282 L284 L286">
    <cfRule type="cellIs" dxfId="39" priority="8" operator="lessThanOrEqual">
      <formula>0</formula>
    </cfRule>
    <cfRule type="cellIs" dxfId="38" priority="9" operator="lessThanOrEqual">
      <formula>5</formula>
    </cfRule>
  </conditionalFormatting>
  <conditionalFormatting sqref="Z274">
    <cfRule type="cellIs" dxfId="37" priority="7" operator="lessThan">
      <formula>9</formula>
    </cfRule>
  </conditionalFormatting>
  <conditionalFormatting sqref="L297 L307">
    <cfRule type="cellIs" dxfId="36" priority="5" operator="lessThanOrEqual">
      <formula>0</formula>
    </cfRule>
    <cfRule type="cellIs" dxfId="35" priority="6" operator="lessThanOrEqual">
      <formula>5</formula>
    </cfRule>
  </conditionalFormatting>
  <conditionalFormatting sqref="Z297">
    <cfRule type="cellIs" dxfId="34" priority="4" operator="lessThan">
      <formula>9</formula>
    </cfRule>
  </conditionalFormatting>
  <conditionalFormatting sqref="L313 L323">
    <cfRule type="cellIs" dxfId="33" priority="2" operator="lessThanOrEqual">
      <formula>0</formula>
    </cfRule>
    <cfRule type="cellIs" dxfId="32" priority="3" operator="lessThanOrEqual">
      <formula>5</formula>
    </cfRule>
  </conditionalFormatting>
  <conditionalFormatting sqref="Z313">
    <cfRule type="cellIs" dxfId="31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7"/>
  <sheetViews>
    <sheetView tabSelected="1" zoomScale="80" zoomScaleNormal="80" workbookViewId="0">
      <pane xSplit="6" ySplit="3" topLeftCell="G199" activePane="bottomRight" state="frozen"/>
      <selection pane="topRight" activeCell="G1" sqref="G1"/>
      <selection pane="bottomLeft" activeCell="A4" sqref="A4"/>
      <selection pane="bottomRight" activeCell="AB227" sqref="AB227"/>
    </sheetView>
  </sheetViews>
  <sheetFormatPr baseColWidth="10" defaultRowHeight="15" x14ac:dyDescent="0.25"/>
  <sheetData>
    <row r="1" spans="1:26" s="3" customFormat="1" x14ac:dyDescent="0.25">
      <c r="P1" s="3" t="s">
        <v>27</v>
      </c>
      <c r="Q1" s="3">
        <v>179.3</v>
      </c>
      <c r="R1" s="4" t="s">
        <v>28</v>
      </c>
      <c r="S1" s="5">
        <f>Q1/3</f>
        <v>59.766666666666673</v>
      </c>
    </row>
    <row r="2" spans="1:26" s="3" customFormat="1" x14ac:dyDescent="0.25">
      <c r="G2" s="30" t="s">
        <v>15</v>
      </c>
      <c r="H2" s="30"/>
      <c r="I2" s="30"/>
      <c r="J2" s="30"/>
      <c r="K2" s="30"/>
      <c r="L2" s="30"/>
      <c r="M2" s="30" t="s">
        <v>25</v>
      </c>
      <c r="N2" s="30"/>
      <c r="O2" s="30"/>
      <c r="P2" s="30"/>
      <c r="Q2" s="30"/>
      <c r="R2" s="30"/>
      <c r="S2" s="30"/>
      <c r="T2" s="30"/>
      <c r="U2" s="30"/>
      <c r="V2" s="30"/>
      <c r="W2" s="30" t="s">
        <v>26</v>
      </c>
      <c r="X2" s="30"/>
      <c r="Y2" s="30"/>
      <c r="Z2" s="30"/>
    </row>
    <row r="3" spans="1:26" s="3" customFormat="1" x14ac:dyDescent="0.25">
      <c r="A3" s="3" t="s">
        <v>0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  <c r="G3" s="3" t="s">
        <v>4</v>
      </c>
      <c r="H3" s="3" t="s">
        <v>7</v>
      </c>
      <c r="I3" s="3" t="s">
        <v>8</v>
      </c>
      <c r="J3" s="3" t="s">
        <v>12</v>
      </c>
      <c r="K3" s="3" t="s">
        <v>13</v>
      </c>
      <c r="L3" s="3" t="s">
        <v>14</v>
      </c>
      <c r="M3" s="3" t="s">
        <v>3</v>
      </c>
      <c r="N3" s="3" t="s">
        <v>6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14</v>
      </c>
      <c r="W3" s="3" t="s">
        <v>5</v>
      </c>
      <c r="X3" s="3" t="s">
        <v>23</v>
      </c>
      <c r="Y3" s="3" t="s">
        <v>24</v>
      </c>
      <c r="Z3" s="3" t="s">
        <v>14</v>
      </c>
    </row>
    <row r="4" spans="1:26" x14ac:dyDescent="0.25">
      <c r="A4">
        <v>6360</v>
      </c>
      <c r="B4">
        <v>24170</v>
      </c>
      <c r="C4" s="1">
        <v>42949</v>
      </c>
      <c r="G4">
        <v>22.3</v>
      </c>
      <c r="H4">
        <v>16.7</v>
      </c>
      <c r="I4">
        <v>27.9</v>
      </c>
      <c r="M4">
        <v>0.6</v>
      </c>
      <c r="N4">
        <v>2.9</v>
      </c>
      <c r="O4">
        <f>M4-N4</f>
        <v>-2.2999999999999998</v>
      </c>
      <c r="P4">
        <v>0</v>
      </c>
      <c r="S4">
        <f>R4*N4</f>
        <v>0</v>
      </c>
      <c r="T4">
        <f>M4-S4</f>
        <v>0.6</v>
      </c>
      <c r="W4">
        <v>970</v>
      </c>
    </row>
    <row r="5" spans="1:26" x14ac:dyDescent="0.25">
      <c r="A5">
        <v>6360</v>
      </c>
      <c r="B5">
        <v>24170</v>
      </c>
      <c r="C5" s="1">
        <v>42950</v>
      </c>
      <c r="G5">
        <v>22</v>
      </c>
      <c r="H5">
        <v>18.399999999999999</v>
      </c>
      <c r="I5">
        <v>24.6</v>
      </c>
      <c r="M5">
        <v>0</v>
      </c>
      <c r="N5">
        <v>4.5</v>
      </c>
      <c r="O5">
        <f t="shared" ref="O5:O68" si="0">M5-N5</f>
        <v>-4.5</v>
      </c>
      <c r="P5">
        <v>0</v>
      </c>
      <c r="S5">
        <f t="shared" ref="S5:S68" si="1">R5*N5</f>
        <v>0</v>
      </c>
      <c r="T5">
        <f t="shared" ref="T5:T68" si="2">M5-S5</f>
        <v>0</v>
      </c>
      <c r="W5">
        <v>1646.6</v>
      </c>
    </row>
    <row r="6" spans="1:26" x14ac:dyDescent="0.25">
      <c r="A6">
        <v>6360</v>
      </c>
      <c r="B6">
        <v>24170</v>
      </c>
      <c r="C6" s="1">
        <v>42951</v>
      </c>
      <c r="G6">
        <v>21.5</v>
      </c>
      <c r="H6">
        <v>18.100000000000001</v>
      </c>
      <c r="I6">
        <v>24.1</v>
      </c>
      <c r="M6">
        <v>0.4</v>
      </c>
      <c r="N6">
        <v>3.7</v>
      </c>
      <c r="O6">
        <f t="shared" si="0"/>
        <v>-3.3000000000000003</v>
      </c>
      <c r="P6">
        <v>0</v>
      </c>
      <c r="S6">
        <f t="shared" si="1"/>
        <v>0</v>
      </c>
      <c r="T6">
        <f t="shared" si="2"/>
        <v>0.4</v>
      </c>
      <c r="W6">
        <v>1173</v>
      </c>
    </row>
    <row r="7" spans="1:26" x14ac:dyDescent="0.25">
      <c r="A7">
        <v>6360</v>
      </c>
      <c r="B7">
        <v>24170</v>
      </c>
      <c r="C7" s="1">
        <v>42952</v>
      </c>
      <c r="G7">
        <v>18.899999999999999</v>
      </c>
      <c r="H7">
        <v>15.5</v>
      </c>
      <c r="I7">
        <v>22.4</v>
      </c>
      <c r="M7">
        <v>0</v>
      </c>
      <c r="N7">
        <v>3.3</v>
      </c>
      <c r="O7">
        <f t="shared" si="0"/>
        <v>-3.3</v>
      </c>
      <c r="P7">
        <v>0</v>
      </c>
      <c r="S7">
        <f t="shared" si="1"/>
        <v>0</v>
      </c>
      <c r="T7">
        <f t="shared" si="2"/>
        <v>0</v>
      </c>
      <c r="W7">
        <v>1409</v>
      </c>
    </row>
    <row r="8" spans="1:26" x14ac:dyDescent="0.25">
      <c r="A8">
        <v>6360</v>
      </c>
      <c r="B8">
        <v>24170</v>
      </c>
      <c r="C8" s="1">
        <v>42953</v>
      </c>
      <c r="G8">
        <v>17.7</v>
      </c>
      <c r="H8">
        <v>13.2</v>
      </c>
      <c r="I8">
        <v>22.4</v>
      </c>
      <c r="M8">
        <v>0</v>
      </c>
      <c r="N8">
        <v>4.2</v>
      </c>
      <c r="O8">
        <f t="shared" si="0"/>
        <v>-4.2</v>
      </c>
      <c r="P8">
        <v>0</v>
      </c>
      <c r="S8">
        <f t="shared" si="1"/>
        <v>0</v>
      </c>
      <c r="T8">
        <f t="shared" si="2"/>
        <v>0</v>
      </c>
      <c r="W8">
        <v>2169.3000000000002</v>
      </c>
    </row>
    <row r="9" spans="1:26" x14ac:dyDescent="0.25">
      <c r="A9">
        <v>6360</v>
      </c>
      <c r="B9">
        <v>24170</v>
      </c>
      <c r="C9" s="1">
        <v>42954</v>
      </c>
      <c r="G9">
        <v>19.899999999999999</v>
      </c>
      <c r="H9">
        <v>13.5</v>
      </c>
      <c r="I9">
        <v>25.1</v>
      </c>
      <c r="M9">
        <v>0.6</v>
      </c>
      <c r="N9">
        <v>4</v>
      </c>
      <c r="O9">
        <f t="shared" si="0"/>
        <v>-3.4</v>
      </c>
      <c r="P9">
        <v>0</v>
      </c>
      <c r="S9">
        <f t="shared" si="1"/>
        <v>0</v>
      </c>
      <c r="T9">
        <f t="shared" si="2"/>
        <v>0.6</v>
      </c>
      <c r="W9">
        <v>1870.4</v>
      </c>
    </row>
    <row r="10" spans="1:26" x14ac:dyDescent="0.25">
      <c r="A10">
        <v>6360</v>
      </c>
      <c r="B10">
        <v>24170</v>
      </c>
      <c r="C10" s="1">
        <v>42955</v>
      </c>
      <c r="G10">
        <v>15.8</v>
      </c>
      <c r="H10">
        <v>15.5</v>
      </c>
      <c r="I10">
        <v>16.399999999999999</v>
      </c>
      <c r="M10">
        <v>3.5</v>
      </c>
      <c r="N10">
        <v>1.2</v>
      </c>
      <c r="O10">
        <f t="shared" si="0"/>
        <v>2.2999999999999998</v>
      </c>
      <c r="P10">
        <f>P9+O10</f>
        <v>2.2999999999999998</v>
      </c>
      <c r="S10">
        <f t="shared" si="1"/>
        <v>0</v>
      </c>
      <c r="T10">
        <f t="shared" si="2"/>
        <v>3.5</v>
      </c>
      <c r="W10">
        <v>546.4</v>
      </c>
    </row>
    <row r="11" spans="1:26" x14ac:dyDescent="0.25">
      <c r="A11">
        <v>6360</v>
      </c>
      <c r="B11">
        <v>24170</v>
      </c>
      <c r="C11" s="1">
        <v>42956</v>
      </c>
      <c r="G11">
        <v>14.4</v>
      </c>
      <c r="H11">
        <v>12.8</v>
      </c>
      <c r="I11">
        <v>17.600000000000001</v>
      </c>
      <c r="M11">
        <v>7.5</v>
      </c>
      <c r="N11">
        <v>2.1</v>
      </c>
      <c r="O11">
        <f t="shared" si="0"/>
        <v>5.4</v>
      </c>
      <c r="P11">
        <f t="shared" ref="P11:P31" si="3">P10+O11</f>
        <v>7.7</v>
      </c>
      <c r="S11">
        <f t="shared" si="1"/>
        <v>0</v>
      </c>
      <c r="T11">
        <f t="shared" si="2"/>
        <v>7.5</v>
      </c>
      <c r="W11">
        <v>1281.5</v>
      </c>
    </row>
    <row r="12" spans="1:26" x14ac:dyDescent="0.25">
      <c r="A12">
        <v>6360</v>
      </c>
      <c r="B12">
        <v>24170</v>
      </c>
      <c r="C12" s="1">
        <v>42957</v>
      </c>
      <c r="G12">
        <v>13.9</v>
      </c>
      <c r="H12">
        <v>11.3</v>
      </c>
      <c r="I12">
        <v>17.100000000000001</v>
      </c>
      <c r="M12">
        <v>0.9</v>
      </c>
      <c r="N12">
        <v>2.1</v>
      </c>
      <c r="O12">
        <f t="shared" si="0"/>
        <v>-1.2000000000000002</v>
      </c>
      <c r="P12">
        <f t="shared" si="3"/>
        <v>6.5</v>
      </c>
      <c r="S12">
        <f t="shared" si="1"/>
        <v>0</v>
      </c>
      <c r="T12">
        <f t="shared" si="2"/>
        <v>0.9</v>
      </c>
      <c r="W12">
        <v>1174.2</v>
      </c>
    </row>
    <row r="13" spans="1:26" x14ac:dyDescent="0.25">
      <c r="A13">
        <v>6360</v>
      </c>
      <c r="B13">
        <v>24170</v>
      </c>
      <c r="C13" s="1">
        <v>42958</v>
      </c>
      <c r="G13">
        <v>16.7</v>
      </c>
      <c r="H13">
        <v>12.3</v>
      </c>
      <c r="I13">
        <v>20.3</v>
      </c>
      <c r="M13">
        <v>0</v>
      </c>
      <c r="N13">
        <v>2.9</v>
      </c>
      <c r="O13">
        <f t="shared" si="0"/>
        <v>-2.9</v>
      </c>
      <c r="P13">
        <f t="shared" si="3"/>
        <v>3.6</v>
      </c>
      <c r="S13">
        <f t="shared" si="1"/>
        <v>0</v>
      </c>
      <c r="T13">
        <f t="shared" si="2"/>
        <v>0</v>
      </c>
      <c r="W13">
        <v>1636.4</v>
      </c>
    </row>
    <row r="14" spans="1:26" x14ac:dyDescent="0.25">
      <c r="A14">
        <v>6360</v>
      </c>
      <c r="B14">
        <v>24170</v>
      </c>
      <c r="C14" s="1">
        <v>42959</v>
      </c>
      <c r="G14">
        <v>16.7</v>
      </c>
      <c r="H14">
        <v>14.1</v>
      </c>
      <c r="I14">
        <v>19.600000000000001</v>
      </c>
      <c r="M14">
        <v>2.5</v>
      </c>
      <c r="N14">
        <v>1.8</v>
      </c>
      <c r="O14">
        <f t="shared" si="0"/>
        <v>0.7</v>
      </c>
      <c r="P14">
        <f t="shared" si="3"/>
        <v>4.3</v>
      </c>
      <c r="S14">
        <f t="shared" si="1"/>
        <v>0</v>
      </c>
      <c r="T14">
        <f t="shared" si="2"/>
        <v>2.5</v>
      </c>
      <c r="W14">
        <v>652.4</v>
      </c>
    </row>
    <row r="15" spans="1:26" x14ac:dyDescent="0.25">
      <c r="A15">
        <v>6360</v>
      </c>
      <c r="B15">
        <v>24170</v>
      </c>
      <c r="C15" s="1">
        <v>42960</v>
      </c>
      <c r="G15">
        <v>17.3</v>
      </c>
      <c r="H15">
        <v>13.3</v>
      </c>
      <c r="I15">
        <v>21.3</v>
      </c>
      <c r="M15">
        <v>0.1</v>
      </c>
      <c r="N15">
        <v>3</v>
      </c>
      <c r="O15">
        <f t="shared" si="0"/>
        <v>-2.9</v>
      </c>
      <c r="P15">
        <f t="shared" si="3"/>
        <v>1.4</v>
      </c>
      <c r="S15">
        <f t="shared" si="1"/>
        <v>0</v>
      </c>
      <c r="T15">
        <f t="shared" si="2"/>
        <v>0.1</v>
      </c>
      <c r="W15">
        <v>1486.4</v>
      </c>
    </row>
    <row r="16" spans="1:26" x14ac:dyDescent="0.25">
      <c r="A16">
        <v>6360</v>
      </c>
      <c r="B16">
        <v>24170</v>
      </c>
      <c r="C16" s="1">
        <v>42961</v>
      </c>
      <c r="G16">
        <v>19.8</v>
      </c>
      <c r="H16">
        <v>12.5</v>
      </c>
      <c r="I16">
        <v>25.6</v>
      </c>
      <c r="M16">
        <v>8.6</v>
      </c>
      <c r="N16">
        <v>2.8</v>
      </c>
      <c r="O16">
        <f t="shared" si="0"/>
        <v>5.8</v>
      </c>
      <c r="P16">
        <f t="shared" si="3"/>
        <v>7.1999999999999993</v>
      </c>
      <c r="S16">
        <f t="shared" si="1"/>
        <v>0</v>
      </c>
      <c r="T16">
        <f t="shared" si="2"/>
        <v>8.6</v>
      </c>
      <c r="W16">
        <v>1463</v>
      </c>
    </row>
    <row r="17" spans="1:26" x14ac:dyDescent="0.25">
      <c r="A17">
        <v>6360</v>
      </c>
      <c r="B17">
        <v>24170</v>
      </c>
      <c r="C17" s="1">
        <v>42962</v>
      </c>
      <c r="G17">
        <v>20.2</v>
      </c>
      <c r="H17">
        <v>19.100000000000001</v>
      </c>
      <c r="I17">
        <v>23.9</v>
      </c>
      <c r="M17">
        <v>33.799999999999997</v>
      </c>
      <c r="N17">
        <v>2.7</v>
      </c>
      <c r="O17">
        <f t="shared" si="0"/>
        <v>31.099999999999998</v>
      </c>
      <c r="P17">
        <f t="shared" si="3"/>
        <v>38.299999999999997</v>
      </c>
      <c r="S17">
        <f t="shared" si="1"/>
        <v>0</v>
      </c>
      <c r="T17">
        <f t="shared" si="2"/>
        <v>33.799999999999997</v>
      </c>
      <c r="W17">
        <v>1288.5999999999999</v>
      </c>
    </row>
    <row r="18" spans="1:26" x14ac:dyDescent="0.25">
      <c r="A18">
        <v>6360</v>
      </c>
      <c r="B18">
        <v>24170</v>
      </c>
      <c r="C18" s="1">
        <v>42963</v>
      </c>
      <c r="G18">
        <v>19.600000000000001</v>
      </c>
      <c r="H18">
        <v>15.4</v>
      </c>
      <c r="I18">
        <v>23</v>
      </c>
      <c r="M18">
        <v>1</v>
      </c>
      <c r="N18">
        <v>2.8</v>
      </c>
      <c r="O18">
        <f t="shared" si="0"/>
        <v>-1.7999999999999998</v>
      </c>
      <c r="P18">
        <f t="shared" si="3"/>
        <v>36.5</v>
      </c>
      <c r="S18">
        <f t="shared" si="1"/>
        <v>0</v>
      </c>
      <c r="T18">
        <f t="shared" si="2"/>
        <v>1</v>
      </c>
      <c r="W18">
        <v>1389.3</v>
      </c>
    </row>
    <row r="19" spans="1:26" x14ac:dyDescent="0.25">
      <c r="A19">
        <v>6360</v>
      </c>
      <c r="B19">
        <v>24170</v>
      </c>
      <c r="C19" s="1">
        <v>42964</v>
      </c>
      <c r="G19">
        <v>19.100000000000001</v>
      </c>
      <c r="H19">
        <v>16.2</v>
      </c>
      <c r="I19">
        <v>21.2</v>
      </c>
      <c r="M19">
        <v>13</v>
      </c>
      <c r="N19">
        <v>0.9</v>
      </c>
      <c r="O19">
        <f t="shared" si="0"/>
        <v>12.1</v>
      </c>
      <c r="P19">
        <f t="shared" si="3"/>
        <v>48.6</v>
      </c>
      <c r="S19">
        <f t="shared" si="1"/>
        <v>0</v>
      </c>
      <c r="T19">
        <f t="shared" si="2"/>
        <v>13</v>
      </c>
      <c r="W19">
        <v>485.7</v>
      </c>
    </row>
    <row r="20" spans="1:26" x14ac:dyDescent="0.25">
      <c r="A20">
        <v>6360</v>
      </c>
      <c r="B20">
        <v>24170</v>
      </c>
      <c r="C20" s="1">
        <v>42965</v>
      </c>
      <c r="G20">
        <v>17.3</v>
      </c>
      <c r="H20">
        <v>17.3</v>
      </c>
      <c r="I20">
        <v>18.2</v>
      </c>
      <c r="M20">
        <v>7.1</v>
      </c>
      <c r="N20">
        <v>1</v>
      </c>
      <c r="O20">
        <f t="shared" si="0"/>
        <v>6.1</v>
      </c>
      <c r="P20">
        <f t="shared" si="3"/>
        <v>54.7</v>
      </c>
      <c r="S20">
        <f t="shared" si="1"/>
        <v>0</v>
      </c>
      <c r="T20">
        <f t="shared" si="2"/>
        <v>7.1</v>
      </c>
      <c r="W20">
        <v>482.7</v>
      </c>
    </row>
    <row r="21" spans="1:26" x14ac:dyDescent="0.25">
      <c r="A21">
        <v>6360</v>
      </c>
      <c r="B21">
        <v>24170</v>
      </c>
      <c r="C21" s="1">
        <v>42966</v>
      </c>
      <c r="G21">
        <v>15.7</v>
      </c>
      <c r="H21">
        <v>12.1</v>
      </c>
      <c r="I21">
        <v>19.600000000000001</v>
      </c>
      <c r="M21">
        <v>0.1</v>
      </c>
      <c r="N21">
        <v>3</v>
      </c>
      <c r="O21">
        <f t="shared" si="0"/>
        <v>-2.9</v>
      </c>
      <c r="P21">
        <f t="shared" si="3"/>
        <v>51.800000000000004</v>
      </c>
      <c r="S21">
        <f t="shared" si="1"/>
        <v>0</v>
      </c>
      <c r="T21">
        <f t="shared" si="2"/>
        <v>0.1</v>
      </c>
      <c r="W21">
        <v>1633.1</v>
      </c>
    </row>
    <row r="22" spans="1:26" x14ac:dyDescent="0.25">
      <c r="A22">
        <v>6360</v>
      </c>
      <c r="B22">
        <v>24170</v>
      </c>
      <c r="C22" s="1">
        <v>42967</v>
      </c>
      <c r="G22">
        <v>16.3</v>
      </c>
      <c r="H22">
        <v>10.7</v>
      </c>
      <c r="I22">
        <v>20.100000000000001</v>
      </c>
      <c r="M22">
        <v>0</v>
      </c>
      <c r="N22">
        <v>2.5</v>
      </c>
      <c r="O22">
        <f t="shared" si="0"/>
        <v>-2.5</v>
      </c>
      <c r="P22">
        <f t="shared" si="3"/>
        <v>49.300000000000004</v>
      </c>
      <c r="S22">
        <f t="shared" si="1"/>
        <v>0</v>
      </c>
      <c r="T22">
        <f t="shared" si="2"/>
        <v>0</v>
      </c>
      <c r="W22">
        <v>1303.2</v>
      </c>
    </row>
    <row r="23" spans="1:26" x14ac:dyDescent="0.25">
      <c r="A23">
        <v>6360</v>
      </c>
      <c r="B23">
        <v>24170</v>
      </c>
      <c r="C23" s="1">
        <v>42968</v>
      </c>
      <c r="G23">
        <v>19</v>
      </c>
      <c r="H23">
        <v>16.100000000000001</v>
      </c>
      <c r="I23">
        <v>22.3</v>
      </c>
      <c r="M23">
        <v>0</v>
      </c>
      <c r="N23">
        <v>1.7</v>
      </c>
      <c r="O23">
        <f t="shared" si="0"/>
        <v>-1.7</v>
      </c>
      <c r="P23">
        <f t="shared" si="3"/>
        <v>47.6</v>
      </c>
      <c r="S23">
        <f t="shared" si="1"/>
        <v>0</v>
      </c>
      <c r="T23">
        <f t="shared" si="2"/>
        <v>0</v>
      </c>
      <c r="W23">
        <v>628.4</v>
      </c>
    </row>
    <row r="24" spans="1:26" x14ac:dyDescent="0.25">
      <c r="A24">
        <v>6360</v>
      </c>
      <c r="B24">
        <v>24170</v>
      </c>
      <c r="C24" s="1">
        <v>42969</v>
      </c>
      <c r="G24">
        <v>21.3</v>
      </c>
      <c r="H24">
        <v>15.8</v>
      </c>
      <c r="I24">
        <v>25.8</v>
      </c>
      <c r="M24">
        <v>0</v>
      </c>
      <c r="N24">
        <v>3.3</v>
      </c>
      <c r="O24">
        <f t="shared" si="0"/>
        <v>-3.3</v>
      </c>
      <c r="P24">
        <f t="shared" si="3"/>
        <v>44.300000000000004</v>
      </c>
      <c r="S24">
        <f t="shared" si="1"/>
        <v>0</v>
      </c>
      <c r="T24">
        <f t="shared" si="2"/>
        <v>0</v>
      </c>
      <c r="W24">
        <v>1624.4</v>
      </c>
    </row>
    <row r="25" spans="1:26" x14ac:dyDescent="0.25">
      <c r="A25">
        <v>6360</v>
      </c>
      <c r="B25">
        <v>24170</v>
      </c>
      <c r="C25" s="1">
        <v>42970</v>
      </c>
      <c r="G25">
        <v>20</v>
      </c>
      <c r="H25">
        <v>18.2</v>
      </c>
      <c r="I25">
        <v>24.3</v>
      </c>
      <c r="M25">
        <v>0</v>
      </c>
      <c r="N25">
        <v>3.5</v>
      </c>
      <c r="O25">
        <f t="shared" si="0"/>
        <v>-3.5</v>
      </c>
      <c r="P25">
        <f t="shared" si="3"/>
        <v>40.800000000000004</v>
      </c>
      <c r="S25">
        <f t="shared" si="1"/>
        <v>0</v>
      </c>
      <c r="T25">
        <f t="shared" si="2"/>
        <v>0</v>
      </c>
      <c r="W25">
        <v>1585.8</v>
      </c>
    </row>
    <row r="26" spans="1:26" x14ac:dyDescent="0.25">
      <c r="A26">
        <v>6360</v>
      </c>
      <c r="B26">
        <v>24170</v>
      </c>
      <c r="C26" s="1">
        <v>42971</v>
      </c>
      <c r="G26">
        <v>18.2</v>
      </c>
      <c r="H26">
        <v>13</v>
      </c>
      <c r="I26">
        <v>21.7</v>
      </c>
      <c r="M26">
        <v>0</v>
      </c>
      <c r="N26">
        <v>2.1</v>
      </c>
      <c r="O26">
        <f t="shared" si="0"/>
        <v>-2.1</v>
      </c>
      <c r="P26">
        <f t="shared" si="3"/>
        <v>38.700000000000003</v>
      </c>
      <c r="S26">
        <f t="shared" si="1"/>
        <v>0</v>
      </c>
      <c r="T26">
        <f t="shared" si="2"/>
        <v>0</v>
      </c>
      <c r="W26">
        <v>1122.0999999999999</v>
      </c>
    </row>
    <row r="27" spans="1:26" x14ac:dyDescent="0.25">
      <c r="A27">
        <v>6360</v>
      </c>
      <c r="B27">
        <v>24170</v>
      </c>
      <c r="C27" s="1">
        <v>42972</v>
      </c>
      <c r="G27">
        <v>18.600000000000001</v>
      </c>
      <c r="H27">
        <v>17</v>
      </c>
      <c r="I27">
        <v>21.3</v>
      </c>
      <c r="M27">
        <v>31.3</v>
      </c>
      <c r="N27">
        <v>1.6</v>
      </c>
      <c r="O27">
        <f t="shared" si="0"/>
        <v>29.7</v>
      </c>
      <c r="P27">
        <f t="shared" si="3"/>
        <v>68.400000000000006</v>
      </c>
      <c r="S27">
        <f t="shared" si="1"/>
        <v>0</v>
      </c>
      <c r="T27">
        <f t="shared" si="2"/>
        <v>31.3</v>
      </c>
      <c r="W27">
        <v>635.79999999999995</v>
      </c>
    </row>
    <row r="28" spans="1:26" x14ac:dyDescent="0.25">
      <c r="A28">
        <v>6360</v>
      </c>
      <c r="B28">
        <v>24170</v>
      </c>
      <c r="C28" s="1">
        <v>42973</v>
      </c>
      <c r="G28">
        <v>21.3</v>
      </c>
      <c r="H28">
        <v>17.100000000000001</v>
      </c>
      <c r="I28">
        <v>25.4</v>
      </c>
      <c r="M28">
        <v>0.4</v>
      </c>
      <c r="N28">
        <v>2.6</v>
      </c>
      <c r="O28">
        <f t="shared" si="0"/>
        <v>-2.2000000000000002</v>
      </c>
      <c r="P28">
        <f t="shared" si="3"/>
        <v>66.2</v>
      </c>
      <c r="S28">
        <f t="shared" si="1"/>
        <v>0</v>
      </c>
      <c r="T28">
        <f t="shared" si="2"/>
        <v>0.4</v>
      </c>
      <c r="W28">
        <v>1316.4</v>
      </c>
    </row>
    <row r="29" spans="1:26" x14ac:dyDescent="0.25">
      <c r="A29">
        <v>6360</v>
      </c>
      <c r="B29">
        <v>24170</v>
      </c>
      <c r="C29" s="1">
        <v>42974</v>
      </c>
      <c r="G29">
        <v>21.7</v>
      </c>
      <c r="H29">
        <v>17.600000000000001</v>
      </c>
      <c r="I29">
        <v>26.2</v>
      </c>
      <c r="M29">
        <v>3.6</v>
      </c>
      <c r="N29">
        <v>3.4</v>
      </c>
      <c r="O29">
        <f t="shared" si="0"/>
        <v>0.20000000000000018</v>
      </c>
      <c r="P29">
        <f t="shared" si="3"/>
        <v>66.400000000000006</v>
      </c>
      <c r="S29">
        <f t="shared" si="1"/>
        <v>0</v>
      </c>
      <c r="T29">
        <f t="shared" si="2"/>
        <v>3.6</v>
      </c>
      <c r="W29">
        <v>1614.3</v>
      </c>
    </row>
    <row r="30" spans="1:26" x14ac:dyDescent="0.25">
      <c r="A30">
        <v>6360</v>
      </c>
      <c r="B30">
        <v>24170</v>
      </c>
      <c r="C30" s="1">
        <v>42975</v>
      </c>
      <c r="G30">
        <v>22.8</v>
      </c>
      <c r="H30">
        <v>18.100000000000001</v>
      </c>
      <c r="I30">
        <v>28</v>
      </c>
      <c r="M30">
        <v>0</v>
      </c>
      <c r="N30">
        <v>4</v>
      </c>
      <c r="O30">
        <f t="shared" si="0"/>
        <v>-4</v>
      </c>
      <c r="P30">
        <f t="shared" si="3"/>
        <v>62.400000000000006</v>
      </c>
      <c r="S30">
        <f t="shared" si="1"/>
        <v>0</v>
      </c>
      <c r="T30">
        <f t="shared" si="2"/>
        <v>0</v>
      </c>
      <c r="W30">
        <v>1792.3</v>
      </c>
    </row>
    <row r="31" spans="1:26" s="6" customFormat="1" ht="15.75" thickBot="1" x14ac:dyDescent="0.3">
      <c r="A31" s="6">
        <v>6360</v>
      </c>
      <c r="B31" s="6">
        <v>24170</v>
      </c>
      <c r="C31" s="7">
        <v>42976</v>
      </c>
      <c r="G31" s="6">
        <v>24.6</v>
      </c>
      <c r="H31" s="6">
        <v>18.600000000000001</v>
      </c>
      <c r="I31" s="6">
        <v>30</v>
      </c>
      <c r="M31" s="6">
        <v>0</v>
      </c>
      <c r="N31" s="6">
        <v>4.2</v>
      </c>
      <c r="O31" s="6">
        <f t="shared" si="0"/>
        <v>-4.2</v>
      </c>
      <c r="P31" s="8">
        <f t="shared" si="3"/>
        <v>58.2</v>
      </c>
      <c r="S31" s="6">
        <f t="shared" si="1"/>
        <v>0</v>
      </c>
      <c r="T31" s="6">
        <f t="shared" si="2"/>
        <v>0</v>
      </c>
      <c r="W31" s="6">
        <v>1761.7</v>
      </c>
    </row>
    <row r="32" spans="1:26" x14ac:dyDescent="0.25">
      <c r="A32">
        <v>6360</v>
      </c>
      <c r="B32">
        <v>24170</v>
      </c>
      <c r="C32" s="1">
        <v>42977</v>
      </c>
      <c r="D32" t="s">
        <v>29</v>
      </c>
      <c r="F32" s="49" t="s">
        <v>60</v>
      </c>
      <c r="G32">
        <v>18.600000000000001</v>
      </c>
      <c r="H32">
        <v>15.8</v>
      </c>
      <c r="I32">
        <v>22.5</v>
      </c>
      <c r="J32">
        <f>G32</f>
        <v>18.600000000000001</v>
      </c>
      <c r="K32">
        <f>G32</f>
        <v>18.600000000000001</v>
      </c>
      <c r="L32" s="11" t="s">
        <v>38</v>
      </c>
      <c r="M32">
        <v>3.8</v>
      </c>
      <c r="N32">
        <v>1.2</v>
      </c>
      <c r="O32">
        <f t="shared" si="0"/>
        <v>2.5999999999999996</v>
      </c>
      <c r="Q32">
        <v>1</v>
      </c>
      <c r="R32">
        <v>0.35</v>
      </c>
      <c r="S32">
        <f t="shared" si="1"/>
        <v>0.42</v>
      </c>
      <c r="T32">
        <f t="shared" si="2"/>
        <v>3.38</v>
      </c>
      <c r="U32">
        <f>P31+T32</f>
        <v>61.580000000000005</v>
      </c>
      <c r="V32" s="15" t="s">
        <v>45</v>
      </c>
      <c r="W32">
        <v>535.70000000000005</v>
      </c>
      <c r="X32">
        <f>W32</f>
        <v>535.70000000000005</v>
      </c>
      <c r="Y32">
        <v>13.305085745166945</v>
      </c>
      <c r="Z32" s="15" t="s">
        <v>50</v>
      </c>
    </row>
    <row r="33" spans="1:26" x14ac:dyDescent="0.25">
      <c r="A33">
        <v>6360</v>
      </c>
      <c r="B33">
        <v>24170</v>
      </c>
      <c r="C33" s="1">
        <v>42978</v>
      </c>
      <c r="F33" s="50"/>
      <c r="G33">
        <v>15.4</v>
      </c>
      <c r="H33">
        <v>12</v>
      </c>
      <c r="I33">
        <v>19.3</v>
      </c>
      <c r="J33">
        <f>J32+G33</f>
        <v>34</v>
      </c>
      <c r="K33">
        <f>K32+G33</f>
        <v>34</v>
      </c>
      <c r="L33" s="12">
        <v>1086.7</v>
      </c>
      <c r="M33">
        <v>0</v>
      </c>
      <c r="N33">
        <v>2.9</v>
      </c>
      <c r="O33">
        <f t="shared" si="0"/>
        <v>-2.9</v>
      </c>
      <c r="Q33">
        <v>2</v>
      </c>
      <c r="R33">
        <v>0.35</v>
      </c>
      <c r="S33">
        <f t="shared" si="1"/>
        <v>1.0149999999999999</v>
      </c>
      <c r="T33">
        <f t="shared" si="2"/>
        <v>-1.0149999999999999</v>
      </c>
      <c r="U33">
        <f>MIN(U32+T33,179.3)</f>
        <v>60.565000000000005</v>
      </c>
      <c r="V33">
        <v>0</v>
      </c>
      <c r="W33">
        <v>1554.5</v>
      </c>
      <c r="X33">
        <f>X32+W33</f>
        <v>2090.1999999999998</v>
      </c>
      <c r="Y33">
        <v>13.245649835930276</v>
      </c>
      <c r="Z33">
        <v>59416.1</v>
      </c>
    </row>
    <row r="34" spans="1:26" x14ac:dyDescent="0.25">
      <c r="A34">
        <v>6360</v>
      </c>
      <c r="B34">
        <v>24170</v>
      </c>
      <c r="C34" s="1">
        <v>42979</v>
      </c>
      <c r="F34" s="50"/>
      <c r="G34">
        <v>15.1</v>
      </c>
      <c r="H34">
        <v>12.6</v>
      </c>
      <c r="I34">
        <v>18.899999999999999</v>
      </c>
      <c r="J34">
        <f t="shared" ref="J34:J97" si="4">J33+G34</f>
        <v>49.1</v>
      </c>
      <c r="K34">
        <f t="shared" ref="K34:K97" si="5">K33+G34</f>
        <v>49.1</v>
      </c>
      <c r="L34" s="11" t="s">
        <v>39</v>
      </c>
      <c r="M34">
        <v>0.3</v>
      </c>
      <c r="N34">
        <v>1.6</v>
      </c>
      <c r="O34">
        <f t="shared" si="0"/>
        <v>-1.3</v>
      </c>
      <c r="Q34">
        <v>3</v>
      </c>
      <c r="R34">
        <v>0.35</v>
      </c>
      <c r="S34">
        <f t="shared" si="1"/>
        <v>0.55999999999999994</v>
      </c>
      <c r="T34">
        <f t="shared" si="2"/>
        <v>-0.25999999999999995</v>
      </c>
      <c r="U34">
        <f t="shared" ref="U34:U97" si="6">MIN(U33+T34,179.3)</f>
        <v>60.305000000000007</v>
      </c>
      <c r="V34" s="15" t="s">
        <v>46</v>
      </c>
      <c r="W34">
        <v>1078.8</v>
      </c>
      <c r="X34">
        <f t="shared" ref="X34:X97" si="7">X33+W34</f>
        <v>3169</v>
      </c>
      <c r="Y34">
        <v>13.186024875621438</v>
      </c>
      <c r="Z34" s="15" t="s">
        <v>51</v>
      </c>
    </row>
    <row r="35" spans="1:26" x14ac:dyDescent="0.25">
      <c r="A35">
        <v>6360</v>
      </c>
      <c r="B35">
        <v>24170</v>
      </c>
      <c r="C35" s="1">
        <v>42980</v>
      </c>
      <c r="F35" s="50"/>
      <c r="G35">
        <v>14.8</v>
      </c>
      <c r="H35">
        <v>12</v>
      </c>
      <c r="I35">
        <v>18.7</v>
      </c>
      <c r="J35">
        <f t="shared" si="4"/>
        <v>63.900000000000006</v>
      </c>
      <c r="K35">
        <f t="shared" si="5"/>
        <v>63.900000000000006</v>
      </c>
      <c r="L35" s="13">
        <f>AVERAGE(G32:G122)</f>
        <v>11.941758241758247</v>
      </c>
      <c r="M35">
        <v>0.4</v>
      </c>
      <c r="N35">
        <v>3.3</v>
      </c>
      <c r="O35">
        <f t="shared" si="0"/>
        <v>-2.9</v>
      </c>
      <c r="Q35">
        <v>4</v>
      </c>
      <c r="R35">
        <v>0.35</v>
      </c>
      <c r="S35">
        <f t="shared" si="1"/>
        <v>1.1549999999999998</v>
      </c>
      <c r="T35">
        <f t="shared" si="2"/>
        <v>-0.75499999999999978</v>
      </c>
      <c r="U35">
        <f t="shared" si="6"/>
        <v>59.550000000000004</v>
      </c>
      <c r="V35">
        <v>6</v>
      </c>
      <c r="W35">
        <v>1808.2</v>
      </c>
      <c r="X35">
        <f t="shared" si="7"/>
        <v>4977.2</v>
      </c>
      <c r="Y35">
        <v>13.126222078469397</v>
      </c>
      <c r="Z35">
        <f>(Z33/100)/L33</f>
        <v>0.54675715468850639</v>
      </c>
    </row>
    <row r="36" spans="1:26" x14ac:dyDescent="0.25">
      <c r="A36">
        <v>6360</v>
      </c>
      <c r="B36">
        <v>24170</v>
      </c>
      <c r="C36" s="1">
        <v>42981</v>
      </c>
      <c r="F36" s="50"/>
      <c r="G36">
        <v>15.2</v>
      </c>
      <c r="H36">
        <v>9.6</v>
      </c>
      <c r="I36">
        <v>20</v>
      </c>
      <c r="J36">
        <f t="shared" si="4"/>
        <v>79.100000000000009</v>
      </c>
      <c r="K36">
        <f t="shared" si="5"/>
        <v>79.100000000000009</v>
      </c>
      <c r="L36" s="11" t="s">
        <v>40</v>
      </c>
      <c r="M36">
        <v>0</v>
      </c>
      <c r="N36">
        <v>2.1</v>
      </c>
      <c r="O36">
        <f t="shared" si="0"/>
        <v>-2.1</v>
      </c>
      <c r="Q36">
        <v>5</v>
      </c>
      <c r="R36">
        <v>0.35</v>
      </c>
      <c r="S36">
        <f t="shared" si="1"/>
        <v>0.73499999999999999</v>
      </c>
      <c r="T36">
        <f t="shared" si="2"/>
        <v>-0.73499999999999999</v>
      </c>
      <c r="U36">
        <f t="shared" si="6"/>
        <v>58.815000000000005</v>
      </c>
      <c r="V36" s="15" t="s">
        <v>47</v>
      </c>
      <c r="W36">
        <v>1124.5</v>
      </c>
      <c r="X36">
        <f t="shared" si="7"/>
        <v>6101.7</v>
      </c>
      <c r="Y36">
        <v>13.066252365350364</v>
      </c>
      <c r="Z36" s="15" t="s">
        <v>52</v>
      </c>
    </row>
    <row r="37" spans="1:26" x14ac:dyDescent="0.25">
      <c r="A37">
        <v>6360</v>
      </c>
      <c r="B37">
        <v>24170</v>
      </c>
      <c r="C37" s="1">
        <v>42982</v>
      </c>
      <c r="F37" s="50"/>
      <c r="G37">
        <v>19.600000000000001</v>
      </c>
      <c r="H37">
        <v>15.7</v>
      </c>
      <c r="I37">
        <v>22.6</v>
      </c>
      <c r="J37">
        <f t="shared" si="4"/>
        <v>98.700000000000017</v>
      </c>
      <c r="K37">
        <f t="shared" si="5"/>
        <v>98.700000000000017</v>
      </c>
      <c r="L37" s="14">
        <f>MIN(H32:H122)</f>
        <v>-0.9</v>
      </c>
      <c r="M37">
        <v>0</v>
      </c>
      <c r="N37">
        <v>2.2999999999999998</v>
      </c>
      <c r="O37">
        <f t="shared" si="0"/>
        <v>-2.2999999999999998</v>
      </c>
      <c r="Q37">
        <v>6</v>
      </c>
      <c r="R37">
        <v>0.35</v>
      </c>
      <c r="S37">
        <f t="shared" si="1"/>
        <v>0.80499999999999994</v>
      </c>
      <c r="T37">
        <f t="shared" si="2"/>
        <v>-0.80499999999999994</v>
      </c>
      <c r="U37">
        <f t="shared" si="6"/>
        <v>58.010000000000005</v>
      </c>
      <c r="V37" s="2">
        <f>MIN(U32:U122)</f>
        <v>55.967469879518077</v>
      </c>
      <c r="W37">
        <v>1066.0999999999999</v>
      </c>
      <c r="X37">
        <f t="shared" si="7"/>
        <v>7167.7999999999993</v>
      </c>
      <c r="Y37">
        <v>13.006126377301541</v>
      </c>
      <c r="Z37">
        <v>66</v>
      </c>
    </row>
    <row r="38" spans="1:26" x14ac:dyDescent="0.25">
      <c r="A38">
        <v>6360</v>
      </c>
      <c r="B38">
        <v>24170</v>
      </c>
      <c r="C38" s="1">
        <v>42983</v>
      </c>
      <c r="F38" s="50"/>
      <c r="G38">
        <v>19.399999999999999</v>
      </c>
      <c r="H38">
        <v>18.3</v>
      </c>
      <c r="I38">
        <v>20.8</v>
      </c>
      <c r="J38">
        <f t="shared" si="4"/>
        <v>118.10000000000002</v>
      </c>
      <c r="K38">
        <f t="shared" si="5"/>
        <v>118.10000000000002</v>
      </c>
      <c r="L38" s="11" t="s">
        <v>41</v>
      </c>
      <c r="M38">
        <v>0</v>
      </c>
      <c r="N38">
        <v>1.7</v>
      </c>
      <c r="O38">
        <f t="shared" si="0"/>
        <v>-1.7</v>
      </c>
      <c r="Q38">
        <v>7</v>
      </c>
      <c r="R38">
        <v>0.35</v>
      </c>
      <c r="S38">
        <f t="shared" si="1"/>
        <v>0.59499999999999997</v>
      </c>
      <c r="T38">
        <f t="shared" si="2"/>
        <v>-0.59499999999999997</v>
      </c>
      <c r="U38">
        <f t="shared" si="6"/>
        <v>57.415000000000006</v>
      </c>
      <c r="V38" s="15" t="s">
        <v>48</v>
      </c>
      <c r="W38">
        <v>522.1</v>
      </c>
      <c r="X38">
        <f t="shared" si="7"/>
        <v>7689.9</v>
      </c>
      <c r="Y38">
        <v>12.945854489322299</v>
      </c>
    </row>
    <row r="39" spans="1:26" x14ac:dyDescent="0.25">
      <c r="A39">
        <v>6360</v>
      </c>
      <c r="B39">
        <v>24170</v>
      </c>
      <c r="C39" s="1">
        <v>42984</v>
      </c>
      <c r="D39" t="s">
        <v>30</v>
      </c>
      <c r="F39" s="50"/>
      <c r="G39">
        <v>16.899999999999999</v>
      </c>
      <c r="H39">
        <v>14.5</v>
      </c>
      <c r="I39">
        <v>18.7</v>
      </c>
      <c r="J39">
        <f t="shared" si="4"/>
        <v>135.00000000000003</v>
      </c>
      <c r="K39">
        <f t="shared" si="5"/>
        <v>135.00000000000003</v>
      </c>
      <c r="L39" s="12">
        <f>MAX(I32:I122)</f>
        <v>23.1</v>
      </c>
      <c r="M39">
        <v>0</v>
      </c>
      <c r="N39">
        <v>2.5</v>
      </c>
      <c r="O39">
        <f t="shared" si="0"/>
        <v>-2.5</v>
      </c>
      <c r="Q39">
        <v>8</v>
      </c>
      <c r="R39">
        <v>0.35</v>
      </c>
      <c r="S39">
        <f t="shared" si="1"/>
        <v>0.875</v>
      </c>
      <c r="T39">
        <f t="shared" si="2"/>
        <v>-0.875</v>
      </c>
      <c r="U39">
        <f t="shared" si="6"/>
        <v>56.540000000000006</v>
      </c>
      <c r="V39" s="2">
        <f>MAX(U32:U122)</f>
        <v>179.3</v>
      </c>
      <c r="W39">
        <v>1140.5</v>
      </c>
      <c r="X39">
        <f t="shared" si="7"/>
        <v>8830.4</v>
      </c>
      <c r="Y39">
        <v>12.885446824434901</v>
      </c>
    </row>
    <row r="40" spans="1:26" x14ac:dyDescent="0.25">
      <c r="A40">
        <v>6360</v>
      </c>
      <c r="B40">
        <v>24170</v>
      </c>
      <c r="C40" s="1">
        <v>42985</v>
      </c>
      <c r="F40" s="50"/>
      <c r="G40">
        <v>15.6</v>
      </c>
      <c r="H40">
        <v>12.5</v>
      </c>
      <c r="I40">
        <v>17.5</v>
      </c>
      <c r="J40">
        <f t="shared" si="4"/>
        <v>150.60000000000002</v>
      </c>
      <c r="K40">
        <f t="shared" si="5"/>
        <v>150.60000000000002</v>
      </c>
      <c r="L40" s="11" t="s">
        <v>42</v>
      </c>
      <c r="M40">
        <v>0</v>
      </c>
      <c r="N40">
        <v>1.6</v>
      </c>
      <c r="O40">
        <f t="shared" si="0"/>
        <v>-1.6</v>
      </c>
      <c r="Q40">
        <v>9</v>
      </c>
      <c r="R40">
        <f>0.35+((Q40-8)/83)*(1-0.35)</f>
        <v>0.35783132530120482</v>
      </c>
      <c r="S40">
        <f t="shared" si="1"/>
        <v>0.57253012048192775</v>
      </c>
      <c r="T40">
        <f t="shared" si="2"/>
        <v>-0.57253012048192775</v>
      </c>
      <c r="U40">
        <f t="shared" si="6"/>
        <v>55.967469879518077</v>
      </c>
      <c r="V40" s="15" t="s">
        <v>49</v>
      </c>
      <c r="W40">
        <v>895.5</v>
      </c>
      <c r="X40">
        <f t="shared" si="7"/>
        <v>9725.9</v>
      </c>
      <c r="Y40">
        <v>12.824913267978895</v>
      </c>
    </row>
    <row r="41" spans="1:26" x14ac:dyDescent="0.25">
      <c r="A41">
        <v>6360</v>
      </c>
      <c r="B41">
        <v>24170</v>
      </c>
      <c r="C41" s="1">
        <v>42986</v>
      </c>
      <c r="F41" s="50"/>
      <c r="G41">
        <v>15.7</v>
      </c>
      <c r="H41">
        <v>15</v>
      </c>
      <c r="I41">
        <v>17.3</v>
      </c>
      <c r="J41">
        <f t="shared" si="4"/>
        <v>166.3</v>
      </c>
      <c r="K41">
        <f t="shared" si="5"/>
        <v>166.3</v>
      </c>
      <c r="L41" s="12">
        <v>0</v>
      </c>
      <c r="M41">
        <v>20.399999999999999</v>
      </c>
      <c r="N41">
        <v>1.7</v>
      </c>
      <c r="O41">
        <f t="shared" si="0"/>
        <v>18.7</v>
      </c>
      <c r="Q41">
        <v>10</v>
      </c>
      <c r="R41">
        <f t="shared" ref="R41:R104" si="8">0.35+((Q41-8)/83)*(1-0.35)</f>
        <v>0.3656626506024096</v>
      </c>
      <c r="S41">
        <f t="shared" si="1"/>
        <v>0.6216265060240963</v>
      </c>
      <c r="T41">
        <f t="shared" si="2"/>
        <v>19.778373493975902</v>
      </c>
      <c r="U41">
        <f t="shared" si="6"/>
        <v>75.745843373493983</v>
      </c>
      <c r="V41" s="2">
        <f>AVERAGE(U32:U122)</f>
        <v>143.51993115318416</v>
      </c>
      <c r="W41">
        <v>565.20000000000005</v>
      </c>
      <c r="X41">
        <f t="shared" si="7"/>
        <v>10291.1</v>
      </c>
      <c r="Y41">
        <v>12.764263482115272</v>
      </c>
    </row>
    <row r="42" spans="1:26" x14ac:dyDescent="0.25">
      <c r="A42">
        <v>6360</v>
      </c>
      <c r="B42">
        <v>24170</v>
      </c>
      <c r="C42" s="1">
        <v>42987</v>
      </c>
      <c r="F42" s="50"/>
      <c r="G42">
        <v>13.6</v>
      </c>
      <c r="H42">
        <v>13.2</v>
      </c>
      <c r="I42">
        <v>15.3</v>
      </c>
      <c r="J42">
        <f t="shared" si="4"/>
        <v>179.9</v>
      </c>
      <c r="K42">
        <f t="shared" si="5"/>
        <v>179.9</v>
      </c>
      <c r="L42" s="11" t="s">
        <v>43</v>
      </c>
      <c r="M42">
        <v>5.4</v>
      </c>
      <c r="N42">
        <v>1.4</v>
      </c>
      <c r="O42">
        <f t="shared" si="0"/>
        <v>4</v>
      </c>
      <c r="Q42">
        <v>11</v>
      </c>
      <c r="R42">
        <f t="shared" si="8"/>
        <v>0.37349397590361444</v>
      </c>
      <c r="S42">
        <f t="shared" si="1"/>
        <v>0.52289156626506017</v>
      </c>
      <c r="T42">
        <f t="shared" si="2"/>
        <v>4.8771084337349402</v>
      </c>
      <c r="U42">
        <f t="shared" si="6"/>
        <v>80.62295180722893</v>
      </c>
      <c r="W42">
        <v>579.4</v>
      </c>
      <c r="X42">
        <f t="shared" si="7"/>
        <v>10870.5</v>
      </c>
      <c r="Y42">
        <v>12.703506920518249</v>
      </c>
    </row>
    <row r="43" spans="1:26" x14ac:dyDescent="0.25">
      <c r="A43">
        <v>6360</v>
      </c>
      <c r="B43">
        <v>24170</v>
      </c>
      <c r="C43" s="1">
        <v>42988</v>
      </c>
      <c r="F43" s="50"/>
      <c r="G43">
        <v>14.1</v>
      </c>
      <c r="H43">
        <v>10.1</v>
      </c>
      <c r="I43">
        <v>17</v>
      </c>
      <c r="J43">
        <f t="shared" si="4"/>
        <v>194</v>
      </c>
      <c r="K43">
        <f t="shared" si="5"/>
        <v>194</v>
      </c>
      <c r="L43" s="12">
        <v>17</v>
      </c>
      <c r="M43">
        <v>0.8</v>
      </c>
      <c r="N43">
        <v>1.6</v>
      </c>
      <c r="O43">
        <f t="shared" si="0"/>
        <v>-0.8</v>
      </c>
      <c r="Q43">
        <v>12</v>
      </c>
      <c r="R43">
        <f t="shared" si="8"/>
        <v>0.38132530120481928</v>
      </c>
      <c r="S43">
        <f t="shared" si="1"/>
        <v>0.61012048192771084</v>
      </c>
      <c r="T43">
        <f t="shared" si="2"/>
        <v>0.1898795180722892</v>
      </c>
      <c r="U43">
        <f t="shared" si="6"/>
        <v>80.812831325301218</v>
      </c>
      <c r="V43" s="16">
        <f>(V41*100)/179.3</f>
        <v>80.044579561173535</v>
      </c>
      <c r="W43">
        <v>898.8</v>
      </c>
      <c r="X43">
        <f t="shared" si="7"/>
        <v>11769.3</v>
      </c>
      <c r="Y43">
        <v>12.642652843234337</v>
      </c>
    </row>
    <row r="44" spans="1:26" x14ac:dyDescent="0.25">
      <c r="A44">
        <v>6360</v>
      </c>
      <c r="B44">
        <v>24170</v>
      </c>
      <c r="C44" s="1">
        <v>42989</v>
      </c>
      <c r="F44" s="50"/>
      <c r="G44">
        <v>14.5</v>
      </c>
      <c r="H44">
        <v>12</v>
      </c>
      <c r="I44">
        <v>16.600000000000001</v>
      </c>
      <c r="J44">
        <f t="shared" si="4"/>
        <v>208.5</v>
      </c>
      <c r="K44">
        <f t="shared" si="5"/>
        <v>208.5</v>
      </c>
      <c r="L44" s="11" t="s">
        <v>44</v>
      </c>
      <c r="M44">
        <v>0</v>
      </c>
      <c r="N44">
        <v>2.4</v>
      </c>
      <c r="O44">
        <f t="shared" si="0"/>
        <v>-2.4</v>
      </c>
      <c r="Q44">
        <v>13</v>
      </c>
      <c r="R44">
        <f t="shared" si="8"/>
        <v>0.38915662650602406</v>
      </c>
      <c r="S44">
        <f t="shared" si="1"/>
        <v>0.9339759036144577</v>
      </c>
      <c r="T44">
        <f t="shared" si="2"/>
        <v>-0.9339759036144577</v>
      </c>
      <c r="U44">
        <f t="shared" si="6"/>
        <v>79.878855421686765</v>
      </c>
      <c r="W44">
        <v>1023.5</v>
      </c>
      <c r="X44">
        <f t="shared" si="7"/>
        <v>12792.8</v>
      </c>
      <c r="Y44">
        <v>12.581710331689843</v>
      </c>
    </row>
    <row r="45" spans="1:26" x14ac:dyDescent="0.25">
      <c r="A45">
        <v>6360</v>
      </c>
      <c r="B45">
        <v>24170</v>
      </c>
      <c r="C45" s="1">
        <v>42990</v>
      </c>
      <c r="F45" s="50"/>
      <c r="G45">
        <v>14.5</v>
      </c>
      <c r="H45">
        <v>11.6</v>
      </c>
      <c r="I45">
        <v>17.399999999999999</v>
      </c>
      <c r="J45">
        <f t="shared" si="4"/>
        <v>223</v>
      </c>
      <c r="K45">
        <f t="shared" si="5"/>
        <v>223</v>
      </c>
      <c r="L45" s="12">
        <v>2</v>
      </c>
      <c r="M45">
        <v>2.2999999999999998</v>
      </c>
      <c r="N45">
        <v>2.2000000000000002</v>
      </c>
      <c r="O45">
        <f t="shared" si="0"/>
        <v>9.9999999999999645E-2</v>
      </c>
      <c r="Q45">
        <v>14</v>
      </c>
      <c r="R45">
        <f t="shared" si="8"/>
        <v>0.3969879518072289</v>
      </c>
      <c r="S45">
        <f t="shared" si="1"/>
        <v>0.87337349397590369</v>
      </c>
      <c r="T45">
        <f t="shared" si="2"/>
        <v>1.4266265060240961</v>
      </c>
      <c r="U45">
        <f t="shared" si="6"/>
        <v>81.305481927710858</v>
      </c>
      <c r="W45">
        <v>949.6</v>
      </c>
      <c r="X45">
        <f t="shared" si="7"/>
        <v>13742.4</v>
      </c>
      <c r="Y45">
        <v>12.520688303829518</v>
      </c>
    </row>
    <row r="46" spans="1:26" x14ac:dyDescent="0.25">
      <c r="A46">
        <v>6360</v>
      </c>
      <c r="B46">
        <v>24170</v>
      </c>
      <c r="C46" s="1">
        <v>42991</v>
      </c>
      <c r="F46" s="50"/>
      <c r="G46">
        <v>14.2</v>
      </c>
      <c r="H46">
        <v>11.9</v>
      </c>
      <c r="I46">
        <v>16.399999999999999</v>
      </c>
      <c r="J46">
        <f t="shared" si="4"/>
        <v>237.2</v>
      </c>
      <c r="K46">
        <f t="shared" si="5"/>
        <v>237.2</v>
      </c>
      <c r="M46">
        <v>45.2</v>
      </c>
      <c r="N46">
        <v>1</v>
      </c>
      <c r="O46">
        <f t="shared" si="0"/>
        <v>44.2</v>
      </c>
      <c r="Q46">
        <v>15</v>
      </c>
      <c r="R46">
        <f t="shared" si="8"/>
        <v>0.40481927710843368</v>
      </c>
      <c r="S46">
        <f t="shared" si="1"/>
        <v>0.40481927710843368</v>
      </c>
      <c r="T46">
        <f t="shared" si="2"/>
        <v>44.795180722891573</v>
      </c>
      <c r="U46">
        <f t="shared" si="6"/>
        <v>126.10066265060243</v>
      </c>
      <c r="W46">
        <v>363</v>
      </c>
      <c r="X46">
        <f t="shared" si="7"/>
        <v>14105.4</v>
      </c>
      <c r="Y46">
        <v>12.459595529370404</v>
      </c>
    </row>
    <row r="47" spans="1:26" x14ac:dyDescent="0.25">
      <c r="A47">
        <v>6360</v>
      </c>
      <c r="B47">
        <v>24170</v>
      </c>
      <c r="C47" s="1">
        <v>42992</v>
      </c>
      <c r="F47" s="50"/>
      <c r="G47">
        <v>12.7</v>
      </c>
      <c r="H47">
        <v>11.4</v>
      </c>
      <c r="I47">
        <v>14.8</v>
      </c>
      <c r="J47">
        <f t="shared" si="4"/>
        <v>249.89999999999998</v>
      </c>
      <c r="K47">
        <f t="shared" si="5"/>
        <v>249.89999999999998</v>
      </c>
      <c r="M47">
        <v>1.6</v>
      </c>
      <c r="N47">
        <v>1.8</v>
      </c>
      <c r="O47">
        <f t="shared" si="0"/>
        <v>-0.19999999999999996</v>
      </c>
      <c r="Q47">
        <v>16</v>
      </c>
      <c r="R47">
        <f t="shared" si="8"/>
        <v>0.41265060240963852</v>
      </c>
      <c r="S47">
        <f t="shared" si="1"/>
        <v>0.7427710843373494</v>
      </c>
      <c r="T47">
        <f t="shared" si="2"/>
        <v>0.85722891566265069</v>
      </c>
      <c r="U47">
        <f t="shared" si="6"/>
        <v>126.95789156626508</v>
      </c>
      <c r="W47">
        <v>852.2</v>
      </c>
      <c r="X47">
        <f t="shared" si="7"/>
        <v>14957.6</v>
      </c>
      <c r="Y47">
        <v>12.398440645156137</v>
      </c>
    </row>
    <row r="48" spans="1:26" x14ac:dyDescent="0.25">
      <c r="A48">
        <v>6360</v>
      </c>
      <c r="B48">
        <v>24170</v>
      </c>
      <c r="C48" s="1">
        <v>42993</v>
      </c>
      <c r="F48" s="50"/>
      <c r="G48">
        <v>11.2</v>
      </c>
      <c r="H48">
        <v>8.6999999999999993</v>
      </c>
      <c r="I48">
        <v>14.6</v>
      </c>
      <c r="J48">
        <f t="shared" si="4"/>
        <v>261.09999999999997</v>
      </c>
      <c r="K48">
        <f t="shared" si="5"/>
        <v>261.09999999999997</v>
      </c>
      <c r="M48">
        <v>1.4</v>
      </c>
      <c r="N48">
        <v>2.2000000000000002</v>
      </c>
      <c r="O48">
        <f t="shared" si="0"/>
        <v>-0.80000000000000027</v>
      </c>
      <c r="Q48">
        <v>17</v>
      </c>
      <c r="R48">
        <f t="shared" si="8"/>
        <v>0.42048192771084336</v>
      </c>
      <c r="S48">
        <f t="shared" si="1"/>
        <v>0.92506024096385542</v>
      </c>
      <c r="T48">
        <f t="shared" si="2"/>
        <v>0.47493975903614449</v>
      </c>
      <c r="U48">
        <f t="shared" si="6"/>
        <v>127.43283132530122</v>
      </c>
      <c r="W48">
        <v>1501.8</v>
      </c>
      <c r="X48">
        <f t="shared" si="7"/>
        <v>16459.400000000001</v>
      </c>
      <c r="Y48">
        <v>12.337232170598144</v>
      </c>
    </row>
    <row r="49" spans="1:25" x14ac:dyDescent="0.25">
      <c r="A49">
        <v>6360</v>
      </c>
      <c r="B49">
        <v>24170</v>
      </c>
      <c r="C49" s="1">
        <v>42994</v>
      </c>
      <c r="F49" s="50"/>
      <c r="G49">
        <v>10.5</v>
      </c>
      <c r="H49">
        <v>6.3</v>
      </c>
      <c r="I49">
        <v>14.8</v>
      </c>
      <c r="J49">
        <f t="shared" si="4"/>
        <v>271.59999999999997</v>
      </c>
      <c r="K49">
        <f t="shared" si="5"/>
        <v>271.59999999999997</v>
      </c>
      <c r="M49">
        <v>0.5</v>
      </c>
      <c r="N49">
        <v>1.4</v>
      </c>
      <c r="O49">
        <f t="shared" si="0"/>
        <v>-0.89999999999999991</v>
      </c>
      <c r="Q49">
        <v>18</v>
      </c>
      <c r="R49">
        <f t="shared" si="8"/>
        <v>0.42831325301204815</v>
      </c>
      <c r="S49">
        <f t="shared" si="1"/>
        <v>0.5996385542168674</v>
      </c>
      <c r="T49">
        <f t="shared" si="2"/>
        <v>-9.9638554216867403E-2</v>
      </c>
      <c r="U49">
        <f t="shared" si="6"/>
        <v>127.33319277108436</v>
      </c>
      <c r="W49">
        <v>989.5</v>
      </c>
      <c r="X49">
        <f t="shared" si="7"/>
        <v>17448.900000000001</v>
      </c>
      <c r="Y49">
        <v>12.27597852319113</v>
      </c>
    </row>
    <row r="50" spans="1:25" x14ac:dyDescent="0.25">
      <c r="A50">
        <v>6360</v>
      </c>
      <c r="B50">
        <v>24170</v>
      </c>
      <c r="C50" s="1">
        <v>42995</v>
      </c>
      <c r="F50" s="50"/>
      <c r="G50">
        <v>10.8</v>
      </c>
      <c r="H50">
        <v>8.4</v>
      </c>
      <c r="I50">
        <v>14.2</v>
      </c>
      <c r="J50">
        <f t="shared" si="4"/>
        <v>282.39999999999998</v>
      </c>
      <c r="K50">
        <f t="shared" si="5"/>
        <v>282.39999999999998</v>
      </c>
      <c r="M50">
        <v>0.2</v>
      </c>
      <c r="N50">
        <v>1.6</v>
      </c>
      <c r="O50">
        <f t="shared" si="0"/>
        <v>-1.4000000000000001</v>
      </c>
      <c r="Q50">
        <v>19</v>
      </c>
      <c r="R50">
        <f t="shared" si="8"/>
        <v>0.43614457831325298</v>
      </c>
      <c r="S50">
        <f t="shared" si="1"/>
        <v>0.69783132530120484</v>
      </c>
      <c r="T50">
        <f t="shared" si="2"/>
        <v>-0.49783132530120483</v>
      </c>
      <c r="U50">
        <f t="shared" si="6"/>
        <v>126.83536144578315</v>
      </c>
      <c r="W50">
        <v>1106.0999999999999</v>
      </c>
      <c r="X50">
        <f t="shared" si="7"/>
        <v>18555</v>
      </c>
      <c r="Y50">
        <v>12.214688034091166</v>
      </c>
    </row>
    <row r="51" spans="1:25" x14ac:dyDescent="0.25">
      <c r="A51">
        <v>6360</v>
      </c>
      <c r="B51">
        <v>24170</v>
      </c>
      <c r="C51" s="1">
        <v>42996</v>
      </c>
      <c r="F51" s="50"/>
      <c r="G51">
        <v>10.6</v>
      </c>
      <c r="H51">
        <v>6.1</v>
      </c>
      <c r="I51">
        <v>15.7</v>
      </c>
      <c r="J51">
        <f t="shared" si="4"/>
        <v>293</v>
      </c>
      <c r="K51">
        <f t="shared" si="5"/>
        <v>293</v>
      </c>
      <c r="M51">
        <v>7.9</v>
      </c>
      <c r="N51">
        <v>1.5</v>
      </c>
      <c r="O51">
        <f t="shared" si="0"/>
        <v>6.4</v>
      </c>
      <c r="Q51">
        <v>20</v>
      </c>
      <c r="R51">
        <f t="shared" si="8"/>
        <v>0.44397590361445782</v>
      </c>
      <c r="S51">
        <f t="shared" si="1"/>
        <v>0.66596385542168668</v>
      </c>
      <c r="T51">
        <f t="shared" si="2"/>
        <v>7.2340361445783135</v>
      </c>
      <c r="U51">
        <f t="shared" si="6"/>
        <v>134.06939759036146</v>
      </c>
      <c r="W51">
        <v>871.3</v>
      </c>
      <c r="X51">
        <f t="shared" si="7"/>
        <v>19426.3</v>
      </c>
      <c r="Y51">
        <v>12.153368963745478</v>
      </c>
    </row>
    <row r="52" spans="1:25" x14ac:dyDescent="0.25">
      <c r="A52">
        <v>6360</v>
      </c>
      <c r="B52">
        <v>24170</v>
      </c>
      <c r="C52" s="1">
        <v>42997</v>
      </c>
      <c r="F52" s="50"/>
      <c r="G52">
        <v>11.7</v>
      </c>
      <c r="H52">
        <v>8.6999999999999993</v>
      </c>
      <c r="I52">
        <v>14.4</v>
      </c>
      <c r="J52">
        <f t="shared" si="4"/>
        <v>304.7</v>
      </c>
      <c r="K52">
        <f t="shared" si="5"/>
        <v>304.7</v>
      </c>
      <c r="M52">
        <v>0.5</v>
      </c>
      <c r="N52">
        <v>1.7</v>
      </c>
      <c r="O52">
        <f t="shared" si="0"/>
        <v>-1.2</v>
      </c>
      <c r="Q52">
        <v>21</v>
      </c>
      <c r="R52">
        <f t="shared" si="8"/>
        <v>0.45180722891566261</v>
      </c>
      <c r="S52">
        <f t="shared" si="1"/>
        <v>0.7680722891566264</v>
      </c>
      <c r="T52">
        <f t="shared" si="2"/>
        <v>-0.2680722891566264</v>
      </c>
      <c r="U52">
        <f t="shared" si="6"/>
        <v>133.80132530120483</v>
      </c>
      <c r="W52">
        <v>1116.2</v>
      </c>
      <c r="X52">
        <f t="shared" si="7"/>
        <v>20542.5</v>
      </c>
      <c r="Y52">
        <v>12.092029517563581</v>
      </c>
    </row>
    <row r="53" spans="1:25" x14ac:dyDescent="0.25">
      <c r="A53">
        <v>6360</v>
      </c>
      <c r="B53">
        <v>24170</v>
      </c>
      <c r="C53" s="1">
        <v>42998</v>
      </c>
      <c r="F53" s="50"/>
      <c r="G53">
        <v>11.6</v>
      </c>
      <c r="H53">
        <v>6</v>
      </c>
      <c r="I53">
        <v>17.100000000000001</v>
      </c>
      <c r="J53">
        <f t="shared" si="4"/>
        <v>316.3</v>
      </c>
      <c r="K53">
        <f t="shared" si="5"/>
        <v>316.3</v>
      </c>
      <c r="M53">
        <v>0</v>
      </c>
      <c r="N53">
        <v>2.2000000000000002</v>
      </c>
      <c r="O53">
        <f t="shared" si="0"/>
        <v>-2.2000000000000002</v>
      </c>
      <c r="Q53">
        <v>22</v>
      </c>
      <c r="R53">
        <f t="shared" si="8"/>
        <v>0.45963855421686745</v>
      </c>
      <c r="S53">
        <f t="shared" si="1"/>
        <v>1.0112048192771084</v>
      </c>
      <c r="T53">
        <f t="shared" si="2"/>
        <v>-1.0112048192771084</v>
      </c>
      <c r="U53">
        <f t="shared" si="6"/>
        <v>132.79012048192772</v>
      </c>
      <c r="W53">
        <v>1289.5999999999999</v>
      </c>
      <c r="X53">
        <f t="shared" si="7"/>
        <v>21832.1</v>
      </c>
      <c r="Y53">
        <v>12.030677861620102</v>
      </c>
    </row>
    <row r="54" spans="1:25" x14ac:dyDescent="0.25">
      <c r="A54">
        <v>6360</v>
      </c>
      <c r="B54">
        <v>24170</v>
      </c>
      <c r="C54" s="1">
        <v>42999</v>
      </c>
      <c r="F54" s="50"/>
      <c r="G54">
        <v>13</v>
      </c>
      <c r="H54">
        <v>8.3000000000000007</v>
      </c>
      <c r="I54">
        <v>18.600000000000001</v>
      </c>
      <c r="J54">
        <f t="shared" si="4"/>
        <v>329.3</v>
      </c>
      <c r="K54">
        <f t="shared" si="5"/>
        <v>329.3</v>
      </c>
      <c r="M54">
        <v>0</v>
      </c>
      <c r="N54">
        <v>2.6</v>
      </c>
      <c r="O54">
        <f t="shared" si="0"/>
        <v>-2.6</v>
      </c>
      <c r="Q54">
        <v>23</v>
      </c>
      <c r="R54">
        <f t="shared" si="8"/>
        <v>0.46746987951807228</v>
      </c>
      <c r="S54">
        <f t="shared" si="1"/>
        <v>1.215421686746988</v>
      </c>
      <c r="T54">
        <f t="shared" si="2"/>
        <v>-1.215421686746988</v>
      </c>
      <c r="U54">
        <f t="shared" si="6"/>
        <v>131.57469879518072</v>
      </c>
      <c r="W54">
        <v>1325.4</v>
      </c>
      <c r="X54">
        <f t="shared" si="7"/>
        <v>23157.5</v>
      </c>
      <c r="Y54">
        <v>11.969322138379898</v>
      </c>
    </row>
    <row r="55" spans="1:25" x14ac:dyDescent="0.25">
      <c r="A55">
        <v>6360</v>
      </c>
      <c r="B55">
        <v>24170</v>
      </c>
      <c r="C55" s="1">
        <v>43000</v>
      </c>
      <c r="F55" s="50"/>
      <c r="G55">
        <v>13</v>
      </c>
      <c r="H55">
        <v>10.1</v>
      </c>
      <c r="I55">
        <v>16.7</v>
      </c>
      <c r="J55">
        <f t="shared" si="4"/>
        <v>342.3</v>
      </c>
      <c r="K55">
        <f t="shared" si="5"/>
        <v>342.3</v>
      </c>
      <c r="M55">
        <v>0</v>
      </c>
      <c r="N55">
        <v>1.1000000000000001</v>
      </c>
      <c r="O55">
        <f t="shared" si="0"/>
        <v>-1.1000000000000001</v>
      </c>
      <c r="Q55">
        <v>24</v>
      </c>
      <c r="R55">
        <f t="shared" si="8"/>
        <v>0.47530120481927707</v>
      </c>
      <c r="S55">
        <f t="shared" si="1"/>
        <v>0.5228313253012048</v>
      </c>
      <c r="T55">
        <f t="shared" si="2"/>
        <v>-0.5228313253012048</v>
      </c>
      <c r="U55">
        <f t="shared" si="6"/>
        <v>131.05186746987951</v>
      </c>
      <c r="W55">
        <v>459.1</v>
      </c>
      <c r="X55">
        <f t="shared" si="7"/>
        <v>23616.6</v>
      </c>
      <c r="Y55">
        <v>11.907970482436419</v>
      </c>
    </row>
    <row r="56" spans="1:25" x14ac:dyDescent="0.25">
      <c r="A56">
        <v>6360</v>
      </c>
      <c r="B56">
        <v>24170</v>
      </c>
      <c r="C56" s="1">
        <v>43001</v>
      </c>
      <c r="F56" s="50"/>
      <c r="G56">
        <v>12.7</v>
      </c>
      <c r="H56">
        <v>7.1</v>
      </c>
      <c r="I56">
        <v>19.100000000000001</v>
      </c>
      <c r="J56">
        <f t="shared" si="4"/>
        <v>355</v>
      </c>
      <c r="K56">
        <f t="shared" si="5"/>
        <v>355</v>
      </c>
      <c r="M56">
        <v>0</v>
      </c>
      <c r="N56">
        <v>2.2000000000000002</v>
      </c>
      <c r="O56">
        <f t="shared" si="0"/>
        <v>-2.2000000000000002</v>
      </c>
      <c r="Q56">
        <v>25</v>
      </c>
      <c r="R56">
        <f t="shared" si="8"/>
        <v>0.48313253012048191</v>
      </c>
      <c r="S56">
        <f t="shared" si="1"/>
        <v>1.0628915662650602</v>
      </c>
      <c r="T56">
        <f t="shared" si="2"/>
        <v>-1.0628915662650602</v>
      </c>
      <c r="U56">
        <f t="shared" si="6"/>
        <v>129.98897590361446</v>
      </c>
      <c r="W56">
        <v>1134.5</v>
      </c>
      <c r="X56">
        <f t="shared" si="7"/>
        <v>24751.1</v>
      </c>
      <c r="Y56">
        <v>11.846631036254522</v>
      </c>
    </row>
    <row r="57" spans="1:25" x14ac:dyDescent="0.25">
      <c r="A57">
        <v>6360</v>
      </c>
      <c r="B57">
        <v>24170</v>
      </c>
      <c r="C57" s="1">
        <v>43002</v>
      </c>
      <c r="F57" s="50"/>
      <c r="G57">
        <v>15.1</v>
      </c>
      <c r="H57">
        <v>8.9</v>
      </c>
      <c r="I57">
        <v>21</v>
      </c>
      <c r="J57">
        <f t="shared" si="4"/>
        <v>370.1</v>
      </c>
      <c r="K57">
        <f t="shared" si="5"/>
        <v>370.1</v>
      </c>
      <c r="M57">
        <v>0</v>
      </c>
      <c r="N57">
        <v>2.6</v>
      </c>
      <c r="O57">
        <f t="shared" si="0"/>
        <v>-2.6</v>
      </c>
      <c r="Q57">
        <v>26</v>
      </c>
      <c r="R57">
        <f t="shared" si="8"/>
        <v>0.49096385542168675</v>
      </c>
      <c r="S57">
        <f t="shared" si="1"/>
        <v>1.2765060240963855</v>
      </c>
      <c r="T57">
        <f t="shared" si="2"/>
        <v>-1.2765060240963855</v>
      </c>
      <c r="U57">
        <f t="shared" si="6"/>
        <v>128.71246987951807</v>
      </c>
      <c r="W57">
        <v>1235.9000000000001</v>
      </c>
      <c r="X57">
        <f t="shared" si="7"/>
        <v>25987</v>
      </c>
      <c r="Y57">
        <v>11.785311965908832</v>
      </c>
    </row>
    <row r="58" spans="1:25" x14ac:dyDescent="0.25">
      <c r="A58">
        <v>6360</v>
      </c>
      <c r="B58">
        <v>24170</v>
      </c>
      <c r="C58" s="1">
        <v>43003</v>
      </c>
      <c r="F58" s="50"/>
      <c r="G58">
        <v>16.600000000000001</v>
      </c>
      <c r="H58">
        <v>14.4</v>
      </c>
      <c r="I58">
        <v>18.899999999999999</v>
      </c>
      <c r="J58">
        <f t="shared" si="4"/>
        <v>386.70000000000005</v>
      </c>
      <c r="K58">
        <f t="shared" si="5"/>
        <v>386.70000000000005</v>
      </c>
      <c r="M58">
        <v>4.0999999999999996</v>
      </c>
      <c r="N58">
        <v>1.2</v>
      </c>
      <c r="O58">
        <f t="shared" si="0"/>
        <v>2.8999999999999995</v>
      </c>
      <c r="Q58">
        <v>27</v>
      </c>
      <c r="R58">
        <f t="shared" si="8"/>
        <v>0.49879518072289153</v>
      </c>
      <c r="S58">
        <f t="shared" si="1"/>
        <v>0.59855421686746979</v>
      </c>
      <c r="T58">
        <f t="shared" si="2"/>
        <v>3.5014457831325299</v>
      </c>
      <c r="U58">
        <f t="shared" si="6"/>
        <v>132.21391566265061</v>
      </c>
      <c r="W58">
        <v>315.39999999999998</v>
      </c>
      <c r="X58">
        <f t="shared" si="7"/>
        <v>26302.400000000001</v>
      </c>
      <c r="Y58">
        <v>11.724021476808872</v>
      </c>
    </row>
    <row r="59" spans="1:25" x14ac:dyDescent="0.25">
      <c r="A59">
        <v>6360</v>
      </c>
      <c r="B59">
        <v>24170</v>
      </c>
      <c r="C59" s="1">
        <v>43004</v>
      </c>
      <c r="F59" s="50"/>
      <c r="G59">
        <v>15.8</v>
      </c>
      <c r="H59">
        <v>14.3</v>
      </c>
      <c r="I59">
        <v>19.5</v>
      </c>
      <c r="J59">
        <f t="shared" si="4"/>
        <v>402.50000000000006</v>
      </c>
      <c r="K59">
        <f t="shared" si="5"/>
        <v>402.50000000000006</v>
      </c>
      <c r="M59">
        <v>0.2</v>
      </c>
      <c r="N59">
        <v>1.4</v>
      </c>
      <c r="O59">
        <f t="shared" si="0"/>
        <v>-1.2</v>
      </c>
      <c r="Q59">
        <v>28</v>
      </c>
      <c r="R59">
        <f t="shared" si="8"/>
        <v>0.50662650602409642</v>
      </c>
      <c r="S59">
        <f t="shared" si="1"/>
        <v>0.70927710843373493</v>
      </c>
      <c r="T59">
        <f t="shared" si="2"/>
        <v>-0.50927710843373486</v>
      </c>
      <c r="U59">
        <f t="shared" si="6"/>
        <v>131.70463855421687</v>
      </c>
      <c r="W59">
        <v>631</v>
      </c>
      <c r="X59">
        <f t="shared" si="7"/>
        <v>26933.4</v>
      </c>
      <c r="Y59">
        <v>11.662767829401854</v>
      </c>
    </row>
    <row r="60" spans="1:25" x14ac:dyDescent="0.25">
      <c r="A60">
        <v>6360</v>
      </c>
      <c r="B60">
        <v>24170</v>
      </c>
      <c r="C60" s="1">
        <v>43005</v>
      </c>
      <c r="F60" s="50"/>
      <c r="G60">
        <v>14.4</v>
      </c>
      <c r="H60">
        <v>11.2</v>
      </c>
      <c r="I60">
        <v>17.3</v>
      </c>
      <c r="J60">
        <f t="shared" si="4"/>
        <v>416.90000000000003</v>
      </c>
      <c r="K60">
        <f t="shared" si="5"/>
        <v>416.90000000000003</v>
      </c>
      <c r="M60">
        <v>0</v>
      </c>
      <c r="N60">
        <v>0.9</v>
      </c>
      <c r="O60">
        <f t="shared" si="0"/>
        <v>-0.9</v>
      </c>
      <c r="Q60">
        <v>29</v>
      </c>
      <c r="R60">
        <f t="shared" si="8"/>
        <v>0.51445783132530121</v>
      </c>
      <c r="S60">
        <f t="shared" si="1"/>
        <v>0.46301204819277109</v>
      </c>
      <c r="T60">
        <f t="shared" si="2"/>
        <v>-0.46301204819277109</v>
      </c>
      <c r="U60">
        <f t="shared" si="6"/>
        <v>131.24162650602409</v>
      </c>
      <c r="W60">
        <v>456.6</v>
      </c>
      <c r="X60">
        <f t="shared" si="7"/>
        <v>27390</v>
      </c>
      <c r="Y60">
        <v>11.601559354843863</v>
      </c>
    </row>
    <row r="61" spans="1:25" x14ac:dyDescent="0.25">
      <c r="A61">
        <v>6360</v>
      </c>
      <c r="B61">
        <v>24170</v>
      </c>
      <c r="C61" s="1">
        <v>43006</v>
      </c>
      <c r="F61" s="50"/>
      <c r="G61">
        <v>16.7</v>
      </c>
      <c r="H61">
        <v>14.5</v>
      </c>
      <c r="I61">
        <v>18.2</v>
      </c>
      <c r="J61">
        <f t="shared" si="4"/>
        <v>433.6</v>
      </c>
      <c r="K61">
        <f t="shared" si="5"/>
        <v>433.6</v>
      </c>
      <c r="M61">
        <v>1.6</v>
      </c>
      <c r="N61">
        <v>0.6</v>
      </c>
      <c r="O61">
        <f t="shared" si="0"/>
        <v>1</v>
      </c>
      <c r="Q61">
        <v>30</v>
      </c>
      <c r="R61">
        <f t="shared" si="8"/>
        <v>0.52228915662650599</v>
      </c>
      <c r="S61">
        <f t="shared" si="1"/>
        <v>0.31337349397590358</v>
      </c>
      <c r="T61">
        <f t="shared" si="2"/>
        <v>1.2866265060240965</v>
      </c>
      <c r="U61">
        <f t="shared" si="6"/>
        <v>132.5282530120482</v>
      </c>
      <c r="W61">
        <v>317.2</v>
      </c>
      <c r="X61">
        <f t="shared" si="7"/>
        <v>27707.200000000001</v>
      </c>
      <c r="Y61">
        <v>11.540404470629596</v>
      </c>
    </row>
    <row r="62" spans="1:25" x14ac:dyDescent="0.25">
      <c r="A62">
        <v>6360</v>
      </c>
      <c r="B62">
        <v>24170</v>
      </c>
      <c r="C62" s="1">
        <v>43007</v>
      </c>
      <c r="F62" s="50"/>
      <c r="G62">
        <v>18.8</v>
      </c>
      <c r="H62">
        <v>15.8</v>
      </c>
      <c r="I62">
        <v>23.1</v>
      </c>
      <c r="J62">
        <f t="shared" si="4"/>
        <v>452.40000000000003</v>
      </c>
      <c r="K62">
        <f t="shared" si="5"/>
        <v>452.40000000000003</v>
      </c>
      <c r="M62">
        <v>22.1</v>
      </c>
      <c r="N62">
        <v>2.2000000000000002</v>
      </c>
      <c r="O62">
        <f t="shared" si="0"/>
        <v>19.900000000000002</v>
      </c>
      <c r="Q62">
        <v>31</v>
      </c>
      <c r="R62">
        <f t="shared" si="8"/>
        <v>0.53012048192771077</v>
      </c>
      <c r="S62">
        <f t="shared" si="1"/>
        <v>1.1662650602409639</v>
      </c>
      <c r="T62">
        <f t="shared" si="2"/>
        <v>20.933734939759038</v>
      </c>
      <c r="U62">
        <f t="shared" si="6"/>
        <v>153.46198795180723</v>
      </c>
      <c r="W62">
        <v>1017.6</v>
      </c>
      <c r="X62">
        <f t="shared" si="7"/>
        <v>28724.799999999999</v>
      </c>
      <c r="Y62">
        <v>11.479311696170482</v>
      </c>
    </row>
    <row r="63" spans="1:25" x14ac:dyDescent="0.25">
      <c r="A63">
        <v>6360</v>
      </c>
      <c r="B63">
        <v>24170</v>
      </c>
      <c r="C63" s="1">
        <v>43008</v>
      </c>
      <c r="F63" s="50"/>
      <c r="G63">
        <v>14.6</v>
      </c>
      <c r="H63">
        <v>13.2</v>
      </c>
      <c r="I63">
        <v>16.3</v>
      </c>
      <c r="J63">
        <f t="shared" si="4"/>
        <v>467.00000000000006</v>
      </c>
      <c r="K63">
        <f t="shared" si="5"/>
        <v>467.00000000000006</v>
      </c>
      <c r="M63">
        <v>2</v>
      </c>
      <c r="N63">
        <v>1.7</v>
      </c>
      <c r="O63">
        <f t="shared" si="0"/>
        <v>0.30000000000000004</v>
      </c>
      <c r="Q63">
        <v>32</v>
      </c>
      <c r="R63">
        <f t="shared" si="8"/>
        <v>0.53795180722891567</v>
      </c>
      <c r="S63">
        <f t="shared" si="1"/>
        <v>0.9145180722891566</v>
      </c>
      <c r="T63">
        <f t="shared" si="2"/>
        <v>1.0854819277108434</v>
      </c>
      <c r="U63">
        <f t="shared" si="6"/>
        <v>154.54746987951808</v>
      </c>
      <c r="W63">
        <v>920.2</v>
      </c>
      <c r="X63">
        <f t="shared" si="7"/>
        <v>29645</v>
      </c>
      <c r="Y63">
        <v>11.418289668310159</v>
      </c>
    </row>
    <row r="64" spans="1:25" x14ac:dyDescent="0.25">
      <c r="A64">
        <v>6360</v>
      </c>
      <c r="B64">
        <v>24170</v>
      </c>
      <c r="C64" s="1">
        <v>43009</v>
      </c>
      <c r="F64" s="50"/>
      <c r="G64">
        <v>13.7</v>
      </c>
      <c r="H64">
        <v>12</v>
      </c>
      <c r="I64">
        <v>15.9</v>
      </c>
      <c r="J64">
        <f t="shared" si="4"/>
        <v>480.70000000000005</v>
      </c>
      <c r="K64">
        <f t="shared" si="5"/>
        <v>480.70000000000005</v>
      </c>
      <c r="M64">
        <v>1</v>
      </c>
      <c r="N64">
        <v>0.8</v>
      </c>
      <c r="O64">
        <f t="shared" si="0"/>
        <v>0.19999999999999996</v>
      </c>
      <c r="Q64">
        <v>33</v>
      </c>
      <c r="R64">
        <f t="shared" si="8"/>
        <v>0.54578313253012045</v>
      </c>
      <c r="S64">
        <f t="shared" si="1"/>
        <v>0.43662650602409636</v>
      </c>
      <c r="T64">
        <f t="shared" si="2"/>
        <v>0.56337349397590364</v>
      </c>
      <c r="U64">
        <f t="shared" si="6"/>
        <v>155.11084337349399</v>
      </c>
      <c r="W64">
        <v>239.2</v>
      </c>
      <c r="X64">
        <f t="shared" si="7"/>
        <v>29884.2</v>
      </c>
      <c r="Y64">
        <v>11.357347156765661</v>
      </c>
    </row>
    <row r="65" spans="1:25" x14ac:dyDescent="0.25">
      <c r="A65">
        <v>6360</v>
      </c>
      <c r="B65">
        <v>24170</v>
      </c>
      <c r="C65" s="1">
        <v>43010</v>
      </c>
      <c r="F65" s="50"/>
      <c r="G65">
        <v>16.399999999999999</v>
      </c>
      <c r="H65">
        <v>14.7</v>
      </c>
      <c r="I65">
        <v>18</v>
      </c>
      <c r="J65">
        <f t="shared" si="4"/>
        <v>497.1</v>
      </c>
      <c r="K65">
        <f t="shared" si="5"/>
        <v>497.1</v>
      </c>
      <c r="M65">
        <v>8.8000000000000007</v>
      </c>
      <c r="N65">
        <v>0.9</v>
      </c>
      <c r="O65">
        <f t="shared" si="0"/>
        <v>7.9</v>
      </c>
      <c r="Q65">
        <v>34</v>
      </c>
      <c r="R65">
        <f t="shared" si="8"/>
        <v>0.55361445783132535</v>
      </c>
      <c r="S65">
        <f t="shared" si="1"/>
        <v>0.49825301204819283</v>
      </c>
      <c r="T65">
        <f t="shared" si="2"/>
        <v>8.3017469879518071</v>
      </c>
      <c r="U65">
        <f t="shared" si="6"/>
        <v>163.41259036144581</v>
      </c>
      <c r="W65">
        <v>366.8</v>
      </c>
      <c r="X65">
        <f t="shared" si="7"/>
        <v>30251</v>
      </c>
      <c r="Y65">
        <v>11.296493079481749</v>
      </c>
    </row>
    <row r="66" spans="1:25" x14ac:dyDescent="0.25">
      <c r="A66">
        <v>6360</v>
      </c>
      <c r="B66">
        <v>24170</v>
      </c>
      <c r="C66" s="1">
        <v>43011</v>
      </c>
      <c r="F66" s="50"/>
      <c r="G66">
        <v>12.1</v>
      </c>
      <c r="H66">
        <v>10.6</v>
      </c>
      <c r="I66">
        <v>15.7</v>
      </c>
      <c r="J66">
        <f t="shared" si="4"/>
        <v>509.20000000000005</v>
      </c>
      <c r="K66">
        <f t="shared" si="5"/>
        <v>509.20000000000005</v>
      </c>
      <c r="M66">
        <v>0</v>
      </c>
      <c r="N66">
        <v>2.1</v>
      </c>
      <c r="O66">
        <f t="shared" si="0"/>
        <v>-2.1</v>
      </c>
      <c r="Q66">
        <v>35</v>
      </c>
      <c r="R66">
        <f t="shared" si="8"/>
        <v>0.56144578313253013</v>
      </c>
      <c r="S66">
        <f t="shared" si="1"/>
        <v>1.1790361445783133</v>
      </c>
      <c r="T66">
        <f t="shared" si="2"/>
        <v>-1.1790361445783133</v>
      </c>
      <c r="U66">
        <f t="shared" si="6"/>
        <v>162.2335542168675</v>
      </c>
      <c r="W66">
        <v>1050.3</v>
      </c>
      <c r="X66">
        <f t="shared" si="7"/>
        <v>31301.3</v>
      </c>
      <c r="Y66">
        <v>11.235736517884728</v>
      </c>
    </row>
    <row r="67" spans="1:25" x14ac:dyDescent="0.25">
      <c r="A67">
        <v>6360</v>
      </c>
      <c r="B67">
        <v>24170</v>
      </c>
      <c r="C67" s="1">
        <v>43012</v>
      </c>
      <c r="F67" s="50"/>
      <c r="G67">
        <v>11.9</v>
      </c>
      <c r="H67">
        <v>8.1</v>
      </c>
      <c r="I67">
        <v>16.2</v>
      </c>
      <c r="J67">
        <f t="shared" si="4"/>
        <v>521.1</v>
      </c>
      <c r="K67">
        <f t="shared" si="5"/>
        <v>521.1</v>
      </c>
      <c r="M67">
        <v>0</v>
      </c>
      <c r="N67">
        <v>1.7</v>
      </c>
      <c r="O67">
        <f t="shared" si="0"/>
        <v>-1.7</v>
      </c>
      <c r="Q67">
        <v>36</v>
      </c>
      <c r="R67">
        <f t="shared" si="8"/>
        <v>0.56927710843373491</v>
      </c>
      <c r="S67">
        <f t="shared" si="1"/>
        <v>0.96777108433734937</v>
      </c>
      <c r="T67">
        <f t="shared" si="2"/>
        <v>-0.96777108433734937</v>
      </c>
      <c r="U67">
        <f t="shared" si="6"/>
        <v>161.26578313253015</v>
      </c>
      <c r="W67">
        <v>852</v>
      </c>
      <c r="X67">
        <f t="shared" si="7"/>
        <v>32153.3</v>
      </c>
      <c r="Y67">
        <v>11.175086732021107</v>
      </c>
    </row>
    <row r="68" spans="1:25" x14ac:dyDescent="0.25">
      <c r="A68">
        <v>6360</v>
      </c>
      <c r="B68">
        <v>24170</v>
      </c>
      <c r="C68" s="1">
        <v>43013</v>
      </c>
      <c r="F68" s="50"/>
      <c r="G68">
        <v>11.5</v>
      </c>
      <c r="H68">
        <v>9.4</v>
      </c>
      <c r="I68">
        <v>15.5</v>
      </c>
      <c r="J68">
        <f t="shared" si="4"/>
        <v>532.6</v>
      </c>
      <c r="K68">
        <f t="shared" si="5"/>
        <v>532.6</v>
      </c>
      <c r="M68">
        <v>2.9</v>
      </c>
      <c r="N68">
        <v>1.3</v>
      </c>
      <c r="O68">
        <f t="shared" si="0"/>
        <v>1.5999999999999999</v>
      </c>
      <c r="Q68">
        <v>37</v>
      </c>
      <c r="R68">
        <f t="shared" si="8"/>
        <v>0.5771084337349397</v>
      </c>
      <c r="S68">
        <f t="shared" si="1"/>
        <v>0.75024096385542161</v>
      </c>
      <c r="T68">
        <f t="shared" si="2"/>
        <v>2.1497590361445784</v>
      </c>
      <c r="U68">
        <f t="shared" si="6"/>
        <v>163.41554216867473</v>
      </c>
      <c r="W68">
        <v>528.20000000000005</v>
      </c>
      <c r="X68">
        <f t="shared" si="7"/>
        <v>32681.5</v>
      </c>
      <c r="Y68">
        <v>11.114553175565101</v>
      </c>
    </row>
    <row r="69" spans="1:25" x14ac:dyDescent="0.25">
      <c r="A69">
        <v>6360</v>
      </c>
      <c r="B69">
        <v>24170</v>
      </c>
      <c r="C69" s="1">
        <v>43014</v>
      </c>
      <c r="F69" s="50"/>
      <c r="G69">
        <v>9.6</v>
      </c>
      <c r="H69">
        <v>7.1</v>
      </c>
      <c r="I69">
        <v>14.6</v>
      </c>
      <c r="J69">
        <f t="shared" si="4"/>
        <v>542.20000000000005</v>
      </c>
      <c r="K69">
        <f t="shared" si="5"/>
        <v>542.20000000000005</v>
      </c>
      <c r="M69">
        <v>0</v>
      </c>
      <c r="N69">
        <v>2</v>
      </c>
      <c r="O69">
        <f t="shared" ref="O69:O132" si="9">M69-N69</f>
        <v>-2</v>
      </c>
      <c r="Q69">
        <v>38</v>
      </c>
      <c r="R69">
        <f t="shared" si="8"/>
        <v>0.58493975903614459</v>
      </c>
      <c r="S69">
        <f t="shared" ref="S69:S132" si="10">R69*N69</f>
        <v>1.1698795180722892</v>
      </c>
      <c r="T69">
        <f t="shared" ref="T69:T132" si="11">M69-S69</f>
        <v>-1.1698795180722892</v>
      </c>
      <c r="U69">
        <f t="shared" si="6"/>
        <v>162.24566265060244</v>
      </c>
      <c r="W69">
        <v>1103.8</v>
      </c>
      <c r="X69">
        <f t="shared" si="7"/>
        <v>33785.300000000003</v>
      </c>
      <c r="Y69">
        <v>11.054145510677701</v>
      </c>
    </row>
    <row r="70" spans="1:25" x14ac:dyDescent="0.25">
      <c r="A70">
        <v>6360</v>
      </c>
      <c r="B70">
        <v>24170</v>
      </c>
      <c r="C70" s="1">
        <v>43015</v>
      </c>
      <c r="F70" s="50"/>
      <c r="G70">
        <v>10.5</v>
      </c>
      <c r="H70">
        <v>5</v>
      </c>
      <c r="I70">
        <v>14.6</v>
      </c>
      <c r="J70">
        <f t="shared" si="4"/>
        <v>552.70000000000005</v>
      </c>
      <c r="K70">
        <f t="shared" si="5"/>
        <v>552.70000000000005</v>
      </c>
      <c r="M70">
        <v>0.9</v>
      </c>
      <c r="N70">
        <v>1.4</v>
      </c>
      <c r="O70">
        <f t="shared" si="9"/>
        <v>-0.49999999999999989</v>
      </c>
      <c r="Q70">
        <v>39</v>
      </c>
      <c r="R70">
        <f t="shared" si="8"/>
        <v>0.59277108433734937</v>
      </c>
      <c r="S70">
        <f t="shared" si="10"/>
        <v>0.8298795180722891</v>
      </c>
      <c r="T70">
        <f t="shared" si="11"/>
        <v>7.012048192771092E-2</v>
      </c>
      <c r="U70">
        <f t="shared" si="6"/>
        <v>162.31578313253016</v>
      </c>
      <c r="W70">
        <v>651</v>
      </c>
      <c r="X70">
        <f t="shared" si="7"/>
        <v>34436.300000000003</v>
      </c>
      <c r="Y70">
        <v>10.993873622698461</v>
      </c>
    </row>
    <row r="71" spans="1:25" x14ac:dyDescent="0.25">
      <c r="A71">
        <v>6360</v>
      </c>
      <c r="B71">
        <v>24170</v>
      </c>
      <c r="C71" s="1">
        <v>43016</v>
      </c>
      <c r="F71" s="50"/>
      <c r="G71">
        <v>13.2</v>
      </c>
      <c r="H71">
        <v>12.5</v>
      </c>
      <c r="I71">
        <v>15.7</v>
      </c>
      <c r="J71">
        <f t="shared" si="4"/>
        <v>565.90000000000009</v>
      </c>
      <c r="K71">
        <f t="shared" si="5"/>
        <v>565.90000000000009</v>
      </c>
      <c r="M71">
        <v>0.7</v>
      </c>
      <c r="N71">
        <v>1.5</v>
      </c>
      <c r="O71">
        <f t="shared" si="9"/>
        <v>-0.8</v>
      </c>
      <c r="Q71">
        <v>40</v>
      </c>
      <c r="R71">
        <f t="shared" si="8"/>
        <v>0.60060240963855427</v>
      </c>
      <c r="S71">
        <f t="shared" si="10"/>
        <v>0.9009036144578314</v>
      </c>
      <c r="T71">
        <f t="shared" si="11"/>
        <v>-0.20090361445783145</v>
      </c>
      <c r="U71">
        <f t="shared" si="6"/>
        <v>162.11487951807231</v>
      </c>
      <c r="W71">
        <v>797.3</v>
      </c>
      <c r="X71">
        <f t="shared" si="7"/>
        <v>35233.600000000006</v>
      </c>
      <c r="Y71">
        <v>10.933747634649638</v>
      </c>
    </row>
    <row r="72" spans="1:25" x14ac:dyDescent="0.25">
      <c r="A72">
        <v>6360</v>
      </c>
      <c r="B72">
        <v>24170</v>
      </c>
      <c r="C72" s="1">
        <v>43017</v>
      </c>
      <c r="F72" s="50"/>
      <c r="G72">
        <v>13.2</v>
      </c>
      <c r="H72">
        <v>9</v>
      </c>
      <c r="I72">
        <v>16</v>
      </c>
      <c r="J72">
        <f t="shared" si="4"/>
        <v>579.10000000000014</v>
      </c>
      <c r="K72">
        <f t="shared" si="5"/>
        <v>579.10000000000014</v>
      </c>
      <c r="M72">
        <v>1.2</v>
      </c>
      <c r="N72">
        <v>0.9</v>
      </c>
      <c r="O72">
        <f t="shared" si="9"/>
        <v>0.29999999999999993</v>
      </c>
      <c r="Q72">
        <v>41</v>
      </c>
      <c r="R72">
        <f t="shared" si="8"/>
        <v>0.60843373493975905</v>
      </c>
      <c r="S72">
        <f t="shared" si="10"/>
        <v>0.54759036144578321</v>
      </c>
      <c r="T72">
        <f t="shared" si="11"/>
        <v>0.65240963855421674</v>
      </c>
      <c r="U72">
        <f t="shared" si="6"/>
        <v>162.76728915662653</v>
      </c>
      <c r="W72">
        <v>491.7</v>
      </c>
      <c r="X72">
        <f t="shared" si="7"/>
        <v>35725.300000000003</v>
      </c>
      <c r="Y72">
        <v>10.873777921530603</v>
      </c>
    </row>
    <row r="73" spans="1:25" x14ac:dyDescent="0.25">
      <c r="A73">
        <v>6360</v>
      </c>
      <c r="B73">
        <v>24170</v>
      </c>
      <c r="C73" s="1">
        <v>43018</v>
      </c>
      <c r="F73" s="50"/>
      <c r="G73">
        <v>14.1</v>
      </c>
      <c r="H73">
        <v>12</v>
      </c>
      <c r="I73">
        <v>15.6</v>
      </c>
      <c r="J73">
        <f t="shared" si="4"/>
        <v>593.20000000000016</v>
      </c>
      <c r="K73">
        <f t="shared" si="5"/>
        <v>593.20000000000016</v>
      </c>
      <c r="M73">
        <v>0</v>
      </c>
      <c r="N73">
        <v>0.7</v>
      </c>
      <c r="O73">
        <f t="shared" si="9"/>
        <v>-0.7</v>
      </c>
      <c r="Q73">
        <v>42</v>
      </c>
      <c r="R73">
        <f t="shared" si="8"/>
        <v>0.61626506024096384</v>
      </c>
      <c r="S73">
        <f t="shared" si="10"/>
        <v>0.43138554216867464</v>
      </c>
      <c r="T73">
        <f t="shared" si="11"/>
        <v>-0.43138554216867464</v>
      </c>
      <c r="U73">
        <f t="shared" si="6"/>
        <v>162.33590361445786</v>
      </c>
      <c r="W73">
        <v>260.10000000000002</v>
      </c>
      <c r="X73">
        <f t="shared" si="7"/>
        <v>35985.4</v>
      </c>
      <c r="Y73">
        <v>10.813975124378562</v>
      </c>
    </row>
    <row r="74" spans="1:25" x14ac:dyDescent="0.25">
      <c r="A74">
        <v>6360</v>
      </c>
      <c r="B74">
        <v>24170</v>
      </c>
      <c r="C74" s="1">
        <v>43019</v>
      </c>
      <c r="F74" s="50"/>
      <c r="G74">
        <v>15.4</v>
      </c>
      <c r="H74">
        <v>13.8</v>
      </c>
      <c r="I74">
        <v>17</v>
      </c>
      <c r="J74">
        <f t="shared" si="4"/>
        <v>608.60000000000014</v>
      </c>
      <c r="K74">
        <f t="shared" si="5"/>
        <v>608.60000000000014</v>
      </c>
      <c r="M74">
        <v>0</v>
      </c>
      <c r="N74">
        <v>1.1000000000000001</v>
      </c>
      <c r="O74">
        <f t="shared" si="9"/>
        <v>-1.1000000000000001</v>
      </c>
      <c r="Q74">
        <v>43</v>
      </c>
      <c r="R74">
        <f t="shared" si="8"/>
        <v>0.62409638554216862</v>
      </c>
      <c r="S74">
        <f t="shared" si="10"/>
        <v>0.6865060240963855</v>
      </c>
      <c r="T74">
        <f t="shared" si="11"/>
        <v>-0.6865060240963855</v>
      </c>
      <c r="U74">
        <f t="shared" si="6"/>
        <v>161.64939759036147</v>
      </c>
      <c r="W74">
        <v>291.3</v>
      </c>
      <c r="X74">
        <f t="shared" si="7"/>
        <v>36276.700000000004</v>
      </c>
      <c r="Y74">
        <v>10.754350164069725</v>
      </c>
    </row>
    <row r="75" spans="1:25" x14ac:dyDescent="0.25">
      <c r="A75">
        <v>6360</v>
      </c>
      <c r="B75">
        <v>24170</v>
      </c>
      <c r="C75" s="1">
        <v>43020</v>
      </c>
      <c r="F75" s="50"/>
      <c r="G75">
        <v>16.100000000000001</v>
      </c>
      <c r="H75">
        <v>13.5</v>
      </c>
      <c r="I75">
        <v>19.5</v>
      </c>
      <c r="J75">
        <f t="shared" si="4"/>
        <v>624.70000000000016</v>
      </c>
      <c r="K75">
        <f t="shared" si="5"/>
        <v>624.70000000000016</v>
      </c>
      <c r="M75">
        <v>0</v>
      </c>
      <c r="N75">
        <v>1.5</v>
      </c>
      <c r="O75">
        <f t="shared" si="9"/>
        <v>-1.5</v>
      </c>
      <c r="Q75">
        <v>44</v>
      </c>
      <c r="R75">
        <f t="shared" si="8"/>
        <v>0.63192771084337351</v>
      </c>
      <c r="S75">
        <f t="shared" si="10"/>
        <v>0.94789156626506021</v>
      </c>
      <c r="T75">
        <f t="shared" si="11"/>
        <v>-0.94789156626506021</v>
      </c>
      <c r="U75">
        <f t="shared" si="6"/>
        <v>160.7015060240964</v>
      </c>
      <c r="W75">
        <v>741.8</v>
      </c>
      <c r="X75">
        <f t="shared" si="7"/>
        <v>37018.500000000007</v>
      </c>
      <c r="Y75">
        <v>10.694914254833055</v>
      </c>
    </row>
    <row r="76" spans="1:25" x14ac:dyDescent="0.25">
      <c r="A76">
        <v>6360</v>
      </c>
      <c r="B76">
        <v>24170</v>
      </c>
      <c r="C76" s="1">
        <v>43021</v>
      </c>
      <c r="F76" s="50"/>
      <c r="G76">
        <v>15.8</v>
      </c>
      <c r="H76">
        <v>13.5</v>
      </c>
      <c r="I76">
        <v>20.5</v>
      </c>
      <c r="J76">
        <f t="shared" si="4"/>
        <v>640.50000000000011</v>
      </c>
      <c r="K76">
        <f t="shared" si="5"/>
        <v>640.50000000000011</v>
      </c>
      <c r="M76">
        <v>0</v>
      </c>
      <c r="N76">
        <v>2.2000000000000002</v>
      </c>
      <c r="O76">
        <f t="shared" si="9"/>
        <v>-2.2000000000000002</v>
      </c>
      <c r="Q76">
        <v>45</v>
      </c>
      <c r="R76">
        <f t="shared" si="8"/>
        <v>0.6397590361445783</v>
      </c>
      <c r="S76">
        <f t="shared" si="10"/>
        <v>1.4074698795180725</v>
      </c>
      <c r="T76">
        <f t="shared" si="11"/>
        <v>-1.4074698795180725</v>
      </c>
      <c r="U76">
        <f t="shared" si="6"/>
        <v>159.29403614457834</v>
      </c>
      <c r="W76">
        <v>1082.7</v>
      </c>
      <c r="X76">
        <f t="shared" si="7"/>
        <v>38101.200000000004</v>
      </c>
      <c r="Y76">
        <v>10.635678917446494</v>
      </c>
    </row>
    <row r="77" spans="1:25" x14ac:dyDescent="0.25">
      <c r="A77">
        <v>6360</v>
      </c>
      <c r="B77">
        <v>24170</v>
      </c>
      <c r="C77" s="1">
        <v>43022</v>
      </c>
      <c r="F77" s="50"/>
      <c r="G77">
        <v>14.7</v>
      </c>
      <c r="H77">
        <v>9.8000000000000007</v>
      </c>
      <c r="I77">
        <v>21.4</v>
      </c>
      <c r="J77">
        <f t="shared" si="4"/>
        <v>655.20000000000016</v>
      </c>
      <c r="K77">
        <f t="shared" si="5"/>
        <v>655.20000000000016</v>
      </c>
      <c r="M77">
        <v>0.1</v>
      </c>
      <c r="N77">
        <v>2.7</v>
      </c>
      <c r="O77">
        <f t="shared" si="9"/>
        <v>-2.6</v>
      </c>
      <c r="Q77">
        <v>46</v>
      </c>
      <c r="R77">
        <f t="shared" si="8"/>
        <v>0.64759036144578308</v>
      </c>
      <c r="S77">
        <f t="shared" si="10"/>
        <v>1.7484939759036144</v>
      </c>
      <c r="T77">
        <f t="shared" si="11"/>
        <v>-1.6484939759036144</v>
      </c>
      <c r="U77">
        <f t="shared" si="6"/>
        <v>157.64554216867472</v>
      </c>
      <c r="W77">
        <v>1191.7</v>
      </c>
      <c r="X77">
        <f t="shared" si="7"/>
        <v>39292.9</v>
      </c>
      <c r="Y77">
        <v>10.57665599208341</v>
      </c>
    </row>
    <row r="78" spans="1:25" x14ac:dyDescent="0.25">
      <c r="A78">
        <v>6360</v>
      </c>
      <c r="B78">
        <v>24170</v>
      </c>
      <c r="C78" s="1">
        <v>43023</v>
      </c>
      <c r="F78" s="50"/>
      <c r="G78">
        <v>16.2</v>
      </c>
      <c r="H78">
        <v>10.3</v>
      </c>
      <c r="I78">
        <v>21.3</v>
      </c>
      <c r="J78">
        <f t="shared" si="4"/>
        <v>671.4000000000002</v>
      </c>
      <c r="K78">
        <f t="shared" si="5"/>
        <v>671.4000000000002</v>
      </c>
      <c r="M78">
        <v>0</v>
      </c>
      <c r="N78">
        <v>2.4</v>
      </c>
      <c r="O78">
        <f t="shared" si="9"/>
        <v>-2.4</v>
      </c>
      <c r="Q78">
        <v>47</v>
      </c>
      <c r="R78">
        <f t="shared" si="8"/>
        <v>0.65542168674698797</v>
      </c>
      <c r="S78">
        <f t="shared" si="10"/>
        <v>1.5730120481927712</v>
      </c>
      <c r="T78">
        <f t="shared" si="11"/>
        <v>-1.5730120481927712</v>
      </c>
      <c r="U78">
        <f t="shared" si="6"/>
        <v>156.07253012048196</v>
      </c>
      <c r="W78">
        <v>1213.4000000000001</v>
      </c>
      <c r="X78">
        <f t="shared" si="7"/>
        <v>40506.300000000003</v>
      </c>
      <c r="Y78">
        <v>10.517857650774602</v>
      </c>
    </row>
    <row r="79" spans="1:25" x14ac:dyDescent="0.25">
      <c r="A79">
        <v>6360</v>
      </c>
      <c r="B79">
        <v>24170</v>
      </c>
      <c r="C79" s="1">
        <v>43024</v>
      </c>
      <c r="F79" s="50"/>
      <c r="G79">
        <v>17.7</v>
      </c>
      <c r="H79">
        <v>14.8</v>
      </c>
      <c r="I79">
        <v>22.7</v>
      </c>
      <c r="J79">
        <f t="shared" si="4"/>
        <v>689.10000000000025</v>
      </c>
      <c r="K79">
        <f t="shared" si="5"/>
        <v>689.10000000000025</v>
      </c>
      <c r="M79">
        <v>0</v>
      </c>
      <c r="N79">
        <v>2.9</v>
      </c>
      <c r="O79">
        <f t="shared" si="9"/>
        <v>-2.9</v>
      </c>
      <c r="Q79">
        <v>48</v>
      </c>
      <c r="R79">
        <f t="shared" si="8"/>
        <v>0.66325301204819276</v>
      </c>
      <c r="S79">
        <f t="shared" si="10"/>
        <v>1.923433734939759</v>
      </c>
      <c r="T79">
        <f t="shared" si="11"/>
        <v>-1.923433734939759</v>
      </c>
      <c r="U79">
        <f t="shared" si="6"/>
        <v>154.14909638554221</v>
      </c>
      <c r="W79">
        <v>1134.9000000000001</v>
      </c>
      <c r="X79">
        <f t="shared" si="7"/>
        <v>41641.200000000004</v>
      </c>
      <c r="Y79">
        <v>10.459296409448797</v>
      </c>
    </row>
    <row r="80" spans="1:25" x14ac:dyDescent="0.25">
      <c r="A80">
        <v>6360</v>
      </c>
      <c r="B80">
        <v>24170</v>
      </c>
      <c r="C80" s="1">
        <v>43025</v>
      </c>
      <c r="F80" s="50"/>
      <c r="G80">
        <v>15.7</v>
      </c>
      <c r="H80">
        <v>11.4</v>
      </c>
      <c r="I80">
        <v>21.2</v>
      </c>
      <c r="J80">
        <f t="shared" si="4"/>
        <v>704.8000000000003</v>
      </c>
      <c r="K80">
        <f t="shared" si="5"/>
        <v>704.8000000000003</v>
      </c>
      <c r="M80">
        <v>0.1</v>
      </c>
      <c r="N80">
        <v>2</v>
      </c>
      <c r="O80">
        <f t="shared" si="9"/>
        <v>-1.9</v>
      </c>
      <c r="Q80">
        <v>49</v>
      </c>
      <c r="R80">
        <f t="shared" si="8"/>
        <v>0.67108433734939754</v>
      </c>
      <c r="S80">
        <f t="shared" si="10"/>
        <v>1.3421686746987951</v>
      </c>
      <c r="T80">
        <f t="shared" si="11"/>
        <v>-1.242168674698795</v>
      </c>
      <c r="U80">
        <f t="shared" si="6"/>
        <v>152.90692771084341</v>
      </c>
      <c r="W80">
        <v>941.4</v>
      </c>
      <c r="X80">
        <f t="shared" si="7"/>
        <v>42582.600000000006</v>
      </c>
      <c r="Y80">
        <v>10.400985139512111</v>
      </c>
    </row>
    <row r="81" spans="1:25" x14ac:dyDescent="0.25">
      <c r="A81">
        <v>6360</v>
      </c>
      <c r="B81">
        <v>24170</v>
      </c>
      <c r="C81" s="1">
        <v>43026</v>
      </c>
      <c r="F81" s="50"/>
      <c r="G81">
        <v>15.3</v>
      </c>
      <c r="H81">
        <v>12.2</v>
      </c>
      <c r="I81">
        <v>20.399999999999999</v>
      </c>
      <c r="J81">
        <f t="shared" si="4"/>
        <v>720.10000000000025</v>
      </c>
      <c r="K81">
        <f t="shared" si="5"/>
        <v>720.10000000000025</v>
      </c>
      <c r="M81">
        <v>0</v>
      </c>
      <c r="N81">
        <v>2</v>
      </c>
      <c r="O81">
        <f t="shared" si="9"/>
        <v>-2</v>
      </c>
      <c r="Q81">
        <v>50</v>
      </c>
      <c r="R81">
        <f t="shared" si="8"/>
        <v>0.67891566265060233</v>
      </c>
      <c r="S81">
        <f t="shared" si="10"/>
        <v>1.3578313253012047</v>
      </c>
      <c r="T81">
        <f t="shared" si="11"/>
        <v>-1.3578313253012047</v>
      </c>
      <c r="U81">
        <f t="shared" si="6"/>
        <v>151.54909638554221</v>
      </c>
      <c r="W81">
        <v>852.5</v>
      </c>
      <c r="X81">
        <f t="shared" si="7"/>
        <v>43435.100000000006</v>
      </c>
      <c r="Y81">
        <v>10.342937078924274</v>
      </c>
    </row>
    <row r="82" spans="1:25" x14ac:dyDescent="0.25">
      <c r="A82">
        <v>6360</v>
      </c>
      <c r="B82">
        <v>24170</v>
      </c>
      <c r="C82" s="1">
        <v>43027</v>
      </c>
      <c r="F82" s="50"/>
      <c r="G82">
        <v>16.600000000000001</v>
      </c>
      <c r="H82">
        <v>13.1</v>
      </c>
      <c r="I82">
        <v>21.6</v>
      </c>
      <c r="J82">
        <f t="shared" si="4"/>
        <v>736.70000000000027</v>
      </c>
      <c r="K82">
        <f t="shared" si="5"/>
        <v>736.70000000000027</v>
      </c>
      <c r="M82">
        <v>4.5999999999999996</v>
      </c>
      <c r="N82">
        <v>1.9</v>
      </c>
      <c r="O82">
        <f t="shared" si="9"/>
        <v>2.6999999999999997</v>
      </c>
      <c r="Q82">
        <v>51</v>
      </c>
      <c r="R82">
        <f t="shared" si="8"/>
        <v>0.68674698795180722</v>
      </c>
      <c r="S82">
        <f t="shared" si="10"/>
        <v>1.3048192771084337</v>
      </c>
      <c r="T82">
        <f t="shared" si="11"/>
        <v>3.2951807228915659</v>
      </c>
      <c r="U82">
        <f t="shared" si="6"/>
        <v>154.84427710843377</v>
      </c>
      <c r="W82">
        <v>659.5</v>
      </c>
      <c r="X82">
        <f t="shared" si="7"/>
        <v>44094.600000000006</v>
      </c>
      <c r="Y82">
        <v>10.285165842726915</v>
      </c>
    </row>
    <row r="83" spans="1:25" x14ac:dyDescent="0.25">
      <c r="A83">
        <v>6360</v>
      </c>
      <c r="B83">
        <v>24170</v>
      </c>
      <c r="C83" s="1">
        <v>43028</v>
      </c>
      <c r="F83" s="50"/>
      <c r="G83">
        <v>13.1</v>
      </c>
      <c r="H83">
        <v>11.6</v>
      </c>
      <c r="I83">
        <v>15.6</v>
      </c>
      <c r="J83">
        <f t="shared" si="4"/>
        <v>749.8000000000003</v>
      </c>
      <c r="K83">
        <f t="shared" si="5"/>
        <v>749.8000000000003</v>
      </c>
      <c r="M83">
        <v>0.1</v>
      </c>
      <c r="N83">
        <v>2</v>
      </c>
      <c r="O83">
        <f t="shared" si="9"/>
        <v>-1.9</v>
      </c>
      <c r="Q83">
        <v>52</v>
      </c>
      <c r="R83">
        <f t="shared" si="8"/>
        <v>0.69457831325301211</v>
      </c>
      <c r="S83">
        <f t="shared" si="10"/>
        <v>1.3891566265060242</v>
      </c>
      <c r="T83">
        <f t="shared" si="11"/>
        <v>-1.2891566265060241</v>
      </c>
      <c r="U83">
        <f t="shared" si="6"/>
        <v>153.55512048192776</v>
      </c>
      <c r="W83">
        <v>849.8</v>
      </c>
      <c r="X83">
        <f t="shared" si="7"/>
        <v>44944.400000000009</v>
      </c>
      <c r="Y83">
        <v>10.227685432976413</v>
      </c>
    </row>
    <row r="84" spans="1:25" x14ac:dyDescent="0.25">
      <c r="A84">
        <v>6360</v>
      </c>
      <c r="B84">
        <v>24170</v>
      </c>
      <c r="C84" s="1">
        <v>43029</v>
      </c>
      <c r="F84" s="50"/>
      <c r="G84">
        <v>13.7</v>
      </c>
      <c r="H84">
        <v>11.4</v>
      </c>
      <c r="I84">
        <v>16</v>
      </c>
      <c r="J84">
        <f t="shared" si="4"/>
        <v>763.50000000000034</v>
      </c>
      <c r="K84">
        <f t="shared" si="5"/>
        <v>763.50000000000034</v>
      </c>
      <c r="M84">
        <v>3.1</v>
      </c>
      <c r="N84">
        <v>1.6</v>
      </c>
      <c r="O84">
        <f t="shared" si="9"/>
        <v>1.5</v>
      </c>
      <c r="Q84">
        <v>53</v>
      </c>
      <c r="R84">
        <f t="shared" si="8"/>
        <v>0.7024096385542169</v>
      </c>
      <c r="S84">
        <f t="shared" si="10"/>
        <v>1.1238554216867471</v>
      </c>
      <c r="T84">
        <f t="shared" si="11"/>
        <v>1.976144578313253</v>
      </c>
      <c r="U84">
        <f t="shared" si="6"/>
        <v>155.53126506024103</v>
      </c>
      <c r="W84">
        <v>524.6</v>
      </c>
      <c r="X84">
        <f t="shared" si="7"/>
        <v>45469.000000000007</v>
      </c>
      <c r="Y84">
        <v>10.170510248031226</v>
      </c>
    </row>
    <row r="85" spans="1:25" x14ac:dyDescent="0.25">
      <c r="A85">
        <v>6360</v>
      </c>
      <c r="B85">
        <v>24170</v>
      </c>
      <c r="C85" s="1">
        <v>43030</v>
      </c>
      <c r="F85" s="50"/>
      <c r="G85">
        <v>10.7</v>
      </c>
      <c r="H85">
        <v>9.5</v>
      </c>
      <c r="I85">
        <v>12.5</v>
      </c>
      <c r="J85">
        <f t="shared" si="4"/>
        <v>774.20000000000039</v>
      </c>
      <c r="K85">
        <f t="shared" si="5"/>
        <v>774.20000000000039</v>
      </c>
      <c r="M85">
        <v>4.2</v>
      </c>
      <c r="N85">
        <v>1.6</v>
      </c>
      <c r="O85">
        <f t="shared" si="9"/>
        <v>2.6</v>
      </c>
      <c r="Q85">
        <v>54</v>
      </c>
      <c r="R85">
        <f t="shared" si="8"/>
        <v>0.71024096385542168</v>
      </c>
      <c r="S85">
        <f t="shared" si="10"/>
        <v>1.1363855421686748</v>
      </c>
      <c r="T85">
        <f t="shared" si="11"/>
        <v>3.0636144578313251</v>
      </c>
      <c r="U85">
        <f t="shared" si="6"/>
        <v>158.59487951807236</v>
      </c>
      <c r="W85">
        <v>542.1</v>
      </c>
      <c r="X85">
        <f t="shared" si="7"/>
        <v>46011.100000000006</v>
      </c>
      <c r="Y85">
        <v>10.113655091140842</v>
      </c>
    </row>
    <row r="86" spans="1:25" x14ac:dyDescent="0.25">
      <c r="A86">
        <v>6360</v>
      </c>
      <c r="B86">
        <v>24170</v>
      </c>
      <c r="C86" s="1">
        <v>43031</v>
      </c>
      <c r="F86" s="50"/>
      <c r="G86">
        <v>12.1</v>
      </c>
      <c r="H86">
        <v>10</v>
      </c>
      <c r="I86">
        <v>14</v>
      </c>
      <c r="J86">
        <f t="shared" si="4"/>
        <v>786.30000000000041</v>
      </c>
      <c r="K86">
        <f t="shared" si="5"/>
        <v>786.30000000000041</v>
      </c>
      <c r="M86">
        <v>4.2</v>
      </c>
      <c r="N86">
        <v>0.9</v>
      </c>
      <c r="O86">
        <f t="shared" si="9"/>
        <v>3.3000000000000003</v>
      </c>
      <c r="Q86">
        <v>55</v>
      </c>
      <c r="R86">
        <f t="shared" si="8"/>
        <v>0.71807228915662646</v>
      </c>
      <c r="S86">
        <f t="shared" si="10"/>
        <v>0.64626506024096386</v>
      </c>
      <c r="T86">
        <f t="shared" si="11"/>
        <v>3.5537349397590363</v>
      </c>
      <c r="U86">
        <f t="shared" si="6"/>
        <v>162.1486144578314</v>
      </c>
      <c r="W86">
        <v>383.2</v>
      </c>
      <c r="X86">
        <f t="shared" si="7"/>
        <v>46394.3</v>
      </c>
      <c r="Y86">
        <v>10.057135178280747</v>
      </c>
    </row>
    <row r="87" spans="1:25" x14ac:dyDescent="0.25">
      <c r="A87">
        <v>6360</v>
      </c>
      <c r="B87">
        <v>24170</v>
      </c>
      <c r="C87" s="1">
        <v>43032</v>
      </c>
      <c r="F87" s="50"/>
      <c r="G87">
        <v>15</v>
      </c>
      <c r="H87">
        <v>12.7</v>
      </c>
      <c r="I87">
        <v>16.3</v>
      </c>
      <c r="J87">
        <f t="shared" si="4"/>
        <v>801.30000000000041</v>
      </c>
      <c r="K87">
        <f t="shared" si="5"/>
        <v>801.30000000000041</v>
      </c>
      <c r="M87">
        <v>1.2</v>
      </c>
      <c r="N87">
        <v>0.4</v>
      </c>
      <c r="O87">
        <f t="shared" si="9"/>
        <v>0.79999999999999993</v>
      </c>
      <c r="Q87">
        <v>56</v>
      </c>
      <c r="R87">
        <f t="shared" si="8"/>
        <v>0.72590361445783125</v>
      </c>
      <c r="S87">
        <f t="shared" si="10"/>
        <v>0.2903614457831325</v>
      </c>
      <c r="T87">
        <f t="shared" si="11"/>
        <v>0.90963855421686746</v>
      </c>
      <c r="U87">
        <f t="shared" si="6"/>
        <v>163.05825301204825</v>
      </c>
      <c r="W87">
        <v>162.9</v>
      </c>
      <c r="X87">
        <f t="shared" si="7"/>
        <v>46557.200000000004</v>
      </c>
      <c r="Y87">
        <v>10.000966145175267</v>
      </c>
    </row>
    <row r="88" spans="1:25" x14ac:dyDescent="0.25">
      <c r="A88">
        <v>6360</v>
      </c>
      <c r="B88">
        <v>24170</v>
      </c>
      <c r="C88" s="1">
        <v>43033</v>
      </c>
      <c r="F88" s="50"/>
      <c r="G88">
        <v>14.6</v>
      </c>
      <c r="H88">
        <v>14</v>
      </c>
      <c r="I88">
        <v>17.8</v>
      </c>
      <c r="J88">
        <f t="shared" si="4"/>
        <v>815.90000000000043</v>
      </c>
      <c r="K88">
        <f t="shared" si="5"/>
        <v>815.90000000000043</v>
      </c>
      <c r="M88">
        <v>0.1</v>
      </c>
      <c r="N88">
        <v>1</v>
      </c>
      <c r="O88">
        <f t="shared" si="9"/>
        <v>-0.9</v>
      </c>
      <c r="Q88">
        <v>57</v>
      </c>
      <c r="R88">
        <f t="shared" si="8"/>
        <v>0.73373493975903614</v>
      </c>
      <c r="S88">
        <f t="shared" si="10"/>
        <v>0.73373493975903614</v>
      </c>
      <c r="T88">
        <f t="shared" si="11"/>
        <v>-0.63373493975903616</v>
      </c>
      <c r="U88">
        <f t="shared" si="6"/>
        <v>162.42451807228923</v>
      </c>
      <c r="W88">
        <v>296.7</v>
      </c>
      <c r="X88">
        <f t="shared" si="7"/>
        <v>46853.9</v>
      </c>
      <c r="Y88">
        <v>9.9451640534473906</v>
      </c>
    </row>
    <row r="89" spans="1:25" x14ac:dyDescent="0.25">
      <c r="A89">
        <v>6360</v>
      </c>
      <c r="B89">
        <v>24170</v>
      </c>
      <c r="C89" s="1">
        <v>43034</v>
      </c>
      <c r="F89" s="50"/>
      <c r="G89">
        <v>12.7</v>
      </c>
      <c r="H89">
        <v>10.1</v>
      </c>
      <c r="I89">
        <v>13.9</v>
      </c>
      <c r="J89">
        <f t="shared" si="4"/>
        <v>828.60000000000048</v>
      </c>
      <c r="K89">
        <f t="shared" si="5"/>
        <v>828.60000000000048</v>
      </c>
      <c r="M89">
        <v>0</v>
      </c>
      <c r="N89">
        <v>0.7</v>
      </c>
      <c r="O89">
        <f t="shared" si="9"/>
        <v>-0.7</v>
      </c>
      <c r="Q89">
        <v>58</v>
      </c>
      <c r="R89">
        <f t="shared" si="8"/>
        <v>0.74156626506024104</v>
      </c>
      <c r="S89">
        <f t="shared" si="10"/>
        <v>0.51909638554216875</v>
      </c>
      <c r="T89">
        <f t="shared" si="11"/>
        <v>-0.51909638554216875</v>
      </c>
      <c r="U89">
        <f t="shared" si="6"/>
        <v>161.90542168674708</v>
      </c>
      <c r="W89">
        <v>345.9</v>
      </c>
      <c r="X89">
        <f t="shared" si="7"/>
        <v>47199.8</v>
      </c>
      <c r="Y89">
        <v>9.8897453958322323</v>
      </c>
    </row>
    <row r="90" spans="1:25" x14ac:dyDescent="0.25">
      <c r="A90">
        <v>6360</v>
      </c>
      <c r="B90">
        <v>24170</v>
      </c>
      <c r="C90" s="1">
        <v>43035</v>
      </c>
      <c r="F90" s="50"/>
      <c r="G90">
        <v>11.6</v>
      </c>
      <c r="H90">
        <v>10.5</v>
      </c>
      <c r="I90">
        <v>14.7</v>
      </c>
      <c r="J90">
        <f t="shared" si="4"/>
        <v>840.2000000000005</v>
      </c>
      <c r="K90">
        <f t="shared" si="5"/>
        <v>840.2000000000005</v>
      </c>
      <c r="M90">
        <v>0</v>
      </c>
      <c r="N90">
        <v>1.4</v>
      </c>
      <c r="O90">
        <f t="shared" si="9"/>
        <v>-1.4</v>
      </c>
      <c r="Q90">
        <v>59</v>
      </c>
      <c r="R90">
        <f t="shared" si="8"/>
        <v>0.74939759036144582</v>
      </c>
      <c r="S90">
        <f t="shared" si="10"/>
        <v>1.0491566265060241</v>
      </c>
      <c r="T90">
        <f t="shared" si="11"/>
        <v>-1.0491566265060241</v>
      </c>
      <c r="U90">
        <f t="shared" si="6"/>
        <v>160.85626506024104</v>
      </c>
      <c r="W90">
        <v>610.9</v>
      </c>
      <c r="X90">
        <f t="shared" si="7"/>
        <v>47810.700000000004</v>
      </c>
      <c r="Y90">
        <v>9.8347271003883066</v>
      </c>
    </row>
    <row r="91" spans="1:25" x14ac:dyDescent="0.25">
      <c r="A91">
        <v>6360</v>
      </c>
      <c r="B91">
        <v>24170</v>
      </c>
      <c r="C91" s="1">
        <v>43036</v>
      </c>
      <c r="F91" s="50"/>
      <c r="G91">
        <v>9.8000000000000007</v>
      </c>
      <c r="H91">
        <v>4.3</v>
      </c>
      <c r="I91">
        <v>13.2</v>
      </c>
      <c r="J91">
        <f t="shared" si="4"/>
        <v>850.00000000000045</v>
      </c>
      <c r="K91">
        <f t="shared" si="5"/>
        <v>850.00000000000045</v>
      </c>
      <c r="M91">
        <v>0.1</v>
      </c>
      <c r="N91">
        <v>1</v>
      </c>
      <c r="O91">
        <f t="shared" si="9"/>
        <v>-0.9</v>
      </c>
      <c r="Q91">
        <v>60</v>
      </c>
      <c r="R91">
        <f t="shared" si="8"/>
        <v>0.7572289156626506</v>
      </c>
      <c r="S91">
        <f t="shared" si="10"/>
        <v>0.7572289156626506</v>
      </c>
      <c r="T91">
        <f t="shared" si="11"/>
        <v>-0.65722891566265063</v>
      </c>
      <c r="U91">
        <f t="shared" si="6"/>
        <v>160.1990361445784</v>
      </c>
      <c r="W91">
        <v>478</v>
      </c>
      <c r="X91">
        <f t="shared" si="7"/>
        <v>48288.700000000004</v>
      </c>
      <c r="Y91">
        <v>9.7801265336385761</v>
      </c>
    </row>
    <row r="92" spans="1:25" x14ac:dyDescent="0.25">
      <c r="A92">
        <v>6360</v>
      </c>
      <c r="B92">
        <v>24170</v>
      </c>
      <c r="C92" s="1">
        <v>43037</v>
      </c>
      <c r="F92" s="50"/>
      <c r="G92">
        <v>11.3</v>
      </c>
      <c r="H92">
        <v>9.6</v>
      </c>
      <c r="I92">
        <v>14</v>
      </c>
      <c r="J92">
        <f t="shared" si="4"/>
        <v>861.30000000000041</v>
      </c>
      <c r="K92">
        <f t="shared" si="5"/>
        <v>861.30000000000041</v>
      </c>
      <c r="M92">
        <v>1.7</v>
      </c>
      <c r="N92">
        <v>0.8</v>
      </c>
      <c r="O92">
        <f t="shared" si="9"/>
        <v>0.89999999999999991</v>
      </c>
      <c r="Q92">
        <v>61</v>
      </c>
      <c r="R92">
        <f t="shared" si="8"/>
        <v>0.76506024096385539</v>
      </c>
      <c r="S92">
        <f t="shared" si="10"/>
        <v>0.61204819277108435</v>
      </c>
      <c r="T92">
        <f t="shared" si="11"/>
        <v>1.0879518072289156</v>
      </c>
      <c r="U92">
        <f t="shared" si="6"/>
        <v>161.2869879518073</v>
      </c>
      <c r="W92">
        <v>218.9</v>
      </c>
      <c r="X92">
        <f t="shared" si="7"/>
        <v>48507.600000000006</v>
      </c>
      <c r="Y92">
        <v>9.725961502571101</v>
      </c>
    </row>
    <row r="93" spans="1:25" x14ac:dyDescent="0.25">
      <c r="A93">
        <v>6360</v>
      </c>
      <c r="B93">
        <v>24170</v>
      </c>
      <c r="C93" s="1">
        <v>43038</v>
      </c>
      <c r="F93" s="50"/>
      <c r="G93">
        <v>7</v>
      </c>
      <c r="H93">
        <v>4.5</v>
      </c>
      <c r="I93">
        <v>11.3</v>
      </c>
      <c r="J93">
        <f t="shared" si="4"/>
        <v>868.30000000000041</v>
      </c>
      <c r="K93">
        <f t="shared" si="5"/>
        <v>868.30000000000041</v>
      </c>
      <c r="M93">
        <v>0</v>
      </c>
      <c r="N93">
        <v>1.2</v>
      </c>
      <c r="O93">
        <f t="shared" si="9"/>
        <v>-1.2</v>
      </c>
      <c r="Q93">
        <v>62</v>
      </c>
      <c r="R93">
        <f t="shared" si="8"/>
        <v>0.77289156626506017</v>
      </c>
      <c r="S93">
        <f t="shared" si="10"/>
        <v>0.92746987951807214</v>
      </c>
      <c r="T93">
        <f t="shared" si="11"/>
        <v>-0.92746987951807214</v>
      </c>
      <c r="U93">
        <f t="shared" si="6"/>
        <v>160.35951807228923</v>
      </c>
      <c r="W93">
        <v>573.20000000000005</v>
      </c>
      <c r="X93">
        <f t="shared" si="7"/>
        <v>49080.800000000003</v>
      </c>
      <c r="Y93">
        <v>9.6722502554272562</v>
      </c>
    </row>
    <row r="94" spans="1:25" x14ac:dyDescent="0.25">
      <c r="A94">
        <v>6360</v>
      </c>
      <c r="B94">
        <v>24170</v>
      </c>
      <c r="C94" s="1">
        <v>43039</v>
      </c>
      <c r="F94" s="50"/>
      <c r="G94">
        <v>6</v>
      </c>
      <c r="H94">
        <v>1.9</v>
      </c>
      <c r="I94">
        <v>11.6</v>
      </c>
      <c r="J94">
        <f t="shared" si="4"/>
        <v>874.30000000000041</v>
      </c>
      <c r="K94">
        <f t="shared" si="5"/>
        <v>874.30000000000041</v>
      </c>
      <c r="M94">
        <v>0</v>
      </c>
      <c r="N94">
        <v>1.2</v>
      </c>
      <c r="O94">
        <f t="shared" si="9"/>
        <v>-1.2</v>
      </c>
      <c r="Q94">
        <v>63</v>
      </c>
      <c r="R94">
        <f t="shared" si="8"/>
        <v>0.78072289156626506</v>
      </c>
      <c r="S94">
        <f t="shared" si="10"/>
        <v>0.93686746987951808</v>
      </c>
      <c r="T94">
        <f t="shared" si="11"/>
        <v>-0.93686746987951808</v>
      </c>
      <c r="U94">
        <f t="shared" si="6"/>
        <v>159.4226506024097</v>
      </c>
      <c r="W94">
        <v>666.7</v>
      </c>
      <c r="X94">
        <f t="shared" si="7"/>
        <v>49747.5</v>
      </c>
      <c r="Y94">
        <v>9.6190114812038434</v>
      </c>
    </row>
    <row r="95" spans="1:25" x14ac:dyDescent="0.25">
      <c r="A95">
        <v>6360</v>
      </c>
      <c r="B95">
        <v>24170</v>
      </c>
      <c r="C95" s="1">
        <v>43040</v>
      </c>
      <c r="F95" s="50"/>
      <c r="G95">
        <v>8.1</v>
      </c>
      <c r="H95">
        <v>3.8</v>
      </c>
      <c r="I95">
        <v>13.4</v>
      </c>
      <c r="J95">
        <f t="shared" si="4"/>
        <v>882.40000000000043</v>
      </c>
      <c r="K95">
        <f t="shared" si="5"/>
        <v>882.40000000000043</v>
      </c>
      <c r="M95">
        <v>0</v>
      </c>
      <c r="N95">
        <v>1.4</v>
      </c>
      <c r="O95">
        <f t="shared" si="9"/>
        <v>-1.4</v>
      </c>
      <c r="Q95">
        <v>64</v>
      </c>
      <c r="R95">
        <f t="shared" si="8"/>
        <v>0.78855421686746985</v>
      </c>
      <c r="S95">
        <f t="shared" si="10"/>
        <v>1.1039759036144576</v>
      </c>
      <c r="T95">
        <f t="shared" si="11"/>
        <v>-1.1039759036144576</v>
      </c>
      <c r="U95">
        <f t="shared" si="6"/>
        <v>158.31867469879523</v>
      </c>
      <c r="W95">
        <v>705.9</v>
      </c>
      <c r="X95">
        <f t="shared" si="7"/>
        <v>50453.4</v>
      </c>
      <c r="Y95">
        <v>9.5662643077942597</v>
      </c>
    </row>
    <row r="96" spans="1:25" x14ac:dyDescent="0.25">
      <c r="A96">
        <v>6360</v>
      </c>
      <c r="B96">
        <v>24170</v>
      </c>
      <c r="C96" s="1">
        <v>43041</v>
      </c>
      <c r="F96" s="50"/>
      <c r="G96">
        <v>10.1</v>
      </c>
      <c r="H96">
        <v>7.4</v>
      </c>
      <c r="I96">
        <v>12.7</v>
      </c>
      <c r="J96">
        <f t="shared" si="4"/>
        <v>892.50000000000045</v>
      </c>
      <c r="K96">
        <f t="shared" si="5"/>
        <v>892.50000000000045</v>
      </c>
      <c r="M96">
        <v>0</v>
      </c>
      <c r="N96">
        <v>0.5</v>
      </c>
      <c r="O96">
        <f t="shared" si="9"/>
        <v>-0.5</v>
      </c>
      <c r="Q96">
        <v>65</v>
      </c>
      <c r="R96">
        <f t="shared" si="8"/>
        <v>0.79638554216867474</v>
      </c>
      <c r="S96">
        <f t="shared" si="10"/>
        <v>0.39819277108433737</v>
      </c>
      <c r="T96">
        <f t="shared" si="11"/>
        <v>-0.39819277108433737</v>
      </c>
      <c r="U96">
        <f t="shared" si="6"/>
        <v>157.92048192771091</v>
      </c>
      <c r="W96">
        <v>120.5</v>
      </c>
      <c r="X96">
        <f t="shared" si="7"/>
        <v>50573.9</v>
      </c>
      <c r="Y96">
        <v>9.5140282986927271</v>
      </c>
    </row>
    <row r="97" spans="1:25" x14ac:dyDescent="0.25">
      <c r="A97">
        <v>6360</v>
      </c>
      <c r="B97">
        <v>24170</v>
      </c>
      <c r="C97" s="1">
        <v>43042</v>
      </c>
      <c r="F97" s="50"/>
      <c r="G97">
        <v>11.8</v>
      </c>
      <c r="H97">
        <v>9.9</v>
      </c>
      <c r="I97">
        <v>14.6</v>
      </c>
      <c r="J97">
        <f t="shared" si="4"/>
        <v>904.30000000000041</v>
      </c>
      <c r="K97">
        <f t="shared" si="5"/>
        <v>904.30000000000041</v>
      </c>
      <c r="M97">
        <v>0</v>
      </c>
      <c r="N97">
        <v>1.1000000000000001</v>
      </c>
      <c r="O97">
        <f t="shared" si="9"/>
        <v>-1.1000000000000001</v>
      </c>
      <c r="Q97">
        <v>66</v>
      </c>
      <c r="R97">
        <f t="shared" si="8"/>
        <v>0.80421686746987953</v>
      </c>
      <c r="S97">
        <f t="shared" si="10"/>
        <v>0.88463855421686755</v>
      </c>
      <c r="T97">
        <f t="shared" si="11"/>
        <v>-0.88463855421686755</v>
      </c>
      <c r="U97">
        <f t="shared" si="6"/>
        <v>157.03584337349403</v>
      </c>
      <c r="W97">
        <v>548.70000000000005</v>
      </c>
      <c r="X97">
        <f t="shared" si="7"/>
        <v>51122.6</v>
      </c>
      <c r="Y97">
        <v>9.4623234481852947</v>
      </c>
    </row>
    <row r="98" spans="1:25" x14ac:dyDescent="0.25">
      <c r="A98">
        <v>6360</v>
      </c>
      <c r="B98">
        <v>24170</v>
      </c>
      <c r="C98" s="1">
        <v>43043</v>
      </c>
      <c r="F98" s="50"/>
      <c r="G98">
        <v>12.1</v>
      </c>
      <c r="H98">
        <v>10.5</v>
      </c>
      <c r="I98">
        <v>14.5</v>
      </c>
      <c r="J98">
        <f t="shared" ref="J98:J161" si="12">J97+G98</f>
        <v>916.40000000000043</v>
      </c>
      <c r="K98">
        <f t="shared" ref="K98:K161" si="13">K97+G98</f>
        <v>916.40000000000043</v>
      </c>
      <c r="M98">
        <v>4.4000000000000004</v>
      </c>
      <c r="N98">
        <v>0.8</v>
      </c>
      <c r="O98">
        <f t="shared" si="9"/>
        <v>3.6000000000000005</v>
      </c>
      <c r="Q98">
        <v>67</v>
      </c>
      <c r="R98">
        <f t="shared" si="8"/>
        <v>0.81204819277108431</v>
      </c>
      <c r="S98">
        <f t="shared" si="10"/>
        <v>0.64963855421686745</v>
      </c>
      <c r="T98">
        <f t="shared" si="11"/>
        <v>3.7503614457831329</v>
      </c>
      <c r="U98">
        <f t="shared" ref="U98:U161" si="14">MIN(U97+T98,179.3)</f>
        <v>160.78620481927717</v>
      </c>
      <c r="W98">
        <v>183.3</v>
      </c>
      <c r="X98">
        <f t="shared" ref="X98:X161" si="15">X97+W98</f>
        <v>51305.9</v>
      </c>
      <c r="Y98">
        <v>9.4111701749511134</v>
      </c>
    </row>
    <row r="99" spans="1:25" x14ac:dyDescent="0.25">
      <c r="A99">
        <v>6360</v>
      </c>
      <c r="B99">
        <v>24170</v>
      </c>
      <c r="C99" s="1">
        <v>43044</v>
      </c>
      <c r="F99" s="50"/>
      <c r="G99">
        <v>7</v>
      </c>
      <c r="H99">
        <v>4.9000000000000004</v>
      </c>
      <c r="I99">
        <v>9.6999999999999993</v>
      </c>
      <c r="J99">
        <f t="shared" si="12"/>
        <v>923.40000000000043</v>
      </c>
      <c r="K99">
        <f t="shared" si="13"/>
        <v>923.40000000000043</v>
      </c>
      <c r="M99">
        <v>0.3</v>
      </c>
      <c r="N99">
        <v>0.9</v>
      </c>
      <c r="O99">
        <f t="shared" si="9"/>
        <v>-0.60000000000000009</v>
      </c>
      <c r="Q99">
        <v>68</v>
      </c>
      <c r="R99">
        <f t="shared" si="8"/>
        <v>0.81987951807228909</v>
      </c>
      <c r="S99">
        <f t="shared" si="10"/>
        <v>0.73789156626506025</v>
      </c>
      <c r="T99">
        <f t="shared" si="11"/>
        <v>-0.43789156626506026</v>
      </c>
      <c r="U99">
        <f t="shared" si="14"/>
        <v>160.34831325301212</v>
      </c>
      <c r="W99">
        <v>592.29999999999995</v>
      </c>
      <c r="X99">
        <f t="shared" si="15"/>
        <v>51898.200000000004</v>
      </c>
      <c r="Y99">
        <v>9.3605893139980374</v>
      </c>
    </row>
    <row r="100" spans="1:25" x14ac:dyDescent="0.25">
      <c r="A100">
        <v>6360</v>
      </c>
      <c r="B100">
        <v>24170</v>
      </c>
      <c r="C100" s="1">
        <v>43045</v>
      </c>
      <c r="F100" s="50"/>
      <c r="G100">
        <v>5.5</v>
      </c>
      <c r="H100">
        <v>4.9000000000000004</v>
      </c>
      <c r="I100">
        <v>9.6999999999999993</v>
      </c>
      <c r="J100">
        <f t="shared" si="12"/>
        <v>928.90000000000043</v>
      </c>
      <c r="K100">
        <f t="shared" si="13"/>
        <v>928.90000000000043</v>
      </c>
      <c r="M100">
        <v>0</v>
      </c>
      <c r="N100">
        <v>1.4</v>
      </c>
      <c r="O100">
        <f t="shared" si="9"/>
        <v>-1.4</v>
      </c>
      <c r="Q100">
        <v>69</v>
      </c>
      <c r="R100">
        <f t="shared" si="8"/>
        <v>0.82771084337349399</v>
      </c>
      <c r="S100">
        <f t="shared" si="10"/>
        <v>1.1587951807228916</v>
      </c>
      <c r="T100">
        <f t="shared" si="11"/>
        <v>-1.1587951807228916</v>
      </c>
      <c r="U100">
        <f t="shared" si="14"/>
        <v>159.18951807228922</v>
      </c>
      <c r="W100">
        <v>623</v>
      </c>
      <c r="X100">
        <f t="shared" si="15"/>
        <v>52521.200000000004</v>
      </c>
      <c r="Y100">
        <v>9.310602106857564</v>
      </c>
    </row>
    <row r="101" spans="1:25" x14ac:dyDescent="0.25">
      <c r="A101">
        <v>6360</v>
      </c>
      <c r="B101">
        <v>24170</v>
      </c>
      <c r="C101" s="1">
        <v>43046</v>
      </c>
      <c r="F101" s="50"/>
      <c r="G101">
        <v>2.7</v>
      </c>
      <c r="H101">
        <v>-0.9</v>
      </c>
      <c r="I101">
        <v>8.9</v>
      </c>
      <c r="J101">
        <f t="shared" si="12"/>
        <v>931.60000000000048</v>
      </c>
      <c r="K101">
        <f t="shared" si="13"/>
        <v>931.60000000000048</v>
      </c>
      <c r="M101">
        <v>0.1</v>
      </c>
      <c r="N101">
        <v>1.2</v>
      </c>
      <c r="O101">
        <f t="shared" si="9"/>
        <v>-1.0999999999999999</v>
      </c>
      <c r="Q101">
        <v>70</v>
      </c>
      <c r="R101">
        <f t="shared" si="8"/>
        <v>0.83554216867469877</v>
      </c>
      <c r="S101">
        <f t="shared" si="10"/>
        <v>1.0026506024096384</v>
      </c>
      <c r="T101">
        <f t="shared" si="11"/>
        <v>-0.90265060240963846</v>
      </c>
      <c r="U101">
        <f t="shared" si="14"/>
        <v>158.28686746987958</v>
      </c>
      <c r="W101">
        <v>819.8</v>
      </c>
      <c r="X101">
        <f t="shared" si="15"/>
        <v>53341.000000000007</v>
      </c>
      <c r="Y101">
        <v>9.2612301899659535</v>
      </c>
    </row>
    <row r="102" spans="1:25" x14ac:dyDescent="0.25">
      <c r="A102">
        <v>6360</v>
      </c>
      <c r="B102">
        <v>24170</v>
      </c>
      <c r="C102" s="1">
        <v>43047</v>
      </c>
      <c r="F102" s="50"/>
      <c r="G102">
        <v>4.8</v>
      </c>
      <c r="H102">
        <v>-0.5</v>
      </c>
      <c r="I102">
        <v>6.7</v>
      </c>
      <c r="J102">
        <f t="shared" si="12"/>
        <v>936.40000000000043</v>
      </c>
      <c r="K102">
        <f t="shared" si="13"/>
        <v>936.40000000000043</v>
      </c>
      <c r="M102">
        <v>0</v>
      </c>
      <c r="N102">
        <v>0.3</v>
      </c>
      <c r="O102">
        <f t="shared" si="9"/>
        <v>-0.3</v>
      </c>
      <c r="Q102">
        <v>71</v>
      </c>
      <c r="R102">
        <f t="shared" si="8"/>
        <v>0.84337349397590367</v>
      </c>
      <c r="S102">
        <f t="shared" si="10"/>
        <v>0.25301204819277107</v>
      </c>
      <c r="T102">
        <f t="shared" si="11"/>
        <v>-0.25301204819277107</v>
      </c>
      <c r="U102">
        <f t="shared" si="14"/>
        <v>158.03385542168681</v>
      </c>
      <c r="W102">
        <v>281.10000000000002</v>
      </c>
      <c r="X102">
        <f t="shared" si="15"/>
        <v>53622.100000000006</v>
      </c>
      <c r="Y102">
        <v>9.2124955811606206</v>
      </c>
    </row>
    <row r="103" spans="1:25" x14ac:dyDescent="0.25">
      <c r="A103">
        <v>6360</v>
      </c>
      <c r="B103">
        <v>24170</v>
      </c>
      <c r="C103" s="1">
        <v>43048</v>
      </c>
      <c r="F103" s="50"/>
      <c r="G103">
        <v>7.4</v>
      </c>
      <c r="H103">
        <v>5.5</v>
      </c>
      <c r="I103">
        <v>9</v>
      </c>
      <c r="J103">
        <f t="shared" si="12"/>
        <v>943.80000000000041</v>
      </c>
      <c r="K103">
        <f t="shared" si="13"/>
        <v>943.80000000000041</v>
      </c>
      <c r="M103">
        <v>0.4</v>
      </c>
      <c r="N103">
        <v>0.6</v>
      </c>
      <c r="O103">
        <f t="shared" si="9"/>
        <v>-0.19999999999999996</v>
      </c>
      <c r="Q103">
        <v>72</v>
      </c>
      <c r="R103">
        <f t="shared" si="8"/>
        <v>0.85120481927710845</v>
      </c>
      <c r="S103">
        <f t="shared" si="10"/>
        <v>0.51072289156626505</v>
      </c>
      <c r="T103">
        <f t="shared" si="11"/>
        <v>-0.11072289156626502</v>
      </c>
      <c r="U103">
        <f t="shared" si="14"/>
        <v>157.92313253012054</v>
      </c>
      <c r="W103">
        <v>386.5</v>
      </c>
      <c r="X103">
        <f t="shared" si="15"/>
        <v>54008.600000000006</v>
      </c>
      <c r="Y103">
        <v>9.1644206642241581</v>
      </c>
    </row>
    <row r="104" spans="1:25" x14ac:dyDescent="0.25">
      <c r="A104">
        <v>6360</v>
      </c>
      <c r="B104">
        <v>24170</v>
      </c>
      <c r="C104" s="1">
        <v>43049</v>
      </c>
      <c r="F104" s="50"/>
      <c r="G104">
        <v>9.8000000000000007</v>
      </c>
      <c r="H104">
        <v>7.8</v>
      </c>
      <c r="I104">
        <v>11.1</v>
      </c>
      <c r="J104">
        <f t="shared" si="12"/>
        <v>953.60000000000036</v>
      </c>
      <c r="K104">
        <f t="shared" si="13"/>
        <v>953.60000000000036</v>
      </c>
      <c r="M104">
        <v>4</v>
      </c>
      <c r="N104">
        <v>0.4</v>
      </c>
      <c r="O104">
        <f t="shared" si="9"/>
        <v>3.6</v>
      </c>
      <c r="Q104">
        <v>73</v>
      </c>
      <c r="R104">
        <f t="shared" si="8"/>
        <v>0.85903614457831323</v>
      </c>
      <c r="S104">
        <f t="shared" si="10"/>
        <v>0.34361445783132533</v>
      </c>
      <c r="T104">
        <f t="shared" si="11"/>
        <v>3.6563855421686746</v>
      </c>
      <c r="U104">
        <f t="shared" si="14"/>
        <v>161.5795180722892</v>
      </c>
      <c r="W104">
        <v>105</v>
      </c>
      <c r="X104">
        <f t="shared" si="15"/>
        <v>54113.600000000006</v>
      </c>
      <c r="Y104">
        <v>9.1170281714122599</v>
      </c>
    </row>
    <row r="105" spans="1:25" x14ac:dyDescent="0.25">
      <c r="A105">
        <v>6360</v>
      </c>
      <c r="B105">
        <v>24170</v>
      </c>
      <c r="C105" s="1">
        <v>43050</v>
      </c>
      <c r="F105" s="50"/>
      <c r="G105">
        <v>10.6</v>
      </c>
      <c r="H105">
        <v>8.8000000000000007</v>
      </c>
      <c r="I105">
        <v>12.6</v>
      </c>
      <c r="J105">
        <f t="shared" si="12"/>
        <v>964.20000000000039</v>
      </c>
      <c r="K105">
        <f t="shared" si="13"/>
        <v>964.20000000000039</v>
      </c>
      <c r="M105">
        <v>11.3</v>
      </c>
      <c r="N105">
        <v>0.6</v>
      </c>
      <c r="O105">
        <f t="shared" si="9"/>
        <v>10.700000000000001</v>
      </c>
      <c r="Q105">
        <v>74</v>
      </c>
      <c r="R105">
        <f t="shared" ref="R105:R122" si="16">0.35+((Q105-8)/83)*(1-0.35)</f>
        <v>0.86686746987951813</v>
      </c>
      <c r="S105">
        <f t="shared" si="10"/>
        <v>0.52012048192771088</v>
      </c>
      <c r="T105">
        <f t="shared" si="11"/>
        <v>10.77987951807229</v>
      </c>
      <c r="U105">
        <f t="shared" si="14"/>
        <v>172.35939759036148</v>
      </c>
      <c r="W105">
        <v>141.30000000000001</v>
      </c>
      <c r="X105">
        <f t="shared" si="15"/>
        <v>54254.900000000009</v>
      </c>
      <c r="Y105">
        <v>9.0703411639067806</v>
      </c>
    </row>
    <row r="106" spans="1:25" x14ac:dyDescent="0.25">
      <c r="A106">
        <v>6360</v>
      </c>
      <c r="B106">
        <v>24170</v>
      </c>
      <c r="C106" s="1">
        <v>43051</v>
      </c>
      <c r="F106" s="50"/>
      <c r="G106">
        <v>8.3000000000000007</v>
      </c>
      <c r="H106">
        <v>5.4</v>
      </c>
      <c r="I106">
        <v>11</v>
      </c>
      <c r="J106">
        <f t="shared" si="12"/>
        <v>972.50000000000034</v>
      </c>
      <c r="K106">
        <f t="shared" si="13"/>
        <v>972.50000000000034</v>
      </c>
      <c r="M106">
        <v>7.6</v>
      </c>
      <c r="N106">
        <v>0.5</v>
      </c>
      <c r="O106">
        <f t="shared" si="9"/>
        <v>7.1</v>
      </c>
      <c r="Q106">
        <v>75</v>
      </c>
      <c r="R106">
        <f t="shared" si="16"/>
        <v>0.87469879518072291</v>
      </c>
      <c r="S106">
        <f t="shared" si="10"/>
        <v>0.43734939759036146</v>
      </c>
      <c r="T106">
        <f t="shared" si="11"/>
        <v>7.1626506024096379</v>
      </c>
      <c r="U106">
        <f t="shared" si="14"/>
        <v>179.3</v>
      </c>
      <c r="W106">
        <v>363.4</v>
      </c>
      <c r="X106">
        <f t="shared" si="15"/>
        <v>54618.30000000001</v>
      </c>
      <c r="Y106">
        <v>9.0243830101408076</v>
      </c>
    </row>
    <row r="107" spans="1:25" x14ac:dyDescent="0.25">
      <c r="A107">
        <v>6360</v>
      </c>
      <c r="B107">
        <v>24170</v>
      </c>
      <c r="C107" s="1">
        <v>43052</v>
      </c>
      <c r="D107" t="s">
        <v>36</v>
      </c>
      <c r="F107" s="50"/>
      <c r="G107">
        <v>6.2</v>
      </c>
      <c r="H107">
        <v>5.3</v>
      </c>
      <c r="I107">
        <v>8.3000000000000007</v>
      </c>
      <c r="J107">
        <f t="shared" si="12"/>
        <v>978.70000000000039</v>
      </c>
      <c r="K107">
        <f t="shared" si="13"/>
        <v>978.70000000000039</v>
      </c>
      <c r="M107">
        <v>0.1</v>
      </c>
      <c r="N107">
        <v>1</v>
      </c>
      <c r="O107">
        <f t="shared" si="9"/>
        <v>-0.9</v>
      </c>
      <c r="Q107">
        <v>76</v>
      </c>
      <c r="R107">
        <f t="shared" si="16"/>
        <v>0.88253012048192769</v>
      </c>
      <c r="S107">
        <f t="shared" si="10"/>
        <v>0.88253012048192769</v>
      </c>
      <c r="T107">
        <f t="shared" si="11"/>
        <v>-0.78253012048192772</v>
      </c>
      <c r="U107">
        <f t="shared" si="14"/>
        <v>178.51746987951807</v>
      </c>
      <c r="W107">
        <v>510.4</v>
      </c>
      <c r="X107">
        <f t="shared" si="15"/>
        <v>55128.700000000012</v>
      </c>
      <c r="Y107">
        <v>8.9791773619496489</v>
      </c>
    </row>
    <row r="108" spans="1:25" x14ac:dyDescent="0.25">
      <c r="A108">
        <v>6360</v>
      </c>
      <c r="B108">
        <v>24170</v>
      </c>
      <c r="C108" s="1">
        <v>43053</v>
      </c>
      <c r="F108" s="50"/>
      <c r="G108">
        <v>5.2</v>
      </c>
      <c r="H108">
        <v>0.8</v>
      </c>
      <c r="I108">
        <v>9.3000000000000007</v>
      </c>
      <c r="J108">
        <f t="shared" si="12"/>
        <v>983.90000000000043</v>
      </c>
      <c r="K108">
        <f t="shared" si="13"/>
        <v>983.90000000000043</v>
      </c>
      <c r="M108">
        <v>0</v>
      </c>
      <c r="N108">
        <v>0.7</v>
      </c>
      <c r="O108">
        <f t="shared" si="9"/>
        <v>-0.7</v>
      </c>
      <c r="Q108">
        <v>77</v>
      </c>
      <c r="R108">
        <f t="shared" si="16"/>
        <v>0.89036144578313259</v>
      </c>
      <c r="S108">
        <f t="shared" si="10"/>
        <v>0.62325301204819272</v>
      </c>
      <c r="T108">
        <f t="shared" si="11"/>
        <v>-0.62325301204819272</v>
      </c>
      <c r="U108">
        <f t="shared" si="14"/>
        <v>177.89421686746988</v>
      </c>
      <c r="W108">
        <v>492.6</v>
      </c>
      <c r="X108">
        <f t="shared" si="15"/>
        <v>55621.30000000001</v>
      </c>
      <c r="Y108">
        <v>8.9347481285092467</v>
      </c>
    </row>
    <row r="109" spans="1:25" x14ac:dyDescent="0.25">
      <c r="A109">
        <v>6360</v>
      </c>
      <c r="B109">
        <v>24170</v>
      </c>
      <c r="C109" s="1">
        <v>43054</v>
      </c>
      <c r="F109" s="50"/>
      <c r="G109">
        <v>6.1</v>
      </c>
      <c r="H109">
        <v>3.9</v>
      </c>
      <c r="I109">
        <v>7.9</v>
      </c>
      <c r="J109">
        <f t="shared" si="12"/>
        <v>990.00000000000045</v>
      </c>
      <c r="K109">
        <f t="shared" si="13"/>
        <v>990.00000000000045</v>
      </c>
      <c r="M109">
        <v>0</v>
      </c>
      <c r="N109">
        <v>0.5</v>
      </c>
      <c r="O109">
        <f t="shared" si="9"/>
        <v>-0.5</v>
      </c>
      <c r="Q109">
        <v>78</v>
      </c>
      <c r="R109">
        <f t="shared" si="16"/>
        <v>0.89819277108433737</v>
      </c>
      <c r="S109">
        <f t="shared" si="10"/>
        <v>0.44909638554216869</v>
      </c>
      <c r="T109">
        <f t="shared" si="11"/>
        <v>-0.44909638554216869</v>
      </c>
      <c r="U109">
        <f t="shared" si="14"/>
        <v>177.44512048192772</v>
      </c>
      <c r="W109">
        <v>172.2</v>
      </c>
      <c r="X109">
        <f t="shared" si="15"/>
        <v>55793.500000000007</v>
      </c>
      <c r="Y109">
        <v>8.8911194480325175</v>
      </c>
    </row>
    <row r="110" spans="1:25" x14ac:dyDescent="0.25">
      <c r="A110">
        <v>6360</v>
      </c>
      <c r="B110">
        <v>24170</v>
      </c>
      <c r="C110" s="1">
        <v>43055</v>
      </c>
      <c r="F110" s="50"/>
      <c r="G110">
        <v>7</v>
      </c>
      <c r="H110">
        <v>4.4000000000000004</v>
      </c>
      <c r="I110">
        <v>9.9</v>
      </c>
      <c r="J110">
        <f t="shared" si="12"/>
        <v>997.00000000000045</v>
      </c>
      <c r="K110">
        <f t="shared" si="13"/>
        <v>997.00000000000045</v>
      </c>
      <c r="M110">
        <v>1.4</v>
      </c>
      <c r="N110">
        <v>0.8</v>
      </c>
      <c r="O110">
        <f t="shared" si="9"/>
        <v>0.59999999999999987</v>
      </c>
      <c r="Q110">
        <v>79</v>
      </c>
      <c r="R110">
        <f t="shared" si="16"/>
        <v>0.90602409638554215</v>
      </c>
      <c r="S110">
        <f t="shared" si="10"/>
        <v>0.72481927710843375</v>
      </c>
      <c r="T110">
        <f t="shared" si="11"/>
        <v>0.67518072289156617</v>
      </c>
      <c r="U110">
        <f t="shared" si="14"/>
        <v>178.12030120481927</v>
      </c>
      <c r="W110">
        <v>366.1</v>
      </c>
      <c r="X110">
        <f t="shared" si="15"/>
        <v>56159.600000000006</v>
      </c>
      <c r="Y110">
        <v>8.8483156572041857</v>
      </c>
    </row>
    <row r="111" spans="1:25" x14ac:dyDescent="0.25">
      <c r="A111">
        <v>6360</v>
      </c>
      <c r="B111">
        <v>24170</v>
      </c>
      <c r="C111" s="1">
        <v>43056</v>
      </c>
      <c r="F111" s="50"/>
      <c r="G111">
        <v>7.4</v>
      </c>
      <c r="H111">
        <v>7.1</v>
      </c>
      <c r="I111">
        <v>9.1999999999999993</v>
      </c>
      <c r="J111">
        <f t="shared" si="12"/>
        <v>1004.4000000000004</v>
      </c>
      <c r="K111">
        <f t="shared" si="13"/>
        <v>1004.4000000000004</v>
      </c>
      <c r="M111">
        <v>0.5</v>
      </c>
      <c r="N111">
        <v>0.5</v>
      </c>
      <c r="O111">
        <f t="shared" si="9"/>
        <v>0</v>
      </c>
      <c r="Q111">
        <v>80</v>
      </c>
      <c r="R111">
        <f t="shared" si="16"/>
        <v>0.91385542168674705</v>
      </c>
      <c r="S111">
        <f t="shared" si="10"/>
        <v>0.45692771084337352</v>
      </c>
      <c r="T111">
        <f t="shared" si="11"/>
        <v>4.3072289156626475E-2</v>
      </c>
      <c r="U111">
        <f t="shared" si="14"/>
        <v>178.16337349397591</v>
      </c>
      <c r="W111">
        <v>157.30000000000001</v>
      </c>
      <c r="X111">
        <f t="shared" si="15"/>
        <v>56316.900000000009</v>
      </c>
      <c r="Y111">
        <v>8.8063612583456319</v>
      </c>
    </row>
    <row r="112" spans="1:25" x14ac:dyDescent="0.25">
      <c r="A112">
        <v>6360</v>
      </c>
      <c r="B112">
        <v>24170</v>
      </c>
      <c r="C112" s="1">
        <v>43057</v>
      </c>
      <c r="F112" s="50"/>
      <c r="G112">
        <v>5.4</v>
      </c>
      <c r="H112">
        <v>1.8</v>
      </c>
      <c r="I112">
        <v>7.7</v>
      </c>
      <c r="J112">
        <f t="shared" si="12"/>
        <v>1009.8000000000004</v>
      </c>
      <c r="K112">
        <f t="shared" si="13"/>
        <v>1009.8000000000004</v>
      </c>
      <c r="M112">
        <v>0.9</v>
      </c>
      <c r="N112">
        <v>0.3</v>
      </c>
      <c r="O112">
        <f t="shared" si="9"/>
        <v>0.60000000000000009</v>
      </c>
      <c r="Q112">
        <v>81</v>
      </c>
      <c r="R112">
        <f t="shared" si="16"/>
        <v>0.92168674698795172</v>
      </c>
      <c r="S112">
        <f t="shared" si="10"/>
        <v>0.27650602409638553</v>
      </c>
      <c r="T112">
        <f t="shared" si="11"/>
        <v>0.62349397590361444</v>
      </c>
      <c r="U112">
        <f t="shared" si="14"/>
        <v>178.78686746987952</v>
      </c>
      <c r="W112">
        <v>136.6</v>
      </c>
      <c r="X112">
        <f t="shared" si="15"/>
        <v>56453.500000000007</v>
      </c>
      <c r="Y112">
        <v>8.7652808843136132</v>
      </c>
    </row>
    <row r="113" spans="1:26" x14ac:dyDescent="0.25">
      <c r="A113">
        <v>6360</v>
      </c>
      <c r="B113">
        <v>24170</v>
      </c>
      <c r="C113" s="1">
        <v>43058</v>
      </c>
      <c r="F113" s="50"/>
      <c r="G113">
        <v>5.6</v>
      </c>
      <c r="H113">
        <v>2.6</v>
      </c>
      <c r="I113">
        <v>7.8</v>
      </c>
      <c r="J113">
        <f t="shared" si="12"/>
        <v>1015.4000000000004</v>
      </c>
      <c r="K113">
        <f t="shared" si="13"/>
        <v>1015.4000000000004</v>
      </c>
      <c r="M113">
        <v>0</v>
      </c>
      <c r="N113">
        <v>0.4</v>
      </c>
      <c r="O113">
        <f t="shared" si="9"/>
        <v>-0.4</v>
      </c>
      <c r="Q113">
        <v>82</v>
      </c>
      <c r="R113">
        <f t="shared" si="16"/>
        <v>0.92951807228915662</v>
      </c>
      <c r="S113">
        <f t="shared" si="10"/>
        <v>0.37180722891566265</v>
      </c>
      <c r="T113">
        <f t="shared" si="11"/>
        <v>-0.37180722891566265</v>
      </c>
      <c r="U113">
        <f t="shared" si="14"/>
        <v>178.41506024096387</v>
      </c>
      <c r="W113">
        <v>328.7</v>
      </c>
      <c r="X113">
        <f t="shared" si="15"/>
        <v>56782.200000000004</v>
      </c>
      <c r="Y113">
        <v>8.7250992611499942</v>
      </c>
    </row>
    <row r="114" spans="1:26" x14ac:dyDescent="0.25">
      <c r="A114">
        <v>6360</v>
      </c>
      <c r="B114">
        <v>24170</v>
      </c>
      <c r="C114" s="1">
        <v>43059</v>
      </c>
      <c r="F114" s="50"/>
      <c r="G114">
        <v>6.7</v>
      </c>
      <c r="H114">
        <v>2.7</v>
      </c>
      <c r="I114">
        <v>9</v>
      </c>
      <c r="J114">
        <f t="shared" si="12"/>
        <v>1022.1000000000005</v>
      </c>
      <c r="K114">
        <f t="shared" si="13"/>
        <v>1022.1000000000005</v>
      </c>
      <c r="M114">
        <v>0</v>
      </c>
      <c r="N114">
        <v>0.3</v>
      </c>
      <c r="O114">
        <f t="shared" si="9"/>
        <v>-0.3</v>
      </c>
      <c r="Q114">
        <v>83</v>
      </c>
      <c r="R114">
        <f t="shared" si="16"/>
        <v>0.93734939759036151</v>
      </c>
      <c r="S114">
        <f t="shared" si="10"/>
        <v>0.28120481927710844</v>
      </c>
      <c r="T114">
        <f t="shared" si="11"/>
        <v>-0.28120481927710844</v>
      </c>
      <c r="U114">
        <f t="shared" si="14"/>
        <v>178.13385542168675</v>
      </c>
      <c r="W114">
        <v>136.5</v>
      </c>
      <c r="X114">
        <f t="shared" si="15"/>
        <v>56918.700000000004</v>
      </c>
      <c r="Y114">
        <v>8.6858411685140968</v>
      </c>
    </row>
    <row r="115" spans="1:26" x14ac:dyDescent="0.25">
      <c r="A115">
        <v>6360</v>
      </c>
      <c r="B115">
        <v>24170</v>
      </c>
      <c r="C115" s="1">
        <v>43060</v>
      </c>
      <c r="F115" s="50"/>
      <c r="G115">
        <v>8.6</v>
      </c>
      <c r="H115">
        <v>7.5</v>
      </c>
      <c r="I115">
        <v>9.4</v>
      </c>
      <c r="J115">
        <f t="shared" si="12"/>
        <v>1030.7000000000005</v>
      </c>
      <c r="K115">
        <f t="shared" si="13"/>
        <v>1030.7000000000005</v>
      </c>
      <c r="M115">
        <v>0</v>
      </c>
      <c r="N115">
        <v>0.6</v>
      </c>
      <c r="O115">
        <f t="shared" si="9"/>
        <v>-0.6</v>
      </c>
      <c r="Q115">
        <v>84</v>
      </c>
      <c r="R115">
        <f t="shared" si="16"/>
        <v>0.94518072289156618</v>
      </c>
      <c r="S115">
        <f t="shared" si="10"/>
        <v>0.56710843373493969</v>
      </c>
      <c r="T115">
        <f t="shared" si="11"/>
        <v>-0.56710843373493969</v>
      </c>
      <c r="U115">
        <f t="shared" si="14"/>
        <v>177.5667469879518</v>
      </c>
      <c r="W115">
        <v>101.3</v>
      </c>
      <c r="X115">
        <f t="shared" si="15"/>
        <v>57020.000000000007</v>
      </c>
      <c r="Y115">
        <v>8.6475313979445811</v>
      </c>
    </row>
    <row r="116" spans="1:26" x14ac:dyDescent="0.25">
      <c r="A116">
        <v>6360</v>
      </c>
      <c r="B116">
        <v>24170</v>
      </c>
      <c r="C116" s="1">
        <v>43061</v>
      </c>
      <c r="F116" s="50"/>
      <c r="G116">
        <v>10.4</v>
      </c>
      <c r="H116">
        <v>8.1</v>
      </c>
      <c r="I116">
        <v>13.5</v>
      </c>
      <c r="J116">
        <f t="shared" si="12"/>
        <v>1041.1000000000006</v>
      </c>
      <c r="K116">
        <f t="shared" si="13"/>
        <v>1041.1000000000006</v>
      </c>
      <c r="M116">
        <v>0</v>
      </c>
      <c r="N116">
        <v>1.7</v>
      </c>
      <c r="O116">
        <f t="shared" si="9"/>
        <v>-1.7</v>
      </c>
      <c r="Q116">
        <v>85</v>
      </c>
      <c r="R116">
        <f t="shared" si="16"/>
        <v>0.95301204819277108</v>
      </c>
      <c r="S116">
        <f t="shared" si="10"/>
        <v>1.6201204819277109</v>
      </c>
      <c r="T116">
        <f t="shared" si="11"/>
        <v>-1.6201204819277109</v>
      </c>
      <c r="U116">
        <f t="shared" si="14"/>
        <v>175.9466265060241</v>
      </c>
      <c r="W116">
        <v>579.1</v>
      </c>
      <c r="X116">
        <f t="shared" si="15"/>
        <v>57599.100000000006</v>
      </c>
      <c r="Y116">
        <v>8.6101947090143653</v>
      </c>
    </row>
    <row r="117" spans="1:26" x14ac:dyDescent="0.25">
      <c r="A117">
        <v>6360</v>
      </c>
      <c r="B117">
        <v>24170</v>
      </c>
      <c r="C117" s="1">
        <v>43062</v>
      </c>
      <c r="F117" s="50"/>
      <c r="G117">
        <v>13.6</v>
      </c>
      <c r="H117">
        <v>11.1</v>
      </c>
      <c r="I117">
        <v>15.7</v>
      </c>
      <c r="J117">
        <f t="shared" si="12"/>
        <v>1054.7000000000005</v>
      </c>
      <c r="K117">
        <f t="shared" si="13"/>
        <v>1054.7000000000005</v>
      </c>
      <c r="M117">
        <v>6.2</v>
      </c>
      <c r="N117">
        <v>2</v>
      </c>
      <c r="O117">
        <f t="shared" si="9"/>
        <v>4.2</v>
      </c>
      <c r="Q117">
        <v>86</v>
      </c>
      <c r="R117">
        <f t="shared" si="16"/>
        <v>0.96084337349397597</v>
      </c>
      <c r="S117">
        <f t="shared" si="10"/>
        <v>1.9216867469879519</v>
      </c>
      <c r="T117">
        <f t="shared" si="11"/>
        <v>4.2783132530120485</v>
      </c>
      <c r="U117">
        <f t="shared" si="14"/>
        <v>179.3</v>
      </c>
      <c r="W117">
        <v>224.4</v>
      </c>
      <c r="X117">
        <f t="shared" si="15"/>
        <v>57823.500000000007</v>
      </c>
      <c r="Y117">
        <v>8.5738557834592068</v>
      </c>
    </row>
    <row r="118" spans="1:26" x14ac:dyDescent="0.25">
      <c r="A118">
        <v>6360</v>
      </c>
      <c r="B118">
        <v>24170</v>
      </c>
      <c r="C118" s="1">
        <v>43063</v>
      </c>
      <c r="F118" s="50"/>
      <c r="G118">
        <v>10.3</v>
      </c>
      <c r="H118">
        <v>9</v>
      </c>
      <c r="I118">
        <v>11.6</v>
      </c>
      <c r="J118">
        <f t="shared" si="12"/>
        <v>1065.0000000000005</v>
      </c>
      <c r="K118">
        <f t="shared" si="13"/>
        <v>1065.0000000000005</v>
      </c>
      <c r="M118">
        <v>1.3</v>
      </c>
      <c r="N118">
        <v>0.5</v>
      </c>
      <c r="O118">
        <f t="shared" si="9"/>
        <v>0.8</v>
      </c>
      <c r="Q118">
        <v>87</v>
      </c>
      <c r="R118">
        <f t="shared" si="16"/>
        <v>0.96867469879518064</v>
      </c>
      <c r="S118">
        <f t="shared" si="10"/>
        <v>0.48433734939759032</v>
      </c>
      <c r="T118">
        <f t="shared" si="11"/>
        <v>0.81566265060240972</v>
      </c>
      <c r="U118">
        <f t="shared" si="14"/>
        <v>179.3</v>
      </c>
      <c r="W118">
        <v>231.5</v>
      </c>
      <c r="X118">
        <f t="shared" si="15"/>
        <v>58055.000000000007</v>
      </c>
      <c r="Y118">
        <v>8.538539177378718</v>
      </c>
    </row>
    <row r="119" spans="1:26" x14ac:dyDescent="0.25">
      <c r="A119">
        <v>6360</v>
      </c>
      <c r="B119">
        <v>24170</v>
      </c>
      <c r="C119" s="1">
        <v>43064</v>
      </c>
      <c r="E119">
        <v>1</v>
      </c>
      <c r="F119" s="50"/>
      <c r="G119">
        <v>4.9000000000000004</v>
      </c>
      <c r="H119">
        <v>3.8</v>
      </c>
      <c r="I119">
        <v>6.2</v>
      </c>
      <c r="J119">
        <f t="shared" si="12"/>
        <v>1069.9000000000005</v>
      </c>
      <c r="K119">
        <f t="shared" si="13"/>
        <v>1069.9000000000005</v>
      </c>
      <c r="M119">
        <v>1.9</v>
      </c>
      <c r="N119">
        <v>0.4</v>
      </c>
      <c r="O119">
        <f t="shared" si="9"/>
        <v>1.5</v>
      </c>
      <c r="Q119">
        <v>88</v>
      </c>
      <c r="R119">
        <f t="shared" si="16"/>
        <v>0.97650602409638554</v>
      </c>
      <c r="S119">
        <f t="shared" si="10"/>
        <v>0.39060240963855425</v>
      </c>
      <c r="T119">
        <f t="shared" si="11"/>
        <v>1.5093975903614456</v>
      </c>
      <c r="U119">
        <f t="shared" si="14"/>
        <v>179.3</v>
      </c>
      <c r="W119">
        <v>217.2</v>
      </c>
      <c r="X119">
        <f t="shared" si="15"/>
        <v>58272.200000000004</v>
      </c>
      <c r="Y119">
        <v>8.5042692716272921</v>
      </c>
    </row>
    <row r="120" spans="1:26" x14ac:dyDescent="0.25">
      <c r="A120">
        <v>6360</v>
      </c>
      <c r="B120">
        <v>24170</v>
      </c>
      <c r="C120" s="1">
        <v>43065</v>
      </c>
      <c r="E120">
        <v>2</v>
      </c>
      <c r="F120" s="50"/>
      <c r="G120">
        <v>4.4000000000000004</v>
      </c>
      <c r="H120">
        <v>0.7</v>
      </c>
      <c r="I120">
        <v>7.3</v>
      </c>
      <c r="J120">
        <f t="shared" si="12"/>
        <v>1074.3000000000006</v>
      </c>
      <c r="K120">
        <f t="shared" si="13"/>
        <v>1074.3000000000006</v>
      </c>
      <c r="M120">
        <v>0.2</v>
      </c>
      <c r="N120">
        <v>0.6</v>
      </c>
      <c r="O120">
        <f t="shared" si="9"/>
        <v>-0.39999999999999997</v>
      </c>
      <c r="Q120">
        <v>89</v>
      </c>
      <c r="R120">
        <f t="shared" si="16"/>
        <v>0.98433734939759043</v>
      </c>
      <c r="S120">
        <f t="shared" si="10"/>
        <v>0.59060240963855426</v>
      </c>
      <c r="T120">
        <f t="shared" si="11"/>
        <v>-0.39060240963855425</v>
      </c>
      <c r="U120">
        <f t="shared" si="14"/>
        <v>178.90939759036146</v>
      </c>
      <c r="W120">
        <v>502.8</v>
      </c>
      <c r="X120">
        <f t="shared" si="15"/>
        <v>58775.000000000007</v>
      </c>
      <c r="Y120">
        <v>8.4710702205314785</v>
      </c>
    </row>
    <row r="121" spans="1:26" x14ac:dyDescent="0.25">
      <c r="A121">
        <v>6360</v>
      </c>
      <c r="B121">
        <v>24170</v>
      </c>
      <c r="C121" s="1">
        <v>43066</v>
      </c>
      <c r="F121" s="50"/>
      <c r="G121">
        <v>6.8</v>
      </c>
      <c r="H121">
        <v>4.5999999999999996</v>
      </c>
      <c r="I121">
        <v>7.7</v>
      </c>
      <c r="J121">
        <f t="shared" si="12"/>
        <v>1081.1000000000006</v>
      </c>
      <c r="K121">
        <f t="shared" si="13"/>
        <v>1081.1000000000006</v>
      </c>
      <c r="M121">
        <v>16.7</v>
      </c>
      <c r="N121">
        <v>0.5</v>
      </c>
      <c r="O121">
        <f t="shared" si="9"/>
        <v>16.2</v>
      </c>
      <c r="Q121">
        <v>90</v>
      </c>
      <c r="R121">
        <f t="shared" si="16"/>
        <v>0.99216867469879511</v>
      </c>
      <c r="S121">
        <f t="shared" si="10"/>
        <v>0.49608433734939755</v>
      </c>
      <c r="T121">
        <f t="shared" si="11"/>
        <v>16.203915662650601</v>
      </c>
      <c r="U121">
        <f t="shared" si="14"/>
        <v>179.3</v>
      </c>
      <c r="W121">
        <v>166.7</v>
      </c>
      <c r="X121">
        <f t="shared" si="15"/>
        <v>58941.700000000004</v>
      </c>
      <c r="Y121">
        <v>8.4389658990899665</v>
      </c>
    </row>
    <row r="122" spans="1:26" s="6" customFormat="1" ht="15.75" thickBot="1" x14ac:dyDescent="0.3">
      <c r="A122" s="6">
        <v>6360</v>
      </c>
      <c r="B122" s="6">
        <v>24170</v>
      </c>
      <c r="C122" s="7">
        <v>43067</v>
      </c>
      <c r="F122" s="51"/>
      <c r="G122" s="6">
        <v>5.6</v>
      </c>
      <c r="H122" s="6">
        <v>4.3</v>
      </c>
      <c r="I122" s="6">
        <v>9.1999999999999993</v>
      </c>
      <c r="J122" s="6">
        <f t="shared" si="12"/>
        <v>1086.7000000000005</v>
      </c>
      <c r="K122" s="6">
        <f t="shared" si="13"/>
        <v>1086.7000000000005</v>
      </c>
      <c r="M122" s="6">
        <v>2.7</v>
      </c>
      <c r="N122" s="6">
        <v>0.9</v>
      </c>
      <c r="O122" s="6">
        <f t="shared" si="9"/>
        <v>1.8000000000000003</v>
      </c>
      <c r="Q122" s="6">
        <v>91</v>
      </c>
      <c r="R122" s="6">
        <f t="shared" si="16"/>
        <v>1</v>
      </c>
      <c r="S122" s="6">
        <f t="shared" si="10"/>
        <v>0.9</v>
      </c>
      <c r="T122" s="6">
        <f t="shared" si="11"/>
        <v>1.8000000000000003</v>
      </c>
      <c r="U122" s="6">
        <f t="shared" si="14"/>
        <v>179.3</v>
      </c>
      <c r="W122" s="6">
        <v>474.4</v>
      </c>
      <c r="X122" s="6">
        <f t="shared" si="15"/>
        <v>59416.100000000006</v>
      </c>
      <c r="Y122" s="6">
        <v>8.4079798488317667</v>
      </c>
    </row>
    <row r="123" spans="1:26" x14ac:dyDescent="0.25">
      <c r="A123">
        <v>6360</v>
      </c>
      <c r="B123">
        <v>24170</v>
      </c>
      <c r="C123" s="1">
        <v>43068</v>
      </c>
      <c r="D123" t="s">
        <v>32</v>
      </c>
      <c r="E123">
        <v>3</v>
      </c>
      <c r="F123" s="46" t="s">
        <v>59</v>
      </c>
      <c r="G123">
        <v>2.8</v>
      </c>
      <c r="H123">
        <v>0.1</v>
      </c>
      <c r="I123">
        <v>5.3</v>
      </c>
      <c r="J123">
        <f t="shared" si="12"/>
        <v>1089.5000000000005</v>
      </c>
      <c r="K123">
        <f>G123</f>
        <v>2.8</v>
      </c>
      <c r="L123" s="17" t="s">
        <v>38</v>
      </c>
      <c r="M123">
        <v>0.2</v>
      </c>
      <c r="N123">
        <v>0.2</v>
      </c>
      <c r="O123">
        <f t="shared" si="9"/>
        <v>0</v>
      </c>
      <c r="Q123">
        <v>92</v>
      </c>
      <c r="R123">
        <v>1</v>
      </c>
      <c r="S123">
        <f t="shared" si="10"/>
        <v>0.2</v>
      </c>
      <c r="T123">
        <f t="shared" si="11"/>
        <v>0</v>
      </c>
      <c r="U123">
        <f t="shared" si="14"/>
        <v>179.3</v>
      </c>
      <c r="V123" s="18" t="s">
        <v>45</v>
      </c>
      <c r="W123">
        <v>309.3</v>
      </c>
      <c r="X123">
        <f>W123</f>
        <v>309.3</v>
      </c>
      <c r="Y123">
        <v>8.3781352225277033</v>
      </c>
      <c r="Z123" s="18" t="s">
        <v>50</v>
      </c>
    </row>
    <row r="124" spans="1:26" x14ac:dyDescent="0.25">
      <c r="A124">
        <v>6360</v>
      </c>
      <c r="B124">
        <v>24170</v>
      </c>
      <c r="C124" s="1">
        <v>43069</v>
      </c>
      <c r="E124">
        <v>4</v>
      </c>
      <c r="F124" s="47"/>
      <c r="G124">
        <v>2.8</v>
      </c>
      <c r="H124">
        <v>1.8</v>
      </c>
      <c r="I124">
        <v>4</v>
      </c>
      <c r="J124">
        <f t="shared" si="12"/>
        <v>1092.3000000000004</v>
      </c>
      <c r="K124">
        <f t="shared" si="13"/>
        <v>5.6</v>
      </c>
      <c r="L124" s="12">
        <v>451.3</v>
      </c>
      <c r="M124">
        <v>0.3</v>
      </c>
      <c r="N124">
        <v>0.6</v>
      </c>
      <c r="O124">
        <f t="shared" si="9"/>
        <v>-0.3</v>
      </c>
      <c r="Q124">
        <v>93</v>
      </c>
      <c r="R124">
        <v>1</v>
      </c>
      <c r="S124">
        <f t="shared" si="10"/>
        <v>0.6</v>
      </c>
      <c r="T124">
        <f t="shared" si="11"/>
        <v>-0.3</v>
      </c>
      <c r="U124">
        <f t="shared" si="14"/>
        <v>179</v>
      </c>
      <c r="V124">
        <v>0</v>
      </c>
      <c r="W124">
        <v>595.29999999999995</v>
      </c>
      <c r="X124">
        <f t="shared" si="15"/>
        <v>904.59999999999991</v>
      </c>
      <c r="Y124">
        <v>8.3494547279693325</v>
      </c>
      <c r="Z124">
        <v>32348.2</v>
      </c>
    </row>
    <row r="125" spans="1:26" x14ac:dyDescent="0.25">
      <c r="A125">
        <v>6360</v>
      </c>
      <c r="B125">
        <v>24170</v>
      </c>
      <c r="C125" s="1">
        <v>43070</v>
      </c>
      <c r="E125">
        <v>5</v>
      </c>
      <c r="F125" s="47"/>
      <c r="G125">
        <v>1.5</v>
      </c>
      <c r="H125">
        <v>1</v>
      </c>
      <c r="I125">
        <v>2.7</v>
      </c>
      <c r="J125">
        <f t="shared" si="12"/>
        <v>1093.8000000000004</v>
      </c>
      <c r="K125">
        <f t="shared" si="13"/>
        <v>7.1</v>
      </c>
      <c r="L125" s="17" t="s">
        <v>39</v>
      </c>
      <c r="M125">
        <v>0.1</v>
      </c>
      <c r="N125">
        <v>0.4</v>
      </c>
      <c r="O125">
        <f t="shared" si="9"/>
        <v>-0.30000000000000004</v>
      </c>
      <c r="Q125">
        <v>94</v>
      </c>
      <c r="R125">
        <v>1</v>
      </c>
      <c r="S125">
        <f t="shared" si="10"/>
        <v>0.4</v>
      </c>
      <c r="T125">
        <f t="shared" si="11"/>
        <v>-0.30000000000000004</v>
      </c>
      <c r="U125">
        <f t="shared" si="14"/>
        <v>178.7</v>
      </c>
      <c r="V125" s="18" t="s">
        <v>46</v>
      </c>
      <c r="W125">
        <v>190</v>
      </c>
      <c r="X125">
        <f t="shared" si="15"/>
        <v>1094.5999999999999</v>
      </c>
      <c r="Y125">
        <v>8.3219605710478763</v>
      </c>
      <c r="Z125" s="18" t="s">
        <v>51</v>
      </c>
    </row>
    <row r="126" spans="1:26" x14ac:dyDescent="0.25">
      <c r="A126">
        <v>6360</v>
      </c>
      <c r="B126">
        <v>24170</v>
      </c>
      <c r="C126" s="1">
        <v>43071</v>
      </c>
      <c r="E126">
        <v>6</v>
      </c>
      <c r="F126" s="47"/>
      <c r="G126">
        <v>-0.3</v>
      </c>
      <c r="H126">
        <v>-0.4</v>
      </c>
      <c r="I126">
        <v>0.4</v>
      </c>
      <c r="J126">
        <v>1093.8</v>
      </c>
      <c r="K126">
        <v>7.1</v>
      </c>
      <c r="L126" s="13">
        <f>AVERAGE(G123:G216)</f>
        <v>4.5670212765957432</v>
      </c>
      <c r="M126">
        <v>0</v>
      </c>
      <c r="N126">
        <v>0.4</v>
      </c>
      <c r="O126">
        <f t="shared" si="9"/>
        <v>-0.4</v>
      </c>
      <c r="Q126">
        <v>95</v>
      </c>
      <c r="R126">
        <v>1</v>
      </c>
      <c r="S126">
        <f t="shared" si="10"/>
        <v>0.4</v>
      </c>
      <c r="T126">
        <f t="shared" si="11"/>
        <v>-0.4</v>
      </c>
      <c r="U126">
        <f t="shared" si="14"/>
        <v>178.29999999999998</v>
      </c>
      <c r="V126">
        <v>0</v>
      </c>
      <c r="W126">
        <v>250.3</v>
      </c>
      <c r="X126">
        <f t="shared" si="15"/>
        <v>1344.8999999999999</v>
      </c>
      <c r="Y126">
        <v>8.2956743983831736</v>
      </c>
      <c r="Z126">
        <f>(Z124/100)/L124</f>
        <v>0.71677819632173723</v>
      </c>
    </row>
    <row r="127" spans="1:26" x14ac:dyDescent="0.25">
      <c r="A127">
        <v>6360</v>
      </c>
      <c r="B127">
        <v>24170</v>
      </c>
      <c r="C127" s="1">
        <v>43072</v>
      </c>
      <c r="E127">
        <v>7</v>
      </c>
      <c r="F127" s="47"/>
      <c r="G127">
        <v>0.4</v>
      </c>
      <c r="H127">
        <v>-1.8</v>
      </c>
      <c r="I127">
        <v>3.8</v>
      </c>
      <c r="J127">
        <f t="shared" si="12"/>
        <v>1094.2</v>
      </c>
      <c r="K127">
        <f t="shared" si="13"/>
        <v>7.5</v>
      </c>
      <c r="L127" s="17" t="s">
        <v>40</v>
      </c>
      <c r="M127">
        <v>0.7</v>
      </c>
      <c r="N127">
        <v>0.3</v>
      </c>
      <c r="O127">
        <f t="shared" si="9"/>
        <v>0.39999999999999997</v>
      </c>
      <c r="Q127">
        <v>96</v>
      </c>
      <c r="R127">
        <v>1</v>
      </c>
      <c r="S127">
        <f t="shared" si="10"/>
        <v>0.3</v>
      </c>
      <c r="T127">
        <f t="shared" si="11"/>
        <v>0.39999999999999997</v>
      </c>
      <c r="U127">
        <f t="shared" si="14"/>
        <v>178.7</v>
      </c>
      <c r="V127" s="18" t="s">
        <v>47</v>
      </c>
      <c r="W127">
        <v>96.2</v>
      </c>
      <c r="X127">
        <f t="shared" si="15"/>
        <v>1441.1</v>
      </c>
      <c r="Y127">
        <v>8.2706172397690629</v>
      </c>
      <c r="Z127" s="18" t="s">
        <v>52</v>
      </c>
    </row>
    <row r="128" spans="1:26" x14ac:dyDescent="0.25">
      <c r="A128">
        <v>6360</v>
      </c>
      <c r="B128">
        <v>24170</v>
      </c>
      <c r="C128" s="1">
        <v>43073</v>
      </c>
      <c r="F128" s="47"/>
      <c r="G128">
        <v>5.4</v>
      </c>
      <c r="H128">
        <v>2</v>
      </c>
      <c r="I128">
        <v>6.9</v>
      </c>
      <c r="J128">
        <f t="shared" si="12"/>
        <v>1099.6000000000001</v>
      </c>
      <c r="K128">
        <f t="shared" si="13"/>
        <v>12.9</v>
      </c>
      <c r="L128" s="14">
        <f>MIN(H123:H216)</f>
        <v>-9.1999999999999993</v>
      </c>
      <c r="M128">
        <v>0</v>
      </c>
      <c r="N128">
        <v>0.2</v>
      </c>
      <c r="O128">
        <f t="shared" si="9"/>
        <v>-0.2</v>
      </c>
      <c r="Q128">
        <v>97</v>
      </c>
      <c r="R128">
        <v>1</v>
      </c>
      <c r="S128">
        <f t="shared" si="10"/>
        <v>0.2</v>
      </c>
      <c r="T128">
        <f t="shared" si="11"/>
        <v>-0.2</v>
      </c>
      <c r="U128">
        <f t="shared" si="14"/>
        <v>178.5</v>
      </c>
      <c r="V128" s="2">
        <f>MIN(U123:U216)</f>
        <v>164.90000000000003</v>
      </c>
      <c r="W128">
        <v>180</v>
      </c>
      <c r="X128">
        <f t="shared" si="15"/>
        <v>1621.1</v>
      </c>
      <c r="Y128">
        <v>8.2468094507162988</v>
      </c>
      <c r="Z128">
        <v>84</v>
      </c>
    </row>
    <row r="129" spans="1:26" x14ac:dyDescent="0.25">
      <c r="A129">
        <v>6360</v>
      </c>
      <c r="B129">
        <v>24170</v>
      </c>
      <c r="C129" s="1">
        <v>43074</v>
      </c>
      <c r="E129">
        <v>8</v>
      </c>
      <c r="F129" s="47"/>
      <c r="G129">
        <v>4.5</v>
      </c>
      <c r="H129">
        <v>0.8</v>
      </c>
      <c r="I129">
        <v>6.2</v>
      </c>
      <c r="J129">
        <f t="shared" si="12"/>
        <v>1104.1000000000001</v>
      </c>
      <c r="K129">
        <f t="shared" si="13"/>
        <v>17.399999999999999</v>
      </c>
      <c r="L129" s="17" t="s">
        <v>41</v>
      </c>
      <c r="M129">
        <v>0</v>
      </c>
      <c r="N129">
        <v>0.2</v>
      </c>
      <c r="O129">
        <f t="shared" si="9"/>
        <v>-0.2</v>
      </c>
      <c r="Q129">
        <v>98</v>
      </c>
      <c r="R129">
        <v>1</v>
      </c>
      <c r="S129">
        <f t="shared" si="10"/>
        <v>0.2</v>
      </c>
      <c r="T129">
        <f t="shared" si="11"/>
        <v>-0.2</v>
      </c>
      <c r="U129">
        <f t="shared" si="14"/>
        <v>178.3</v>
      </c>
      <c r="V129" s="18" t="s">
        <v>48</v>
      </c>
      <c r="W129">
        <v>80.7</v>
      </c>
      <c r="X129">
        <f t="shared" si="15"/>
        <v>1701.8</v>
      </c>
      <c r="Y129">
        <v>8.2242706553872402</v>
      </c>
      <c r="Z129" t="s">
        <v>53</v>
      </c>
    </row>
    <row r="130" spans="1:26" x14ac:dyDescent="0.25">
      <c r="A130">
        <v>6360</v>
      </c>
      <c r="B130">
        <v>24170</v>
      </c>
      <c r="C130" s="1">
        <v>43075</v>
      </c>
      <c r="F130" s="47"/>
      <c r="G130">
        <v>5.0999999999999996</v>
      </c>
      <c r="H130">
        <v>4.2</v>
      </c>
      <c r="I130">
        <v>6.1</v>
      </c>
      <c r="J130">
        <f t="shared" si="12"/>
        <v>1109.2</v>
      </c>
      <c r="K130">
        <f t="shared" si="13"/>
        <v>22.5</v>
      </c>
      <c r="L130" s="12">
        <f>MAX(I123:I216)</f>
        <v>14.7</v>
      </c>
      <c r="M130">
        <v>0</v>
      </c>
      <c r="N130">
        <v>0.3</v>
      </c>
      <c r="O130">
        <f t="shared" si="9"/>
        <v>-0.3</v>
      </c>
      <c r="Q130">
        <v>99</v>
      </c>
      <c r="R130">
        <v>1</v>
      </c>
      <c r="S130">
        <f t="shared" si="10"/>
        <v>0.3</v>
      </c>
      <c r="T130">
        <f t="shared" si="11"/>
        <v>-0.3</v>
      </c>
      <c r="U130">
        <f t="shared" si="14"/>
        <v>178</v>
      </c>
      <c r="V130" s="2">
        <f>MAX(U123:U216)</f>
        <v>179.3</v>
      </c>
      <c r="W130">
        <v>88.3</v>
      </c>
      <c r="X130">
        <f t="shared" si="15"/>
        <v>1790.1</v>
      </c>
      <c r="Y130">
        <v>8.2030196902273147</v>
      </c>
      <c r="Z130">
        <v>24</v>
      </c>
    </row>
    <row r="131" spans="1:26" x14ac:dyDescent="0.25">
      <c r="A131">
        <v>6360</v>
      </c>
      <c r="B131">
        <v>24170</v>
      </c>
      <c r="C131" s="1">
        <v>43076</v>
      </c>
      <c r="E131">
        <v>9</v>
      </c>
      <c r="F131" s="47"/>
      <c r="G131">
        <v>4.9000000000000004</v>
      </c>
      <c r="H131">
        <v>2.4</v>
      </c>
      <c r="I131">
        <v>8.3000000000000007</v>
      </c>
      <c r="J131">
        <f t="shared" si="12"/>
        <v>1114.1000000000001</v>
      </c>
      <c r="K131">
        <f t="shared" si="13"/>
        <v>27.4</v>
      </c>
      <c r="L131" s="17" t="s">
        <v>42</v>
      </c>
      <c r="M131">
        <v>6.6</v>
      </c>
      <c r="N131">
        <v>0.8</v>
      </c>
      <c r="O131">
        <f t="shared" si="9"/>
        <v>5.8</v>
      </c>
      <c r="Q131">
        <v>100</v>
      </c>
      <c r="R131">
        <v>1</v>
      </c>
      <c r="S131">
        <f t="shared" si="10"/>
        <v>0.8</v>
      </c>
      <c r="T131">
        <f t="shared" si="11"/>
        <v>5.8</v>
      </c>
      <c r="U131">
        <f t="shared" si="14"/>
        <v>179.3</v>
      </c>
      <c r="V131" s="18" t="s">
        <v>49</v>
      </c>
      <c r="W131">
        <v>128.69999999999999</v>
      </c>
      <c r="X131">
        <f t="shared" si="15"/>
        <v>1918.8</v>
      </c>
      <c r="Y131">
        <v>8.1830745486070811</v>
      </c>
    </row>
    <row r="132" spans="1:26" x14ac:dyDescent="0.25">
      <c r="A132">
        <v>6360</v>
      </c>
      <c r="B132">
        <v>24170</v>
      </c>
      <c r="C132" s="1">
        <v>43077</v>
      </c>
      <c r="E132">
        <v>10</v>
      </c>
      <c r="F132" s="47"/>
      <c r="G132">
        <v>3.3</v>
      </c>
      <c r="H132">
        <v>1.8</v>
      </c>
      <c r="I132">
        <v>4.0999999999999996</v>
      </c>
      <c r="J132">
        <f t="shared" si="12"/>
        <v>1117.4000000000001</v>
      </c>
      <c r="K132">
        <f t="shared" si="13"/>
        <v>30.7</v>
      </c>
      <c r="L132" s="12">
        <v>0</v>
      </c>
      <c r="M132">
        <v>0.5</v>
      </c>
      <c r="N132">
        <v>0.4</v>
      </c>
      <c r="O132">
        <f t="shared" si="9"/>
        <v>9.9999999999999978E-2</v>
      </c>
      <c r="Q132">
        <v>101</v>
      </c>
      <c r="R132">
        <v>1</v>
      </c>
      <c r="S132">
        <f t="shared" si="10"/>
        <v>0.4</v>
      </c>
      <c r="T132">
        <f t="shared" si="11"/>
        <v>9.9999999999999978E-2</v>
      </c>
      <c r="U132">
        <f t="shared" si="14"/>
        <v>179.3</v>
      </c>
      <c r="V132" s="2">
        <f>AVERAGE(U123:U216)</f>
        <v>177.98085106382968</v>
      </c>
      <c r="W132">
        <v>206.3</v>
      </c>
      <c r="X132">
        <f t="shared" si="15"/>
        <v>2125.1</v>
      </c>
      <c r="Y132">
        <v>8.1644523267944091</v>
      </c>
    </row>
    <row r="133" spans="1:26" x14ac:dyDescent="0.25">
      <c r="A133">
        <v>6360</v>
      </c>
      <c r="B133">
        <v>24170</v>
      </c>
      <c r="C133" s="1">
        <v>43078</v>
      </c>
      <c r="E133">
        <v>11</v>
      </c>
      <c r="F133" s="47"/>
      <c r="G133">
        <v>1.8</v>
      </c>
      <c r="H133">
        <v>-0.9</v>
      </c>
      <c r="I133">
        <v>4.0999999999999996</v>
      </c>
      <c r="J133">
        <f t="shared" si="12"/>
        <v>1119.2</v>
      </c>
      <c r="K133">
        <f t="shared" si="13"/>
        <v>32.5</v>
      </c>
      <c r="L133" s="17" t="s">
        <v>43</v>
      </c>
      <c r="M133">
        <v>5.2</v>
      </c>
      <c r="N133">
        <v>0.4</v>
      </c>
      <c r="O133">
        <f t="shared" ref="O133:O196" si="17">M133-N133</f>
        <v>4.8</v>
      </c>
      <c r="Q133">
        <v>102</v>
      </c>
      <c r="R133">
        <v>1</v>
      </c>
      <c r="S133">
        <f t="shared" ref="S133:S196" si="18">R133*N133</f>
        <v>0.4</v>
      </c>
      <c r="T133">
        <f t="shared" ref="T133:T196" si="19">M133-S133</f>
        <v>4.8</v>
      </c>
      <c r="U133">
        <f t="shared" si="14"/>
        <v>179.3</v>
      </c>
      <c r="W133">
        <v>479.8</v>
      </c>
      <c r="X133">
        <f t="shared" si="15"/>
        <v>2604.9</v>
      </c>
      <c r="Y133">
        <v>8.1471691715797441</v>
      </c>
    </row>
    <row r="134" spans="1:26" x14ac:dyDescent="0.25">
      <c r="A134">
        <v>6360</v>
      </c>
      <c r="B134">
        <v>24170</v>
      </c>
      <c r="C134" s="1">
        <v>43079</v>
      </c>
      <c r="F134" s="47"/>
      <c r="G134">
        <v>5.9</v>
      </c>
      <c r="H134">
        <v>0.8</v>
      </c>
      <c r="I134">
        <v>10.1</v>
      </c>
      <c r="J134">
        <f t="shared" si="12"/>
        <v>1125.1000000000001</v>
      </c>
      <c r="K134">
        <f t="shared" si="13"/>
        <v>38.4</v>
      </c>
      <c r="L134" s="12">
        <v>45</v>
      </c>
      <c r="M134">
        <v>22.9</v>
      </c>
      <c r="N134">
        <v>0.8</v>
      </c>
      <c r="O134">
        <f t="shared" si="17"/>
        <v>22.099999999999998</v>
      </c>
      <c r="Q134">
        <v>103</v>
      </c>
      <c r="R134">
        <v>1</v>
      </c>
      <c r="S134">
        <f t="shared" si="18"/>
        <v>0.8</v>
      </c>
      <c r="T134">
        <f t="shared" si="19"/>
        <v>22.099999999999998</v>
      </c>
      <c r="U134">
        <f t="shared" si="14"/>
        <v>179.3</v>
      </c>
      <c r="V134" s="16">
        <f>(V132*100)/179.3</f>
        <v>99.264278340116945</v>
      </c>
      <c r="W134">
        <v>292.39999999999998</v>
      </c>
      <c r="X134">
        <f t="shared" si="15"/>
        <v>2897.3</v>
      </c>
      <c r="Y134">
        <v>8.1312402298772302</v>
      </c>
    </row>
    <row r="135" spans="1:26" x14ac:dyDescent="0.25">
      <c r="A135">
        <v>6360</v>
      </c>
      <c r="B135">
        <v>24170</v>
      </c>
      <c r="C135" s="1">
        <v>43080</v>
      </c>
      <c r="F135" s="47"/>
      <c r="G135">
        <v>5.8</v>
      </c>
      <c r="H135">
        <v>2.5</v>
      </c>
      <c r="I135">
        <v>8.1999999999999993</v>
      </c>
      <c r="J135">
        <f t="shared" si="12"/>
        <v>1130.9000000000001</v>
      </c>
      <c r="K135">
        <f t="shared" si="13"/>
        <v>44.199999999999996</v>
      </c>
      <c r="L135" s="17" t="s">
        <v>44</v>
      </c>
      <c r="M135">
        <v>2.7</v>
      </c>
      <c r="N135">
        <v>0.3</v>
      </c>
      <c r="O135">
        <f t="shared" si="17"/>
        <v>2.4000000000000004</v>
      </c>
      <c r="Q135">
        <v>104</v>
      </c>
      <c r="R135">
        <v>1</v>
      </c>
      <c r="S135">
        <f t="shared" si="18"/>
        <v>0.3</v>
      </c>
      <c r="T135">
        <f t="shared" si="19"/>
        <v>2.4000000000000004</v>
      </c>
      <c r="U135">
        <f t="shared" si="14"/>
        <v>179.3</v>
      </c>
      <c r="W135">
        <v>74.900000000000006</v>
      </c>
      <c r="X135">
        <f t="shared" si="15"/>
        <v>2972.2000000000003</v>
      </c>
      <c r="Y135">
        <v>8.1166796006216018</v>
      </c>
    </row>
    <row r="136" spans="1:26" x14ac:dyDescent="0.25">
      <c r="A136">
        <v>6360</v>
      </c>
      <c r="B136">
        <v>24170</v>
      </c>
      <c r="C136" s="1">
        <v>43081</v>
      </c>
      <c r="E136">
        <v>12</v>
      </c>
      <c r="F136" s="47"/>
      <c r="G136">
        <v>2.6</v>
      </c>
      <c r="H136">
        <v>0.5</v>
      </c>
      <c r="I136">
        <v>4.9000000000000004</v>
      </c>
      <c r="J136">
        <f t="shared" si="12"/>
        <v>1133.5</v>
      </c>
      <c r="K136">
        <f t="shared" si="13"/>
        <v>46.8</v>
      </c>
      <c r="L136" s="12">
        <v>21</v>
      </c>
      <c r="M136">
        <v>0.6</v>
      </c>
      <c r="N136">
        <v>0.5</v>
      </c>
      <c r="O136">
        <f t="shared" si="17"/>
        <v>9.9999999999999978E-2</v>
      </c>
      <c r="Q136">
        <v>105</v>
      </c>
      <c r="R136">
        <v>1</v>
      </c>
      <c r="S136">
        <f t="shared" si="18"/>
        <v>0.5</v>
      </c>
      <c r="T136">
        <f t="shared" si="19"/>
        <v>9.9999999999999978E-2</v>
      </c>
      <c r="U136">
        <f t="shared" si="14"/>
        <v>179.3</v>
      </c>
      <c r="W136">
        <v>425.6</v>
      </c>
      <c r="X136">
        <f t="shared" si="15"/>
        <v>3397.8</v>
      </c>
      <c r="Y136">
        <v>8.1035002892741854</v>
      </c>
    </row>
    <row r="137" spans="1:26" x14ac:dyDescent="0.25">
      <c r="A137">
        <v>6360</v>
      </c>
      <c r="B137">
        <v>24170</v>
      </c>
      <c r="C137" s="1">
        <v>43082</v>
      </c>
      <c r="F137" s="47"/>
      <c r="G137">
        <v>6.7</v>
      </c>
      <c r="H137">
        <v>2.6</v>
      </c>
      <c r="I137">
        <v>8.6</v>
      </c>
      <c r="J137">
        <f t="shared" si="12"/>
        <v>1140.2</v>
      </c>
      <c r="K137">
        <f t="shared" si="13"/>
        <v>53.5</v>
      </c>
      <c r="M137">
        <v>16.7</v>
      </c>
      <c r="N137">
        <v>0.3</v>
      </c>
      <c r="O137">
        <f t="shared" si="17"/>
        <v>16.399999999999999</v>
      </c>
      <c r="Q137">
        <v>106</v>
      </c>
      <c r="R137">
        <v>1</v>
      </c>
      <c r="S137">
        <f t="shared" si="18"/>
        <v>0.3</v>
      </c>
      <c r="T137">
        <f t="shared" si="19"/>
        <v>16.399999999999999</v>
      </c>
      <c r="U137">
        <f t="shared" si="14"/>
        <v>179.3</v>
      </c>
      <c r="W137">
        <v>75.8</v>
      </c>
      <c r="X137">
        <f t="shared" si="15"/>
        <v>3473.6000000000004</v>
      </c>
      <c r="Y137">
        <v>8.0917141652416706</v>
      </c>
    </row>
    <row r="138" spans="1:26" x14ac:dyDescent="0.25">
      <c r="A138">
        <v>6360</v>
      </c>
      <c r="B138">
        <v>24170</v>
      </c>
      <c r="C138" s="1">
        <v>43083</v>
      </c>
      <c r="F138" s="47"/>
      <c r="G138">
        <v>5.3</v>
      </c>
      <c r="H138">
        <v>4.7</v>
      </c>
      <c r="I138">
        <v>6.1</v>
      </c>
      <c r="J138">
        <f t="shared" si="12"/>
        <v>1145.5</v>
      </c>
      <c r="K138">
        <f t="shared" si="13"/>
        <v>58.8</v>
      </c>
      <c r="M138">
        <v>1.8</v>
      </c>
      <c r="N138">
        <v>0.7</v>
      </c>
      <c r="O138">
        <f t="shared" si="17"/>
        <v>1.1000000000000001</v>
      </c>
      <c r="Q138">
        <v>107</v>
      </c>
      <c r="R138">
        <v>1</v>
      </c>
      <c r="S138">
        <f t="shared" si="18"/>
        <v>0.7</v>
      </c>
      <c r="T138">
        <f t="shared" si="19"/>
        <v>1.1000000000000001</v>
      </c>
      <c r="U138">
        <f t="shared" si="14"/>
        <v>179.3</v>
      </c>
      <c r="W138">
        <v>134.1</v>
      </c>
      <c r="X138">
        <f t="shared" si="15"/>
        <v>3607.7000000000003</v>
      </c>
      <c r="Y138">
        <v>8.081331922498034</v>
      </c>
    </row>
    <row r="139" spans="1:26" x14ac:dyDescent="0.25">
      <c r="A139">
        <v>6360</v>
      </c>
      <c r="B139">
        <v>24170</v>
      </c>
      <c r="C139" s="1">
        <v>43084</v>
      </c>
      <c r="E139">
        <v>13</v>
      </c>
      <c r="F139" s="47"/>
      <c r="G139">
        <v>4.7</v>
      </c>
      <c r="H139">
        <v>3.7</v>
      </c>
      <c r="I139">
        <v>5.6</v>
      </c>
      <c r="J139">
        <f t="shared" si="12"/>
        <v>1150.2</v>
      </c>
      <c r="K139">
        <f t="shared" si="13"/>
        <v>63.5</v>
      </c>
      <c r="M139">
        <v>2</v>
      </c>
      <c r="N139">
        <v>0.6</v>
      </c>
      <c r="O139">
        <f t="shared" si="17"/>
        <v>1.4</v>
      </c>
      <c r="Q139">
        <v>108</v>
      </c>
      <c r="R139">
        <v>1</v>
      </c>
      <c r="S139">
        <f t="shared" si="18"/>
        <v>0.6</v>
      </c>
      <c r="T139">
        <f t="shared" si="19"/>
        <v>1.4</v>
      </c>
      <c r="U139">
        <f t="shared" si="14"/>
        <v>179.3</v>
      </c>
      <c r="W139">
        <v>150.80000000000001</v>
      </c>
      <c r="X139">
        <f t="shared" si="15"/>
        <v>3758.5000000000005</v>
      </c>
      <c r="Y139">
        <v>8.072363043683481</v>
      </c>
    </row>
    <row r="140" spans="1:26" x14ac:dyDescent="0.25">
      <c r="A140">
        <v>6360</v>
      </c>
      <c r="B140">
        <v>24170</v>
      </c>
      <c r="C140" s="1">
        <v>43085</v>
      </c>
      <c r="E140">
        <v>14</v>
      </c>
      <c r="F140" s="47"/>
      <c r="G140">
        <v>4.0999999999999996</v>
      </c>
      <c r="H140">
        <v>3.4</v>
      </c>
      <c r="I140">
        <v>5</v>
      </c>
      <c r="J140">
        <f t="shared" si="12"/>
        <v>1154.3</v>
      </c>
      <c r="K140">
        <f t="shared" si="13"/>
        <v>67.599999999999994</v>
      </c>
      <c r="M140">
        <v>0.4</v>
      </c>
      <c r="N140">
        <v>0.6</v>
      </c>
      <c r="O140">
        <f t="shared" si="17"/>
        <v>-0.19999999999999996</v>
      </c>
      <c r="Q140">
        <v>109</v>
      </c>
      <c r="R140">
        <v>1</v>
      </c>
      <c r="S140">
        <f t="shared" si="18"/>
        <v>0.6</v>
      </c>
      <c r="T140">
        <f t="shared" si="19"/>
        <v>-0.19999999999999996</v>
      </c>
      <c r="U140">
        <f t="shared" si="14"/>
        <v>179.10000000000002</v>
      </c>
      <c r="W140">
        <v>264.2</v>
      </c>
      <c r="X140">
        <f t="shared" si="15"/>
        <v>4022.7000000000003</v>
      </c>
      <c r="Y140">
        <v>8.0648157679345012</v>
      </c>
    </row>
    <row r="141" spans="1:26" x14ac:dyDescent="0.25">
      <c r="A141">
        <v>6360</v>
      </c>
      <c r="B141">
        <v>24170</v>
      </c>
      <c r="C141" s="1">
        <v>43086</v>
      </c>
      <c r="E141">
        <v>15</v>
      </c>
      <c r="F141" s="47"/>
      <c r="G141">
        <v>2.9</v>
      </c>
      <c r="H141">
        <v>1.5</v>
      </c>
      <c r="I141">
        <v>7.6</v>
      </c>
      <c r="J141">
        <f t="shared" si="12"/>
        <v>1157.2</v>
      </c>
      <c r="K141">
        <f t="shared" si="13"/>
        <v>70.5</v>
      </c>
      <c r="M141">
        <v>8.9</v>
      </c>
      <c r="N141">
        <v>0.5</v>
      </c>
      <c r="O141">
        <f t="shared" si="17"/>
        <v>8.4</v>
      </c>
      <c r="Q141">
        <v>110</v>
      </c>
      <c r="R141">
        <v>1</v>
      </c>
      <c r="S141">
        <f t="shared" si="18"/>
        <v>0.5</v>
      </c>
      <c r="T141">
        <f t="shared" si="19"/>
        <v>8.4</v>
      </c>
      <c r="U141">
        <f t="shared" si="14"/>
        <v>179.3</v>
      </c>
      <c r="W141">
        <v>137.19999999999999</v>
      </c>
      <c r="X141">
        <f t="shared" si="15"/>
        <v>4159.9000000000005</v>
      </c>
      <c r="Y141">
        <v>8.0586970626761882</v>
      </c>
    </row>
    <row r="142" spans="1:26" x14ac:dyDescent="0.25">
      <c r="A142">
        <v>6360</v>
      </c>
      <c r="B142">
        <v>24170</v>
      </c>
      <c r="C142" s="1">
        <v>43087</v>
      </c>
      <c r="F142" s="47"/>
      <c r="G142">
        <v>6.2</v>
      </c>
      <c r="H142">
        <v>3.7</v>
      </c>
      <c r="I142">
        <v>7.5</v>
      </c>
      <c r="J142">
        <f t="shared" si="12"/>
        <v>1163.4000000000001</v>
      </c>
      <c r="K142">
        <f t="shared" si="13"/>
        <v>76.7</v>
      </c>
      <c r="M142">
        <v>0</v>
      </c>
      <c r="N142">
        <v>0.4</v>
      </c>
      <c r="O142">
        <f t="shared" si="17"/>
        <v>-0.4</v>
      </c>
      <c r="Q142">
        <v>111</v>
      </c>
      <c r="R142">
        <v>1</v>
      </c>
      <c r="S142">
        <f t="shared" si="18"/>
        <v>0.4</v>
      </c>
      <c r="T142">
        <f t="shared" si="19"/>
        <v>-0.4</v>
      </c>
      <c r="U142">
        <f t="shared" si="14"/>
        <v>178.9</v>
      </c>
      <c r="W142">
        <v>313.89999999999998</v>
      </c>
      <c r="X142">
        <f t="shared" si="15"/>
        <v>4473.8</v>
      </c>
      <c r="Y142">
        <v>8.0540125995822578</v>
      </c>
    </row>
    <row r="143" spans="1:26" x14ac:dyDescent="0.25">
      <c r="A143">
        <v>6360</v>
      </c>
      <c r="B143">
        <v>24170</v>
      </c>
      <c r="C143" s="1">
        <v>43088</v>
      </c>
      <c r="E143">
        <v>16</v>
      </c>
      <c r="F143" s="47"/>
      <c r="G143">
        <v>3.5</v>
      </c>
      <c r="H143">
        <v>2.6</v>
      </c>
      <c r="I143">
        <v>4.5999999999999996</v>
      </c>
      <c r="J143">
        <f t="shared" si="12"/>
        <v>1166.9000000000001</v>
      </c>
      <c r="K143">
        <f t="shared" si="13"/>
        <v>80.2</v>
      </c>
      <c r="M143">
        <v>0</v>
      </c>
      <c r="N143">
        <v>0.3</v>
      </c>
      <c r="O143">
        <f t="shared" si="17"/>
        <v>-0.3</v>
      </c>
      <c r="Q143">
        <v>112</v>
      </c>
      <c r="R143">
        <v>1</v>
      </c>
      <c r="S143">
        <f t="shared" si="18"/>
        <v>0.3</v>
      </c>
      <c r="T143">
        <f t="shared" si="19"/>
        <v>-0.3</v>
      </c>
      <c r="U143">
        <f t="shared" si="14"/>
        <v>178.6</v>
      </c>
      <c r="W143">
        <v>143.1</v>
      </c>
      <c r="X143">
        <f t="shared" si="15"/>
        <v>4616.9000000000005</v>
      </c>
      <c r="Y143">
        <v>8.0507667348797565</v>
      </c>
    </row>
    <row r="144" spans="1:26" x14ac:dyDescent="0.25">
      <c r="A144">
        <v>6360</v>
      </c>
      <c r="B144">
        <v>24170</v>
      </c>
      <c r="C144" s="1">
        <v>43089</v>
      </c>
      <c r="F144" s="47"/>
      <c r="G144">
        <v>6.6</v>
      </c>
      <c r="H144">
        <v>3.7</v>
      </c>
      <c r="I144">
        <v>8.3000000000000007</v>
      </c>
      <c r="J144">
        <f t="shared" si="12"/>
        <v>1173.5</v>
      </c>
      <c r="K144">
        <f t="shared" si="13"/>
        <v>86.8</v>
      </c>
      <c r="M144">
        <v>1.2</v>
      </c>
      <c r="N144">
        <v>0.2</v>
      </c>
      <c r="O144">
        <f t="shared" si="17"/>
        <v>1</v>
      </c>
      <c r="Q144">
        <v>113</v>
      </c>
      <c r="R144">
        <v>1</v>
      </c>
      <c r="S144">
        <f t="shared" si="18"/>
        <v>0.2</v>
      </c>
      <c r="T144">
        <f t="shared" si="19"/>
        <v>1</v>
      </c>
      <c r="U144">
        <f t="shared" si="14"/>
        <v>179.3</v>
      </c>
      <c r="W144">
        <v>61.8</v>
      </c>
      <c r="X144">
        <f t="shared" si="15"/>
        <v>4678.7000000000007</v>
      </c>
      <c r="Y144">
        <v>8.0489624941449005</v>
      </c>
    </row>
    <row r="145" spans="1:25" x14ac:dyDescent="0.25">
      <c r="A145">
        <v>6360</v>
      </c>
      <c r="B145">
        <v>24170</v>
      </c>
      <c r="C145" s="1">
        <v>43090</v>
      </c>
      <c r="F145" s="47"/>
      <c r="G145">
        <v>9.3000000000000007</v>
      </c>
      <c r="H145">
        <v>8</v>
      </c>
      <c r="I145">
        <v>10.1</v>
      </c>
      <c r="J145">
        <f t="shared" si="12"/>
        <v>1182.8</v>
      </c>
      <c r="K145">
        <f t="shared" si="13"/>
        <v>96.1</v>
      </c>
      <c r="M145">
        <v>1</v>
      </c>
      <c r="N145">
        <v>0.2</v>
      </c>
      <c r="O145">
        <f t="shared" si="17"/>
        <v>0.8</v>
      </c>
      <c r="Q145">
        <v>114</v>
      </c>
      <c r="R145">
        <v>1</v>
      </c>
      <c r="S145">
        <f t="shared" si="18"/>
        <v>0.2</v>
      </c>
      <c r="T145">
        <f t="shared" si="19"/>
        <v>0.8</v>
      </c>
      <c r="U145">
        <f t="shared" si="14"/>
        <v>179.3</v>
      </c>
      <c r="W145">
        <v>46.5</v>
      </c>
      <c r="X145">
        <f t="shared" si="15"/>
        <v>4725.2000000000007</v>
      </c>
      <c r="Y145">
        <v>8.0486015617038369</v>
      </c>
    </row>
    <row r="146" spans="1:25" x14ac:dyDescent="0.25">
      <c r="A146">
        <v>6360</v>
      </c>
      <c r="B146">
        <v>24170</v>
      </c>
      <c r="C146" s="1">
        <v>43091</v>
      </c>
      <c r="F146" s="47"/>
      <c r="G146">
        <v>9</v>
      </c>
      <c r="H146">
        <v>8.1999999999999993</v>
      </c>
      <c r="I146">
        <v>9.4</v>
      </c>
      <c r="J146">
        <f t="shared" si="12"/>
        <v>1191.8</v>
      </c>
      <c r="K146">
        <f t="shared" si="13"/>
        <v>105.1</v>
      </c>
      <c r="M146">
        <v>0.1</v>
      </c>
      <c r="N146">
        <v>0.2</v>
      </c>
      <c r="O146">
        <f t="shared" si="17"/>
        <v>-0.1</v>
      </c>
      <c r="Q146">
        <v>115</v>
      </c>
      <c r="R146">
        <v>1</v>
      </c>
      <c r="S146">
        <f t="shared" si="18"/>
        <v>0.2</v>
      </c>
      <c r="T146">
        <f t="shared" si="19"/>
        <v>-0.1</v>
      </c>
      <c r="U146">
        <f t="shared" si="14"/>
        <v>179.20000000000002</v>
      </c>
      <c r="W146">
        <v>107.5</v>
      </c>
      <c r="X146">
        <f t="shared" si="15"/>
        <v>4832.7000000000007</v>
      </c>
      <c r="Y146">
        <v>8.049684274718107</v>
      </c>
    </row>
    <row r="147" spans="1:25" x14ac:dyDescent="0.25">
      <c r="A147">
        <v>6360</v>
      </c>
      <c r="B147">
        <v>24170</v>
      </c>
      <c r="C147" s="1">
        <v>43092</v>
      </c>
      <c r="F147" s="47"/>
      <c r="G147">
        <v>8.6</v>
      </c>
      <c r="H147">
        <v>8.5</v>
      </c>
      <c r="I147">
        <v>8.8000000000000007</v>
      </c>
      <c r="J147">
        <f t="shared" si="12"/>
        <v>1200.3999999999999</v>
      </c>
      <c r="K147">
        <f t="shared" si="13"/>
        <v>113.69999999999999</v>
      </c>
      <c r="M147">
        <v>0</v>
      </c>
      <c r="N147">
        <v>0.4</v>
      </c>
      <c r="O147">
        <f t="shared" si="17"/>
        <v>-0.4</v>
      </c>
      <c r="Q147">
        <v>116</v>
      </c>
      <c r="R147">
        <v>1</v>
      </c>
      <c r="S147">
        <f t="shared" si="18"/>
        <v>0.4</v>
      </c>
      <c r="T147">
        <f t="shared" si="19"/>
        <v>-0.4</v>
      </c>
      <c r="U147">
        <f t="shared" si="14"/>
        <v>178.8</v>
      </c>
      <c r="W147">
        <v>67.400000000000006</v>
      </c>
      <c r="X147">
        <f t="shared" si="15"/>
        <v>4900.1000000000004</v>
      </c>
      <c r="Y147">
        <v>8.0522096219995074</v>
      </c>
    </row>
    <row r="148" spans="1:25" x14ac:dyDescent="0.25">
      <c r="A148">
        <v>6360</v>
      </c>
      <c r="B148">
        <v>24170</v>
      </c>
      <c r="C148" s="1">
        <v>43093</v>
      </c>
      <c r="F148" s="47"/>
      <c r="G148">
        <v>8.1</v>
      </c>
      <c r="H148">
        <v>8</v>
      </c>
      <c r="I148">
        <v>8.3000000000000007</v>
      </c>
      <c r="J148">
        <f t="shared" si="12"/>
        <v>1208.4999999999998</v>
      </c>
      <c r="K148">
        <f t="shared" si="13"/>
        <v>121.79999999999998</v>
      </c>
      <c r="M148">
        <v>1</v>
      </c>
      <c r="N148">
        <v>0.5</v>
      </c>
      <c r="O148">
        <f t="shared" si="17"/>
        <v>0.5</v>
      </c>
      <c r="Q148">
        <v>117</v>
      </c>
      <c r="R148">
        <v>1</v>
      </c>
      <c r="S148">
        <f t="shared" si="18"/>
        <v>0.5</v>
      </c>
      <c r="T148">
        <f t="shared" si="19"/>
        <v>0.5</v>
      </c>
      <c r="U148">
        <f t="shared" si="14"/>
        <v>179.3</v>
      </c>
      <c r="W148">
        <v>70.8</v>
      </c>
      <c r="X148">
        <f t="shared" si="15"/>
        <v>4970.9000000000005</v>
      </c>
      <c r="Y148">
        <v>8.0561752475632868</v>
      </c>
    </row>
    <row r="149" spans="1:25" x14ac:dyDescent="0.25">
      <c r="A149">
        <v>6360</v>
      </c>
      <c r="B149">
        <v>24170</v>
      </c>
      <c r="C149" s="1">
        <v>43094</v>
      </c>
      <c r="E149">
        <v>17</v>
      </c>
      <c r="F149" s="47"/>
      <c r="G149">
        <v>4.9000000000000004</v>
      </c>
      <c r="H149">
        <v>3.5</v>
      </c>
      <c r="I149">
        <v>5.4</v>
      </c>
      <c r="J149">
        <f t="shared" si="12"/>
        <v>1213.3999999999999</v>
      </c>
      <c r="K149">
        <f t="shared" si="13"/>
        <v>126.69999999999999</v>
      </c>
      <c r="M149">
        <v>3.6</v>
      </c>
      <c r="N149">
        <v>0.3</v>
      </c>
      <c r="O149">
        <f t="shared" si="17"/>
        <v>3.3000000000000003</v>
      </c>
      <c r="Q149">
        <v>118</v>
      </c>
      <c r="R149">
        <v>1</v>
      </c>
      <c r="S149">
        <f t="shared" si="18"/>
        <v>0.3</v>
      </c>
      <c r="T149">
        <f t="shared" si="19"/>
        <v>3.3000000000000003</v>
      </c>
      <c r="U149">
        <f t="shared" si="14"/>
        <v>179.3</v>
      </c>
      <c r="W149">
        <v>111.9</v>
      </c>
      <c r="X149">
        <f t="shared" si="15"/>
        <v>5082.8</v>
      </c>
      <c r="Y149">
        <v>8.0615774588928222</v>
      </c>
    </row>
    <row r="150" spans="1:25" x14ac:dyDescent="0.25">
      <c r="A150">
        <v>6360</v>
      </c>
      <c r="B150">
        <v>24170</v>
      </c>
      <c r="C150" s="1">
        <v>43095</v>
      </c>
      <c r="F150" s="47"/>
      <c r="G150">
        <v>6</v>
      </c>
      <c r="H150">
        <v>3.6</v>
      </c>
      <c r="I150">
        <v>7.5</v>
      </c>
      <c r="J150">
        <f t="shared" si="12"/>
        <v>1219.3999999999999</v>
      </c>
      <c r="K150">
        <f t="shared" si="13"/>
        <v>132.69999999999999</v>
      </c>
      <c r="M150">
        <v>10.199999999999999</v>
      </c>
      <c r="N150">
        <v>0.5</v>
      </c>
      <c r="O150">
        <f t="shared" si="17"/>
        <v>9.6999999999999993</v>
      </c>
      <c r="Q150">
        <v>119</v>
      </c>
      <c r="R150">
        <v>1</v>
      </c>
      <c r="S150">
        <f t="shared" si="18"/>
        <v>0.5</v>
      </c>
      <c r="T150">
        <f t="shared" si="19"/>
        <v>9.6999999999999993</v>
      </c>
      <c r="U150">
        <f t="shared" si="14"/>
        <v>179.3</v>
      </c>
      <c r="W150">
        <v>261.3</v>
      </c>
      <c r="X150">
        <f t="shared" si="15"/>
        <v>5344.1</v>
      </c>
      <c r="Y150">
        <v>8.0684112398534573</v>
      </c>
    </row>
    <row r="151" spans="1:25" x14ac:dyDescent="0.25">
      <c r="A151">
        <v>6360</v>
      </c>
      <c r="B151">
        <v>24170</v>
      </c>
      <c r="C151" s="1">
        <v>43096</v>
      </c>
      <c r="E151">
        <v>18</v>
      </c>
      <c r="F151" s="47"/>
      <c r="G151">
        <v>4.5</v>
      </c>
      <c r="H151">
        <v>3.5</v>
      </c>
      <c r="I151">
        <v>5.3</v>
      </c>
      <c r="J151">
        <f t="shared" si="12"/>
        <v>1223.8999999999999</v>
      </c>
      <c r="K151">
        <f t="shared" si="13"/>
        <v>137.19999999999999</v>
      </c>
      <c r="M151">
        <v>1.6</v>
      </c>
      <c r="N151">
        <v>0.6</v>
      </c>
      <c r="O151">
        <f t="shared" si="17"/>
        <v>1</v>
      </c>
      <c r="Q151">
        <v>120</v>
      </c>
      <c r="R151">
        <v>1</v>
      </c>
      <c r="S151">
        <f t="shared" si="18"/>
        <v>0.6</v>
      </c>
      <c r="T151">
        <f t="shared" si="19"/>
        <v>1</v>
      </c>
      <c r="U151">
        <f t="shared" si="14"/>
        <v>179.3</v>
      </c>
      <c r="W151">
        <v>150.5</v>
      </c>
      <c r="X151">
        <f t="shared" si="15"/>
        <v>5494.6</v>
      </c>
      <c r="Y151">
        <v>8.0766702681585372</v>
      </c>
    </row>
    <row r="152" spans="1:25" x14ac:dyDescent="0.25">
      <c r="A152">
        <v>6360</v>
      </c>
      <c r="B152">
        <v>24170</v>
      </c>
      <c r="C152" s="1">
        <v>43097</v>
      </c>
      <c r="E152">
        <v>19</v>
      </c>
      <c r="F152" s="47"/>
      <c r="G152">
        <v>2.4</v>
      </c>
      <c r="H152">
        <v>0.5</v>
      </c>
      <c r="I152">
        <v>4.9000000000000004</v>
      </c>
      <c r="J152">
        <f t="shared" si="12"/>
        <v>1226.3</v>
      </c>
      <c r="K152">
        <f t="shared" si="13"/>
        <v>139.6</v>
      </c>
      <c r="M152">
        <v>0.3</v>
      </c>
      <c r="N152">
        <v>0.6</v>
      </c>
      <c r="O152">
        <f t="shared" si="17"/>
        <v>-0.3</v>
      </c>
      <c r="Q152">
        <v>121</v>
      </c>
      <c r="R152">
        <v>1</v>
      </c>
      <c r="S152">
        <f t="shared" si="18"/>
        <v>0.6</v>
      </c>
      <c r="T152">
        <f t="shared" si="19"/>
        <v>-0.3</v>
      </c>
      <c r="U152">
        <f t="shared" si="14"/>
        <v>179</v>
      </c>
      <c r="W152">
        <v>556.9</v>
      </c>
      <c r="X152">
        <f t="shared" si="15"/>
        <v>6051.5</v>
      </c>
      <c r="Y152">
        <v>8.0863469372572929</v>
      </c>
    </row>
    <row r="153" spans="1:25" x14ac:dyDescent="0.25">
      <c r="A153">
        <v>6360</v>
      </c>
      <c r="B153">
        <v>24170</v>
      </c>
      <c r="C153" s="1">
        <v>43098</v>
      </c>
      <c r="E153">
        <v>20</v>
      </c>
      <c r="F153" s="47"/>
      <c r="G153">
        <v>4.0999999999999996</v>
      </c>
      <c r="H153">
        <v>0.7</v>
      </c>
      <c r="I153">
        <v>11.1</v>
      </c>
      <c r="J153">
        <f t="shared" si="12"/>
        <v>1230.3999999999999</v>
      </c>
      <c r="K153">
        <f t="shared" si="13"/>
        <v>143.69999999999999</v>
      </c>
      <c r="M153">
        <v>14.5</v>
      </c>
      <c r="N153">
        <v>1</v>
      </c>
      <c r="O153">
        <f t="shared" si="17"/>
        <v>13.5</v>
      </c>
      <c r="Q153">
        <v>122</v>
      </c>
      <c r="R153">
        <v>1</v>
      </c>
      <c r="S153">
        <f t="shared" si="18"/>
        <v>1</v>
      </c>
      <c r="T153">
        <f t="shared" si="19"/>
        <v>13.5</v>
      </c>
      <c r="U153">
        <f t="shared" si="14"/>
        <v>179.3</v>
      </c>
      <c r="W153">
        <v>86.3</v>
      </c>
      <c r="X153">
        <f t="shared" si="15"/>
        <v>6137.8</v>
      </c>
      <c r="Y153">
        <v>8.0974323824826495</v>
      </c>
    </row>
    <row r="154" spans="1:25" x14ac:dyDescent="0.25">
      <c r="A154">
        <v>6360</v>
      </c>
      <c r="B154">
        <v>24170</v>
      </c>
      <c r="C154" s="1">
        <v>43099</v>
      </c>
      <c r="F154" s="47"/>
      <c r="G154">
        <v>12.5</v>
      </c>
      <c r="H154">
        <v>6.9</v>
      </c>
      <c r="I154">
        <v>14.2</v>
      </c>
      <c r="J154">
        <f t="shared" si="12"/>
        <v>1242.8999999999999</v>
      </c>
      <c r="K154">
        <f t="shared" si="13"/>
        <v>156.19999999999999</v>
      </c>
      <c r="M154">
        <v>1.2</v>
      </c>
      <c r="N154">
        <v>0.2</v>
      </c>
      <c r="O154">
        <f t="shared" si="17"/>
        <v>1</v>
      </c>
      <c r="Q154">
        <v>123</v>
      </c>
      <c r="R154">
        <v>1</v>
      </c>
      <c r="S154">
        <f t="shared" si="18"/>
        <v>0.2</v>
      </c>
      <c r="T154">
        <f t="shared" si="19"/>
        <v>1</v>
      </c>
      <c r="U154">
        <f t="shared" si="14"/>
        <v>179.3</v>
      </c>
      <c r="W154">
        <v>135.80000000000001</v>
      </c>
      <c r="X154">
        <f t="shared" si="15"/>
        <v>6273.6</v>
      </c>
      <c r="Y154">
        <v>8.1099165112673752</v>
      </c>
    </row>
    <row r="155" spans="1:25" x14ac:dyDescent="0.25">
      <c r="A155">
        <v>6360</v>
      </c>
      <c r="B155">
        <v>24170</v>
      </c>
      <c r="C155" s="1">
        <v>43100</v>
      </c>
      <c r="F155" s="47"/>
      <c r="G155">
        <v>12</v>
      </c>
      <c r="H155">
        <v>10.199999999999999</v>
      </c>
      <c r="I155">
        <v>14.7</v>
      </c>
      <c r="J155">
        <f t="shared" si="12"/>
        <v>1254.8999999999999</v>
      </c>
      <c r="K155">
        <f t="shared" si="13"/>
        <v>168.2</v>
      </c>
      <c r="M155">
        <v>1.8</v>
      </c>
      <c r="N155">
        <v>1.9</v>
      </c>
      <c r="O155">
        <f t="shared" si="17"/>
        <v>-9.9999999999999867E-2</v>
      </c>
      <c r="Q155">
        <v>124</v>
      </c>
      <c r="R155">
        <v>1</v>
      </c>
      <c r="S155">
        <f t="shared" si="18"/>
        <v>1.9</v>
      </c>
      <c r="T155">
        <f t="shared" si="19"/>
        <v>-9.9999999999999867E-2</v>
      </c>
      <c r="U155">
        <f t="shared" si="14"/>
        <v>179.20000000000002</v>
      </c>
      <c r="W155">
        <v>398.4</v>
      </c>
      <c r="X155">
        <f t="shared" si="15"/>
        <v>6672</v>
      </c>
      <c r="Y155">
        <v>8.1237880372099944</v>
      </c>
    </row>
    <row r="156" spans="1:25" x14ac:dyDescent="0.25">
      <c r="A156">
        <v>6360</v>
      </c>
      <c r="B156">
        <v>24170</v>
      </c>
      <c r="C156" s="1">
        <v>43101</v>
      </c>
      <c r="F156" s="47"/>
      <c r="G156">
        <v>7.5</v>
      </c>
      <c r="H156">
        <v>6.5</v>
      </c>
      <c r="I156">
        <v>8</v>
      </c>
      <c r="J156">
        <f t="shared" si="12"/>
        <v>1262.3999999999999</v>
      </c>
      <c r="K156">
        <f t="shared" si="13"/>
        <v>175.7</v>
      </c>
      <c r="M156">
        <v>13.1</v>
      </c>
      <c r="N156">
        <v>0.9</v>
      </c>
      <c r="O156">
        <f t="shared" si="17"/>
        <v>12.2</v>
      </c>
      <c r="Q156">
        <v>125</v>
      </c>
      <c r="R156">
        <v>1</v>
      </c>
      <c r="S156">
        <f t="shared" si="18"/>
        <v>0.9</v>
      </c>
      <c r="T156">
        <f t="shared" si="19"/>
        <v>12.2</v>
      </c>
      <c r="U156">
        <f t="shared" si="14"/>
        <v>179.3</v>
      </c>
      <c r="W156">
        <v>98.5</v>
      </c>
      <c r="X156">
        <f t="shared" si="15"/>
        <v>6770.5</v>
      </c>
      <c r="Y156">
        <v>8.1390345177474064</v>
      </c>
    </row>
    <row r="157" spans="1:25" x14ac:dyDescent="0.25">
      <c r="A157">
        <v>6360</v>
      </c>
      <c r="B157">
        <v>24170</v>
      </c>
      <c r="C157" s="1">
        <v>43102</v>
      </c>
      <c r="F157" s="47"/>
      <c r="G157">
        <v>8.1999999999999993</v>
      </c>
      <c r="H157">
        <v>6</v>
      </c>
      <c r="I157">
        <v>12.4</v>
      </c>
      <c r="J157">
        <f t="shared" si="12"/>
        <v>1270.5999999999999</v>
      </c>
      <c r="K157">
        <f t="shared" si="13"/>
        <v>183.89999999999998</v>
      </c>
      <c r="M157">
        <v>10.3</v>
      </c>
      <c r="N157">
        <v>1.2</v>
      </c>
      <c r="O157">
        <f t="shared" si="17"/>
        <v>9.1000000000000014</v>
      </c>
      <c r="Q157">
        <v>126</v>
      </c>
      <c r="R157">
        <v>1</v>
      </c>
      <c r="S157">
        <f t="shared" si="18"/>
        <v>1.2</v>
      </c>
      <c r="T157">
        <f t="shared" si="19"/>
        <v>9.1000000000000014</v>
      </c>
      <c r="U157">
        <f t="shared" si="14"/>
        <v>179.3</v>
      </c>
      <c r="W157">
        <v>293.8</v>
      </c>
      <c r="X157">
        <f t="shared" si="15"/>
        <v>7064.3</v>
      </c>
      <c r="Y157">
        <v>8.1556423951699006</v>
      </c>
    </row>
    <row r="158" spans="1:25" x14ac:dyDescent="0.25">
      <c r="A158">
        <v>6360</v>
      </c>
      <c r="B158">
        <v>24170</v>
      </c>
      <c r="C158" s="1">
        <v>43103</v>
      </c>
      <c r="F158" s="47"/>
      <c r="G158">
        <v>9.3000000000000007</v>
      </c>
      <c r="H158">
        <v>7.7</v>
      </c>
      <c r="I158">
        <v>10.3</v>
      </c>
      <c r="J158">
        <f t="shared" si="12"/>
        <v>1279.8999999999999</v>
      </c>
      <c r="K158">
        <f t="shared" si="13"/>
        <v>193.2</v>
      </c>
      <c r="M158">
        <v>9.5</v>
      </c>
      <c r="N158">
        <v>1.2</v>
      </c>
      <c r="O158">
        <f t="shared" si="17"/>
        <v>8.3000000000000007</v>
      </c>
      <c r="Q158">
        <v>127</v>
      </c>
      <c r="R158">
        <v>1</v>
      </c>
      <c r="S158">
        <f t="shared" si="18"/>
        <v>1.2</v>
      </c>
      <c r="T158">
        <f t="shared" si="19"/>
        <v>8.3000000000000007</v>
      </c>
      <c r="U158">
        <f t="shared" si="14"/>
        <v>179.3</v>
      </c>
      <c r="W158">
        <v>210</v>
      </c>
      <c r="X158">
        <f t="shared" si="15"/>
        <v>7274.3</v>
      </c>
      <c r="Y158">
        <v>8.1735970406959755</v>
      </c>
    </row>
    <row r="159" spans="1:25" x14ac:dyDescent="0.25">
      <c r="A159">
        <v>6360</v>
      </c>
      <c r="B159">
        <v>24170</v>
      </c>
      <c r="C159" s="1">
        <v>43104</v>
      </c>
      <c r="F159" s="47"/>
      <c r="G159">
        <v>11</v>
      </c>
      <c r="H159">
        <v>7.3</v>
      </c>
      <c r="I159">
        <v>13.8</v>
      </c>
      <c r="J159">
        <f t="shared" si="12"/>
        <v>1290.8999999999999</v>
      </c>
      <c r="K159">
        <f t="shared" si="13"/>
        <v>204.2</v>
      </c>
      <c r="M159">
        <v>8.4</v>
      </c>
      <c r="N159">
        <v>0.5</v>
      </c>
      <c r="O159">
        <f t="shared" si="17"/>
        <v>7.9</v>
      </c>
      <c r="Q159">
        <v>128</v>
      </c>
      <c r="R159">
        <v>1</v>
      </c>
      <c r="S159">
        <f t="shared" si="18"/>
        <v>0.5</v>
      </c>
      <c r="T159">
        <f t="shared" si="19"/>
        <v>7.9</v>
      </c>
      <c r="U159">
        <f t="shared" si="14"/>
        <v>179.3</v>
      </c>
      <c r="W159">
        <v>96</v>
      </c>
      <c r="X159">
        <f t="shared" si="15"/>
        <v>7370.3</v>
      </c>
      <c r="Y159">
        <v>8.1928828013095227</v>
      </c>
    </row>
    <row r="160" spans="1:25" x14ac:dyDescent="0.25">
      <c r="A160">
        <v>6360</v>
      </c>
      <c r="B160">
        <v>24170</v>
      </c>
      <c r="C160" s="1">
        <v>43105</v>
      </c>
      <c r="F160" s="47"/>
      <c r="G160">
        <v>8.4</v>
      </c>
      <c r="H160">
        <v>8</v>
      </c>
      <c r="I160">
        <v>9.6999999999999993</v>
      </c>
      <c r="J160">
        <f t="shared" si="12"/>
        <v>1299.3</v>
      </c>
      <c r="K160">
        <f t="shared" si="13"/>
        <v>212.6</v>
      </c>
      <c r="M160">
        <v>0.3</v>
      </c>
      <c r="N160">
        <v>0.6</v>
      </c>
      <c r="O160">
        <f t="shared" si="17"/>
        <v>-0.3</v>
      </c>
      <c r="Q160">
        <v>129</v>
      </c>
      <c r="R160">
        <v>1</v>
      </c>
      <c r="S160">
        <f t="shared" si="18"/>
        <v>0.6</v>
      </c>
      <c r="T160">
        <f t="shared" si="19"/>
        <v>-0.3</v>
      </c>
      <c r="U160">
        <f t="shared" si="14"/>
        <v>179</v>
      </c>
      <c r="W160">
        <v>233.7</v>
      </c>
      <c r="X160">
        <f t="shared" si="15"/>
        <v>7604</v>
      </c>
      <c r="Y160">
        <v>8.2134830490504882</v>
      </c>
    </row>
    <row r="161" spans="1:25" x14ac:dyDescent="0.25">
      <c r="A161">
        <v>6360</v>
      </c>
      <c r="B161">
        <v>24170</v>
      </c>
      <c r="C161" s="1">
        <v>43106</v>
      </c>
      <c r="F161" s="47"/>
      <c r="G161">
        <v>7</v>
      </c>
      <c r="H161">
        <v>5.5</v>
      </c>
      <c r="I161">
        <v>8</v>
      </c>
      <c r="J161">
        <f t="shared" si="12"/>
        <v>1306.3</v>
      </c>
      <c r="K161">
        <f t="shared" si="13"/>
        <v>219.6</v>
      </c>
      <c r="M161">
        <v>4.9000000000000004</v>
      </c>
      <c r="N161">
        <v>0.3</v>
      </c>
      <c r="O161">
        <f t="shared" si="17"/>
        <v>4.6000000000000005</v>
      </c>
      <c r="Q161">
        <v>130</v>
      </c>
      <c r="R161">
        <v>1</v>
      </c>
      <c r="S161">
        <f t="shared" si="18"/>
        <v>0.3</v>
      </c>
      <c r="T161">
        <f t="shared" si="19"/>
        <v>4.6000000000000005</v>
      </c>
      <c r="U161">
        <f t="shared" si="14"/>
        <v>179.3</v>
      </c>
      <c r="W161">
        <v>113.5</v>
      </c>
      <c r="X161">
        <f t="shared" si="15"/>
        <v>7717.5</v>
      </c>
      <c r="Y161">
        <v>8.2353802324419139</v>
      </c>
    </row>
    <row r="162" spans="1:25" x14ac:dyDescent="0.25">
      <c r="A162">
        <v>6360</v>
      </c>
      <c r="B162">
        <v>24170</v>
      </c>
      <c r="C162" s="1">
        <v>43107</v>
      </c>
      <c r="F162" s="47"/>
      <c r="G162">
        <v>6.1</v>
      </c>
      <c r="H162">
        <v>5.7</v>
      </c>
      <c r="I162">
        <v>6.5</v>
      </c>
      <c r="J162">
        <f t="shared" ref="J162:J225" si="20">J161+G162</f>
        <v>1312.3999999999999</v>
      </c>
      <c r="K162">
        <f t="shared" ref="K162:K225" si="21">K161+G162</f>
        <v>225.7</v>
      </c>
      <c r="M162">
        <v>0</v>
      </c>
      <c r="N162">
        <v>0.6</v>
      </c>
      <c r="O162">
        <f t="shared" si="17"/>
        <v>-0.6</v>
      </c>
      <c r="Q162">
        <v>131</v>
      </c>
      <c r="R162">
        <v>1</v>
      </c>
      <c r="S162">
        <f t="shared" si="18"/>
        <v>0.6</v>
      </c>
      <c r="T162">
        <f t="shared" si="19"/>
        <v>-0.6</v>
      </c>
      <c r="U162">
        <f t="shared" ref="U162:U225" si="22">MIN(U161+T162,179.3)</f>
        <v>178.70000000000002</v>
      </c>
      <c r="W162">
        <v>101.6</v>
      </c>
      <c r="X162">
        <f t="shared" ref="X162:X225" si="23">X161+W162</f>
        <v>7819.1</v>
      </c>
      <c r="Y162">
        <v>8.2585559297316564</v>
      </c>
    </row>
    <row r="163" spans="1:25" x14ac:dyDescent="0.25">
      <c r="A163">
        <v>6360</v>
      </c>
      <c r="B163">
        <v>24170</v>
      </c>
      <c r="C163" s="1">
        <v>43108</v>
      </c>
      <c r="F163" s="47"/>
      <c r="G163">
        <v>5.9</v>
      </c>
      <c r="H163">
        <v>5.8</v>
      </c>
      <c r="I163">
        <v>7</v>
      </c>
      <c r="J163">
        <f t="shared" si="20"/>
        <v>1318.3</v>
      </c>
      <c r="K163">
        <f t="shared" si="21"/>
        <v>231.6</v>
      </c>
      <c r="M163">
        <v>0</v>
      </c>
      <c r="N163">
        <v>0.8</v>
      </c>
      <c r="O163">
        <f t="shared" si="17"/>
        <v>-0.8</v>
      </c>
      <c r="Q163">
        <v>132</v>
      </c>
      <c r="R163">
        <v>1</v>
      </c>
      <c r="S163">
        <f t="shared" si="18"/>
        <v>0.8</v>
      </c>
      <c r="T163">
        <f t="shared" si="19"/>
        <v>-0.8</v>
      </c>
      <c r="U163">
        <f t="shared" si="22"/>
        <v>177.9</v>
      </c>
      <c r="W163">
        <v>297.89999999999998</v>
      </c>
      <c r="X163">
        <f t="shared" si="23"/>
        <v>8117</v>
      </c>
      <c r="Y163">
        <v>8.2829909036254801</v>
      </c>
    </row>
    <row r="164" spans="1:25" x14ac:dyDescent="0.25">
      <c r="A164">
        <v>6360</v>
      </c>
      <c r="B164">
        <v>24170</v>
      </c>
      <c r="C164" s="1">
        <v>43109</v>
      </c>
      <c r="F164" s="47"/>
      <c r="G164">
        <v>5.6</v>
      </c>
      <c r="H164">
        <v>2.7</v>
      </c>
      <c r="I164">
        <v>7.7</v>
      </c>
      <c r="J164">
        <f t="shared" si="20"/>
        <v>1323.8999999999999</v>
      </c>
      <c r="K164">
        <f t="shared" si="21"/>
        <v>237.2</v>
      </c>
      <c r="M164">
        <v>3.1</v>
      </c>
      <c r="N164">
        <v>0.2</v>
      </c>
      <c r="O164">
        <f t="shared" si="17"/>
        <v>2.9</v>
      </c>
      <c r="Q164">
        <v>133</v>
      </c>
      <c r="R164">
        <v>1</v>
      </c>
      <c r="S164">
        <f t="shared" si="18"/>
        <v>0.2</v>
      </c>
      <c r="T164">
        <f t="shared" si="19"/>
        <v>2.9</v>
      </c>
      <c r="U164">
        <f t="shared" si="22"/>
        <v>179.3</v>
      </c>
      <c r="W164">
        <v>160.30000000000001</v>
      </c>
      <c r="X164">
        <f t="shared" si="23"/>
        <v>8277.2999999999993</v>
      </c>
      <c r="Y164">
        <v>8.3086651571899512</v>
      </c>
    </row>
    <row r="165" spans="1:25" x14ac:dyDescent="0.25">
      <c r="A165">
        <v>6360</v>
      </c>
      <c r="B165">
        <v>24170</v>
      </c>
      <c r="C165" s="1">
        <v>43110</v>
      </c>
      <c r="F165" s="47"/>
      <c r="G165">
        <v>7.1</v>
      </c>
      <c r="H165">
        <v>6.5</v>
      </c>
      <c r="I165">
        <v>8</v>
      </c>
      <c r="J165">
        <f t="shared" si="20"/>
        <v>1330.9999999999998</v>
      </c>
      <c r="K165">
        <f t="shared" si="21"/>
        <v>244.29999999999998</v>
      </c>
      <c r="M165">
        <v>1.8</v>
      </c>
      <c r="N165">
        <v>0.4</v>
      </c>
      <c r="O165">
        <f t="shared" si="17"/>
        <v>1.4</v>
      </c>
      <c r="Q165">
        <v>134</v>
      </c>
      <c r="R165">
        <v>1</v>
      </c>
      <c r="S165">
        <f t="shared" si="18"/>
        <v>0.4</v>
      </c>
      <c r="T165">
        <f t="shared" si="19"/>
        <v>1.4</v>
      </c>
      <c r="U165">
        <f t="shared" si="22"/>
        <v>179.3</v>
      </c>
      <c r="W165">
        <v>118.7</v>
      </c>
      <c r="X165">
        <f t="shared" si="23"/>
        <v>8396</v>
      </c>
      <c r="Y165">
        <v>8.3355579906080841</v>
      </c>
    </row>
    <row r="166" spans="1:25" x14ac:dyDescent="0.25">
      <c r="A166">
        <v>6360</v>
      </c>
      <c r="B166">
        <v>24170</v>
      </c>
      <c r="C166" s="1">
        <v>43111</v>
      </c>
      <c r="F166" s="47"/>
      <c r="G166">
        <v>6.2</v>
      </c>
      <c r="H166">
        <v>5.6</v>
      </c>
      <c r="I166">
        <v>7</v>
      </c>
      <c r="J166">
        <f t="shared" si="20"/>
        <v>1337.1999999999998</v>
      </c>
      <c r="K166">
        <f t="shared" si="21"/>
        <v>250.49999999999997</v>
      </c>
      <c r="M166">
        <v>0</v>
      </c>
      <c r="N166">
        <v>0.2</v>
      </c>
      <c r="O166">
        <f t="shared" si="17"/>
        <v>-0.2</v>
      </c>
      <c r="Q166">
        <v>135</v>
      </c>
      <c r="R166">
        <v>1</v>
      </c>
      <c r="S166">
        <f t="shared" si="18"/>
        <v>0.2</v>
      </c>
      <c r="T166">
        <f t="shared" si="19"/>
        <v>-0.2</v>
      </c>
      <c r="U166">
        <f t="shared" si="22"/>
        <v>179.10000000000002</v>
      </c>
      <c r="W166">
        <v>35.1</v>
      </c>
      <c r="X166">
        <f t="shared" si="23"/>
        <v>8431.1</v>
      </c>
      <c r="Y166">
        <v>8.3636480584780628</v>
      </c>
    </row>
    <row r="167" spans="1:25" x14ac:dyDescent="0.25">
      <c r="A167">
        <v>6360</v>
      </c>
      <c r="B167">
        <v>24170</v>
      </c>
      <c r="C167" s="1">
        <v>43112</v>
      </c>
      <c r="F167" s="47"/>
      <c r="G167">
        <v>5.2</v>
      </c>
      <c r="H167">
        <v>5.2</v>
      </c>
      <c r="I167">
        <v>6.2</v>
      </c>
      <c r="J167">
        <f t="shared" si="20"/>
        <v>1342.3999999999999</v>
      </c>
      <c r="K167">
        <f t="shared" si="21"/>
        <v>255.69999999999996</v>
      </c>
      <c r="M167">
        <v>0</v>
      </c>
      <c r="N167">
        <v>0.5</v>
      </c>
      <c r="O167">
        <f t="shared" si="17"/>
        <v>-0.5</v>
      </c>
      <c r="Q167">
        <v>136</v>
      </c>
      <c r="R167">
        <v>1</v>
      </c>
      <c r="S167">
        <f t="shared" si="18"/>
        <v>0.5</v>
      </c>
      <c r="T167">
        <f t="shared" si="19"/>
        <v>-0.5</v>
      </c>
      <c r="U167">
        <f t="shared" si="22"/>
        <v>178.60000000000002</v>
      </c>
      <c r="W167">
        <v>203.4</v>
      </c>
      <c r="X167">
        <f t="shared" si="23"/>
        <v>8634.5</v>
      </c>
      <c r="Y167">
        <v>8.3929134273550758</v>
      </c>
    </row>
    <row r="168" spans="1:25" x14ac:dyDescent="0.25">
      <c r="A168">
        <v>6360</v>
      </c>
      <c r="B168">
        <v>24170</v>
      </c>
      <c r="C168" s="1">
        <v>43113</v>
      </c>
      <c r="E168">
        <v>21</v>
      </c>
      <c r="F168" s="47"/>
      <c r="G168">
        <v>3.4</v>
      </c>
      <c r="H168">
        <v>2</v>
      </c>
      <c r="I168">
        <v>4.4000000000000004</v>
      </c>
      <c r="J168">
        <f t="shared" si="20"/>
        <v>1345.8</v>
      </c>
      <c r="K168">
        <f t="shared" si="21"/>
        <v>259.09999999999997</v>
      </c>
      <c r="M168">
        <v>0</v>
      </c>
      <c r="N168">
        <v>0.3</v>
      </c>
      <c r="O168">
        <f t="shared" si="17"/>
        <v>-0.3</v>
      </c>
      <c r="Q168">
        <v>137</v>
      </c>
      <c r="R168">
        <v>1</v>
      </c>
      <c r="S168">
        <f t="shared" si="18"/>
        <v>0.3</v>
      </c>
      <c r="T168">
        <f t="shared" si="19"/>
        <v>-0.3</v>
      </c>
      <c r="U168">
        <f t="shared" si="22"/>
        <v>178.3</v>
      </c>
      <c r="W168">
        <v>150</v>
      </c>
      <c r="X168">
        <f t="shared" si="23"/>
        <v>8784.5</v>
      </c>
      <c r="Y168">
        <v>8.4233316332484218</v>
      </c>
    </row>
    <row r="169" spans="1:25" x14ac:dyDescent="0.25">
      <c r="A169">
        <v>6360</v>
      </c>
      <c r="B169">
        <v>24170</v>
      </c>
      <c r="C169" s="1">
        <v>43114</v>
      </c>
      <c r="E169">
        <v>22</v>
      </c>
      <c r="F169" s="47"/>
      <c r="G169">
        <v>3.9</v>
      </c>
      <c r="H169">
        <v>0.7</v>
      </c>
      <c r="I169">
        <v>7.2</v>
      </c>
      <c r="J169">
        <f t="shared" si="20"/>
        <v>1349.7</v>
      </c>
      <c r="K169">
        <f t="shared" si="21"/>
        <v>262.99999999999994</v>
      </c>
      <c r="M169">
        <v>0</v>
      </c>
      <c r="N169">
        <v>0.8</v>
      </c>
      <c r="O169">
        <f t="shared" si="17"/>
        <v>-0.8</v>
      </c>
      <c r="Q169">
        <v>138</v>
      </c>
      <c r="R169">
        <v>1</v>
      </c>
      <c r="S169">
        <f t="shared" si="18"/>
        <v>0.8</v>
      </c>
      <c r="T169">
        <f t="shared" si="19"/>
        <v>-0.8</v>
      </c>
      <c r="U169">
        <f t="shared" si="22"/>
        <v>177.5</v>
      </c>
      <c r="W169">
        <v>580.6</v>
      </c>
      <c r="X169">
        <f t="shared" si="23"/>
        <v>9365.1</v>
      </c>
      <c r="Y169">
        <v>8.4548797387998604</v>
      </c>
    </row>
    <row r="170" spans="1:25" x14ac:dyDescent="0.25">
      <c r="A170">
        <v>6360</v>
      </c>
      <c r="B170">
        <v>24170</v>
      </c>
      <c r="C170" s="1">
        <v>43115</v>
      </c>
      <c r="F170" s="47"/>
      <c r="G170">
        <v>6.7</v>
      </c>
      <c r="H170">
        <v>4.0999999999999996</v>
      </c>
      <c r="I170">
        <v>8.9</v>
      </c>
      <c r="J170">
        <f t="shared" si="20"/>
        <v>1356.4</v>
      </c>
      <c r="K170">
        <f t="shared" si="21"/>
        <v>269.69999999999993</v>
      </c>
      <c r="M170">
        <v>11</v>
      </c>
      <c r="N170">
        <v>0.5</v>
      </c>
      <c r="O170">
        <f t="shared" si="17"/>
        <v>10.5</v>
      </c>
      <c r="Q170">
        <v>139</v>
      </c>
      <c r="R170">
        <v>1</v>
      </c>
      <c r="S170">
        <f t="shared" si="18"/>
        <v>0.5</v>
      </c>
      <c r="T170">
        <f t="shared" si="19"/>
        <v>10.5</v>
      </c>
      <c r="U170">
        <f t="shared" si="22"/>
        <v>179.3</v>
      </c>
      <c r="W170">
        <v>100.3</v>
      </c>
      <c r="X170">
        <f t="shared" si="23"/>
        <v>9465.4</v>
      </c>
      <c r="Y170">
        <v>8.4875343898848907</v>
      </c>
    </row>
    <row r="171" spans="1:25" x14ac:dyDescent="0.25">
      <c r="A171">
        <v>6360</v>
      </c>
      <c r="B171">
        <v>24170</v>
      </c>
      <c r="C171" s="1">
        <v>43116</v>
      </c>
      <c r="F171" s="47"/>
      <c r="G171">
        <v>7.6</v>
      </c>
      <c r="H171">
        <v>6.2</v>
      </c>
      <c r="I171">
        <v>10.3</v>
      </c>
      <c r="J171">
        <f t="shared" si="20"/>
        <v>1364</v>
      </c>
      <c r="K171">
        <f t="shared" si="21"/>
        <v>277.29999999999995</v>
      </c>
      <c r="M171">
        <v>5.7</v>
      </c>
      <c r="N171">
        <v>1.2</v>
      </c>
      <c r="O171">
        <f t="shared" si="17"/>
        <v>4.5</v>
      </c>
      <c r="Q171">
        <v>140</v>
      </c>
      <c r="R171">
        <v>1</v>
      </c>
      <c r="S171">
        <f t="shared" si="18"/>
        <v>1.2</v>
      </c>
      <c r="T171">
        <f t="shared" si="19"/>
        <v>4.5</v>
      </c>
      <c r="U171">
        <f t="shared" si="22"/>
        <v>179.3</v>
      </c>
      <c r="W171">
        <v>213.5</v>
      </c>
      <c r="X171">
        <f t="shared" si="23"/>
        <v>9678.9</v>
      </c>
      <c r="Y171">
        <v>8.5212718713954665</v>
      </c>
    </row>
    <row r="172" spans="1:25" x14ac:dyDescent="0.25">
      <c r="A172">
        <v>6360</v>
      </c>
      <c r="B172">
        <v>24170</v>
      </c>
      <c r="C172" s="1">
        <v>43117</v>
      </c>
      <c r="F172" s="47"/>
      <c r="G172">
        <v>5.5</v>
      </c>
      <c r="H172">
        <v>4</v>
      </c>
      <c r="I172">
        <v>8.5</v>
      </c>
      <c r="J172">
        <f t="shared" si="20"/>
        <v>1369.5</v>
      </c>
      <c r="K172">
        <f t="shared" si="21"/>
        <v>282.79999999999995</v>
      </c>
      <c r="M172">
        <v>6.2</v>
      </c>
      <c r="N172">
        <v>1.5</v>
      </c>
      <c r="O172">
        <f t="shared" si="17"/>
        <v>4.7</v>
      </c>
      <c r="Q172">
        <v>141</v>
      </c>
      <c r="R172">
        <v>1</v>
      </c>
      <c r="S172">
        <f t="shared" si="18"/>
        <v>1.5</v>
      </c>
      <c r="T172">
        <f t="shared" si="19"/>
        <v>4.7</v>
      </c>
      <c r="U172">
        <f t="shared" si="22"/>
        <v>179.3</v>
      </c>
      <c r="W172">
        <v>344.8</v>
      </c>
      <c r="X172">
        <f t="shared" si="23"/>
        <v>10023.699999999999</v>
      </c>
      <c r="Y172">
        <v>8.5560681619807628</v>
      </c>
    </row>
    <row r="173" spans="1:25" x14ac:dyDescent="0.25">
      <c r="A173">
        <v>6360</v>
      </c>
      <c r="B173">
        <v>24170</v>
      </c>
      <c r="C173" s="1">
        <v>43118</v>
      </c>
      <c r="F173" s="47"/>
      <c r="G173">
        <v>8.1999999999999993</v>
      </c>
      <c r="H173">
        <v>6.1</v>
      </c>
      <c r="I173">
        <v>9.8000000000000007</v>
      </c>
      <c r="J173">
        <f t="shared" si="20"/>
        <v>1377.7</v>
      </c>
      <c r="K173">
        <f t="shared" si="21"/>
        <v>290.99999999999994</v>
      </c>
      <c r="M173">
        <v>5.8</v>
      </c>
      <c r="N173">
        <v>0.7</v>
      </c>
      <c r="O173">
        <f t="shared" si="17"/>
        <v>5.0999999999999996</v>
      </c>
      <c r="Q173">
        <v>142</v>
      </c>
      <c r="R173">
        <v>1</v>
      </c>
      <c r="S173">
        <f t="shared" si="18"/>
        <v>0.7</v>
      </c>
      <c r="T173">
        <f t="shared" si="19"/>
        <v>5.0999999999999996</v>
      </c>
      <c r="U173">
        <f t="shared" si="22"/>
        <v>179.3</v>
      </c>
      <c r="W173">
        <v>135.9</v>
      </c>
      <c r="X173">
        <f t="shared" si="23"/>
        <v>10159.599999999999</v>
      </c>
      <c r="Y173">
        <v>8.591898987541251</v>
      </c>
    </row>
    <row r="174" spans="1:25" x14ac:dyDescent="0.25">
      <c r="A174">
        <v>6360</v>
      </c>
      <c r="B174">
        <v>24170</v>
      </c>
      <c r="C174" s="1">
        <v>43119</v>
      </c>
      <c r="E174">
        <v>23</v>
      </c>
      <c r="F174" s="47"/>
      <c r="G174">
        <v>4.5</v>
      </c>
      <c r="H174">
        <v>4</v>
      </c>
      <c r="I174">
        <v>5.6</v>
      </c>
      <c r="J174">
        <f t="shared" si="20"/>
        <v>1382.2</v>
      </c>
      <c r="K174">
        <f t="shared" si="21"/>
        <v>295.49999999999994</v>
      </c>
      <c r="M174">
        <v>4</v>
      </c>
      <c r="N174">
        <v>0.6</v>
      </c>
      <c r="O174">
        <f t="shared" si="17"/>
        <v>3.4</v>
      </c>
      <c r="Q174">
        <v>143</v>
      </c>
      <c r="R174">
        <v>1</v>
      </c>
      <c r="S174">
        <f t="shared" si="18"/>
        <v>0.6</v>
      </c>
      <c r="T174">
        <f t="shared" si="19"/>
        <v>3.4</v>
      </c>
      <c r="U174">
        <f t="shared" si="22"/>
        <v>179.3</v>
      </c>
      <c r="W174">
        <v>262.5</v>
      </c>
      <c r="X174">
        <f t="shared" si="23"/>
        <v>10422.099999999999</v>
      </c>
      <c r="Y174">
        <v>8.628739873290769</v>
      </c>
    </row>
    <row r="175" spans="1:25" x14ac:dyDescent="0.25">
      <c r="A175">
        <v>6360</v>
      </c>
      <c r="B175">
        <v>24170</v>
      </c>
      <c r="C175" s="1">
        <v>43120</v>
      </c>
      <c r="F175" s="47"/>
      <c r="G175">
        <v>6.5</v>
      </c>
      <c r="H175">
        <v>3.3</v>
      </c>
      <c r="I175">
        <v>9.8000000000000007</v>
      </c>
      <c r="J175">
        <f t="shared" si="20"/>
        <v>1388.7</v>
      </c>
      <c r="K175">
        <f t="shared" si="21"/>
        <v>301.99999999999994</v>
      </c>
      <c r="M175">
        <v>7.2</v>
      </c>
      <c r="N175">
        <v>0.4</v>
      </c>
      <c r="O175">
        <f t="shared" si="17"/>
        <v>6.8</v>
      </c>
      <c r="Q175">
        <v>144</v>
      </c>
      <c r="R175">
        <v>1</v>
      </c>
      <c r="S175">
        <f t="shared" si="18"/>
        <v>0.4</v>
      </c>
      <c r="T175">
        <f t="shared" si="19"/>
        <v>6.8</v>
      </c>
      <c r="U175">
        <f t="shared" si="22"/>
        <v>179.3</v>
      </c>
      <c r="W175">
        <v>115.8</v>
      </c>
      <c r="X175">
        <f t="shared" si="23"/>
        <v>10537.899999999998</v>
      </c>
      <c r="Y175">
        <v>8.6665661942206533</v>
      </c>
    </row>
    <row r="176" spans="1:25" x14ac:dyDescent="0.25">
      <c r="A176">
        <v>6360</v>
      </c>
      <c r="B176">
        <v>24170</v>
      </c>
      <c r="C176" s="1">
        <v>43121</v>
      </c>
      <c r="F176" s="47"/>
      <c r="G176">
        <v>6.8</v>
      </c>
      <c r="H176">
        <v>5.3</v>
      </c>
      <c r="I176">
        <v>11.4</v>
      </c>
      <c r="J176">
        <f t="shared" si="20"/>
        <v>1395.5</v>
      </c>
      <c r="K176">
        <f t="shared" si="21"/>
        <v>308.79999999999995</v>
      </c>
      <c r="M176">
        <v>12.7</v>
      </c>
      <c r="N176">
        <v>0.8</v>
      </c>
      <c r="O176">
        <f t="shared" si="17"/>
        <v>11.899999999999999</v>
      </c>
      <c r="Q176">
        <v>145</v>
      </c>
      <c r="R176">
        <v>1</v>
      </c>
      <c r="S176">
        <f t="shared" si="18"/>
        <v>0.8</v>
      </c>
      <c r="T176">
        <f t="shared" si="19"/>
        <v>11.899999999999999</v>
      </c>
      <c r="U176">
        <f t="shared" si="22"/>
        <v>179.3</v>
      </c>
      <c r="W176">
        <v>161</v>
      </c>
      <c r="X176">
        <f t="shared" si="23"/>
        <v>10698.899999999998</v>
      </c>
      <c r="Y176">
        <v>8.7053532238196372</v>
      </c>
    </row>
    <row r="177" spans="1:25" x14ac:dyDescent="0.25">
      <c r="A177">
        <v>6360</v>
      </c>
      <c r="B177">
        <v>24170</v>
      </c>
      <c r="C177" s="1">
        <v>43122</v>
      </c>
      <c r="F177" s="47"/>
      <c r="G177">
        <v>10.199999999999999</v>
      </c>
      <c r="H177">
        <v>7.1</v>
      </c>
      <c r="I177">
        <v>11.3</v>
      </c>
      <c r="J177">
        <f t="shared" si="20"/>
        <v>1405.7</v>
      </c>
      <c r="K177">
        <f t="shared" si="21"/>
        <v>318.99999999999994</v>
      </c>
      <c r="M177">
        <v>17.3</v>
      </c>
      <c r="N177">
        <v>0.2</v>
      </c>
      <c r="O177">
        <f t="shared" si="17"/>
        <v>17.100000000000001</v>
      </c>
      <c r="Q177">
        <v>146</v>
      </c>
      <c r="R177">
        <v>1</v>
      </c>
      <c r="S177">
        <f t="shared" si="18"/>
        <v>0.2</v>
      </c>
      <c r="T177">
        <f t="shared" si="19"/>
        <v>17.100000000000001</v>
      </c>
      <c r="U177">
        <f t="shared" si="22"/>
        <v>179.3</v>
      </c>
      <c r="W177">
        <v>97.8</v>
      </c>
      <c r="X177">
        <f t="shared" si="23"/>
        <v>10796.699999999997</v>
      </c>
      <c r="Y177">
        <v>8.7450761809225472</v>
      </c>
    </row>
    <row r="178" spans="1:25" x14ac:dyDescent="0.25">
      <c r="A178">
        <v>6360</v>
      </c>
      <c r="B178">
        <v>24170</v>
      </c>
      <c r="C178" s="1">
        <v>43123</v>
      </c>
      <c r="F178" s="47"/>
      <c r="G178">
        <v>9.4</v>
      </c>
      <c r="H178">
        <v>7.9</v>
      </c>
      <c r="I178">
        <v>11.6</v>
      </c>
      <c r="J178">
        <f t="shared" si="20"/>
        <v>1415.1000000000001</v>
      </c>
      <c r="K178">
        <f t="shared" si="21"/>
        <v>328.39999999999992</v>
      </c>
      <c r="M178">
        <v>0.1</v>
      </c>
      <c r="N178">
        <v>0.8</v>
      </c>
      <c r="O178">
        <f t="shared" si="17"/>
        <v>-0.70000000000000007</v>
      </c>
      <c r="Q178">
        <v>147</v>
      </c>
      <c r="R178">
        <v>1</v>
      </c>
      <c r="S178">
        <f t="shared" si="18"/>
        <v>0.8</v>
      </c>
      <c r="T178">
        <f t="shared" si="19"/>
        <v>-0.70000000000000007</v>
      </c>
      <c r="U178">
        <f t="shared" si="22"/>
        <v>178.60000000000002</v>
      </c>
      <c r="W178">
        <v>237.9</v>
      </c>
      <c r="X178">
        <f t="shared" si="23"/>
        <v>11034.599999999997</v>
      </c>
      <c r="Y178">
        <v>8.7857102745797597</v>
      </c>
    </row>
    <row r="179" spans="1:25" x14ac:dyDescent="0.25">
      <c r="A179">
        <v>6360</v>
      </c>
      <c r="B179">
        <v>24170</v>
      </c>
      <c r="C179" s="1">
        <v>43124</v>
      </c>
      <c r="F179" s="47"/>
      <c r="G179">
        <v>11.8</v>
      </c>
      <c r="H179">
        <v>10.9</v>
      </c>
      <c r="I179">
        <v>12.7</v>
      </c>
      <c r="J179">
        <f t="shared" si="20"/>
        <v>1426.9</v>
      </c>
      <c r="K179">
        <f t="shared" si="21"/>
        <v>340.19999999999993</v>
      </c>
      <c r="M179">
        <v>4.9000000000000004</v>
      </c>
      <c r="N179">
        <v>1.1000000000000001</v>
      </c>
      <c r="O179">
        <f t="shared" si="17"/>
        <v>3.8000000000000003</v>
      </c>
      <c r="Q179">
        <v>148</v>
      </c>
      <c r="R179">
        <v>1</v>
      </c>
      <c r="S179">
        <f t="shared" si="18"/>
        <v>1.1000000000000001</v>
      </c>
      <c r="T179">
        <f t="shared" si="19"/>
        <v>3.8000000000000003</v>
      </c>
      <c r="U179">
        <f t="shared" si="22"/>
        <v>179.3</v>
      </c>
      <c r="W179">
        <v>281.2</v>
      </c>
      <c r="X179">
        <f t="shared" si="23"/>
        <v>11315.799999999997</v>
      </c>
      <c r="Y179">
        <v>8.8272307468577846</v>
      </c>
    </row>
    <row r="180" spans="1:25" x14ac:dyDescent="0.25">
      <c r="A180">
        <v>6360</v>
      </c>
      <c r="B180">
        <v>24170</v>
      </c>
      <c r="C180" s="1">
        <v>43125</v>
      </c>
      <c r="F180" s="47"/>
      <c r="G180">
        <v>8.4</v>
      </c>
      <c r="H180">
        <v>7.9</v>
      </c>
      <c r="I180">
        <v>8.6999999999999993</v>
      </c>
      <c r="J180">
        <f t="shared" si="20"/>
        <v>1435.3000000000002</v>
      </c>
      <c r="K180">
        <f t="shared" si="21"/>
        <v>348.59999999999991</v>
      </c>
      <c r="M180">
        <v>2.2000000000000002</v>
      </c>
      <c r="N180">
        <v>0.3</v>
      </c>
      <c r="O180">
        <f t="shared" si="17"/>
        <v>1.9000000000000001</v>
      </c>
      <c r="Q180">
        <v>149</v>
      </c>
      <c r="R180">
        <v>1</v>
      </c>
      <c r="S180">
        <f t="shared" si="18"/>
        <v>0.3</v>
      </c>
      <c r="T180">
        <f t="shared" si="19"/>
        <v>1.9000000000000001</v>
      </c>
      <c r="U180">
        <f t="shared" si="22"/>
        <v>179.3</v>
      </c>
      <c r="W180">
        <v>121.1</v>
      </c>
      <c r="X180">
        <f t="shared" si="23"/>
        <v>11436.899999999998</v>
      </c>
      <c r="Y180">
        <v>8.8696129134990187</v>
      </c>
    </row>
    <row r="181" spans="1:25" x14ac:dyDescent="0.25">
      <c r="A181">
        <v>6360</v>
      </c>
      <c r="B181">
        <v>24170</v>
      </c>
      <c r="C181" s="1">
        <v>43126</v>
      </c>
      <c r="F181" s="47"/>
      <c r="G181">
        <v>5.9</v>
      </c>
      <c r="H181">
        <v>5.2</v>
      </c>
      <c r="I181">
        <v>7.9</v>
      </c>
      <c r="J181">
        <f t="shared" si="20"/>
        <v>1441.2000000000003</v>
      </c>
      <c r="K181">
        <f t="shared" si="21"/>
        <v>354.49999999999989</v>
      </c>
      <c r="M181">
        <v>0.1</v>
      </c>
      <c r="N181">
        <v>0.6</v>
      </c>
      <c r="O181">
        <f t="shared" si="17"/>
        <v>-0.5</v>
      </c>
      <c r="Q181">
        <v>150</v>
      </c>
      <c r="R181">
        <v>1</v>
      </c>
      <c r="S181">
        <f t="shared" si="18"/>
        <v>0.6</v>
      </c>
      <c r="T181">
        <f t="shared" si="19"/>
        <v>-0.5</v>
      </c>
      <c r="U181">
        <f t="shared" si="22"/>
        <v>178.8</v>
      </c>
      <c r="W181">
        <v>379.9</v>
      </c>
      <c r="X181">
        <f t="shared" si="23"/>
        <v>11816.799999999997</v>
      </c>
      <c r="Y181">
        <v>8.9128322023856104</v>
      </c>
    </row>
    <row r="182" spans="1:25" x14ac:dyDescent="0.25">
      <c r="A182">
        <v>6360</v>
      </c>
      <c r="B182">
        <v>24170</v>
      </c>
      <c r="C182" s="1">
        <v>43127</v>
      </c>
      <c r="D182" t="s">
        <v>37</v>
      </c>
      <c r="E182">
        <v>24</v>
      </c>
      <c r="F182" s="47"/>
      <c r="G182">
        <v>3.8</v>
      </c>
      <c r="H182">
        <v>2.8</v>
      </c>
      <c r="I182">
        <v>5.3</v>
      </c>
      <c r="J182">
        <f t="shared" si="20"/>
        <v>1445.0000000000002</v>
      </c>
      <c r="K182">
        <f t="shared" si="21"/>
        <v>358.2999999999999</v>
      </c>
      <c r="M182">
        <v>0.2</v>
      </c>
      <c r="N182">
        <v>0.4</v>
      </c>
      <c r="O182">
        <f t="shared" si="17"/>
        <v>-0.2</v>
      </c>
      <c r="Q182">
        <v>151</v>
      </c>
      <c r="R182">
        <v>1</v>
      </c>
      <c r="S182">
        <f t="shared" si="18"/>
        <v>0.4</v>
      </c>
      <c r="T182">
        <f t="shared" si="19"/>
        <v>-0.2</v>
      </c>
      <c r="U182">
        <f t="shared" si="22"/>
        <v>178.60000000000002</v>
      </c>
      <c r="W182">
        <v>251.4</v>
      </c>
      <c r="X182">
        <f t="shared" si="23"/>
        <v>12068.199999999997</v>
      </c>
      <c r="Y182">
        <v>8.9568641897682415</v>
      </c>
    </row>
    <row r="183" spans="1:25" x14ac:dyDescent="0.25">
      <c r="A183">
        <v>6360</v>
      </c>
      <c r="B183">
        <v>24170</v>
      </c>
      <c r="C183" s="1">
        <v>43128</v>
      </c>
      <c r="F183" s="47"/>
      <c r="G183">
        <v>7.6</v>
      </c>
      <c r="H183">
        <v>3.9</v>
      </c>
      <c r="I183">
        <v>9.6</v>
      </c>
      <c r="J183">
        <f t="shared" si="20"/>
        <v>1452.6000000000001</v>
      </c>
      <c r="K183">
        <f t="shared" si="21"/>
        <v>365.89999999999992</v>
      </c>
      <c r="M183">
        <v>1.5</v>
      </c>
      <c r="N183">
        <v>0.3</v>
      </c>
      <c r="O183">
        <f t="shared" si="17"/>
        <v>1.2</v>
      </c>
      <c r="Q183">
        <v>152</v>
      </c>
      <c r="R183">
        <v>1</v>
      </c>
      <c r="S183">
        <f t="shared" si="18"/>
        <v>0.3</v>
      </c>
      <c r="T183">
        <f t="shared" si="19"/>
        <v>1.2</v>
      </c>
      <c r="U183">
        <f t="shared" si="22"/>
        <v>179.3</v>
      </c>
      <c r="W183">
        <v>208.7</v>
      </c>
      <c r="X183">
        <f t="shared" si="23"/>
        <v>12276.899999999998</v>
      </c>
      <c r="Y183">
        <v>9.0016846342356249</v>
      </c>
    </row>
    <row r="184" spans="1:25" x14ac:dyDescent="0.25">
      <c r="A184">
        <v>6360</v>
      </c>
      <c r="B184">
        <v>24170</v>
      </c>
      <c r="C184" s="1">
        <v>43129</v>
      </c>
      <c r="F184" s="47"/>
      <c r="G184">
        <v>9.9</v>
      </c>
      <c r="H184">
        <v>9.5</v>
      </c>
      <c r="I184">
        <v>10.4</v>
      </c>
      <c r="J184">
        <f t="shared" si="20"/>
        <v>1462.5000000000002</v>
      </c>
      <c r="K184">
        <f t="shared" si="21"/>
        <v>375.7999999999999</v>
      </c>
      <c r="M184">
        <v>0</v>
      </c>
      <c r="N184">
        <v>0.8</v>
      </c>
      <c r="O184">
        <f t="shared" si="17"/>
        <v>-0.8</v>
      </c>
      <c r="Q184">
        <v>153</v>
      </c>
      <c r="R184">
        <v>1</v>
      </c>
      <c r="S184">
        <f t="shared" si="18"/>
        <v>0.8</v>
      </c>
      <c r="T184">
        <f t="shared" si="19"/>
        <v>-0.8</v>
      </c>
      <c r="U184">
        <f t="shared" si="22"/>
        <v>178.5</v>
      </c>
      <c r="W184">
        <v>133.4</v>
      </c>
      <c r="X184">
        <f t="shared" si="23"/>
        <v>12410.299999999997</v>
      </c>
      <c r="Y184">
        <v>9.0472695084143648</v>
      </c>
    </row>
    <row r="185" spans="1:25" x14ac:dyDescent="0.25">
      <c r="A185">
        <v>6360</v>
      </c>
      <c r="B185">
        <v>24170</v>
      </c>
      <c r="C185" s="1">
        <v>43130</v>
      </c>
      <c r="F185" s="47"/>
      <c r="G185">
        <v>9.6</v>
      </c>
      <c r="H185">
        <v>8.6999999999999993</v>
      </c>
      <c r="I185">
        <v>10.3</v>
      </c>
      <c r="J185">
        <f t="shared" si="20"/>
        <v>1472.1000000000001</v>
      </c>
      <c r="K185">
        <f t="shared" si="21"/>
        <v>385.39999999999992</v>
      </c>
      <c r="M185">
        <v>0.5</v>
      </c>
      <c r="N185">
        <v>0.5</v>
      </c>
      <c r="O185">
        <f t="shared" si="17"/>
        <v>0</v>
      </c>
      <c r="Q185">
        <v>154</v>
      </c>
      <c r="R185">
        <v>1</v>
      </c>
      <c r="S185">
        <f t="shared" si="18"/>
        <v>0.5</v>
      </c>
      <c r="T185">
        <f t="shared" si="19"/>
        <v>0</v>
      </c>
      <c r="U185">
        <f t="shared" si="22"/>
        <v>178.5</v>
      </c>
      <c r="W185">
        <v>135.4</v>
      </c>
      <c r="X185">
        <f t="shared" si="23"/>
        <v>12545.699999999997</v>
      </c>
      <c r="Y185">
        <v>9.0935950284015892</v>
      </c>
    </row>
    <row r="186" spans="1:25" x14ac:dyDescent="0.25">
      <c r="A186">
        <v>6360</v>
      </c>
      <c r="B186">
        <v>24170</v>
      </c>
      <c r="C186" s="1">
        <v>43131</v>
      </c>
      <c r="F186" s="47"/>
      <c r="G186">
        <v>7.4</v>
      </c>
      <c r="H186">
        <v>7.3</v>
      </c>
      <c r="I186">
        <v>8.1</v>
      </c>
      <c r="J186">
        <f t="shared" si="20"/>
        <v>1479.5000000000002</v>
      </c>
      <c r="K186">
        <f t="shared" si="21"/>
        <v>392.7999999999999</v>
      </c>
      <c r="M186">
        <v>16</v>
      </c>
      <c r="N186">
        <v>0.7</v>
      </c>
      <c r="O186">
        <f t="shared" si="17"/>
        <v>15.3</v>
      </c>
      <c r="Q186">
        <v>155</v>
      </c>
      <c r="R186">
        <v>1</v>
      </c>
      <c r="S186">
        <f t="shared" si="18"/>
        <v>0.7</v>
      </c>
      <c r="T186">
        <f t="shared" si="19"/>
        <v>15.3</v>
      </c>
      <c r="U186">
        <f t="shared" si="22"/>
        <v>179.3</v>
      </c>
      <c r="W186">
        <v>155.19999999999999</v>
      </c>
      <c r="X186">
        <f t="shared" si="23"/>
        <v>12700.899999999998</v>
      </c>
      <c r="Y186">
        <v>9.1406376809444865</v>
      </c>
    </row>
    <row r="187" spans="1:25" x14ac:dyDescent="0.25">
      <c r="A187">
        <v>6360</v>
      </c>
      <c r="B187">
        <v>24170</v>
      </c>
      <c r="C187" s="1">
        <v>43132</v>
      </c>
      <c r="F187" s="47"/>
      <c r="G187">
        <v>3.9</v>
      </c>
      <c r="H187">
        <v>2.1</v>
      </c>
      <c r="I187">
        <v>6.1</v>
      </c>
      <c r="J187">
        <f t="shared" si="20"/>
        <v>1483.4000000000003</v>
      </c>
      <c r="K187">
        <f t="shared" si="21"/>
        <v>396.69999999999987</v>
      </c>
      <c r="M187">
        <v>2</v>
      </c>
      <c r="N187">
        <v>0.6</v>
      </c>
      <c r="O187">
        <f t="shared" si="17"/>
        <v>1.4</v>
      </c>
      <c r="Q187">
        <v>156</v>
      </c>
      <c r="R187">
        <v>1</v>
      </c>
      <c r="S187">
        <f t="shared" si="18"/>
        <v>0.6</v>
      </c>
      <c r="T187">
        <f t="shared" si="19"/>
        <v>1.4</v>
      </c>
      <c r="U187">
        <f t="shared" si="22"/>
        <v>179.3</v>
      </c>
      <c r="W187">
        <v>474.7</v>
      </c>
      <c r="X187">
        <f t="shared" si="23"/>
        <v>13175.599999999999</v>
      </c>
      <c r="Y187">
        <v>9.1883742483913373</v>
      </c>
    </row>
    <row r="188" spans="1:25" x14ac:dyDescent="0.25">
      <c r="A188">
        <v>6360</v>
      </c>
      <c r="B188">
        <v>24170</v>
      </c>
      <c r="C188" s="1">
        <v>43133</v>
      </c>
      <c r="F188" s="47"/>
      <c r="G188">
        <v>4.2</v>
      </c>
      <c r="H188">
        <v>2.2999999999999998</v>
      </c>
      <c r="I188">
        <v>6.5</v>
      </c>
      <c r="J188">
        <f t="shared" si="20"/>
        <v>1487.6000000000004</v>
      </c>
      <c r="K188">
        <f t="shared" si="21"/>
        <v>400.89999999999986</v>
      </c>
      <c r="M188">
        <v>0.8</v>
      </c>
      <c r="N188">
        <v>0.7</v>
      </c>
      <c r="O188">
        <f t="shared" si="17"/>
        <v>0.10000000000000009</v>
      </c>
      <c r="Q188">
        <v>157</v>
      </c>
      <c r="R188">
        <v>1</v>
      </c>
      <c r="S188">
        <f t="shared" si="18"/>
        <v>0.7</v>
      </c>
      <c r="T188">
        <f t="shared" si="19"/>
        <v>0.10000000000000009</v>
      </c>
      <c r="U188">
        <f t="shared" si="22"/>
        <v>179.3</v>
      </c>
      <c r="W188">
        <v>259.3</v>
      </c>
      <c r="X188">
        <f t="shared" si="23"/>
        <v>13434.899999999998</v>
      </c>
      <c r="Y188">
        <v>9.2367818314481713</v>
      </c>
    </row>
    <row r="189" spans="1:25" x14ac:dyDescent="0.25">
      <c r="A189">
        <v>6360</v>
      </c>
      <c r="B189">
        <v>24170</v>
      </c>
      <c r="C189" s="1">
        <v>43134</v>
      </c>
      <c r="F189" s="47"/>
      <c r="G189">
        <v>3.3</v>
      </c>
      <c r="H189">
        <v>1.5</v>
      </c>
      <c r="I189">
        <v>4.4000000000000004</v>
      </c>
      <c r="J189">
        <f t="shared" si="20"/>
        <v>1490.9000000000003</v>
      </c>
      <c r="K189">
        <f t="shared" si="21"/>
        <v>404.19999999999987</v>
      </c>
      <c r="M189">
        <v>4.4000000000000004</v>
      </c>
      <c r="N189">
        <v>0.2</v>
      </c>
      <c r="O189">
        <f t="shared" si="17"/>
        <v>4.2</v>
      </c>
      <c r="Q189">
        <v>158</v>
      </c>
      <c r="R189">
        <v>1</v>
      </c>
      <c r="S189">
        <f t="shared" si="18"/>
        <v>0.2</v>
      </c>
      <c r="T189">
        <f t="shared" si="19"/>
        <v>4.2</v>
      </c>
      <c r="U189">
        <f t="shared" si="22"/>
        <v>179.3</v>
      </c>
      <c r="W189">
        <v>192.7</v>
      </c>
      <c r="X189">
        <f t="shared" si="23"/>
        <v>13627.599999999999</v>
      </c>
      <c r="Y189">
        <v>9.2858378697834691</v>
      </c>
    </row>
    <row r="190" spans="1:25" x14ac:dyDescent="0.25">
      <c r="A190">
        <v>6360</v>
      </c>
      <c r="B190">
        <v>24170</v>
      </c>
      <c r="C190" s="1">
        <v>43135</v>
      </c>
      <c r="F190" s="47"/>
      <c r="G190">
        <v>1.4</v>
      </c>
      <c r="H190">
        <v>1.1000000000000001</v>
      </c>
      <c r="I190">
        <v>1.9</v>
      </c>
      <c r="J190">
        <f t="shared" si="20"/>
        <v>1492.3000000000004</v>
      </c>
      <c r="K190">
        <f t="shared" si="21"/>
        <v>405.59999999999985</v>
      </c>
      <c r="M190">
        <v>0</v>
      </c>
      <c r="N190">
        <v>0.5</v>
      </c>
      <c r="O190">
        <f t="shared" si="17"/>
        <v>-0.5</v>
      </c>
      <c r="Q190">
        <v>159</v>
      </c>
      <c r="R190">
        <v>1</v>
      </c>
      <c r="S190">
        <f t="shared" si="18"/>
        <v>0.5</v>
      </c>
      <c r="T190">
        <f t="shared" si="19"/>
        <v>-0.5</v>
      </c>
      <c r="U190">
        <f t="shared" si="22"/>
        <v>178.8</v>
      </c>
      <c r="W190">
        <v>199.9</v>
      </c>
      <c r="X190">
        <f t="shared" si="23"/>
        <v>13827.499999999998</v>
      </c>
      <c r="Y190">
        <v>9.335520160530665</v>
      </c>
    </row>
    <row r="191" spans="1:25" x14ac:dyDescent="0.25">
      <c r="A191">
        <v>6360</v>
      </c>
      <c r="B191">
        <v>24170</v>
      </c>
      <c r="C191" s="1">
        <v>43136</v>
      </c>
      <c r="F191" s="47"/>
      <c r="G191">
        <v>-0.3</v>
      </c>
      <c r="H191">
        <v>-1.9</v>
      </c>
      <c r="I191">
        <v>1.3</v>
      </c>
      <c r="J191">
        <v>1492.3</v>
      </c>
      <c r="K191">
        <v>405.6</v>
      </c>
      <c r="M191">
        <v>0.3</v>
      </c>
      <c r="N191">
        <v>0.3</v>
      </c>
      <c r="O191">
        <f t="shared" si="17"/>
        <v>0</v>
      </c>
      <c r="Q191">
        <v>160</v>
      </c>
      <c r="R191">
        <v>1</v>
      </c>
      <c r="S191">
        <f t="shared" si="18"/>
        <v>0.3</v>
      </c>
      <c r="T191">
        <f t="shared" si="19"/>
        <v>0</v>
      </c>
      <c r="U191">
        <f t="shared" si="22"/>
        <v>178.8</v>
      </c>
      <c r="W191">
        <v>164.7</v>
      </c>
      <c r="X191">
        <f t="shared" si="23"/>
        <v>13992.199999999999</v>
      </c>
      <c r="Y191">
        <v>9.3858068747444907</v>
      </c>
    </row>
    <row r="192" spans="1:25" x14ac:dyDescent="0.25">
      <c r="A192">
        <v>6360</v>
      </c>
      <c r="B192">
        <v>24170</v>
      </c>
      <c r="C192" s="1">
        <v>43137</v>
      </c>
      <c r="F192" s="47"/>
      <c r="G192">
        <v>-0.6</v>
      </c>
      <c r="H192">
        <v>-1.4</v>
      </c>
      <c r="I192">
        <v>-0.3</v>
      </c>
      <c r="J192">
        <v>1492.3</v>
      </c>
      <c r="K192">
        <v>405.6</v>
      </c>
      <c r="M192">
        <v>0</v>
      </c>
      <c r="N192">
        <v>0.2</v>
      </c>
      <c r="O192">
        <f t="shared" si="17"/>
        <v>-0.2</v>
      </c>
      <c r="Q192">
        <v>161</v>
      </c>
      <c r="R192">
        <v>1</v>
      </c>
      <c r="S192">
        <f t="shared" si="18"/>
        <v>0.2</v>
      </c>
      <c r="T192">
        <f t="shared" si="19"/>
        <v>-0.2</v>
      </c>
      <c r="U192">
        <f t="shared" si="22"/>
        <v>178.60000000000002</v>
      </c>
      <c r="W192">
        <v>144.1</v>
      </c>
      <c r="X192">
        <f t="shared" si="23"/>
        <v>14136.3</v>
      </c>
      <c r="Y192">
        <v>9.4366765718725389</v>
      </c>
    </row>
    <row r="193" spans="1:27" x14ac:dyDescent="0.25">
      <c r="A193">
        <v>6360</v>
      </c>
      <c r="B193">
        <v>24170</v>
      </c>
      <c r="C193" s="1">
        <v>43138</v>
      </c>
      <c r="F193" s="47"/>
      <c r="G193">
        <v>-2</v>
      </c>
      <c r="H193">
        <v>-1.8</v>
      </c>
      <c r="I193">
        <v>-1.2</v>
      </c>
      <c r="J193">
        <v>1492.3</v>
      </c>
      <c r="K193">
        <v>405.6</v>
      </c>
      <c r="M193">
        <v>0</v>
      </c>
      <c r="N193">
        <v>0.3</v>
      </c>
      <c r="O193">
        <f t="shared" si="17"/>
        <v>-0.3</v>
      </c>
      <c r="Q193">
        <v>162</v>
      </c>
      <c r="R193">
        <v>1</v>
      </c>
      <c r="S193">
        <f t="shared" si="18"/>
        <v>0.3</v>
      </c>
      <c r="T193">
        <f t="shared" si="19"/>
        <v>-0.3</v>
      </c>
      <c r="U193">
        <f t="shared" si="22"/>
        <v>178.3</v>
      </c>
      <c r="W193">
        <v>162.4</v>
      </c>
      <c r="X193">
        <f t="shared" si="23"/>
        <v>14298.699999999999</v>
      </c>
      <c r="Y193">
        <v>9.4881082123078251</v>
      </c>
    </row>
    <row r="194" spans="1:27" x14ac:dyDescent="0.25">
      <c r="A194">
        <v>6360</v>
      </c>
      <c r="B194">
        <v>24170</v>
      </c>
      <c r="C194" s="1">
        <v>43139</v>
      </c>
      <c r="F194" s="47"/>
      <c r="G194">
        <v>-3.1</v>
      </c>
      <c r="H194">
        <v>-6.7</v>
      </c>
      <c r="I194">
        <v>1.7</v>
      </c>
      <c r="J194">
        <v>1492.3</v>
      </c>
      <c r="K194">
        <v>405.6</v>
      </c>
      <c r="M194">
        <v>0</v>
      </c>
      <c r="N194">
        <v>0.8</v>
      </c>
      <c r="O194">
        <f t="shared" si="17"/>
        <v>-0.8</v>
      </c>
      <c r="Q194">
        <v>163</v>
      </c>
      <c r="R194">
        <v>1</v>
      </c>
      <c r="S194">
        <f t="shared" si="18"/>
        <v>0.8</v>
      </c>
      <c r="T194">
        <f t="shared" si="19"/>
        <v>-0.8</v>
      </c>
      <c r="U194">
        <f t="shared" si="22"/>
        <v>177.5</v>
      </c>
      <c r="W194">
        <v>775.1</v>
      </c>
      <c r="X194">
        <f t="shared" si="23"/>
        <v>15073.8</v>
      </c>
      <c r="Y194">
        <v>9.5400811680917545</v>
      </c>
    </row>
    <row r="195" spans="1:27" x14ac:dyDescent="0.25">
      <c r="A195">
        <v>6360</v>
      </c>
      <c r="B195">
        <v>24170</v>
      </c>
      <c r="C195" s="1">
        <v>43140</v>
      </c>
      <c r="F195" s="47"/>
      <c r="G195">
        <v>-1.3</v>
      </c>
      <c r="H195">
        <v>-4</v>
      </c>
      <c r="I195">
        <v>0.8</v>
      </c>
      <c r="J195">
        <v>1492.3</v>
      </c>
      <c r="K195">
        <v>405.6</v>
      </c>
      <c r="M195">
        <v>0</v>
      </c>
      <c r="N195">
        <v>0.3</v>
      </c>
      <c r="O195">
        <f t="shared" si="17"/>
        <v>-0.3</v>
      </c>
      <c r="Q195">
        <v>164</v>
      </c>
      <c r="R195">
        <v>1</v>
      </c>
      <c r="S195">
        <f t="shared" si="18"/>
        <v>0.3</v>
      </c>
      <c r="T195">
        <f t="shared" si="19"/>
        <v>-0.3</v>
      </c>
      <c r="U195">
        <f t="shared" si="22"/>
        <v>177.2</v>
      </c>
      <c r="W195">
        <v>210.8</v>
      </c>
      <c r="X195">
        <f t="shared" si="23"/>
        <v>15284.599999999999</v>
      </c>
      <c r="Y195">
        <v>9.5925752318395485</v>
      </c>
    </row>
    <row r="196" spans="1:27" x14ac:dyDescent="0.25">
      <c r="A196">
        <v>6360</v>
      </c>
      <c r="B196">
        <v>24170</v>
      </c>
      <c r="C196" s="1">
        <v>43141</v>
      </c>
      <c r="F196" s="47"/>
      <c r="G196">
        <v>1.7</v>
      </c>
      <c r="H196">
        <v>-0.6</v>
      </c>
      <c r="I196">
        <v>4.2</v>
      </c>
      <c r="J196">
        <f t="shared" si="20"/>
        <v>1494</v>
      </c>
      <c r="K196">
        <f t="shared" si="21"/>
        <v>407.3</v>
      </c>
      <c r="M196">
        <v>4.3</v>
      </c>
      <c r="N196">
        <v>0.8</v>
      </c>
      <c r="O196">
        <f t="shared" si="17"/>
        <v>3.5</v>
      </c>
      <c r="Q196">
        <v>165</v>
      </c>
      <c r="R196">
        <v>1</v>
      </c>
      <c r="S196">
        <f t="shared" si="18"/>
        <v>0.8</v>
      </c>
      <c r="T196">
        <f t="shared" si="19"/>
        <v>3.5</v>
      </c>
      <c r="U196">
        <f t="shared" si="22"/>
        <v>179.3</v>
      </c>
      <c r="W196">
        <v>648.9</v>
      </c>
      <c r="X196">
        <f t="shared" si="23"/>
        <v>15933.499999999998</v>
      </c>
      <c r="Y196">
        <v>9.6455706239623762</v>
      </c>
    </row>
    <row r="197" spans="1:27" x14ac:dyDescent="0.25">
      <c r="A197">
        <v>6360</v>
      </c>
      <c r="B197">
        <v>24170</v>
      </c>
      <c r="C197" s="1">
        <v>43142</v>
      </c>
      <c r="F197" s="47"/>
      <c r="G197">
        <v>4.0999999999999996</v>
      </c>
      <c r="H197">
        <v>2.2000000000000002</v>
      </c>
      <c r="I197">
        <v>7</v>
      </c>
      <c r="J197">
        <f t="shared" si="20"/>
        <v>1498.1</v>
      </c>
      <c r="K197">
        <f t="shared" si="21"/>
        <v>411.40000000000003</v>
      </c>
      <c r="M197">
        <v>0.9</v>
      </c>
      <c r="N197">
        <v>1</v>
      </c>
      <c r="O197">
        <f t="shared" ref="O197:O260" si="24">M197-N197</f>
        <v>-9.9999999999999978E-2</v>
      </c>
      <c r="Q197">
        <v>166</v>
      </c>
      <c r="R197">
        <v>1</v>
      </c>
      <c r="S197">
        <f t="shared" ref="S197:S260" si="25">R197*N197</f>
        <v>1</v>
      </c>
      <c r="T197">
        <f t="shared" ref="T197:T260" si="26">M197-S197</f>
        <v>-9.9999999999999978E-2</v>
      </c>
      <c r="U197">
        <f t="shared" si="22"/>
        <v>179.20000000000002</v>
      </c>
      <c r="W197">
        <v>615.79999999999995</v>
      </c>
      <c r="X197">
        <f t="shared" si="23"/>
        <v>16549.3</v>
      </c>
      <c r="Y197">
        <v>9.6990479982616762</v>
      </c>
    </row>
    <row r="198" spans="1:27" x14ac:dyDescent="0.25">
      <c r="A198">
        <v>6360</v>
      </c>
      <c r="B198">
        <v>24170</v>
      </c>
      <c r="C198" s="1">
        <v>43143</v>
      </c>
      <c r="F198" s="47"/>
      <c r="G198">
        <v>1.8</v>
      </c>
      <c r="H198">
        <v>-0.1</v>
      </c>
      <c r="I198">
        <v>5.3</v>
      </c>
      <c r="J198">
        <f t="shared" si="20"/>
        <v>1499.8999999999999</v>
      </c>
      <c r="K198">
        <f t="shared" si="21"/>
        <v>413.20000000000005</v>
      </c>
      <c r="M198">
        <v>0.1</v>
      </c>
      <c r="N198">
        <v>1.1000000000000001</v>
      </c>
      <c r="O198">
        <f t="shared" si="24"/>
        <v>-1</v>
      </c>
      <c r="Q198">
        <v>167</v>
      </c>
      <c r="R198">
        <v>1</v>
      </c>
      <c r="S198">
        <f t="shared" si="25"/>
        <v>1.1000000000000001</v>
      </c>
      <c r="T198">
        <f t="shared" si="26"/>
        <v>-1</v>
      </c>
      <c r="U198">
        <f t="shared" si="22"/>
        <v>178.20000000000002</v>
      </c>
      <c r="W198">
        <v>1055.5</v>
      </c>
      <c r="X198">
        <f t="shared" si="23"/>
        <v>17604.8</v>
      </c>
      <c r="Y198">
        <v>9.7529884459719725</v>
      </c>
    </row>
    <row r="199" spans="1:27" x14ac:dyDescent="0.25">
      <c r="A199">
        <v>6360</v>
      </c>
      <c r="B199">
        <v>24170</v>
      </c>
      <c r="C199" s="1">
        <v>43144</v>
      </c>
      <c r="F199" s="47"/>
      <c r="G199">
        <v>1</v>
      </c>
      <c r="H199">
        <v>-0.7</v>
      </c>
      <c r="I199">
        <v>3.2</v>
      </c>
      <c r="J199">
        <f t="shared" si="20"/>
        <v>1500.8999999999999</v>
      </c>
      <c r="K199">
        <f t="shared" si="21"/>
        <v>414.20000000000005</v>
      </c>
      <c r="M199">
        <v>0.4</v>
      </c>
      <c r="N199">
        <v>0.8</v>
      </c>
      <c r="O199">
        <f t="shared" si="24"/>
        <v>-0.4</v>
      </c>
      <c r="Q199">
        <v>168</v>
      </c>
      <c r="R199">
        <v>1</v>
      </c>
      <c r="S199">
        <f t="shared" si="25"/>
        <v>0.8</v>
      </c>
      <c r="T199">
        <f t="shared" si="26"/>
        <v>-0.4</v>
      </c>
      <c r="U199">
        <f t="shared" si="22"/>
        <v>177.8</v>
      </c>
      <c r="W199">
        <v>486.2</v>
      </c>
      <c r="X199">
        <f t="shared" si="23"/>
        <v>18091</v>
      </c>
      <c r="Y199">
        <v>9.8073734983286496</v>
      </c>
    </row>
    <row r="200" spans="1:27" x14ac:dyDescent="0.25">
      <c r="A200">
        <v>6360</v>
      </c>
      <c r="B200">
        <v>24170</v>
      </c>
      <c r="C200" s="1">
        <v>43145</v>
      </c>
      <c r="F200" s="47"/>
      <c r="G200">
        <v>2.5</v>
      </c>
      <c r="H200">
        <v>0.8</v>
      </c>
      <c r="I200">
        <v>6.3</v>
      </c>
      <c r="J200">
        <f t="shared" si="20"/>
        <v>1503.3999999999999</v>
      </c>
      <c r="K200">
        <f t="shared" si="21"/>
        <v>416.70000000000005</v>
      </c>
      <c r="M200">
        <v>7.8</v>
      </c>
      <c r="N200">
        <v>0.9</v>
      </c>
      <c r="O200">
        <f t="shared" si="24"/>
        <v>6.8999999999999995</v>
      </c>
      <c r="Q200">
        <v>169</v>
      </c>
      <c r="R200">
        <v>1</v>
      </c>
      <c r="S200">
        <f t="shared" si="25"/>
        <v>0.9</v>
      </c>
      <c r="T200">
        <f t="shared" si="26"/>
        <v>6.8999999999999995</v>
      </c>
      <c r="U200">
        <f t="shared" si="22"/>
        <v>179.3</v>
      </c>
      <c r="W200">
        <v>529.1</v>
      </c>
      <c r="X200">
        <f t="shared" si="23"/>
        <v>18620.099999999999</v>
      </c>
      <c r="Y200">
        <v>9.8621851277368773</v>
      </c>
    </row>
    <row r="201" spans="1:27" x14ac:dyDescent="0.25">
      <c r="A201">
        <v>6360</v>
      </c>
      <c r="B201">
        <v>24170</v>
      </c>
      <c r="C201" s="1">
        <v>43146</v>
      </c>
      <c r="F201" s="47"/>
      <c r="G201">
        <v>7.7</v>
      </c>
      <c r="H201">
        <v>3.7</v>
      </c>
      <c r="I201">
        <v>10.7</v>
      </c>
      <c r="J201">
        <f t="shared" si="20"/>
        <v>1511.1</v>
      </c>
      <c r="K201">
        <f t="shared" si="21"/>
        <v>424.40000000000003</v>
      </c>
      <c r="M201">
        <v>5.2</v>
      </c>
      <c r="N201">
        <v>0.2</v>
      </c>
      <c r="O201">
        <f t="shared" si="24"/>
        <v>5</v>
      </c>
      <c r="Q201">
        <v>170</v>
      </c>
      <c r="R201">
        <v>1</v>
      </c>
      <c r="S201">
        <f t="shared" si="25"/>
        <v>0.2</v>
      </c>
      <c r="T201">
        <f t="shared" si="26"/>
        <v>5</v>
      </c>
      <c r="U201">
        <f t="shared" si="22"/>
        <v>179.3</v>
      </c>
      <c r="W201">
        <v>155.4</v>
      </c>
      <c r="X201">
        <f t="shared" si="23"/>
        <v>18775.5</v>
      </c>
      <c r="Y201">
        <v>9.9174057476171598</v>
      </c>
    </row>
    <row r="202" spans="1:27" x14ac:dyDescent="0.25">
      <c r="A202">
        <v>6360</v>
      </c>
      <c r="B202">
        <v>24170</v>
      </c>
      <c r="C202" s="1">
        <v>43147</v>
      </c>
      <c r="F202" s="47"/>
      <c r="G202">
        <v>5.2</v>
      </c>
      <c r="H202">
        <v>1.6</v>
      </c>
      <c r="I202">
        <v>8.8000000000000007</v>
      </c>
      <c r="J202">
        <f t="shared" si="20"/>
        <v>1516.3</v>
      </c>
      <c r="K202">
        <f t="shared" si="21"/>
        <v>429.6</v>
      </c>
      <c r="M202" s="52">
        <v>0</v>
      </c>
      <c r="N202">
        <v>0.9</v>
      </c>
      <c r="O202">
        <f t="shared" si="24"/>
        <v>-0.9</v>
      </c>
      <c r="Q202">
        <v>171</v>
      </c>
      <c r="R202">
        <v>1</v>
      </c>
      <c r="S202">
        <f t="shared" si="25"/>
        <v>0.9</v>
      </c>
      <c r="T202">
        <f t="shared" si="26"/>
        <v>-0.9</v>
      </c>
      <c r="U202">
        <f t="shared" si="22"/>
        <v>178.4</v>
      </c>
      <c r="W202">
        <v>837.2</v>
      </c>
      <c r="X202">
        <f t="shared" si="23"/>
        <v>19612.7</v>
      </c>
      <c r="Y202">
        <v>9.9730182110017829</v>
      </c>
      <c r="AA202" t="s">
        <v>61</v>
      </c>
    </row>
    <row r="203" spans="1:27" x14ac:dyDescent="0.25">
      <c r="A203">
        <v>6360</v>
      </c>
      <c r="B203">
        <v>24170</v>
      </c>
      <c r="C203" s="1">
        <v>43148</v>
      </c>
      <c r="F203" s="47"/>
      <c r="G203">
        <v>4.3</v>
      </c>
      <c r="H203">
        <v>4</v>
      </c>
      <c r="I203">
        <v>6.2</v>
      </c>
      <c r="J203">
        <f t="shared" si="20"/>
        <v>1520.6</v>
      </c>
      <c r="K203">
        <f t="shared" si="21"/>
        <v>433.90000000000003</v>
      </c>
      <c r="M203" s="52">
        <v>0</v>
      </c>
      <c r="N203">
        <v>0.7</v>
      </c>
      <c r="O203">
        <f t="shared" si="24"/>
        <v>-0.7</v>
      </c>
      <c r="Q203">
        <v>172</v>
      </c>
      <c r="R203">
        <v>1</v>
      </c>
      <c r="S203">
        <f t="shared" si="25"/>
        <v>0.7</v>
      </c>
      <c r="T203">
        <f t="shared" si="26"/>
        <v>-0.7</v>
      </c>
      <c r="U203">
        <f t="shared" si="22"/>
        <v>177.70000000000002</v>
      </c>
      <c r="W203">
        <v>243.2</v>
      </c>
      <c r="X203">
        <f t="shared" si="23"/>
        <v>19855.900000000001</v>
      </c>
      <c r="Y203">
        <v>10.029005807955066</v>
      </c>
      <c r="AA203" s="2">
        <f>AVERAGE(U209:U222)</f>
        <v>170.01453667953669</v>
      </c>
    </row>
    <row r="204" spans="1:27" x14ac:dyDescent="0.25">
      <c r="A204">
        <v>6360</v>
      </c>
      <c r="B204">
        <v>24170</v>
      </c>
      <c r="C204" s="1">
        <v>43149</v>
      </c>
      <c r="F204" s="47"/>
      <c r="G204">
        <v>2.9</v>
      </c>
      <c r="H204">
        <v>0.3</v>
      </c>
      <c r="I204">
        <v>6</v>
      </c>
      <c r="J204">
        <f t="shared" si="20"/>
        <v>1523.5</v>
      </c>
      <c r="K204">
        <f t="shared" si="21"/>
        <v>436.8</v>
      </c>
      <c r="M204" s="52">
        <v>0</v>
      </c>
      <c r="N204">
        <v>1</v>
      </c>
      <c r="O204">
        <f t="shared" si="24"/>
        <v>-1</v>
      </c>
      <c r="Q204">
        <v>173</v>
      </c>
      <c r="R204">
        <v>1</v>
      </c>
      <c r="S204">
        <f t="shared" si="25"/>
        <v>1</v>
      </c>
      <c r="T204">
        <f t="shared" si="26"/>
        <v>-1</v>
      </c>
      <c r="U204">
        <f t="shared" si="22"/>
        <v>176.70000000000002</v>
      </c>
      <c r="W204">
        <v>931.5</v>
      </c>
      <c r="X204">
        <f t="shared" si="23"/>
        <v>20787.400000000001</v>
      </c>
      <c r="Y204">
        <v>10.085352261888584</v>
      </c>
      <c r="AA204" t="s">
        <v>62</v>
      </c>
    </row>
    <row r="205" spans="1:27" x14ac:dyDescent="0.25">
      <c r="A205">
        <v>6360</v>
      </c>
      <c r="B205">
        <v>24170</v>
      </c>
      <c r="C205" s="1">
        <v>43150</v>
      </c>
      <c r="F205" s="47"/>
      <c r="G205">
        <v>2.8</v>
      </c>
      <c r="H205">
        <v>-0.2</v>
      </c>
      <c r="I205">
        <v>4.5999999999999996</v>
      </c>
      <c r="J205">
        <f t="shared" si="20"/>
        <v>1526.3</v>
      </c>
      <c r="K205">
        <f t="shared" si="21"/>
        <v>439.6</v>
      </c>
      <c r="M205" s="52">
        <v>2.2999999999999998</v>
      </c>
      <c r="N205">
        <v>0.3</v>
      </c>
      <c r="O205">
        <f t="shared" si="24"/>
        <v>1.9999999999999998</v>
      </c>
      <c r="Q205">
        <v>174</v>
      </c>
      <c r="R205">
        <v>1</v>
      </c>
      <c r="S205">
        <f t="shared" si="25"/>
        <v>0.3</v>
      </c>
      <c r="T205">
        <f t="shared" si="26"/>
        <v>1.9999999999999998</v>
      </c>
      <c r="U205">
        <f t="shared" si="22"/>
        <v>178.70000000000002</v>
      </c>
      <c r="W205">
        <v>172.4</v>
      </c>
      <c r="X205">
        <f t="shared" si="23"/>
        <v>20959.800000000003</v>
      </c>
      <c r="Y205">
        <v>10.142041724840391</v>
      </c>
      <c r="AA205">
        <v>6</v>
      </c>
    </row>
    <row r="206" spans="1:27" x14ac:dyDescent="0.25">
      <c r="A206">
        <v>6360</v>
      </c>
      <c r="B206">
        <v>24170</v>
      </c>
      <c r="C206" s="1">
        <v>43151</v>
      </c>
      <c r="F206" s="47"/>
      <c r="G206">
        <v>4.0999999999999996</v>
      </c>
      <c r="H206">
        <v>2.7</v>
      </c>
      <c r="I206">
        <v>5.2</v>
      </c>
      <c r="J206">
        <f t="shared" si="20"/>
        <v>1530.3999999999999</v>
      </c>
      <c r="K206">
        <f t="shared" si="21"/>
        <v>443.70000000000005</v>
      </c>
      <c r="M206" s="52">
        <v>0</v>
      </c>
      <c r="N206">
        <v>0.5</v>
      </c>
      <c r="O206">
        <f t="shared" si="24"/>
        <v>-0.5</v>
      </c>
      <c r="Q206">
        <v>175</v>
      </c>
      <c r="R206">
        <v>1</v>
      </c>
      <c r="S206">
        <f t="shared" si="25"/>
        <v>0.5</v>
      </c>
      <c r="T206">
        <f t="shared" si="26"/>
        <v>-0.5</v>
      </c>
      <c r="U206">
        <f t="shared" si="22"/>
        <v>178.20000000000002</v>
      </c>
      <c r="W206">
        <v>229.8</v>
      </c>
      <c r="X206">
        <f t="shared" si="23"/>
        <v>21189.600000000002</v>
      </c>
      <c r="Y206">
        <v>10.19905877178533</v>
      </c>
      <c r="AA206" t="s">
        <v>63</v>
      </c>
    </row>
    <row r="207" spans="1:27" x14ac:dyDescent="0.25">
      <c r="A207">
        <v>6360</v>
      </c>
      <c r="B207">
        <v>24170</v>
      </c>
      <c r="C207" s="1">
        <v>43152</v>
      </c>
      <c r="F207" s="47"/>
      <c r="G207">
        <v>1.6</v>
      </c>
      <c r="H207">
        <v>-0.3</v>
      </c>
      <c r="I207">
        <v>2.7</v>
      </c>
      <c r="J207">
        <f t="shared" si="20"/>
        <v>1531.9999999999998</v>
      </c>
      <c r="K207">
        <f t="shared" si="21"/>
        <v>445.30000000000007</v>
      </c>
      <c r="M207" s="52">
        <v>0</v>
      </c>
      <c r="N207">
        <v>0.9</v>
      </c>
      <c r="O207">
        <f t="shared" si="24"/>
        <v>-0.9</v>
      </c>
      <c r="Q207">
        <v>176</v>
      </c>
      <c r="R207">
        <v>1</v>
      </c>
      <c r="S207">
        <f t="shared" si="25"/>
        <v>0.9</v>
      </c>
      <c r="T207">
        <f t="shared" si="26"/>
        <v>-0.9</v>
      </c>
      <c r="U207">
        <f t="shared" si="22"/>
        <v>177.3</v>
      </c>
      <c r="W207">
        <v>944.6</v>
      </c>
      <c r="X207">
        <f t="shared" si="23"/>
        <v>22134.2</v>
      </c>
      <c r="Y207">
        <v>10.256388394040927</v>
      </c>
      <c r="AA207">
        <v>5</v>
      </c>
    </row>
    <row r="208" spans="1:27" x14ac:dyDescent="0.25">
      <c r="A208">
        <v>6360</v>
      </c>
      <c r="B208">
        <v>24170</v>
      </c>
      <c r="C208" s="1">
        <v>43153</v>
      </c>
      <c r="F208" s="47"/>
      <c r="G208">
        <v>0.8</v>
      </c>
      <c r="H208">
        <v>-2</v>
      </c>
      <c r="I208">
        <v>2.9</v>
      </c>
      <c r="J208">
        <f t="shared" si="20"/>
        <v>1532.7999999999997</v>
      </c>
      <c r="K208">
        <f t="shared" si="21"/>
        <v>446.10000000000008</v>
      </c>
      <c r="M208" s="52">
        <v>0</v>
      </c>
      <c r="N208">
        <v>1.3</v>
      </c>
      <c r="O208">
        <f t="shared" si="24"/>
        <v>-1.3</v>
      </c>
      <c r="Q208">
        <v>177</v>
      </c>
      <c r="R208">
        <v>1</v>
      </c>
      <c r="S208">
        <f t="shared" si="25"/>
        <v>1.3</v>
      </c>
      <c r="T208">
        <f t="shared" si="26"/>
        <v>-1.3</v>
      </c>
      <c r="U208">
        <f t="shared" si="22"/>
        <v>176</v>
      </c>
      <c r="W208">
        <v>1335.2</v>
      </c>
      <c r="X208">
        <f t="shared" si="23"/>
        <v>23469.4</v>
      </c>
      <c r="Y208">
        <v>10.314015991831035</v>
      </c>
      <c r="AA208" t="s">
        <v>64</v>
      </c>
    </row>
    <row r="209" spans="1:28" x14ac:dyDescent="0.25">
      <c r="A209">
        <v>6360</v>
      </c>
      <c r="B209">
        <v>24170</v>
      </c>
      <c r="C209" s="1">
        <v>43154</v>
      </c>
      <c r="F209" s="47"/>
      <c r="G209">
        <v>0.3</v>
      </c>
      <c r="H209">
        <v>-2.2999999999999998</v>
      </c>
      <c r="I209">
        <v>2.2000000000000002</v>
      </c>
      <c r="J209">
        <f t="shared" si="20"/>
        <v>1533.0999999999997</v>
      </c>
      <c r="K209">
        <f t="shared" si="21"/>
        <v>446.40000000000009</v>
      </c>
      <c r="M209" s="52">
        <v>0</v>
      </c>
      <c r="N209">
        <v>1.6</v>
      </c>
      <c r="O209">
        <f t="shared" si="24"/>
        <v>-1.6</v>
      </c>
      <c r="Q209">
        <v>178</v>
      </c>
      <c r="R209">
        <v>1</v>
      </c>
      <c r="S209">
        <f t="shared" si="25"/>
        <v>1.6</v>
      </c>
      <c r="T209">
        <f t="shared" si="26"/>
        <v>-1.6</v>
      </c>
      <c r="U209" s="52">
        <f t="shared" si="22"/>
        <v>174.4</v>
      </c>
      <c r="W209">
        <v>1336.9</v>
      </c>
      <c r="X209">
        <f t="shared" si="23"/>
        <v>24806.300000000003</v>
      </c>
      <c r="Y209">
        <v>10.371927366066771</v>
      </c>
      <c r="AA209">
        <v>1</v>
      </c>
    </row>
    <row r="210" spans="1:28" x14ac:dyDescent="0.25">
      <c r="A210">
        <v>6360</v>
      </c>
      <c r="B210">
        <v>24170</v>
      </c>
      <c r="C210" s="1">
        <v>43155</v>
      </c>
      <c r="F210" s="47"/>
      <c r="G210">
        <v>1.3</v>
      </c>
      <c r="H210">
        <v>-1.7</v>
      </c>
      <c r="I210">
        <v>4.5999999999999996</v>
      </c>
      <c r="J210">
        <f t="shared" si="20"/>
        <v>1534.3999999999996</v>
      </c>
      <c r="K210">
        <f t="shared" si="21"/>
        <v>447.7000000000001</v>
      </c>
      <c r="M210" s="52">
        <v>0</v>
      </c>
      <c r="N210">
        <v>2.1</v>
      </c>
      <c r="O210">
        <f t="shared" si="24"/>
        <v>-2.1</v>
      </c>
      <c r="Q210">
        <v>179</v>
      </c>
      <c r="R210">
        <v>1</v>
      </c>
      <c r="S210">
        <f t="shared" si="25"/>
        <v>2.1</v>
      </c>
      <c r="T210">
        <f t="shared" si="26"/>
        <v>-2.1</v>
      </c>
      <c r="U210" s="52">
        <f t="shared" si="22"/>
        <v>172.3</v>
      </c>
      <c r="W210">
        <v>1403</v>
      </c>
      <c r="X210">
        <f t="shared" si="23"/>
        <v>26209.300000000003</v>
      </c>
      <c r="Y210">
        <v>10.430108709401598</v>
      </c>
      <c r="AA210" t="s">
        <v>65</v>
      </c>
    </row>
    <row r="211" spans="1:28" x14ac:dyDescent="0.25">
      <c r="A211">
        <v>6360</v>
      </c>
      <c r="B211">
        <v>24170</v>
      </c>
      <c r="C211" s="1">
        <v>43156</v>
      </c>
      <c r="F211" s="47"/>
      <c r="G211">
        <v>-0.4</v>
      </c>
      <c r="H211">
        <v>-2.2000000000000002</v>
      </c>
      <c r="I211">
        <v>1.3</v>
      </c>
      <c r="J211">
        <v>1534.4</v>
      </c>
      <c r="K211">
        <v>447.7</v>
      </c>
      <c r="M211" s="52">
        <v>0</v>
      </c>
      <c r="N211">
        <v>2</v>
      </c>
      <c r="O211">
        <f t="shared" si="24"/>
        <v>-2</v>
      </c>
      <c r="Q211">
        <v>180</v>
      </c>
      <c r="R211">
        <v>1</v>
      </c>
      <c r="S211">
        <f t="shared" si="25"/>
        <v>2</v>
      </c>
      <c r="T211">
        <f t="shared" si="26"/>
        <v>-2</v>
      </c>
      <c r="U211" s="52">
        <f t="shared" si="22"/>
        <v>170.3</v>
      </c>
      <c r="W211">
        <v>1429.8</v>
      </c>
      <c r="X211">
        <f t="shared" si="23"/>
        <v>27639.100000000002</v>
      </c>
      <c r="Y211">
        <v>10.488546596614805</v>
      </c>
      <c r="AA211">
        <f>SUM(M213:M222)</f>
        <v>20.7</v>
      </c>
    </row>
    <row r="212" spans="1:28" s="53" customFormat="1" x14ac:dyDescent="0.25">
      <c r="A212" s="53">
        <v>6360</v>
      </c>
      <c r="B212" s="53">
        <v>24170</v>
      </c>
      <c r="C212" s="54">
        <v>43157</v>
      </c>
      <c r="D212" s="53" t="s">
        <v>66</v>
      </c>
      <c r="F212" s="47"/>
      <c r="G212" s="53">
        <v>-3</v>
      </c>
      <c r="H212" s="53">
        <v>-4.3</v>
      </c>
      <c r="I212" s="53">
        <v>-1.6</v>
      </c>
      <c r="J212" s="53">
        <v>1534.4</v>
      </c>
      <c r="K212" s="53">
        <v>447.7</v>
      </c>
      <c r="M212" s="53">
        <v>0</v>
      </c>
      <c r="N212" s="53">
        <v>1.7</v>
      </c>
      <c r="O212" s="53">
        <f t="shared" si="24"/>
        <v>-1.7</v>
      </c>
      <c r="Q212" s="53">
        <v>181</v>
      </c>
      <c r="R212" s="53">
        <v>1</v>
      </c>
      <c r="S212" s="53">
        <f t="shared" si="25"/>
        <v>1.7</v>
      </c>
      <c r="T212" s="53">
        <f t="shared" si="26"/>
        <v>-1.7</v>
      </c>
      <c r="U212" s="53">
        <f t="shared" si="22"/>
        <v>168.60000000000002</v>
      </c>
      <c r="W212" s="53">
        <v>1468.5</v>
      </c>
      <c r="X212" s="53">
        <f t="shared" si="23"/>
        <v>29107.600000000002</v>
      </c>
      <c r="Y212" s="53">
        <v>10.547227974374831</v>
      </c>
    </row>
    <row r="213" spans="1:28" x14ac:dyDescent="0.25">
      <c r="A213">
        <v>6360</v>
      </c>
      <c r="B213">
        <v>24170</v>
      </c>
      <c r="C213" s="1">
        <v>43158</v>
      </c>
      <c r="F213" s="47"/>
      <c r="G213">
        <v>-5.0999999999999996</v>
      </c>
      <c r="H213">
        <v>-5.9</v>
      </c>
      <c r="I213">
        <v>-3.4</v>
      </c>
      <c r="J213">
        <v>1534.4</v>
      </c>
      <c r="K213">
        <v>447.7</v>
      </c>
      <c r="M213" s="52">
        <v>0</v>
      </c>
      <c r="N213">
        <v>1.1000000000000001</v>
      </c>
      <c r="O213">
        <f t="shared" si="24"/>
        <v>-1.1000000000000001</v>
      </c>
      <c r="Q213">
        <v>182</v>
      </c>
      <c r="R213">
        <v>1</v>
      </c>
      <c r="S213">
        <f t="shared" si="25"/>
        <v>1.1000000000000001</v>
      </c>
      <c r="T213">
        <f t="shared" si="26"/>
        <v>-1.1000000000000001</v>
      </c>
      <c r="U213" s="52">
        <f t="shared" si="22"/>
        <v>167.50000000000003</v>
      </c>
      <c r="W213">
        <v>1492.4</v>
      </c>
      <c r="X213">
        <f t="shared" si="23"/>
        <v>30600.000000000004</v>
      </c>
      <c r="Y213">
        <v>10.606140150431251</v>
      </c>
    </row>
    <row r="214" spans="1:28" x14ac:dyDescent="0.25">
      <c r="A214">
        <v>6360</v>
      </c>
      <c r="B214">
        <v>24170</v>
      </c>
      <c r="C214" s="1">
        <v>43159</v>
      </c>
      <c r="F214" s="47"/>
      <c r="G214">
        <v>-4.9000000000000004</v>
      </c>
      <c r="H214">
        <v>-9.1999999999999993</v>
      </c>
      <c r="I214">
        <v>-2</v>
      </c>
      <c r="J214">
        <v>1534.4</v>
      </c>
      <c r="K214">
        <v>447.7</v>
      </c>
      <c r="M214" s="52">
        <v>0</v>
      </c>
      <c r="N214">
        <v>1.3</v>
      </c>
      <c r="O214">
        <f t="shared" si="24"/>
        <v>-1.3</v>
      </c>
      <c r="Q214">
        <v>183</v>
      </c>
      <c r="R214">
        <v>1</v>
      </c>
      <c r="S214">
        <f t="shared" si="25"/>
        <v>1.3</v>
      </c>
      <c r="T214">
        <f t="shared" si="26"/>
        <v>-1.3</v>
      </c>
      <c r="U214" s="52">
        <f t="shared" si="22"/>
        <v>166.20000000000002</v>
      </c>
      <c r="W214">
        <v>1054.9000000000001</v>
      </c>
      <c r="X214">
        <f t="shared" si="23"/>
        <v>31654.900000000005</v>
      </c>
      <c r="Y214">
        <v>10.665270782281508</v>
      </c>
    </row>
    <row r="215" spans="1:28" x14ac:dyDescent="0.25">
      <c r="A215">
        <v>6360</v>
      </c>
      <c r="B215">
        <v>24170</v>
      </c>
      <c r="C215" s="1">
        <v>43160</v>
      </c>
      <c r="F215" s="47"/>
      <c r="G215">
        <v>-1</v>
      </c>
      <c r="H215">
        <v>-4.2</v>
      </c>
      <c r="I215">
        <v>1.8</v>
      </c>
      <c r="J215">
        <v>1534.4</v>
      </c>
      <c r="K215">
        <v>447.7</v>
      </c>
      <c r="M215" s="52">
        <v>0</v>
      </c>
      <c r="N215">
        <v>1.2</v>
      </c>
      <c r="O215">
        <f t="shared" si="24"/>
        <v>-1.2</v>
      </c>
      <c r="Q215">
        <v>184</v>
      </c>
      <c r="R215">
        <v>1</v>
      </c>
      <c r="S215">
        <f t="shared" si="25"/>
        <v>1.2</v>
      </c>
      <c r="T215">
        <f t="shared" si="26"/>
        <v>-1.2</v>
      </c>
      <c r="U215" s="52">
        <f t="shared" si="22"/>
        <v>165.00000000000003</v>
      </c>
      <c r="W215">
        <v>300.89999999999998</v>
      </c>
      <c r="X215">
        <f t="shared" si="23"/>
        <v>31955.800000000007</v>
      </c>
      <c r="Y215">
        <v>10.724607865355823</v>
      </c>
    </row>
    <row r="216" spans="1:28" s="6" customFormat="1" ht="15.75" thickBot="1" x14ac:dyDescent="0.3">
      <c r="A216" s="6">
        <v>6360</v>
      </c>
      <c r="B216" s="6">
        <v>24170</v>
      </c>
      <c r="C216" s="7">
        <v>43161</v>
      </c>
      <c r="D216" s="6" t="s">
        <v>33</v>
      </c>
      <c r="F216" s="48"/>
      <c r="G216" s="6">
        <v>3.6</v>
      </c>
      <c r="H216" s="6">
        <v>0.9</v>
      </c>
      <c r="I216" s="6">
        <v>6.9</v>
      </c>
      <c r="J216" s="6">
        <f t="shared" si="20"/>
        <v>1538</v>
      </c>
      <c r="K216" s="6">
        <f t="shared" si="21"/>
        <v>451.3</v>
      </c>
      <c r="M216" s="55">
        <v>0.8</v>
      </c>
      <c r="N216" s="6">
        <v>0.9</v>
      </c>
      <c r="O216" s="6">
        <f t="shared" si="24"/>
        <v>-9.9999999999999978E-2</v>
      </c>
      <c r="Q216" s="6">
        <v>185</v>
      </c>
      <c r="R216" s="6">
        <v>1</v>
      </c>
      <c r="S216" s="6">
        <f t="shared" si="25"/>
        <v>0.9</v>
      </c>
      <c r="T216" s="6">
        <f t="shared" si="26"/>
        <v>-9.9999999999999978E-2</v>
      </c>
      <c r="U216" s="55">
        <f t="shared" si="22"/>
        <v>164.90000000000003</v>
      </c>
      <c r="W216" s="6">
        <v>392.4</v>
      </c>
      <c r="X216" s="6">
        <f t="shared" si="23"/>
        <v>32348.200000000008</v>
      </c>
      <c r="Y216" s="6">
        <v>10.784139720761157</v>
      </c>
    </row>
    <row r="217" spans="1:28" x14ac:dyDescent="0.25">
      <c r="A217">
        <v>6360</v>
      </c>
      <c r="B217">
        <v>24170</v>
      </c>
      <c r="C217" s="1">
        <v>43162</v>
      </c>
      <c r="F217" s="43" t="s">
        <v>58</v>
      </c>
      <c r="G217">
        <v>5.3</v>
      </c>
      <c r="H217">
        <v>0.5</v>
      </c>
      <c r="I217">
        <v>8.1</v>
      </c>
      <c r="J217">
        <f t="shared" si="20"/>
        <v>1543.3</v>
      </c>
      <c r="K217">
        <f>G217</f>
        <v>5.3</v>
      </c>
      <c r="L217" s="19" t="s">
        <v>38</v>
      </c>
      <c r="M217" s="52">
        <v>0</v>
      </c>
      <c r="N217">
        <v>0.6</v>
      </c>
      <c r="O217">
        <f t="shared" si="24"/>
        <v>-0.6</v>
      </c>
      <c r="Q217">
        <v>186</v>
      </c>
      <c r="R217">
        <f>1+((Q217-185)/37)*(1.15-1)</f>
        <v>1.0040540540540541</v>
      </c>
      <c r="S217">
        <f t="shared" si="25"/>
        <v>0.6024324324324325</v>
      </c>
      <c r="T217">
        <f t="shared" si="26"/>
        <v>-0.6024324324324325</v>
      </c>
      <c r="U217" s="52">
        <f t="shared" si="22"/>
        <v>164.2975675675676</v>
      </c>
      <c r="V217" s="20" t="s">
        <v>45</v>
      </c>
      <c r="W217">
        <v>471.1</v>
      </c>
      <c r="X217">
        <f>W217</f>
        <v>471.1</v>
      </c>
      <c r="Y217">
        <v>10.84385498262251</v>
      </c>
      <c r="Z217" s="20" t="s">
        <v>50</v>
      </c>
    </row>
    <row r="218" spans="1:28" x14ac:dyDescent="0.25">
      <c r="A218">
        <v>6360</v>
      </c>
      <c r="B218">
        <v>24170</v>
      </c>
      <c r="C218" s="1">
        <v>43163</v>
      </c>
      <c r="F218" s="44"/>
      <c r="G218">
        <v>5.8</v>
      </c>
      <c r="H218">
        <v>4.5999999999999996</v>
      </c>
      <c r="I218">
        <v>6.6</v>
      </c>
      <c r="J218">
        <f t="shared" si="20"/>
        <v>1549.1</v>
      </c>
      <c r="K218">
        <f t="shared" si="21"/>
        <v>11.1</v>
      </c>
      <c r="L218" s="12">
        <v>296.60000000000002</v>
      </c>
      <c r="M218" s="52">
        <v>5</v>
      </c>
      <c r="N218">
        <v>0.4</v>
      </c>
      <c r="O218">
        <f t="shared" si="24"/>
        <v>4.5999999999999996</v>
      </c>
      <c r="Q218">
        <v>187</v>
      </c>
      <c r="R218">
        <f t="shared" ref="R218:R253" si="27">1+((Q218-185)/37)*(1.15-1)</f>
        <v>1.008108108108108</v>
      </c>
      <c r="S218">
        <f t="shared" si="25"/>
        <v>0.40324324324324323</v>
      </c>
      <c r="T218">
        <f t="shared" si="26"/>
        <v>4.5967567567567569</v>
      </c>
      <c r="U218" s="52">
        <f t="shared" si="22"/>
        <v>168.89432432432434</v>
      </c>
      <c r="V218">
        <v>0</v>
      </c>
      <c r="W218">
        <v>256.8</v>
      </c>
      <c r="X218">
        <f t="shared" si="23"/>
        <v>727.90000000000009</v>
      </c>
      <c r="Y218">
        <v>10.903742585057397</v>
      </c>
      <c r="Z218">
        <v>25619.1</v>
      </c>
      <c r="AB218" s="3" t="s">
        <v>61</v>
      </c>
    </row>
    <row r="219" spans="1:28" x14ac:dyDescent="0.25">
      <c r="A219">
        <v>6360</v>
      </c>
      <c r="B219">
        <v>24170</v>
      </c>
      <c r="C219" s="1">
        <v>43164</v>
      </c>
      <c r="F219" s="44"/>
      <c r="G219">
        <v>8.4</v>
      </c>
      <c r="H219">
        <v>4.8</v>
      </c>
      <c r="I219">
        <v>11</v>
      </c>
      <c r="J219">
        <f t="shared" si="20"/>
        <v>1557.5</v>
      </c>
      <c r="K219">
        <f t="shared" si="21"/>
        <v>19.5</v>
      </c>
      <c r="L219" s="19" t="s">
        <v>39</v>
      </c>
      <c r="M219" s="52">
        <v>0</v>
      </c>
      <c r="N219">
        <v>0.8</v>
      </c>
      <c r="O219">
        <f t="shared" si="24"/>
        <v>-0.8</v>
      </c>
      <c r="Q219">
        <v>188</v>
      </c>
      <c r="R219">
        <f t="shared" si="27"/>
        <v>1.0121621621621621</v>
      </c>
      <c r="S219">
        <f t="shared" si="25"/>
        <v>0.80972972972972979</v>
      </c>
      <c r="T219">
        <f t="shared" si="26"/>
        <v>-0.80972972972972979</v>
      </c>
      <c r="U219" s="52">
        <f t="shared" si="22"/>
        <v>168.08459459459462</v>
      </c>
      <c r="V219" s="20" t="s">
        <v>46</v>
      </c>
      <c r="W219">
        <v>398.3</v>
      </c>
      <c r="X219">
        <f t="shared" si="23"/>
        <v>1126.2</v>
      </c>
      <c r="Y219">
        <v>10.963791748816975</v>
      </c>
      <c r="Z219" s="20" t="s">
        <v>51</v>
      </c>
      <c r="AB219" s="2">
        <f>(AA203*(60/147))+(AA226*(87/147))</f>
        <v>173.29413481995115</v>
      </c>
    </row>
    <row r="220" spans="1:28" x14ac:dyDescent="0.25">
      <c r="A220">
        <v>6360</v>
      </c>
      <c r="B220">
        <v>24170</v>
      </c>
      <c r="C220" s="1">
        <v>43165</v>
      </c>
      <c r="F220" s="44"/>
      <c r="G220">
        <v>7.9</v>
      </c>
      <c r="H220">
        <v>5.5</v>
      </c>
      <c r="I220">
        <v>9.8000000000000007</v>
      </c>
      <c r="J220">
        <f t="shared" si="20"/>
        <v>1565.4</v>
      </c>
      <c r="K220">
        <f t="shared" si="21"/>
        <v>27.4</v>
      </c>
      <c r="L220" s="13">
        <f>AVERAGE(G217:G253)</f>
        <v>7.9945945945945969</v>
      </c>
      <c r="M220" s="52">
        <v>5.5</v>
      </c>
      <c r="N220">
        <v>0.8</v>
      </c>
      <c r="O220">
        <f t="shared" si="24"/>
        <v>4.7</v>
      </c>
      <c r="Q220">
        <v>189</v>
      </c>
      <c r="R220">
        <f t="shared" si="27"/>
        <v>1.0162162162162163</v>
      </c>
      <c r="S220">
        <f t="shared" si="25"/>
        <v>0.81297297297297311</v>
      </c>
      <c r="T220">
        <f t="shared" si="26"/>
        <v>4.6870270270270264</v>
      </c>
      <c r="U220" s="52">
        <f t="shared" si="22"/>
        <v>172.77162162162165</v>
      </c>
      <c r="V220">
        <v>0</v>
      </c>
      <c r="W220">
        <v>355.2</v>
      </c>
      <c r="X220">
        <f t="shared" si="23"/>
        <v>1481.4</v>
      </c>
      <c r="Y220">
        <v>11.023991967624951</v>
      </c>
      <c r="Z220">
        <f>(Z218/100)/L218</f>
        <v>0.86375927174645972</v>
      </c>
      <c r="AB220" s="3" t="s">
        <v>62</v>
      </c>
    </row>
    <row r="221" spans="1:28" x14ac:dyDescent="0.25">
      <c r="A221">
        <v>6360</v>
      </c>
      <c r="B221">
        <v>24170</v>
      </c>
      <c r="C221" s="1">
        <v>43166</v>
      </c>
      <c r="F221" s="44"/>
      <c r="G221">
        <v>6.2</v>
      </c>
      <c r="H221">
        <v>4.9000000000000004</v>
      </c>
      <c r="I221">
        <v>8.4</v>
      </c>
      <c r="J221">
        <f t="shared" si="20"/>
        <v>1571.6000000000001</v>
      </c>
      <c r="K221">
        <f t="shared" si="21"/>
        <v>33.6</v>
      </c>
      <c r="L221" s="19" t="s">
        <v>40</v>
      </c>
      <c r="M221" s="52">
        <v>5.7</v>
      </c>
      <c r="N221">
        <v>0.8</v>
      </c>
      <c r="O221">
        <f t="shared" si="24"/>
        <v>4.9000000000000004</v>
      </c>
      <c r="Q221">
        <v>190</v>
      </c>
      <c r="R221">
        <f t="shared" si="27"/>
        <v>1.0202702702702702</v>
      </c>
      <c r="S221">
        <f t="shared" si="25"/>
        <v>0.81621621621621621</v>
      </c>
      <c r="T221">
        <f t="shared" si="26"/>
        <v>4.8837837837837839</v>
      </c>
      <c r="U221" s="52">
        <f t="shared" si="22"/>
        <v>177.65540540540542</v>
      </c>
      <c r="V221" s="20" t="s">
        <v>47</v>
      </c>
      <c r="W221">
        <v>351.9</v>
      </c>
      <c r="X221">
        <f t="shared" si="23"/>
        <v>1833.3000000000002</v>
      </c>
      <c r="Y221">
        <v>11.084332994243288</v>
      </c>
      <c r="Z221" s="20" t="s">
        <v>52</v>
      </c>
      <c r="AB221" s="16">
        <f>(AA205*(60/147))+(AA228*(87/147))</f>
        <v>4.2244897959183678</v>
      </c>
    </row>
    <row r="222" spans="1:28" x14ac:dyDescent="0.25">
      <c r="A222">
        <v>6360</v>
      </c>
      <c r="B222">
        <v>24170</v>
      </c>
      <c r="C222" s="1">
        <v>43167</v>
      </c>
      <c r="F222" s="44"/>
      <c r="G222">
        <v>6.4</v>
      </c>
      <c r="H222">
        <v>4.2</v>
      </c>
      <c r="I222">
        <v>9.9</v>
      </c>
      <c r="J222">
        <f t="shared" si="20"/>
        <v>1578.0000000000002</v>
      </c>
      <c r="K222">
        <f t="shared" si="21"/>
        <v>40</v>
      </c>
      <c r="L222" s="14">
        <f>MIN(H217:H253)</f>
        <v>-2.1</v>
      </c>
      <c r="M222" s="52">
        <v>3.7</v>
      </c>
      <c r="N222">
        <v>1</v>
      </c>
      <c r="O222">
        <f t="shared" si="24"/>
        <v>2.7</v>
      </c>
      <c r="Q222">
        <v>191</v>
      </c>
      <c r="R222">
        <f t="shared" si="27"/>
        <v>1.0243243243243243</v>
      </c>
      <c r="S222">
        <f t="shared" si="25"/>
        <v>1.0243243243243243</v>
      </c>
      <c r="T222">
        <f t="shared" si="26"/>
        <v>2.6756756756756759</v>
      </c>
      <c r="U222" s="52">
        <f t="shared" si="22"/>
        <v>179.3</v>
      </c>
      <c r="V222" s="2">
        <f>MIN(U217:U253)</f>
        <v>164.2975675675676</v>
      </c>
      <c r="W222">
        <v>366.8</v>
      </c>
      <c r="X222">
        <f t="shared" si="23"/>
        <v>2200.1000000000004</v>
      </c>
      <c r="Y222">
        <v>11.14480482629153</v>
      </c>
      <c r="Z222">
        <v>28</v>
      </c>
      <c r="AB222" s="3" t="s">
        <v>63</v>
      </c>
    </row>
    <row r="223" spans="1:28" x14ac:dyDescent="0.25">
      <c r="A223">
        <v>6360</v>
      </c>
      <c r="B223">
        <v>24170</v>
      </c>
      <c r="C223" s="1">
        <v>43168</v>
      </c>
      <c r="F223" s="44"/>
      <c r="G223">
        <v>10</v>
      </c>
      <c r="H223">
        <v>5.5</v>
      </c>
      <c r="I223">
        <v>13.5</v>
      </c>
      <c r="J223">
        <f t="shared" si="20"/>
        <v>1588.0000000000002</v>
      </c>
      <c r="K223">
        <f t="shared" si="21"/>
        <v>50</v>
      </c>
      <c r="L223" s="19" t="s">
        <v>41</v>
      </c>
      <c r="M223">
        <v>0.3</v>
      </c>
      <c r="N223">
        <v>0.7</v>
      </c>
      <c r="O223">
        <f t="shared" si="24"/>
        <v>-0.39999999999999997</v>
      </c>
      <c r="Q223">
        <v>192</v>
      </c>
      <c r="R223">
        <f t="shared" si="27"/>
        <v>1.0283783783783784</v>
      </c>
      <c r="S223">
        <f t="shared" si="25"/>
        <v>0.7198648648648649</v>
      </c>
      <c r="T223">
        <f t="shared" si="26"/>
        <v>-0.41986486486486491</v>
      </c>
      <c r="U223">
        <f t="shared" si="22"/>
        <v>178.88013513513513</v>
      </c>
      <c r="V223" s="20" t="s">
        <v>48</v>
      </c>
      <c r="W223">
        <v>249.3</v>
      </c>
      <c r="X223">
        <f t="shared" si="23"/>
        <v>2449.4000000000005</v>
      </c>
      <c r="Y223">
        <v>11.205397691844651</v>
      </c>
      <c r="AB223" s="16">
        <f>(AA207*(60/147))+(AA230*(87/147))</f>
        <v>4.408163265306122</v>
      </c>
    </row>
    <row r="224" spans="1:28" x14ac:dyDescent="0.25">
      <c r="A224">
        <v>6360</v>
      </c>
      <c r="B224">
        <v>24170</v>
      </c>
      <c r="C224" s="1">
        <v>43169</v>
      </c>
      <c r="F224" s="44"/>
      <c r="G224">
        <v>13.3</v>
      </c>
      <c r="H224">
        <v>12</v>
      </c>
      <c r="I224">
        <v>15.1</v>
      </c>
      <c r="J224">
        <f t="shared" si="20"/>
        <v>1601.3000000000002</v>
      </c>
      <c r="K224">
        <f t="shared" si="21"/>
        <v>63.3</v>
      </c>
      <c r="L224" s="12">
        <f>MAX(I217:I253)</f>
        <v>20.6</v>
      </c>
      <c r="M224">
        <v>16.899999999999999</v>
      </c>
      <c r="N224">
        <v>1.1000000000000001</v>
      </c>
      <c r="O224">
        <f t="shared" si="24"/>
        <v>15.799999999999999</v>
      </c>
      <c r="Q224">
        <v>193</v>
      </c>
      <c r="R224">
        <f t="shared" si="27"/>
        <v>1.0324324324324323</v>
      </c>
      <c r="S224">
        <f t="shared" si="25"/>
        <v>1.1356756756756756</v>
      </c>
      <c r="T224">
        <f t="shared" si="26"/>
        <v>15.764324324324322</v>
      </c>
      <c r="U224">
        <f t="shared" si="22"/>
        <v>179.3</v>
      </c>
      <c r="V224" s="2">
        <f>MAX(U217:U253)</f>
        <v>179.3</v>
      </c>
      <c r="W224">
        <v>282.8</v>
      </c>
      <c r="X224">
        <f t="shared" si="23"/>
        <v>2732.2000000000007</v>
      </c>
      <c r="Y224">
        <v>11.266102034832434</v>
      </c>
      <c r="AB224" s="3" t="s">
        <v>64</v>
      </c>
    </row>
    <row r="225" spans="1:28" x14ac:dyDescent="0.25">
      <c r="A225">
        <v>6360</v>
      </c>
      <c r="B225">
        <v>24170</v>
      </c>
      <c r="C225" s="1">
        <v>43170</v>
      </c>
      <c r="F225" s="44"/>
      <c r="G225">
        <v>13.1</v>
      </c>
      <c r="H225">
        <v>10.6</v>
      </c>
      <c r="I225">
        <v>16.7</v>
      </c>
      <c r="J225">
        <f t="shared" si="20"/>
        <v>1614.4</v>
      </c>
      <c r="K225">
        <f t="shared" si="21"/>
        <v>76.399999999999991</v>
      </c>
      <c r="L225" s="19" t="s">
        <v>42</v>
      </c>
      <c r="M225" s="52">
        <v>0.1</v>
      </c>
      <c r="N225">
        <v>2</v>
      </c>
      <c r="O225">
        <f t="shared" si="24"/>
        <v>-1.9</v>
      </c>
      <c r="Q225">
        <v>194</v>
      </c>
      <c r="R225">
        <f t="shared" si="27"/>
        <v>1.0364864864864864</v>
      </c>
      <c r="S225">
        <f t="shared" si="25"/>
        <v>2.0729729729729729</v>
      </c>
      <c r="T225">
        <f t="shared" si="26"/>
        <v>-1.9729729729729728</v>
      </c>
      <c r="U225">
        <f t="shared" si="22"/>
        <v>177.32702702702704</v>
      </c>
      <c r="V225" s="20" t="s">
        <v>49</v>
      </c>
      <c r="W225">
        <v>952.8</v>
      </c>
      <c r="X225">
        <f t="shared" si="23"/>
        <v>3685.0000000000009</v>
      </c>
      <c r="Y225">
        <v>11.326908500261592</v>
      </c>
      <c r="AA225" t="s">
        <v>61</v>
      </c>
      <c r="AB225" s="16">
        <f>(AA209*(60/147))+(AA232*(87/147))</f>
        <v>2.1836734693877551</v>
      </c>
    </row>
    <row r="226" spans="1:28" x14ac:dyDescent="0.25">
      <c r="A226">
        <v>6360</v>
      </c>
      <c r="B226">
        <v>24170</v>
      </c>
      <c r="C226" s="1">
        <v>43171</v>
      </c>
      <c r="F226" s="44"/>
      <c r="G226">
        <v>10.4</v>
      </c>
      <c r="H226">
        <v>10.199999999999999</v>
      </c>
      <c r="I226">
        <v>11.6</v>
      </c>
      <c r="J226">
        <f t="shared" ref="J226:J289" si="28">J225+G226</f>
        <v>1624.8000000000002</v>
      </c>
      <c r="K226">
        <f t="shared" ref="K226:K289" si="29">K225+G226</f>
        <v>86.8</v>
      </c>
      <c r="L226" s="12">
        <v>0</v>
      </c>
      <c r="M226" s="52">
        <v>3.1</v>
      </c>
      <c r="N226">
        <v>1.7</v>
      </c>
      <c r="O226">
        <f t="shared" si="24"/>
        <v>1.4000000000000001</v>
      </c>
      <c r="Q226">
        <v>195</v>
      </c>
      <c r="R226">
        <f t="shared" si="27"/>
        <v>1.0405405405405406</v>
      </c>
      <c r="S226">
        <f t="shared" si="25"/>
        <v>1.7689189189189189</v>
      </c>
      <c r="T226">
        <f t="shared" si="26"/>
        <v>1.3310810810810811</v>
      </c>
      <c r="U226">
        <f t="shared" ref="U226:U289" si="30">MIN(U225+T226,179.3)</f>
        <v>178.65810810810814</v>
      </c>
      <c r="V226" s="2">
        <f>AVERAGE(U217:U253)</f>
        <v>175.89433528122723</v>
      </c>
      <c r="W226">
        <v>495.6</v>
      </c>
      <c r="X226">
        <f t="shared" ref="X226:X289" si="31">X225+W226</f>
        <v>4180.6000000000013</v>
      </c>
      <c r="Y226">
        <v>11.387807919280251</v>
      </c>
      <c r="AA226" s="2">
        <f>AVERAGE(U232:U245)</f>
        <v>175.55592664092666</v>
      </c>
      <c r="AB226" s="3" t="s">
        <v>65</v>
      </c>
    </row>
    <row r="227" spans="1:28" x14ac:dyDescent="0.25">
      <c r="A227">
        <v>6360</v>
      </c>
      <c r="B227">
        <v>24170</v>
      </c>
      <c r="C227" s="1">
        <v>43172</v>
      </c>
      <c r="F227" s="44"/>
      <c r="G227">
        <v>8.6</v>
      </c>
      <c r="H227">
        <v>7.8</v>
      </c>
      <c r="I227">
        <v>10.6</v>
      </c>
      <c r="J227">
        <f t="shared" si="28"/>
        <v>1633.4</v>
      </c>
      <c r="K227">
        <f t="shared" si="29"/>
        <v>95.399999999999991</v>
      </c>
      <c r="L227" s="19" t="s">
        <v>43</v>
      </c>
      <c r="M227" s="52">
        <v>1.2</v>
      </c>
      <c r="N227">
        <v>1.1000000000000001</v>
      </c>
      <c r="O227">
        <f t="shared" si="24"/>
        <v>9.9999999999999867E-2</v>
      </c>
      <c r="Q227">
        <v>196</v>
      </c>
      <c r="R227">
        <f t="shared" si="27"/>
        <v>1.0445945945945945</v>
      </c>
      <c r="S227">
        <f t="shared" si="25"/>
        <v>1.1490540540540539</v>
      </c>
      <c r="T227">
        <f t="shared" si="26"/>
        <v>5.0945945945946036E-2</v>
      </c>
      <c r="U227">
        <f t="shared" si="30"/>
        <v>178.70905405405409</v>
      </c>
      <c r="W227">
        <v>373.2</v>
      </c>
      <c r="X227">
        <f t="shared" si="31"/>
        <v>4553.8000000000011</v>
      </c>
      <c r="Y227">
        <v>11.448791294102765</v>
      </c>
      <c r="AA227" t="s">
        <v>62</v>
      </c>
      <c r="AB227" s="16">
        <f>(AA211*(60/147))+(AA234*(87/147))</f>
        <v>19.87142857142857</v>
      </c>
    </row>
    <row r="228" spans="1:28" x14ac:dyDescent="0.25">
      <c r="A228">
        <v>6360</v>
      </c>
      <c r="B228">
        <v>24170</v>
      </c>
      <c r="C228" s="1">
        <v>43173</v>
      </c>
      <c r="F228" s="44"/>
      <c r="G228">
        <v>8.8000000000000007</v>
      </c>
      <c r="H228">
        <v>2.8</v>
      </c>
      <c r="I228">
        <v>12.7</v>
      </c>
      <c r="J228">
        <f t="shared" si="28"/>
        <v>1642.2</v>
      </c>
      <c r="K228">
        <f t="shared" si="29"/>
        <v>104.19999999999999</v>
      </c>
      <c r="L228" s="12">
        <v>10</v>
      </c>
      <c r="M228" s="52">
        <v>3.8</v>
      </c>
      <c r="N228">
        <v>1.9</v>
      </c>
      <c r="O228">
        <f t="shared" si="24"/>
        <v>1.9</v>
      </c>
      <c r="Q228">
        <v>197</v>
      </c>
      <c r="R228">
        <f t="shared" si="27"/>
        <v>1.0486486486486486</v>
      </c>
      <c r="S228">
        <f t="shared" si="25"/>
        <v>1.9924324324324323</v>
      </c>
      <c r="T228">
        <f t="shared" si="26"/>
        <v>1.8075675675675675</v>
      </c>
      <c r="U228">
        <f t="shared" si="30"/>
        <v>179.3</v>
      </c>
      <c r="V228" s="16">
        <f>(V226*100)/179.3</f>
        <v>98.100577401688341</v>
      </c>
      <c r="W228">
        <v>1176.2</v>
      </c>
      <c r="X228">
        <f t="shared" si="31"/>
        <v>5730.0000000000009</v>
      </c>
      <c r="Y228">
        <v>11.509849782811578</v>
      </c>
      <c r="AA228">
        <v>3</v>
      </c>
    </row>
    <row r="229" spans="1:28" x14ac:dyDescent="0.25">
      <c r="A229">
        <v>6360</v>
      </c>
      <c r="B229">
        <v>24170</v>
      </c>
      <c r="C229" s="1">
        <v>43174</v>
      </c>
      <c r="F229" s="44"/>
      <c r="G229">
        <v>9.5</v>
      </c>
      <c r="H229">
        <v>8.4</v>
      </c>
      <c r="I229">
        <v>10.9</v>
      </c>
      <c r="J229">
        <f t="shared" si="28"/>
        <v>1651.7</v>
      </c>
      <c r="K229">
        <f t="shared" si="29"/>
        <v>113.69999999999999</v>
      </c>
      <c r="L229" s="19" t="s">
        <v>44</v>
      </c>
      <c r="M229" s="52">
        <v>2</v>
      </c>
      <c r="N229">
        <v>0.9</v>
      </c>
      <c r="O229">
        <f t="shared" si="24"/>
        <v>1.1000000000000001</v>
      </c>
      <c r="Q229">
        <v>198</v>
      </c>
      <c r="R229">
        <f t="shared" si="27"/>
        <v>1.0527027027027027</v>
      </c>
      <c r="S229">
        <f t="shared" si="25"/>
        <v>0.94743243243243247</v>
      </c>
      <c r="T229">
        <f t="shared" si="26"/>
        <v>1.0525675675675674</v>
      </c>
      <c r="U229">
        <f t="shared" si="30"/>
        <v>179.3</v>
      </c>
      <c r="W229">
        <v>334.7</v>
      </c>
      <c r="X229">
        <f t="shared" si="31"/>
        <v>6064.7000000000007</v>
      </c>
      <c r="Y229">
        <v>11.570974684051377</v>
      </c>
      <c r="AA229" t="s">
        <v>63</v>
      </c>
    </row>
    <row r="230" spans="1:28" x14ac:dyDescent="0.25">
      <c r="A230">
        <v>6360</v>
      </c>
      <c r="B230">
        <v>24170</v>
      </c>
      <c r="C230" s="1">
        <v>43175</v>
      </c>
      <c r="F230" s="44"/>
      <c r="G230">
        <v>9</v>
      </c>
      <c r="H230">
        <v>6.7</v>
      </c>
      <c r="I230">
        <v>11.3</v>
      </c>
      <c r="J230">
        <f t="shared" si="28"/>
        <v>1660.7</v>
      </c>
      <c r="K230">
        <f t="shared" si="29"/>
        <v>122.69999999999999</v>
      </c>
      <c r="L230" s="12">
        <v>5</v>
      </c>
      <c r="M230" s="52">
        <v>0.1</v>
      </c>
      <c r="N230">
        <v>1</v>
      </c>
      <c r="O230">
        <f t="shared" si="24"/>
        <v>-0.9</v>
      </c>
      <c r="Q230">
        <v>199</v>
      </c>
      <c r="R230">
        <f t="shared" si="27"/>
        <v>1.0567567567567566</v>
      </c>
      <c r="S230">
        <f t="shared" si="25"/>
        <v>1.0567567567567566</v>
      </c>
      <c r="T230">
        <f t="shared" si="26"/>
        <v>-0.95675675675675664</v>
      </c>
      <c r="U230">
        <f t="shared" si="30"/>
        <v>178.34324324324325</v>
      </c>
      <c r="W230">
        <v>768.8</v>
      </c>
      <c r="X230">
        <f t="shared" si="31"/>
        <v>6833.5000000000009</v>
      </c>
      <c r="Y230">
        <v>11.632157421629707</v>
      </c>
      <c r="AA230">
        <v>4</v>
      </c>
    </row>
    <row r="231" spans="1:28" x14ac:dyDescent="0.25">
      <c r="A231">
        <v>6360</v>
      </c>
      <c r="B231">
        <v>24170</v>
      </c>
      <c r="C231" s="1">
        <v>43176</v>
      </c>
      <c r="F231" s="44"/>
      <c r="G231">
        <v>3.7</v>
      </c>
      <c r="H231">
        <v>1.5</v>
      </c>
      <c r="I231">
        <v>5.5</v>
      </c>
      <c r="J231">
        <f t="shared" si="28"/>
        <v>1664.4</v>
      </c>
      <c r="K231">
        <f t="shared" si="29"/>
        <v>126.39999999999999</v>
      </c>
      <c r="M231" s="52">
        <v>2.2000000000000002</v>
      </c>
      <c r="N231">
        <v>0.4</v>
      </c>
      <c r="O231">
        <f t="shared" si="24"/>
        <v>1.8000000000000003</v>
      </c>
      <c r="Q231">
        <v>200</v>
      </c>
      <c r="R231">
        <f t="shared" si="27"/>
        <v>1.0608108108108107</v>
      </c>
      <c r="S231">
        <f t="shared" si="25"/>
        <v>0.42432432432432432</v>
      </c>
      <c r="T231">
        <f t="shared" si="26"/>
        <v>1.775675675675676</v>
      </c>
      <c r="U231">
        <f t="shared" si="30"/>
        <v>179.3</v>
      </c>
      <c r="W231">
        <v>341.5</v>
      </c>
      <c r="X231">
        <f t="shared" si="31"/>
        <v>7175.0000000000009</v>
      </c>
      <c r="Y231">
        <v>11.693389529037116</v>
      </c>
      <c r="AA231" t="s">
        <v>64</v>
      </c>
    </row>
    <row r="232" spans="1:28" x14ac:dyDescent="0.25">
      <c r="A232">
        <v>6360</v>
      </c>
      <c r="B232">
        <v>24170</v>
      </c>
      <c r="C232" s="1">
        <v>43177</v>
      </c>
      <c r="F232" s="44"/>
      <c r="G232">
        <v>-0.6</v>
      </c>
      <c r="H232">
        <v>-1.5</v>
      </c>
      <c r="I232">
        <v>0.5</v>
      </c>
      <c r="J232">
        <v>1664.4</v>
      </c>
      <c r="K232">
        <v>126.4</v>
      </c>
      <c r="M232" s="52">
        <v>0</v>
      </c>
      <c r="N232">
        <v>0.4</v>
      </c>
      <c r="O232">
        <f t="shared" si="24"/>
        <v>-0.4</v>
      </c>
      <c r="Q232">
        <v>201</v>
      </c>
      <c r="R232">
        <f t="shared" si="27"/>
        <v>1.0648648648648649</v>
      </c>
      <c r="S232">
        <f t="shared" si="25"/>
        <v>0.42594594594594598</v>
      </c>
      <c r="T232">
        <f t="shared" si="26"/>
        <v>-0.42594594594594598</v>
      </c>
      <c r="U232" s="52">
        <f t="shared" si="30"/>
        <v>178.87405405405406</v>
      </c>
      <c r="W232">
        <v>373.1</v>
      </c>
      <c r="X232">
        <f t="shared" si="31"/>
        <v>7548.1000000000013</v>
      </c>
      <c r="Y232">
        <v>11.754662633898954</v>
      </c>
      <c r="AA232">
        <v>3</v>
      </c>
    </row>
    <row r="233" spans="1:28" x14ac:dyDescent="0.25">
      <c r="A233">
        <v>6360</v>
      </c>
      <c r="B233">
        <v>24170</v>
      </c>
      <c r="C233" s="1">
        <v>43178</v>
      </c>
      <c r="F233" s="44"/>
      <c r="G233">
        <v>-0.2</v>
      </c>
      <c r="H233">
        <v>-2</v>
      </c>
      <c r="I233">
        <v>1.1000000000000001</v>
      </c>
      <c r="J233">
        <v>1664.4</v>
      </c>
      <c r="K233">
        <v>126.4</v>
      </c>
      <c r="M233" s="52">
        <v>0</v>
      </c>
      <c r="N233">
        <v>0.6</v>
      </c>
      <c r="O233">
        <f t="shared" si="24"/>
        <v>-0.6</v>
      </c>
      <c r="Q233">
        <v>202</v>
      </c>
      <c r="R233">
        <f t="shared" si="27"/>
        <v>1.0689189189189188</v>
      </c>
      <c r="S233">
        <f t="shared" si="25"/>
        <v>0.64135135135135124</v>
      </c>
      <c r="T233">
        <f t="shared" si="26"/>
        <v>-0.64135135135135124</v>
      </c>
      <c r="U233" s="52">
        <f t="shared" si="30"/>
        <v>178.23270270270271</v>
      </c>
      <c r="W233">
        <v>475.8</v>
      </c>
      <c r="X233">
        <f t="shared" si="31"/>
        <v>8023.9000000000015</v>
      </c>
      <c r="Y233">
        <v>11.815968442370115</v>
      </c>
      <c r="AA233" t="s">
        <v>65</v>
      </c>
    </row>
    <row r="234" spans="1:28" x14ac:dyDescent="0.25">
      <c r="A234">
        <v>6360</v>
      </c>
      <c r="B234">
        <v>24170</v>
      </c>
      <c r="C234" s="1">
        <v>43179</v>
      </c>
      <c r="F234" s="44"/>
      <c r="G234">
        <v>2.1</v>
      </c>
      <c r="H234">
        <v>-2.1</v>
      </c>
      <c r="I234">
        <v>5.9</v>
      </c>
      <c r="J234">
        <f t="shared" si="28"/>
        <v>1666.5</v>
      </c>
      <c r="K234">
        <f t="shared" si="29"/>
        <v>128.5</v>
      </c>
      <c r="M234" s="52">
        <v>0</v>
      </c>
      <c r="N234">
        <v>1.1000000000000001</v>
      </c>
      <c r="O234">
        <f t="shared" si="24"/>
        <v>-1.1000000000000001</v>
      </c>
      <c r="Q234">
        <v>203</v>
      </c>
      <c r="R234">
        <f t="shared" si="27"/>
        <v>1.0729729729729729</v>
      </c>
      <c r="S234">
        <f t="shared" si="25"/>
        <v>1.1802702702702703</v>
      </c>
      <c r="T234">
        <f t="shared" si="26"/>
        <v>-1.1802702702702703</v>
      </c>
      <c r="U234" s="52">
        <f t="shared" si="30"/>
        <v>177.05243243243245</v>
      </c>
      <c r="W234">
        <v>765.6</v>
      </c>
      <c r="X234">
        <f t="shared" si="31"/>
        <v>8789.5000000000018</v>
      </c>
      <c r="Y234">
        <v>11.877298723483328</v>
      </c>
      <c r="AA234">
        <f>SUM(M236:M245)</f>
        <v>19.3</v>
      </c>
    </row>
    <row r="235" spans="1:28" s="53" customFormat="1" x14ac:dyDescent="0.25">
      <c r="A235" s="53">
        <v>6360</v>
      </c>
      <c r="B235" s="53">
        <v>24170</v>
      </c>
      <c r="C235" s="54">
        <v>43180</v>
      </c>
      <c r="D235" s="53" t="s">
        <v>67</v>
      </c>
      <c r="F235" s="44"/>
      <c r="G235" s="53">
        <v>2.6</v>
      </c>
      <c r="H235" s="53">
        <v>-0.2</v>
      </c>
      <c r="I235" s="53">
        <v>5.5</v>
      </c>
      <c r="J235" s="53">
        <f t="shared" si="28"/>
        <v>1669.1</v>
      </c>
      <c r="K235" s="53">
        <f t="shared" si="29"/>
        <v>131.1</v>
      </c>
      <c r="M235" s="53">
        <v>0</v>
      </c>
      <c r="N235" s="53">
        <v>1.6</v>
      </c>
      <c r="O235" s="53">
        <f t="shared" si="24"/>
        <v>-1.6</v>
      </c>
      <c r="Q235" s="53">
        <v>204</v>
      </c>
      <c r="R235" s="53">
        <f t="shared" si="27"/>
        <v>1.077027027027027</v>
      </c>
      <c r="S235" s="53">
        <f t="shared" si="25"/>
        <v>1.7232432432432434</v>
      </c>
      <c r="T235" s="53">
        <f t="shared" si="26"/>
        <v>-1.7232432432432434</v>
      </c>
      <c r="U235" s="53">
        <f t="shared" si="30"/>
        <v>175.32918918918921</v>
      </c>
      <c r="W235" s="53">
        <v>1550</v>
      </c>
      <c r="X235" s="53">
        <f t="shared" si="31"/>
        <v>10339.500000000002</v>
      </c>
      <c r="Y235" s="53">
        <v>11.938645293460976</v>
      </c>
    </row>
    <row r="236" spans="1:28" x14ac:dyDescent="0.25">
      <c r="A236">
        <v>6360</v>
      </c>
      <c r="B236">
        <v>24170</v>
      </c>
      <c r="C236" s="1">
        <v>43181</v>
      </c>
      <c r="F236" s="44"/>
      <c r="G236">
        <v>4.5</v>
      </c>
      <c r="H236">
        <v>-0.2</v>
      </c>
      <c r="I236">
        <v>7.2</v>
      </c>
      <c r="J236">
        <f t="shared" si="28"/>
        <v>1673.6</v>
      </c>
      <c r="K236">
        <f t="shared" si="29"/>
        <v>135.6</v>
      </c>
      <c r="M236" s="52">
        <v>0</v>
      </c>
      <c r="N236">
        <v>0.6</v>
      </c>
      <c r="O236">
        <f t="shared" si="24"/>
        <v>-0.6</v>
      </c>
      <c r="Q236">
        <v>205</v>
      </c>
      <c r="R236">
        <f t="shared" si="27"/>
        <v>1.0810810810810811</v>
      </c>
      <c r="S236">
        <f t="shared" si="25"/>
        <v>0.64864864864864868</v>
      </c>
      <c r="T236">
        <f t="shared" si="26"/>
        <v>-0.64864864864864868</v>
      </c>
      <c r="U236" s="52">
        <f t="shared" si="30"/>
        <v>174.68054054054056</v>
      </c>
      <c r="W236">
        <v>375.8</v>
      </c>
      <c r="X236">
        <f t="shared" si="31"/>
        <v>10715.300000000001</v>
      </c>
      <c r="Y236">
        <v>12</v>
      </c>
    </row>
    <row r="237" spans="1:28" x14ac:dyDescent="0.25">
      <c r="A237">
        <v>6360</v>
      </c>
      <c r="B237">
        <v>24170</v>
      </c>
      <c r="C237" s="1">
        <v>43182</v>
      </c>
      <c r="F237" s="44"/>
      <c r="G237">
        <v>5.9</v>
      </c>
      <c r="H237">
        <v>4.7</v>
      </c>
      <c r="I237">
        <v>6.5</v>
      </c>
      <c r="J237">
        <f t="shared" si="28"/>
        <v>1679.5</v>
      </c>
      <c r="K237">
        <f t="shared" si="29"/>
        <v>141.5</v>
      </c>
      <c r="M237" s="52">
        <v>0</v>
      </c>
      <c r="N237">
        <v>1.1000000000000001</v>
      </c>
      <c r="O237">
        <f t="shared" si="24"/>
        <v>-1.1000000000000001</v>
      </c>
      <c r="Q237">
        <v>206</v>
      </c>
      <c r="R237">
        <f t="shared" si="27"/>
        <v>1.085135135135135</v>
      </c>
      <c r="S237">
        <f t="shared" si="25"/>
        <v>1.1936486486486486</v>
      </c>
      <c r="T237">
        <f t="shared" si="26"/>
        <v>-1.1936486486486486</v>
      </c>
      <c r="U237" s="52">
        <f t="shared" si="30"/>
        <v>173.4868918918919</v>
      </c>
      <c r="W237">
        <v>388</v>
      </c>
      <c r="X237">
        <f t="shared" si="31"/>
        <v>11103.300000000001</v>
      </c>
      <c r="Y237">
        <v>12.061354706539023</v>
      </c>
    </row>
    <row r="238" spans="1:28" x14ac:dyDescent="0.25">
      <c r="A238">
        <v>6360</v>
      </c>
      <c r="B238">
        <v>24170</v>
      </c>
      <c r="C238" s="1">
        <v>43183</v>
      </c>
      <c r="F238" s="44"/>
      <c r="G238">
        <v>8.3000000000000007</v>
      </c>
      <c r="H238">
        <v>5.2</v>
      </c>
      <c r="I238">
        <v>11.1</v>
      </c>
      <c r="J238">
        <f t="shared" si="28"/>
        <v>1687.8</v>
      </c>
      <c r="K238">
        <f t="shared" si="29"/>
        <v>149.80000000000001</v>
      </c>
      <c r="M238" s="52">
        <v>0</v>
      </c>
      <c r="N238">
        <v>1.6</v>
      </c>
      <c r="O238">
        <f t="shared" si="24"/>
        <v>-1.6</v>
      </c>
      <c r="Q238">
        <v>207</v>
      </c>
      <c r="R238">
        <f t="shared" si="27"/>
        <v>1.0891891891891892</v>
      </c>
      <c r="S238">
        <f t="shared" si="25"/>
        <v>1.7427027027027027</v>
      </c>
      <c r="T238">
        <f t="shared" si="26"/>
        <v>-1.7427027027027027</v>
      </c>
      <c r="U238" s="52">
        <f t="shared" si="30"/>
        <v>171.7441891891892</v>
      </c>
      <c r="W238">
        <v>1152.5999999999999</v>
      </c>
      <c r="X238">
        <f t="shared" si="31"/>
        <v>12255.900000000001</v>
      </c>
      <c r="Y238">
        <v>12.122701276516672</v>
      </c>
    </row>
    <row r="239" spans="1:28" x14ac:dyDescent="0.25">
      <c r="A239">
        <v>6360</v>
      </c>
      <c r="B239">
        <v>24170</v>
      </c>
      <c r="C239" s="1">
        <v>43184</v>
      </c>
      <c r="F239" s="44"/>
      <c r="G239">
        <v>9.8000000000000007</v>
      </c>
      <c r="H239">
        <v>5.6</v>
      </c>
      <c r="I239">
        <v>14</v>
      </c>
      <c r="J239">
        <f t="shared" si="28"/>
        <v>1697.6</v>
      </c>
      <c r="K239">
        <f t="shared" si="29"/>
        <v>159.60000000000002</v>
      </c>
      <c r="M239" s="52">
        <v>0</v>
      </c>
      <c r="N239">
        <v>1.6</v>
      </c>
      <c r="O239">
        <f t="shared" si="24"/>
        <v>-1.6</v>
      </c>
      <c r="Q239">
        <v>208</v>
      </c>
      <c r="R239">
        <f t="shared" si="27"/>
        <v>1.0932432432432431</v>
      </c>
      <c r="S239">
        <f t="shared" si="25"/>
        <v>1.7491891891891891</v>
      </c>
      <c r="T239">
        <f t="shared" si="26"/>
        <v>-1.7491891891891891</v>
      </c>
      <c r="U239" s="52">
        <f t="shared" si="30"/>
        <v>169.995</v>
      </c>
      <c r="W239">
        <v>736.9</v>
      </c>
      <c r="X239">
        <f t="shared" si="31"/>
        <v>12992.800000000001</v>
      </c>
      <c r="Y239">
        <v>12.184031557629883</v>
      </c>
    </row>
    <row r="240" spans="1:28" x14ac:dyDescent="0.25">
      <c r="A240">
        <v>6360</v>
      </c>
      <c r="B240">
        <v>24170</v>
      </c>
      <c r="C240" s="1">
        <v>43185</v>
      </c>
      <c r="F240" s="44"/>
      <c r="G240">
        <v>8.9</v>
      </c>
      <c r="H240">
        <v>5.5</v>
      </c>
      <c r="I240">
        <v>12.3</v>
      </c>
      <c r="J240">
        <f t="shared" si="28"/>
        <v>1706.5</v>
      </c>
      <c r="K240">
        <f t="shared" si="29"/>
        <v>168.50000000000003</v>
      </c>
      <c r="M240" s="52">
        <v>0.2</v>
      </c>
      <c r="N240">
        <v>2.1</v>
      </c>
      <c r="O240">
        <f t="shared" si="24"/>
        <v>-1.9000000000000001</v>
      </c>
      <c r="Q240">
        <v>209</v>
      </c>
      <c r="R240">
        <f t="shared" si="27"/>
        <v>1.0972972972972972</v>
      </c>
      <c r="S240">
        <f t="shared" si="25"/>
        <v>2.3043243243243241</v>
      </c>
      <c r="T240">
        <f t="shared" si="26"/>
        <v>-2.1043243243243239</v>
      </c>
      <c r="U240" s="52">
        <f t="shared" si="30"/>
        <v>167.89067567567568</v>
      </c>
      <c r="W240">
        <v>1332.3</v>
      </c>
      <c r="X240">
        <f t="shared" si="31"/>
        <v>14325.1</v>
      </c>
      <c r="Y240">
        <v>12.245337366101044</v>
      </c>
    </row>
    <row r="241" spans="1:26" x14ac:dyDescent="0.25">
      <c r="A241">
        <v>6360</v>
      </c>
      <c r="B241">
        <v>24170</v>
      </c>
      <c r="C241" s="1">
        <v>43186</v>
      </c>
      <c r="F241" s="44"/>
      <c r="G241">
        <v>8.1</v>
      </c>
      <c r="H241">
        <v>6.1</v>
      </c>
      <c r="I241">
        <v>11</v>
      </c>
      <c r="J241">
        <f t="shared" si="28"/>
        <v>1714.6</v>
      </c>
      <c r="K241">
        <f t="shared" si="29"/>
        <v>176.60000000000002</v>
      </c>
      <c r="M241" s="52">
        <v>6.4</v>
      </c>
      <c r="N241">
        <v>0.9</v>
      </c>
      <c r="O241">
        <f t="shared" si="24"/>
        <v>5.5</v>
      </c>
      <c r="Q241">
        <v>210</v>
      </c>
      <c r="R241">
        <f t="shared" si="27"/>
        <v>1.1013513513513513</v>
      </c>
      <c r="S241">
        <f t="shared" si="25"/>
        <v>0.99121621621621625</v>
      </c>
      <c r="T241">
        <f t="shared" si="26"/>
        <v>5.4087837837837842</v>
      </c>
      <c r="U241" s="52">
        <f t="shared" si="30"/>
        <v>173.29945945945946</v>
      </c>
      <c r="W241">
        <v>247</v>
      </c>
      <c r="X241">
        <f t="shared" si="31"/>
        <v>14572.1</v>
      </c>
      <c r="Y241">
        <v>12.306610470962882</v>
      </c>
    </row>
    <row r="242" spans="1:26" x14ac:dyDescent="0.25">
      <c r="A242">
        <v>6360</v>
      </c>
      <c r="B242">
        <v>24170</v>
      </c>
      <c r="C242" s="1">
        <v>43187</v>
      </c>
      <c r="F242" s="44"/>
      <c r="G242">
        <v>8.1999999999999993</v>
      </c>
      <c r="H242">
        <v>6.6</v>
      </c>
      <c r="I242">
        <v>12.5</v>
      </c>
      <c r="J242">
        <f t="shared" si="28"/>
        <v>1722.8</v>
      </c>
      <c r="K242">
        <f t="shared" si="29"/>
        <v>184.8</v>
      </c>
      <c r="M242" s="52">
        <v>8.4</v>
      </c>
      <c r="N242">
        <v>1.1000000000000001</v>
      </c>
      <c r="O242">
        <f t="shared" si="24"/>
        <v>7.3000000000000007</v>
      </c>
      <c r="Q242">
        <v>211</v>
      </c>
      <c r="R242">
        <f t="shared" si="27"/>
        <v>1.1054054054054054</v>
      </c>
      <c r="S242">
        <f t="shared" si="25"/>
        <v>1.2159459459459461</v>
      </c>
      <c r="T242">
        <f t="shared" si="26"/>
        <v>7.1840540540540543</v>
      </c>
      <c r="U242" s="52">
        <f t="shared" si="30"/>
        <v>179.3</v>
      </c>
      <c r="W242">
        <v>390.5</v>
      </c>
      <c r="X242">
        <f t="shared" si="31"/>
        <v>14962.6</v>
      </c>
      <c r="Y242">
        <v>12.367842578370293</v>
      </c>
    </row>
    <row r="243" spans="1:26" x14ac:dyDescent="0.25">
      <c r="A243">
        <v>6360</v>
      </c>
      <c r="B243">
        <v>24170</v>
      </c>
      <c r="C243" s="1">
        <v>43188</v>
      </c>
      <c r="F243" s="44"/>
      <c r="G243">
        <v>6.3</v>
      </c>
      <c r="H243">
        <v>2.5</v>
      </c>
      <c r="I243">
        <v>10.7</v>
      </c>
      <c r="J243">
        <f t="shared" si="28"/>
        <v>1729.1</v>
      </c>
      <c r="K243">
        <f t="shared" si="29"/>
        <v>191.10000000000002</v>
      </c>
      <c r="M243" s="52">
        <v>2.2999999999999998</v>
      </c>
      <c r="N243">
        <v>1.9</v>
      </c>
      <c r="O243">
        <f t="shared" si="24"/>
        <v>0.39999999999999991</v>
      </c>
      <c r="Q243">
        <v>212</v>
      </c>
      <c r="R243">
        <f t="shared" si="27"/>
        <v>1.1094594594594593</v>
      </c>
      <c r="S243">
        <f t="shared" si="25"/>
        <v>2.1079729729729726</v>
      </c>
      <c r="T243">
        <f t="shared" si="26"/>
        <v>0.19202702702702723</v>
      </c>
      <c r="U243" s="52">
        <f t="shared" si="30"/>
        <v>179.3</v>
      </c>
      <c r="W243">
        <v>1307.2</v>
      </c>
      <c r="X243">
        <f t="shared" si="31"/>
        <v>16269.800000000001</v>
      </c>
      <c r="Y243">
        <v>12.429025315948621</v>
      </c>
    </row>
    <row r="244" spans="1:26" x14ac:dyDescent="0.25">
      <c r="A244">
        <v>6360</v>
      </c>
      <c r="B244">
        <v>24170</v>
      </c>
      <c r="C244" s="1">
        <v>43189</v>
      </c>
      <c r="F244" s="44"/>
      <c r="G244">
        <v>7.2</v>
      </c>
      <c r="H244">
        <v>5.6</v>
      </c>
      <c r="I244">
        <v>9.1</v>
      </c>
      <c r="J244">
        <f t="shared" si="28"/>
        <v>1736.3</v>
      </c>
      <c r="K244">
        <f t="shared" si="29"/>
        <v>198.3</v>
      </c>
      <c r="M244" s="52">
        <v>1</v>
      </c>
      <c r="N244">
        <v>0.9</v>
      </c>
      <c r="O244">
        <f t="shared" si="24"/>
        <v>9.9999999999999978E-2</v>
      </c>
      <c r="Q244">
        <v>213</v>
      </c>
      <c r="R244">
        <f t="shared" si="27"/>
        <v>1.1135135135135135</v>
      </c>
      <c r="S244">
        <f t="shared" si="25"/>
        <v>1.0021621621621621</v>
      </c>
      <c r="T244">
        <f t="shared" si="26"/>
        <v>-2.1621621621621401E-3</v>
      </c>
      <c r="U244" s="52">
        <f t="shared" si="30"/>
        <v>179.29783783783785</v>
      </c>
      <c r="W244">
        <v>683.8</v>
      </c>
      <c r="X244">
        <f t="shared" si="31"/>
        <v>16953.600000000002</v>
      </c>
      <c r="Y244">
        <v>12.490150217188422</v>
      </c>
    </row>
    <row r="245" spans="1:26" x14ac:dyDescent="0.25">
      <c r="A245">
        <v>6360</v>
      </c>
      <c r="B245">
        <v>24170</v>
      </c>
      <c r="C245" s="1">
        <v>43190</v>
      </c>
      <c r="F245" s="44"/>
      <c r="G245">
        <v>6.8</v>
      </c>
      <c r="H245">
        <v>3.2</v>
      </c>
      <c r="I245">
        <v>9.1999999999999993</v>
      </c>
      <c r="J245">
        <f t="shared" si="28"/>
        <v>1743.1</v>
      </c>
      <c r="K245">
        <f t="shared" si="29"/>
        <v>205.10000000000002</v>
      </c>
      <c r="M245" s="52">
        <v>1</v>
      </c>
      <c r="N245">
        <v>0.7</v>
      </c>
      <c r="O245">
        <f t="shared" si="24"/>
        <v>0.30000000000000004</v>
      </c>
      <c r="Q245">
        <v>214</v>
      </c>
      <c r="R245">
        <f t="shared" si="27"/>
        <v>1.1175675675675676</v>
      </c>
      <c r="S245">
        <f t="shared" si="25"/>
        <v>0.78229729729729724</v>
      </c>
      <c r="T245">
        <f t="shared" si="26"/>
        <v>0.21770270270270276</v>
      </c>
      <c r="U245" s="52">
        <f t="shared" si="30"/>
        <v>179.3</v>
      </c>
      <c r="W245">
        <v>516</v>
      </c>
      <c r="X245">
        <f t="shared" si="31"/>
        <v>17469.600000000002</v>
      </c>
      <c r="Y245">
        <v>12.551208705897235</v>
      </c>
    </row>
    <row r="246" spans="1:26" x14ac:dyDescent="0.25">
      <c r="A246">
        <v>6360</v>
      </c>
      <c r="B246">
        <v>24170</v>
      </c>
      <c r="C246" s="1">
        <v>43191</v>
      </c>
      <c r="F246" s="44"/>
      <c r="G246">
        <v>7.8</v>
      </c>
      <c r="H246">
        <v>6.1</v>
      </c>
      <c r="I246">
        <v>9.3000000000000007</v>
      </c>
      <c r="J246">
        <f t="shared" si="28"/>
        <v>1750.8999999999999</v>
      </c>
      <c r="K246">
        <f t="shared" si="29"/>
        <v>212.90000000000003</v>
      </c>
      <c r="M246">
        <v>0.6</v>
      </c>
      <c r="N246">
        <v>1.1000000000000001</v>
      </c>
      <c r="O246">
        <f t="shared" si="24"/>
        <v>-0.50000000000000011</v>
      </c>
      <c r="Q246">
        <v>215</v>
      </c>
      <c r="R246">
        <f t="shared" si="27"/>
        <v>1.1216216216216215</v>
      </c>
      <c r="S246">
        <f t="shared" si="25"/>
        <v>1.2337837837837837</v>
      </c>
      <c r="T246">
        <f t="shared" si="26"/>
        <v>-0.63378378378378375</v>
      </c>
      <c r="U246">
        <f t="shared" si="30"/>
        <v>178.66621621621624</v>
      </c>
      <c r="W246">
        <v>786.2</v>
      </c>
      <c r="X246">
        <f t="shared" si="31"/>
        <v>18255.800000000003</v>
      </c>
      <c r="Y246">
        <v>12.612192080719748</v>
      </c>
    </row>
    <row r="247" spans="1:26" x14ac:dyDescent="0.25">
      <c r="A247">
        <v>6360</v>
      </c>
      <c r="B247">
        <v>24170</v>
      </c>
      <c r="C247" s="1">
        <v>43192</v>
      </c>
      <c r="F247" s="44"/>
      <c r="G247">
        <v>10.7</v>
      </c>
      <c r="H247">
        <v>7</v>
      </c>
      <c r="I247">
        <v>13.2</v>
      </c>
      <c r="J247">
        <f t="shared" si="28"/>
        <v>1761.6</v>
      </c>
      <c r="K247">
        <f t="shared" si="29"/>
        <v>223.60000000000002</v>
      </c>
      <c r="M247">
        <v>2</v>
      </c>
      <c r="N247">
        <v>1.5</v>
      </c>
      <c r="O247">
        <f t="shared" si="24"/>
        <v>0.5</v>
      </c>
      <c r="Q247">
        <v>216</v>
      </c>
      <c r="R247">
        <f t="shared" si="27"/>
        <v>1.1256756756756756</v>
      </c>
      <c r="S247">
        <f t="shared" si="25"/>
        <v>1.6885135135135134</v>
      </c>
      <c r="T247">
        <f t="shared" si="26"/>
        <v>0.31148648648648658</v>
      </c>
      <c r="U247">
        <f t="shared" si="30"/>
        <v>178.97770270270271</v>
      </c>
      <c r="W247">
        <v>664.1</v>
      </c>
      <c r="X247">
        <f t="shared" si="31"/>
        <v>18919.900000000001</v>
      </c>
      <c r="Y247">
        <v>12.673091499738407</v>
      </c>
    </row>
    <row r="248" spans="1:26" x14ac:dyDescent="0.25">
      <c r="A248">
        <v>6360</v>
      </c>
      <c r="B248">
        <v>24170</v>
      </c>
      <c r="C248" s="1">
        <v>43193</v>
      </c>
      <c r="F248" s="44"/>
      <c r="G248">
        <v>10.9</v>
      </c>
      <c r="H248">
        <v>9.8000000000000007</v>
      </c>
      <c r="I248">
        <v>13.7</v>
      </c>
      <c r="J248">
        <f t="shared" si="28"/>
        <v>1772.5</v>
      </c>
      <c r="K248">
        <f t="shared" si="29"/>
        <v>234.50000000000003</v>
      </c>
      <c r="M248">
        <v>7.7</v>
      </c>
      <c r="N248">
        <v>1.8</v>
      </c>
      <c r="O248">
        <f t="shared" si="24"/>
        <v>5.9</v>
      </c>
      <c r="Q248">
        <v>217</v>
      </c>
      <c r="R248">
        <f t="shared" si="27"/>
        <v>1.1297297297297297</v>
      </c>
      <c r="S248">
        <f t="shared" si="25"/>
        <v>2.0335135135135136</v>
      </c>
      <c r="T248">
        <f t="shared" si="26"/>
        <v>5.6664864864864866</v>
      </c>
      <c r="U248">
        <f t="shared" si="30"/>
        <v>179.3</v>
      </c>
      <c r="W248">
        <v>795.7</v>
      </c>
      <c r="X248">
        <f t="shared" si="31"/>
        <v>19715.600000000002</v>
      </c>
      <c r="Y248">
        <v>12.733897965167566</v>
      </c>
    </row>
    <row r="249" spans="1:26" x14ac:dyDescent="0.25">
      <c r="A249">
        <v>6360</v>
      </c>
      <c r="B249">
        <v>24170</v>
      </c>
      <c r="C249" s="1">
        <v>43194</v>
      </c>
      <c r="F249" s="44"/>
      <c r="G249">
        <v>10.8</v>
      </c>
      <c r="H249">
        <v>8.5</v>
      </c>
      <c r="I249">
        <v>13.8</v>
      </c>
      <c r="J249">
        <f t="shared" si="28"/>
        <v>1783.3</v>
      </c>
      <c r="K249">
        <f t="shared" si="29"/>
        <v>245.30000000000004</v>
      </c>
      <c r="M249">
        <v>2.2999999999999998</v>
      </c>
      <c r="N249">
        <v>2.1</v>
      </c>
      <c r="O249">
        <f t="shared" si="24"/>
        <v>0.19999999999999973</v>
      </c>
      <c r="Q249">
        <v>218</v>
      </c>
      <c r="R249">
        <f t="shared" si="27"/>
        <v>1.1337837837837836</v>
      </c>
      <c r="S249">
        <f t="shared" si="25"/>
        <v>2.3809459459459457</v>
      </c>
      <c r="T249">
        <f t="shared" si="26"/>
        <v>-8.0945945945945841E-2</v>
      </c>
      <c r="U249">
        <f t="shared" si="30"/>
        <v>179.21905405405406</v>
      </c>
      <c r="W249">
        <v>1089.3</v>
      </c>
      <c r="X249">
        <f t="shared" si="31"/>
        <v>20804.900000000001</v>
      </c>
      <c r="Y249">
        <v>12.794602308155349</v>
      </c>
    </row>
    <row r="250" spans="1:26" x14ac:dyDescent="0.25">
      <c r="A250">
        <v>6360</v>
      </c>
      <c r="B250">
        <v>24170</v>
      </c>
      <c r="C250" s="1">
        <v>43195</v>
      </c>
      <c r="F250" s="44"/>
      <c r="G250">
        <v>8.4</v>
      </c>
      <c r="H250">
        <v>7.2</v>
      </c>
      <c r="I250">
        <v>9.6</v>
      </c>
      <c r="J250">
        <f t="shared" si="28"/>
        <v>1791.7</v>
      </c>
      <c r="K250">
        <f t="shared" si="29"/>
        <v>253.70000000000005</v>
      </c>
      <c r="M250">
        <v>0</v>
      </c>
      <c r="N250">
        <v>1.3</v>
      </c>
      <c r="O250">
        <f t="shared" si="24"/>
        <v>-1.3</v>
      </c>
      <c r="Q250">
        <v>219</v>
      </c>
      <c r="R250">
        <f t="shared" si="27"/>
        <v>1.1378378378378378</v>
      </c>
      <c r="S250">
        <f t="shared" si="25"/>
        <v>1.4791891891891891</v>
      </c>
      <c r="T250">
        <f t="shared" si="26"/>
        <v>-1.4791891891891891</v>
      </c>
      <c r="U250">
        <f t="shared" si="30"/>
        <v>177.73986486486487</v>
      </c>
      <c r="W250">
        <v>591.4</v>
      </c>
      <c r="X250">
        <f t="shared" si="31"/>
        <v>21396.300000000003</v>
      </c>
      <c r="Y250">
        <v>12.855195173708468</v>
      </c>
    </row>
    <row r="251" spans="1:26" s="9" customFormat="1" x14ac:dyDescent="0.25">
      <c r="A251" s="9">
        <v>6360</v>
      </c>
      <c r="B251" s="9">
        <v>24170</v>
      </c>
      <c r="C251" s="10">
        <v>43196</v>
      </c>
      <c r="F251" s="44"/>
      <c r="G251" s="9">
        <v>12.1</v>
      </c>
      <c r="H251" s="9">
        <v>5.8</v>
      </c>
      <c r="I251" s="9">
        <v>17.100000000000001</v>
      </c>
      <c r="J251" s="9">
        <f t="shared" si="28"/>
        <v>1803.8</v>
      </c>
      <c r="K251">
        <f t="shared" si="29"/>
        <v>265.80000000000007</v>
      </c>
      <c r="M251" s="9">
        <v>0</v>
      </c>
      <c r="N251" s="9">
        <v>3.2</v>
      </c>
      <c r="O251" s="9">
        <f t="shared" si="24"/>
        <v>-3.2</v>
      </c>
      <c r="Q251" s="9">
        <v>220</v>
      </c>
      <c r="R251">
        <f t="shared" si="27"/>
        <v>1.1418918918918919</v>
      </c>
      <c r="S251" s="9">
        <f t="shared" si="25"/>
        <v>3.654054054054054</v>
      </c>
      <c r="T251" s="9">
        <f t="shared" si="26"/>
        <v>-3.654054054054054</v>
      </c>
      <c r="U251">
        <f t="shared" si="30"/>
        <v>174.08581081081081</v>
      </c>
      <c r="W251" s="9">
        <v>1968.6</v>
      </c>
      <c r="X251">
        <f t="shared" si="31"/>
        <v>23364.9</v>
      </c>
      <c r="Y251" s="9">
        <v>12.91566700575671</v>
      </c>
    </row>
    <row r="252" spans="1:26" x14ac:dyDescent="0.25">
      <c r="A252">
        <v>6360</v>
      </c>
      <c r="B252">
        <v>24170</v>
      </c>
      <c r="C252" s="1">
        <v>43197</v>
      </c>
      <c r="F252" s="44"/>
      <c r="G252">
        <v>15.5</v>
      </c>
      <c r="H252">
        <v>11.1</v>
      </c>
      <c r="I252">
        <v>19.100000000000001</v>
      </c>
      <c r="J252">
        <f t="shared" si="28"/>
        <v>1819.3</v>
      </c>
      <c r="K252">
        <f t="shared" si="29"/>
        <v>281.30000000000007</v>
      </c>
      <c r="M252">
        <v>1.2</v>
      </c>
      <c r="N252">
        <v>2.6</v>
      </c>
      <c r="O252">
        <f t="shared" si="24"/>
        <v>-1.4000000000000001</v>
      </c>
      <c r="Q252">
        <v>221</v>
      </c>
      <c r="R252">
        <f t="shared" si="27"/>
        <v>1.1459459459459458</v>
      </c>
      <c r="S252">
        <f t="shared" si="25"/>
        <v>2.9794594594594592</v>
      </c>
      <c r="T252">
        <f t="shared" si="26"/>
        <v>-1.7794594594594593</v>
      </c>
      <c r="U252">
        <f t="shared" si="30"/>
        <v>172.30635135135137</v>
      </c>
      <c r="W252">
        <v>1499.5</v>
      </c>
      <c r="X252">
        <f t="shared" si="31"/>
        <v>24864.400000000001</v>
      </c>
      <c r="Y252">
        <v>12.976008032375049</v>
      </c>
    </row>
    <row r="253" spans="1:26" s="6" customFormat="1" ht="15.75" thickBot="1" x14ac:dyDescent="0.3">
      <c r="A253" s="6">
        <v>6360</v>
      </c>
      <c r="B253" s="6">
        <v>24170</v>
      </c>
      <c r="C253" s="7">
        <v>43198</v>
      </c>
      <c r="F253" s="45"/>
      <c r="G253" s="6">
        <v>15.3</v>
      </c>
      <c r="H253" s="6">
        <v>10.5</v>
      </c>
      <c r="I253" s="6">
        <v>20.6</v>
      </c>
      <c r="J253" s="6">
        <f t="shared" si="28"/>
        <v>1834.6</v>
      </c>
      <c r="K253" s="6">
        <f t="shared" si="29"/>
        <v>296.60000000000008</v>
      </c>
      <c r="M253" s="6">
        <v>0</v>
      </c>
      <c r="N253" s="6">
        <v>2.1</v>
      </c>
      <c r="O253" s="6">
        <f t="shared" si="24"/>
        <v>-2.1</v>
      </c>
      <c r="Q253" s="6">
        <v>222</v>
      </c>
      <c r="R253">
        <f t="shared" si="27"/>
        <v>1.1499999999999999</v>
      </c>
      <c r="S253" s="6">
        <f t="shared" si="25"/>
        <v>2.415</v>
      </c>
      <c r="T253" s="6">
        <f t="shared" si="26"/>
        <v>-2.415</v>
      </c>
      <c r="U253">
        <f t="shared" si="30"/>
        <v>169.89135135135137</v>
      </c>
      <c r="W253" s="6">
        <v>754.7</v>
      </c>
      <c r="X253" s="6">
        <f t="shared" si="31"/>
        <v>25619.100000000002</v>
      </c>
      <c r="Y253" s="6">
        <v>13.036208251183025</v>
      </c>
    </row>
    <row r="254" spans="1:26" x14ac:dyDescent="0.25">
      <c r="A254">
        <v>6360</v>
      </c>
      <c r="B254">
        <v>24170</v>
      </c>
      <c r="C254" s="1">
        <v>43199</v>
      </c>
      <c r="D254" t="s">
        <v>34</v>
      </c>
      <c r="F254" s="40" t="s">
        <v>57</v>
      </c>
      <c r="G254">
        <v>11.9</v>
      </c>
      <c r="H254">
        <v>11.1</v>
      </c>
      <c r="I254">
        <v>13.3</v>
      </c>
      <c r="J254">
        <f t="shared" si="28"/>
        <v>1846.5</v>
      </c>
      <c r="K254">
        <f>G254</f>
        <v>11.9</v>
      </c>
      <c r="L254" s="21" t="s">
        <v>38</v>
      </c>
      <c r="M254">
        <v>12.3</v>
      </c>
      <c r="N254">
        <v>1</v>
      </c>
      <c r="O254">
        <f t="shared" si="24"/>
        <v>11.3</v>
      </c>
      <c r="Q254">
        <v>223</v>
      </c>
      <c r="R254">
        <v>1.1499999999999999</v>
      </c>
      <c r="S254">
        <f t="shared" si="25"/>
        <v>1.1499999999999999</v>
      </c>
      <c r="T254">
        <f t="shared" si="26"/>
        <v>11.15</v>
      </c>
      <c r="U254">
        <f t="shared" si="30"/>
        <v>179.3</v>
      </c>
      <c r="V254" s="23" t="s">
        <v>45</v>
      </c>
      <c r="W254">
        <v>479.9</v>
      </c>
      <c r="X254">
        <f>W254</f>
        <v>479.9</v>
      </c>
      <c r="Y254">
        <v>13.096257414942601</v>
      </c>
      <c r="Z254" s="23" t="s">
        <v>50</v>
      </c>
    </row>
    <row r="255" spans="1:26" x14ac:dyDescent="0.25">
      <c r="A255">
        <v>6360</v>
      </c>
      <c r="B255">
        <v>24170</v>
      </c>
      <c r="C255" s="1">
        <v>43200</v>
      </c>
      <c r="F255" s="41"/>
      <c r="G255">
        <v>11.9</v>
      </c>
      <c r="H255">
        <v>9.9</v>
      </c>
      <c r="I255">
        <v>14.7</v>
      </c>
      <c r="J255">
        <f t="shared" si="28"/>
        <v>1858.4</v>
      </c>
      <c r="K255">
        <f t="shared" si="29"/>
        <v>23.8</v>
      </c>
      <c r="L255" s="12">
        <v>297.2</v>
      </c>
      <c r="M255">
        <v>0</v>
      </c>
      <c r="N255">
        <v>2.5</v>
      </c>
      <c r="O255">
        <f t="shared" si="24"/>
        <v>-2.5</v>
      </c>
      <c r="Q255">
        <v>224</v>
      </c>
      <c r="R255">
        <v>1.1499999999999999</v>
      </c>
      <c r="S255">
        <f t="shared" si="25"/>
        <v>2.875</v>
      </c>
      <c r="T255">
        <f t="shared" si="26"/>
        <v>-2.875</v>
      </c>
      <c r="U255">
        <f t="shared" si="30"/>
        <v>176.42500000000001</v>
      </c>
      <c r="V255">
        <v>0</v>
      </c>
      <c r="W255">
        <v>1283.2</v>
      </c>
      <c r="X255">
        <f t="shared" si="31"/>
        <v>1763.1</v>
      </c>
      <c r="Y255">
        <v>13.15614501737749</v>
      </c>
      <c r="Z255">
        <v>31412.2</v>
      </c>
    </row>
    <row r="256" spans="1:26" x14ac:dyDescent="0.25">
      <c r="A256">
        <v>6360</v>
      </c>
      <c r="B256">
        <v>24170</v>
      </c>
      <c r="C256" s="1">
        <v>43201</v>
      </c>
      <c r="F256" s="41"/>
      <c r="G256">
        <v>12.8</v>
      </c>
      <c r="H256">
        <v>8.5</v>
      </c>
      <c r="I256">
        <v>16.8</v>
      </c>
      <c r="J256">
        <f t="shared" si="28"/>
        <v>1871.2</v>
      </c>
      <c r="K256">
        <f t="shared" si="29"/>
        <v>36.6</v>
      </c>
      <c r="L256" s="21" t="s">
        <v>39</v>
      </c>
      <c r="M256">
        <v>0</v>
      </c>
      <c r="N256">
        <v>2.6</v>
      </c>
      <c r="O256">
        <f t="shared" si="24"/>
        <v>-2.6</v>
      </c>
      <c r="Q256">
        <v>225</v>
      </c>
      <c r="R256">
        <v>1.1499999999999999</v>
      </c>
      <c r="S256">
        <f t="shared" si="25"/>
        <v>2.9899999999999998</v>
      </c>
      <c r="T256">
        <f t="shared" si="26"/>
        <v>-2.9899999999999998</v>
      </c>
      <c r="U256">
        <f t="shared" si="30"/>
        <v>173.435</v>
      </c>
      <c r="V256" s="23" t="s">
        <v>46</v>
      </c>
      <c r="W256">
        <v>1674.4</v>
      </c>
      <c r="X256">
        <f t="shared" si="31"/>
        <v>3437.5</v>
      </c>
      <c r="Y256">
        <v>13.215860279238841</v>
      </c>
      <c r="Z256" s="23" t="s">
        <v>51</v>
      </c>
    </row>
    <row r="257" spans="1:26" x14ac:dyDescent="0.25">
      <c r="A257">
        <v>6360</v>
      </c>
      <c r="B257">
        <v>24170</v>
      </c>
      <c r="C257" s="1">
        <v>43202</v>
      </c>
      <c r="F257" s="41"/>
      <c r="G257">
        <v>10.5</v>
      </c>
      <c r="H257">
        <v>8.5</v>
      </c>
      <c r="I257">
        <v>13.1</v>
      </c>
      <c r="J257">
        <f t="shared" si="28"/>
        <v>1881.7</v>
      </c>
      <c r="K257">
        <f t="shared" si="29"/>
        <v>47.1</v>
      </c>
      <c r="L257" s="13">
        <f>AVERAGE(G254:G274)</f>
        <v>14.152380952380952</v>
      </c>
      <c r="M257">
        <v>3.3</v>
      </c>
      <c r="N257">
        <v>1.1000000000000001</v>
      </c>
      <c r="O257">
        <f t="shared" si="24"/>
        <v>2.1999999999999997</v>
      </c>
      <c r="Q257">
        <v>226</v>
      </c>
      <c r="R257">
        <v>1.1499999999999999</v>
      </c>
      <c r="S257">
        <f t="shared" si="25"/>
        <v>1.2649999999999999</v>
      </c>
      <c r="T257">
        <f t="shared" si="26"/>
        <v>2.0350000000000001</v>
      </c>
      <c r="U257">
        <f t="shared" si="30"/>
        <v>175.47</v>
      </c>
      <c r="V257">
        <v>0</v>
      </c>
      <c r="W257">
        <v>690</v>
      </c>
      <c r="X257">
        <f t="shared" si="31"/>
        <v>4127.5</v>
      </c>
      <c r="Y257">
        <v>13.275392134644177</v>
      </c>
      <c r="Z257" s="2">
        <f>(Z255/100)/L255</f>
        <v>1.0569380888290714</v>
      </c>
    </row>
    <row r="258" spans="1:26" x14ac:dyDescent="0.25">
      <c r="A258">
        <v>6360</v>
      </c>
      <c r="B258">
        <v>24170</v>
      </c>
      <c r="C258" s="1">
        <v>43203</v>
      </c>
      <c r="F258" s="41"/>
      <c r="G258">
        <v>12.1</v>
      </c>
      <c r="H258">
        <v>8.1999999999999993</v>
      </c>
      <c r="I258">
        <v>16</v>
      </c>
      <c r="J258">
        <f t="shared" si="28"/>
        <v>1893.8</v>
      </c>
      <c r="K258">
        <f t="shared" si="29"/>
        <v>59.2</v>
      </c>
      <c r="L258" s="21" t="s">
        <v>40</v>
      </c>
      <c r="M258">
        <v>0</v>
      </c>
      <c r="N258">
        <v>2.1</v>
      </c>
      <c r="O258">
        <f t="shared" si="24"/>
        <v>-2.1</v>
      </c>
      <c r="Q258">
        <v>227</v>
      </c>
      <c r="R258">
        <v>1.1499999999999999</v>
      </c>
      <c r="S258">
        <f t="shared" si="25"/>
        <v>2.415</v>
      </c>
      <c r="T258">
        <f t="shared" si="26"/>
        <v>-2.415</v>
      </c>
      <c r="U258">
        <f t="shared" si="30"/>
        <v>173.05500000000001</v>
      </c>
      <c r="V258" s="23" t="s">
        <v>47</v>
      </c>
      <c r="W258">
        <v>1244.4000000000001</v>
      </c>
      <c r="X258">
        <f t="shared" si="31"/>
        <v>5371.9</v>
      </c>
      <c r="Y258">
        <v>13.334729217718492</v>
      </c>
      <c r="Z258" s="23" t="s">
        <v>52</v>
      </c>
    </row>
    <row r="259" spans="1:26" x14ac:dyDescent="0.25">
      <c r="A259">
        <v>6360</v>
      </c>
      <c r="B259">
        <v>24170</v>
      </c>
      <c r="C259" s="1">
        <v>43204</v>
      </c>
      <c r="F259" s="41"/>
      <c r="G259">
        <v>11.9</v>
      </c>
      <c r="H259">
        <v>8</v>
      </c>
      <c r="I259">
        <v>15.3</v>
      </c>
      <c r="J259">
        <f t="shared" si="28"/>
        <v>1905.7</v>
      </c>
      <c r="K259">
        <f t="shared" si="29"/>
        <v>71.100000000000009</v>
      </c>
      <c r="L259" s="14">
        <f>MIN(H254:H274)</f>
        <v>6.9</v>
      </c>
      <c r="M259">
        <v>0.1</v>
      </c>
      <c r="N259">
        <v>2</v>
      </c>
      <c r="O259">
        <f t="shared" si="24"/>
        <v>-1.9</v>
      </c>
      <c r="Q259">
        <v>228</v>
      </c>
      <c r="R259">
        <v>1.1499999999999999</v>
      </c>
      <c r="S259">
        <f t="shared" si="25"/>
        <v>2.2999999999999998</v>
      </c>
      <c r="T259">
        <f t="shared" si="26"/>
        <v>-2.1999999999999997</v>
      </c>
      <c r="U259">
        <f t="shared" si="30"/>
        <v>170.85500000000002</v>
      </c>
      <c r="V259" s="2">
        <f>MIN(U254:U274)</f>
        <v>120.17500000000003</v>
      </c>
      <c r="W259">
        <v>1328.4</v>
      </c>
      <c r="X259">
        <f t="shared" si="31"/>
        <v>6700.2999999999993</v>
      </c>
      <c r="Y259">
        <v>13.393859849568747</v>
      </c>
      <c r="Z259">
        <v>3</v>
      </c>
    </row>
    <row r="260" spans="1:26" x14ac:dyDescent="0.25">
      <c r="A260">
        <v>6360</v>
      </c>
      <c r="B260">
        <v>24170</v>
      </c>
      <c r="C260" s="1">
        <v>43205</v>
      </c>
      <c r="F260" s="41"/>
      <c r="G260">
        <v>12.8</v>
      </c>
      <c r="H260">
        <v>8.6999999999999993</v>
      </c>
      <c r="I260">
        <v>16.600000000000001</v>
      </c>
      <c r="J260">
        <f t="shared" si="28"/>
        <v>1918.5</v>
      </c>
      <c r="K260">
        <f t="shared" si="29"/>
        <v>83.9</v>
      </c>
      <c r="L260" s="21" t="s">
        <v>41</v>
      </c>
      <c r="M260">
        <v>0</v>
      </c>
      <c r="N260">
        <v>2.1</v>
      </c>
      <c r="O260">
        <f t="shared" si="24"/>
        <v>-2.1</v>
      </c>
      <c r="Q260">
        <v>229</v>
      </c>
      <c r="R260">
        <v>1.1499999999999999</v>
      </c>
      <c r="S260">
        <f t="shared" si="25"/>
        <v>2.415</v>
      </c>
      <c r="T260">
        <f t="shared" si="26"/>
        <v>-2.415</v>
      </c>
      <c r="U260">
        <f t="shared" si="30"/>
        <v>168.44000000000003</v>
      </c>
      <c r="V260" s="23" t="s">
        <v>48</v>
      </c>
      <c r="W260">
        <v>1423.7</v>
      </c>
      <c r="X260">
        <f t="shared" si="31"/>
        <v>8123.9999999999991</v>
      </c>
      <c r="Y260">
        <v>13.452772025625167</v>
      </c>
    </row>
    <row r="261" spans="1:26" x14ac:dyDescent="0.25">
      <c r="A261">
        <v>6360</v>
      </c>
      <c r="B261">
        <v>24170</v>
      </c>
      <c r="C261" s="1">
        <v>43206</v>
      </c>
      <c r="F261" s="41"/>
      <c r="G261">
        <v>11.4</v>
      </c>
      <c r="H261">
        <v>7.8</v>
      </c>
      <c r="I261">
        <v>15.1</v>
      </c>
      <c r="J261">
        <f t="shared" si="28"/>
        <v>1929.9</v>
      </c>
      <c r="K261">
        <f t="shared" si="29"/>
        <v>95.300000000000011</v>
      </c>
      <c r="L261" s="12">
        <f>MAX(I254:I274)</f>
        <v>27.2</v>
      </c>
      <c r="M261">
        <v>0</v>
      </c>
      <c r="N261">
        <v>3</v>
      </c>
      <c r="O261">
        <f t="shared" ref="O261:O324" si="32">M261-N261</f>
        <v>-3</v>
      </c>
      <c r="Q261">
        <v>230</v>
      </c>
      <c r="R261">
        <v>1.1499999999999999</v>
      </c>
      <c r="S261">
        <f t="shared" ref="S261:S324" si="33">R261*N261</f>
        <v>3.4499999999999997</v>
      </c>
      <c r="T261">
        <f t="shared" ref="T261:T324" si="34">M261-S261</f>
        <v>-3.4499999999999997</v>
      </c>
      <c r="U261">
        <f t="shared" si="30"/>
        <v>164.99000000000004</v>
      </c>
      <c r="V261" s="2">
        <f>MAX(U254:U274)</f>
        <v>179.3</v>
      </c>
      <c r="W261">
        <v>1916.1</v>
      </c>
      <c r="X261">
        <f t="shared" si="31"/>
        <v>10040.099999999999</v>
      </c>
      <c r="Y261">
        <v>13.511453403385195</v>
      </c>
    </row>
    <row r="262" spans="1:26" x14ac:dyDescent="0.25">
      <c r="A262">
        <v>6360</v>
      </c>
      <c r="B262">
        <v>24170</v>
      </c>
      <c r="C262" s="1">
        <v>43207</v>
      </c>
      <c r="F262" s="41"/>
      <c r="G262">
        <v>13.9</v>
      </c>
      <c r="H262">
        <v>6.9</v>
      </c>
      <c r="I262">
        <v>20</v>
      </c>
      <c r="J262">
        <f t="shared" si="28"/>
        <v>1943.8000000000002</v>
      </c>
      <c r="K262">
        <f t="shared" si="29"/>
        <v>109.20000000000002</v>
      </c>
      <c r="L262" s="21" t="s">
        <v>42</v>
      </c>
      <c r="M262">
        <v>0</v>
      </c>
      <c r="N262">
        <v>3.6</v>
      </c>
      <c r="O262">
        <f t="shared" si="32"/>
        <v>-3.6</v>
      </c>
      <c r="Q262">
        <v>231</v>
      </c>
      <c r="R262">
        <v>1.1499999999999999</v>
      </c>
      <c r="S262">
        <f t="shared" si="33"/>
        <v>4.1399999999999997</v>
      </c>
      <c r="T262">
        <f t="shared" si="34"/>
        <v>-4.1399999999999997</v>
      </c>
      <c r="U262">
        <f t="shared" si="30"/>
        <v>160.85000000000005</v>
      </c>
      <c r="V262" s="23" t="s">
        <v>49</v>
      </c>
      <c r="W262">
        <v>1871</v>
      </c>
      <c r="X262">
        <f t="shared" si="31"/>
        <v>11911.099999999999</v>
      </c>
      <c r="Y262">
        <v>13.569891290598401</v>
      </c>
    </row>
    <row r="263" spans="1:26" x14ac:dyDescent="0.25">
      <c r="A263">
        <v>6360</v>
      </c>
      <c r="B263">
        <v>24170</v>
      </c>
      <c r="C263" s="1">
        <v>43208</v>
      </c>
      <c r="F263" s="41"/>
      <c r="G263">
        <v>17.600000000000001</v>
      </c>
      <c r="H263">
        <v>10.199999999999999</v>
      </c>
      <c r="I263">
        <v>24</v>
      </c>
      <c r="J263">
        <f t="shared" si="28"/>
        <v>1961.4</v>
      </c>
      <c r="K263">
        <f t="shared" si="29"/>
        <v>126.80000000000001</v>
      </c>
      <c r="L263" s="12">
        <v>3</v>
      </c>
      <c r="M263">
        <v>0</v>
      </c>
      <c r="N263">
        <v>4.4000000000000004</v>
      </c>
      <c r="O263">
        <f t="shared" si="32"/>
        <v>-4.4000000000000004</v>
      </c>
      <c r="Q263">
        <v>232</v>
      </c>
      <c r="R263">
        <v>1.1499999999999999</v>
      </c>
      <c r="S263">
        <f t="shared" si="33"/>
        <v>5.0599999999999996</v>
      </c>
      <c r="T263">
        <f t="shared" si="34"/>
        <v>-5.0599999999999996</v>
      </c>
      <c r="U263">
        <f t="shared" si="30"/>
        <v>155.79000000000005</v>
      </c>
      <c r="V263" s="2">
        <f>AVERAGE(U254:U274)</f>
        <v>150.77857142857147</v>
      </c>
      <c r="W263">
        <v>1988.3</v>
      </c>
      <c r="X263">
        <f t="shared" si="31"/>
        <v>13899.399999999998</v>
      </c>
      <c r="Y263">
        <v>13.628072633933227</v>
      </c>
    </row>
    <row r="264" spans="1:26" x14ac:dyDescent="0.25">
      <c r="A264">
        <v>6360</v>
      </c>
      <c r="B264">
        <v>24170</v>
      </c>
      <c r="C264" s="1">
        <v>43209</v>
      </c>
      <c r="F264" s="41"/>
      <c r="G264">
        <v>19.7</v>
      </c>
      <c r="H264">
        <v>13.4</v>
      </c>
      <c r="I264">
        <v>25.3</v>
      </c>
      <c r="J264">
        <f t="shared" si="28"/>
        <v>1981.1000000000001</v>
      </c>
      <c r="K264">
        <f t="shared" si="29"/>
        <v>146.5</v>
      </c>
      <c r="L264" s="21" t="s">
        <v>43</v>
      </c>
      <c r="M264">
        <v>0</v>
      </c>
      <c r="N264">
        <v>4.5</v>
      </c>
      <c r="O264">
        <f t="shared" si="32"/>
        <v>-4.5</v>
      </c>
      <c r="Q264">
        <v>233</v>
      </c>
      <c r="R264">
        <v>1.1499999999999999</v>
      </c>
      <c r="S264">
        <f t="shared" si="33"/>
        <v>5.1749999999999998</v>
      </c>
      <c r="T264">
        <f t="shared" si="34"/>
        <v>-5.1749999999999998</v>
      </c>
      <c r="U264">
        <f t="shared" si="30"/>
        <v>150.61500000000004</v>
      </c>
      <c r="W264">
        <v>2067</v>
      </c>
      <c r="X264">
        <f t="shared" si="31"/>
        <v>15966.399999999998</v>
      </c>
      <c r="Y264">
        <v>13.685984008168965</v>
      </c>
    </row>
    <row r="265" spans="1:26" x14ac:dyDescent="0.25">
      <c r="A265">
        <v>6360</v>
      </c>
      <c r="B265">
        <v>24170</v>
      </c>
      <c r="C265" s="1">
        <v>43210</v>
      </c>
      <c r="F265" s="41"/>
      <c r="G265">
        <v>20.7</v>
      </c>
      <c r="H265">
        <v>14.7</v>
      </c>
      <c r="I265">
        <v>27.2</v>
      </c>
      <c r="J265">
        <f t="shared" si="28"/>
        <v>2001.8000000000002</v>
      </c>
      <c r="K265">
        <f t="shared" si="29"/>
        <v>167.2</v>
      </c>
      <c r="L265" s="12">
        <v>0</v>
      </c>
      <c r="M265">
        <v>0</v>
      </c>
      <c r="N265">
        <v>4.8</v>
      </c>
      <c r="O265">
        <f t="shared" si="32"/>
        <v>-4.8</v>
      </c>
      <c r="Q265">
        <v>234</v>
      </c>
      <c r="R265">
        <v>1.1499999999999999</v>
      </c>
      <c r="S265">
        <f t="shared" si="33"/>
        <v>5.52</v>
      </c>
      <c r="T265">
        <f t="shared" si="34"/>
        <v>-5.52</v>
      </c>
      <c r="U265">
        <f t="shared" si="30"/>
        <v>145.09500000000003</v>
      </c>
      <c r="V265" s="16">
        <f>(V263*100)/179.3</f>
        <v>84.092900964066629</v>
      </c>
      <c r="W265">
        <v>2079.8000000000002</v>
      </c>
      <c r="X265">
        <f t="shared" si="31"/>
        <v>18046.199999999997</v>
      </c>
      <c r="Y265">
        <v>13.743611605959073</v>
      </c>
    </row>
    <row r="266" spans="1:26" x14ac:dyDescent="0.25">
      <c r="A266">
        <v>6360</v>
      </c>
      <c r="B266">
        <v>24170</v>
      </c>
      <c r="C266" s="1">
        <v>43211</v>
      </c>
      <c r="F266" s="41"/>
      <c r="G266">
        <v>19.899999999999999</v>
      </c>
      <c r="H266">
        <v>14</v>
      </c>
      <c r="I266">
        <v>25.8</v>
      </c>
      <c r="J266">
        <f t="shared" si="28"/>
        <v>2021.7000000000003</v>
      </c>
      <c r="K266">
        <f t="shared" si="29"/>
        <v>187.1</v>
      </c>
      <c r="L266" s="21" t="s">
        <v>44</v>
      </c>
      <c r="M266">
        <v>0</v>
      </c>
      <c r="N266">
        <v>4.5</v>
      </c>
      <c r="O266">
        <f t="shared" si="32"/>
        <v>-4.5</v>
      </c>
      <c r="Q266">
        <v>235</v>
      </c>
      <c r="R266">
        <v>1.1499999999999999</v>
      </c>
      <c r="S266">
        <f t="shared" si="33"/>
        <v>5.1749999999999998</v>
      </c>
      <c r="T266">
        <f t="shared" si="34"/>
        <v>-5.1749999999999998</v>
      </c>
      <c r="U266">
        <f t="shared" si="30"/>
        <v>139.92000000000002</v>
      </c>
      <c r="W266">
        <v>2027</v>
      </c>
      <c r="X266">
        <f t="shared" si="31"/>
        <v>20073.199999999997</v>
      </c>
      <c r="Y266">
        <v>13.80094122821467</v>
      </c>
    </row>
    <row r="267" spans="1:26" x14ac:dyDescent="0.25">
      <c r="A267">
        <v>6360</v>
      </c>
      <c r="B267">
        <v>24170</v>
      </c>
      <c r="C267" s="1">
        <v>43212</v>
      </c>
      <c r="F267" s="41"/>
      <c r="G267">
        <v>20.2</v>
      </c>
      <c r="H267">
        <v>15.4</v>
      </c>
      <c r="I267">
        <v>24.7</v>
      </c>
      <c r="J267">
        <f t="shared" si="28"/>
        <v>2041.9000000000003</v>
      </c>
      <c r="K267">
        <f t="shared" si="29"/>
        <v>207.29999999999998</v>
      </c>
      <c r="L267" s="22">
        <v>0</v>
      </c>
      <c r="M267">
        <v>0</v>
      </c>
      <c r="N267">
        <v>3.7</v>
      </c>
      <c r="O267">
        <f t="shared" si="32"/>
        <v>-3.7</v>
      </c>
      <c r="Q267">
        <v>236</v>
      </c>
      <c r="R267">
        <v>1.1499999999999999</v>
      </c>
      <c r="S267">
        <f t="shared" si="33"/>
        <v>4.2549999999999999</v>
      </c>
      <c r="T267">
        <f t="shared" si="34"/>
        <v>-4.2549999999999999</v>
      </c>
      <c r="U267">
        <f t="shared" si="30"/>
        <v>135.66500000000002</v>
      </c>
      <c r="W267">
        <v>1595.6</v>
      </c>
      <c r="X267">
        <f t="shared" si="31"/>
        <v>21668.799999999996</v>
      </c>
      <c r="Y267">
        <v>13.857958275159609</v>
      </c>
    </row>
    <row r="268" spans="1:26" x14ac:dyDescent="0.25">
      <c r="A268">
        <v>6360</v>
      </c>
      <c r="B268">
        <v>24170</v>
      </c>
      <c r="C268" s="1">
        <v>43213</v>
      </c>
      <c r="F268" s="41"/>
      <c r="G268">
        <v>15</v>
      </c>
      <c r="H268">
        <v>12.7</v>
      </c>
      <c r="I268">
        <v>17.8</v>
      </c>
      <c r="J268">
        <f t="shared" si="28"/>
        <v>2056.9000000000005</v>
      </c>
      <c r="K268">
        <f t="shared" si="29"/>
        <v>222.29999999999998</v>
      </c>
      <c r="M268">
        <v>0</v>
      </c>
      <c r="N268">
        <v>2.2000000000000002</v>
      </c>
      <c r="O268">
        <f t="shared" si="32"/>
        <v>-2.2000000000000002</v>
      </c>
      <c r="Q268">
        <v>237</v>
      </c>
      <c r="R268">
        <v>1.1499999999999999</v>
      </c>
      <c r="S268">
        <f t="shared" si="33"/>
        <v>2.5299999999999998</v>
      </c>
      <c r="T268">
        <f t="shared" si="34"/>
        <v>-2.5299999999999998</v>
      </c>
      <c r="U268">
        <f t="shared" si="30"/>
        <v>133.13500000000002</v>
      </c>
      <c r="W268">
        <v>1003.6</v>
      </c>
      <c r="X268">
        <f t="shared" si="31"/>
        <v>22672.399999999994</v>
      </c>
      <c r="Y268">
        <v>13.914647738111414</v>
      </c>
    </row>
    <row r="269" spans="1:26" x14ac:dyDescent="0.25">
      <c r="A269">
        <v>6360</v>
      </c>
      <c r="B269">
        <v>24170</v>
      </c>
      <c r="C269" s="1">
        <v>43214</v>
      </c>
      <c r="F269" s="41"/>
      <c r="G269">
        <v>14.5</v>
      </c>
      <c r="H269">
        <v>8.9</v>
      </c>
      <c r="I269">
        <v>19.2</v>
      </c>
      <c r="J269">
        <f t="shared" si="28"/>
        <v>2071.4000000000005</v>
      </c>
      <c r="K269">
        <f t="shared" si="29"/>
        <v>236.79999999999998</v>
      </c>
      <c r="M269">
        <v>0</v>
      </c>
      <c r="N269">
        <v>3.1</v>
      </c>
      <c r="O269">
        <f t="shared" si="32"/>
        <v>-3.1</v>
      </c>
      <c r="Q269">
        <v>238</v>
      </c>
      <c r="R269">
        <v>1.1499999999999999</v>
      </c>
      <c r="S269">
        <f t="shared" si="33"/>
        <v>3.5649999999999999</v>
      </c>
      <c r="T269">
        <f t="shared" si="34"/>
        <v>-3.5649999999999999</v>
      </c>
      <c r="U269">
        <f t="shared" si="30"/>
        <v>129.57000000000002</v>
      </c>
      <c r="W269">
        <v>1762.4</v>
      </c>
      <c r="X269">
        <f t="shared" si="31"/>
        <v>24434.799999999996</v>
      </c>
      <c r="Y269">
        <v>13.970994192044932</v>
      </c>
    </row>
    <row r="270" spans="1:26" x14ac:dyDescent="0.25">
      <c r="A270">
        <v>6360</v>
      </c>
      <c r="B270">
        <v>24170</v>
      </c>
      <c r="C270" s="1">
        <v>43215</v>
      </c>
      <c r="F270" s="41"/>
      <c r="G270">
        <v>13.3</v>
      </c>
      <c r="H270">
        <v>12.4</v>
      </c>
      <c r="I270">
        <v>14.7</v>
      </c>
      <c r="J270">
        <f t="shared" si="28"/>
        <v>2084.7000000000007</v>
      </c>
      <c r="K270">
        <f t="shared" si="29"/>
        <v>250.1</v>
      </c>
      <c r="M270">
        <v>1.3</v>
      </c>
      <c r="N270">
        <v>2.5</v>
      </c>
      <c r="O270">
        <f t="shared" si="32"/>
        <v>-1.2</v>
      </c>
      <c r="Q270">
        <v>239</v>
      </c>
      <c r="R270">
        <v>1.1499999999999999</v>
      </c>
      <c r="S270">
        <f t="shared" si="33"/>
        <v>2.875</v>
      </c>
      <c r="T270">
        <f t="shared" si="34"/>
        <v>-1.575</v>
      </c>
      <c r="U270">
        <f t="shared" si="30"/>
        <v>127.99500000000002</v>
      </c>
      <c r="W270">
        <v>1338.9</v>
      </c>
      <c r="X270">
        <f t="shared" si="31"/>
        <v>25773.699999999997</v>
      </c>
      <c r="Y270">
        <v>14.026981788998217</v>
      </c>
    </row>
    <row r="271" spans="1:26" x14ac:dyDescent="0.25">
      <c r="A271">
        <v>6360</v>
      </c>
      <c r="B271">
        <v>24170</v>
      </c>
      <c r="C271" s="1">
        <v>43216</v>
      </c>
      <c r="F271" s="41"/>
      <c r="G271">
        <v>11</v>
      </c>
      <c r="H271">
        <v>8.1999999999999993</v>
      </c>
      <c r="I271">
        <v>13.7</v>
      </c>
      <c r="J271">
        <f t="shared" si="28"/>
        <v>2095.7000000000007</v>
      </c>
      <c r="K271">
        <f t="shared" si="29"/>
        <v>261.10000000000002</v>
      </c>
      <c r="M271">
        <v>0</v>
      </c>
      <c r="N271">
        <v>2.9</v>
      </c>
      <c r="O271">
        <f t="shared" si="32"/>
        <v>-2.9</v>
      </c>
      <c r="Q271">
        <v>240</v>
      </c>
      <c r="R271">
        <v>1.1499999999999999</v>
      </c>
      <c r="S271">
        <f t="shared" si="33"/>
        <v>3.3349999999999995</v>
      </c>
      <c r="T271">
        <f t="shared" si="34"/>
        <v>-3.3349999999999995</v>
      </c>
      <c r="U271">
        <f t="shared" si="30"/>
        <v>124.66000000000003</v>
      </c>
      <c r="W271">
        <v>1865.5</v>
      </c>
      <c r="X271">
        <f t="shared" si="31"/>
        <v>27639.199999999997</v>
      </c>
      <c r="Y271">
        <v>14.082594252382838</v>
      </c>
    </row>
    <row r="272" spans="1:26" s="9" customFormat="1" x14ac:dyDescent="0.25">
      <c r="A272" s="9">
        <v>6360</v>
      </c>
      <c r="B272" s="9">
        <v>24170</v>
      </c>
      <c r="C272" s="10">
        <v>43217</v>
      </c>
      <c r="F272" s="41"/>
      <c r="G272" s="9">
        <v>13.3</v>
      </c>
      <c r="H272" s="9">
        <v>7.5</v>
      </c>
      <c r="I272" s="9">
        <v>17.600000000000001</v>
      </c>
      <c r="J272" s="9">
        <f t="shared" si="28"/>
        <v>2109.0000000000009</v>
      </c>
      <c r="K272">
        <f t="shared" si="29"/>
        <v>274.40000000000003</v>
      </c>
      <c r="M272" s="9">
        <v>0</v>
      </c>
      <c r="N272" s="9">
        <v>3.9</v>
      </c>
      <c r="O272" s="9">
        <f t="shared" si="32"/>
        <v>-3.9</v>
      </c>
      <c r="Q272" s="9">
        <v>241</v>
      </c>
      <c r="R272" s="9">
        <v>1.1499999999999999</v>
      </c>
      <c r="S272" s="9">
        <f t="shared" si="33"/>
        <v>4.4849999999999994</v>
      </c>
      <c r="T272" s="9">
        <f t="shared" si="34"/>
        <v>-4.4849999999999994</v>
      </c>
      <c r="U272">
        <f t="shared" si="30"/>
        <v>120.17500000000003</v>
      </c>
      <c r="W272" s="9">
        <v>2016.5</v>
      </c>
      <c r="X272">
        <f t="shared" si="31"/>
        <v>29655.699999999997</v>
      </c>
      <c r="Y272" s="9">
        <v>14.137814872263121</v>
      </c>
    </row>
    <row r="273" spans="1:26" x14ac:dyDescent="0.25">
      <c r="A273">
        <v>6360</v>
      </c>
      <c r="B273">
        <v>24170</v>
      </c>
      <c r="C273" s="1">
        <v>43218</v>
      </c>
      <c r="F273" s="41"/>
      <c r="G273">
        <v>12.4</v>
      </c>
      <c r="H273">
        <v>10.8</v>
      </c>
      <c r="I273">
        <v>14</v>
      </c>
      <c r="J273">
        <f t="shared" si="28"/>
        <v>2121.400000000001</v>
      </c>
      <c r="K273">
        <f t="shared" si="29"/>
        <v>286.8</v>
      </c>
      <c r="M273">
        <v>5.9</v>
      </c>
      <c r="N273">
        <v>2.2000000000000002</v>
      </c>
      <c r="O273">
        <f t="shared" si="32"/>
        <v>3.7</v>
      </c>
      <c r="Q273">
        <v>242</v>
      </c>
      <c r="R273">
        <v>1.1499999999999999</v>
      </c>
      <c r="S273">
        <f t="shared" si="33"/>
        <v>2.5299999999999998</v>
      </c>
      <c r="T273">
        <f t="shared" si="34"/>
        <v>3.3700000000000006</v>
      </c>
      <c r="U273">
        <f t="shared" si="30"/>
        <v>123.54500000000003</v>
      </c>
      <c r="W273">
        <v>1124.4000000000001</v>
      </c>
      <c r="X273">
        <f t="shared" si="31"/>
        <v>30780.1</v>
      </c>
      <c r="Y273">
        <v>14.19262650167135</v>
      </c>
    </row>
    <row r="274" spans="1:26" s="6" customFormat="1" ht="15.75" thickBot="1" x14ac:dyDescent="0.3">
      <c r="A274" s="6">
        <v>6360</v>
      </c>
      <c r="B274" s="6">
        <v>24170</v>
      </c>
      <c r="C274" s="7">
        <v>43219</v>
      </c>
      <c r="D274" s="6" t="s">
        <v>35</v>
      </c>
      <c r="F274" s="42"/>
      <c r="G274" s="6">
        <v>10.4</v>
      </c>
      <c r="H274" s="6">
        <v>9.4</v>
      </c>
      <c r="I274" s="6">
        <v>11.5</v>
      </c>
      <c r="J274" s="6">
        <f t="shared" si="28"/>
        <v>2131.8000000000011</v>
      </c>
      <c r="K274" s="6">
        <f t="shared" si="29"/>
        <v>297.2</v>
      </c>
      <c r="M274" s="6">
        <v>15.2</v>
      </c>
      <c r="N274" s="6">
        <v>1.2</v>
      </c>
      <c r="O274" s="6">
        <f t="shared" si="32"/>
        <v>14</v>
      </c>
      <c r="Q274" s="6">
        <v>243</v>
      </c>
      <c r="R274" s="6">
        <v>1.1499999999999999</v>
      </c>
      <c r="S274" s="6">
        <f t="shared" si="33"/>
        <v>1.38</v>
      </c>
      <c r="T274" s="6">
        <f t="shared" si="34"/>
        <v>13.82</v>
      </c>
      <c r="U274">
        <f t="shared" si="30"/>
        <v>137.36500000000004</v>
      </c>
      <c r="W274" s="6">
        <v>632.1</v>
      </c>
      <c r="X274" s="6">
        <f t="shared" si="31"/>
        <v>31412.199999999997</v>
      </c>
      <c r="Y274" s="6">
        <v>14.247011554028028</v>
      </c>
    </row>
    <row r="275" spans="1:26" x14ac:dyDescent="0.25">
      <c r="A275">
        <v>6360</v>
      </c>
      <c r="B275">
        <v>24170</v>
      </c>
      <c r="C275" s="1">
        <v>43220</v>
      </c>
      <c r="F275" s="37" t="s">
        <v>56</v>
      </c>
      <c r="G275">
        <v>6.4</v>
      </c>
      <c r="H275">
        <v>5</v>
      </c>
      <c r="I275">
        <v>7.4</v>
      </c>
      <c r="J275">
        <f t="shared" si="28"/>
        <v>2138.2000000000012</v>
      </c>
      <c r="K275">
        <f>G275</f>
        <v>6.4</v>
      </c>
      <c r="L275" s="24" t="s">
        <v>38</v>
      </c>
      <c r="M275">
        <v>5.4</v>
      </c>
      <c r="N275">
        <v>0.9</v>
      </c>
      <c r="O275">
        <f t="shared" si="32"/>
        <v>4.5</v>
      </c>
      <c r="Q275">
        <v>244</v>
      </c>
      <c r="R275">
        <v>1.1499999999999999</v>
      </c>
      <c r="S275">
        <f t="shared" si="33"/>
        <v>1.0349999999999999</v>
      </c>
      <c r="T275">
        <f t="shared" si="34"/>
        <v>4.3650000000000002</v>
      </c>
      <c r="U275">
        <f t="shared" si="30"/>
        <v>141.73000000000005</v>
      </c>
      <c r="V275" s="25" t="s">
        <v>45</v>
      </c>
      <c r="W275">
        <v>649.29999999999995</v>
      </c>
      <c r="X275">
        <f>W275</f>
        <v>649.29999999999995</v>
      </c>
      <c r="Y275">
        <v>14.300952001738322</v>
      </c>
      <c r="Z275" s="25" t="s">
        <v>50</v>
      </c>
    </row>
    <row r="276" spans="1:26" x14ac:dyDescent="0.25">
      <c r="A276">
        <v>6360</v>
      </c>
      <c r="B276">
        <v>24170</v>
      </c>
      <c r="C276" s="1">
        <v>43221</v>
      </c>
      <c r="F276" s="38"/>
      <c r="G276">
        <v>8.3000000000000007</v>
      </c>
      <c r="H276">
        <v>4.5999999999999996</v>
      </c>
      <c r="I276">
        <v>11.7</v>
      </c>
      <c r="J276">
        <f t="shared" si="28"/>
        <v>2146.5000000000014</v>
      </c>
      <c r="K276">
        <f t="shared" si="29"/>
        <v>14.700000000000001</v>
      </c>
      <c r="L276" s="12">
        <v>304</v>
      </c>
      <c r="M276">
        <v>0</v>
      </c>
      <c r="N276">
        <v>1.8</v>
      </c>
      <c r="O276">
        <f t="shared" si="32"/>
        <v>-1.8</v>
      </c>
      <c r="Q276">
        <v>245</v>
      </c>
      <c r="R276">
        <v>1.1499999999999999</v>
      </c>
      <c r="S276">
        <f t="shared" si="33"/>
        <v>2.0699999999999998</v>
      </c>
      <c r="T276">
        <f t="shared" si="34"/>
        <v>-2.0699999999999998</v>
      </c>
      <c r="U276">
        <f t="shared" si="30"/>
        <v>139.66000000000005</v>
      </c>
      <c r="V276">
        <v>0</v>
      </c>
      <c r="W276">
        <v>1263.3</v>
      </c>
      <c r="X276">
        <f t="shared" si="31"/>
        <v>1912.6</v>
      </c>
      <c r="Y276">
        <v>14.354429376037624</v>
      </c>
      <c r="Z276">
        <v>42431.199999999997</v>
      </c>
    </row>
    <row r="277" spans="1:26" x14ac:dyDescent="0.25">
      <c r="A277">
        <v>6360</v>
      </c>
      <c r="B277">
        <v>24170</v>
      </c>
      <c r="C277" s="1">
        <v>43222</v>
      </c>
      <c r="F277" s="38"/>
      <c r="G277">
        <v>11.1</v>
      </c>
      <c r="H277">
        <v>4.9000000000000004</v>
      </c>
      <c r="I277">
        <v>15</v>
      </c>
      <c r="J277">
        <f t="shared" si="28"/>
        <v>2157.6000000000013</v>
      </c>
      <c r="K277">
        <f t="shared" si="29"/>
        <v>25.8</v>
      </c>
      <c r="L277" s="24" t="s">
        <v>39</v>
      </c>
      <c r="M277">
        <v>0</v>
      </c>
      <c r="N277">
        <v>2.9</v>
      </c>
      <c r="O277">
        <f t="shared" si="32"/>
        <v>-2.9</v>
      </c>
      <c r="Q277">
        <v>246</v>
      </c>
      <c r="R277">
        <v>1.1499999999999999</v>
      </c>
      <c r="S277">
        <f t="shared" si="33"/>
        <v>3.3349999999999995</v>
      </c>
      <c r="T277">
        <f t="shared" si="34"/>
        <v>-3.3349999999999995</v>
      </c>
      <c r="U277">
        <f t="shared" si="30"/>
        <v>136.32500000000005</v>
      </c>
      <c r="V277" s="25" t="s">
        <v>46</v>
      </c>
      <c r="W277">
        <v>1825.1</v>
      </c>
      <c r="X277">
        <f t="shared" si="31"/>
        <v>3737.7</v>
      </c>
      <c r="Y277">
        <v>14.40742476816045</v>
      </c>
      <c r="Z277" s="25" t="s">
        <v>51</v>
      </c>
    </row>
    <row r="278" spans="1:26" x14ac:dyDescent="0.25">
      <c r="A278">
        <v>6360</v>
      </c>
      <c r="B278">
        <v>24170</v>
      </c>
      <c r="C278" s="1">
        <v>43223</v>
      </c>
      <c r="F278" s="38"/>
      <c r="G278">
        <v>11.2</v>
      </c>
      <c r="H278">
        <v>7.7</v>
      </c>
      <c r="I278">
        <v>14.5</v>
      </c>
      <c r="J278">
        <f t="shared" si="28"/>
        <v>2168.8000000000011</v>
      </c>
      <c r="K278">
        <f t="shared" si="29"/>
        <v>37</v>
      </c>
      <c r="L278" s="13">
        <f>AVERAGE(G275:G296)</f>
        <v>13.818181818181815</v>
      </c>
      <c r="M278">
        <v>0</v>
      </c>
      <c r="N278">
        <v>3.3</v>
      </c>
      <c r="O278">
        <f t="shared" si="32"/>
        <v>-3.3</v>
      </c>
      <c r="Q278">
        <v>247</v>
      </c>
      <c r="R278">
        <v>1.1499999999999999</v>
      </c>
      <c r="S278">
        <f t="shared" si="33"/>
        <v>3.7949999999999995</v>
      </c>
      <c r="T278">
        <f t="shared" si="34"/>
        <v>-3.7949999999999995</v>
      </c>
      <c r="U278">
        <f t="shared" si="30"/>
        <v>132.53000000000006</v>
      </c>
      <c r="V278">
        <v>0</v>
      </c>
      <c r="W278">
        <v>1989.4</v>
      </c>
      <c r="X278">
        <f t="shared" si="31"/>
        <v>5727.1</v>
      </c>
      <c r="Y278">
        <v>14.459918831908244</v>
      </c>
      <c r="Z278">
        <f>(Z276/100)/L276</f>
        <v>1.3957631578947367</v>
      </c>
    </row>
    <row r="279" spans="1:26" x14ac:dyDescent="0.25">
      <c r="A279">
        <v>6360</v>
      </c>
      <c r="B279">
        <v>24170</v>
      </c>
      <c r="C279" s="1">
        <v>43224</v>
      </c>
      <c r="F279" s="38"/>
      <c r="G279">
        <v>12.7</v>
      </c>
      <c r="H279">
        <v>7.3</v>
      </c>
      <c r="I279">
        <v>17.100000000000001</v>
      </c>
      <c r="J279">
        <f t="shared" si="28"/>
        <v>2181.5000000000009</v>
      </c>
      <c r="K279">
        <f t="shared" si="29"/>
        <v>49.7</v>
      </c>
      <c r="L279" s="24" t="s">
        <v>40</v>
      </c>
      <c r="M279">
        <v>0</v>
      </c>
      <c r="N279">
        <v>4.5999999999999996</v>
      </c>
      <c r="O279">
        <f t="shared" si="32"/>
        <v>-4.5999999999999996</v>
      </c>
      <c r="Q279">
        <v>248</v>
      </c>
      <c r="R279">
        <v>1.1499999999999999</v>
      </c>
      <c r="S279">
        <f t="shared" si="33"/>
        <v>5.2899999999999991</v>
      </c>
      <c r="T279">
        <f t="shared" si="34"/>
        <v>-5.2899999999999991</v>
      </c>
      <c r="U279">
        <f t="shared" si="30"/>
        <v>127.24000000000007</v>
      </c>
      <c r="V279" s="25" t="s">
        <v>47</v>
      </c>
      <c r="W279">
        <v>2809.8</v>
      </c>
      <c r="X279">
        <f t="shared" si="31"/>
        <v>8536.9000000000015</v>
      </c>
      <c r="Y279">
        <v>14.511891787692173</v>
      </c>
      <c r="Z279" s="25" t="s">
        <v>52</v>
      </c>
    </row>
    <row r="280" spans="1:26" x14ac:dyDescent="0.25">
      <c r="A280">
        <v>6360</v>
      </c>
      <c r="B280">
        <v>24170</v>
      </c>
      <c r="C280" s="1">
        <v>43225</v>
      </c>
      <c r="F280" s="38"/>
      <c r="G280">
        <v>16.2</v>
      </c>
      <c r="H280">
        <v>10.199999999999999</v>
      </c>
      <c r="I280">
        <v>21.7</v>
      </c>
      <c r="J280">
        <f t="shared" si="28"/>
        <v>2197.7000000000007</v>
      </c>
      <c r="K280">
        <f t="shared" si="29"/>
        <v>65.900000000000006</v>
      </c>
      <c r="L280" s="14">
        <f>MIN(H275:H296)</f>
        <v>4.5999999999999996</v>
      </c>
      <c r="M280">
        <v>0</v>
      </c>
      <c r="N280">
        <v>5.2</v>
      </c>
      <c r="O280">
        <f t="shared" si="32"/>
        <v>-5.2</v>
      </c>
      <c r="Q280">
        <v>249</v>
      </c>
      <c r="R280">
        <v>1.1499999999999999</v>
      </c>
      <c r="S280">
        <f t="shared" si="33"/>
        <v>5.9799999999999995</v>
      </c>
      <c r="T280">
        <f t="shared" si="34"/>
        <v>-5.9799999999999995</v>
      </c>
      <c r="U280">
        <f t="shared" si="30"/>
        <v>121.26000000000006</v>
      </c>
      <c r="V280" s="2">
        <f>MIN(U275:U296)</f>
        <v>76.070000000000064</v>
      </c>
      <c r="W280">
        <v>2843.4</v>
      </c>
      <c r="X280">
        <f t="shared" si="31"/>
        <v>11380.300000000001</v>
      </c>
      <c r="Y280">
        <v>14.563323428127461</v>
      </c>
      <c r="Z280">
        <v>4</v>
      </c>
    </row>
    <row r="281" spans="1:26" x14ac:dyDescent="0.25">
      <c r="A281">
        <v>6360</v>
      </c>
      <c r="B281">
        <v>24170</v>
      </c>
      <c r="C281" s="1">
        <v>43226</v>
      </c>
      <c r="F281" s="38"/>
      <c r="G281">
        <v>19</v>
      </c>
      <c r="H281">
        <v>13.4</v>
      </c>
      <c r="I281">
        <v>24.5</v>
      </c>
      <c r="J281">
        <f t="shared" si="28"/>
        <v>2216.7000000000007</v>
      </c>
      <c r="K281">
        <f t="shared" si="29"/>
        <v>84.9</v>
      </c>
      <c r="L281" s="24" t="s">
        <v>41</v>
      </c>
      <c r="M281">
        <v>0</v>
      </c>
      <c r="N281">
        <v>5.6</v>
      </c>
      <c r="O281">
        <f t="shared" si="32"/>
        <v>-5.6</v>
      </c>
      <c r="Q281">
        <v>250</v>
      </c>
      <c r="R281">
        <v>1.1499999999999999</v>
      </c>
      <c r="S281">
        <f t="shared" si="33"/>
        <v>6.4399999999999995</v>
      </c>
      <c r="T281">
        <f t="shared" si="34"/>
        <v>-6.4399999999999995</v>
      </c>
      <c r="U281">
        <f t="shared" si="30"/>
        <v>114.82000000000006</v>
      </c>
      <c r="V281" s="25" t="s">
        <v>48</v>
      </c>
      <c r="W281">
        <v>2670.6</v>
      </c>
      <c r="X281">
        <f t="shared" si="31"/>
        <v>14050.900000000001</v>
      </c>
      <c r="Y281">
        <v>14.614193125255508</v>
      </c>
    </row>
    <row r="282" spans="1:26" x14ac:dyDescent="0.25">
      <c r="A282">
        <v>6360</v>
      </c>
      <c r="B282">
        <v>24170</v>
      </c>
      <c r="C282" s="1">
        <v>43227</v>
      </c>
      <c r="F282" s="38"/>
      <c r="G282">
        <v>18.899999999999999</v>
      </c>
      <c r="H282">
        <v>13.6</v>
      </c>
      <c r="I282">
        <v>24</v>
      </c>
      <c r="J282">
        <f t="shared" si="28"/>
        <v>2235.6000000000008</v>
      </c>
      <c r="K282">
        <f t="shared" si="29"/>
        <v>103.80000000000001</v>
      </c>
      <c r="L282" s="12">
        <f>MAX(I275:I296)</f>
        <v>25.2</v>
      </c>
      <c r="M282">
        <v>0</v>
      </c>
      <c r="N282">
        <v>5.9</v>
      </c>
      <c r="O282">
        <f t="shared" si="32"/>
        <v>-5.9</v>
      </c>
      <c r="Q282">
        <v>251</v>
      </c>
      <c r="R282">
        <v>1.1499999999999999</v>
      </c>
      <c r="S282">
        <f t="shared" si="33"/>
        <v>6.7850000000000001</v>
      </c>
      <c r="T282">
        <f t="shared" si="34"/>
        <v>-6.7850000000000001</v>
      </c>
      <c r="U282">
        <f t="shared" si="30"/>
        <v>108.03500000000007</v>
      </c>
      <c r="V282" s="2">
        <f>MAX(U275:U296)</f>
        <v>141.73000000000005</v>
      </c>
      <c r="W282">
        <v>2635.3</v>
      </c>
      <c r="X282">
        <f t="shared" si="31"/>
        <v>16686.2</v>
      </c>
      <c r="Y282">
        <v>14.664479839469335</v>
      </c>
    </row>
    <row r="283" spans="1:26" x14ac:dyDescent="0.25">
      <c r="A283">
        <v>6360</v>
      </c>
      <c r="B283">
        <v>24170</v>
      </c>
      <c r="C283" s="1">
        <v>43228</v>
      </c>
      <c r="F283" s="38"/>
      <c r="G283">
        <v>19.3</v>
      </c>
      <c r="H283">
        <v>12.8</v>
      </c>
      <c r="I283">
        <v>25.2</v>
      </c>
      <c r="J283">
        <f t="shared" si="28"/>
        <v>2254.900000000001</v>
      </c>
      <c r="K283">
        <f t="shared" si="29"/>
        <v>123.10000000000001</v>
      </c>
      <c r="L283" s="24" t="s">
        <v>42</v>
      </c>
      <c r="M283">
        <v>0</v>
      </c>
      <c r="N283">
        <v>5.7</v>
      </c>
      <c r="O283">
        <f t="shared" si="32"/>
        <v>-5.7</v>
      </c>
      <c r="Q283">
        <v>252</v>
      </c>
      <c r="R283">
        <v>1.1499999999999999</v>
      </c>
      <c r="S283">
        <f t="shared" si="33"/>
        <v>6.5549999999999997</v>
      </c>
      <c r="T283">
        <f t="shared" si="34"/>
        <v>-6.5549999999999997</v>
      </c>
      <c r="U283">
        <f t="shared" si="30"/>
        <v>101.48000000000008</v>
      </c>
      <c r="V283" s="25" t="s">
        <v>49</v>
      </c>
      <c r="W283">
        <v>2700.7</v>
      </c>
      <c r="X283">
        <f t="shared" si="31"/>
        <v>19386.900000000001</v>
      </c>
      <c r="Y283">
        <v>14.714162130216531</v>
      </c>
    </row>
    <row r="284" spans="1:26" x14ac:dyDescent="0.25">
      <c r="A284">
        <v>6360</v>
      </c>
      <c r="B284">
        <v>24170</v>
      </c>
      <c r="C284" s="1">
        <v>43229</v>
      </c>
      <c r="F284" s="38"/>
      <c r="G284">
        <v>17</v>
      </c>
      <c r="H284">
        <v>13.1</v>
      </c>
      <c r="I284">
        <v>21.1</v>
      </c>
      <c r="J284">
        <f t="shared" si="28"/>
        <v>2271.900000000001</v>
      </c>
      <c r="K284">
        <f t="shared" si="29"/>
        <v>140.10000000000002</v>
      </c>
      <c r="L284" s="12">
        <v>1</v>
      </c>
      <c r="M284">
        <v>0</v>
      </c>
      <c r="N284">
        <v>3.8</v>
      </c>
      <c r="O284">
        <f t="shared" si="32"/>
        <v>-3.8</v>
      </c>
      <c r="Q284">
        <v>253</v>
      </c>
      <c r="R284">
        <v>1.1499999999999999</v>
      </c>
      <c r="S284">
        <f t="shared" si="33"/>
        <v>4.3699999999999992</v>
      </c>
      <c r="T284">
        <f t="shared" si="34"/>
        <v>-4.3699999999999992</v>
      </c>
      <c r="U284">
        <f t="shared" si="30"/>
        <v>97.11000000000007</v>
      </c>
      <c r="V284" s="2">
        <f>AVERAGE(U275:U296)</f>
        <v>105.29022727272736</v>
      </c>
      <c r="W284">
        <v>1927.8</v>
      </c>
      <c r="X284">
        <f t="shared" si="31"/>
        <v>21314.7</v>
      </c>
      <c r="Y284">
        <v>14.763218168551827</v>
      </c>
    </row>
    <row r="285" spans="1:26" x14ac:dyDescent="0.25">
      <c r="A285">
        <v>6360</v>
      </c>
      <c r="B285">
        <v>24170</v>
      </c>
      <c r="C285" s="1">
        <v>43230</v>
      </c>
      <c r="F285" s="38"/>
      <c r="G285">
        <v>12.7</v>
      </c>
      <c r="H285">
        <v>11.5</v>
      </c>
      <c r="I285">
        <v>15.3</v>
      </c>
      <c r="J285">
        <f t="shared" si="28"/>
        <v>2284.6000000000008</v>
      </c>
      <c r="K285">
        <f t="shared" si="29"/>
        <v>152.80000000000001</v>
      </c>
      <c r="L285" s="24" t="s">
        <v>43</v>
      </c>
      <c r="M285">
        <v>0</v>
      </c>
      <c r="N285">
        <v>3.5</v>
      </c>
      <c r="O285">
        <f t="shared" si="32"/>
        <v>-3.5</v>
      </c>
      <c r="Q285">
        <v>254</v>
      </c>
      <c r="R285">
        <v>1.1499999999999999</v>
      </c>
      <c r="S285">
        <f t="shared" si="33"/>
        <v>4.0249999999999995</v>
      </c>
      <c r="T285">
        <f t="shared" si="34"/>
        <v>-4.0249999999999995</v>
      </c>
      <c r="U285">
        <f t="shared" si="30"/>
        <v>93.085000000000065</v>
      </c>
      <c r="W285">
        <v>1816.4</v>
      </c>
      <c r="X285">
        <f t="shared" si="31"/>
        <v>23131.100000000002</v>
      </c>
      <c r="Y285">
        <v>14.811625751608661</v>
      </c>
    </row>
    <row r="286" spans="1:26" x14ac:dyDescent="0.25">
      <c r="A286">
        <v>6360</v>
      </c>
      <c r="B286">
        <v>24170</v>
      </c>
      <c r="C286" s="1">
        <v>43231</v>
      </c>
      <c r="F286" s="38"/>
      <c r="G286">
        <v>14.6</v>
      </c>
      <c r="H286">
        <v>5.7</v>
      </c>
      <c r="I286">
        <v>18.899999999999999</v>
      </c>
      <c r="J286">
        <f t="shared" si="28"/>
        <v>2299.2000000000007</v>
      </c>
      <c r="K286">
        <f t="shared" si="29"/>
        <v>167.4</v>
      </c>
      <c r="L286" s="12">
        <v>3</v>
      </c>
      <c r="M286">
        <v>0</v>
      </c>
      <c r="N286">
        <v>3.7</v>
      </c>
      <c r="O286">
        <f t="shared" si="32"/>
        <v>-3.7</v>
      </c>
      <c r="Q286">
        <v>255</v>
      </c>
      <c r="R286">
        <v>1.1499999999999999</v>
      </c>
      <c r="S286">
        <f t="shared" si="33"/>
        <v>4.2549999999999999</v>
      </c>
      <c r="T286">
        <f t="shared" si="34"/>
        <v>-4.2549999999999999</v>
      </c>
      <c r="U286">
        <f t="shared" si="30"/>
        <v>88.830000000000069</v>
      </c>
      <c r="V286" s="16">
        <f>(V284*100)/179.3</f>
        <v>58.722937686964507</v>
      </c>
      <c r="W286">
        <v>2378.6999999999998</v>
      </c>
      <c r="X286">
        <f t="shared" si="31"/>
        <v>25509.800000000003</v>
      </c>
      <c r="Y286">
        <v>14.859362319055512</v>
      </c>
    </row>
    <row r="287" spans="1:26" x14ac:dyDescent="0.25">
      <c r="A287">
        <v>6360</v>
      </c>
      <c r="B287">
        <v>24170</v>
      </c>
      <c r="C287" s="1">
        <v>43232</v>
      </c>
      <c r="F287" s="38"/>
      <c r="G287">
        <v>15.5</v>
      </c>
      <c r="H287">
        <v>13.3</v>
      </c>
      <c r="I287">
        <v>22.1</v>
      </c>
      <c r="J287">
        <f t="shared" si="28"/>
        <v>2314.7000000000007</v>
      </c>
      <c r="K287">
        <f t="shared" si="29"/>
        <v>182.9</v>
      </c>
      <c r="L287" s="24" t="s">
        <v>44</v>
      </c>
      <c r="M287">
        <v>5.2</v>
      </c>
      <c r="N287">
        <v>2.7</v>
      </c>
      <c r="O287">
        <f t="shared" si="32"/>
        <v>2.5</v>
      </c>
      <c r="Q287">
        <v>256</v>
      </c>
      <c r="R287">
        <v>1.1499999999999999</v>
      </c>
      <c r="S287">
        <f t="shared" si="33"/>
        <v>3.105</v>
      </c>
      <c r="T287">
        <f t="shared" si="34"/>
        <v>2.0950000000000002</v>
      </c>
      <c r="U287">
        <f t="shared" si="30"/>
        <v>90.925000000000068</v>
      </c>
      <c r="W287">
        <v>887.1</v>
      </c>
      <c r="X287">
        <f t="shared" si="31"/>
        <v>26396.9</v>
      </c>
      <c r="Y287">
        <v>14.906404971598411</v>
      </c>
    </row>
    <row r="288" spans="1:26" x14ac:dyDescent="0.25">
      <c r="A288">
        <v>6360</v>
      </c>
      <c r="B288">
        <v>24170</v>
      </c>
      <c r="C288" s="1">
        <v>43233</v>
      </c>
      <c r="F288" s="38"/>
      <c r="G288">
        <v>10.7</v>
      </c>
      <c r="H288">
        <v>9.3000000000000007</v>
      </c>
      <c r="I288">
        <v>11.7</v>
      </c>
      <c r="J288">
        <f t="shared" si="28"/>
        <v>2325.4000000000005</v>
      </c>
      <c r="K288">
        <f t="shared" si="29"/>
        <v>193.6</v>
      </c>
      <c r="L288" s="22">
        <v>0</v>
      </c>
      <c r="M288">
        <v>6.7</v>
      </c>
      <c r="N288">
        <v>1</v>
      </c>
      <c r="O288">
        <f t="shared" si="32"/>
        <v>5.7</v>
      </c>
      <c r="Q288">
        <v>257</v>
      </c>
      <c r="R288">
        <v>1.1499999999999999</v>
      </c>
      <c r="S288">
        <f t="shared" si="33"/>
        <v>1.1499999999999999</v>
      </c>
      <c r="T288">
        <f t="shared" si="34"/>
        <v>5.5500000000000007</v>
      </c>
      <c r="U288">
        <f t="shared" si="30"/>
        <v>96.475000000000065</v>
      </c>
      <c r="W288">
        <v>527.5</v>
      </c>
      <c r="X288">
        <f t="shared" si="31"/>
        <v>26924.400000000001</v>
      </c>
      <c r="Y288">
        <v>14.952730491585635</v>
      </c>
    </row>
    <row r="289" spans="1:26" x14ac:dyDescent="0.25">
      <c r="A289">
        <v>6360</v>
      </c>
      <c r="B289">
        <v>24170</v>
      </c>
      <c r="C289" s="1">
        <v>43234</v>
      </c>
      <c r="F289" s="38"/>
      <c r="G289">
        <v>11.6</v>
      </c>
      <c r="H289">
        <v>9.8000000000000007</v>
      </c>
      <c r="I289">
        <v>12.6</v>
      </c>
      <c r="J289">
        <f t="shared" si="28"/>
        <v>2337.0000000000005</v>
      </c>
      <c r="K289">
        <f t="shared" si="29"/>
        <v>205.2</v>
      </c>
      <c r="M289">
        <v>6.9</v>
      </c>
      <c r="N289">
        <v>1</v>
      </c>
      <c r="O289">
        <f t="shared" si="32"/>
        <v>5.9</v>
      </c>
      <c r="Q289">
        <v>258</v>
      </c>
      <c r="R289">
        <v>1.1499999999999999</v>
      </c>
      <c r="S289">
        <f t="shared" si="33"/>
        <v>1.1499999999999999</v>
      </c>
      <c r="T289">
        <f t="shared" si="34"/>
        <v>5.75</v>
      </c>
      <c r="U289">
        <f t="shared" si="30"/>
        <v>102.22500000000007</v>
      </c>
      <c r="W289">
        <v>454.6</v>
      </c>
      <c r="X289">
        <f t="shared" si="31"/>
        <v>27379</v>
      </c>
      <c r="Y289">
        <v>14.998315365764373</v>
      </c>
    </row>
    <row r="290" spans="1:26" x14ac:dyDescent="0.25">
      <c r="A290">
        <v>6360</v>
      </c>
      <c r="B290">
        <v>24170</v>
      </c>
      <c r="C290" s="1">
        <v>43235</v>
      </c>
      <c r="F290" s="38"/>
      <c r="G290">
        <v>13.7</v>
      </c>
      <c r="H290">
        <v>10.8</v>
      </c>
      <c r="I290">
        <v>17.8</v>
      </c>
      <c r="J290">
        <f t="shared" ref="J290:J353" si="35">J289+G290</f>
        <v>2350.7000000000003</v>
      </c>
      <c r="K290">
        <f t="shared" ref="K290:K353" si="36">K289+G290</f>
        <v>218.89999999999998</v>
      </c>
      <c r="M290">
        <v>0</v>
      </c>
      <c r="N290">
        <v>2.2000000000000002</v>
      </c>
      <c r="O290">
        <f t="shared" si="32"/>
        <v>-2.2000000000000002</v>
      </c>
      <c r="Q290">
        <v>259</v>
      </c>
      <c r="R290">
        <v>1.1499999999999999</v>
      </c>
      <c r="S290">
        <f t="shared" si="33"/>
        <v>2.5299999999999998</v>
      </c>
      <c r="T290">
        <f t="shared" si="34"/>
        <v>-2.5299999999999998</v>
      </c>
      <c r="U290">
        <f t="shared" ref="U290:U346" si="37">MIN(U289+T290,179.3)</f>
        <v>99.695000000000064</v>
      </c>
      <c r="W290">
        <v>1205.3</v>
      </c>
      <c r="X290">
        <f t="shared" ref="X290:X353" si="38">X289+W290</f>
        <v>28584.3</v>
      </c>
      <c r="Y290">
        <v>15.043135810231757</v>
      </c>
    </row>
    <row r="291" spans="1:26" x14ac:dyDescent="0.25">
      <c r="A291">
        <v>6360</v>
      </c>
      <c r="B291">
        <v>24170</v>
      </c>
      <c r="C291" s="1">
        <v>43236</v>
      </c>
      <c r="F291" s="38"/>
      <c r="G291">
        <v>14.8</v>
      </c>
      <c r="H291">
        <v>11.6</v>
      </c>
      <c r="I291">
        <v>19.100000000000001</v>
      </c>
      <c r="J291">
        <f t="shared" si="35"/>
        <v>2365.5000000000005</v>
      </c>
      <c r="K291">
        <f t="shared" si="36"/>
        <v>233.7</v>
      </c>
      <c r="M291">
        <v>3.4</v>
      </c>
      <c r="N291">
        <v>3.8</v>
      </c>
      <c r="O291">
        <f t="shared" si="32"/>
        <v>-0.39999999999999991</v>
      </c>
      <c r="Q291">
        <v>260</v>
      </c>
      <c r="R291">
        <v>1.1499999999999999</v>
      </c>
      <c r="S291">
        <f t="shared" si="33"/>
        <v>4.3699999999999992</v>
      </c>
      <c r="T291">
        <f t="shared" si="34"/>
        <v>-0.96999999999999931</v>
      </c>
      <c r="U291">
        <f t="shared" si="37"/>
        <v>98.725000000000065</v>
      </c>
      <c r="W291">
        <v>2210.1999999999998</v>
      </c>
      <c r="X291">
        <f t="shared" si="38"/>
        <v>30794.5</v>
      </c>
      <c r="Y291">
        <v>15.087167797614388</v>
      </c>
    </row>
    <row r="292" spans="1:26" x14ac:dyDescent="0.25">
      <c r="A292">
        <v>6360</v>
      </c>
      <c r="B292">
        <v>24170</v>
      </c>
      <c r="C292" s="1">
        <v>43237</v>
      </c>
      <c r="F292" s="38"/>
      <c r="G292">
        <v>13.1</v>
      </c>
      <c r="H292">
        <v>10.3</v>
      </c>
      <c r="I292">
        <v>16.5</v>
      </c>
      <c r="J292">
        <f t="shared" si="35"/>
        <v>2378.6000000000004</v>
      </c>
      <c r="K292">
        <f t="shared" si="36"/>
        <v>246.79999999999998</v>
      </c>
      <c r="M292">
        <v>0</v>
      </c>
      <c r="N292">
        <v>3.9</v>
      </c>
      <c r="O292">
        <f t="shared" si="32"/>
        <v>-3.9</v>
      </c>
      <c r="Q292">
        <v>261</v>
      </c>
      <c r="R292">
        <v>1.1499999999999999</v>
      </c>
      <c r="S292">
        <f t="shared" si="33"/>
        <v>4.4849999999999994</v>
      </c>
      <c r="T292">
        <f t="shared" si="34"/>
        <v>-4.4849999999999994</v>
      </c>
      <c r="U292">
        <f t="shared" si="37"/>
        <v>94.240000000000066</v>
      </c>
      <c r="W292">
        <v>2151.1999999999998</v>
      </c>
      <c r="X292">
        <f t="shared" si="38"/>
        <v>32945.699999999997</v>
      </c>
      <c r="Y292">
        <v>15.130387086500981</v>
      </c>
    </row>
    <row r="293" spans="1:26" x14ac:dyDescent="0.25">
      <c r="A293">
        <v>6360</v>
      </c>
      <c r="B293">
        <v>24170</v>
      </c>
      <c r="C293" s="1">
        <v>43238</v>
      </c>
      <c r="F293" s="38"/>
      <c r="G293">
        <v>12</v>
      </c>
      <c r="H293">
        <v>7.1</v>
      </c>
      <c r="I293">
        <v>16.5</v>
      </c>
      <c r="J293">
        <f t="shared" si="35"/>
        <v>2390.6000000000004</v>
      </c>
      <c r="K293">
        <f t="shared" si="36"/>
        <v>258.79999999999995</v>
      </c>
      <c r="M293">
        <v>0</v>
      </c>
      <c r="N293">
        <v>3.9</v>
      </c>
      <c r="O293">
        <f t="shared" si="32"/>
        <v>-3.9</v>
      </c>
      <c r="Q293">
        <v>262</v>
      </c>
      <c r="R293">
        <v>1.1499999999999999</v>
      </c>
      <c r="S293">
        <f t="shared" si="33"/>
        <v>4.4849999999999994</v>
      </c>
      <c r="T293">
        <f t="shared" si="34"/>
        <v>-4.4849999999999994</v>
      </c>
      <c r="U293">
        <f t="shared" si="37"/>
        <v>89.755000000000067</v>
      </c>
      <c r="W293">
        <v>2418.1999999999998</v>
      </c>
      <c r="X293">
        <f t="shared" si="38"/>
        <v>35363.899999999994</v>
      </c>
      <c r="Y293">
        <v>15.172769253142215</v>
      </c>
    </row>
    <row r="294" spans="1:26" x14ac:dyDescent="0.25">
      <c r="A294">
        <v>6360</v>
      </c>
      <c r="B294">
        <v>24170</v>
      </c>
      <c r="C294" s="1">
        <v>43239</v>
      </c>
      <c r="F294" s="38"/>
      <c r="G294">
        <v>12.7</v>
      </c>
      <c r="H294">
        <v>7.8</v>
      </c>
      <c r="I294">
        <v>17.2</v>
      </c>
      <c r="J294">
        <f t="shared" si="35"/>
        <v>2403.3000000000002</v>
      </c>
      <c r="K294">
        <f t="shared" si="36"/>
        <v>271.49999999999994</v>
      </c>
      <c r="M294">
        <v>0</v>
      </c>
      <c r="N294">
        <v>3.9</v>
      </c>
      <c r="O294">
        <f t="shared" si="32"/>
        <v>-3.9</v>
      </c>
      <c r="Q294">
        <v>263</v>
      </c>
      <c r="R294">
        <v>1.1499999999999999</v>
      </c>
      <c r="S294">
        <f t="shared" si="33"/>
        <v>4.4849999999999994</v>
      </c>
      <c r="T294">
        <f t="shared" si="34"/>
        <v>-4.4849999999999994</v>
      </c>
      <c r="U294">
        <f t="shared" si="37"/>
        <v>85.270000000000067</v>
      </c>
      <c r="W294">
        <v>2483.9</v>
      </c>
      <c r="X294">
        <f t="shared" si="38"/>
        <v>37847.799999999996</v>
      </c>
      <c r="Y294">
        <v>15.214289725420238</v>
      </c>
    </row>
    <row r="295" spans="1:26" s="9" customFormat="1" x14ac:dyDescent="0.25">
      <c r="A295" s="9">
        <v>6360</v>
      </c>
      <c r="B295" s="9">
        <v>24170</v>
      </c>
      <c r="C295" s="10">
        <v>43240</v>
      </c>
      <c r="F295" s="38"/>
      <c r="G295" s="9">
        <v>15.2</v>
      </c>
      <c r="H295" s="9">
        <v>8.4</v>
      </c>
      <c r="I295" s="9">
        <v>20.9</v>
      </c>
      <c r="J295" s="9">
        <f t="shared" si="35"/>
        <v>2418.5</v>
      </c>
      <c r="K295">
        <f t="shared" si="36"/>
        <v>286.69999999999993</v>
      </c>
      <c r="M295" s="9">
        <v>0</v>
      </c>
      <c r="N295" s="9">
        <v>3.8</v>
      </c>
      <c r="O295" s="9">
        <f t="shared" si="32"/>
        <v>-3.8</v>
      </c>
      <c r="Q295" s="9">
        <v>264</v>
      </c>
      <c r="R295" s="9">
        <v>1.1499999999999999</v>
      </c>
      <c r="S295" s="9">
        <f t="shared" si="33"/>
        <v>4.3699999999999992</v>
      </c>
      <c r="T295" s="9">
        <f t="shared" si="34"/>
        <v>-4.3699999999999992</v>
      </c>
      <c r="U295">
        <f t="shared" si="37"/>
        <v>80.900000000000063</v>
      </c>
      <c r="W295" s="9">
        <v>2097.1999999999998</v>
      </c>
      <c r="X295">
        <f t="shared" si="38"/>
        <v>39944.999999999993</v>
      </c>
      <c r="Y295" s="9">
        <v>15.254923819077451</v>
      </c>
    </row>
    <row r="296" spans="1:26" s="6" customFormat="1" ht="15.75" thickBot="1" x14ac:dyDescent="0.3">
      <c r="A296" s="6">
        <v>6360</v>
      </c>
      <c r="B296" s="6">
        <v>24170</v>
      </c>
      <c r="C296" s="7">
        <v>43241</v>
      </c>
      <c r="F296" s="39"/>
      <c r="G296" s="6">
        <v>17.3</v>
      </c>
      <c r="H296" s="6">
        <v>12.1</v>
      </c>
      <c r="I296" s="6">
        <v>21.8</v>
      </c>
      <c r="J296" s="6">
        <f t="shared" si="35"/>
        <v>2435.8000000000002</v>
      </c>
      <c r="K296" s="6">
        <f t="shared" si="36"/>
        <v>303.99999999999994</v>
      </c>
      <c r="M296" s="6">
        <v>0</v>
      </c>
      <c r="N296" s="6">
        <v>4.2</v>
      </c>
      <c r="O296" s="6">
        <f t="shared" si="32"/>
        <v>-4.2</v>
      </c>
      <c r="Q296" s="6">
        <v>265</v>
      </c>
      <c r="R296" s="6">
        <v>1.1499999999999999</v>
      </c>
      <c r="S296" s="6">
        <f t="shared" si="33"/>
        <v>4.83</v>
      </c>
      <c r="T296" s="6">
        <f t="shared" si="34"/>
        <v>-4.83</v>
      </c>
      <c r="U296">
        <f t="shared" si="37"/>
        <v>76.070000000000064</v>
      </c>
      <c r="W296" s="6">
        <v>2486.1999999999998</v>
      </c>
      <c r="X296" s="6">
        <f t="shared" si="38"/>
        <v>42431.19999999999</v>
      </c>
      <c r="Y296" s="6">
        <v>15.294646776180361</v>
      </c>
    </row>
    <row r="297" spans="1:26" x14ac:dyDescent="0.25">
      <c r="A297">
        <v>6360</v>
      </c>
      <c r="B297">
        <v>24170</v>
      </c>
      <c r="C297" s="1">
        <v>43242</v>
      </c>
      <c r="F297" s="34" t="s">
        <v>55</v>
      </c>
      <c r="G297">
        <v>16.5</v>
      </c>
      <c r="H297">
        <v>13.4</v>
      </c>
      <c r="I297">
        <v>22.3</v>
      </c>
      <c r="J297">
        <f t="shared" si="35"/>
        <v>2452.3000000000002</v>
      </c>
      <c r="K297">
        <f>G297</f>
        <v>16.5</v>
      </c>
      <c r="L297" s="26" t="s">
        <v>38</v>
      </c>
      <c r="M297">
        <v>0</v>
      </c>
      <c r="N297">
        <v>3.7</v>
      </c>
      <c r="O297">
        <f t="shared" si="32"/>
        <v>-3.7</v>
      </c>
      <c r="Q297">
        <v>266</v>
      </c>
      <c r="R297">
        <f>1.15+((Q297-265)/50)*(0.35-1.15)</f>
        <v>1.1339999999999999</v>
      </c>
      <c r="S297">
        <f t="shared" si="33"/>
        <v>4.1958000000000002</v>
      </c>
      <c r="T297">
        <f t="shared" si="34"/>
        <v>-4.1958000000000002</v>
      </c>
      <c r="U297">
        <f t="shared" si="37"/>
        <v>71.874200000000059</v>
      </c>
      <c r="V297" s="27" t="s">
        <v>45</v>
      </c>
      <c r="W297">
        <v>1857.7</v>
      </c>
      <c r="X297">
        <f>W297</f>
        <v>1857.7</v>
      </c>
      <c r="Y297">
        <v>15.333433805779345</v>
      </c>
      <c r="Z297" s="27" t="s">
        <v>50</v>
      </c>
    </row>
    <row r="298" spans="1:26" x14ac:dyDescent="0.25">
      <c r="A298">
        <v>6360</v>
      </c>
      <c r="B298">
        <v>24170</v>
      </c>
      <c r="C298" s="1">
        <v>43243</v>
      </c>
      <c r="F298" s="35"/>
      <c r="G298">
        <v>15.9</v>
      </c>
      <c r="H298">
        <v>12.3</v>
      </c>
      <c r="I298">
        <v>18.899999999999999</v>
      </c>
      <c r="J298">
        <f t="shared" si="35"/>
        <v>2468.2000000000003</v>
      </c>
      <c r="K298">
        <f t="shared" si="36"/>
        <v>32.4</v>
      </c>
      <c r="L298" s="12">
        <v>306.39999999999998</v>
      </c>
      <c r="M298">
        <v>0</v>
      </c>
      <c r="N298">
        <v>2.4</v>
      </c>
      <c r="O298">
        <f t="shared" si="32"/>
        <v>-2.4</v>
      </c>
      <c r="Q298">
        <v>267</v>
      </c>
      <c r="R298">
        <f t="shared" ref="R298:R346" si="39">1.15+((Q298-265)/50)*(0.35-1.15)</f>
        <v>1.1179999999999999</v>
      </c>
      <c r="S298">
        <f t="shared" si="33"/>
        <v>2.6831999999999998</v>
      </c>
      <c r="T298">
        <f t="shared" si="34"/>
        <v>-2.6831999999999998</v>
      </c>
      <c r="U298">
        <f t="shared" si="37"/>
        <v>69.191000000000059</v>
      </c>
      <c r="V298">
        <v>0</v>
      </c>
      <c r="W298">
        <v>1372</v>
      </c>
      <c r="X298">
        <f t="shared" si="38"/>
        <v>3229.7</v>
      </c>
      <c r="Y298">
        <v>15.371260126709229</v>
      </c>
      <c r="Z298">
        <v>23763.1</v>
      </c>
    </row>
    <row r="299" spans="1:26" x14ac:dyDescent="0.25">
      <c r="A299">
        <v>6360</v>
      </c>
      <c r="B299">
        <v>24170</v>
      </c>
      <c r="C299" s="1">
        <v>43244</v>
      </c>
      <c r="F299" s="35"/>
      <c r="G299">
        <v>18.399999999999999</v>
      </c>
      <c r="H299">
        <v>14.4</v>
      </c>
      <c r="I299">
        <v>22.6</v>
      </c>
      <c r="J299">
        <f t="shared" si="35"/>
        <v>2486.6000000000004</v>
      </c>
      <c r="K299">
        <f t="shared" si="36"/>
        <v>50.8</v>
      </c>
      <c r="L299" s="26" t="s">
        <v>39</v>
      </c>
      <c r="M299">
        <v>0</v>
      </c>
      <c r="N299">
        <v>4</v>
      </c>
      <c r="O299">
        <f t="shared" si="32"/>
        <v>-4</v>
      </c>
      <c r="Q299">
        <v>268</v>
      </c>
      <c r="R299">
        <f t="shared" si="39"/>
        <v>1.1019999999999999</v>
      </c>
      <c r="S299">
        <f t="shared" si="33"/>
        <v>4.4079999999999995</v>
      </c>
      <c r="T299">
        <f t="shared" si="34"/>
        <v>-4.4079999999999995</v>
      </c>
      <c r="U299">
        <f t="shared" si="37"/>
        <v>64.783000000000058</v>
      </c>
      <c r="V299" s="27" t="s">
        <v>46</v>
      </c>
      <c r="W299">
        <v>2069.1</v>
      </c>
      <c r="X299">
        <f t="shared" si="38"/>
        <v>5298.7999999999993</v>
      </c>
      <c r="Y299">
        <v>15.408101012458749</v>
      </c>
      <c r="Z299" s="27" t="s">
        <v>51</v>
      </c>
    </row>
    <row r="300" spans="1:26" x14ac:dyDescent="0.25">
      <c r="A300">
        <v>6360</v>
      </c>
      <c r="B300">
        <v>24170</v>
      </c>
      <c r="C300" s="1">
        <v>43245</v>
      </c>
      <c r="F300" s="35"/>
      <c r="G300">
        <v>19.399999999999999</v>
      </c>
      <c r="H300">
        <v>13.3</v>
      </c>
      <c r="I300">
        <v>25.4</v>
      </c>
      <c r="J300">
        <f t="shared" si="35"/>
        <v>2506.0000000000005</v>
      </c>
      <c r="K300">
        <f t="shared" si="36"/>
        <v>70.199999999999989</v>
      </c>
      <c r="L300" s="13">
        <f>AVERAGE(G297:G312)</f>
        <v>19.150000000000002</v>
      </c>
      <c r="M300">
        <v>22.9</v>
      </c>
      <c r="N300">
        <v>4.0999999999999996</v>
      </c>
      <c r="O300">
        <f t="shared" si="32"/>
        <v>18.799999999999997</v>
      </c>
      <c r="Q300">
        <v>269</v>
      </c>
      <c r="R300">
        <f t="shared" si="39"/>
        <v>1.0859999999999999</v>
      </c>
      <c r="S300">
        <f t="shared" si="33"/>
        <v>4.4525999999999994</v>
      </c>
      <c r="T300">
        <f t="shared" si="34"/>
        <v>18.447399999999998</v>
      </c>
      <c r="U300">
        <f t="shared" si="37"/>
        <v>83.23040000000006</v>
      </c>
      <c r="V300">
        <v>0</v>
      </c>
      <c r="W300">
        <v>1947.7</v>
      </c>
      <c r="X300">
        <f t="shared" si="38"/>
        <v>7246.4999999999991</v>
      </c>
      <c r="Y300">
        <v>15.443931838019237</v>
      </c>
      <c r="Z300">
        <f>(Z298/100)/L298</f>
        <v>0.77555809399477804</v>
      </c>
    </row>
    <row r="301" spans="1:26" x14ac:dyDescent="0.25">
      <c r="A301">
        <v>6360</v>
      </c>
      <c r="B301">
        <v>24170</v>
      </c>
      <c r="C301" s="1">
        <v>43246</v>
      </c>
      <c r="F301" s="35"/>
      <c r="G301">
        <v>21.9</v>
      </c>
      <c r="H301">
        <v>16.8</v>
      </c>
      <c r="I301">
        <v>25.6</v>
      </c>
      <c r="J301">
        <f t="shared" si="35"/>
        <v>2527.9000000000005</v>
      </c>
      <c r="K301">
        <f t="shared" si="36"/>
        <v>92.1</v>
      </c>
      <c r="L301" s="26" t="s">
        <v>40</v>
      </c>
      <c r="M301">
        <v>0</v>
      </c>
      <c r="N301">
        <v>3.2</v>
      </c>
      <c r="O301">
        <f t="shared" si="32"/>
        <v>-3.2</v>
      </c>
      <c r="Q301">
        <v>270</v>
      </c>
      <c r="R301">
        <f t="shared" si="39"/>
        <v>1.0699999999999998</v>
      </c>
      <c r="S301">
        <f t="shared" si="33"/>
        <v>3.4239999999999995</v>
      </c>
      <c r="T301">
        <f t="shared" si="34"/>
        <v>-3.4239999999999995</v>
      </c>
      <c r="U301">
        <f t="shared" si="37"/>
        <v>79.806400000000053</v>
      </c>
      <c r="V301" s="27" t="s">
        <v>47</v>
      </c>
      <c r="W301">
        <v>1426.3</v>
      </c>
      <c r="X301">
        <f t="shared" si="38"/>
        <v>8672.7999999999993</v>
      </c>
      <c r="Y301">
        <v>15.478728128604532</v>
      </c>
      <c r="Z301" s="27" t="s">
        <v>52</v>
      </c>
    </row>
    <row r="302" spans="1:26" x14ac:dyDescent="0.25">
      <c r="A302">
        <v>6360</v>
      </c>
      <c r="B302">
        <v>24170</v>
      </c>
      <c r="C302" s="1">
        <v>43247</v>
      </c>
      <c r="F302" s="35"/>
      <c r="G302">
        <v>22.5</v>
      </c>
      <c r="H302">
        <v>18.8</v>
      </c>
      <c r="I302">
        <v>26.3</v>
      </c>
      <c r="J302">
        <f t="shared" si="35"/>
        <v>2550.4000000000005</v>
      </c>
      <c r="K302">
        <f t="shared" si="36"/>
        <v>114.6</v>
      </c>
      <c r="L302" s="14">
        <f>MIN(H297:H312)</f>
        <v>12.3</v>
      </c>
      <c r="M302">
        <v>1</v>
      </c>
      <c r="N302">
        <v>3.8</v>
      </c>
      <c r="O302">
        <f t="shared" si="32"/>
        <v>-2.8</v>
      </c>
      <c r="Q302">
        <v>271</v>
      </c>
      <c r="R302">
        <f t="shared" si="39"/>
        <v>1.0539999999999998</v>
      </c>
      <c r="S302">
        <f t="shared" si="33"/>
        <v>4.0051999999999994</v>
      </c>
      <c r="T302">
        <f t="shared" si="34"/>
        <v>-3.0051999999999994</v>
      </c>
      <c r="U302">
        <f t="shared" si="37"/>
        <v>76.801200000000051</v>
      </c>
      <c r="V302" s="2">
        <f>MIN(U297:U312)</f>
        <v>64.783000000000058</v>
      </c>
      <c r="W302">
        <v>1932.8</v>
      </c>
      <c r="X302">
        <f t="shared" si="38"/>
        <v>10605.599999999999</v>
      </c>
      <c r="Y302">
        <v>15.512465610115107</v>
      </c>
      <c r="Z302">
        <v>3</v>
      </c>
    </row>
    <row r="303" spans="1:26" x14ac:dyDescent="0.25">
      <c r="A303">
        <v>6360</v>
      </c>
      <c r="B303">
        <v>24170</v>
      </c>
      <c r="C303" s="1">
        <v>43248</v>
      </c>
      <c r="F303" s="35"/>
      <c r="G303">
        <v>19.899999999999999</v>
      </c>
      <c r="H303">
        <v>17.3</v>
      </c>
      <c r="I303">
        <v>25.3</v>
      </c>
      <c r="J303">
        <f t="shared" si="35"/>
        <v>2570.3000000000006</v>
      </c>
      <c r="K303">
        <f t="shared" si="36"/>
        <v>134.5</v>
      </c>
      <c r="L303" s="26" t="s">
        <v>41</v>
      </c>
      <c r="M303">
        <v>25.3</v>
      </c>
      <c r="N303">
        <v>1.8</v>
      </c>
      <c r="O303">
        <f t="shared" si="32"/>
        <v>23.5</v>
      </c>
      <c r="Q303">
        <v>272</v>
      </c>
      <c r="R303">
        <f t="shared" si="39"/>
        <v>1.0379999999999998</v>
      </c>
      <c r="S303">
        <f t="shared" si="33"/>
        <v>1.8683999999999996</v>
      </c>
      <c r="T303">
        <f t="shared" si="34"/>
        <v>23.4316</v>
      </c>
      <c r="U303">
        <f t="shared" si="37"/>
        <v>100.23280000000005</v>
      </c>
      <c r="V303" s="27" t="s">
        <v>48</v>
      </c>
      <c r="W303">
        <v>537</v>
      </c>
      <c r="X303">
        <f t="shared" si="38"/>
        <v>11142.599999999999</v>
      </c>
      <c r="Y303">
        <v>15.545120261200138</v>
      </c>
    </row>
    <row r="304" spans="1:26" x14ac:dyDescent="0.25">
      <c r="A304">
        <v>6360</v>
      </c>
      <c r="B304">
        <v>24170</v>
      </c>
      <c r="C304" s="1">
        <v>43249</v>
      </c>
      <c r="F304" s="35"/>
      <c r="G304">
        <v>18.399999999999999</v>
      </c>
      <c r="H304">
        <v>16.2</v>
      </c>
      <c r="I304">
        <v>23</v>
      </c>
      <c r="J304">
        <f t="shared" si="35"/>
        <v>2588.7000000000007</v>
      </c>
      <c r="K304">
        <f t="shared" si="36"/>
        <v>152.9</v>
      </c>
      <c r="L304" s="12">
        <f>MAX(I297:I312)</f>
        <v>26.3</v>
      </c>
      <c r="M304">
        <v>13.5</v>
      </c>
      <c r="N304">
        <v>2.6</v>
      </c>
      <c r="O304">
        <f t="shared" si="32"/>
        <v>10.9</v>
      </c>
      <c r="Q304">
        <v>273</v>
      </c>
      <c r="R304">
        <f t="shared" si="39"/>
        <v>1.0219999999999998</v>
      </c>
      <c r="S304">
        <f t="shared" si="33"/>
        <v>2.6571999999999996</v>
      </c>
      <c r="T304">
        <f t="shared" si="34"/>
        <v>10.8428</v>
      </c>
      <c r="U304">
        <f t="shared" si="37"/>
        <v>111.07560000000005</v>
      </c>
      <c r="V304" s="2">
        <f>MAX(U297:U312)</f>
        <v>179.3</v>
      </c>
      <c r="W304">
        <v>1336.9</v>
      </c>
      <c r="X304">
        <f t="shared" si="38"/>
        <v>12479.499999999998</v>
      </c>
      <c r="Y304">
        <v>15.576668366751578</v>
      </c>
    </row>
    <row r="305" spans="1:26" x14ac:dyDescent="0.25">
      <c r="A305">
        <v>6360</v>
      </c>
      <c r="B305">
        <v>24170</v>
      </c>
      <c r="C305" s="1">
        <v>43250</v>
      </c>
      <c r="F305" s="35"/>
      <c r="G305">
        <v>19.3</v>
      </c>
      <c r="H305">
        <v>15.4</v>
      </c>
      <c r="I305">
        <v>22.5</v>
      </c>
      <c r="J305">
        <f t="shared" si="35"/>
        <v>2608.0000000000009</v>
      </c>
      <c r="K305">
        <f t="shared" si="36"/>
        <v>172.20000000000002</v>
      </c>
      <c r="L305" s="26" t="s">
        <v>42</v>
      </c>
      <c r="M305">
        <v>1.9</v>
      </c>
      <c r="N305">
        <v>2.7</v>
      </c>
      <c r="O305">
        <f t="shared" si="32"/>
        <v>-0.80000000000000027</v>
      </c>
      <c r="Q305">
        <v>274</v>
      </c>
      <c r="R305">
        <f t="shared" si="39"/>
        <v>1.006</v>
      </c>
      <c r="S305">
        <f t="shared" si="33"/>
        <v>2.7162000000000002</v>
      </c>
      <c r="T305">
        <f t="shared" si="34"/>
        <v>-0.81620000000000026</v>
      </c>
      <c r="U305">
        <f t="shared" si="37"/>
        <v>110.25940000000006</v>
      </c>
      <c r="V305" s="27" t="s">
        <v>49</v>
      </c>
      <c r="W305">
        <v>1384.2</v>
      </c>
      <c r="X305">
        <f t="shared" si="38"/>
        <v>13863.699999999999</v>
      </c>
      <c r="Y305">
        <v>15.607086572644922</v>
      </c>
    </row>
    <row r="306" spans="1:26" x14ac:dyDescent="0.25">
      <c r="A306">
        <v>6360</v>
      </c>
      <c r="B306">
        <v>24170</v>
      </c>
      <c r="C306" s="1">
        <v>43251</v>
      </c>
      <c r="F306" s="35"/>
      <c r="G306">
        <v>19.7</v>
      </c>
      <c r="H306">
        <v>16.899999999999999</v>
      </c>
      <c r="I306">
        <v>22.6</v>
      </c>
      <c r="J306">
        <f t="shared" si="35"/>
        <v>2627.7000000000007</v>
      </c>
      <c r="K306">
        <f t="shared" si="36"/>
        <v>191.9</v>
      </c>
      <c r="L306" s="12">
        <v>4</v>
      </c>
      <c r="M306">
        <v>0</v>
      </c>
      <c r="N306">
        <v>3.7</v>
      </c>
      <c r="O306">
        <f t="shared" si="32"/>
        <v>-3.7</v>
      </c>
      <c r="Q306">
        <v>275</v>
      </c>
      <c r="R306">
        <f t="shared" si="39"/>
        <v>0.98999999999999988</v>
      </c>
      <c r="S306">
        <f t="shared" si="33"/>
        <v>3.6629999999999998</v>
      </c>
      <c r="T306">
        <f t="shared" si="34"/>
        <v>-3.6629999999999998</v>
      </c>
      <c r="U306">
        <f t="shared" si="37"/>
        <v>106.59640000000006</v>
      </c>
      <c r="V306" s="2">
        <f>AVERAGE(U297:U312)</f>
        <v>103.17092500000004</v>
      </c>
      <c r="W306">
        <v>1937.2</v>
      </c>
      <c r="X306">
        <f t="shared" si="38"/>
        <v>15800.9</v>
      </c>
      <c r="Y306">
        <v>15.636351941521937</v>
      </c>
    </row>
    <row r="307" spans="1:26" x14ac:dyDescent="0.25">
      <c r="A307">
        <v>6360</v>
      </c>
      <c r="B307">
        <v>24170</v>
      </c>
      <c r="C307" s="1">
        <v>43252</v>
      </c>
      <c r="F307" s="35"/>
      <c r="G307">
        <v>17.600000000000001</v>
      </c>
      <c r="H307">
        <v>16.8</v>
      </c>
      <c r="I307">
        <v>18.899999999999999</v>
      </c>
      <c r="J307">
        <f t="shared" si="35"/>
        <v>2645.3000000000006</v>
      </c>
      <c r="K307">
        <f t="shared" si="36"/>
        <v>209.5</v>
      </c>
      <c r="L307" s="26" t="s">
        <v>43</v>
      </c>
      <c r="M307">
        <v>8.1</v>
      </c>
      <c r="N307">
        <v>1.2</v>
      </c>
      <c r="O307">
        <f t="shared" si="32"/>
        <v>6.8999999999999995</v>
      </c>
      <c r="Q307">
        <v>276</v>
      </c>
      <c r="R307">
        <f t="shared" si="39"/>
        <v>0.97399999999999998</v>
      </c>
      <c r="S307">
        <f t="shared" si="33"/>
        <v>1.1687999999999998</v>
      </c>
      <c r="T307">
        <f t="shared" si="34"/>
        <v>6.9311999999999996</v>
      </c>
      <c r="U307">
        <f t="shared" si="37"/>
        <v>113.52760000000006</v>
      </c>
      <c r="W307">
        <v>554.29999999999995</v>
      </c>
      <c r="X307">
        <f t="shared" si="38"/>
        <v>16355.199999999999</v>
      </c>
      <c r="Y307">
        <v>15.664442009391914</v>
      </c>
    </row>
    <row r="308" spans="1:26" x14ac:dyDescent="0.25">
      <c r="A308">
        <v>6360</v>
      </c>
      <c r="B308">
        <v>24170</v>
      </c>
      <c r="C308" s="1">
        <v>43253</v>
      </c>
      <c r="F308" s="35"/>
      <c r="G308">
        <v>19</v>
      </c>
      <c r="H308">
        <v>16.2</v>
      </c>
      <c r="I308">
        <v>22.2</v>
      </c>
      <c r="J308">
        <f t="shared" si="35"/>
        <v>2664.3000000000006</v>
      </c>
      <c r="K308">
        <f t="shared" si="36"/>
        <v>228.5</v>
      </c>
      <c r="L308" s="12">
        <v>0</v>
      </c>
      <c r="M308">
        <v>0</v>
      </c>
      <c r="N308">
        <v>4.0999999999999996</v>
      </c>
      <c r="O308">
        <f t="shared" si="32"/>
        <v>-4.0999999999999996</v>
      </c>
      <c r="Q308">
        <v>277</v>
      </c>
      <c r="R308">
        <f t="shared" si="39"/>
        <v>0.95799999999999996</v>
      </c>
      <c r="S308">
        <f t="shared" si="33"/>
        <v>3.9277999999999995</v>
      </c>
      <c r="T308">
        <f t="shared" si="34"/>
        <v>-3.9277999999999995</v>
      </c>
      <c r="U308">
        <f t="shared" si="37"/>
        <v>109.59980000000006</v>
      </c>
      <c r="V308" s="16">
        <f>(V306*100)/179.3</f>
        <v>57.540950920245422</v>
      </c>
      <c r="W308">
        <v>2138.4</v>
      </c>
      <c r="X308">
        <f t="shared" si="38"/>
        <v>18493.599999999999</v>
      </c>
      <c r="Y308">
        <v>15.691334842810049</v>
      </c>
    </row>
    <row r="309" spans="1:26" x14ac:dyDescent="0.25">
      <c r="A309">
        <v>6360</v>
      </c>
      <c r="B309">
        <v>24170</v>
      </c>
      <c r="C309" s="1">
        <v>43254</v>
      </c>
      <c r="F309" s="35"/>
      <c r="G309">
        <v>20.5</v>
      </c>
      <c r="H309">
        <v>15.7</v>
      </c>
      <c r="I309">
        <v>23.9</v>
      </c>
      <c r="J309">
        <f t="shared" si="35"/>
        <v>2684.8000000000006</v>
      </c>
      <c r="K309">
        <f t="shared" si="36"/>
        <v>249</v>
      </c>
      <c r="L309" s="26" t="s">
        <v>44</v>
      </c>
      <c r="M309">
        <v>0.4</v>
      </c>
      <c r="N309">
        <v>3.9</v>
      </c>
      <c r="O309">
        <f t="shared" si="32"/>
        <v>-3.5</v>
      </c>
      <c r="Q309">
        <v>278</v>
      </c>
      <c r="R309">
        <f t="shared" si="39"/>
        <v>0.94199999999999995</v>
      </c>
      <c r="S309">
        <f t="shared" si="33"/>
        <v>3.6737999999999995</v>
      </c>
      <c r="T309">
        <f t="shared" si="34"/>
        <v>-3.2737999999999996</v>
      </c>
      <c r="U309">
        <f t="shared" si="37"/>
        <v>106.32600000000006</v>
      </c>
      <c r="W309">
        <v>2119.6</v>
      </c>
      <c r="X309">
        <f t="shared" si="38"/>
        <v>20613.199999999997</v>
      </c>
      <c r="Y309">
        <v>15.717009096374518</v>
      </c>
    </row>
    <row r="310" spans="1:26" x14ac:dyDescent="0.25">
      <c r="A310">
        <v>6360</v>
      </c>
      <c r="B310">
        <v>24170</v>
      </c>
      <c r="C310" s="1">
        <v>43255</v>
      </c>
      <c r="F310" s="35"/>
      <c r="G310">
        <v>21.1</v>
      </c>
      <c r="H310">
        <v>17.600000000000001</v>
      </c>
      <c r="I310">
        <v>24.6</v>
      </c>
      <c r="J310">
        <f t="shared" si="35"/>
        <v>2705.9000000000005</v>
      </c>
      <c r="K310">
        <f t="shared" si="36"/>
        <v>270.10000000000002</v>
      </c>
      <c r="L310" s="22">
        <v>0</v>
      </c>
      <c r="M310">
        <v>8.4</v>
      </c>
      <c r="N310">
        <v>3</v>
      </c>
      <c r="O310">
        <f t="shared" si="32"/>
        <v>5.4</v>
      </c>
      <c r="Q310">
        <v>279</v>
      </c>
      <c r="R310">
        <f t="shared" si="39"/>
        <v>0.92599999999999993</v>
      </c>
      <c r="S310">
        <f t="shared" si="33"/>
        <v>2.7779999999999996</v>
      </c>
      <c r="T310">
        <f t="shared" si="34"/>
        <v>5.6220000000000008</v>
      </c>
      <c r="U310">
        <f t="shared" si="37"/>
        <v>111.94800000000006</v>
      </c>
      <c r="W310">
        <v>1345.8</v>
      </c>
      <c r="X310">
        <f t="shared" si="38"/>
        <v>21958.999999999996</v>
      </c>
      <c r="Y310">
        <v>15.741444070268344</v>
      </c>
    </row>
    <row r="311" spans="1:26" s="9" customFormat="1" x14ac:dyDescent="0.25">
      <c r="A311" s="9">
        <v>6360</v>
      </c>
      <c r="B311" s="9">
        <v>24170</v>
      </c>
      <c r="C311" s="10">
        <v>43256</v>
      </c>
      <c r="F311" s="35"/>
      <c r="G311" s="9">
        <v>18.2</v>
      </c>
      <c r="H311" s="9">
        <v>16.399999999999999</v>
      </c>
      <c r="I311" s="9">
        <v>20.8</v>
      </c>
      <c r="J311" s="9">
        <f t="shared" si="35"/>
        <v>2724.1000000000004</v>
      </c>
      <c r="K311">
        <f t="shared" si="36"/>
        <v>288.3</v>
      </c>
      <c r="M311" s="9">
        <v>45.6</v>
      </c>
      <c r="N311" s="9">
        <v>1.5</v>
      </c>
      <c r="O311" s="9">
        <f t="shared" si="32"/>
        <v>44.1</v>
      </c>
      <c r="Q311" s="9">
        <v>280</v>
      </c>
      <c r="R311">
        <f t="shared" si="39"/>
        <v>0.90999999999999992</v>
      </c>
      <c r="S311" s="9">
        <f t="shared" si="33"/>
        <v>1.3649999999999998</v>
      </c>
      <c r="T311" s="9">
        <f t="shared" si="34"/>
        <v>44.234999999999999</v>
      </c>
      <c r="U311">
        <f t="shared" si="37"/>
        <v>156.18300000000005</v>
      </c>
      <c r="W311" s="9">
        <v>739.2</v>
      </c>
      <c r="X311">
        <f t="shared" si="38"/>
        <v>22698.199999999997</v>
      </c>
      <c r="Y311" s="9">
        <v>15.764619767558086</v>
      </c>
    </row>
    <row r="312" spans="1:26" s="6" customFormat="1" ht="15.75" thickBot="1" x14ac:dyDescent="0.3">
      <c r="A312" s="6">
        <v>6360</v>
      </c>
      <c r="B312" s="6">
        <v>24170</v>
      </c>
      <c r="C312" s="7">
        <v>43257</v>
      </c>
      <c r="F312" s="36"/>
      <c r="G312" s="6">
        <v>18.100000000000001</v>
      </c>
      <c r="H312" s="6">
        <v>15.2</v>
      </c>
      <c r="I312" s="6">
        <v>21.5</v>
      </c>
      <c r="J312" s="6">
        <f t="shared" si="35"/>
        <v>2742.2000000000003</v>
      </c>
      <c r="K312" s="6">
        <f t="shared" si="36"/>
        <v>306.40000000000003</v>
      </c>
      <c r="M312" s="6">
        <v>28.5</v>
      </c>
      <c r="N312" s="6">
        <v>2.1</v>
      </c>
      <c r="O312" s="6">
        <f t="shared" si="32"/>
        <v>26.4</v>
      </c>
      <c r="Q312" s="6">
        <v>281</v>
      </c>
      <c r="R312" s="6">
        <f t="shared" si="39"/>
        <v>0.89399999999999991</v>
      </c>
      <c r="S312" s="6">
        <f t="shared" si="33"/>
        <v>1.8774</v>
      </c>
      <c r="T312" s="6">
        <f t="shared" si="34"/>
        <v>26.622599999999998</v>
      </c>
      <c r="U312" s="6">
        <f t="shared" si="37"/>
        <v>179.3</v>
      </c>
      <c r="W312" s="6">
        <v>1064.9000000000001</v>
      </c>
      <c r="X312" s="6">
        <f t="shared" si="38"/>
        <v>23763.1</v>
      </c>
      <c r="Y312" s="6">
        <v>15.786516950949512</v>
      </c>
    </row>
    <row r="313" spans="1:26" x14ac:dyDescent="0.25">
      <c r="A313">
        <v>6360</v>
      </c>
      <c r="B313">
        <v>24170</v>
      </c>
      <c r="C313" s="1">
        <v>43258</v>
      </c>
      <c r="F313" s="31" t="s">
        <v>54</v>
      </c>
      <c r="G313">
        <v>19.8</v>
      </c>
      <c r="H313">
        <v>17.2</v>
      </c>
      <c r="I313">
        <v>23.1</v>
      </c>
      <c r="J313">
        <f t="shared" si="35"/>
        <v>2762.0000000000005</v>
      </c>
      <c r="K313">
        <f>G313</f>
        <v>19.8</v>
      </c>
      <c r="L313" s="28" t="s">
        <v>38</v>
      </c>
      <c r="M313">
        <v>0</v>
      </c>
      <c r="N313">
        <v>3.3</v>
      </c>
      <c r="O313">
        <f t="shared" si="32"/>
        <v>-3.3</v>
      </c>
      <c r="Q313">
        <v>282</v>
      </c>
      <c r="R313">
        <f t="shared" si="39"/>
        <v>0.87799999999999989</v>
      </c>
      <c r="S313">
        <f t="shared" si="33"/>
        <v>2.8973999999999993</v>
      </c>
      <c r="T313">
        <f t="shared" si="34"/>
        <v>-2.8973999999999993</v>
      </c>
      <c r="U313">
        <f t="shared" si="37"/>
        <v>176.40260000000001</v>
      </c>
      <c r="V313" s="29" t="s">
        <v>45</v>
      </c>
      <c r="W313">
        <v>1542.6</v>
      </c>
      <c r="X313">
        <f>W313</f>
        <v>1542.6</v>
      </c>
      <c r="Y313">
        <v>15.807117198690477</v>
      </c>
      <c r="Z313" s="29" t="s">
        <v>50</v>
      </c>
    </row>
    <row r="314" spans="1:26" x14ac:dyDescent="0.25">
      <c r="A314">
        <v>6360</v>
      </c>
      <c r="B314">
        <v>24170</v>
      </c>
      <c r="C314" s="1">
        <v>43259</v>
      </c>
      <c r="F314" s="32"/>
      <c r="G314">
        <v>20.2</v>
      </c>
      <c r="H314">
        <v>15.9</v>
      </c>
      <c r="I314">
        <v>23.1</v>
      </c>
      <c r="J314">
        <f t="shared" si="35"/>
        <v>2782.2000000000003</v>
      </c>
      <c r="K314">
        <f t="shared" si="36"/>
        <v>40</v>
      </c>
      <c r="L314" s="12">
        <v>405.7</v>
      </c>
      <c r="M314">
        <v>0</v>
      </c>
      <c r="N314">
        <v>3.6</v>
      </c>
      <c r="O314">
        <f t="shared" si="32"/>
        <v>-3.6</v>
      </c>
      <c r="Q314">
        <v>283</v>
      </c>
      <c r="R314">
        <f t="shared" si="39"/>
        <v>0.86199999999999988</v>
      </c>
      <c r="S314">
        <f t="shared" si="33"/>
        <v>3.1031999999999997</v>
      </c>
      <c r="T314">
        <f t="shared" si="34"/>
        <v>-3.1031999999999997</v>
      </c>
      <c r="U314">
        <f t="shared" si="37"/>
        <v>173.29940000000002</v>
      </c>
      <c r="V314">
        <v>0</v>
      </c>
      <c r="W314">
        <v>1974.4</v>
      </c>
      <c r="X314">
        <f t="shared" si="38"/>
        <v>3517</v>
      </c>
      <c r="Y314">
        <v>15.826402959304025</v>
      </c>
      <c r="Z314">
        <v>39505.9</v>
      </c>
    </row>
    <row r="315" spans="1:26" x14ac:dyDescent="0.25">
      <c r="A315">
        <v>6360</v>
      </c>
      <c r="B315">
        <v>24170</v>
      </c>
      <c r="C315" s="1">
        <v>43260</v>
      </c>
      <c r="F315" s="32"/>
      <c r="G315">
        <v>19.399999999999999</v>
      </c>
      <c r="H315">
        <v>15.7</v>
      </c>
      <c r="I315">
        <v>23</v>
      </c>
      <c r="J315">
        <f t="shared" si="35"/>
        <v>2801.6000000000004</v>
      </c>
      <c r="K315">
        <f t="shared" si="36"/>
        <v>59.4</v>
      </c>
      <c r="L315" s="28" t="s">
        <v>39</v>
      </c>
      <c r="M315">
        <v>0.4</v>
      </c>
      <c r="N315">
        <v>2.8</v>
      </c>
      <c r="O315">
        <f t="shared" si="32"/>
        <v>-2.4</v>
      </c>
      <c r="Q315">
        <v>284</v>
      </c>
      <c r="R315">
        <f t="shared" si="39"/>
        <v>0.84599999999999986</v>
      </c>
      <c r="S315">
        <f t="shared" si="33"/>
        <v>2.3687999999999994</v>
      </c>
      <c r="T315">
        <f t="shared" si="34"/>
        <v>-1.9687999999999994</v>
      </c>
      <c r="U315">
        <f t="shared" si="37"/>
        <v>171.33060000000003</v>
      </c>
      <c r="V315" s="29" t="s">
        <v>46</v>
      </c>
      <c r="W315">
        <v>1571.7</v>
      </c>
      <c r="X315">
        <f t="shared" si="38"/>
        <v>5088.7</v>
      </c>
      <c r="Y315">
        <v>15.844357604830098</v>
      </c>
      <c r="Z315" s="29" t="s">
        <v>51</v>
      </c>
    </row>
    <row r="316" spans="1:26" x14ac:dyDescent="0.25">
      <c r="A316">
        <v>6360</v>
      </c>
      <c r="B316">
        <v>24170</v>
      </c>
      <c r="C316" s="1">
        <v>43261</v>
      </c>
      <c r="F316" s="32"/>
      <c r="G316">
        <v>19.399999999999999</v>
      </c>
      <c r="H316">
        <v>16.600000000000001</v>
      </c>
      <c r="I316">
        <v>22.7</v>
      </c>
      <c r="J316">
        <f t="shared" si="35"/>
        <v>2821.0000000000005</v>
      </c>
      <c r="K316">
        <f t="shared" si="36"/>
        <v>78.8</v>
      </c>
      <c r="L316" s="13">
        <f>AVERAGE(G313:G334)</f>
        <v>18.440909090909088</v>
      </c>
      <c r="M316">
        <v>3.1</v>
      </c>
      <c r="N316">
        <v>2.1</v>
      </c>
      <c r="O316">
        <f t="shared" si="32"/>
        <v>1</v>
      </c>
      <c r="Q316">
        <v>285</v>
      </c>
      <c r="R316">
        <f t="shared" si="39"/>
        <v>0.82999999999999985</v>
      </c>
      <c r="S316">
        <f t="shared" si="33"/>
        <v>1.7429999999999997</v>
      </c>
      <c r="T316">
        <f t="shared" si="34"/>
        <v>1.3570000000000004</v>
      </c>
      <c r="U316">
        <f t="shared" si="37"/>
        <v>172.68760000000003</v>
      </c>
      <c r="V316">
        <v>0</v>
      </c>
      <c r="W316">
        <v>1069.9000000000001</v>
      </c>
      <c r="X316">
        <f t="shared" si="38"/>
        <v>6158.6</v>
      </c>
      <c r="Y316">
        <v>15.860965482252594</v>
      </c>
      <c r="Z316">
        <f>(Z314/100)/L314</f>
        <v>0.97377125955139276</v>
      </c>
    </row>
    <row r="317" spans="1:26" x14ac:dyDescent="0.25">
      <c r="A317">
        <v>6360</v>
      </c>
      <c r="B317">
        <v>24170</v>
      </c>
      <c r="C317" s="1">
        <v>43262</v>
      </c>
      <c r="F317" s="32"/>
      <c r="G317">
        <v>18.399999999999999</v>
      </c>
      <c r="H317">
        <v>17.2</v>
      </c>
      <c r="I317">
        <v>19.8</v>
      </c>
      <c r="J317">
        <f t="shared" si="35"/>
        <v>2839.4000000000005</v>
      </c>
      <c r="K317">
        <f t="shared" si="36"/>
        <v>97.199999999999989</v>
      </c>
      <c r="L317" s="28" t="s">
        <v>40</v>
      </c>
      <c r="M317">
        <v>66.099999999999994</v>
      </c>
      <c r="N317">
        <v>1.5</v>
      </c>
      <c r="O317">
        <f t="shared" si="32"/>
        <v>64.599999999999994</v>
      </c>
      <c r="Q317">
        <v>286</v>
      </c>
      <c r="R317">
        <f t="shared" si="39"/>
        <v>0.81399999999999995</v>
      </c>
      <c r="S317">
        <f t="shared" si="33"/>
        <v>1.2209999999999999</v>
      </c>
      <c r="T317">
        <f t="shared" si="34"/>
        <v>64.878999999999991</v>
      </c>
      <c r="U317">
        <f t="shared" si="37"/>
        <v>179.3</v>
      </c>
      <c r="V317" s="29" t="s">
        <v>47</v>
      </c>
      <c r="W317">
        <v>665.2</v>
      </c>
      <c r="X317">
        <f t="shared" si="38"/>
        <v>6823.8</v>
      </c>
      <c r="Y317">
        <v>15.876211962790004</v>
      </c>
      <c r="Z317" s="29" t="s">
        <v>52</v>
      </c>
    </row>
    <row r="318" spans="1:26" x14ac:dyDescent="0.25">
      <c r="A318">
        <v>6360</v>
      </c>
      <c r="B318">
        <v>24170</v>
      </c>
      <c r="C318" s="1">
        <v>43263</v>
      </c>
      <c r="F318" s="32"/>
      <c r="G318">
        <v>16.3</v>
      </c>
      <c r="H318">
        <v>15.7</v>
      </c>
      <c r="I318">
        <v>18</v>
      </c>
      <c r="J318">
        <f t="shared" si="35"/>
        <v>2855.7000000000007</v>
      </c>
      <c r="K318">
        <f t="shared" si="36"/>
        <v>113.49999999999999</v>
      </c>
      <c r="L318" s="14">
        <f>MIN(H313:H334)</f>
        <v>10</v>
      </c>
      <c r="M318">
        <v>0.2</v>
      </c>
      <c r="N318">
        <v>1.4</v>
      </c>
      <c r="O318">
        <f t="shared" si="32"/>
        <v>-1.2</v>
      </c>
      <c r="Q318">
        <v>287</v>
      </c>
      <c r="R318">
        <f t="shared" si="39"/>
        <v>0.79799999999999993</v>
      </c>
      <c r="S318">
        <f t="shared" si="33"/>
        <v>1.1171999999999997</v>
      </c>
      <c r="T318">
        <f t="shared" si="34"/>
        <v>-0.91719999999999979</v>
      </c>
      <c r="U318">
        <f t="shared" si="37"/>
        <v>178.3828</v>
      </c>
      <c r="V318" s="2">
        <v>0</v>
      </c>
      <c r="W318">
        <v>647.1</v>
      </c>
      <c r="X318">
        <f t="shared" si="38"/>
        <v>7470.9000000000005</v>
      </c>
      <c r="Y318">
        <v>15.890083488732621</v>
      </c>
      <c r="Z318">
        <v>3</v>
      </c>
    </row>
    <row r="319" spans="1:26" x14ac:dyDescent="0.25">
      <c r="A319">
        <v>6360</v>
      </c>
      <c r="B319">
        <v>24170</v>
      </c>
      <c r="C319" s="1">
        <v>43264</v>
      </c>
      <c r="F319" s="32"/>
      <c r="G319">
        <v>14.2</v>
      </c>
      <c r="H319">
        <v>11.4</v>
      </c>
      <c r="I319">
        <v>17</v>
      </c>
      <c r="J319">
        <f t="shared" si="35"/>
        <v>2869.9000000000005</v>
      </c>
      <c r="K319">
        <f t="shared" si="36"/>
        <v>127.69999999999999</v>
      </c>
      <c r="L319" s="28" t="s">
        <v>41</v>
      </c>
      <c r="M319">
        <v>0</v>
      </c>
      <c r="N319">
        <v>2.1</v>
      </c>
      <c r="O319">
        <f t="shared" si="32"/>
        <v>-2.1</v>
      </c>
      <c r="Q319">
        <v>288</v>
      </c>
      <c r="R319">
        <f t="shared" si="39"/>
        <v>0.78199999999999992</v>
      </c>
      <c r="S319">
        <f t="shared" si="33"/>
        <v>1.6421999999999999</v>
      </c>
      <c r="T319">
        <f t="shared" si="34"/>
        <v>-1.6421999999999999</v>
      </c>
      <c r="U319">
        <f t="shared" si="37"/>
        <v>176.7406</v>
      </c>
      <c r="V319" s="29" t="s">
        <v>48</v>
      </c>
      <c r="W319">
        <v>1087.0999999999999</v>
      </c>
      <c r="X319">
        <f t="shared" si="38"/>
        <v>8558</v>
      </c>
      <c r="Y319">
        <v>15.902567617517349</v>
      </c>
    </row>
    <row r="320" spans="1:26" x14ac:dyDescent="0.25">
      <c r="A320">
        <v>6360</v>
      </c>
      <c r="B320">
        <v>24170</v>
      </c>
      <c r="C320" s="1">
        <v>43265</v>
      </c>
      <c r="F320" s="32"/>
      <c r="G320">
        <v>16.2</v>
      </c>
      <c r="H320">
        <v>11</v>
      </c>
      <c r="I320">
        <v>19</v>
      </c>
      <c r="J320">
        <f t="shared" si="35"/>
        <v>2886.1000000000004</v>
      </c>
      <c r="K320">
        <f t="shared" si="36"/>
        <v>143.89999999999998</v>
      </c>
      <c r="L320" s="12">
        <f>MAX(I313:I334)</f>
        <v>26.7</v>
      </c>
      <c r="M320">
        <v>0.1</v>
      </c>
      <c r="N320">
        <v>2.4</v>
      </c>
      <c r="O320">
        <f t="shared" si="32"/>
        <v>-2.2999999999999998</v>
      </c>
      <c r="Q320">
        <v>289</v>
      </c>
      <c r="R320">
        <f t="shared" si="39"/>
        <v>0.76600000000000001</v>
      </c>
      <c r="S320">
        <f t="shared" si="33"/>
        <v>1.8384</v>
      </c>
      <c r="T320">
        <f t="shared" si="34"/>
        <v>-1.7383999999999999</v>
      </c>
      <c r="U320">
        <f t="shared" si="37"/>
        <v>175.00219999999999</v>
      </c>
      <c r="V320" s="2">
        <f>MAX(U313:U334)</f>
        <v>179.3</v>
      </c>
      <c r="W320">
        <v>1375.5</v>
      </c>
      <c r="X320">
        <f t="shared" si="38"/>
        <v>9933.5</v>
      </c>
      <c r="Y320">
        <v>15.913653062742705</v>
      </c>
    </row>
    <row r="321" spans="1:25" x14ac:dyDescent="0.25">
      <c r="A321">
        <v>6360</v>
      </c>
      <c r="B321">
        <v>24170</v>
      </c>
      <c r="C321" s="1">
        <v>43266</v>
      </c>
      <c r="F321" s="32"/>
      <c r="G321">
        <v>18.399999999999999</v>
      </c>
      <c r="H321">
        <v>14.6</v>
      </c>
      <c r="I321">
        <v>22.2</v>
      </c>
      <c r="J321">
        <f t="shared" si="35"/>
        <v>2904.5000000000005</v>
      </c>
      <c r="K321">
        <f t="shared" si="36"/>
        <v>162.29999999999998</v>
      </c>
      <c r="L321" s="28" t="s">
        <v>42</v>
      </c>
      <c r="M321">
        <v>0</v>
      </c>
      <c r="N321">
        <v>3.2</v>
      </c>
      <c r="O321">
        <f t="shared" si="32"/>
        <v>-3.2</v>
      </c>
      <c r="Q321">
        <v>290</v>
      </c>
      <c r="R321">
        <f t="shared" si="39"/>
        <v>0.75</v>
      </c>
      <c r="S321">
        <f t="shared" si="33"/>
        <v>2.4000000000000004</v>
      </c>
      <c r="T321">
        <f t="shared" si="34"/>
        <v>-2.4000000000000004</v>
      </c>
      <c r="U321">
        <f t="shared" si="37"/>
        <v>172.60219999999998</v>
      </c>
      <c r="V321" s="29" t="s">
        <v>49</v>
      </c>
      <c r="W321">
        <v>1567.2</v>
      </c>
      <c r="X321">
        <f t="shared" si="38"/>
        <v>11500.7</v>
      </c>
      <c r="Y321">
        <v>15.923329731841465</v>
      </c>
    </row>
    <row r="322" spans="1:25" x14ac:dyDescent="0.25">
      <c r="A322">
        <v>6360</v>
      </c>
      <c r="B322">
        <v>24170</v>
      </c>
      <c r="C322" s="1">
        <v>43267</v>
      </c>
      <c r="F322" s="32"/>
      <c r="G322">
        <v>17.899999999999999</v>
      </c>
      <c r="H322">
        <v>14.4</v>
      </c>
      <c r="I322">
        <v>21.3</v>
      </c>
      <c r="J322">
        <f t="shared" si="35"/>
        <v>2922.4000000000005</v>
      </c>
      <c r="K322">
        <f t="shared" si="36"/>
        <v>180.2</v>
      </c>
      <c r="L322" s="12">
        <v>3</v>
      </c>
      <c r="M322">
        <v>0</v>
      </c>
      <c r="N322">
        <v>3.3</v>
      </c>
      <c r="O322">
        <f t="shared" si="32"/>
        <v>-3.3</v>
      </c>
      <c r="Q322">
        <v>291</v>
      </c>
      <c r="R322">
        <f t="shared" si="39"/>
        <v>0.73399999999999999</v>
      </c>
      <c r="S322">
        <f t="shared" si="33"/>
        <v>2.4221999999999997</v>
      </c>
      <c r="T322">
        <f t="shared" si="34"/>
        <v>-2.4221999999999997</v>
      </c>
      <c r="U322">
        <f t="shared" si="37"/>
        <v>170.17999999999998</v>
      </c>
      <c r="V322" s="2">
        <f>AVERAGE(U313:U334)</f>
        <v>163.41770000000002</v>
      </c>
      <c r="W322">
        <v>1697.2</v>
      </c>
      <c r="X322">
        <f t="shared" si="38"/>
        <v>13197.900000000001</v>
      </c>
      <c r="Y322">
        <v>15.931588760146543</v>
      </c>
    </row>
    <row r="323" spans="1:25" x14ac:dyDescent="0.25">
      <c r="A323">
        <v>6360</v>
      </c>
      <c r="B323">
        <v>24170</v>
      </c>
      <c r="C323" s="1">
        <v>43268</v>
      </c>
      <c r="F323" s="32"/>
      <c r="G323">
        <v>17.5</v>
      </c>
      <c r="H323">
        <v>15.1</v>
      </c>
      <c r="I323">
        <v>19.899999999999999</v>
      </c>
      <c r="J323">
        <f t="shared" si="35"/>
        <v>2939.9000000000005</v>
      </c>
      <c r="K323">
        <f t="shared" si="36"/>
        <v>197.7</v>
      </c>
      <c r="L323" s="28" t="s">
        <v>43</v>
      </c>
      <c r="M323">
        <v>0</v>
      </c>
      <c r="N323">
        <v>1.9</v>
      </c>
      <c r="O323">
        <f t="shared" si="32"/>
        <v>-1.9</v>
      </c>
      <c r="Q323">
        <v>292</v>
      </c>
      <c r="R323">
        <f t="shared" si="39"/>
        <v>0.71799999999999997</v>
      </c>
      <c r="S323">
        <f t="shared" si="33"/>
        <v>1.3641999999999999</v>
      </c>
      <c r="T323">
        <f t="shared" si="34"/>
        <v>-1.3641999999999999</v>
      </c>
      <c r="U323">
        <f t="shared" si="37"/>
        <v>168.81579999999997</v>
      </c>
      <c r="W323">
        <v>765.6</v>
      </c>
      <c r="X323">
        <f t="shared" si="38"/>
        <v>13963.500000000002</v>
      </c>
      <c r="Y323">
        <v>15.93842254110718</v>
      </c>
    </row>
    <row r="324" spans="1:25" x14ac:dyDescent="0.25">
      <c r="A324">
        <v>6360</v>
      </c>
      <c r="B324">
        <v>24170</v>
      </c>
      <c r="C324" s="1">
        <v>43269</v>
      </c>
      <c r="F324" s="32"/>
      <c r="G324">
        <v>19.2</v>
      </c>
      <c r="H324">
        <v>16.899999999999999</v>
      </c>
      <c r="I324">
        <v>23</v>
      </c>
      <c r="J324">
        <f t="shared" si="35"/>
        <v>2959.1000000000004</v>
      </c>
      <c r="K324">
        <f t="shared" si="36"/>
        <v>216.89999999999998</v>
      </c>
      <c r="L324" s="12">
        <v>0</v>
      </c>
      <c r="M324">
        <v>0</v>
      </c>
      <c r="N324">
        <v>2.6</v>
      </c>
      <c r="O324">
        <f t="shared" si="32"/>
        <v>-2.6</v>
      </c>
      <c r="Q324">
        <v>293</v>
      </c>
      <c r="R324">
        <f t="shared" si="39"/>
        <v>0.70199999999999996</v>
      </c>
      <c r="S324">
        <f t="shared" si="33"/>
        <v>1.8251999999999999</v>
      </c>
      <c r="T324">
        <f t="shared" si="34"/>
        <v>-1.8251999999999999</v>
      </c>
      <c r="U324">
        <f t="shared" si="37"/>
        <v>166.99059999999997</v>
      </c>
      <c r="V324" s="16">
        <f>(V322*100)/179.3</f>
        <v>91.142052426101515</v>
      </c>
      <c r="W324">
        <v>1082.0999999999999</v>
      </c>
      <c r="X324">
        <f t="shared" si="38"/>
        <v>15045.600000000002</v>
      </c>
      <c r="Y324">
        <v>15.943824752436711</v>
      </c>
    </row>
    <row r="325" spans="1:25" x14ac:dyDescent="0.25">
      <c r="A325">
        <v>6360</v>
      </c>
      <c r="B325">
        <v>24170</v>
      </c>
      <c r="C325" s="1">
        <v>43270</v>
      </c>
      <c r="F325" s="32"/>
      <c r="G325">
        <v>19.2</v>
      </c>
      <c r="H325">
        <v>15.1</v>
      </c>
      <c r="I325">
        <v>23.1</v>
      </c>
      <c r="J325">
        <f t="shared" si="35"/>
        <v>2978.3</v>
      </c>
      <c r="K325">
        <f t="shared" si="36"/>
        <v>236.09999999999997</v>
      </c>
      <c r="L325" s="28" t="s">
        <v>44</v>
      </c>
      <c r="M325">
        <v>0</v>
      </c>
      <c r="N325">
        <v>2.2999999999999998</v>
      </c>
      <c r="O325">
        <f t="shared" ref="O325:O367" si="40">M325-N325</f>
        <v>-2.2999999999999998</v>
      </c>
      <c r="Q325">
        <v>294</v>
      </c>
      <c r="R325">
        <f t="shared" si="39"/>
        <v>0.68599999999999994</v>
      </c>
      <c r="S325">
        <f t="shared" ref="S325:S367" si="41">R325*N325</f>
        <v>1.5777999999999996</v>
      </c>
      <c r="T325">
        <f t="shared" ref="T325:T367" si="42">M325-S325</f>
        <v>-1.5777999999999996</v>
      </c>
      <c r="U325">
        <f t="shared" si="37"/>
        <v>165.41279999999998</v>
      </c>
      <c r="W325">
        <v>967.5</v>
      </c>
      <c r="X325">
        <f t="shared" si="38"/>
        <v>16013.100000000002</v>
      </c>
      <c r="Y325">
        <v>15.947790378000493</v>
      </c>
    </row>
    <row r="326" spans="1:25" x14ac:dyDescent="0.25">
      <c r="A326">
        <v>6360</v>
      </c>
      <c r="B326">
        <v>24170</v>
      </c>
      <c r="C326" s="1">
        <v>43271</v>
      </c>
      <c r="F326" s="32"/>
      <c r="G326">
        <v>22</v>
      </c>
      <c r="H326">
        <v>15.9</v>
      </c>
      <c r="I326">
        <v>26.7</v>
      </c>
      <c r="J326">
        <f t="shared" si="35"/>
        <v>3000.3</v>
      </c>
      <c r="K326">
        <f t="shared" si="36"/>
        <v>258.09999999999997</v>
      </c>
      <c r="L326" s="22">
        <v>0</v>
      </c>
      <c r="M326">
        <v>0</v>
      </c>
      <c r="N326">
        <v>5.5</v>
      </c>
      <c r="O326">
        <f t="shared" si="40"/>
        <v>-5.5</v>
      </c>
      <c r="Q326">
        <v>295</v>
      </c>
      <c r="R326">
        <f t="shared" si="39"/>
        <v>0.66999999999999993</v>
      </c>
      <c r="S326">
        <f t="shared" si="41"/>
        <v>3.6849999999999996</v>
      </c>
      <c r="T326">
        <f t="shared" si="42"/>
        <v>-3.6849999999999996</v>
      </c>
      <c r="U326">
        <f t="shared" si="37"/>
        <v>161.72779999999997</v>
      </c>
      <c r="W326">
        <v>2657.9</v>
      </c>
      <c r="X326">
        <f t="shared" si="38"/>
        <v>18671.000000000004</v>
      </c>
      <c r="Y326">
        <v>15.950315725281893</v>
      </c>
    </row>
    <row r="327" spans="1:25" x14ac:dyDescent="0.25">
      <c r="A327">
        <v>6360</v>
      </c>
      <c r="B327">
        <v>24170</v>
      </c>
      <c r="C327" s="1">
        <v>43272</v>
      </c>
      <c r="F327" s="32"/>
      <c r="G327">
        <v>16.5</v>
      </c>
      <c r="H327">
        <v>15.9</v>
      </c>
      <c r="I327">
        <v>19.5</v>
      </c>
      <c r="J327">
        <f t="shared" si="35"/>
        <v>3016.8</v>
      </c>
      <c r="K327">
        <f t="shared" si="36"/>
        <v>274.59999999999997</v>
      </c>
      <c r="M327">
        <v>0</v>
      </c>
      <c r="N327">
        <v>4.2</v>
      </c>
      <c r="O327">
        <f t="shared" si="40"/>
        <v>-4.2</v>
      </c>
      <c r="Q327">
        <v>296</v>
      </c>
      <c r="R327">
        <f t="shared" si="39"/>
        <v>0.65399999999999991</v>
      </c>
      <c r="S327">
        <f t="shared" si="41"/>
        <v>2.7467999999999999</v>
      </c>
      <c r="T327">
        <f t="shared" si="42"/>
        <v>-2.7467999999999999</v>
      </c>
      <c r="U327">
        <f t="shared" si="37"/>
        <v>158.98099999999997</v>
      </c>
      <c r="W327">
        <v>1921.2</v>
      </c>
      <c r="X327">
        <f t="shared" si="38"/>
        <v>20592.200000000004</v>
      </c>
      <c r="Y327">
        <v>15.951398438296163</v>
      </c>
    </row>
    <row r="328" spans="1:25" x14ac:dyDescent="0.25">
      <c r="A328">
        <v>6360</v>
      </c>
      <c r="B328">
        <v>24170</v>
      </c>
      <c r="C328" s="1">
        <v>43273</v>
      </c>
      <c r="F328" s="32"/>
      <c r="G328">
        <v>15.1</v>
      </c>
      <c r="H328">
        <v>10</v>
      </c>
      <c r="I328">
        <v>19.3</v>
      </c>
      <c r="J328">
        <f t="shared" si="35"/>
        <v>3031.9</v>
      </c>
      <c r="K328">
        <f t="shared" si="36"/>
        <v>289.7</v>
      </c>
      <c r="M328">
        <v>0</v>
      </c>
      <c r="N328">
        <v>4.8</v>
      </c>
      <c r="O328">
        <f t="shared" si="40"/>
        <v>-4.8</v>
      </c>
      <c r="Q328">
        <v>297</v>
      </c>
      <c r="R328">
        <f t="shared" si="39"/>
        <v>0.6379999999999999</v>
      </c>
      <c r="S328">
        <f t="shared" si="41"/>
        <v>3.0623999999999993</v>
      </c>
      <c r="T328">
        <f t="shared" si="42"/>
        <v>-3.0623999999999993</v>
      </c>
      <c r="U328">
        <f t="shared" si="37"/>
        <v>155.91859999999997</v>
      </c>
      <c r="W328">
        <v>2605.9</v>
      </c>
      <c r="X328">
        <f t="shared" si="38"/>
        <v>23198.100000000006</v>
      </c>
      <c r="Y328">
        <v>15.951037505855099</v>
      </c>
    </row>
    <row r="329" spans="1:25" x14ac:dyDescent="0.25">
      <c r="A329">
        <v>6360</v>
      </c>
      <c r="B329">
        <v>24170</v>
      </c>
      <c r="C329" s="1">
        <v>43274</v>
      </c>
      <c r="F329" s="32"/>
      <c r="G329">
        <v>15.9</v>
      </c>
      <c r="H329">
        <v>11.3</v>
      </c>
      <c r="I329">
        <v>20.100000000000001</v>
      </c>
      <c r="J329">
        <f t="shared" si="35"/>
        <v>3047.8</v>
      </c>
      <c r="K329">
        <f t="shared" si="36"/>
        <v>305.59999999999997</v>
      </c>
      <c r="M329">
        <v>0</v>
      </c>
      <c r="N329">
        <v>4.9000000000000004</v>
      </c>
      <c r="O329">
        <f t="shared" si="40"/>
        <v>-4.9000000000000004</v>
      </c>
      <c r="Q329">
        <v>298</v>
      </c>
      <c r="R329">
        <f t="shared" si="39"/>
        <v>0.62199999999999989</v>
      </c>
      <c r="S329">
        <f t="shared" si="41"/>
        <v>3.0477999999999996</v>
      </c>
      <c r="T329">
        <f t="shared" si="42"/>
        <v>-3.0477999999999996</v>
      </c>
      <c r="U329">
        <f t="shared" si="37"/>
        <v>152.87079999999997</v>
      </c>
      <c r="W329">
        <v>2723.5</v>
      </c>
      <c r="X329">
        <f t="shared" si="38"/>
        <v>25921.600000000006</v>
      </c>
      <c r="Y329">
        <v>15.949233265120244</v>
      </c>
    </row>
    <row r="330" spans="1:25" x14ac:dyDescent="0.25">
      <c r="A330">
        <v>6360</v>
      </c>
      <c r="B330">
        <v>24170</v>
      </c>
      <c r="C330" s="1">
        <v>43275</v>
      </c>
      <c r="F330" s="32"/>
      <c r="G330">
        <v>17.3</v>
      </c>
      <c r="H330">
        <v>13.7</v>
      </c>
      <c r="I330">
        <v>20.9</v>
      </c>
      <c r="J330">
        <f t="shared" si="35"/>
        <v>3065.1000000000004</v>
      </c>
      <c r="K330">
        <f t="shared" si="36"/>
        <v>322.89999999999998</v>
      </c>
      <c r="M330">
        <v>0</v>
      </c>
      <c r="N330">
        <v>3.8</v>
      </c>
      <c r="O330">
        <f t="shared" si="40"/>
        <v>-3.8</v>
      </c>
      <c r="Q330">
        <v>299</v>
      </c>
      <c r="R330">
        <f t="shared" si="39"/>
        <v>0.60599999999999987</v>
      </c>
      <c r="S330">
        <f t="shared" si="41"/>
        <v>2.3027999999999995</v>
      </c>
      <c r="T330">
        <f t="shared" si="42"/>
        <v>-2.3027999999999995</v>
      </c>
      <c r="U330">
        <f t="shared" si="37"/>
        <v>150.56799999999998</v>
      </c>
      <c r="W330">
        <v>1779.6</v>
      </c>
      <c r="X330">
        <f t="shared" si="38"/>
        <v>27701.200000000004</v>
      </c>
      <c r="Y330">
        <v>15.94598740041774</v>
      </c>
    </row>
    <row r="331" spans="1:25" x14ac:dyDescent="0.25">
      <c r="A331">
        <v>6360</v>
      </c>
      <c r="B331">
        <v>24170</v>
      </c>
      <c r="C331" s="1">
        <v>43276</v>
      </c>
      <c r="F331" s="32"/>
      <c r="G331">
        <v>18.399999999999999</v>
      </c>
      <c r="H331">
        <v>14</v>
      </c>
      <c r="I331">
        <v>22.7</v>
      </c>
      <c r="J331">
        <f t="shared" si="35"/>
        <v>3083.5000000000005</v>
      </c>
      <c r="K331">
        <f t="shared" si="36"/>
        <v>341.29999999999995</v>
      </c>
      <c r="M331">
        <v>0</v>
      </c>
      <c r="N331">
        <v>5</v>
      </c>
      <c r="O331">
        <f t="shared" si="40"/>
        <v>-5</v>
      </c>
      <c r="Q331">
        <v>300</v>
      </c>
      <c r="R331">
        <f t="shared" si="39"/>
        <v>0.59</v>
      </c>
      <c r="S331">
        <f t="shared" si="41"/>
        <v>2.9499999999999997</v>
      </c>
      <c r="T331">
        <f t="shared" si="42"/>
        <v>-2.9499999999999997</v>
      </c>
      <c r="U331">
        <f t="shared" si="37"/>
        <v>147.61799999999999</v>
      </c>
      <c r="W331">
        <v>2397</v>
      </c>
      <c r="X331">
        <f t="shared" si="38"/>
        <v>30098.200000000004</v>
      </c>
      <c r="Y331">
        <v>15.941302937323808</v>
      </c>
    </row>
    <row r="332" spans="1:25" x14ac:dyDescent="0.25">
      <c r="A332">
        <v>6360</v>
      </c>
      <c r="B332">
        <v>24170</v>
      </c>
      <c r="C332" s="1">
        <v>43277</v>
      </c>
      <c r="F332" s="32"/>
      <c r="G332">
        <v>20.2</v>
      </c>
      <c r="H332">
        <v>14.7</v>
      </c>
      <c r="I332">
        <v>24.9</v>
      </c>
      <c r="J332">
        <f t="shared" si="35"/>
        <v>3103.7000000000003</v>
      </c>
      <c r="K332">
        <f t="shared" si="36"/>
        <v>361.49999999999994</v>
      </c>
      <c r="M332">
        <v>0</v>
      </c>
      <c r="N332">
        <v>6.2</v>
      </c>
      <c r="O332">
        <f t="shared" si="40"/>
        <v>-6.2</v>
      </c>
      <c r="Q332">
        <v>301</v>
      </c>
      <c r="R332">
        <f t="shared" si="39"/>
        <v>0.57399999999999995</v>
      </c>
      <c r="S332">
        <f t="shared" si="41"/>
        <v>3.5587999999999997</v>
      </c>
      <c r="T332">
        <f t="shared" si="42"/>
        <v>-3.5587999999999997</v>
      </c>
      <c r="U332">
        <f t="shared" si="37"/>
        <v>144.0592</v>
      </c>
      <c r="W332">
        <v>2902.9</v>
      </c>
      <c r="X332">
        <f t="shared" si="38"/>
        <v>33001.100000000006</v>
      </c>
      <c r="Y332">
        <v>15.935184232065499</v>
      </c>
    </row>
    <row r="333" spans="1:25" s="9" customFormat="1" x14ac:dyDescent="0.25">
      <c r="A333" s="9">
        <v>6360</v>
      </c>
      <c r="B333" s="9">
        <v>24170</v>
      </c>
      <c r="C333" s="10">
        <v>43278</v>
      </c>
      <c r="F333" s="32"/>
      <c r="G333" s="9">
        <v>21.8</v>
      </c>
      <c r="H333" s="9">
        <v>14.8</v>
      </c>
      <c r="I333" s="9">
        <v>26.7</v>
      </c>
      <c r="J333" s="9">
        <f t="shared" si="35"/>
        <v>3125.5000000000005</v>
      </c>
      <c r="K333">
        <f t="shared" si="36"/>
        <v>383.29999999999995</v>
      </c>
      <c r="M333" s="9">
        <v>0</v>
      </c>
      <c r="N333" s="9">
        <v>6.9</v>
      </c>
      <c r="O333" s="9">
        <f t="shared" si="40"/>
        <v>-6.9</v>
      </c>
      <c r="Q333" s="9">
        <v>302</v>
      </c>
      <c r="R333">
        <f t="shared" si="39"/>
        <v>0.55799999999999994</v>
      </c>
      <c r="S333" s="9">
        <f t="shared" si="41"/>
        <v>3.8501999999999996</v>
      </c>
      <c r="T333" s="9">
        <f t="shared" si="42"/>
        <v>-3.8501999999999996</v>
      </c>
      <c r="U333">
        <f t="shared" si="37"/>
        <v>140.209</v>
      </c>
      <c r="W333" s="9">
        <v>3305.2</v>
      </c>
      <c r="X333">
        <f t="shared" si="38"/>
        <v>36306.300000000003</v>
      </c>
      <c r="Y333" s="9">
        <v>15.927636956316519</v>
      </c>
    </row>
    <row r="334" spans="1:25" s="6" customFormat="1" ht="15.75" thickBot="1" x14ac:dyDescent="0.3">
      <c r="A334" s="6">
        <v>6360</v>
      </c>
      <c r="B334" s="6">
        <v>24170</v>
      </c>
      <c r="C334" s="7">
        <v>43279</v>
      </c>
      <c r="F334" s="33"/>
      <c r="G334" s="6">
        <v>22.4</v>
      </c>
      <c r="H334" s="6">
        <v>18.5</v>
      </c>
      <c r="I334" s="6">
        <v>26</v>
      </c>
      <c r="J334" s="6">
        <f t="shared" si="35"/>
        <v>3147.9000000000005</v>
      </c>
      <c r="K334" s="6">
        <f t="shared" si="36"/>
        <v>405.69999999999993</v>
      </c>
      <c r="M334" s="6">
        <v>0</v>
      </c>
      <c r="N334" s="6">
        <v>7.6</v>
      </c>
      <c r="O334" s="6">
        <f t="shared" si="40"/>
        <v>-7.6</v>
      </c>
      <c r="Q334" s="6">
        <v>303</v>
      </c>
      <c r="R334" s="6">
        <f t="shared" si="39"/>
        <v>0.54199999999999993</v>
      </c>
      <c r="S334" s="6">
        <f t="shared" si="41"/>
        <v>4.1191999999999993</v>
      </c>
      <c r="T334" s="6">
        <f t="shared" si="42"/>
        <v>-4.1191999999999993</v>
      </c>
      <c r="U334" s="6">
        <f t="shared" si="37"/>
        <v>136.0898</v>
      </c>
      <c r="W334" s="6">
        <v>3199.6</v>
      </c>
      <c r="X334" s="6">
        <f t="shared" si="38"/>
        <v>39505.9</v>
      </c>
      <c r="Y334" s="6">
        <v>15.918668077501964</v>
      </c>
    </row>
    <row r="335" spans="1:25" x14ac:dyDescent="0.25">
      <c r="A335">
        <v>6360</v>
      </c>
      <c r="B335">
        <v>24170</v>
      </c>
      <c r="C335" s="1">
        <v>43280</v>
      </c>
      <c r="G335">
        <v>23.3</v>
      </c>
      <c r="H335">
        <v>18.7</v>
      </c>
      <c r="I335">
        <v>27.2</v>
      </c>
      <c r="J335">
        <f t="shared" si="35"/>
        <v>3171.2000000000007</v>
      </c>
      <c r="K335">
        <f t="shared" si="36"/>
        <v>428.99999999999994</v>
      </c>
      <c r="M335">
        <v>0</v>
      </c>
      <c r="N335">
        <v>5</v>
      </c>
      <c r="O335">
        <f t="shared" si="40"/>
        <v>-5</v>
      </c>
      <c r="Q335">
        <v>304</v>
      </c>
      <c r="R335">
        <f t="shared" si="39"/>
        <v>0.52599999999999991</v>
      </c>
      <c r="S335">
        <f t="shared" si="41"/>
        <v>2.6299999999999994</v>
      </c>
      <c r="T335">
        <f t="shared" si="42"/>
        <v>-2.6299999999999994</v>
      </c>
      <c r="U335">
        <f t="shared" si="37"/>
        <v>133.4598</v>
      </c>
      <c r="W335">
        <v>1729</v>
      </c>
      <c r="X335">
        <f t="shared" si="38"/>
        <v>41234.9</v>
      </c>
      <c r="Y335">
        <v>15.908285834758329</v>
      </c>
    </row>
    <row r="336" spans="1:25" x14ac:dyDescent="0.25">
      <c r="A336">
        <v>6360</v>
      </c>
      <c r="B336">
        <v>24170</v>
      </c>
      <c r="C336" s="1">
        <v>43281</v>
      </c>
      <c r="G336">
        <v>25</v>
      </c>
      <c r="H336">
        <v>19.600000000000001</v>
      </c>
      <c r="I336">
        <v>30</v>
      </c>
      <c r="J336">
        <f t="shared" si="35"/>
        <v>3196.2000000000007</v>
      </c>
      <c r="K336">
        <f t="shared" si="36"/>
        <v>453.99999999999994</v>
      </c>
      <c r="M336">
        <v>0</v>
      </c>
      <c r="N336">
        <v>6.1</v>
      </c>
      <c r="O336">
        <f t="shared" si="40"/>
        <v>-6.1</v>
      </c>
      <c r="Q336">
        <v>305</v>
      </c>
      <c r="R336">
        <f t="shared" si="39"/>
        <v>0.5099999999999999</v>
      </c>
      <c r="S336">
        <f t="shared" si="41"/>
        <v>3.1109999999999993</v>
      </c>
      <c r="T336">
        <f t="shared" si="42"/>
        <v>-3.1109999999999993</v>
      </c>
      <c r="U336">
        <f t="shared" si="37"/>
        <v>130.34880000000001</v>
      </c>
      <c r="W336">
        <v>2367.6999999999998</v>
      </c>
      <c r="X336">
        <f t="shared" si="38"/>
        <v>43602.6</v>
      </c>
      <c r="Y336">
        <v>15.896499710725818</v>
      </c>
    </row>
    <row r="337" spans="1:25" x14ac:dyDescent="0.25">
      <c r="A337">
        <v>6360</v>
      </c>
      <c r="B337">
        <v>24170</v>
      </c>
      <c r="C337" s="1">
        <v>43282</v>
      </c>
      <c r="G337">
        <v>26.2</v>
      </c>
      <c r="H337">
        <v>21.5</v>
      </c>
      <c r="I337">
        <v>30.6</v>
      </c>
      <c r="J337">
        <f t="shared" si="35"/>
        <v>3222.4000000000005</v>
      </c>
      <c r="K337">
        <f t="shared" si="36"/>
        <v>480.19999999999993</v>
      </c>
      <c r="M337">
        <v>0</v>
      </c>
      <c r="N337">
        <v>6.8</v>
      </c>
      <c r="O337">
        <f t="shared" si="40"/>
        <v>-6.8</v>
      </c>
      <c r="Q337">
        <v>306</v>
      </c>
      <c r="R337">
        <f t="shared" si="39"/>
        <v>0.49399999999999999</v>
      </c>
      <c r="S337">
        <f t="shared" si="41"/>
        <v>3.3592</v>
      </c>
      <c r="T337">
        <f t="shared" si="42"/>
        <v>-3.3592</v>
      </c>
      <c r="U337">
        <f t="shared" si="37"/>
        <v>126.98960000000001</v>
      </c>
      <c r="W337">
        <v>2450.6999999999998</v>
      </c>
      <c r="X337">
        <f t="shared" si="38"/>
        <v>46053.299999999996</v>
      </c>
      <c r="Y337">
        <v>15.883320399378398</v>
      </c>
    </row>
    <row r="338" spans="1:25" x14ac:dyDescent="0.25">
      <c r="A338">
        <v>6360</v>
      </c>
      <c r="B338">
        <v>24170</v>
      </c>
      <c r="C338" s="1">
        <v>43283</v>
      </c>
      <c r="G338">
        <v>23.7</v>
      </c>
      <c r="H338">
        <v>20.8</v>
      </c>
      <c r="I338">
        <v>27.1</v>
      </c>
      <c r="J338">
        <f t="shared" si="35"/>
        <v>3246.1000000000004</v>
      </c>
      <c r="K338">
        <f t="shared" si="36"/>
        <v>503.89999999999992</v>
      </c>
      <c r="M338">
        <v>0.3</v>
      </c>
      <c r="N338">
        <v>4.4000000000000004</v>
      </c>
      <c r="O338">
        <f t="shared" si="40"/>
        <v>-4.1000000000000005</v>
      </c>
      <c r="Q338">
        <v>307</v>
      </c>
      <c r="R338">
        <f t="shared" si="39"/>
        <v>0.47799999999999998</v>
      </c>
      <c r="S338">
        <f t="shared" si="41"/>
        <v>2.1032000000000002</v>
      </c>
      <c r="T338">
        <f t="shared" si="42"/>
        <v>-1.8032000000000001</v>
      </c>
      <c r="U338">
        <f t="shared" si="37"/>
        <v>125.18640000000001</v>
      </c>
      <c r="W338">
        <v>1569</v>
      </c>
      <c r="X338">
        <f t="shared" si="38"/>
        <v>47622.299999999996</v>
      </c>
      <c r="Y338">
        <v>15.868759770122768</v>
      </c>
    </row>
    <row r="339" spans="1:25" x14ac:dyDescent="0.25">
      <c r="A339">
        <v>6360</v>
      </c>
      <c r="B339">
        <v>24170</v>
      </c>
      <c r="C339" s="1">
        <v>43284</v>
      </c>
      <c r="G339">
        <v>23.6</v>
      </c>
      <c r="H339">
        <v>20</v>
      </c>
      <c r="I339">
        <v>27.2</v>
      </c>
      <c r="J339">
        <f t="shared" si="35"/>
        <v>3269.7000000000003</v>
      </c>
      <c r="K339">
        <f t="shared" si="36"/>
        <v>527.49999999999989</v>
      </c>
      <c r="M339">
        <v>0</v>
      </c>
      <c r="N339">
        <v>5.4</v>
      </c>
      <c r="O339">
        <f t="shared" si="40"/>
        <v>-5.4</v>
      </c>
      <c r="Q339">
        <v>308</v>
      </c>
      <c r="R339">
        <f t="shared" si="39"/>
        <v>0.46199999999999997</v>
      </c>
      <c r="S339">
        <f t="shared" si="41"/>
        <v>2.4948000000000001</v>
      </c>
      <c r="T339">
        <f t="shared" si="42"/>
        <v>-2.4948000000000001</v>
      </c>
      <c r="U339">
        <f t="shared" si="37"/>
        <v>122.69160000000001</v>
      </c>
      <c r="W339">
        <v>2586.6</v>
      </c>
      <c r="X339">
        <f t="shared" si="38"/>
        <v>50208.899999999994</v>
      </c>
      <c r="Y339">
        <v>15.852830828420254</v>
      </c>
    </row>
    <row r="340" spans="1:25" x14ac:dyDescent="0.25">
      <c r="A340">
        <v>6360</v>
      </c>
      <c r="B340">
        <v>24170</v>
      </c>
      <c r="C340" s="1">
        <v>43285</v>
      </c>
      <c r="G340">
        <v>23.2</v>
      </c>
      <c r="H340">
        <v>18.600000000000001</v>
      </c>
      <c r="I340">
        <v>26.5</v>
      </c>
      <c r="J340">
        <f t="shared" si="35"/>
        <v>3292.9</v>
      </c>
      <c r="K340">
        <f t="shared" si="36"/>
        <v>550.69999999999993</v>
      </c>
      <c r="M340">
        <v>0.6</v>
      </c>
      <c r="N340">
        <v>4</v>
      </c>
      <c r="O340">
        <f t="shared" si="40"/>
        <v>-3.4</v>
      </c>
      <c r="Q340">
        <v>309</v>
      </c>
      <c r="R340">
        <f t="shared" si="39"/>
        <v>0.44599999999999995</v>
      </c>
      <c r="S340">
        <f t="shared" si="41"/>
        <v>1.7839999999999998</v>
      </c>
      <c r="T340">
        <f t="shared" si="42"/>
        <v>-1.1839999999999997</v>
      </c>
      <c r="U340">
        <f t="shared" si="37"/>
        <v>121.50760000000001</v>
      </c>
      <c r="W340">
        <v>2068.9</v>
      </c>
      <c r="X340">
        <f t="shared" si="38"/>
        <v>52277.799999999996</v>
      </c>
      <c r="Y340">
        <v>15.835547673205587</v>
      </c>
    </row>
    <row r="341" spans="1:25" x14ac:dyDescent="0.25">
      <c r="A341">
        <v>6360</v>
      </c>
      <c r="B341">
        <v>24170</v>
      </c>
      <c r="C341" s="1">
        <v>43286</v>
      </c>
      <c r="G341">
        <v>21</v>
      </c>
      <c r="H341">
        <v>19.2</v>
      </c>
      <c r="I341">
        <v>25.3</v>
      </c>
      <c r="J341">
        <f t="shared" si="35"/>
        <v>3313.9</v>
      </c>
      <c r="K341">
        <f t="shared" si="36"/>
        <v>571.69999999999993</v>
      </c>
      <c r="M341">
        <v>0.2</v>
      </c>
      <c r="N341">
        <v>2.5</v>
      </c>
      <c r="O341">
        <f t="shared" si="40"/>
        <v>-2.2999999999999998</v>
      </c>
      <c r="Q341">
        <v>310</v>
      </c>
      <c r="R341">
        <f t="shared" si="39"/>
        <v>0.42999999999999994</v>
      </c>
      <c r="S341">
        <f t="shared" si="41"/>
        <v>1.0749999999999997</v>
      </c>
      <c r="T341">
        <f t="shared" si="42"/>
        <v>-0.87499999999999978</v>
      </c>
      <c r="U341">
        <f t="shared" si="37"/>
        <v>120.63260000000001</v>
      </c>
      <c r="W341">
        <v>1157.5999999999999</v>
      </c>
      <c r="X341">
        <f t="shared" si="38"/>
        <v>53435.399999999994</v>
      </c>
      <c r="Y341">
        <v>15.816925451392919</v>
      </c>
    </row>
    <row r="342" spans="1:25" x14ac:dyDescent="0.25">
      <c r="A342">
        <v>6360</v>
      </c>
      <c r="B342">
        <v>24170</v>
      </c>
      <c r="C342" s="1">
        <v>43287</v>
      </c>
      <c r="G342">
        <v>22.3</v>
      </c>
      <c r="H342">
        <v>16.8</v>
      </c>
      <c r="I342">
        <v>27</v>
      </c>
      <c r="J342">
        <f t="shared" si="35"/>
        <v>3336.2000000000003</v>
      </c>
      <c r="K342">
        <f t="shared" si="36"/>
        <v>593.99999999999989</v>
      </c>
      <c r="M342">
        <v>0</v>
      </c>
      <c r="N342">
        <v>5.3</v>
      </c>
      <c r="O342">
        <f t="shared" si="40"/>
        <v>-5.3</v>
      </c>
      <c r="Q342">
        <v>311</v>
      </c>
      <c r="R342">
        <f t="shared" si="39"/>
        <v>0.41399999999999992</v>
      </c>
      <c r="S342">
        <f t="shared" si="41"/>
        <v>2.1941999999999995</v>
      </c>
      <c r="T342">
        <f t="shared" si="42"/>
        <v>-2.1941999999999995</v>
      </c>
      <c r="U342">
        <f t="shared" si="37"/>
        <v>118.43840000000002</v>
      </c>
      <c r="W342">
        <v>2600</v>
      </c>
      <c r="X342">
        <f t="shared" si="38"/>
        <v>56035.399999999994</v>
      </c>
      <c r="Y342">
        <v>15.796980309772684</v>
      </c>
    </row>
    <row r="343" spans="1:25" x14ac:dyDescent="0.25">
      <c r="A343">
        <v>6360</v>
      </c>
      <c r="B343">
        <v>24170</v>
      </c>
      <c r="C343" s="1">
        <v>43288</v>
      </c>
      <c r="G343">
        <v>23.8</v>
      </c>
      <c r="H343">
        <v>19</v>
      </c>
      <c r="I343">
        <v>28.3</v>
      </c>
      <c r="J343">
        <f t="shared" si="35"/>
        <v>3360.0000000000005</v>
      </c>
      <c r="K343">
        <f t="shared" si="36"/>
        <v>617.79999999999984</v>
      </c>
      <c r="M343">
        <v>0</v>
      </c>
      <c r="N343">
        <v>5.5</v>
      </c>
      <c r="O343">
        <f t="shared" si="40"/>
        <v>-5.5</v>
      </c>
      <c r="Q343">
        <v>312</v>
      </c>
      <c r="R343">
        <f t="shared" si="39"/>
        <v>0.39800000000000002</v>
      </c>
      <c r="S343">
        <f t="shared" si="41"/>
        <v>2.1890000000000001</v>
      </c>
      <c r="T343">
        <f t="shared" si="42"/>
        <v>-2.1890000000000001</v>
      </c>
      <c r="U343">
        <f t="shared" si="37"/>
        <v>116.24940000000001</v>
      </c>
      <c r="W343">
        <v>2397.8000000000002</v>
      </c>
      <c r="X343">
        <f t="shared" si="38"/>
        <v>58433.2</v>
      </c>
      <c r="Y343">
        <v>15.775729344612762</v>
      </c>
    </row>
    <row r="344" spans="1:25" x14ac:dyDescent="0.25">
      <c r="A344">
        <v>6360</v>
      </c>
      <c r="B344">
        <v>24170</v>
      </c>
      <c r="C344" s="1">
        <v>43289</v>
      </c>
      <c r="G344">
        <v>23.4</v>
      </c>
      <c r="H344">
        <v>19.3</v>
      </c>
      <c r="I344">
        <v>27.5</v>
      </c>
      <c r="J344">
        <f t="shared" si="35"/>
        <v>3383.4000000000005</v>
      </c>
      <c r="K344">
        <f t="shared" si="36"/>
        <v>641.19999999999982</v>
      </c>
      <c r="M344">
        <v>0</v>
      </c>
      <c r="N344">
        <v>5.7</v>
      </c>
      <c r="O344">
        <f t="shared" si="40"/>
        <v>-5.7</v>
      </c>
      <c r="Q344">
        <v>313</v>
      </c>
      <c r="R344">
        <f t="shared" si="39"/>
        <v>0.38200000000000001</v>
      </c>
      <c r="S344">
        <f t="shared" si="41"/>
        <v>2.1774</v>
      </c>
      <c r="T344">
        <f t="shared" si="42"/>
        <v>-2.1774</v>
      </c>
      <c r="U344">
        <f t="shared" si="37"/>
        <v>114.072</v>
      </c>
      <c r="W344">
        <v>2447.8000000000002</v>
      </c>
      <c r="X344">
        <f t="shared" si="38"/>
        <v>60881</v>
      </c>
      <c r="Y344">
        <v>15.753190549283699</v>
      </c>
    </row>
    <row r="345" spans="1:25" x14ac:dyDescent="0.25">
      <c r="A345">
        <v>6360</v>
      </c>
      <c r="B345">
        <v>24170</v>
      </c>
      <c r="C345" s="1">
        <v>43290</v>
      </c>
      <c r="G345">
        <v>21.2</v>
      </c>
      <c r="H345">
        <v>17.7</v>
      </c>
      <c r="I345">
        <v>24.8</v>
      </c>
      <c r="J345">
        <f t="shared" si="35"/>
        <v>3404.6000000000004</v>
      </c>
      <c r="K345">
        <f t="shared" si="36"/>
        <v>662.39999999999986</v>
      </c>
      <c r="M345">
        <v>0</v>
      </c>
      <c r="N345">
        <v>6.2</v>
      </c>
      <c r="O345">
        <f t="shared" si="40"/>
        <v>-6.2</v>
      </c>
      <c r="Q345">
        <v>314</v>
      </c>
      <c r="R345">
        <f t="shared" si="39"/>
        <v>0.36599999999999999</v>
      </c>
      <c r="S345">
        <f t="shared" si="41"/>
        <v>2.2692000000000001</v>
      </c>
      <c r="T345">
        <f t="shared" si="42"/>
        <v>-2.2692000000000001</v>
      </c>
      <c r="U345">
        <f t="shared" si="37"/>
        <v>111.8028</v>
      </c>
      <c r="W345">
        <v>2698.6</v>
      </c>
      <c r="X345">
        <f t="shared" si="38"/>
        <v>63579.6</v>
      </c>
      <c r="Y345">
        <v>15.729382760230939</v>
      </c>
    </row>
    <row r="346" spans="1:25" s="6" customFormat="1" ht="15.75" thickBot="1" x14ac:dyDescent="0.3">
      <c r="A346" s="6">
        <v>6360</v>
      </c>
      <c r="B346" s="6">
        <v>24170</v>
      </c>
      <c r="C346" s="7">
        <v>43291</v>
      </c>
      <c r="D346" s="6" t="s">
        <v>31</v>
      </c>
      <c r="G346" s="6">
        <v>18</v>
      </c>
      <c r="H346" s="6">
        <v>16.7</v>
      </c>
      <c r="I346" s="6">
        <v>20.2</v>
      </c>
      <c r="J346" s="6">
        <f t="shared" si="35"/>
        <v>3422.6000000000004</v>
      </c>
      <c r="K346" s="6">
        <f t="shared" si="36"/>
        <v>680.39999999999986</v>
      </c>
      <c r="M346" s="6">
        <v>0</v>
      </c>
      <c r="N346" s="6">
        <v>4.7</v>
      </c>
      <c r="O346" s="6">
        <f t="shared" si="40"/>
        <v>-4.7</v>
      </c>
      <c r="Q346" s="6">
        <v>315</v>
      </c>
      <c r="R346">
        <f t="shared" si="39"/>
        <v>0.35</v>
      </c>
      <c r="S346" s="6">
        <f t="shared" si="41"/>
        <v>1.645</v>
      </c>
      <c r="T346" s="6">
        <f t="shared" si="42"/>
        <v>-1.645</v>
      </c>
      <c r="U346" s="6">
        <f t="shared" si="37"/>
        <v>110.15780000000001</v>
      </c>
      <c r="W346" s="6">
        <v>1977.9</v>
      </c>
      <c r="X346">
        <f t="shared" si="38"/>
        <v>65557.5</v>
      </c>
      <c r="Y346" s="6">
        <v>15.704325601616826</v>
      </c>
    </row>
    <row r="347" spans="1:25" x14ac:dyDescent="0.25">
      <c r="A347">
        <v>6360</v>
      </c>
      <c r="B347">
        <v>24170</v>
      </c>
      <c r="C347" s="1">
        <v>43292</v>
      </c>
      <c r="G347">
        <v>18.100000000000001</v>
      </c>
      <c r="H347">
        <v>14.8</v>
      </c>
      <c r="I347">
        <v>21.3</v>
      </c>
      <c r="J347">
        <f t="shared" si="35"/>
        <v>3440.7000000000003</v>
      </c>
      <c r="K347">
        <f t="shared" si="36"/>
        <v>698.49999999999989</v>
      </c>
      <c r="M347">
        <v>0</v>
      </c>
      <c r="N347">
        <v>3.6</v>
      </c>
      <c r="O347">
        <f t="shared" si="40"/>
        <v>-3.6</v>
      </c>
      <c r="Q347">
        <v>316</v>
      </c>
      <c r="S347">
        <f t="shared" si="41"/>
        <v>0</v>
      </c>
      <c r="T347">
        <f t="shared" si="42"/>
        <v>0</v>
      </c>
      <c r="W347">
        <v>1676.9</v>
      </c>
      <c r="X347">
        <f t="shared" si="38"/>
        <v>67234.399999999994</v>
      </c>
    </row>
    <row r="348" spans="1:25" x14ac:dyDescent="0.25">
      <c r="A348">
        <v>6360</v>
      </c>
      <c r="B348">
        <v>24170</v>
      </c>
      <c r="C348" s="1">
        <v>43293</v>
      </c>
      <c r="G348">
        <v>20.399999999999999</v>
      </c>
      <c r="H348">
        <v>16.100000000000001</v>
      </c>
      <c r="I348">
        <v>24.1</v>
      </c>
      <c r="J348">
        <f t="shared" si="35"/>
        <v>3461.1000000000004</v>
      </c>
      <c r="K348">
        <f t="shared" si="36"/>
        <v>718.89999999999986</v>
      </c>
      <c r="M348">
        <v>0</v>
      </c>
      <c r="N348">
        <v>4.9000000000000004</v>
      </c>
      <c r="O348">
        <f t="shared" si="40"/>
        <v>-4.9000000000000004</v>
      </c>
      <c r="Q348">
        <v>317</v>
      </c>
      <c r="S348">
        <f t="shared" si="41"/>
        <v>0</v>
      </c>
      <c r="T348">
        <f t="shared" si="42"/>
        <v>0</v>
      </c>
      <c r="W348">
        <v>2334.6</v>
      </c>
      <c r="X348">
        <f t="shared" si="38"/>
        <v>69569</v>
      </c>
    </row>
    <row r="349" spans="1:25" x14ac:dyDescent="0.25">
      <c r="A349">
        <v>6360</v>
      </c>
      <c r="B349">
        <v>24170</v>
      </c>
      <c r="C349" s="1">
        <v>43294</v>
      </c>
      <c r="G349">
        <v>21</v>
      </c>
      <c r="H349">
        <v>18.2</v>
      </c>
      <c r="I349">
        <v>26.2</v>
      </c>
      <c r="J349">
        <f t="shared" si="35"/>
        <v>3482.1000000000004</v>
      </c>
      <c r="K349">
        <f t="shared" si="36"/>
        <v>739.89999999999986</v>
      </c>
      <c r="M349">
        <v>1</v>
      </c>
      <c r="N349">
        <v>4.4000000000000004</v>
      </c>
      <c r="O349">
        <f t="shared" si="40"/>
        <v>-3.4000000000000004</v>
      </c>
      <c r="Q349">
        <v>318</v>
      </c>
      <c r="S349">
        <f t="shared" si="41"/>
        <v>0</v>
      </c>
      <c r="T349">
        <f t="shared" si="42"/>
        <v>1</v>
      </c>
      <c r="W349">
        <v>1810.5</v>
      </c>
      <c r="X349">
        <f t="shared" si="38"/>
        <v>71379.5</v>
      </c>
    </row>
    <row r="350" spans="1:25" x14ac:dyDescent="0.25">
      <c r="A350">
        <v>6360</v>
      </c>
      <c r="B350">
        <v>24170</v>
      </c>
      <c r="C350" s="1">
        <v>43295</v>
      </c>
      <c r="G350">
        <v>23.2</v>
      </c>
      <c r="H350">
        <v>18</v>
      </c>
      <c r="I350">
        <v>27.7</v>
      </c>
      <c r="J350">
        <f t="shared" si="35"/>
        <v>3505.3</v>
      </c>
      <c r="K350">
        <f t="shared" si="36"/>
        <v>763.09999999999991</v>
      </c>
      <c r="M350">
        <v>4.5</v>
      </c>
      <c r="N350">
        <v>4.4000000000000004</v>
      </c>
      <c r="O350">
        <f t="shared" si="40"/>
        <v>9.9999999999999645E-2</v>
      </c>
      <c r="Q350">
        <v>319</v>
      </c>
      <c r="S350">
        <f t="shared" si="41"/>
        <v>0</v>
      </c>
      <c r="T350">
        <f t="shared" si="42"/>
        <v>4.5</v>
      </c>
      <c r="W350">
        <v>1787.2</v>
      </c>
      <c r="X350">
        <f t="shared" si="38"/>
        <v>73166.7</v>
      </c>
    </row>
    <row r="351" spans="1:25" x14ac:dyDescent="0.25">
      <c r="A351">
        <v>6360</v>
      </c>
      <c r="B351">
        <v>24170</v>
      </c>
      <c r="C351" s="1">
        <v>43296</v>
      </c>
      <c r="G351">
        <v>23.5</v>
      </c>
      <c r="H351">
        <v>18.600000000000001</v>
      </c>
      <c r="I351">
        <v>28.8</v>
      </c>
      <c r="J351">
        <f t="shared" si="35"/>
        <v>3528.8</v>
      </c>
      <c r="K351">
        <f t="shared" si="36"/>
        <v>786.59999999999991</v>
      </c>
      <c r="M351">
        <v>0</v>
      </c>
      <c r="N351">
        <v>4.8</v>
      </c>
      <c r="O351">
        <f t="shared" si="40"/>
        <v>-4.8</v>
      </c>
      <c r="Q351">
        <v>320</v>
      </c>
      <c r="S351">
        <f t="shared" si="41"/>
        <v>0</v>
      </c>
      <c r="T351">
        <f t="shared" si="42"/>
        <v>0</v>
      </c>
      <c r="W351">
        <v>2072.6</v>
      </c>
      <c r="X351">
        <f t="shared" si="38"/>
        <v>75239.3</v>
      </c>
    </row>
    <row r="352" spans="1:25" x14ac:dyDescent="0.25">
      <c r="A352">
        <v>6360</v>
      </c>
      <c r="B352">
        <v>24170</v>
      </c>
      <c r="C352" s="1">
        <v>43297</v>
      </c>
      <c r="G352">
        <v>23.3</v>
      </c>
      <c r="H352">
        <v>18.3</v>
      </c>
      <c r="I352">
        <v>28.3</v>
      </c>
      <c r="J352">
        <f t="shared" si="35"/>
        <v>3552.1000000000004</v>
      </c>
      <c r="K352">
        <f t="shared" si="36"/>
        <v>809.89999999999986</v>
      </c>
      <c r="M352">
        <v>0</v>
      </c>
      <c r="N352">
        <v>4.2</v>
      </c>
      <c r="O352">
        <f t="shared" si="40"/>
        <v>-4.2</v>
      </c>
      <c r="Q352">
        <v>321</v>
      </c>
      <c r="S352">
        <f t="shared" si="41"/>
        <v>0</v>
      </c>
      <c r="T352">
        <f t="shared" si="42"/>
        <v>0</v>
      </c>
      <c r="W352">
        <v>1625.9</v>
      </c>
      <c r="X352">
        <f t="shared" si="38"/>
        <v>76865.2</v>
      </c>
    </row>
    <row r="353" spans="1:24" x14ac:dyDescent="0.25">
      <c r="A353">
        <v>6360</v>
      </c>
      <c r="B353">
        <v>24170</v>
      </c>
      <c r="C353" s="1">
        <v>43298</v>
      </c>
      <c r="G353">
        <v>21</v>
      </c>
      <c r="H353">
        <v>18.5</v>
      </c>
      <c r="I353">
        <v>24.2</v>
      </c>
      <c r="J353">
        <f t="shared" si="35"/>
        <v>3573.1000000000004</v>
      </c>
      <c r="K353">
        <f t="shared" si="36"/>
        <v>830.89999999999986</v>
      </c>
      <c r="M353">
        <v>0</v>
      </c>
      <c r="N353">
        <v>4.7</v>
      </c>
      <c r="O353">
        <f t="shared" si="40"/>
        <v>-4.7</v>
      </c>
      <c r="Q353">
        <v>322</v>
      </c>
      <c r="S353">
        <f t="shared" si="41"/>
        <v>0</v>
      </c>
      <c r="T353">
        <f t="shared" si="42"/>
        <v>0</v>
      </c>
      <c r="W353">
        <v>2102.9</v>
      </c>
      <c r="X353">
        <f t="shared" si="38"/>
        <v>78968.099999999991</v>
      </c>
    </row>
    <row r="354" spans="1:24" x14ac:dyDescent="0.25">
      <c r="A354">
        <v>6360</v>
      </c>
      <c r="B354">
        <v>24170</v>
      </c>
      <c r="C354" s="1">
        <v>43299</v>
      </c>
      <c r="G354">
        <v>21.9</v>
      </c>
      <c r="H354">
        <v>16.600000000000001</v>
      </c>
      <c r="I354">
        <v>26.6</v>
      </c>
      <c r="J354">
        <f t="shared" ref="J354:J367" si="43">J353+G354</f>
        <v>3595.0000000000005</v>
      </c>
      <c r="K354">
        <f t="shared" ref="K354:K367" si="44">K353+G354</f>
        <v>852.79999999999984</v>
      </c>
      <c r="M354">
        <v>0</v>
      </c>
      <c r="N354">
        <v>4.5999999999999996</v>
      </c>
      <c r="O354">
        <f t="shared" si="40"/>
        <v>-4.5999999999999996</v>
      </c>
      <c r="Q354">
        <v>323</v>
      </c>
      <c r="S354">
        <f t="shared" si="41"/>
        <v>0</v>
      </c>
      <c r="T354">
        <f t="shared" si="42"/>
        <v>0</v>
      </c>
      <c r="W354">
        <v>2009.4</v>
      </c>
      <c r="X354">
        <f t="shared" ref="X354:X367" si="45">X353+W354</f>
        <v>80977.499999999985</v>
      </c>
    </row>
    <row r="355" spans="1:24" x14ac:dyDescent="0.25">
      <c r="A355">
        <v>6360</v>
      </c>
      <c r="B355">
        <v>24170</v>
      </c>
      <c r="C355" s="1">
        <v>43300</v>
      </c>
      <c r="G355">
        <v>23.9</v>
      </c>
      <c r="H355">
        <v>17.600000000000001</v>
      </c>
      <c r="I355">
        <v>28.6</v>
      </c>
      <c r="J355">
        <f t="shared" si="43"/>
        <v>3618.9000000000005</v>
      </c>
      <c r="K355">
        <f t="shared" si="44"/>
        <v>876.69999999999982</v>
      </c>
      <c r="M355">
        <v>0.5</v>
      </c>
      <c r="N355">
        <v>5.2</v>
      </c>
      <c r="O355">
        <f t="shared" si="40"/>
        <v>-4.7</v>
      </c>
      <c r="Q355">
        <v>324</v>
      </c>
      <c r="S355">
        <f t="shared" si="41"/>
        <v>0</v>
      </c>
      <c r="T355">
        <f t="shared" si="42"/>
        <v>0.5</v>
      </c>
      <c r="W355">
        <v>1998.9</v>
      </c>
      <c r="X355">
        <f t="shared" si="45"/>
        <v>82976.39999999998</v>
      </c>
    </row>
    <row r="356" spans="1:24" x14ac:dyDescent="0.25">
      <c r="A356">
        <v>6360</v>
      </c>
      <c r="B356">
        <v>24170</v>
      </c>
      <c r="C356" s="1">
        <v>43301</v>
      </c>
      <c r="G356">
        <v>20.5</v>
      </c>
      <c r="H356">
        <v>19</v>
      </c>
      <c r="I356">
        <v>23.9</v>
      </c>
      <c r="J356">
        <f t="shared" si="43"/>
        <v>3639.4000000000005</v>
      </c>
      <c r="K356">
        <f t="shared" si="44"/>
        <v>897.19999999999982</v>
      </c>
      <c r="M356">
        <v>14.7</v>
      </c>
      <c r="N356">
        <v>2.7</v>
      </c>
      <c r="O356">
        <f t="shared" si="40"/>
        <v>12</v>
      </c>
      <c r="Q356">
        <v>325</v>
      </c>
      <c r="S356">
        <f t="shared" si="41"/>
        <v>0</v>
      </c>
      <c r="T356">
        <f t="shared" si="42"/>
        <v>14.7</v>
      </c>
      <c r="W356">
        <v>1094.5999999999999</v>
      </c>
      <c r="X356">
        <f t="shared" si="45"/>
        <v>84070.999999999985</v>
      </c>
    </row>
    <row r="357" spans="1:24" x14ac:dyDescent="0.25">
      <c r="A357">
        <v>6360</v>
      </c>
      <c r="B357">
        <v>24170</v>
      </c>
      <c r="C357" s="1">
        <v>43302</v>
      </c>
      <c r="G357">
        <v>20.2</v>
      </c>
      <c r="H357">
        <v>17</v>
      </c>
      <c r="I357">
        <v>23.6</v>
      </c>
      <c r="J357">
        <f t="shared" si="43"/>
        <v>3659.6000000000004</v>
      </c>
      <c r="K357">
        <f t="shared" si="44"/>
        <v>917.39999999999986</v>
      </c>
      <c r="M357">
        <v>0</v>
      </c>
      <c r="N357">
        <v>4</v>
      </c>
      <c r="O357">
        <f t="shared" si="40"/>
        <v>-4</v>
      </c>
      <c r="Q357">
        <v>326</v>
      </c>
      <c r="S357">
        <f t="shared" si="41"/>
        <v>0</v>
      </c>
      <c r="T357">
        <f t="shared" si="42"/>
        <v>0</v>
      </c>
      <c r="W357">
        <v>1855.4</v>
      </c>
      <c r="X357">
        <f t="shared" si="45"/>
        <v>85926.39999999998</v>
      </c>
    </row>
    <row r="358" spans="1:24" x14ac:dyDescent="0.25">
      <c r="A358">
        <v>6360</v>
      </c>
      <c r="B358">
        <v>24170</v>
      </c>
      <c r="C358" s="1">
        <v>43303</v>
      </c>
      <c r="G358">
        <v>22.1</v>
      </c>
      <c r="H358">
        <v>16.2</v>
      </c>
      <c r="I358">
        <v>26.8</v>
      </c>
      <c r="J358">
        <f t="shared" si="43"/>
        <v>3681.7000000000003</v>
      </c>
      <c r="K358">
        <f t="shared" si="44"/>
        <v>939.49999999999989</v>
      </c>
      <c r="M358">
        <v>0</v>
      </c>
      <c r="N358">
        <v>4.0999999999999996</v>
      </c>
      <c r="O358">
        <f t="shared" si="40"/>
        <v>-4.0999999999999996</v>
      </c>
      <c r="Q358">
        <v>327</v>
      </c>
      <c r="S358">
        <f t="shared" si="41"/>
        <v>0</v>
      </c>
      <c r="T358">
        <f t="shared" si="42"/>
        <v>0</v>
      </c>
      <c r="W358">
        <v>1885.4</v>
      </c>
      <c r="X358">
        <f t="shared" si="45"/>
        <v>87811.799999999974</v>
      </c>
    </row>
    <row r="359" spans="1:24" x14ac:dyDescent="0.25">
      <c r="A359">
        <v>6360</v>
      </c>
      <c r="B359">
        <v>24170</v>
      </c>
      <c r="C359" s="1">
        <v>43304</v>
      </c>
      <c r="G359">
        <v>24.1</v>
      </c>
      <c r="H359">
        <v>19.399999999999999</v>
      </c>
      <c r="I359">
        <v>28.7</v>
      </c>
      <c r="J359">
        <f t="shared" si="43"/>
        <v>3705.8</v>
      </c>
      <c r="K359">
        <f t="shared" si="44"/>
        <v>963.59999999999991</v>
      </c>
      <c r="M359">
        <v>0</v>
      </c>
      <c r="N359">
        <v>5.3</v>
      </c>
      <c r="O359">
        <f t="shared" si="40"/>
        <v>-5.3</v>
      </c>
      <c r="Q359">
        <v>328</v>
      </c>
      <c r="S359">
        <f t="shared" si="41"/>
        <v>0</v>
      </c>
      <c r="T359">
        <f t="shared" si="42"/>
        <v>0</v>
      </c>
      <c r="W359">
        <v>2310.6</v>
      </c>
      <c r="X359">
        <f t="shared" si="45"/>
        <v>90122.39999999998</v>
      </c>
    </row>
    <row r="360" spans="1:24" x14ac:dyDescent="0.25">
      <c r="A360">
        <v>6360</v>
      </c>
      <c r="B360">
        <v>24170</v>
      </c>
      <c r="C360" s="1">
        <v>43305</v>
      </c>
      <c r="G360">
        <v>25.4</v>
      </c>
      <c r="H360">
        <v>19.7</v>
      </c>
      <c r="I360">
        <v>29.7</v>
      </c>
      <c r="J360">
        <f t="shared" si="43"/>
        <v>3731.2000000000003</v>
      </c>
      <c r="K360">
        <f t="shared" si="44"/>
        <v>988.99999999999989</v>
      </c>
      <c r="M360">
        <v>0</v>
      </c>
      <c r="N360">
        <v>4.2</v>
      </c>
      <c r="O360">
        <f t="shared" si="40"/>
        <v>-4.2</v>
      </c>
      <c r="Q360">
        <v>329</v>
      </c>
      <c r="S360">
        <f t="shared" si="41"/>
        <v>0</v>
      </c>
      <c r="T360">
        <f t="shared" si="42"/>
        <v>0</v>
      </c>
      <c r="W360">
        <v>1694.2</v>
      </c>
      <c r="X360">
        <f t="shared" si="45"/>
        <v>91816.599999999977</v>
      </c>
    </row>
    <row r="361" spans="1:24" x14ac:dyDescent="0.25">
      <c r="A361">
        <v>6360</v>
      </c>
      <c r="B361">
        <v>24170</v>
      </c>
      <c r="C361" s="1">
        <v>43306</v>
      </c>
      <c r="G361">
        <v>26.5</v>
      </c>
      <c r="H361">
        <v>21.2</v>
      </c>
      <c r="I361">
        <v>31.3</v>
      </c>
      <c r="J361">
        <f t="shared" si="43"/>
        <v>3757.7000000000003</v>
      </c>
      <c r="K361">
        <f t="shared" si="44"/>
        <v>1015.4999999999999</v>
      </c>
      <c r="M361">
        <v>0</v>
      </c>
      <c r="N361">
        <v>6.5</v>
      </c>
      <c r="O361">
        <f t="shared" si="40"/>
        <v>-6.5</v>
      </c>
      <c r="Q361">
        <v>330</v>
      </c>
      <c r="S361">
        <f t="shared" si="41"/>
        <v>0</v>
      </c>
      <c r="T361">
        <f t="shared" si="42"/>
        <v>0</v>
      </c>
      <c r="W361">
        <v>2743</v>
      </c>
      <c r="X361">
        <f t="shared" si="45"/>
        <v>94559.599999999977</v>
      </c>
    </row>
    <row r="362" spans="1:24" x14ac:dyDescent="0.25">
      <c r="A362">
        <v>6360</v>
      </c>
      <c r="B362">
        <v>24170</v>
      </c>
      <c r="C362" s="1">
        <v>43307</v>
      </c>
      <c r="G362">
        <v>28.3</v>
      </c>
      <c r="H362">
        <v>22.6</v>
      </c>
      <c r="I362">
        <v>34</v>
      </c>
      <c r="J362">
        <f t="shared" si="43"/>
        <v>3786.0000000000005</v>
      </c>
      <c r="K362">
        <f t="shared" si="44"/>
        <v>1043.8</v>
      </c>
      <c r="M362">
        <v>0</v>
      </c>
      <c r="N362">
        <v>5.2</v>
      </c>
      <c r="O362">
        <f t="shared" si="40"/>
        <v>-5.2</v>
      </c>
      <c r="Q362">
        <v>331</v>
      </c>
      <c r="S362">
        <f t="shared" si="41"/>
        <v>0</v>
      </c>
      <c r="T362">
        <f t="shared" si="42"/>
        <v>0</v>
      </c>
      <c r="W362">
        <v>2167.9</v>
      </c>
      <c r="X362">
        <f t="shared" si="45"/>
        <v>96727.499999999971</v>
      </c>
    </row>
    <row r="363" spans="1:24" x14ac:dyDescent="0.25">
      <c r="A363">
        <v>6360</v>
      </c>
      <c r="B363">
        <v>24170</v>
      </c>
      <c r="C363" s="1">
        <v>43308</v>
      </c>
      <c r="G363">
        <v>25.6</v>
      </c>
      <c r="H363">
        <v>21.8</v>
      </c>
      <c r="I363">
        <v>35.1</v>
      </c>
      <c r="J363">
        <f t="shared" si="43"/>
        <v>3811.6000000000004</v>
      </c>
      <c r="K363">
        <f t="shared" si="44"/>
        <v>1069.3999999999999</v>
      </c>
      <c r="M363">
        <v>13.9</v>
      </c>
      <c r="N363">
        <v>5.9</v>
      </c>
      <c r="O363">
        <f t="shared" si="40"/>
        <v>8</v>
      </c>
      <c r="Q363">
        <v>332</v>
      </c>
      <c r="S363">
        <f t="shared" si="41"/>
        <v>0</v>
      </c>
      <c r="T363">
        <f t="shared" si="42"/>
        <v>13.9</v>
      </c>
      <c r="W363">
        <v>2193.5</v>
      </c>
      <c r="X363">
        <f t="shared" si="45"/>
        <v>98920.999999999971</v>
      </c>
    </row>
    <row r="364" spans="1:24" x14ac:dyDescent="0.25">
      <c r="A364">
        <v>6360</v>
      </c>
      <c r="B364">
        <v>24170</v>
      </c>
      <c r="C364" s="1">
        <v>43309</v>
      </c>
      <c r="G364">
        <v>21.8</v>
      </c>
      <c r="H364">
        <v>19.5</v>
      </c>
      <c r="I364">
        <v>24.9</v>
      </c>
      <c r="J364">
        <f t="shared" si="43"/>
        <v>3833.4000000000005</v>
      </c>
      <c r="K364">
        <f t="shared" si="44"/>
        <v>1091.1999999999998</v>
      </c>
      <c r="M364">
        <v>0</v>
      </c>
      <c r="N364">
        <v>5.0999999999999996</v>
      </c>
      <c r="O364">
        <f t="shared" si="40"/>
        <v>-5.0999999999999996</v>
      </c>
      <c r="Q364">
        <v>333</v>
      </c>
      <c r="S364">
        <f t="shared" si="41"/>
        <v>0</v>
      </c>
      <c r="T364">
        <f t="shared" si="42"/>
        <v>0</v>
      </c>
      <c r="W364">
        <v>1953.7</v>
      </c>
      <c r="X364">
        <f t="shared" si="45"/>
        <v>100874.69999999997</v>
      </c>
    </row>
    <row r="365" spans="1:24" x14ac:dyDescent="0.25">
      <c r="A365">
        <v>6360</v>
      </c>
      <c r="B365">
        <v>24170</v>
      </c>
      <c r="C365" s="1">
        <v>43310</v>
      </c>
      <c r="G365">
        <v>22.4</v>
      </c>
      <c r="H365">
        <v>17.7</v>
      </c>
      <c r="I365">
        <v>25.9</v>
      </c>
      <c r="J365">
        <f t="shared" si="43"/>
        <v>3855.8000000000006</v>
      </c>
      <c r="K365">
        <f t="shared" si="44"/>
        <v>1113.5999999999999</v>
      </c>
      <c r="M365">
        <v>0</v>
      </c>
      <c r="N365">
        <v>4.2</v>
      </c>
      <c r="O365">
        <f t="shared" si="40"/>
        <v>-4.2</v>
      </c>
      <c r="Q365">
        <v>334</v>
      </c>
      <c r="S365">
        <f t="shared" si="41"/>
        <v>0</v>
      </c>
      <c r="T365">
        <f t="shared" si="42"/>
        <v>0</v>
      </c>
      <c r="W365">
        <v>1372</v>
      </c>
      <c r="X365">
        <f t="shared" si="45"/>
        <v>102246.69999999997</v>
      </c>
    </row>
    <row r="366" spans="1:24" x14ac:dyDescent="0.25">
      <c r="A366">
        <v>6360</v>
      </c>
      <c r="B366">
        <v>24170</v>
      </c>
      <c r="C366" s="1">
        <v>43311</v>
      </c>
      <c r="G366">
        <v>23.1</v>
      </c>
      <c r="H366">
        <v>19.5</v>
      </c>
      <c r="I366">
        <v>26.9</v>
      </c>
      <c r="J366">
        <f t="shared" si="43"/>
        <v>3878.9000000000005</v>
      </c>
      <c r="K366">
        <f t="shared" si="44"/>
        <v>1136.6999999999998</v>
      </c>
      <c r="M366">
        <v>0</v>
      </c>
      <c r="N366">
        <v>4</v>
      </c>
      <c r="O366">
        <f t="shared" si="40"/>
        <v>-4</v>
      </c>
      <c r="Q366">
        <v>335</v>
      </c>
      <c r="S366">
        <f t="shared" si="41"/>
        <v>0</v>
      </c>
      <c r="T366">
        <f t="shared" si="42"/>
        <v>0</v>
      </c>
      <c r="W366">
        <v>1549.1</v>
      </c>
      <c r="X366">
        <f t="shared" si="45"/>
        <v>103795.79999999997</v>
      </c>
    </row>
    <row r="367" spans="1:24" x14ac:dyDescent="0.25">
      <c r="A367">
        <v>6360</v>
      </c>
      <c r="B367">
        <v>24170</v>
      </c>
      <c r="C367" s="1">
        <v>43312</v>
      </c>
      <c r="G367">
        <v>23.4</v>
      </c>
      <c r="H367">
        <v>19.7</v>
      </c>
      <c r="I367">
        <v>26.8</v>
      </c>
      <c r="J367">
        <f t="shared" si="43"/>
        <v>3902.3000000000006</v>
      </c>
      <c r="K367">
        <f t="shared" si="44"/>
        <v>1160.0999999999999</v>
      </c>
      <c r="M367">
        <v>0</v>
      </c>
      <c r="N367">
        <v>4.4000000000000004</v>
      </c>
      <c r="O367">
        <f t="shared" si="40"/>
        <v>-4.4000000000000004</v>
      </c>
      <c r="Q367">
        <v>336</v>
      </c>
      <c r="S367">
        <f t="shared" si="41"/>
        <v>0</v>
      </c>
      <c r="T367">
        <f t="shared" si="42"/>
        <v>0</v>
      </c>
      <c r="W367">
        <v>1885.6</v>
      </c>
      <c r="X367">
        <f t="shared" si="45"/>
        <v>105681.39999999998</v>
      </c>
    </row>
  </sheetData>
  <mergeCells count="10">
    <mergeCell ref="M2:V2"/>
    <mergeCell ref="W2:Z2"/>
    <mergeCell ref="F32:F122"/>
    <mergeCell ref="F123:F216"/>
    <mergeCell ref="F217:F253"/>
    <mergeCell ref="F254:F274"/>
    <mergeCell ref="F275:F296"/>
    <mergeCell ref="F297:F312"/>
    <mergeCell ref="F313:F334"/>
    <mergeCell ref="G2:L2"/>
  </mergeCells>
  <conditionalFormatting sqref="G4:I367">
    <cfRule type="cellIs" dxfId="30" priority="29" operator="lessThan">
      <formula>0</formula>
    </cfRule>
    <cfRule type="cellIs" dxfId="29" priority="30" operator="between">
      <formula>5</formula>
      <formula>0</formula>
    </cfRule>
    <cfRule type="cellIs" dxfId="28" priority="31" operator="greaterThanOrEqual">
      <formula>25</formula>
    </cfRule>
  </conditionalFormatting>
  <conditionalFormatting sqref="O4:O367">
    <cfRule type="cellIs" dxfId="27" priority="28" operator="lessThan">
      <formula>0</formula>
    </cfRule>
  </conditionalFormatting>
  <conditionalFormatting sqref="T4:T367">
    <cfRule type="cellIs" dxfId="26" priority="27" operator="lessThan">
      <formula>0</formula>
    </cfRule>
  </conditionalFormatting>
  <conditionalFormatting sqref="W4:W367">
    <cfRule type="cellIs" dxfId="25" priority="26" operator="lessThan">
      <formula>900</formula>
    </cfRule>
  </conditionalFormatting>
  <conditionalFormatting sqref="U4:U1048576">
    <cfRule type="cellIs" dxfId="24" priority="24" operator="equal">
      <formula>0</formula>
    </cfRule>
    <cfRule type="cellIs" dxfId="23" priority="25" operator="lessThanOrEqual">
      <formula>59.77</formula>
    </cfRule>
  </conditionalFormatting>
  <conditionalFormatting sqref="Y32:Y346">
    <cfRule type="cellIs" dxfId="22" priority="23" operator="lessThan">
      <formula>9</formula>
    </cfRule>
  </conditionalFormatting>
  <conditionalFormatting sqref="L33 L41 L45 L43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33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24 L132 L136 L134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24">
    <cfRule type="cellIs" dxfId="15" priority="16" operator="lessThan">
      <formula>9</formula>
    </cfRule>
  </conditionalFormatting>
  <conditionalFormatting sqref="L218 L226 L230 L228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18">
    <cfRule type="cellIs" dxfId="12" priority="13" operator="lessThan">
      <formula>9</formula>
    </cfRule>
  </conditionalFormatting>
  <conditionalFormatting sqref="L255 L267 L265 L263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L276 L284 L286 L288">
    <cfRule type="cellIs" dxfId="9" priority="9" operator="lessThanOrEqual">
      <formula>0</formula>
    </cfRule>
    <cfRule type="cellIs" dxfId="8" priority="10" operator="lessThanOrEqual">
      <formula>5</formula>
    </cfRule>
  </conditionalFormatting>
  <conditionalFormatting sqref="Z255">
    <cfRule type="cellIs" dxfId="7" priority="8" operator="lessThan">
      <formula>9</formula>
    </cfRule>
  </conditionalFormatting>
  <conditionalFormatting sqref="Z276">
    <cfRule type="cellIs" dxfId="6" priority="7" operator="lessThan">
      <formula>9</formula>
    </cfRule>
  </conditionalFormatting>
  <conditionalFormatting sqref="L298 L308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298">
    <cfRule type="cellIs" dxfId="3" priority="4" operator="lessThan">
      <formula>9</formula>
    </cfRule>
  </conditionalFormatting>
  <conditionalFormatting sqref="L314 L324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14">
    <cfRule type="cellIs" dxfId="0" priority="1" operator="lessThan">
      <formula>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N-</vt:lpstr>
      <vt:lpstr>N+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2019-11-12T12:58:05Z</dcterms:created>
  <dcterms:modified xsi:type="dcterms:W3CDTF">2019-11-27T15:25:16Z</dcterms:modified>
</cp:coreProperties>
</file>