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.RDS-PRET-0218\Desktop\Agrocampus Ouest\M2\Projet ingénieur\meteo_vs_rendement\data\climate_data\indicateurs_journaliers_par_essais\1.1.4.2.8_R2018\"/>
    </mc:Choice>
  </mc:AlternateContent>
  <xr:revisionPtr revIDLastSave="0" documentId="13_ncr:1_{23D75428-2807-4E3E-AEE9-5D06670347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+ exp" sheetId="3" r:id="rId1"/>
    <sheet name="N-" sheetId="1" r:id="rId2"/>
    <sheet name="N+" sheetId="2" r:id="rId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18" i="2" l="1"/>
  <c r="X336" i="2" l="1"/>
  <c r="X314" i="2"/>
  <c r="L321" i="2"/>
  <c r="L319" i="2"/>
  <c r="L317" i="2"/>
  <c r="X297" i="2"/>
  <c r="L304" i="2"/>
  <c r="L302" i="2"/>
  <c r="L300" i="2"/>
  <c r="L279" i="2"/>
  <c r="L277" i="2"/>
  <c r="L275" i="2"/>
  <c r="L223" i="2"/>
  <c r="L221" i="2"/>
  <c r="L219" i="2"/>
  <c r="L258" i="2"/>
  <c r="L256" i="2"/>
  <c r="L254" i="2"/>
  <c r="L130" i="2"/>
  <c r="L128" i="2"/>
  <c r="L126" i="2"/>
  <c r="L51" i="2"/>
  <c r="L49" i="2"/>
  <c r="L47" i="2"/>
  <c r="L319" i="1"/>
  <c r="L317" i="1"/>
  <c r="L315" i="1"/>
  <c r="L301" i="1"/>
  <c r="L299" i="1"/>
  <c r="L297" i="1"/>
  <c r="L276" i="1"/>
  <c r="L274" i="1"/>
  <c r="L272" i="1"/>
  <c r="L255" i="1"/>
  <c r="L253" i="1"/>
  <c r="L251" i="1"/>
  <c r="L223" i="1"/>
  <c r="L221" i="1"/>
  <c r="L219" i="1"/>
  <c r="L130" i="1"/>
  <c r="L128" i="1"/>
  <c r="L126" i="1"/>
  <c r="L51" i="1"/>
  <c r="L49" i="1"/>
  <c r="L47" i="1"/>
  <c r="Z317" i="2"/>
  <c r="Z315" i="1"/>
  <c r="Z297" i="1"/>
  <c r="Z300" i="2"/>
  <c r="Z275" i="2"/>
  <c r="Z272" i="1"/>
  <c r="Z251" i="1"/>
  <c r="Z254" i="2"/>
  <c r="Z219" i="2"/>
  <c r="Z219" i="1"/>
  <c r="Z126" i="1"/>
  <c r="Z126" i="2"/>
  <c r="Z47" i="2"/>
  <c r="Z47" i="1"/>
  <c r="R298" i="2" l="1"/>
  <c r="S298" i="2" s="1"/>
  <c r="T298" i="2" s="1"/>
  <c r="R299" i="2"/>
  <c r="R300" i="2"/>
  <c r="R301" i="2"/>
  <c r="R302" i="2"/>
  <c r="R303" i="2"/>
  <c r="R304" i="2"/>
  <c r="S304" i="2" s="1"/>
  <c r="T304" i="2" s="1"/>
  <c r="R305" i="2"/>
  <c r="S305" i="2" s="1"/>
  <c r="T305" i="2" s="1"/>
  <c r="R306" i="2"/>
  <c r="R307" i="2"/>
  <c r="R308" i="2"/>
  <c r="R309" i="2"/>
  <c r="R310" i="2"/>
  <c r="S310" i="2" s="1"/>
  <c r="T310" i="2" s="1"/>
  <c r="R311" i="2"/>
  <c r="S311" i="2" s="1"/>
  <c r="T311" i="2" s="1"/>
  <c r="R312" i="2"/>
  <c r="S312" i="2" s="1"/>
  <c r="T312" i="2" s="1"/>
  <c r="R313" i="2"/>
  <c r="S313" i="2" s="1"/>
  <c r="T313" i="2" s="1"/>
  <c r="R314" i="2"/>
  <c r="S314" i="2" s="1"/>
  <c r="T314" i="2" s="1"/>
  <c r="R315" i="2"/>
  <c r="S315" i="2" s="1"/>
  <c r="T315" i="2" s="1"/>
  <c r="R316" i="2"/>
  <c r="R317" i="2"/>
  <c r="S317" i="2" s="1"/>
  <c r="T317" i="2" s="1"/>
  <c r="R318" i="2"/>
  <c r="S318" i="2" s="1"/>
  <c r="T318" i="2" s="1"/>
  <c r="R319" i="2"/>
  <c r="R320" i="2"/>
  <c r="S320" i="2" s="1"/>
  <c r="T320" i="2" s="1"/>
  <c r="R321" i="2"/>
  <c r="S321" i="2" s="1"/>
  <c r="T321" i="2" s="1"/>
  <c r="R322" i="2"/>
  <c r="S322" i="2" s="1"/>
  <c r="T322" i="2" s="1"/>
  <c r="R323" i="2"/>
  <c r="R324" i="2"/>
  <c r="R325" i="2"/>
  <c r="S325" i="2" s="1"/>
  <c r="T325" i="2" s="1"/>
  <c r="R326" i="2"/>
  <c r="R327" i="2"/>
  <c r="R328" i="2"/>
  <c r="S328" i="2" s="1"/>
  <c r="T328" i="2" s="1"/>
  <c r="R329" i="2"/>
  <c r="S329" i="2" s="1"/>
  <c r="T329" i="2" s="1"/>
  <c r="R330" i="2"/>
  <c r="S330" i="2" s="1"/>
  <c r="T330" i="2" s="1"/>
  <c r="R331" i="2"/>
  <c r="S331" i="2" s="1"/>
  <c r="T331" i="2" s="1"/>
  <c r="R332" i="2"/>
  <c r="R333" i="2"/>
  <c r="R334" i="2"/>
  <c r="R335" i="2"/>
  <c r="R336" i="2"/>
  <c r="S336" i="2" s="1"/>
  <c r="T336" i="2" s="1"/>
  <c r="R337" i="2"/>
  <c r="S337" i="2" s="1"/>
  <c r="T337" i="2" s="1"/>
  <c r="R338" i="2"/>
  <c r="S338" i="2" s="1"/>
  <c r="T338" i="2" s="1"/>
  <c r="R339" i="2"/>
  <c r="S339" i="2" s="1"/>
  <c r="T339" i="2" s="1"/>
  <c r="R340" i="2"/>
  <c r="R341" i="2"/>
  <c r="R342" i="2"/>
  <c r="R343" i="2"/>
  <c r="R344" i="2"/>
  <c r="S344" i="2" s="1"/>
  <c r="T344" i="2" s="1"/>
  <c r="R345" i="2"/>
  <c r="S345" i="2" s="1"/>
  <c r="T345" i="2" s="1"/>
  <c r="R297" i="2"/>
  <c r="K336" i="2"/>
  <c r="K314" i="2"/>
  <c r="K297" i="2"/>
  <c r="K272" i="2"/>
  <c r="X272" i="2"/>
  <c r="X251" i="2"/>
  <c r="K251" i="2"/>
  <c r="R217" i="2"/>
  <c r="R218" i="2"/>
  <c r="R219" i="2"/>
  <c r="R220" i="2"/>
  <c r="R221" i="2"/>
  <c r="R222" i="2"/>
  <c r="R223" i="2"/>
  <c r="S223" i="2" s="1"/>
  <c r="T223" i="2" s="1"/>
  <c r="R224" i="2"/>
  <c r="S224" i="2" s="1"/>
  <c r="T224" i="2" s="1"/>
  <c r="R225" i="2"/>
  <c r="R226" i="2"/>
  <c r="R227" i="2"/>
  <c r="R228" i="2"/>
  <c r="R229" i="2"/>
  <c r="R230" i="2"/>
  <c r="R231" i="2"/>
  <c r="S231" i="2" s="1"/>
  <c r="T231" i="2" s="1"/>
  <c r="R232" i="2"/>
  <c r="S232" i="2" s="1"/>
  <c r="T232" i="2" s="1"/>
  <c r="R233" i="2"/>
  <c r="R234" i="2"/>
  <c r="R235" i="2"/>
  <c r="R236" i="2"/>
  <c r="R237" i="2"/>
  <c r="R238" i="2"/>
  <c r="R239" i="2"/>
  <c r="S239" i="2" s="1"/>
  <c r="T239" i="2" s="1"/>
  <c r="R240" i="2"/>
  <c r="S240" i="2" s="1"/>
  <c r="T240" i="2" s="1"/>
  <c r="R241" i="2"/>
  <c r="R242" i="2"/>
  <c r="R243" i="2"/>
  <c r="R244" i="2"/>
  <c r="S244" i="2" s="1"/>
  <c r="T244" i="2" s="1"/>
  <c r="R245" i="2"/>
  <c r="R246" i="2"/>
  <c r="R247" i="2"/>
  <c r="S247" i="2" s="1"/>
  <c r="T247" i="2" s="1"/>
  <c r="R248" i="2"/>
  <c r="S248" i="2" s="1"/>
  <c r="T248" i="2" s="1"/>
  <c r="R249" i="2"/>
  <c r="S249" i="2" s="1"/>
  <c r="T249" i="2" s="1"/>
  <c r="R250" i="2"/>
  <c r="R216" i="2"/>
  <c r="S216" i="2" s="1"/>
  <c r="T216" i="2" s="1"/>
  <c r="X335" i="1"/>
  <c r="K335" i="1"/>
  <c r="K312" i="1"/>
  <c r="X312" i="1"/>
  <c r="X294" i="1"/>
  <c r="K294" i="1"/>
  <c r="R295" i="1"/>
  <c r="R296" i="1"/>
  <c r="R297" i="1"/>
  <c r="R298" i="1"/>
  <c r="R299" i="1"/>
  <c r="R300" i="1"/>
  <c r="S300" i="1" s="1"/>
  <c r="T300" i="1" s="1"/>
  <c r="R301" i="1"/>
  <c r="R302" i="1"/>
  <c r="R303" i="1"/>
  <c r="R304" i="1"/>
  <c r="R305" i="1"/>
  <c r="R306" i="1"/>
  <c r="R307" i="1"/>
  <c r="R308" i="1"/>
  <c r="S308" i="1" s="1"/>
  <c r="T308" i="1" s="1"/>
  <c r="R309" i="1"/>
  <c r="R310" i="1"/>
  <c r="R311" i="1"/>
  <c r="R312" i="1"/>
  <c r="R313" i="1"/>
  <c r="R314" i="1"/>
  <c r="R315" i="1"/>
  <c r="R316" i="1"/>
  <c r="S316" i="1" s="1"/>
  <c r="T316" i="1" s="1"/>
  <c r="R317" i="1"/>
  <c r="R318" i="1"/>
  <c r="R319" i="1"/>
  <c r="R320" i="1"/>
  <c r="R321" i="1"/>
  <c r="R322" i="1"/>
  <c r="R323" i="1"/>
  <c r="R324" i="1"/>
  <c r="S324" i="1" s="1"/>
  <c r="T324" i="1" s="1"/>
  <c r="R325" i="1"/>
  <c r="R326" i="1"/>
  <c r="R327" i="1"/>
  <c r="R328" i="1"/>
  <c r="R329" i="1"/>
  <c r="R330" i="1"/>
  <c r="R331" i="1"/>
  <c r="R332" i="1"/>
  <c r="S332" i="1" s="1"/>
  <c r="T332" i="1" s="1"/>
  <c r="R333" i="1"/>
  <c r="R334" i="1"/>
  <c r="R335" i="1"/>
  <c r="R336" i="1"/>
  <c r="R337" i="1"/>
  <c r="R338" i="1"/>
  <c r="R339" i="1"/>
  <c r="R340" i="1"/>
  <c r="S340" i="1" s="1"/>
  <c r="T340" i="1" s="1"/>
  <c r="R341" i="1"/>
  <c r="R342" i="1"/>
  <c r="R343" i="1"/>
  <c r="R344" i="1"/>
  <c r="R345" i="1"/>
  <c r="R294" i="1"/>
  <c r="X269" i="1"/>
  <c r="K269" i="1"/>
  <c r="R217" i="1"/>
  <c r="R218" i="1"/>
  <c r="R219" i="1"/>
  <c r="R220" i="1"/>
  <c r="R221" i="1"/>
  <c r="R222" i="1"/>
  <c r="R223" i="1"/>
  <c r="R224" i="1"/>
  <c r="S224" i="1" s="1"/>
  <c r="T224" i="1" s="1"/>
  <c r="R225" i="1"/>
  <c r="R226" i="1"/>
  <c r="R227" i="1"/>
  <c r="R228" i="1"/>
  <c r="R229" i="1"/>
  <c r="R230" i="1"/>
  <c r="R231" i="1"/>
  <c r="R232" i="1"/>
  <c r="S232" i="1" s="1"/>
  <c r="T232" i="1" s="1"/>
  <c r="R233" i="1"/>
  <c r="R234" i="1"/>
  <c r="R235" i="1"/>
  <c r="R236" i="1"/>
  <c r="R237" i="1"/>
  <c r="R238" i="1"/>
  <c r="R239" i="1"/>
  <c r="R240" i="1"/>
  <c r="S240" i="1" s="1"/>
  <c r="T240" i="1" s="1"/>
  <c r="R241" i="1"/>
  <c r="R242" i="1"/>
  <c r="R243" i="1"/>
  <c r="R244" i="1"/>
  <c r="R245" i="1"/>
  <c r="R246" i="1"/>
  <c r="R247" i="1"/>
  <c r="R216" i="1"/>
  <c r="S216" i="1" s="1"/>
  <c r="T216" i="1" s="1"/>
  <c r="X248" i="1"/>
  <c r="K248" i="1"/>
  <c r="S367" i="2"/>
  <c r="T367" i="2" s="1"/>
  <c r="O367" i="2"/>
  <c r="S366" i="2"/>
  <c r="T366" i="2" s="1"/>
  <c r="O366" i="2"/>
  <c r="S365" i="2"/>
  <c r="T365" i="2" s="1"/>
  <c r="O365" i="2"/>
  <c r="S364" i="2"/>
  <c r="T364" i="2" s="1"/>
  <c r="O364" i="2"/>
  <c r="S363" i="2"/>
  <c r="T363" i="2" s="1"/>
  <c r="O363" i="2"/>
  <c r="S362" i="2"/>
  <c r="T362" i="2" s="1"/>
  <c r="O362" i="2"/>
  <c r="S361" i="2"/>
  <c r="T361" i="2" s="1"/>
  <c r="O361" i="2"/>
  <c r="S360" i="2"/>
  <c r="T360" i="2" s="1"/>
  <c r="O360" i="2"/>
  <c r="S359" i="2"/>
  <c r="T359" i="2" s="1"/>
  <c r="O359" i="2"/>
  <c r="S358" i="2"/>
  <c r="T358" i="2" s="1"/>
  <c r="O358" i="2"/>
  <c r="S357" i="2"/>
  <c r="T357" i="2" s="1"/>
  <c r="O357" i="2"/>
  <c r="S356" i="2"/>
  <c r="T356" i="2" s="1"/>
  <c r="O356" i="2"/>
  <c r="S355" i="2"/>
  <c r="T355" i="2" s="1"/>
  <c r="O355" i="2"/>
  <c r="T354" i="2"/>
  <c r="S354" i="2"/>
  <c r="O354" i="2"/>
  <c r="S353" i="2"/>
  <c r="T353" i="2" s="1"/>
  <c r="O353" i="2"/>
  <c r="S352" i="2"/>
  <c r="T352" i="2" s="1"/>
  <c r="O352" i="2"/>
  <c r="S351" i="2"/>
  <c r="T351" i="2" s="1"/>
  <c r="O351" i="2"/>
  <c r="S350" i="2"/>
  <c r="T350" i="2" s="1"/>
  <c r="O350" i="2"/>
  <c r="S349" i="2"/>
  <c r="T349" i="2" s="1"/>
  <c r="O349" i="2"/>
  <c r="S348" i="2"/>
  <c r="T348" i="2" s="1"/>
  <c r="O348" i="2"/>
  <c r="S347" i="2"/>
  <c r="T347" i="2" s="1"/>
  <c r="O347" i="2"/>
  <c r="S346" i="2"/>
  <c r="T346" i="2" s="1"/>
  <c r="O346" i="2"/>
  <c r="O345" i="2"/>
  <c r="O344" i="2"/>
  <c r="S343" i="2"/>
  <c r="T343" i="2" s="1"/>
  <c r="O343" i="2"/>
  <c r="S342" i="2"/>
  <c r="T342" i="2" s="1"/>
  <c r="O342" i="2"/>
  <c r="S341" i="2"/>
  <c r="T341" i="2" s="1"/>
  <c r="O341" i="2"/>
  <c r="T340" i="2"/>
  <c r="S340" i="2"/>
  <c r="O340" i="2"/>
  <c r="O339" i="2"/>
  <c r="O338" i="2"/>
  <c r="O337" i="2"/>
  <c r="O336" i="2"/>
  <c r="S335" i="2"/>
  <c r="T335" i="2" s="1"/>
  <c r="O335" i="2"/>
  <c r="S334" i="2"/>
  <c r="T334" i="2" s="1"/>
  <c r="O334" i="2"/>
  <c r="S333" i="2"/>
  <c r="T333" i="2" s="1"/>
  <c r="O333" i="2"/>
  <c r="S332" i="2"/>
  <c r="T332" i="2" s="1"/>
  <c r="O332" i="2"/>
  <c r="O331" i="2"/>
  <c r="O330" i="2"/>
  <c r="O329" i="2"/>
  <c r="O328" i="2"/>
  <c r="S327" i="2"/>
  <c r="T327" i="2" s="1"/>
  <c r="O327" i="2"/>
  <c r="S326" i="2"/>
  <c r="T326" i="2" s="1"/>
  <c r="O326" i="2"/>
  <c r="O325" i="2"/>
  <c r="S324" i="2"/>
  <c r="T324" i="2" s="1"/>
  <c r="O324" i="2"/>
  <c r="S323" i="2"/>
  <c r="T323" i="2" s="1"/>
  <c r="O323" i="2"/>
  <c r="O322" i="2"/>
  <c r="O321" i="2"/>
  <c r="O320" i="2"/>
  <c r="S319" i="2"/>
  <c r="T319" i="2" s="1"/>
  <c r="O319" i="2"/>
  <c r="O318" i="2"/>
  <c r="O317" i="2"/>
  <c r="S316" i="2"/>
  <c r="T316" i="2" s="1"/>
  <c r="O316" i="2"/>
  <c r="O315" i="2"/>
  <c r="O314" i="2"/>
  <c r="O313" i="2"/>
  <c r="O312" i="2"/>
  <c r="O311" i="2"/>
  <c r="O310" i="2"/>
  <c r="S309" i="2"/>
  <c r="T309" i="2" s="1"/>
  <c r="O309" i="2"/>
  <c r="S308" i="2"/>
  <c r="T308" i="2" s="1"/>
  <c r="O308" i="2"/>
  <c r="S307" i="2"/>
  <c r="T307" i="2" s="1"/>
  <c r="O307" i="2"/>
  <c r="T306" i="2"/>
  <c r="S306" i="2"/>
  <c r="O306" i="2"/>
  <c r="O305" i="2"/>
  <c r="O304" i="2"/>
  <c r="S303" i="2"/>
  <c r="T303" i="2" s="1"/>
  <c r="O303" i="2"/>
  <c r="S302" i="2"/>
  <c r="T302" i="2" s="1"/>
  <c r="O302" i="2"/>
  <c r="S301" i="2"/>
  <c r="T301" i="2" s="1"/>
  <c r="O301" i="2"/>
  <c r="S300" i="2"/>
  <c r="T300" i="2" s="1"/>
  <c r="O300" i="2"/>
  <c r="S299" i="2"/>
  <c r="T299" i="2" s="1"/>
  <c r="O299" i="2"/>
  <c r="O298" i="2"/>
  <c r="S297" i="2"/>
  <c r="T297" i="2" s="1"/>
  <c r="O297" i="2"/>
  <c r="S296" i="2"/>
  <c r="T296" i="2" s="1"/>
  <c r="O296" i="2"/>
  <c r="S295" i="2"/>
  <c r="T295" i="2" s="1"/>
  <c r="O295" i="2"/>
  <c r="S294" i="2"/>
  <c r="T294" i="2" s="1"/>
  <c r="O294" i="2"/>
  <c r="S293" i="2"/>
  <c r="T293" i="2" s="1"/>
  <c r="O293" i="2"/>
  <c r="S292" i="2"/>
  <c r="T292" i="2" s="1"/>
  <c r="O292" i="2"/>
  <c r="S291" i="2"/>
  <c r="T291" i="2" s="1"/>
  <c r="O291" i="2"/>
  <c r="S290" i="2"/>
  <c r="T290" i="2" s="1"/>
  <c r="O290" i="2"/>
  <c r="S289" i="2"/>
  <c r="T289" i="2" s="1"/>
  <c r="O289" i="2"/>
  <c r="S288" i="2"/>
  <c r="T288" i="2" s="1"/>
  <c r="O288" i="2"/>
  <c r="S287" i="2"/>
  <c r="T287" i="2" s="1"/>
  <c r="O287" i="2"/>
  <c r="S286" i="2"/>
  <c r="T286" i="2" s="1"/>
  <c r="O286" i="2"/>
  <c r="S285" i="2"/>
  <c r="T285" i="2" s="1"/>
  <c r="O285" i="2"/>
  <c r="S284" i="2"/>
  <c r="T284" i="2" s="1"/>
  <c r="O284" i="2"/>
  <c r="S283" i="2"/>
  <c r="T283" i="2" s="1"/>
  <c r="O283" i="2"/>
  <c r="S282" i="2"/>
  <c r="T282" i="2" s="1"/>
  <c r="O282" i="2"/>
  <c r="S281" i="2"/>
  <c r="T281" i="2" s="1"/>
  <c r="O281" i="2"/>
  <c r="S280" i="2"/>
  <c r="T280" i="2" s="1"/>
  <c r="O280" i="2"/>
  <c r="S279" i="2"/>
  <c r="T279" i="2" s="1"/>
  <c r="O279" i="2"/>
  <c r="S278" i="2"/>
  <c r="T278" i="2" s="1"/>
  <c r="O278" i="2"/>
  <c r="T277" i="2"/>
  <c r="S277" i="2"/>
  <c r="O277" i="2"/>
  <c r="S276" i="2"/>
  <c r="T276" i="2" s="1"/>
  <c r="O276" i="2"/>
  <c r="S275" i="2"/>
  <c r="T275" i="2" s="1"/>
  <c r="O275" i="2"/>
  <c r="S274" i="2"/>
  <c r="T274" i="2" s="1"/>
  <c r="O274" i="2"/>
  <c r="S273" i="2"/>
  <c r="T273" i="2" s="1"/>
  <c r="O273" i="2"/>
  <c r="S272" i="2"/>
  <c r="T272" i="2" s="1"/>
  <c r="O272" i="2"/>
  <c r="S271" i="2"/>
  <c r="T271" i="2" s="1"/>
  <c r="O271" i="2"/>
  <c r="S270" i="2"/>
  <c r="T270" i="2" s="1"/>
  <c r="O270" i="2"/>
  <c r="S269" i="2"/>
  <c r="T269" i="2" s="1"/>
  <c r="O269" i="2"/>
  <c r="S268" i="2"/>
  <c r="T268" i="2" s="1"/>
  <c r="O268" i="2"/>
  <c r="S267" i="2"/>
  <c r="T267" i="2" s="1"/>
  <c r="O267" i="2"/>
  <c r="S266" i="2"/>
  <c r="T266" i="2" s="1"/>
  <c r="O266" i="2"/>
  <c r="S265" i="2"/>
  <c r="T265" i="2" s="1"/>
  <c r="O265" i="2"/>
  <c r="S264" i="2"/>
  <c r="T264" i="2" s="1"/>
  <c r="O264" i="2"/>
  <c r="S263" i="2"/>
  <c r="T263" i="2" s="1"/>
  <c r="O263" i="2"/>
  <c r="S262" i="2"/>
  <c r="T262" i="2" s="1"/>
  <c r="O262" i="2"/>
  <c r="S261" i="2"/>
  <c r="T261" i="2" s="1"/>
  <c r="O261" i="2"/>
  <c r="S260" i="2"/>
  <c r="T260" i="2" s="1"/>
  <c r="O260" i="2"/>
  <c r="S259" i="2"/>
  <c r="T259" i="2" s="1"/>
  <c r="O259" i="2"/>
  <c r="T258" i="2"/>
  <c r="S258" i="2"/>
  <c r="O258" i="2"/>
  <c r="S257" i="2"/>
  <c r="T257" i="2" s="1"/>
  <c r="O257" i="2"/>
  <c r="S256" i="2"/>
  <c r="T256" i="2" s="1"/>
  <c r="O256" i="2"/>
  <c r="S255" i="2"/>
  <c r="T255" i="2" s="1"/>
  <c r="O255" i="2"/>
  <c r="S254" i="2"/>
  <c r="T254" i="2" s="1"/>
  <c r="O254" i="2"/>
  <c r="S253" i="2"/>
  <c r="T253" i="2" s="1"/>
  <c r="O253" i="2"/>
  <c r="S252" i="2"/>
  <c r="T252" i="2" s="1"/>
  <c r="O252" i="2"/>
  <c r="S251" i="2"/>
  <c r="T251" i="2" s="1"/>
  <c r="O251" i="2"/>
  <c r="S250" i="2"/>
  <c r="T250" i="2" s="1"/>
  <c r="O250" i="2"/>
  <c r="O249" i="2"/>
  <c r="O248" i="2"/>
  <c r="O247" i="2"/>
  <c r="S246" i="2"/>
  <c r="T246" i="2" s="1"/>
  <c r="O246" i="2"/>
  <c r="S245" i="2"/>
  <c r="T245" i="2" s="1"/>
  <c r="O245" i="2"/>
  <c r="O244" i="2"/>
  <c r="S243" i="2"/>
  <c r="T243" i="2" s="1"/>
  <c r="O243" i="2"/>
  <c r="S242" i="2"/>
  <c r="T242" i="2" s="1"/>
  <c r="O242" i="2"/>
  <c r="S241" i="2"/>
  <c r="T241" i="2" s="1"/>
  <c r="O241" i="2"/>
  <c r="O240" i="2"/>
  <c r="O239" i="2"/>
  <c r="S238" i="2"/>
  <c r="T238" i="2" s="1"/>
  <c r="O238" i="2"/>
  <c r="S237" i="2"/>
  <c r="T237" i="2" s="1"/>
  <c r="O237" i="2"/>
  <c r="S236" i="2"/>
  <c r="T236" i="2" s="1"/>
  <c r="O236" i="2"/>
  <c r="S235" i="2"/>
  <c r="T235" i="2" s="1"/>
  <c r="O235" i="2"/>
  <c r="S234" i="2"/>
  <c r="T234" i="2" s="1"/>
  <c r="O234" i="2"/>
  <c r="S233" i="2"/>
  <c r="T233" i="2" s="1"/>
  <c r="O233" i="2"/>
  <c r="O232" i="2"/>
  <c r="O231" i="2"/>
  <c r="S230" i="2"/>
  <c r="T230" i="2" s="1"/>
  <c r="O230" i="2"/>
  <c r="S229" i="2"/>
  <c r="T229" i="2" s="1"/>
  <c r="O229" i="2"/>
  <c r="S228" i="2"/>
  <c r="T228" i="2" s="1"/>
  <c r="O228" i="2"/>
  <c r="S227" i="2"/>
  <c r="T227" i="2" s="1"/>
  <c r="O227" i="2"/>
  <c r="S226" i="2"/>
  <c r="T226" i="2" s="1"/>
  <c r="O226" i="2"/>
  <c r="S225" i="2"/>
  <c r="T225" i="2" s="1"/>
  <c r="O225" i="2"/>
  <c r="O224" i="2"/>
  <c r="O223" i="2"/>
  <c r="S222" i="2"/>
  <c r="T222" i="2" s="1"/>
  <c r="O222" i="2"/>
  <c r="S221" i="2"/>
  <c r="T221" i="2" s="1"/>
  <c r="O221" i="2"/>
  <c r="S220" i="2"/>
  <c r="T220" i="2" s="1"/>
  <c r="O220" i="2"/>
  <c r="S219" i="2"/>
  <c r="T219" i="2" s="1"/>
  <c r="O219" i="2"/>
  <c r="T218" i="2"/>
  <c r="S218" i="2"/>
  <c r="O218" i="2"/>
  <c r="S217" i="2"/>
  <c r="T217" i="2" s="1"/>
  <c r="O217" i="2"/>
  <c r="X216" i="2"/>
  <c r="X217" i="2" s="1"/>
  <c r="X218" i="2" s="1"/>
  <c r="X219" i="2" s="1"/>
  <c r="X220" i="2" s="1"/>
  <c r="X221" i="2" s="1"/>
  <c r="X222" i="2" s="1"/>
  <c r="X223" i="2" s="1"/>
  <c r="X224" i="2" s="1"/>
  <c r="X225" i="2" s="1"/>
  <c r="X226" i="2" s="1"/>
  <c r="X227" i="2" s="1"/>
  <c r="X228" i="2" s="1"/>
  <c r="X229" i="2" s="1"/>
  <c r="X230" i="2" s="1"/>
  <c r="X231" i="2" s="1"/>
  <c r="X232" i="2" s="1"/>
  <c r="X233" i="2" s="1"/>
  <c r="X234" i="2" s="1"/>
  <c r="X235" i="2" s="1"/>
  <c r="X236" i="2" s="1"/>
  <c r="X237" i="2" s="1"/>
  <c r="X238" i="2" s="1"/>
  <c r="X239" i="2" s="1"/>
  <c r="X240" i="2" s="1"/>
  <c r="X241" i="2" s="1"/>
  <c r="X242" i="2" s="1"/>
  <c r="X243" i="2" s="1"/>
  <c r="X244" i="2" s="1"/>
  <c r="X245" i="2" s="1"/>
  <c r="X246" i="2" s="1"/>
  <c r="X247" i="2" s="1"/>
  <c r="X248" i="2" s="1"/>
  <c r="X249" i="2" s="1"/>
  <c r="X250" i="2" s="1"/>
  <c r="O216" i="2"/>
  <c r="K216" i="2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S215" i="2"/>
  <c r="T215" i="2" s="1"/>
  <c r="O215" i="2"/>
  <c r="K215" i="2"/>
  <c r="J215" i="2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S214" i="2"/>
  <c r="T214" i="2" s="1"/>
  <c r="O214" i="2"/>
  <c r="S213" i="2"/>
  <c r="T213" i="2" s="1"/>
  <c r="O213" i="2"/>
  <c r="S212" i="2"/>
  <c r="T212" i="2" s="1"/>
  <c r="O212" i="2"/>
  <c r="S211" i="2"/>
  <c r="T211" i="2" s="1"/>
  <c r="O211" i="2"/>
  <c r="S210" i="2"/>
  <c r="T210" i="2" s="1"/>
  <c r="O210" i="2"/>
  <c r="S209" i="2"/>
  <c r="T209" i="2" s="1"/>
  <c r="O209" i="2"/>
  <c r="S208" i="2"/>
  <c r="T208" i="2" s="1"/>
  <c r="O208" i="2"/>
  <c r="S207" i="2"/>
  <c r="T207" i="2" s="1"/>
  <c r="O207" i="2"/>
  <c r="S206" i="2"/>
  <c r="T206" i="2" s="1"/>
  <c r="O206" i="2"/>
  <c r="S205" i="2"/>
  <c r="T205" i="2" s="1"/>
  <c r="O205" i="2"/>
  <c r="S204" i="2"/>
  <c r="T204" i="2" s="1"/>
  <c r="O204" i="2"/>
  <c r="S203" i="2"/>
  <c r="T203" i="2" s="1"/>
  <c r="O203" i="2"/>
  <c r="S202" i="2"/>
  <c r="T202" i="2" s="1"/>
  <c r="O202" i="2"/>
  <c r="S201" i="2"/>
  <c r="T201" i="2" s="1"/>
  <c r="O201" i="2"/>
  <c r="T200" i="2"/>
  <c r="S200" i="2"/>
  <c r="O200" i="2"/>
  <c r="S199" i="2"/>
  <c r="T199" i="2" s="1"/>
  <c r="O199" i="2"/>
  <c r="S198" i="2"/>
  <c r="T198" i="2" s="1"/>
  <c r="O198" i="2"/>
  <c r="S197" i="2"/>
  <c r="T197" i="2" s="1"/>
  <c r="O197" i="2"/>
  <c r="S196" i="2"/>
  <c r="T196" i="2" s="1"/>
  <c r="O196" i="2"/>
  <c r="S195" i="2"/>
  <c r="T195" i="2" s="1"/>
  <c r="O195" i="2"/>
  <c r="S194" i="2"/>
  <c r="T194" i="2" s="1"/>
  <c r="O194" i="2"/>
  <c r="S193" i="2"/>
  <c r="T193" i="2" s="1"/>
  <c r="O193" i="2"/>
  <c r="S192" i="2"/>
  <c r="T192" i="2" s="1"/>
  <c r="O192" i="2"/>
  <c r="S191" i="2"/>
  <c r="T191" i="2" s="1"/>
  <c r="O191" i="2"/>
  <c r="S190" i="2"/>
  <c r="T190" i="2" s="1"/>
  <c r="O190" i="2"/>
  <c r="T189" i="2"/>
  <c r="S189" i="2"/>
  <c r="O189" i="2"/>
  <c r="S188" i="2"/>
  <c r="T188" i="2" s="1"/>
  <c r="O188" i="2"/>
  <c r="T187" i="2"/>
  <c r="S187" i="2"/>
  <c r="O187" i="2"/>
  <c r="S186" i="2"/>
  <c r="T186" i="2" s="1"/>
  <c r="O186" i="2"/>
  <c r="S185" i="2"/>
  <c r="T185" i="2" s="1"/>
  <c r="O185" i="2"/>
  <c r="S184" i="2"/>
  <c r="T184" i="2" s="1"/>
  <c r="O184" i="2"/>
  <c r="S183" i="2"/>
  <c r="T183" i="2" s="1"/>
  <c r="O183" i="2"/>
  <c r="S182" i="2"/>
  <c r="T182" i="2" s="1"/>
  <c r="O182" i="2"/>
  <c r="S181" i="2"/>
  <c r="T181" i="2" s="1"/>
  <c r="O181" i="2"/>
  <c r="S180" i="2"/>
  <c r="T180" i="2" s="1"/>
  <c r="O180" i="2"/>
  <c r="S179" i="2"/>
  <c r="T179" i="2" s="1"/>
  <c r="O179" i="2"/>
  <c r="S178" i="2"/>
  <c r="T178" i="2" s="1"/>
  <c r="O178" i="2"/>
  <c r="S177" i="2"/>
  <c r="T177" i="2" s="1"/>
  <c r="O177" i="2"/>
  <c r="S176" i="2"/>
  <c r="T176" i="2" s="1"/>
  <c r="O176" i="2"/>
  <c r="S175" i="2"/>
  <c r="T175" i="2" s="1"/>
  <c r="O175" i="2"/>
  <c r="S174" i="2"/>
  <c r="T174" i="2" s="1"/>
  <c r="O174" i="2"/>
  <c r="S173" i="2"/>
  <c r="T173" i="2" s="1"/>
  <c r="O173" i="2"/>
  <c r="S172" i="2"/>
  <c r="T172" i="2" s="1"/>
  <c r="O172" i="2"/>
  <c r="S171" i="2"/>
  <c r="T171" i="2" s="1"/>
  <c r="O171" i="2"/>
  <c r="S170" i="2"/>
  <c r="T170" i="2" s="1"/>
  <c r="O170" i="2"/>
  <c r="S169" i="2"/>
  <c r="T169" i="2" s="1"/>
  <c r="O169" i="2"/>
  <c r="S168" i="2"/>
  <c r="T168" i="2" s="1"/>
  <c r="O168" i="2"/>
  <c r="S167" i="2"/>
  <c r="T167" i="2" s="1"/>
  <c r="O167" i="2"/>
  <c r="S166" i="2"/>
  <c r="T166" i="2" s="1"/>
  <c r="O166" i="2"/>
  <c r="S165" i="2"/>
  <c r="T165" i="2" s="1"/>
  <c r="O165" i="2"/>
  <c r="S164" i="2"/>
  <c r="T164" i="2" s="1"/>
  <c r="O164" i="2"/>
  <c r="S163" i="2"/>
  <c r="T163" i="2" s="1"/>
  <c r="O163" i="2"/>
  <c r="S162" i="2"/>
  <c r="T162" i="2" s="1"/>
  <c r="O162" i="2"/>
  <c r="S161" i="2"/>
  <c r="T161" i="2" s="1"/>
  <c r="O161" i="2"/>
  <c r="S160" i="2"/>
  <c r="T160" i="2" s="1"/>
  <c r="O160" i="2"/>
  <c r="S159" i="2"/>
  <c r="T159" i="2" s="1"/>
  <c r="O159" i="2"/>
  <c r="S158" i="2"/>
  <c r="T158" i="2" s="1"/>
  <c r="O158" i="2"/>
  <c r="S157" i="2"/>
  <c r="T157" i="2" s="1"/>
  <c r="O157" i="2"/>
  <c r="S156" i="2"/>
  <c r="T156" i="2" s="1"/>
  <c r="O156" i="2"/>
  <c r="S155" i="2"/>
  <c r="T155" i="2" s="1"/>
  <c r="O155" i="2"/>
  <c r="S154" i="2"/>
  <c r="T154" i="2" s="1"/>
  <c r="O154" i="2"/>
  <c r="S153" i="2"/>
  <c r="T153" i="2" s="1"/>
  <c r="O153" i="2"/>
  <c r="T152" i="2"/>
  <c r="S152" i="2"/>
  <c r="O152" i="2"/>
  <c r="S151" i="2"/>
  <c r="T151" i="2" s="1"/>
  <c r="O151" i="2"/>
  <c r="S150" i="2"/>
  <c r="T150" i="2" s="1"/>
  <c r="O150" i="2"/>
  <c r="S149" i="2"/>
  <c r="T149" i="2" s="1"/>
  <c r="O149" i="2"/>
  <c r="S148" i="2"/>
  <c r="T148" i="2" s="1"/>
  <c r="O148" i="2"/>
  <c r="S147" i="2"/>
  <c r="T147" i="2" s="1"/>
  <c r="O147" i="2"/>
  <c r="S146" i="2"/>
  <c r="T146" i="2" s="1"/>
  <c r="O146" i="2"/>
  <c r="S145" i="2"/>
  <c r="T145" i="2" s="1"/>
  <c r="O145" i="2"/>
  <c r="S144" i="2"/>
  <c r="T144" i="2" s="1"/>
  <c r="O144" i="2"/>
  <c r="S143" i="2"/>
  <c r="T143" i="2" s="1"/>
  <c r="O143" i="2"/>
  <c r="S142" i="2"/>
  <c r="T142" i="2" s="1"/>
  <c r="O142" i="2"/>
  <c r="S141" i="2"/>
  <c r="T141" i="2" s="1"/>
  <c r="O141" i="2"/>
  <c r="S140" i="2"/>
  <c r="T140" i="2" s="1"/>
  <c r="O140" i="2"/>
  <c r="S139" i="2"/>
  <c r="T139" i="2" s="1"/>
  <c r="O139" i="2"/>
  <c r="S138" i="2"/>
  <c r="T138" i="2" s="1"/>
  <c r="O138" i="2"/>
  <c r="S137" i="2"/>
  <c r="T137" i="2" s="1"/>
  <c r="O137" i="2"/>
  <c r="S136" i="2"/>
  <c r="T136" i="2" s="1"/>
  <c r="O136" i="2"/>
  <c r="S135" i="2"/>
  <c r="T135" i="2" s="1"/>
  <c r="O135" i="2"/>
  <c r="S134" i="2"/>
  <c r="T134" i="2" s="1"/>
  <c r="O134" i="2"/>
  <c r="T133" i="2"/>
  <c r="S133" i="2"/>
  <c r="O133" i="2"/>
  <c r="S132" i="2"/>
  <c r="T132" i="2" s="1"/>
  <c r="O132" i="2"/>
  <c r="S131" i="2"/>
  <c r="T131" i="2" s="1"/>
  <c r="O131" i="2"/>
  <c r="S130" i="2"/>
  <c r="T130" i="2" s="1"/>
  <c r="O130" i="2"/>
  <c r="S129" i="2"/>
  <c r="T129" i="2" s="1"/>
  <c r="O129" i="2"/>
  <c r="T128" i="2"/>
  <c r="S128" i="2"/>
  <c r="O128" i="2"/>
  <c r="S127" i="2"/>
  <c r="T127" i="2" s="1"/>
  <c r="O127" i="2"/>
  <c r="S126" i="2"/>
  <c r="T126" i="2" s="1"/>
  <c r="O126" i="2"/>
  <c r="S125" i="2"/>
  <c r="T125" i="2" s="1"/>
  <c r="O125" i="2"/>
  <c r="S124" i="2"/>
  <c r="T124" i="2" s="1"/>
  <c r="O124" i="2"/>
  <c r="X123" i="2"/>
  <c r="X124" i="2" s="1"/>
  <c r="X125" i="2" s="1"/>
  <c r="X126" i="2" s="1"/>
  <c r="X127" i="2" s="1"/>
  <c r="X128" i="2" s="1"/>
  <c r="X129" i="2" s="1"/>
  <c r="X130" i="2" s="1"/>
  <c r="X131" i="2" s="1"/>
  <c r="X132" i="2" s="1"/>
  <c r="X133" i="2" s="1"/>
  <c r="X134" i="2" s="1"/>
  <c r="X135" i="2" s="1"/>
  <c r="X136" i="2" s="1"/>
  <c r="X137" i="2" s="1"/>
  <c r="X138" i="2" s="1"/>
  <c r="X139" i="2" s="1"/>
  <c r="X140" i="2" s="1"/>
  <c r="X141" i="2" s="1"/>
  <c r="X142" i="2" s="1"/>
  <c r="X143" i="2" s="1"/>
  <c r="X144" i="2" s="1"/>
  <c r="X145" i="2" s="1"/>
  <c r="X146" i="2" s="1"/>
  <c r="X147" i="2" s="1"/>
  <c r="X148" i="2" s="1"/>
  <c r="X149" i="2" s="1"/>
  <c r="X150" i="2" s="1"/>
  <c r="X151" i="2" s="1"/>
  <c r="X152" i="2" s="1"/>
  <c r="X153" i="2" s="1"/>
  <c r="X154" i="2" s="1"/>
  <c r="X155" i="2" s="1"/>
  <c r="X156" i="2" s="1"/>
  <c r="X157" i="2" s="1"/>
  <c r="X158" i="2" s="1"/>
  <c r="X159" i="2" s="1"/>
  <c r="X160" i="2" s="1"/>
  <c r="X161" i="2" s="1"/>
  <c r="X162" i="2" s="1"/>
  <c r="X163" i="2" s="1"/>
  <c r="X164" i="2" s="1"/>
  <c r="X165" i="2" s="1"/>
  <c r="X166" i="2" s="1"/>
  <c r="X167" i="2" s="1"/>
  <c r="X168" i="2" s="1"/>
  <c r="X169" i="2" s="1"/>
  <c r="X170" i="2" s="1"/>
  <c r="X171" i="2" s="1"/>
  <c r="X172" i="2" s="1"/>
  <c r="X173" i="2" s="1"/>
  <c r="X174" i="2" s="1"/>
  <c r="X175" i="2" s="1"/>
  <c r="X176" i="2" s="1"/>
  <c r="X177" i="2" s="1"/>
  <c r="X178" i="2" s="1"/>
  <c r="X179" i="2" s="1"/>
  <c r="X180" i="2" s="1"/>
  <c r="X181" i="2" s="1"/>
  <c r="X182" i="2" s="1"/>
  <c r="X183" i="2" s="1"/>
  <c r="X184" i="2" s="1"/>
  <c r="X185" i="2" s="1"/>
  <c r="X186" i="2" s="1"/>
  <c r="X187" i="2" s="1"/>
  <c r="X188" i="2" s="1"/>
  <c r="X189" i="2" s="1"/>
  <c r="X190" i="2" s="1"/>
  <c r="X191" i="2" s="1"/>
  <c r="X192" i="2" s="1"/>
  <c r="X193" i="2" s="1"/>
  <c r="X194" i="2" s="1"/>
  <c r="X195" i="2" s="1"/>
  <c r="X196" i="2" s="1"/>
  <c r="X197" i="2" s="1"/>
  <c r="X198" i="2" s="1"/>
  <c r="X199" i="2" s="1"/>
  <c r="X200" i="2" s="1"/>
  <c r="X201" i="2" s="1"/>
  <c r="X202" i="2" s="1"/>
  <c r="X203" i="2" s="1"/>
  <c r="X204" i="2" s="1"/>
  <c r="X205" i="2" s="1"/>
  <c r="X206" i="2" s="1"/>
  <c r="X207" i="2" s="1"/>
  <c r="X208" i="2" s="1"/>
  <c r="X209" i="2" s="1"/>
  <c r="X210" i="2" s="1"/>
  <c r="X211" i="2" s="1"/>
  <c r="X212" i="2" s="1"/>
  <c r="X213" i="2" s="1"/>
  <c r="X214" i="2" s="1"/>
  <c r="X215" i="2" s="1"/>
  <c r="S123" i="2"/>
  <c r="T123" i="2" s="1"/>
  <c r="O123" i="2"/>
  <c r="K123" i="2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R122" i="2"/>
  <c r="S122" i="2" s="1"/>
  <c r="T122" i="2" s="1"/>
  <c r="O122" i="2"/>
  <c r="R121" i="2"/>
  <c r="S121" i="2" s="1"/>
  <c r="T121" i="2" s="1"/>
  <c r="O121" i="2"/>
  <c r="R120" i="2"/>
  <c r="S120" i="2" s="1"/>
  <c r="T120" i="2" s="1"/>
  <c r="O120" i="2"/>
  <c r="R119" i="2"/>
  <c r="S119" i="2" s="1"/>
  <c r="T119" i="2" s="1"/>
  <c r="O119" i="2"/>
  <c r="R118" i="2"/>
  <c r="S118" i="2" s="1"/>
  <c r="T118" i="2" s="1"/>
  <c r="O118" i="2"/>
  <c r="R117" i="2"/>
  <c r="S117" i="2" s="1"/>
  <c r="T117" i="2" s="1"/>
  <c r="O117" i="2"/>
  <c r="R116" i="2"/>
  <c r="S116" i="2" s="1"/>
  <c r="T116" i="2" s="1"/>
  <c r="O116" i="2"/>
  <c r="R115" i="2"/>
  <c r="S115" i="2" s="1"/>
  <c r="T115" i="2" s="1"/>
  <c r="O115" i="2"/>
  <c r="R114" i="2"/>
  <c r="S114" i="2" s="1"/>
  <c r="T114" i="2" s="1"/>
  <c r="O114" i="2"/>
  <c r="R113" i="2"/>
  <c r="S113" i="2" s="1"/>
  <c r="T113" i="2" s="1"/>
  <c r="O113" i="2"/>
  <c r="R112" i="2"/>
  <c r="S112" i="2" s="1"/>
  <c r="T112" i="2" s="1"/>
  <c r="O112" i="2"/>
  <c r="R111" i="2"/>
  <c r="S111" i="2" s="1"/>
  <c r="T111" i="2" s="1"/>
  <c r="O111" i="2"/>
  <c r="R110" i="2"/>
  <c r="S110" i="2" s="1"/>
  <c r="T110" i="2" s="1"/>
  <c r="O110" i="2"/>
  <c r="R109" i="2"/>
  <c r="S109" i="2" s="1"/>
  <c r="T109" i="2" s="1"/>
  <c r="O109" i="2"/>
  <c r="R108" i="2"/>
  <c r="S108" i="2" s="1"/>
  <c r="T108" i="2" s="1"/>
  <c r="O108" i="2"/>
  <c r="R107" i="2"/>
  <c r="S107" i="2" s="1"/>
  <c r="T107" i="2" s="1"/>
  <c r="O107" i="2"/>
  <c r="R106" i="2"/>
  <c r="S106" i="2" s="1"/>
  <c r="T106" i="2" s="1"/>
  <c r="O106" i="2"/>
  <c r="R105" i="2"/>
  <c r="S105" i="2" s="1"/>
  <c r="T105" i="2" s="1"/>
  <c r="O105" i="2"/>
  <c r="R104" i="2"/>
  <c r="S104" i="2" s="1"/>
  <c r="T104" i="2" s="1"/>
  <c r="O104" i="2"/>
  <c r="R103" i="2"/>
  <c r="S103" i="2" s="1"/>
  <c r="T103" i="2" s="1"/>
  <c r="O103" i="2"/>
  <c r="R102" i="2"/>
  <c r="S102" i="2" s="1"/>
  <c r="T102" i="2" s="1"/>
  <c r="O102" i="2"/>
  <c r="R101" i="2"/>
  <c r="S101" i="2" s="1"/>
  <c r="T101" i="2" s="1"/>
  <c r="O101" i="2"/>
  <c r="R100" i="2"/>
  <c r="S100" i="2" s="1"/>
  <c r="T100" i="2" s="1"/>
  <c r="O100" i="2"/>
  <c r="R99" i="2"/>
  <c r="S99" i="2" s="1"/>
  <c r="T99" i="2" s="1"/>
  <c r="O99" i="2"/>
  <c r="R98" i="2"/>
  <c r="S98" i="2" s="1"/>
  <c r="T98" i="2" s="1"/>
  <c r="O98" i="2"/>
  <c r="R97" i="2"/>
  <c r="S97" i="2" s="1"/>
  <c r="T97" i="2" s="1"/>
  <c r="O97" i="2"/>
  <c r="R96" i="2"/>
  <c r="S96" i="2" s="1"/>
  <c r="T96" i="2" s="1"/>
  <c r="O96" i="2"/>
  <c r="R95" i="2"/>
  <c r="S95" i="2" s="1"/>
  <c r="T95" i="2" s="1"/>
  <c r="O95" i="2"/>
  <c r="R94" i="2"/>
  <c r="S94" i="2" s="1"/>
  <c r="T94" i="2" s="1"/>
  <c r="O94" i="2"/>
  <c r="R93" i="2"/>
  <c r="S93" i="2" s="1"/>
  <c r="T93" i="2" s="1"/>
  <c r="O93" i="2"/>
  <c r="R92" i="2"/>
  <c r="S92" i="2" s="1"/>
  <c r="T92" i="2" s="1"/>
  <c r="O92" i="2"/>
  <c r="R91" i="2"/>
  <c r="S91" i="2" s="1"/>
  <c r="T91" i="2" s="1"/>
  <c r="O91" i="2"/>
  <c r="R90" i="2"/>
  <c r="S90" i="2" s="1"/>
  <c r="T90" i="2" s="1"/>
  <c r="O90" i="2"/>
  <c r="R89" i="2"/>
  <c r="S89" i="2" s="1"/>
  <c r="T89" i="2" s="1"/>
  <c r="O89" i="2"/>
  <c r="R88" i="2"/>
  <c r="S88" i="2" s="1"/>
  <c r="T88" i="2" s="1"/>
  <c r="O88" i="2"/>
  <c r="R87" i="2"/>
  <c r="S87" i="2" s="1"/>
  <c r="T87" i="2" s="1"/>
  <c r="O87" i="2"/>
  <c r="R86" i="2"/>
  <c r="S86" i="2" s="1"/>
  <c r="T86" i="2" s="1"/>
  <c r="O86" i="2"/>
  <c r="R85" i="2"/>
  <c r="S85" i="2" s="1"/>
  <c r="T85" i="2" s="1"/>
  <c r="O85" i="2"/>
  <c r="R84" i="2"/>
  <c r="S84" i="2" s="1"/>
  <c r="T84" i="2" s="1"/>
  <c r="O84" i="2"/>
  <c r="R83" i="2"/>
  <c r="S83" i="2" s="1"/>
  <c r="T83" i="2" s="1"/>
  <c r="O83" i="2"/>
  <c r="R82" i="2"/>
  <c r="S82" i="2" s="1"/>
  <c r="T82" i="2" s="1"/>
  <c r="O82" i="2"/>
  <c r="R81" i="2"/>
  <c r="S81" i="2" s="1"/>
  <c r="T81" i="2" s="1"/>
  <c r="O81" i="2"/>
  <c r="R80" i="2"/>
  <c r="S80" i="2" s="1"/>
  <c r="T80" i="2" s="1"/>
  <c r="O80" i="2"/>
  <c r="R79" i="2"/>
  <c r="S79" i="2" s="1"/>
  <c r="T79" i="2" s="1"/>
  <c r="O79" i="2"/>
  <c r="R78" i="2"/>
  <c r="S78" i="2" s="1"/>
  <c r="T78" i="2" s="1"/>
  <c r="O78" i="2"/>
  <c r="R77" i="2"/>
  <c r="S77" i="2" s="1"/>
  <c r="T77" i="2" s="1"/>
  <c r="O77" i="2"/>
  <c r="R76" i="2"/>
  <c r="S76" i="2" s="1"/>
  <c r="T76" i="2" s="1"/>
  <c r="O76" i="2"/>
  <c r="R75" i="2"/>
  <c r="S75" i="2" s="1"/>
  <c r="T75" i="2" s="1"/>
  <c r="O75" i="2"/>
  <c r="R74" i="2"/>
  <c r="S74" i="2" s="1"/>
  <c r="T74" i="2" s="1"/>
  <c r="O74" i="2"/>
  <c r="R73" i="2"/>
  <c r="S73" i="2" s="1"/>
  <c r="T73" i="2" s="1"/>
  <c r="O73" i="2"/>
  <c r="R72" i="2"/>
  <c r="S72" i="2" s="1"/>
  <c r="T72" i="2" s="1"/>
  <c r="O72" i="2"/>
  <c r="R71" i="2"/>
  <c r="S71" i="2" s="1"/>
  <c r="T71" i="2" s="1"/>
  <c r="O71" i="2"/>
  <c r="R70" i="2"/>
  <c r="S70" i="2" s="1"/>
  <c r="T70" i="2" s="1"/>
  <c r="O70" i="2"/>
  <c r="R69" i="2"/>
  <c r="S69" i="2" s="1"/>
  <c r="T69" i="2" s="1"/>
  <c r="O69" i="2"/>
  <c r="R68" i="2"/>
  <c r="S68" i="2" s="1"/>
  <c r="T68" i="2" s="1"/>
  <c r="O68" i="2"/>
  <c r="R67" i="2"/>
  <c r="S67" i="2" s="1"/>
  <c r="T67" i="2" s="1"/>
  <c r="O67" i="2"/>
  <c r="R66" i="2"/>
  <c r="S66" i="2" s="1"/>
  <c r="T66" i="2" s="1"/>
  <c r="O66" i="2"/>
  <c r="R65" i="2"/>
  <c r="S65" i="2" s="1"/>
  <c r="T65" i="2" s="1"/>
  <c r="O65" i="2"/>
  <c r="R64" i="2"/>
  <c r="S64" i="2" s="1"/>
  <c r="T64" i="2" s="1"/>
  <c r="O64" i="2"/>
  <c r="R63" i="2"/>
  <c r="S63" i="2" s="1"/>
  <c r="T63" i="2" s="1"/>
  <c r="O63" i="2"/>
  <c r="T62" i="2"/>
  <c r="R62" i="2"/>
  <c r="S62" i="2" s="1"/>
  <c r="O62" i="2"/>
  <c r="R61" i="2"/>
  <c r="S61" i="2" s="1"/>
  <c r="T61" i="2" s="1"/>
  <c r="O61" i="2"/>
  <c r="R60" i="2"/>
  <c r="S60" i="2" s="1"/>
  <c r="T60" i="2" s="1"/>
  <c r="O60" i="2"/>
  <c r="R59" i="2"/>
  <c r="S59" i="2" s="1"/>
  <c r="T59" i="2" s="1"/>
  <c r="O59" i="2"/>
  <c r="R58" i="2"/>
  <c r="S58" i="2" s="1"/>
  <c r="T58" i="2" s="1"/>
  <c r="O58" i="2"/>
  <c r="R57" i="2"/>
  <c r="S57" i="2" s="1"/>
  <c r="T57" i="2" s="1"/>
  <c r="O57" i="2"/>
  <c r="R56" i="2"/>
  <c r="S56" i="2" s="1"/>
  <c r="T56" i="2" s="1"/>
  <c r="O56" i="2"/>
  <c r="R55" i="2"/>
  <c r="S55" i="2" s="1"/>
  <c r="T55" i="2" s="1"/>
  <c r="O55" i="2"/>
  <c r="R54" i="2"/>
  <c r="S54" i="2" s="1"/>
  <c r="T54" i="2" s="1"/>
  <c r="O54" i="2"/>
  <c r="R53" i="2"/>
  <c r="S53" i="2" s="1"/>
  <c r="T53" i="2" s="1"/>
  <c r="O53" i="2"/>
  <c r="R52" i="2"/>
  <c r="S52" i="2" s="1"/>
  <c r="T52" i="2" s="1"/>
  <c r="O52" i="2"/>
  <c r="R51" i="2"/>
  <c r="S51" i="2" s="1"/>
  <c r="T51" i="2" s="1"/>
  <c r="O51" i="2"/>
  <c r="R50" i="2"/>
  <c r="S50" i="2" s="1"/>
  <c r="T50" i="2" s="1"/>
  <c r="O50" i="2"/>
  <c r="R49" i="2"/>
  <c r="S49" i="2" s="1"/>
  <c r="T49" i="2" s="1"/>
  <c r="O49" i="2"/>
  <c r="S48" i="2"/>
  <c r="T48" i="2" s="1"/>
  <c r="O48" i="2"/>
  <c r="S47" i="2"/>
  <c r="T47" i="2" s="1"/>
  <c r="O47" i="2"/>
  <c r="S46" i="2"/>
  <c r="T46" i="2" s="1"/>
  <c r="O46" i="2"/>
  <c r="S45" i="2"/>
  <c r="T45" i="2" s="1"/>
  <c r="O45" i="2"/>
  <c r="X44" i="2"/>
  <c r="X45" i="2" s="1"/>
  <c r="X46" i="2" s="1"/>
  <c r="X47" i="2" s="1"/>
  <c r="X48" i="2" s="1"/>
  <c r="X49" i="2" s="1"/>
  <c r="X50" i="2" s="1"/>
  <c r="X51" i="2" s="1"/>
  <c r="X52" i="2" s="1"/>
  <c r="X53" i="2" s="1"/>
  <c r="X54" i="2" s="1"/>
  <c r="X55" i="2" s="1"/>
  <c r="X56" i="2" s="1"/>
  <c r="X57" i="2" s="1"/>
  <c r="X58" i="2" s="1"/>
  <c r="X59" i="2" s="1"/>
  <c r="X60" i="2" s="1"/>
  <c r="X61" i="2" s="1"/>
  <c r="X62" i="2" s="1"/>
  <c r="X63" i="2" s="1"/>
  <c r="X64" i="2" s="1"/>
  <c r="X65" i="2" s="1"/>
  <c r="X66" i="2" s="1"/>
  <c r="X67" i="2" s="1"/>
  <c r="X68" i="2" s="1"/>
  <c r="X69" i="2" s="1"/>
  <c r="X70" i="2" s="1"/>
  <c r="X71" i="2" s="1"/>
  <c r="X72" i="2" s="1"/>
  <c r="X73" i="2" s="1"/>
  <c r="X74" i="2" s="1"/>
  <c r="X75" i="2" s="1"/>
  <c r="X76" i="2" s="1"/>
  <c r="X77" i="2" s="1"/>
  <c r="X78" i="2" s="1"/>
  <c r="X79" i="2" s="1"/>
  <c r="X80" i="2" s="1"/>
  <c r="X81" i="2" s="1"/>
  <c r="X82" i="2" s="1"/>
  <c r="X83" i="2" s="1"/>
  <c r="X84" i="2" s="1"/>
  <c r="X85" i="2" s="1"/>
  <c r="X86" i="2" s="1"/>
  <c r="X87" i="2" s="1"/>
  <c r="X88" i="2" s="1"/>
  <c r="X89" i="2" s="1"/>
  <c r="X90" i="2" s="1"/>
  <c r="X91" i="2" s="1"/>
  <c r="X92" i="2" s="1"/>
  <c r="X93" i="2" s="1"/>
  <c r="X94" i="2" s="1"/>
  <c r="X95" i="2" s="1"/>
  <c r="X96" i="2" s="1"/>
  <c r="X97" i="2" s="1"/>
  <c r="X98" i="2" s="1"/>
  <c r="X99" i="2" s="1"/>
  <c r="X100" i="2" s="1"/>
  <c r="X101" i="2" s="1"/>
  <c r="X102" i="2" s="1"/>
  <c r="X103" i="2" s="1"/>
  <c r="X104" i="2" s="1"/>
  <c r="X105" i="2" s="1"/>
  <c r="X106" i="2" s="1"/>
  <c r="X107" i="2" s="1"/>
  <c r="X108" i="2" s="1"/>
  <c r="X109" i="2" s="1"/>
  <c r="X110" i="2" s="1"/>
  <c r="X111" i="2" s="1"/>
  <c r="X112" i="2" s="1"/>
  <c r="X113" i="2" s="1"/>
  <c r="X114" i="2" s="1"/>
  <c r="X115" i="2" s="1"/>
  <c r="X116" i="2" s="1"/>
  <c r="X117" i="2" s="1"/>
  <c r="X118" i="2" s="1"/>
  <c r="X119" i="2" s="1"/>
  <c r="X120" i="2" s="1"/>
  <c r="X121" i="2" s="1"/>
  <c r="X122" i="2" s="1"/>
  <c r="S44" i="2"/>
  <c r="T44" i="2" s="1"/>
  <c r="O44" i="2"/>
  <c r="K44" i="2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J44" i="2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S43" i="2"/>
  <c r="T43" i="2" s="1"/>
  <c r="O43" i="2"/>
  <c r="S42" i="2"/>
  <c r="T42" i="2" s="1"/>
  <c r="O42" i="2"/>
  <c r="S41" i="2"/>
  <c r="T41" i="2" s="1"/>
  <c r="O41" i="2"/>
  <c r="S40" i="2"/>
  <c r="T40" i="2" s="1"/>
  <c r="O40" i="2"/>
  <c r="S39" i="2"/>
  <c r="T39" i="2" s="1"/>
  <c r="O39" i="2"/>
  <c r="S38" i="2"/>
  <c r="T38" i="2" s="1"/>
  <c r="O38" i="2"/>
  <c r="S37" i="2"/>
  <c r="T37" i="2" s="1"/>
  <c r="O37" i="2"/>
  <c r="S36" i="2"/>
  <c r="T36" i="2" s="1"/>
  <c r="O36" i="2"/>
  <c r="S35" i="2"/>
  <c r="T35" i="2" s="1"/>
  <c r="O35" i="2"/>
  <c r="S34" i="2"/>
  <c r="T34" i="2" s="1"/>
  <c r="O34" i="2"/>
  <c r="S33" i="2"/>
  <c r="T33" i="2" s="1"/>
  <c r="O33" i="2"/>
  <c r="S32" i="2"/>
  <c r="T32" i="2" s="1"/>
  <c r="O32" i="2"/>
  <c r="P32" i="2" s="1"/>
  <c r="P33" i="2" s="1"/>
  <c r="S31" i="2"/>
  <c r="T31" i="2" s="1"/>
  <c r="O31" i="2"/>
  <c r="T30" i="2"/>
  <c r="S30" i="2"/>
  <c r="O30" i="2"/>
  <c r="S29" i="2"/>
  <c r="T29" i="2" s="1"/>
  <c r="O29" i="2"/>
  <c r="T28" i="2"/>
  <c r="S28" i="2"/>
  <c r="O28" i="2"/>
  <c r="S27" i="2"/>
  <c r="T27" i="2" s="1"/>
  <c r="O27" i="2"/>
  <c r="S26" i="2"/>
  <c r="T26" i="2" s="1"/>
  <c r="O26" i="2"/>
  <c r="S25" i="2"/>
  <c r="T25" i="2" s="1"/>
  <c r="O25" i="2"/>
  <c r="S24" i="2"/>
  <c r="T24" i="2" s="1"/>
  <c r="O24" i="2"/>
  <c r="S23" i="2"/>
  <c r="T23" i="2" s="1"/>
  <c r="O23" i="2"/>
  <c r="S22" i="2"/>
  <c r="T22" i="2" s="1"/>
  <c r="O22" i="2"/>
  <c r="S21" i="2"/>
  <c r="T21" i="2" s="1"/>
  <c r="O21" i="2"/>
  <c r="S20" i="2"/>
  <c r="T20" i="2" s="1"/>
  <c r="O20" i="2"/>
  <c r="S19" i="2"/>
  <c r="T19" i="2" s="1"/>
  <c r="O19" i="2"/>
  <c r="S18" i="2"/>
  <c r="T18" i="2" s="1"/>
  <c r="O18" i="2"/>
  <c r="S17" i="2"/>
  <c r="T17" i="2" s="1"/>
  <c r="O17" i="2"/>
  <c r="S16" i="2"/>
  <c r="T16" i="2" s="1"/>
  <c r="O16" i="2"/>
  <c r="S15" i="2"/>
  <c r="T15" i="2" s="1"/>
  <c r="O15" i="2"/>
  <c r="S14" i="2"/>
  <c r="T14" i="2" s="1"/>
  <c r="O14" i="2"/>
  <c r="S13" i="2"/>
  <c r="T13" i="2" s="1"/>
  <c r="O13" i="2"/>
  <c r="S12" i="2"/>
  <c r="T12" i="2" s="1"/>
  <c r="O12" i="2"/>
  <c r="S11" i="2"/>
  <c r="T11" i="2" s="1"/>
  <c r="O11" i="2"/>
  <c r="S10" i="2"/>
  <c r="T10" i="2" s="1"/>
  <c r="O10" i="2"/>
  <c r="S9" i="2"/>
  <c r="T9" i="2" s="1"/>
  <c r="O9" i="2"/>
  <c r="P9" i="2" s="1"/>
  <c r="P10" i="2" s="1"/>
  <c r="P11" i="2" s="1"/>
  <c r="S8" i="2"/>
  <c r="T8" i="2" s="1"/>
  <c r="O8" i="2"/>
  <c r="T7" i="2"/>
  <c r="S7" i="2"/>
  <c r="O7" i="2"/>
  <c r="S6" i="2"/>
  <c r="T6" i="2" s="1"/>
  <c r="O6" i="2"/>
  <c r="P6" i="2" s="1"/>
  <c r="S5" i="2"/>
  <c r="T5" i="2" s="1"/>
  <c r="O5" i="2"/>
  <c r="S4" i="2"/>
  <c r="T4" i="2" s="1"/>
  <c r="O4" i="2"/>
  <c r="R1" i="2"/>
  <c r="K216" i="1"/>
  <c r="X216" i="1"/>
  <c r="X217" i="1" s="1"/>
  <c r="X123" i="1"/>
  <c r="K123" i="1"/>
  <c r="R50" i="1"/>
  <c r="R51" i="1"/>
  <c r="S51" i="1" s="1"/>
  <c r="T51" i="1" s="1"/>
  <c r="R52" i="1"/>
  <c r="S52" i="1" s="1"/>
  <c r="T52" i="1" s="1"/>
  <c r="R53" i="1"/>
  <c r="S53" i="1" s="1"/>
  <c r="T53" i="1" s="1"/>
  <c r="R54" i="1"/>
  <c r="S54" i="1" s="1"/>
  <c r="T54" i="1" s="1"/>
  <c r="R55" i="1"/>
  <c r="S55" i="1" s="1"/>
  <c r="T55" i="1" s="1"/>
  <c r="R56" i="1"/>
  <c r="R57" i="1"/>
  <c r="S57" i="1" s="1"/>
  <c r="T57" i="1" s="1"/>
  <c r="R58" i="1"/>
  <c r="R59" i="1"/>
  <c r="S59" i="1" s="1"/>
  <c r="T59" i="1" s="1"/>
  <c r="R60" i="1"/>
  <c r="S60" i="1" s="1"/>
  <c r="T60" i="1" s="1"/>
  <c r="R61" i="1"/>
  <c r="S61" i="1" s="1"/>
  <c r="T61" i="1" s="1"/>
  <c r="R62" i="1"/>
  <c r="S62" i="1" s="1"/>
  <c r="T62" i="1" s="1"/>
  <c r="R63" i="1"/>
  <c r="S63" i="1" s="1"/>
  <c r="T63" i="1" s="1"/>
  <c r="R64" i="1"/>
  <c r="R65" i="1"/>
  <c r="S65" i="1" s="1"/>
  <c r="T65" i="1" s="1"/>
  <c r="R66" i="1"/>
  <c r="R67" i="1"/>
  <c r="S67" i="1" s="1"/>
  <c r="T67" i="1" s="1"/>
  <c r="R68" i="1"/>
  <c r="S68" i="1" s="1"/>
  <c r="T68" i="1" s="1"/>
  <c r="R69" i="1"/>
  <c r="S69" i="1" s="1"/>
  <c r="T69" i="1" s="1"/>
  <c r="R70" i="1"/>
  <c r="S70" i="1" s="1"/>
  <c r="T70" i="1" s="1"/>
  <c r="R71" i="1"/>
  <c r="R72" i="1"/>
  <c r="R73" i="1"/>
  <c r="S73" i="1" s="1"/>
  <c r="T73" i="1" s="1"/>
  <c r="R74" i="1"/>
  <c r="S74" i="1" s="1"/>
  <c r="T74" i="1" s="1"/>
  <c r="R75" i="1"/>
  <c r="S75" i="1" s="1"/>
  <c r="T75" i="1" s="1"/>
  <c r="R76" i="1"/>
  <c r="S76" i="1" s="1"/>
  <c r="T76" i="1" s="1"/>
  <c r="R77" i="1"/>
  <c r="R78" i="1"/>
  <c r="S78" i="1" s="1"/>
  <c r="T78" i="1" s="1"/>
  <c r="R79" i="1"/>
  <c r="R80" i="1"/>
  <c r="R81" i="1"/>
  <c r="S81" i="1" s="1"/>
  <c r="T81" i="1" s="1"/>
  <c r="R82" i="1"/>
  <c r="R83" i="1"/>
  <c r="S83" i="1" s="1"/>
  <c r="T83" i="1" s="1"/>
  <c r="R84" i="1"/>
  <c r="S84" i="1" s="1"/>
  <c r="T84" i="1" s="1"/>
  <c r="R85" i="1"/>
  <c r="S85" i="1" s="1"/>
  <c r="T85" i="1" s="1"/>
  <c r="R86" i="1"/>
  <c r="S86" i="1" s="1"/>
  <c r="T86" i="1" s="1"/>
  <c r="R87" i="1"/>
  <c r="R88" i="1"/>
  <c r="R89" i="1"/>
  <c r="S89" i="1" s="1"/>
  <c r="T89" i="1" s="1"/>
  <c r="R90" i="1"/>
  <c r="S90" i="1" s="1"/>
  <c r="T90" i="1" s="1"/>
  <c r="R91" i="1"/>
  <c r="S91" i="1" s="1"/>
  <c r="T91" i="1" s="1"/>
  <c r="R92" i="1"/>
  <c r="S92" i="1" s="1"/>
  <c r="T92" i="1" s="1"/>
  <c r="R93" i="1"/>
  <c r="S93" i="1" s="1"/>
  <c r="T93" i="1" s="1"/>
  <c r="R94" i="1"/>
  <c r="S94" i="1" s="1"/>
  <c r="T94" i="1" s="1"/>
  <c r="R95" i="1"/>
  <c r="R96" i="1"/>
  <c r="R97" i="1"/>
  <c r="R98" i="1"/>
  <c r="S98" i="1" s="1"/>
  <c r="T98" i="1" s="1"/>
  <c r="R99" i="1"/>
  <c r="S99" i="1" s="1"/>
  <c r="T99" i="1" s="1"/>
  <c r="R100" i="1"/>
  <c r="S100" i="1" s="1"/>
  <c r="T100" i="1" s="1"/>
  <c r="R101" i="1"/>
  <c r="S101" i="1" s="1"/>
  <c r="T101" i="1" s="1"/>
  <c r="R102" i="1"/>
  <c r="S102" i="1" s="1"/>
  <c r="T102" i="1" s="1"/>
  <c r="R103" i="1"/>
  <c r="R104" i="1"/>
  <c r="R105" i="1"/>
  <c r="S105" i="1" s="1"/>
  <c r="T105" i="1" s="1"/>
  <c r="R106" i="1"/>
  <c r="S106" i="1" s="1"/>
  <c r="T106" i="1" s="1"/>
  <c r="R107" i="1"/>
  <c r="S107" i="1" s="1"/>
  <c r="T107" i="1" s="1"/>
  <c r="R108" i="1"/>
  <c r="S108" i="1" s="1"/>
  <c r="T108" i="1" s="1"/>
  <c r="R109" i="1"/>
  <c r="R110" i="1"/>
  <c r="S110" i="1" s="1"/>
  <c r="T110" i="1" s="1"/>
  <c r="R111" i="1"/>
  <c r="S111" i="1" s="1"/>
  <c r="T111" i="1" s="1"/>
  <c r="R112" i="1"/>
  <c r="R113" i="1"/>
  <c r="S113" i="1" s="1"/>
  <c r="T113" i="1" s="1"/>
  <c r="R114" i="1"/>
  <c r="S114" i="1" s="1"/>
  <c r="T114" i="1" s="1"/>
  <c r="R115" i="1"/>
  <c r="S115" i="1" s="1"/>
  <c r="T115" i="1" s="1"/>
  <c r="R116" i="1"/>
  <c r="S116" i="1" s="1"/>
  <c r="T116" i="1" s="1"/>
  <c r="R117" i="1"/>
  <c r="S117" i="1" s="1"/>
  <c r="T117" i="1" s="1"/>
  <c r="R118" i="1"/>
  <c r="S118" i="1" s="1"/>
  <c r="T118" i="1" s="1"/>
  <c r="R119" i="1"/>
  <c r="R120" i="1"/>
  <c r="R121" i="1"/>
  <c r="S121" i="1" s="1"/>
  <c r="T121" i="1" s="1"/>
  <c r="R122" i="1"/>
  <c r="S122" i="1" s="1"/>
  <c r="T122" i="1" s="1"/>
  <c r="R49" i="1"/>
  <c r="K44" i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78" i="1" s="1"/>
  <c r="K79" i="1" s="1"/>
  <c r="K80" i="1" s="1"/>
  <c r="K81" i="1" s="1"/>
  <c r="K82" i="1" s="1"/>
  <c r="K83" i="1" s="1"/>
  <c r="K84" i="1" s="1"/>
  <c r="K85" i="1" s="1"/>
  <c r="K86" i="1" s="1"/>
  <c r="K87" i="1" s="1"/>
  <c r="K88" i="1" s="1"/>
  <c r="K89" i="1" s="1"/>
  <c r="K90" i="1" s="1"/>
  <c r="K91" i="1" s="1"/>
  <c r="K92" i="1" s="1"/>
  <c r="K93" i="1" s="1"/>
  <c r="K94" i="1" s="1"/>
  <c r="K95" i="1" s="1"/>
  <c r="K96" i="1" s="1"/>
  <c r="K97" i="1" s="1"/>
  <c r="K98" i="1" s="1"/>
  <c r="K99" i="1" s="1"/>
  <c r="K100" i="1" s="1"/>
  <c r="K101" i="1" s="1"/>
  <c r="K102" i="1" s="1"/>
  <c r="K103" i="1" s="1"/>
  <c r="K104" i="1" s="1"/>
  <c r="K105" i="1" s="1"/>
  <c r="K106" i="1" s="1"/>
  <c r="K107" i="1" s="1"/>
  <c r="K108" i="1" s="1"/>
  <c r="K109" i="1" s="1"/>
  <c r="K110" i="1" s="1"/>
  <c r="K111" i="1" s="1"/>
  <c r="K112" i="1" s="1"/>
  <c r="K113" i="1" s="1"/>
  <c r="K114" i="1" s="1"/>
  <c r="K115" i="1" s="1"/>
  <c r="K116" i="1" s="1"/>
  <c r="K117" i="1" s="1"/>
  <c r="K118" i="1" s="1"/>
  <c r="K119" i="1" s="1"/>
  <c r="K120" i="1" s="1"/>
  <c r="K121" i="1" s="1"/>
  <c r="K122" i="1" s="1"/>
  <c r="K124" i="1" s="1"/>
  <c r="K125" i="1" s="1"/>
  <c r="K126" i="1" s="1"/>
  <c r="K127" i="1" s="1"/>
  <c r="K128" i="1" s="1"/>
  <c r="K129" i="1" s="1"/>
  <c r="K130" i="1" s="1"/>
  <c r="K131" i="1" s="1"/>
  <c r="K132" i="1" s="1"/>
  <c r="K133" i="1" s="1"/>
  <c r="K134" i="1" s="1"/>
  <c r="K135" i="1" s="1"/>
  <c r="K136" i="1" s="1"/>
  <c r="K137" i="1" s="1"/>
  <c r="K138" i="1" s="1"/>
  <c r="K139" i="1" s="1"/>
  <c r="K140" i="1" s="1"/>
  <c r="K141" i="1" s="1"/>
  <c r="K142" i="1" s="1"/>
  <c r="K143" i="1" s="1"/>
  <c r="K144" i="1" s="1"/>
  <c r="K145" i="1" s="1"/>
  <c r="K146" i="1" s="1"/>
  <c r="K147" i="1" s="1"/>
  <c r="K148" i="1" s="1"/>
  <c r="K149" i="1" s="1"/>
  <c r="K150" i="1" s="1"/>
  <c r="K151" i="1" s="1"/>
  <c r="K152" i="1" s="1"/>
  <c r="K153" i="1" s="1"/>
  <c r="K154" i="1" s="1"/>
  <c r="K155" i="1" s="1"/>
  <c r="K156" i="1" s="1"/>
  <c r="K157" i="1" s="1"/>
  <c r="K158" i="1" s="1"/>
  <c r="K159" i="1" s="1"/>
  <c r="K160" i="1" s="1"/>
  <c r="K161" i="1" s="1"/>
  <c r="K162" i="1" s="1"/>
  <c r="K163" i="1" s="1"/>
  <c r="K164" i="1" s="1"/>
  <c r="K165" i="1" s="1"/>
  <c r="K166" i="1" s="1"/>
  <c r="K167" i="1" s="1"/>
  <c r="K168" i="1" s="1"/>
  <c r="K169" i="1" s="1"/>
  <c r="K170" i="1" s="1"/>
  <c r="K171" i="1" s="1"/>
  <c r="K172" i="1" s="1"/>
  <c r="K173" i="1" s="1"/>
  <c r="K174" i="1" s="1"/>
  <c r="K175" i="1" s="1"/>
  <c r="K176" i="1" s="1"/>
  <c r="K177" i="1" s="1"/>
  <c r="K178" i="1" s="1"/>
  <c r="K179" i="1" s="1"/>
  <c r="K180" i="1" s="1"/>
  <c r="K181" i="1" s="1"/>
  <c r="K182" i="1" s="1"/>
  <c r="K183" i="1" s="1"/>
  <c r="K184" i="1" s="1"/>
  <c r="K185" i="1" s="1"/>
  <c r="K186" i="1" s="1"/>
  <c r="K187" i="1" s="1"/>
  <c r="K188" i="1" s="1"/>
  <c r="K189" i="1" s="1"/>
  <c r="K190" i="1" s="1"/>
  <c r="K191" i="1" s="1"/>
  <c r="K192" i="1" s="1"/>
  <c r="K193" i="1" s="1"/>
  <c r="K194" i="1" s="1"/>
  <c r="K195" i="1" s="1"/>
  <c r="K196" i="1" s="1"/>
  <c r="K197" i="1" s="1"/>
  <c r="K198" i="1" s="1"/>
  <c r="K199" i="1" s="1"/>
  <c r="K200" i="1" s="1"/>
  <c r="K201" i="1" s="1"/>
  <c r="K202" i="1" s="1"/>
  <c r="K203" i="1" s="1"/>
  <c r="K204" i="1" s="1"/>
  <c r="K205" i="1" s="1"/>
  <c r="K206" i="1" s="1"/>
  <c r="K207" i="1" s="1"/>
  <c r="K208" i="1" s="1"/>
  <c r="K209" i="1" s="1"/>
  <c r="K210" i="1" s="1"/>
  <c r="K211" i="1" s="1"/>
  <c r="K215" i="1" s="1"/>
  <c r="K217" i="1" s="1"/>
  <c r="K218" i="1" s="1"/>
  <c r="K219" i="1" s="1"/>
  <c r="K220" i="1" s="1"/>
  <c r="K221" i="1" s="1"/>
  <c r="K222" i="1" s="1"/>
  <c r="K223" i="1" s="1"/>
  <c r="K224" i="1" s="1"/>
  <c r="K225" i="1" s="1"/>
  <c r="K226" i="1" s="1"/>
  <c r="K227" i="1" s="1"/>
  <c r="K228" i="1" s="1"/>
  <c r="K229" i="1" s="1"/>
  <c r="K230" i="1" s="1"/>
  <c r="K231" i="1" s="1"/>
  <c r="K232" i="1" s="1"/>
  <c r="K233" i="1" s="1"/>
  <c r="K234" i="1" s="1"/>
  <c r="K235" i="1" s="1"/>
  <c r="K236" i="1" s="1"/>
  <c r="K237" i="1" s="1"/>
  <c r="K238" i="1" s="1"/>
  <c r="K239" i="1" s="1"/>
  <c r="K240" i="1" s="1"/>
  <c r="K241" i="1" s="1"/>
  <c r="K242" i="1" s="1"/>
  <c r="K243" i="1" s="1"/>
  <c r="K244" i="1" s="1"/>
  <c r="K245" i="1" s="1"/>
  <c r="K246" i="1" s="1"/>
  <c r="K247" i="1" s="1"/>
  <c r="K249" i="1" s="1"/>
  <c r="K250" i="1" s="1"/>
  <c r="K251" i="1" s="1"/>
  <c r="K252" i="1" s="1"/>
  <c r="K253" i="1" s="1"/>
  <c r="K254" i="1" s="1"/>
  <c r="K255" i="1" s="1"/>
  <c r="K256" i="1" s="1"/>
  <c r="K257" i="1" s="1"/>
  <c r="K258" i="1" s="1"/>
  <c r="K259" i="1" s="1"/>
  <c r="K260" i="1" s="1"/>
  <c r="K261" i="1" s="1"/>
  <c r="K262" i="1" s="1"/>
  <c r="K263" i="1" s="1"/>
  <c r="K264" i="1" s="1"/>
  <c r="K265" i="1" s="1"/>
  <c r="K266" i="1" s="1"/>
  <c r="K267" i="1" s="1"/>
  <c r="K268" i="1" s="1"/>
  <c r="K270" i="1" s="1"/>
  <c r="K271" i="1" s="1"/>
  <c r="K272" i="1" s="1"/>
  <c r="K273" i="1" s="1"/>
  <c r="K274" i="1" s="1"/>
  <c r="K275" i="1" s="1"/>
  <c r="K276" i="1" s="1"/>
  <c r="K277" i="1" s="1"/>
  <c r="K278" i="1" s="1"/>
  <c r="K279" i="1" s="1"/>
  <c r="K280" i="1" s="1"/>
  <c r="K281" i="1" s="1"/>
  <c r="K282" i="1" s="1"/>
  <c r="K283" i="1" s="1"/>
  <c r="K284" i="1" s="1"/>
  <c r="K285" i="1" s="1"/>
  <c r="K286" i="1" s="1"/>
  <c r="K287" i="1" s="1"/>
  <c r="K288" i="1" s="1"/>
  <c r="K289" i="1" s="1"/>
  <c r="K290" i="1" s="1"/>
  <c r="K291" i="1" s="1"/>
  <c r="K292" i="1" s="1"/>
  <c r="K293" i="1" s="1"/>
  <c r="K295" i="1" s="1"/>
  <c r="K296" i="1" s="1"/>
  <c r="K297" i="1" s="1"/>
  <c r="K298" i="1" s="1"/>
  <c r="K299" i="1" s="1"/>
  <c r="K300" i="1" s="1"/>
  <c r="K301" i="1" s="1"/>
  <c r="K302" i="1" s="1"/>
  <c r="K303" i="1" s="1"/>
  <c r="K304" i="1" s="1"/>
  <c r="K305" i="1" s="1"/>
  <c r="K306" i="1" s="1"/>
  <c r="K307" i="1" s="1"/>
  <c r="K308" i="1" s="1"/>
  <c r="K309" i="1" s="1"/>
  <c r="K310" i="1" s="1"/>
  <c r="K311" i="1" s="1"/>
  <c r="K313" i="1" s="1"/>
  <c r="K314" i="1" s="1"/>
  <c r="K315" i="1" s="1"/>
  <c r="K316" i="1" s="1"/>
  <c r="K317" i="1" s="1"/>
  <c r="K318" i="1" s="1"/>
  <c r="K319" i="1" s="1"/>
  <c r="K320" i="1" s="1"/>
  <c r="K321" i="1" s="1"/>
  <c r="K322" i="1" s="1"/>
  <c r="K323" i="1" s="1"/>
  <c r="K324" i="1" s="1"/>
  <c r="K325" i="1" s="1"/>
  <c r="K326" i="1" s="1"/>
  <c r="K327" i="1" s="1"/>
  <c r="K328" i="1" s="1"/>
  <c r="K329" i="1" s="1"/>
  <c r="K330" i="1" s="1"/>
  <c r="K331" i="1" s="1"/>
  <c r="K332" i="1" s="1"/>
  <c r="K333" i="1" s="1"/>
  <c r="K334" i="1" s="1"/>
  <c r="K336" i="1" s="1"/>
  <c r="K337" i="1" s="1"/>
  <c r="K338" i="1" s="1"/>
  <c r="K339" i="1" s="1"/>
  <c r="K340" i="1" s="1"/>
  <c r="K341" i="1" s="1"/>
  <c r="K342" i="1" s="1"/>
  <c r="K343" i="1" s="1"/>
  <c r="K344" i="1" s="1"/>
  <c r="K345" i="1" s="1"/>
  <c r="K346" i="1" s="1"/>
  <c r="K347" i="1" s="1"/>
  <c r="K348" i="1" s="1"/>
  <c r="K349" i="1" s="1"/>
  <c r="K350" i="1" s="1"/>
  <c r="K351" i="1" s="1"/>
  <c r="K352" i="1" s="1"/>
  <c r="K353" i="1" s="1"/>
  <c r="K354" i="1" s="1"/>
  <c r="K355" i="1" s="1"/>
  <c r="K356" i="1" s="1"/>
  <c r="K357" i="1" s="1"/>
  <c r="K358" i="1" s="1"/>
  <c r="K359" i="1" s="1"/>
  <c r="K360" i="1" s="1"/>
  <c r="K361" i="1" s="1"/>
  <c r="K362" i="1" s="1"/>
  <c r="K363" i="1" s="1"/>
  <c r="K364" i="1" s="1"/>
  <c r="K365" i="1" s="1"/>
  <c r="K366" i="1" s="1"/>
  <c r="K367" i="1" s="1"/>
  <c r="J44" i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X44" i="1"/>
  <c r="X45" i="1" s="1"/>
  <c r="X46" i="1" s="1"/>
  <c r="X47" i="1" s="1"/>
  <c r="X48" i="1" s="1"/>
  <c r="X49" i="1" s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X91" i="1" s="1"/>
  <c r="X92" i="1" s="1"/>
  <c r="X93" i="1" s="1"/>
  <c r="X94" i="1" s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136" i="1" s="1"/>
  <c r="X137" i="1" s="1"/>
  <c r="X138" i="1" s="1"/>
  <c r="X139" i="1" s="1"/>
  <c r="X140" i="1" s="1"/>
  <c r="X141" i="1" s="1"/>
  <c r="X142" i="1" s="1"/>
  <c r="X143" i="1" s="1"/>
  <c r="X144" i="1" s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X181" i="1" s="1"/>
  <c r="X182" i="1" s="1"/>
  <c r="X183" i="1" s="1"/>
  <c r="X184" i="1" s="1"/>
  <c r="X185" i="1" s="1"/>
  <c r="X186" i="1" s="1"/>
  <c r="X187" i="1" s="1"/>
  <c r="X188" i="1" s="1"/>
  <c r="X189" i="1" s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T8" i="1"/>
  <c r="T12" i="1"/>
  <c r="T19" i="1"/>
  <c r="T20" i="1"/>
  <c r="T24" i="1"/>
  <c r="T27" i="1"/>
  <c r="T28" i="1"/>
  <c r="T35" i="1"/>
  <c r="T40" i="1"/>
  <c r="T43" i="1"/>
  <c r="T125" i="1"/>
  <c r="T168" i="1"/>
  <c r="T226" i="1"/>
  <c r="T234" i="1"/>
  <c r="T314" i="1"/>
  <c r="T328" i="1"/>
  <c r="T353" i="1"/>
  <c r="T361" i="1"/>
  <c r="S5" i="1"/>
  <c r="T5" i="1" s="1"/>
  <c r="S6" i="1"/>
  <c r="T6" i="1" s="1"/>
  <c r="S7" i="1"/>
  <c r="T7" i="1" s="1"/>
  <c r="S8" i="1"/>
  <c r="S9" i="1"/>
  <c r="T9" i="1" s="1"/>
  <c r="S10" i="1"/>
  <c r="T10" i="1" s="1"/>
  <c r="S11" i="1"/>
  <c r="T11" i="1" s="1"/>
  <c r="S12" i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S20" i="1"/>
  <c r="S21" i="1"/>
  <c r="T21" i="1" s="1"/>
  <c r="S22" i="1"/>
  <c r="T22" i="1" s="1"/>
  <c r="S23" i="1"/>
  <c r="T23" i="1" s="1"/>
  <c r="S24" i="1"/>
  <c r="S25" i="1"/>
  <c r="T25" i="1" s="1"/>
  <c r="S26" i="1"/>
  <c r="T26" i="1" s="1"/>
  <c r="S27" i="1"/>
  <c r="S28" i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S36" i="1"/>
  <c r="T36" i="1" s="1"/>
  <c r="S37" i="1"/>
  <c r="T37" i="1" s="1"/>
  <c r="S38" i="1"/>
  <c r="T38" i="1" s="1"/>
  <c r="S39" i="1"/>
  <c r="T39" i="1" s="1"/>
  <c r="S40" i="1"/>
  <c r="S41" i="1"/>
  <c r="T41" i="1" s="1"/>
  <c r="S42" i="1"/>
  <c r="T42" i="1" s="1"/>
  <c r="S43" i="1"/>
  <c r="S44" i="1"/>
  <c r="T44" i="1" s="1"/>
  <c r="S45" i="1"/>
  <c r="T45" i="1" s="1"/>
  <c r="S46" i="1"/>
  <c r="T46" i="1" s="1"/>
  <c r="S47" i="1"/>
  <c r="T47" i="1" s="1"/>
  <c r="S48" i="1"/>
  <c r="T48" i="1" s="1"/>
  <c r="S49" i="1"/>
  <c r="T49" i="1" s="1"/>
  <c r="S50" i="1"/>
  <c r="T50" i="1" s="1"/>
  <c r="S56" i="1"/>
  <c r="T56" i="1" s="1"/>
  <c r="S58" i="1"/>
  <c r="T58" i="1" s="1"/>
  <c r="S64" i="1"/>
  <c r="T64" i="1" s="1"/>
  <c r="S66" i="1"/>
  <c r="T66" i="1" s="1"/>
  <c r="S71" i="1"/>
  <c r="T71" i="1" s="1"/>
  <c r="S72" i="1"/>
  <c r="T72" i="1" s="1"/>
  <c r="S77" i="1"/>
  <c r="T77" i="1" s="1"/>
  <c r="S79" i="1"/>
  <c r="T79" i="1" s="1"/>
  <c r="S80" i="1"/>
  <c r="T80" i="1" s="1"/>
  <c r="S82" i="1"/>
  <c r="T82" i="1" s="1"/>
  <c r="S87" i="1"/>
  <c r="T87" i="1" s="1"/>
  <c r="S88" i="1"/>
  <c r="T88" i="1" s="1"/>
  <c r="S95" i="1"/>
  <c r="T95" i="1" s="1"/>
  <c r="S96" i="1"/>
  <c r="T96" i="1" s="1"/>
  <c r="S97" i="1"/>
  <c r="T97" i="1" s="1"/>
  <c r="S103" i="1"/>
  <c r="T103" i="1" s="1"/>
  <c r="S104" i="1"/>
  <c r="T104" i="1" s="1"/>
  <c r="S109" i="1"/>
  <c r="T109" i="1" s="1"/>
  <c r="S112" i="1"/>
  <c r="T112" i="1" s="1"/>
  <c r="S119" i="1"/>
  <c r="T119" i="1" s="1"/>
  <c r="S120" i="1"/>
  <c r="T120" i="1" s="1"/>
  <c r="S123" i="1"/>
  <c r="T123" i="1" s="1"/>
  <c r="S124" i="1"/>
  <c r="T124" i="1" s="1"/>
  <c r="S125" i="1"/>
  <c r="S126" i="1"/>
  <c r="T126" i="1" s="1"/>
  <c r="S127" i="1"/>
  <c r="T127" i="1" s="1"/>
  <c r="S128" i="1"/>
  <c r="T128" i="1" s="1"/>
  <c r="S129" i="1"/>
  <c r="T129" i="1" s="1"/>
  <c r="S130" i="1"/>
  <c r="T130" i="1" s="1"/>
  <c r="S131" i="1"/>
  <c r="T131" i="1" s="1"/>
  <c r="S132" i="1"/>
  <c r="T132" i="1" s="1"/>
  <c r="S133" i="1"/>
  <c r="T133" i="1" s="1"/>
  <c r="S134" i="1"/>
  <c r="T134" i="1" s="1"/>
  <c r="S135" i="1"/>
  <c r="T135" i="1" s="1"/>
  <c r="S136" i="1"/>
  <c r="T136" i="1" s="1"/>
  <c r="S137" i="1"/>
  <c r="T137" i="1" s="1"/>
  <c r="S138" i="1"/>
  <c r="T138" i="1" s="1"/>
  <c r="S139" i="1"/>
  <c r="T139" i="1" s="1"/>
  <c r="S140" i="1"/>
  <c r="T140" i="1" s="1"/>
  <c r="S141" i="1"/>
  <c r="T141" i="1" s="1"/>
  <c r="S142" i="1"/>
  <c r="T142" i="1" s="1"/>
  <c r="S143" i="1"/>
  <c r="T143" i="1" s="1"/>
  <c r="S144" i="1"/>
  <c r="T144" i="1" s="1"/>
  <c r="S145" i="1"/>
  <c r="T145" i="1" s="1"/>
  <c r="S146" i="1"/>
  <c r="T146" i="1" s="1"/>
  <c r="S147" i="1"/>
  <c r="T147" i="1" s="1"/>
  <c r="S148" i="1"/>
  <c r="T148" i="1" s="1"/>
  <c r="S149" i="1"/>
  <c r="T149" i="1" s="1"/>
  <c r="S150" i="1"/>
  <c r="T150" i="1" s="1"/>
  <c r="S151" i="1"/>
  <c r="T151" i="1" s="1"/>
  <c r="S152" i="1"/>
  <c r="T152" i="1" s="1"/>
  <c r="S153" i="1"/>
  <c r="T153" i="1" s="1"/>
  <c r="S154" i="1"/>
  <c r="T154" i="1" s="1"/>
  <c r="S155" i="1"/>
  <c r="T155" i="1" s="1"/>
  <c r="S156" i="1"/>
  <c r="T156" i="1" s="1"/>
  <c r="S157" i="1"/>
  <c r="T157" i="1" s="1"/>
  <c r="S158" i="1"/>
  <c r="T158" i="1" s="1"/>
  <c r="S159" i="1"/>
  <c r="T159" i="1" s="1"/>
  <c r="S160" i="1"/>
  <c r="T160" i="1" s="1"/>
  <c r="S161" i="1"/>
  <c r="T161" i="1" s="1"/>
  <c r="S162" i="1"/>
  <c r="T162" i="1" s="1"/>
  <c r="S163" i="1"/>
  <c r="T163" i="1" s="1"/>
  <c r="S164" i="1"/>
  <c r="T164" i="1" s="1"/>
  <c r="S165" i="1"/>
  <c r="T165" i="1" s="1"/>
  <c r="S166" i="1"/>
  <c r="T166" i="1" s="1"/>
  <c r="S167" i="1"/>
  <c r="T167" i="1" s="1"/>
  <c r="S168" i="1"/>
  <c r="S169" i="1"/>
  <c r="T169" i="1" s="1"/>
  <c r="S170" i="1"/>
  <c r="T170" i="1" s="1"/>
  <c r="S171" i="1"/>
  <c r="T171" i="1" s="1"/>
  <c r="S172" i="1"/>
  <c r="T172" i="1" s="1"/>
  <c r="S173" i="1"/>
  <c r="T173" i="1" s="1"/>
  <c r="S174" i="1"/>
  <c r="T174" i="1" s="1"/>
  <c r="S175" i="1"/>
  <c r="T175" i="1" s="1"/>
  <c r="S176" i="1"/>
  <c r="T176" i="1" s="1"/>
  <c r="S177" i="1"/>
  <c r="T177" i="1" s="1"/>
  <c r="S178" i="1"/>
  <c r="T178" i="1" s="1"/>
  <c r="S179" i="1"/>
  <c r="T179" i="1" s="1"/>
  <c r="S180" i="1"/>
  <c r="T180" i="1" s="1"/>
  <c r="S181" i="1"/>
  <c r="T181" i="1" s="1"/>
  <c r="S182" i="1"/>
  <c r="T182" i="1" s="1"/>
  <c r="S183" i="1"/>
  <c r="T183" i="1" s="1"/>
  <c r="S184" i="1"/>
  <c r="T184" i="1" s="1"/>
  <c r="S185" i="1"/>
  <c r="T185" i="1" s="1"/>
  <c r="S186" i="1"/>
  <c r="T186" i="1" s="1"/>
  <c r="S187" i="1"/>
  <c r="T187" i="1" s="1"/>
  <c r="S188" i="1"/>
  <c r="T188" i="1" s="1"/>
  <c r="S189" i="1"/>
  <c r="T189" i="1" s="1"/>
  <c r="S190" i="1"/>
  <c r="T190" i="1" s="1"/>
  <c r="S191" i="1"/>
  <c r="T191" i="1" s="1"/>
  <c r="S192" i="1"/>
  <c r="T192" i="1" s="1"/>
  <c r="S193" i="1"/>
  <c r="T193" i="1" s="1"/>
  <c r="S194" i="1"/>
  <c r="T194" i="1" s="1"/>
  <c r="S195" i="1"/>
  <c r="T195" i="1" s="1"/>
  <c r="S196" i="1"/>
  <c r="T196" i="1" s="1"/>
  <c r="S197" i="1"/>
  <c r="T197" i="1" s="1"/>
  <c r="S198" i="1"/>
  <c r="T198" i="1" s="1"/>
  <c r="S199" i="1"/>
  <c r="T199" i="1" s="1"/>
  <c r="S200" i="1"/>
  <c r="T200" i="1" s="1"/>
  <c r="S201" i="1"/>
  <c r="T201" i="1" s="1"/>
  <c r="S202" i="1"/>
  <c r="T202" i="1" s="1"/>
  <c r="S203" i="1"/>
  <c r="T203" i="1" s="1"/>
  <c r="S204" i="1"/>
  <c r="T204" i="1" s="1"/>
  <c r="S205" i="1"/>
  <c r="T205" i="1" s="1"/>
  <c r="S206" i="1"/>
  <c r="T206" i="1" s="1"/>
  <c r="S207" i="1"/>
  <c r="T207" i="1" s="1"/>
  <c r="S208" i="1"/>
  <c r="T208" i="1" s="1"/>
  <c r="S209" i="1"/>
  <c r="T209" i="1" s="1"/>
  <c r="S210" i="1"/>
  <c r="T210" i="1" s="1"/>
  <c r="S211" i="1"/>
  <c r="T211" i="1" s="1"/>
  <c r="S212" i="1"/>
  <c r="T212" i="1" s="1"/>
  <c r="S213" i="1"/>
  <c r="T213" i="1" s="1"/>
  <c r="S214" i="1"/>
  <c r="T214" i="1" s="1"/>
  <c r="S215" i="1"/>
  <c r="T215" i="1" s="1"/>
  <c r="S217" i="1"/>
  <c r="T217" i="1" s="1"/>
  <c r="S218" i="1"/>
  <c r="T218" i="1" s="1"/>
  <c r="S219" i="1"/>
  <c r="T219" i="1" s="1"/>
  <c r="S220" i="1"/>
  <c r="T220" i="1" s="1"/>
  <c r="S221" i="1"/>
  <c r="T221" i="1" s="1"/>
  <c r="S222" i="1"/>
  <c r="T222" i="1" s="1"/>
  <c r="S223" i="1"/>
  <c r="T223" i="1" s="1"/>
  <c r="S225" i="1"/>
  <c r="T225" i="1" s="1"/>
  <c r="S226" i="1"/>
  <c r="S227" i="1"/>
  <c r="T227" i="1" s="1"/>
  <c r="S228" i="1"/>
  <c r="T228" i="1" s="1"/>
  <c r="S229" i="1"/>
  <c r="T229" i="1" s="1"/>
  <c r="S230" i="1"/>
  <c r="T230" i="1" s="1"/>
  <c r="S231" i="1"/>
  <c r="T231" i="1" s="1"/>
  <c r="S233" i="1"/>
  <c r="T233" i="1" s="1"/>
  <c r="S234" i="1"/>
  <c r="S235" i="1"/>
  <c r="T235" i="1" s="1"/>
  <c r="S236" i="1"/>
  <c r="T236" i="1" s="1"/>
  <c r="S237" i="1"/>
  <c r="T237" i="1" s="1"/>
  <c r="S238" i="1"/>
  <c r="T238" i="1" s="1"/>
  <c r="S239" i="1"/>
  <c r="T239" i="1" s="1"/>
  <c r="S241" i="1"/>
  <c r="T241" i="1" s="1"/>
  <c r="S242" i="1"/>
  <c r="T242" i="1" s="1"/>
  <c r="S243" i="1"/>
  <c r="T243" i="1" s="1"/>
  <c r="S244" i="1"/>
  <c r="T244" i="1" s="1"/>
  <c r="S245" i="1"/>
  <c r="T245" i="1" s="1"/>
  <c r="S246" i="1"/>
  <c r="T246" i="1" s="1"/>
  <c r="S247" i="1"/>
  <c r="T247" i="1" s="1"/>
  <c r="S248" i="1"/>
  <c r="T248" i="1" s="1"/>
  <c r="S249" i="1"/>
  <c r="T249" i="1" s="1"/>
  <c r="S250" i="1"/>
  <c r="T250" i="1" s="1"/>
  <c r="S251" i="1"/>
  <c r="T251" i="1" s="1"/>
  <c r="S252" i="1"/>
  <c r="T252" i="1" s="1"/>
  <c r="S253" i="1"/>
  <c r="T253" i="1" s="1"/>
  <c r="S254" i="1"/>
  <c r="T254" i="1" s="1"/>
  <c r="S255" i="1"/>
  <c r="T255" i="1" s="1"/>
  <c r="S256" i="1"/>
  <c r="T256" i="1" s="1"/>
  <c r="S257" i="1"/>
  <c r="T257" i="1" s="1"/>
  <c r="S258" i="1"/>
  <c r="T258" i="1" s="1"/>
  <c r="S259" i="1"/>
  <c r="T259" i="1" s="1"/>
  <c r="S260" i="1"/>
  <c r="T260" i="1" s="1"/>
  <c r="S261" i="1"/>
  <c r="T261" i="1" s="1"/>
  <c r="S262" i="1"/>
  <c r="T262" i="1" s="1"/>
  <c r="S263" i="1"/>
  <c r="T263" i="1" s="1"/>
  <c r="S264" i="1"/>
  <c r="T264" i="1" s="1"/>
  <c r="S265" i="1"/>
  <c r="T265" i="1" s="1"/>
  <c r="S266" i="1"/>
  <c r="T266" i="1" s="1"/>
  <c r="S267" i="1"/>
  <c r="T267" i="1" s="1"/>
  <c r="S268" i="1"/>
  <c r="T268" i="1" s="1"/>
  <c r="S269" i="1"/>
  <c r="T269" i="1" s="1"/>
  <c r="S270" i="1"/>
  <c r="T270" i="1" s="1"/>
  <c r="S271" i="1"/>
  <c r="T271" i="1" s="1"/>
  <c r="S272" i="1"/>
  <c r="T272" i="1" s="1"/>
  <c r="S273" i="1"/>
  <c r="T273" i="1" s="1"/>
  <c r="S274" i="1"/>
  <c r="T274" i="1" s="1"/>
  <c r="S275" i="1"/>
  <c r="T275" i="1" s="1"/>
  <c r="S276" i="1"/>
  <c r="T276" i="1" s="1"/>
  <c r="S277" i="1"/>
  <c r="T277" i="1" s="1"/>
  <c r="S278" i="1"/>
  <c r="T278" i="1" s="1"/>
  <c r="S279" i="1"/>
  <c r="T279" i="1" s="1"/>
  <c r="S280" i="1"/>
  <c r="T280" i="1" s="1"/>
  <c r="S281" i="1"/>
  <c r="T281" i="1" s="1"/>
  <c r="S282" i="1"/>
  <c r="T282" i="1" s="1"/>
  <c r="S283" i="1"/>
  <c r="T283" i="1" s="1"/>
  <c r="S284" i="1"/>
  <c r="T284" i="1" s="1"/>
  <c r="S285" i="1"/>
  <c r="T285" i="1" s="1"/>
  <c r="S286" i="1"/>
  <c r="T286" i="1" s="1"/>
  <c r="S287" i="1"/>
  <c r="T287" i="1" s="1"/>
  <c r="S288" i="1"/>
  <c r="T288" i="1" s="1"/>
  <c r="S289" i="1"/>
  <c r="T289" i="1" s="1"/>
  <c r="S290" i="1"/>
  <c r="T290" i="1" s="1"/>
  <c r="S291" i="1"/>
  <c r="T291" i="1" s="1"/>
  <c r="S292" i="1"/>
  <c r="T292" i="1" s="1"/>
  <c r="S293" i="1"/>
  <c r="T293" i="1" s="1"/>
  <c r="S294" i="1"/>
  <c r="T294" i="1" s="1"/>
  <c r="S295" i="1"/>
  <c r="T295" i="1" s="1"/>
  <c r="S296" i="1"/>
  <c r="T296" i="1" s="1"/>
  <c r="S297" i="1"/>
  <c r="T297" i="1" s="1"/>
  <c r="S298" i="1"/>
  <c r="T298" i="1" s="1"/>
  <c r="S299" i="1"/>
  <c r="T299" i="1" s="1"/>
  <c r="S301" i="1"/>
  <c r="T301" i="1" s="1"/>
  <c r="S302" i="1"/>
  <c r="T302" i="1" s="1"/>
  <c r="S303" i="1"/>
  <c r="T303" i="1" s="1"/>
  <c r="S304" i="1"/>
  <c r="T304" i="1" s="1"/>
  <c r="S305" i="1"/>
  <c r="T305" i="1" s="1"/>
  <c r="S306" i="1"/>
  <c r="T306" i="1" s="1"/>
  <c r="S307" i="1"/>
  <c r="T307" i="1" s="1"/>
  <c r="S309" i="1"/>
  <c r="T309" i="1" s="1"/>
  <c r="S310" i="1"/>
  <c r="T310" i="1" s="1"/>
  <c r="S311" i="1"/>
  <c r="T311" i="1" s="1"/>
  <c r="S312" i="1"/>
  <c r="T312" i="1" s="1"/>
  <c r="S313" i="1"/>
  <c r="T313" i="1" s="1"/>
  <c r="S314" i="1"/>
  <c r="S315" i="1"/>
  <c r="T315" i="1" s="1"/>
  <c r="S317" i="1"/>
  <c r="T317" i="1" s="1"/>
  <c r="S318" i="1"/>
  <c r="T318" i="1" s="1"/>
  <c r="S319" i="1"/>
  <c r="T319" i="1" s="1"/>
  <c r="S320" i="1"/>
  <c r="T320" i="1" s="1"/>
  <c r="S321" i="1"/>
  <c r="T321" i="1" s="1"/>
  <c r="S322" i="1"/>
  <c r="T322" i="1" s="1"/>
  <c r="S323" i="1"/>
  <c r="T323" i="1" s="1"/>
  <c r="S325" i="1"/>
  <c r="T325" i="1" s="1"/>
  <c r="S326" i="1"/>
  <c r="T326" i="1" s="1"/>
  <c r="S327" i="1"/>
  <c r="T327" i="1" s="1"/>
  <c r="S328" i="1"/>
  <c r="S329" i="1"/>
  <c r="T329" i="1" s="1"/>
  <c r="S330" i="1"/>
  <c r="T330" i="1" s="1"/>
  <c r="S331" i="1"/>
  <c r="T331" i="1" s="1"/>
  <c r="S333" i="1"/>
  <c r="T333" i="1" s="1"/>
  <c r="S334" i="1"/>
  <c r="T334" i="1" s="1"/>
  <c r="S335" i="1"/>
  <c r="T335" i="1" s="1"/>
  <c r="S336" i="1"/>
  <c r="T336" i="1" s="1"/>
  <c r="S337" i="1"/>
  <c r="T337" i="1" s="1"/>
  <c r="S338" i="1"/>
  <c r="T338" i="1" s="1"/>
  <c r="S339" i="1"/>
  <c r="T339" i="1" s="1"/>
  <c r="S341" i="1"/>
  <c r="T341" i="1" s="1"/>
  <c r="S342" i="1"/>
  <c r="T342" i="1" s="1"/>
  <c r="S343" i="1"/>
  <c r="T343" i="1" s="1"/>
  <c r="S344" i="1"/>
  <c r="T344" i="1" s="1"/>
  <c r="S345" i="1"/>
  <c r="T345" i="1" s="1"/>
  <c r="S346" i="1"/>
  <c r="T346" i="1" s="1"/>
  <c r="S347" i="1"/>
  <c r="T347" i="1" s="1"/>
  <c r="S348" i="1"/>
  <c r="T348" i="1" s="1"/>
  <c r="S349" i="1"/>
  <c r="T349" i="1" s="1"/>
  <c r="S350" i="1"/>
  <c r="T350" i="1" s="1"/>
  <c r="S351" i="1"/>
  <c r="T351" i="1" s="1"/>
  <c r="S352" i="1"/>
  <c r="T352" i="1" s="1"/>
  <c r="S353" i="1"/>
  <c r="S354" i="1"/>
  <c r="T354" i="1" s="1"/>
  <c r="S355" i="1"/>
  <c r="T355" i="1" s="1"/>
  <c r="S356" i="1"/>
  <c r="T356" i="1" s="1"/>
  <c r="S357" i="1"/>
  <c r="T357" i="1" s="1"/>
  <c r="S358" i="1"/>
  <c r="T358" i="1" s="1"/>
  <c r="S359" i="1"/>
  <c r="T359" i="1" s="1"/>
  <c r="S360" i="1"/>
  <c r="T360" i="1" s="1"/>
  <c r="S361" i="1"/>
  <c r="S362" i="1"/>
  <c r="T362" i="1" s="1"/>
  <c r="S363" i="1"/>
  <c r="T363" i="1" s="1"/>
  <c r="S364" i="1"/>
  <c r="T364" i="1" s="1"/>
  <c r="S365" i="1"/>
  <c r="T365" i="1" s="1"/>
  <c r="S366" i="1"/>
  <c r="T366" i="1" s="1"/>
  <c r="S367" i="1"/>
  <c r="T367" i="1" s="1"/>
  <c r="S4" i="1"/>
  <c r="T4" i="1" s="1"/>
  <c r="R1" i="1"/>
  <c r="O5" i="1"/>
  <c r="O6" i="1"/>
  <c r="P6" i="1" s="1"/>
  <c r="O7" i="1"/>
  <c r="O8" i="1"/>
  <c r="O9" i="1"/>
  <c r="P9" i="1" s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4" i="1"/>
  <c r="P10" i="1" l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U44" i="1" s="1"/>
  <c r="U45" i="1" s="1"/>
  <c r="U46" i="1" s="1"/>
  <c r="U47" i="1" s="1"/>
  <c r="U48" i="1" s="1"/>
  <c r="U49" i="1" s="1"/>
  <c r="U50" i="1" s="1"/>
  <c r="U51" i="1" s="1"/>
  <c r="U52" i="1" s="1"/>
  <c r="U53" i="1" s="1"/>
  <c r="U54" i="1" s="1"/>
  <c r="U55" i="1" s="1"/>
  <c r="U56" i="1" s="1"/>
  <c r="U57" i="1" s="1"/>
  <c r="U58" i="1" s="1"/>
  <c r="U59" i="1" s="1"/>
  <c r="U60" i="1" s="1"/>
  <c r="U61" i="1" s="1"/>
  <c r="U62" i="1" s="1"/>
  <c r="U63" i="1" s="1"/>
  <c r="U64" i="1" s="1"/>
  <c r="U65" i="1" s="1"/>
  <c r="U66" i="1" s="1"/>
  <c r="U67" i="1" s="1"/>
  <c r="U68" i="1" s="1"/>
  <c r="U69" i="1" s="1"/>
  <c r="U70" i="1" s="1"/>
  <c r="U71" i="1" s="1"/>
  <c r="U72" i="1" s="1"/>
  <c r="U73" i="1" s="1"/>
  <c r="U74" i="1" s="1"/>
  <c r="U75" i="1" s="1"/>
  <c r="U76" i="1" s="1"/>
  <c r="U77" i="1" s="1"/>
  <c r="U78" i="1" s="1"/>
  <c r="U79" i="1" s="1"/>
  <c r="U80" i="1" s="1"/>
  <c r="U81" i="1" s="1"/>
  <c r="U82" i="1" s="1"/>
  <c r="U83" i="1" s="1"/>
  <c r="U84" i="1" s="1"/>
  <c r="U85" i="1" s="1"/>
  <c r="U86" i="1" s="1"/>
  <c r="U87" i="1" s="1"/>
  <c r="U88" i="1" s="1"/>
  <c r="U89" i="1" s="1"/>
  <c r="U90" i="1" s="1"/>
  <c r="U91" i="1" s="1"/>
  <c r="U92" i="1" s="1"/>
  <c r="U93" i="1" s="1"/>
  <c r="U94" i="1" s="1"/>
  <c r="U95" i="1" s="1"/>
  <c r="U96" i="1" s="1"/>
  <c r="U97" i="1" s="1"/>
  <c r="U98" i="1" s="1"/>
  <c r="U99" i="1" s="1"/>
  <c r="U100" i="1" s="1"/>
  <c r="U101" i="1" s="1"/>
  <c r="U102" i="1" s="1"/>
  <c r="U103" i="1" s="1"/>
  <c r="U104" i="1" s="1"/>
  <c r="U105" i="1" s="1"/>
  <c r="U106" i="1" s="1"/>
  <c r="U107" i="1" s="1"/>
  <c r="U108" i="1" s="1"/>
  <c r="U109" i="1" s="1"/>
  <c r="U110" i="1" s="1"/>
  <c r="U111" i="1" s="1"/>
  <c r="U112" i="1" s="1"/>
  <c r="U113" i="1" s="1"/>
  <c r="U114" i="1" s="1"/>
  <c r="U115" i="1" s="1"/>
  <c r="U116" i="1" s="1"/>
  <c r="U117" i="1" s="1"/>
  <c r="U118" i="1" s="1"/>
  <c r="U119" i="1" s="1"/>
  <c r="U120" i="1" s="1"/>
  <c r="U121" i="1" s="1"/>
  <c r="U122" i="1" s="1"/>
  <c r="U123" i="1" s="1"/>
  <c r="X252" i="2"/>
  <c r="X253" i="2" s="1"/>
  <c r="X254" i="2" s="1"/>
  <c r="X255" i="2" s="1"/>
  <c r="X256" i="2" s="1"/>
  <c r="X257" i="2" s="1"/>
  <c r="X258" i="2" s="1"/>
  <c r="X259" i="2" s="1"/>
  <c r="X260" i="2" s="1"/>
  <c r="X261" i="2" s="1"/>
  <c r="X262" i="2" s="1"/>
  <c r="X263" i="2" s="1"/>
  <c r="X264" i="2" s="1"/>
  <c r="X265" i="2" s="1"/>
  <c r="X266" i="2" s="1"/>
  <c r="X267" i="2" s="1"/>
  <c r="X268" i="2" s="1"/>
  <c r="X269" i="2" s="1"/>
  <c r="X270" i="2" s="1"/>
  <c r="X271" i="2" s="1"/>
  <c r="X273" i="2" s="1"/>
  <c r="X274" i="2" s="1"/>
  <c r="X275" i="2" s="1"/>
  <c r="X276" i="2" s="1"/>
  <c r="X277" i="2" s="1"/>
  <c r="X278" i="2" s="1"/>
  <c r="X279" i="2" s="1"/>
  <c r="X280" i="2" s="1"/>
  <c r="X281" i="2" s="1"/>
  <c r="X282" i="2" s="1"/>
  <c r="X283" i="2" s="1"/>
  <c r="X284" i="2" s="1"/>
  <c r="X285" i="2" s="1"/>
  <c r="X286" i="2" s="1"/>
  <c r="X287" i="2" s="1"/>
  <c r="X288" i="2" s="1"/>
  <c r="X289" i="2" s="1"/>
  <c r="X290" i="2" s="1"/>
  <c r="X291" i="2" s="1"/>
  <c r="X292" i="2" s="1"/>
  <c r="X293" i="2" s="1"/>
  <c r="X294" i="2" s="1"/>
  <c r="X295" i="2" s="1"/>
  <c r="X296" i="2" s="1"/>
  <c r="X298" i="2" s="1"/>
  <c r="X299" i="2" s="1"/>
  <c r="X300" i="2" s="1"/>
  <c r="X301" i="2" s="1"/>
  <c r="X302" i="2" s="1"/>
  <c r="X303" i="2" s="1"/>
  <c r="X304" i="2" s="1"/>
  <c r="X305" i="2" s="1"/>
  <c r="X306" i="2" s="1"/>
  <c r="X307" i="2" s="1"/>
  <c r="X308" i="2" s="1"/>
  <c r="X309" i="2" s="1"/>
  <c r="X310" i="2" s="1"/>
  <c r="X311" i="2" s="1"/>
  <c r="X312" i="2" s="1"/>
  <c r="X313" i="2" s="1"/>
  <c r="X315" i="2" s="1"/>
  <c r="X316" i="2" s="1"/>
  <c r="X317" i="2" s="1"/>
  <c r="X318" i="2" s="1"/>
  <c r="X319" i="2" s="1"/>
  <c r="X320" i="2" s="1"/>
  <c r="X321" i="2" s="1"/>
  <c r="X322" i="2" s="1"/>
  <c r="X323" i="2" s="1"/>
  <c r="X324" i="2" s="1"/>
  <c r="X325" i="2" s="1"/>
  <c r="X326" i="2" s="1"/>
  <c r="X327" i="2" s="1"/>
  <c r="X328" i="2" s="1"/>
  <c r="X329" i="2" s="1"/>
  <c r="X330" i="2" s="1"/>
  <c r="X331" i="2" s="1"/>
  <c r="X332" i="2" s="1"/>
  <c r="X333" i="2" s="1"/>
  <c r="X334" i="2" s="1"/>
  <c r="X335" i="2" s="1"/>
  <c r="X337" i="2" s="1"/>
  <c r="X338" i="2" s="1"/>
  <c r="X339" i="2" s="1"/>
  <c r="X340" i="2" s="1"/>
  <c r="X341" i="2" s="1"/>
  <c r="X342" i="2" s="1"/>
  <c r="X343" i="2" s="1"/>
  <c r="X344" i="2" s="1"/>
  <c r="X345" i="2" s="1"/>
  <c r="X346" i="2" s="1"/>
  <c r="X347" i="2" s="1"/>
  <c r="X348" i="2" s="1"/>
  <c r="X349" i="2" s="1"/>
  <c r="X350" i="2" s="1"/>
  <c r="X351" i="2" s="1"/>
  <c r="X352" i="2" s="1"/>
  <c r="X353" i="2" s="1"/>
  <c r="X354" i="2" s="1"/>
  <c r="X355" i="2" s="1"/>
  <c r="X356" i="2" s="1"/>
  <c r="X357" i="2" s="1"/>
  <c r="X358" i="2" s="1"/>
  <c r="X359" i="2" s="1"/>
  <c r="X360" i="2" s="1"/>
  <c r="X361" i="2" s="1"/>
  <c r="X362" i="2" s="1"/>
  <c r="X363" i="2" s="1"/>
  <c r="X364" i="2" s="1"/>
  <c r="X365" i="2" s="1"/>
  <c r="X366" i="2" s="1"/>
  <c r="X367" i="2" s="1"/>
  <c r="P12" i="2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K273" i="2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P34" i="2"/>
  <c r="P35" i="2" s="1"/>
  <c r="P36" i="2" s="1"/>
  <c r="P37" i="2" s="1"/>
  <c r="P38" i="2" s="1"/>
  <c r="P39" i="2" s="1"/>
  <c r="P40" i="2" s="1"/>
  <c r="P41" i="2" s="1"/>
  <c r="P42" i="2" s="1"/>
  <c r="P43" i="2" s="1"/>
  <c r="U44" i="2" s="1"/>
  <c r="X218" i="1"/>
  <c r="X219" i="1" s="1"/>
  <c r="X220" i="1" s="1"/>
  <c r="X221" i="1" s="1"/>
  <c r="X222" i="1" s="1"/>
  <c r="X223" i="1" s="1"/>
  <c r="X224" i="1" s="1"/>
  <c r="X225" i="1" s="1"/>
  <c r="X226" i="1" s="1"/>
  <c r="X227" i="1" s="1"/>
  <c r="X228" i="1" s="1"/>
  <c r="X229" i="1" s="1"/>
  <c r="X230" i="1" s="1"/>
  <c r="X231" i="1" s="1"/>
  <c r="X232" i="1" s="1"/>
  <c r="X233" i="1" s="1"/>
  <c r="X234" i="1" s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70" i="1" s="1"/>
  <c r="X271" i="1" s="1"/>
  <c r="X272" i="1" s="1"/>
  <c r="X273" i="1" s="1"/>
  <c r="X274" i="1" s="1"/>
  <c r="X275" i="1" s="1"/>
  <c r="X276" i="1" s="1"/>
  <c r="X277" i="1" s="1"/>
  <c r="X278" i="1" s="1"/>
  <c r="X279" i="1" s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3" i="1" s="1"/>
  <c r="X314" i="1" s="1"/>
  <c r="X315" i="1" s="1"/>
  <c r="X316" i="1" s="1"/>
  <c r="X317" i="1" s="1"/>
  <c r="X318" i="1" s="1"/>
  <c r="X319" i="1" s="1"/>
  <c r="X320" i="1" s="1"/>
  <c r="X321" i="1" s="1"/>
  <c r="X322" i="1" s="1"/>
  <c r="X323" i="1" s="1"/>
  <c r="X324" i="1" s="1"/>
  <c r="X325" i="1" s="1"/>
  <c r="X326" i="1" s="1"/>
  <c r="X327" i="1" s="1"/>
  <c r="X328" i="1" s="1"/>
  <c r="X329" i="1" s="1"/>
  <c r="X330" i="1" s="1"/>
  <c r="X331" i="1" s="1"/>
  <c r="X332" i="1" s="1"/>
  <c r="X333" i="1" s="1"/>
  <c r="X334" i="1" s="1"/>
  <c r="X336" i="1" s="1"/>
  <c r="X337" i="1" s="1"/>
  <c r="X338" i="1" s="1"/>
  <c r="X339" i="1" s="1"/>
  <c r="X340" i="1" s="1"/>
  <c r="X341" i="1" s="1"/>
  <c r="X342" i="1" s="1"/>
  <c r="X343" i="1" s="1"/>
  <c r="X344" i="1" s="1"/>
  <c r="X345" i="1" s="1"/>
  <c r="X346" i="1" s="1"/>
  <c r="X347" i="1" s="1"/>
  <c r="X348" i="1" s="1"/>
  <c r="X349" i="1" s="1"/>
  <c r="X350" i="1" s="1"/>
  <c r="X351" i="1" s="1"/>
  <c r="X352" i="1" s="1"/>
  <c r="X353" i="1" s="1"/>
  <c r="X354" i="1" s="1"/>
  <c r="X355" i="1" s="1"/>
  <c r="X356" i="1" s="1"/>
  <c r="X357" i="1" s="1"/>
  <c r="X358" i="1" s="1"/>
  <c r="X359" i="1" s="1"/>
  <c r="X360" i="1" s="1"/>
  <c r="X361" i="1" s="1"/>
  <c r="X362" i="1" s="1"/>
  <c r="X363" i="1" s="1"/>
  <c r="X364" i="1" s="1"/>
  <c r="X365" i="1" s="1"/>
  <c r="X366" i="1" s="1"/>
  <c r="X367" i="1" s="1"/>
  <c r="U124" i="1" l="1"/>
  <c r="U125" i="1" s="1"/>
  <c r="U126" i="1" s="1"/>
  <c r="U127" i="1" s="1"/>
  <c r="U128" i="1" s="1"/>
  <c r="U129" i="1" s="1"/>
  <c r="U130" i="1" s="1"/>
  <c r="U131" i="1" s="1"/>
  <c r="U132" i="1" s="1"/>
  <c r="U133" i="1" s="1"/>
  <c r="U134" i="1" s="1"/>
  <c r="U135" i="1" s="1"/>
  <c r="U136" i="1" s="1"/>
  <c r="U137" i="1" s="1"/>
  <c r="U138" i="1" s="1"/>
  <c r="U139" i="1" s="1"/>
  <c r="U140" i="1" s="1"/>
  <c r="U141" i="1" s="1"/>
  <c r="U142" i="1" s="1"/>
  <c r="U143" i="1" s="1"/>
  <c r="U144" i="1" s="1"/>
  <c r="U145" i="1" s="1"/>
  <c r="U146" i="1" s="1"/>
  <c r="U147" i="1" s="1"/>
  <c r="U148" i="1" s="1"/>
  <c r="U149" i="1" s="1"/>
  <c r="U150" i="1" s="1"/>
  <c r="U151" i="1" s="1"/>
  <c r="U152" i="1" s="1"/>
  <c r="U153" i="1" s="1"/>
  <c r="U154" i="1" s="1"/>
  <c r="U155" i="1" s="1"/>
  <c r="U156" i="1" s="1"/>
  <c r="U157" i="1" s="1"/>
  <c r="U158" i="1" s="1"/>
  <c r="U159" i="1" s="1"/>
  <c r="U160" i="1" s="1"/>
  <c r="U161" i="1" s="1"/>
  <c r="U162" i="1" s="1"/>
  <c r="U163" i="1" s="1"/>
  <c r="U164" i="1" s="1"/>
  <c r="U165" i="1" s="1"/>
  <c r="U166" i="1" s="1"/>
  <c r="U167" i="1" s="1"/>
  <c r="U168" i="1" s="1"/>
  <c r="U169" i="1" s="1"/>
  <c r="U170" i="1" s="1"/>
  <c r="U171" i="1" s="1"/>
  <c r="U172" i="1" s="1"/>
  <c r="U173" i="1" s="1"/>
  <c r="U174" i="1" s="1"/>
  <c r="U175" i="1" s="1"/>
  <c r="U176" i="1" s="1"/>
  <c r="U177" i="1" s="1"/>
  <c r="U178" i="1" s="1"/>
  <c r="U179" i="1" s="1"/>
  <c r="U180" i="1" s="1"/>
  <c r="U181" i="1" s="1"/>
  <c r="U182" i="1" s="1"/>
  <c r="U183" i="1" s="1"/>
  <c r="U184" i="1" s="1"/>
  <c r="U185" i="1" s="1"/>
  <c r="U186" i="1" s="1"/>
  <c r="U187" i="1" s="1"/>
  <c r="U188" i="1" s="1"/>
  <c r="U189" i="1" s="1"/>
  <c r="U190" i="1" s="1"/>
  <c r="U191" i="1" s="1"/>
  <c r="U192" i="1" s="1"/>
  <c r="U193" i="1" s="1"/>
  <c r="U194" i="1" s="1"/>
  <c r="U195" i="1" s="1"/>
  <c r="U196" i="1" s="1"/>
  <c r="U197" i="1" s="1"/>
  <c r="U198" i="1" s="1"/>
  <c r="U199" i="1" s="1"/>
  <c r="U200" i="1" s="1"/>
  <c r="U201" i="1" s="1"/>
  <c r="U202" i="1" s="1"/>
  <c r="U203" i="1" s="1"/>
  <c r="U204" i="1" s="1"/>
  <c r="U205" i="1" s="1"/>
  <c r="U206" i="1" s="1"/>
  <c r="U207" i="1" s="1"/>
  <c r="U208" i="1" s="1"/>
  <c r="U209" i="1" s="1"/>
  <c r="U210" i="1" s="1"/>
  <c r="U211" i="1" s="1"/>
  <c r="U212" i="1" s="1"/>
  <c r="U213" i="1" s="1"/>
  <c r="U214" i="1" s="1"/>
  <c r="U215" i="1" s="1"/>
  <c r="U216" i="1" s="1"/>
  <c r="U45" i="2"/>
  <c r="U46" i="2" s="1"/>
  <c r="U47" i="2" s="1"/>
  <c r="U48" i="2" s="1"/>
  <c r="U49" i="2" s="1"/>
  <c r="U50" i="2" s="1"/>
  <c r="U51" i="2" s="1"/>
  <c r="U52" i="2" s="1"/>
  <c r="U53" i="2" s="1"/>
  <c r="U54" i="2" s="1"/>
  <c r="U55" i="2" s="1"/>
  <c r="U56" i="2" s="1"/>
  <c r="U57" i="2" s="1"/>
  <c r="U58" i="2" s="1"/>
  <c r="U59" i="2" s="1"/>
  <c r="U60" i="2" s="1"/>
  <c r="U61" i="2" s="1"/>
  <c r="U62" i="2" s="1"/>
  <c r="U63" i="2" s="1"/>
  <c r="U64" i="2" s="1"/>
  <c r="U65" i="2" s="1"/>
  <c r="U66" i="2" s="1"/>
  <c r="U67" i="2" s="1"/>
  <c r="U68" i="2" s="1"/>
  <c r="U69" i="2" s="1"/>
  <c r="U70" i="2" s="1"/>
  <c r="U71" i="2" s="1"/>
  <c r="U72" i="2" s="1"/>
  <c r="U73" i="2" s="1"/>
  <c r="U74" i="2" s="1"/>
  <c r="U75" i="2" s="1"/>
  <c r="U76" i="2" s="1"/>
  <c r="U77" i="2" s="1"/>
  <c r="U78" i="2" s="1"/>
  <c r="U79" i="2" s="1"/>
  <c r="U80" i="2" s="1"/>
  <c r="U81" i="2" s="1"/>
  <c r="U82" i="2" s="1"/>
  <c r="U83" i="2" s="1"/>
  <c r="U84" i="2" s="1"/>
  <c r="U85" i="2" s="1"/>
  <c r="U86" i="2" s="1"/>
  <c r="U87" i="2" s="1"/>
  <c r="U88" i="2" s="1"/>
  <c r="U89" i="2" s="1"/>
  <c r="U90" i="2" s="1"/>
  <c r="U91" i="2" s="1"/>
  <c r="U92" i="2" s="1"/>
  <c r="U93" i="2" s="1"/>
  <c r="U94" i="2" s="1"/>
  <c r="U95" i="2" s="1"/>
  <c r="U96" i="2" s="1"/>
  <c r="U97" i="2" s="1"/>
  <c r="U98" i="2" s="1"/>
  <c r="U99" i="2" s="1"/>
  <c r="U100" i="2" s="1"/>
  <c r="U101" i="2" s="1"/>
  <c r="U102" i="2" s="1"/>
  <c r="U103" i="2" s="1"/>
  <c r="U104" i="2" s="1"/>
  <c r="U105" i="2" s="1"/>
  <c r="U106" i="2" s="1"/>
  <c r="U107" i="2" s="1"/>
  <c r="U108" i="2" s="1"/>
  <c r="U109" i="2" s="1"/>
  <c r="U110" i="2" s="1"/>
  <c r="U111" i="2" s="1"/>
  <c r="U112" i="2" s="1"/>
  <c r="U113" i="2" s="1"/>
  <c r="U114" i="2" s="1"/>
  <c r="U115" i="2" s="1"/>
  <c r="U116" i="2" s="1"/>
  <c r="U117" i="2" s="1"/>
  <c r="U118" i="2" s="1"/>
  <c r="U119" i="2" s="1"/>
  <c r="U120" i="2" s="1"/>
  <c r="U121" i="2" s="1"/>
  <c r="U122" i="2" s="1"/>
  <c r="U123" i="2" s="1"/>
  <c r="V49" i="1"/>
  <c r="V51" i="1"/>
  <c r="V53" i="1"/>
  <c r="V55" i="1" s="1"/>
  <c r="V49" i="2" l="1"/>
  <c r="V53" i="2"/>
  <c r="V55" i="2" s="1"/>
  <c r="U124" i="2"/>
  <c r="U125" i="2" s="1"/>
  <c r="U126" i="2" s="1"/>
  <c r="U127" i="2" s="1"/>
  <c r="U128" i="2" s="1"/>
  <c r="U129" i="2" s="1"/>
  <c r="U130" i="2" s="1"/>
  <c r="U131" i="2" s="1"/>
  <c r="U132" i="2" s="1"/>
  <c r="U133" i="2" s="1"/>
  <c r="U134" i="2" s="1"/>
  <c r="U135" i="2" s="1"/>
  <c r="U136" i="2" s="1"/>
  <c r="U137" i="2" s="1"/>
  <c r="U138" i="2" s="1"/>
  <c r="U139" i="2" s="1"/>
  <c r="U140" i="2" s="1"/>
  <c r="U141" i="2" s="1"/>
  <c r="U142" i="2" s="1"/>
  <c r="U143" i="2" s="1"/>
  <c r="U144" i="2" s="1"/>
  <c r="U145" i="2" s="1"/>
  <c r="U146" i="2" s="1"/>
  <c r="U147" i="2" s="1"/>
  <c r="U148" i="2" s="1"/>
  <c r="U149" i="2" s="1"/>
  <c r="U150" i="2" s="1"/>
  <c r="U151" i="2" s="1"/>
  <c r="U152" i="2" s="1"/>
  <c r="U153" i="2" s="1"/>
  <c r="U154" i="2" s="1"/>
  <c r="U155" i="2" s="1"/>
  <c r="U156" i="2" s="1"/>
  <c r="U157" i="2" s="1"/>
  <c r="U158" i="2" s="1"/>
  <c r="U159" i="2" s="1"/>
  <c r="U160" i="2" s="1"/>
  <c r="U161" i="2" s="1"/>
  <c r="U162" i="2" s="1"/>
  <c r="U163" i="2" s="1"/>
  <c r="U164" i="2" s="1"/>
  <c r="U165" i="2" s="1"/>
  <c r="U166" i="2" s="1"/>
  <c r="U167" i="2" s="1"/>
  <c r="U168" i="2" s="1"/>
  <c r="U169" i="2" s="1"/>
  <c r="U170" i="2" s="1"/>
  <c r="U171" i="2" s="1"/>
  <c r="U172" i="2" s="1"/>
  <c r="U173" i="2" s="1"/>
  <c r="U174" i="2" s="1"/>
  <c r="U175" i="2" s="1"/>
  <c r="U176" i="2" s="1"/>
  <c r="U177" i="2" s="1"/>
  <c r="U178" i="2" s="1"/>
  <c r="U179" i="2" s="1"/>
  <c r="U180" i="2" s="1"/>
  <c r="U181" i="2" s="1"/>
  <c r="U182" i="2" s="1"/>
  <c r="U183" i="2" s="1"/>
  <c r="U184" i="2" s="1"/>
  <c r="U185" i="2" s="1"/>
  <c r="U186" i="2" s="1"/>
  <c r="U187" i="2" s="1"/>
  <c r="U188" i="2" s="1"/>
  <c r="U189" i="2" s="1"/>
  <c r="U190" i="2" s="1"/>
  <c r="U191" i="2" s="1"/>
  <c r="U192" i="2" s="1"/>
  <c r="U193" i="2" s="1"/>
  <c r="U194" i="2" s="1"/>
  <c r="U195" i="2" s="1"/>
  <c r="U196" i="2" s="1"/>
  <c r="U197" i="2" s="1"/>
  <c r="U198" i="2" s="1"/>
  <c r="U199" i="2" s="1"/>
  <c r="U200" i="2" s="1"/>
  <c r="U201" i="2" s="1"/>
  <c r="U202" i="2" s="1"/>
  <c r="U203" i="2" s="1"/>
  <c r="U204" i="2" s="1"/>
  <c r="U205" i="2" s="1"/>
  <c r="U206" i="2" s="1"/>
  <c r="U207" i="2" s="1"/>
  <c r="U208" i="2" s="1"/>
  <c r="U209" i="2" s="1"/>
  <c r="U210" i="2" s="1"/>
  <c r="U211" i="2" s="1"/>
  <c r="U212" i="2" s="1"/>
  <c r="U213" i="2" s="1"/>
  <c r="U214" i="2" s="1"/>
  <c r="U215" i="2" s="1"/>
  <c r="U216" i="2" s="1"/>
  <c r="V51" i="2"/>
  <c r="V128" i="1"/>
  <c r="V130" i="1"/>
  <c r="V132" i="1"/>
  <c r="V134" i="1" s="1"/>
  <c r="U217" i="1"/>
  <c r="U218" i="1" s="1"/>
  <c r="U219" i="1" s="1"/>
  <c r="U220" i="1" s="1"/>
  <c r="U221" i="1" s="1"/>
  <c r="U222" i="1" s="1"/>
  <c r="U223" i="1" s="1"/>
  <c r="U224" i="1" s="1"/>
  <c r="U225" i="1" s="1"/>
  <c r="U226" i="1" s="1"/>
  <c r="U227" i="1" s="1"/>
  <c r="U228" i="1" s="1"/>
  <c r="U229" i="1" s="1"/>
  <c r="U230" i="1" s="1"/>
  <c r="U231" i="1" s="1"/>
  <c r="U232" i="1" s="1"/>
  <c r="U233" i="1" s="1"/>
  <c r="U234" i="1" s="1"/>
  <c r="U235" i="1" s="1"/>
  <c r="U236" i="1" s="1"/>
  <c r="U237" i="1" s="1"/>
  <c r="U238" i="1" s="1"/>
  <c r="U239" i="1" s="1"/>
  <c r="U240" i="1" s="1"/>
  <c r="U241" i="1" s="1"/>
  <c r="U242" i="1" s="1"/>
  <c r="U243" i="1" s="1"/>
  <c r="U244" i="1" s="1"/>
  <c r="U245" i="1" s="1"/>
  <c r="U246" i="1" s="1"/>
  <c r="U247" i="1" s="1"/>
  <c r="U248" i="1" s="1"/>
  <c r="U249" i="1" l="1"/>
  <c r="U250" i="1" s="1"/>
  <c r="U251" i="1" s="1"/>
  <c r="U252" i="1" s="1"/>
  <c r="U253" i="1" s="1"/>
  <c r="U254" i="1" s="1"/>
  <c r="U255" i="1" s="1"/>
  <c r="U256" i="1" s="1"/>
  <c r="U257" i="1" s="1"/>
  <c r="U258" i="1" s="1"/>
  <c r="U259" i="1" s="1"/>
  <c r="U260" i="1" s="1"/>
  <c r="U261" i="1" s="1"/>
  <c r="U262" i="1" s="1"/>
  <c r="U263" i="1" s="1"/>
  <c r="U264" i="1" s="1"/>
  <c r="U265" i="1" s="1"/>
  <c r="U266" i="1" s="1"/>
  <c r="U267" i="1" s="1"/>
  <c r="U268" i="1" s="1"/>
  <c r="U269" i="1" s="1"/>
  <c r="V128" i="2"/>
  <c r="V221" i="1"/>
  <c r="V132" i="2"/>
  <c r="V134" i="2" s="1"/>
  <c r="V225" i="1"/>
  <c r="V227" i="1" s="1"/>
  <c r="V223" i="1"/>
  <c r="V130" i="2"/>
  <c r="U217" i="2"/>
  <c r="U218" i="2" s="1"/>
  <c r="U219" i="2" s="1"/>
  <c r="U220" i="2" s="1"/>
  <c r="U221" i="2" s="1"/>
  <c r="U222" i="2" s="1"/>
  <c r="U223" i="2" s="1"/>
  <c r="U224" i="2" s="1"/>
  <c r="U225" i="2" s="1"/>
  <c r="U226" i="2" s="1"/>
  <c r="U227" i="2" s="1"/>
  <c r="U228" i="2" s="1"/>
  <c r="U229" i="2" s="1"/>
  <c r="U230" i="2" s="1"/>
  <c r="U231" i="2" s="1"/>
  <c r="U232" i="2" s="1"/>
  <c r="U233" i="2" s="1"/>
  <c r="U234" i="2" s="1"/>
  <c r="U235" i="2" s="1"/>
  <c r="U236" i="2" s="1"/>
  <c r="U237" i="2" s="1"/>
  <c r="U238" i="2" s="1"/>
  <c r="U239" i="2" s="1"/>
  <c r="U240" i="2" s="1"/>
  <c r="U241" i="2" s="1"/>
  <c r="U242" i="2" s="1"/>
  <c r="U243" i="2" s="1"/>
  <c r="U244" i="2" s="1"/>
  <c r="U245" i="2" s="1"/>
  <c r="U246" i="2" s="1"/>
  <c r="U247" i="2" s="1"/>
  <c r="U248" i="2" s="1"/>
  <c r="U249" i="2" s="1"/>
  <c r="U250" i="2" s="1"/>
  <c r="U251" i="2" s="1"/>
  <c r="AA210" i="2" l="1"/>
  <c r="V223" i="2"/>
  <c r="V225" i="2"/>
  <c r="V227" i="2" s="1"/>
  <c r="V221" i="2"/>
  <c r="V257" i="1"/>
  <c r="V259" i="1" s="1"/>
  <c r="U252" i="2"/>
  <c r="U253" i="2" s="1"/>
  <c r="U254" i="2" s="1"/>
  <c r="U255" i="2" s="1"/>
  <c r="U256" i="2" s="1"/>
  <c r="U257" i="2" s="1"/>
  <c r="U258" i="2" s="1"/>
  <c r="U259" i="2" s="1"/>
  <c r="U260" i="2" s="1"/>
  <c r="U261" i="2" s="1"/>
  <c r="U262" i="2" s="1"/>
  <c r="U263" i="2" s="1"/>
  <c r="U264" i="2" s="1"/>
  <c r="U265" i="2" s="1"/>
  <c r="U266" i="2" s="1"/>
  <c r="U267" i="2" s="1"/>
  <c r="U268" i="2" s="1"/>
  <c r="U269" i="2" s="1"/>
  <c r="U270" i="2" s="1"/>
  <c r="U271" i="2" s="1"/>
  <c r="U272" i="2" s="1"/>
  <c r="V253" i="1"/>
  <c r="V255" i="1"/>
  <c r="U270" i="1"/>
  <c r="U271" i="1" s="1"/>
  <c r="U272" i="1" s="1"/>
  <c r="U273" i="1" s="1"/>
  <c r="U274" i="1" s="1"/>
  <c r="U275" i="1" s="1"/>
  <c r="U276" i="1" s="1"/>
  <c r="U277" i="1" s="1"/>
  <c r="U278" i="1" s="1"/>
  <c r="U279" i="1" s="1"/>
  <c r="U280" i="1" s="1"/>
  <c r="U281" i="1" s="1"/>
  <c r="U282" i="1" s="1"/>
  <c r="U283" i="1" s="1"/>
  <c r="U284" i="1" s="1"/>
  <c r="U285" i="1" s="1"/>
  <c r="U286" i="1" s="1"/>
  <c r="U287" i="1" s="1"/>
  <c r="U288" i="1" s="1"/>
  <c r="U289" i="1" s="1"/>
  <c r="U290" i="1" s="1"/>
  <c r="U291" i="1" s="1"/>
  <c r="U292" i="1" s="1"/>
  <c r="U293" i="1" s="1"/>
  <c r="U294" i="1" s="1"/>
  <c r="V256" i="2" l="1"/>
  <c r="U295" i="1"/>
  <c r="U296" i="1" s="1"/>
  <c r="U297" i="1" s="1"/>
  <c r="U298" i="1" s="1"/>
  <c r="U299" i="1" s="1"/>
  <c r="U300" i="1" s="1"/>
  <c r="U301" i="1" s="1"/>
  <c r="U302" i="1" s="1"/>
  <c r="U303" i="1" s="1"/>
  <c r="U304" i="1" s="1"/>
  <c r="U305" i="1" s="1"/>
  <c r="U306" i="1" s="1"/>
  <c r="U307" i="1" s="1"/>
  <c r="U308" i="1" s="1"/>
  <c r="U309" i="1" s="1"/>
  <c r="U310" i="1" s="1"/>
  <c r="U311" i="1" s="1"/>
  <c r="U312" i="1" s="1"/>
  <c r="V260" i="2"/>
  <c r="V262" i="2" s="1"/>
  <c r="V274" i="1"/>
  <c r="V258" i="2"/>
  <c r="V276" i="1"/>
  <c r="V278" i="1"/>
  <c r="V280" i="1" s="1"/>
  <c r="U273" i="2"/>
  <c r="U274" i="2" s="1"/>
  <c r="U275" i="2" s="1"/>
  <c r="U276" i="2" s="1"/>
  <c r="U277" i="2" s="1"/>
  <c r="U278" i="2" s="1"/>
  <c r="U279" i="2" s="1"/>
  <c r="U280" i="2" s="1"/>
  <c r="U281" i="2" s="1"/>
  <c r="U282" i="2" s="1"/>
  <c r="U283" i="2" s="1"/>
  <c r="U284" i="2" s="1"/>
  <c r="U285" i="2" s="1"/>
  <c r="U286" i="2" s="1"/>
  <c r="U287" i="2" s="1"/>
  <c r="U288" i="2" s="1"/>
  <c r="U289" i="2" s="1"/>
  <c r="U290" i="2" s="1"/>
  <c r="U291" i="2" s="1"/>
  <c r="U292" i="2" s="1"/>
  <c r="U293" i="2" s="1"/>
  <c r="U294" i="2" s="1"/>
  <c r="U295" i="2" s="1"/>
  <c r="U296" i="2" s="1"/>
  <c r="U297" i="2" s="1"/>
  <c r="V299" i="1" l="1"/>
  <c r="V301" i="1"/>
  <c r="U298" i="2"/>
  <c r="U299" i="2" s="1"/>
  <c r="U300" i="2" s="1"/>
  <c r="U301" i="2" s="1"/>
  <c r="U302" i="2" s="1"/>
  <c r="U303" i="2" s="1"/>
  <c r="U304" i="2" s="1"/>
  <c r="U305" i="2" s="1"/>
  <c r="U306" i="2" s="1"/>
  <c r="U307" i="2" s="1"/>
  <c r="U308" i="2" s="1"/>
  <c r="U309" i="2" s="1"/>
  <c r="U310" i="2" s="1"/>
  <c r="U311" i="2" s="1"/>
  <c r="U312" i="2" s="1"/>
  <c r="U313" i="2" s="1"/>
  <c r="U314" i="2" s="1"/>
  <c r="V303" i="1"/>
  <c r="V305" i="1" s="1"/>
  <c r="U313" i="1"/>
  <c r="U314" i="1" s="1"/>
  <c r="U315" i="1" s="1"/>
  <c r="U316" i="1" s="1"/>
  <c r="U317" i="1" s="1"/>
  <c r="U318" i="1" s="1"/>
  <c r="U319" i="1" s="1"/>
  <c r="U320" i="1" s="1"/>
  <c r="U321" i="1" s="1"/>
  <c r="U322" i="1" s="1"/>
  <c r="U323" i="1" s="1"/>
  <c r="U324" i="1" s="1"/>
  <c r="U325" i="1" s="1"/>
  <c r="U326" i="1" s="1"/>
  <c r="U327" i="1" s="1"/>
  <c r="U328" i="1" s="1"/>
  <c r="U329" i="1" s="1"/>
  <c r="U330" i="1" s="1"/>
  <c r="U331" i="1" s="1"/>
  <c r="U332" i="1" s="1"/>
  <c r="U333" i="1" s="1"/>
  <c r="U334" i="1" s="1"/>
  <c r="U335" i="1" s="1"/>
  <c r="U336" i="1" s="1"/>
  <c r="U337" i="1" s="1"/>
  <c r="U338" i="1" s="1"/>
  <c r="U339" i="1" s="1"/>
  <c r="U340" i="1" s="1"/>
  <c r="U341" i="1" s="1"/>
  <c r="U342" i="1" s="1"/>
  <c r="U343" i="1" s="1"/>
  <c r="U344" i="1" s="1"/>
  <c r="U345" i="1" s="1"/>
  <c r="U346" i="1" s="1"/>
  <c r="U347" i="1" s="1"/>
  <c r="U348" i="1" s="1"/>
  <c r="U349" i="1" s="1"/>
  <c r="U350" i="1" s="1"/>
  <c r="U351" i="1" s="1"/>
  <c r="U352" i="1" s="1"/>
  <c r="U353" i="1" s="1"/>
  <c r="U354" i="1" s="1"/>
  <c r="U355" i="1" s="1"/>
  <c r="U356" i="1" s="1"/>
  <c r="U357" i="1" s="1"/>
  <c r="U358" i="1" s="1"/>
  <c r="U359" i="1" s="1"/>
  <c r="U360" i="1" s="1"/>
  <c r="U361" i="1" s="1"/>
  <c r="U362" i="1" s="1"/>
  <c r="U363" i="1" s="1"/>
  <c r="U364" i="1" s="1"/>
  <c r="U365" i="1" s="1"/>
  <c r="U366" i="1" s="1"/>
  <c r="U367" i="1" s="1"/>
  <c r="V277" i="2"/>
  <c r="V279" i="2"/>
  <c r="V281" i="2"/>
  <c r="V283" i="2" s="1"/>
  <c r="V302" i="2" l="1"/>
  <c r="V317" i="1"/>
  <c r="V304" i="2"/>
  <c r="V306" i="2"/>
  <c r="V308" i="2" s="1"/>
  <c r="U315" i="2"/>
  <c r="U316" i="2" s="1"/>
  <c r="U317" i="2" s="1"/>
  <c r="U318" i="2" s="1"/>
  <c r="U319" i="2" s="1"/>
  <c r="U320" i="2" s="1"/>
  <c r="U321" i="2" s="1"/>
  <c r="U322" i="2" s="1"/>
  <c r="U323" i="2" s="1"/>
  <c r="U324" i="2" s="1"/>
  <c r="U325" i="2" s="1"/>
  <c r="U326" i="2" s="1"/>
  <c r="U327" i="2" s="1"/>
  <c r="U328" i="2" s="1"/>
  <c r="U329" i="2" s="1"/>
  <c r="U330" i="2" s="1"/>
  <c r="U331" i="2" s="1"/>
  <c r="U332" i="2" s="1"/>
  <c r="U333" i="2" s="1"/>
  <c r="U334" i="2" s="1"/>
  <c r="U335" i="2" s="1"/>
  <c r="U336" i="2" s="1"/>
  <c r="U337" i="2" s="1"/>
  <c r="U338" i="2" s="1"/>
  <c r="U339" i="2" s="1"/>
  <c r="U340" i="2" s="1"/>
  <c r="U341" i="2" s="1"/>
  <c r="U342" i="2" s="1"/>
  <c r="U343" i="2" s="1"/>
  <c r="U344" i="2" s="1"/>
  <c r="U345" i="2" s="1"/>
  <c r="U346" i="2" s="1"/>
  <c r="U347" i="2" s="1"/>
  <c r="U348" i="2" s="1"/>
  <c r="U349" i="2" s="1"/>
  <c r="U350" i="2" s="1"/>
  <c r="U351" i="2" s="1"/>
  <c r="U352" i="2" s="1"/>
  <c r="U353" i="2" s="1"/>
  <c r="U354" i="2" s="1"/>
  <c r="U355" i="2" s="1"/>
  <c r="U356" i="2" s="1"/>
  <c r="U357" i="2" s="1"/>
  <c r="U358" i="2" s="1"/>
  <c r="U359" i="2" s="1"/>
  <c r="U360" i="2" s="1"/>
  <c r="U361" i="2" s="1"/>
  <c r="U362" i="2" s="1"/>
  <c r="U363" i="2" s="1"/>
  <c r="U364" i="2" s="1"/>
  <c r="U365" i="2" s="1"/>
  <c r="U366" i="2" s="1"/>
  <c r="U367" i="2" s="1"/>
  <c r="V319" i="1"/>
  <c r="V321" i="1"/>
  <c r="V323" i="1" s="1"/>
  <c r="V321" i="2" l="1"/>
  <c r="V323" i="2"/>
  <c r="V325" i="2" s="1"/>
  <c r="V319" i="2"/>
</calcChain>
</file>

<file path=xl/sharedStrings.xml><?xml version="1.0" encoding="utf-8"?>
<sst xmlns="http://schemas.openxmlformats.org/spreadsheetml/2006/main" count="335" uniqueCount="91">
  <si>
    <t>LAMBX</t>
  </si>
  <si>
    <t>LAMBY</t>
  </si>
  <si>
    <t>DATE</t>
  </si>
  <si>
    <t>PRELIQ_Q</t>
  </si>
  <si>
    <t>T_Q</t>
  </si>
  <si>
    <t>SSI_Q</t>
  </si>
  <si>
    <t>ETP_Q</t>
  </si>
  <si>
    <t>TINF_H_Q</t>
  </si>
  <si>
    <t>TSUP_H_Q</t>
  </si>
  <si>
    <t>Floraison</t>
  </si>
  <si>
    <t>Vern</t>
  </si>
  <si>
    <t>Période</t>
  </si>
  <si>
    <t>GDD/P</t>
  </si>
  <si>
    <t>GDD/C</t>
  </si>
  <si>
    <t>IPC</t>
  </si>
  <si>
    <t>P-ETP</t>
  </si>
  <si>
    <t>RU init</t>
  </si>
  <si>
    <t>i</t>
  </si>
  <si>
    <t>kc</t>
  </si>
  <si>
    <t>ETM</t>
  </si>
  <si>
    <t>P-ETM</t>
  </si>
  <si>
    <t>WSCi</t>
  </si>
  <si>
    <t>SSI/P</t>
  </si>
  <si>
    <t>Photopériode</t>
  </si>
  <si>
    <t>TEMPERATURE</t>
  </si>
  <si>
    <t>WATER</t>
  </si>
  <si>
    <t>SOLAR</t>
  </si>
  <si>
    <t>RU</t>
  </si>
  <si>
    <t>1/3</t>
  </si>
  <si>
    <t>semis</t>
  </si>
  <si>
    <t>Récolte</t>
  </si>
  <si>
    <t>H</t>
  </si>
  <si>
    <t>FH</t>
  </si>
  <si>
    <t>FLO</t>
  </si>
  <si>
    <t>FIN FLO</t>
  </si>
  <si>
    <t>Fin FLO</t>
  </si>
  <si>
    <t>S</t>
  </si>
  <si>
    <t>F</t>
  </si>
  <si>
    <t>LGDD</t>
  </si>
  <si>
    <t>TMN</t>
  </si>
  <si>
    <t>TMIN</t>
  </si>
  <si>
    <t>TMAX</t>
  </si>
  <si>
    <t>NBD_HT</t>
  </si>
  <si>
    <t>NBD_LT</t>
  </si>
  <si>
    <t>NBD_FR</t>
  </si>
  <si>
    <t>NBD_WD</t>
  </si>
  <si>
    <t>NBD_WS</t>
  </si>
  <si>
    <t>WSC_MIN</t>
  </si>
  <si>
    <t>WSC_MAX</t>
  </si>
  <si>
    <t>WSC_MN</t>
  </si>
  <si>
    <t>SSR</t>
  </si>
  <si>
    <t>QPT</t>
  </si>
  <si>
    <t>NBD_DSR</t>
  </si>
  <si>
    <t>NBD_VERN</t>
  </si>
  <si>
    <t>FALL</t>
  </si>
  <si>
    <t>CLIMATIC WINTER</t>
  </si>
  <si>
    <t>BOLTING</t>
  </si>
  <si>
    <t>FLOWERING</t>
  </si>
  <si>
    <t>P300</t>
  </si>
  <si>
    <t>P600</t>
  </si>
  <si>
    <t>P1000</t>
  </si>
  <si>
    <t>N70</t>
  </si>
  <si>
    <t>IRF</t>
  </si>
  <si>
    <t>TS</t>
  </si>
  <si>
    <t>DRF</t>
  </si>
  <si>
    <t>BI</t>
  </si>
  <si>
    <t>WSC_I</t>
  </si>
  <si>
    <t>TEMP_T_Q</t>
  </si>
  <si>
    <t>TEMP_TINF_H_Q</t>
  </si>
  <si>
    <t>TEMP_TSUP_H_Q</t>
  </si>
  <si>
    <t>TEMP_GDD base 0°</t>
  </si>
  <si>
    <t>TEMP_NA</t>
  </si>
  <si>
    <t>TEMP_VAR</t>
  </si>
  <si>
    <t>E.HYD_PRELIQ_Q</t>
  </si>
  <si>
    <t>E.HYD_Cumul_P</t>
  </si>
  <si>
    <t>E.HYD_ETP_Q</t>
  </si>
  <si>
    <t>E.HYD_Cumul_ETP</t>
  </si>
  <si>
    <t>E.HYD_P-ETP</t>
  </si>
  <si>
    <t>E.HYD_ETAT RU_1</t>
  </si>
  <si>
    <t>E.HYD_i</t>
  </si>
  <si>
    <t>E.HYD_kc</t>
  </si>
  <si>
    <t>E.HYD_ETM</t>
  </si>
  <si>
    <t>E.HYD_P-ETM</t>
  </si>
  <si>
    <t>E.HYD_WSC</t>
  </si>
  <si>
    <t>E.HYD_VAR</t>
  </si>
  <si>
    <t>RAYO_SSI_Q</t>
  </si>
  <si>
    <t>RAYO_QPT_Q</t>
  </si>
  <si>
    <t>RAYO_Cumul_RG</t>
  </si>
  <si>
    <t>RAYO_NA</t>
  </si>
  <si>
    <t>RAYO_VAR</t>
  </si>
  <si>
    <t>Photoperiode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</si>
</sst>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5FC9"/>
        <bgColor indexed="64"/>
      </patternFill>
    </fill>
    <fill>
      <patternFill patternType="solid">
        <fgColor rgb="FFC67DFF"/>
        <bgColor indexed="64"/>
      </patternFill>
    </fill>
    <fill>
      <patternFill patternType="solid">
        <fgColor rgb="FF05A6FF"/>
        <bgColor indexed="64"/>
      </patternFill>
    </fill>
    <fill>
      <patternFill patternType="solid">
        <fgColor rgb="FF0ABFC6"/>
        <bgColor indexed="64"/>
      </patternFill>
    </fill>
    <fill>
      <patternFill patternType="solid">
        <fgColor rgb="FF00CC67"/>
        <bgColor indexed="64"/>
      </patternFill>
    </fill>
    <fill>
      <patternFill patternType="solid">
        <fgColor rgb="FF7BAE02"/>
        <bgColor indexed="64"/>
      </patternFill>
    </fill>
    <fill>
      <patternFill patternType="solid">
        <fgColor rgb="FFCF9C0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4">
    <xf numFmtId="0" fontId="0" fillId="0" borderId="0" xfId="0"/>
    <xf numFmtId="14" fontId="0" fillId="0" borderId="0" xfId="0" applyNumberFormat="1"/>
    <xf numFmtId="0" fontId="16" fillId="0" borderId="0" xfId="0" applyFont="1"/>
    <xf numFmtId="0" fontId="16" fillId="0" borderId="0" xfId="0" quotePrefix="1" applyFont="1"/>
    <xf numFmtId="0" fontId="16" fillId="0" borderId="10" xfId="0" applyFont="1" applyBorder="1"/>
    <xf numFmtId="14" fontId="16" fillId="0" borderId="10" xfId="0" applyNumberFormat="1" applyFont="1" applyBorder="1"/>
    <xf numFmtId="0" fontId="0" fillId="0" borderId="10" xfId="0" applyBorder="1"/>
    <xf numFmtId="0" fontId="16" fillId="33" borderId="11" xfId="0" applyFont="1" applyFill="1" applyBorder="1"/>
    <xf numFmtId="0" fontId="0" fillId="0" borderId="11" xfId="0" applyBorder="1"/>
    <xf numFmtId="164" fontId="0" fillId="0" borderId="11" xfId="0" applyNumberFormat="1" applyBorder="1"/>
    <xf numFmtId="0" fontId="16" fillId="33" borderId="0" xfId="0" applyFont="1" applyFill="1"/>
    <xf numFmtId="2" fontId="0" fillId="0" borderId="0" xfId="0" applyNumberFormat="1"/>
    <xf numFmtId="164" fontId="0" fillId="0" borderId="0" xfId="0" applyNumberFormat="1"/>
    <xf numFmtId="0" fontId="16" fillId="34" borderId="11" xfId="0" applyFont="1" applyFill="1" applyBorder="1"/>
    <xf numFmtId="0" fontId="16" fillId="34" borderId="0" xfId="0" applyFont="1" applyFill="1"/>
    <xf numFmtId="0" fontId="16" fillId="35" borderId="11" xfId="0" applyFont="1" applyFill="1" applyBorder="1"/>
    <xf numFmtId="0" fontId="16" fillId="35" borderId="0" xfId="0" applyFont="1" applyFill="1"/>
    <xf numFmtId="0" fontId="16" fillId="36" borderId="11" xfId="0" applyFont="1" applyFill="1" applyBorder="1"/>
    <xf numFmtId="0" fontId="16" fillId="36" borderId="0" xfId="0" applyFont="1" applyFill="1"/>
    <xf numFmtId="0" fontId="16" fillId="37" borderId="11" xfId="0" applyFont="1" applyFill="1" applyBorder="1"/>
    <xf numFmtId="0" fontId="16" fillId="37" borderId="0" xfId="0" applyFont="1" applyFill="1"/>
    <xf numFmtId="0" fontId="16" fillId="38" borderId="11" xfId="0" applyFont="1" applyFill="1" applyBorder="1"/>
    <xf numFmtId="0" fontId="16" fillId="38" borderId="0" xfId="0" applyFont="1" applyFill="1"/>
    <xf numFmtId="0" fontId="16" fillId="39" borderId="11" xfId="0" applyFont="1" applyFill="1" applyBorder="1"/>
    <xf numFmtId="0" fontId="16" fillId="39" borderId="0" xfId="0" applyFont="1" applyFill="1"/>
    <xf numFmtId="0" fontId="0" fillId="40" borderId="0" xfId="0" applyFill="1"/>
    <xf numFmtId="14" fontId="0" fillId="40" borderId="0" xfId="0" applyNumberFormat="1" applyFill="1"/>
    <xf numFmtId="164" fontId="0" fillId="40" borderId="11" xfId="0" applyNumberFormat="1" applyFill="1" applyBorder="1"/>
    <xf numFmtId="0" fontId="0" fillId="41" borderId="0" xfId="0" applyFill="1"/>
    <xf numFmtId="0" fontId="16" fillId="41" borderId="10" xfId="0" applyFont="1" applyFill="1" applyBorder="1"/>
    <xf numFmtId="0" fontId="18" fillId="0" borderId="0" xfId="0" applyFont="1" applyAlignment="1">
      <alignment vertical="center"/>
    </xf>
    <xf numFmtId="0" fontId="16" fillId="36" borderId="12" xfId="0" applyFont="1" applyFill="1" applyBorder="1" applyAlignment="1">
      <alignment horizontal="center" vertical="center" textRotation="255"/>
    </xf>
    <xf numFmtId="0" fontId="16" fillId="36" borderId="0" xfId="0" applyFont="1" applyFill="1" applyAlignment="1">
      <alignment horizontal="center" vertical="center" textRotation="255"/>
    </xf>
    <xf numFmtId="0" fontId="16" fillId="36" borderId="10" xfId="0" applyFont="1" applyFill="1" applyBorder="1" applyAlignment="1">
      <alignment horizontal="center" vertical="center" textRotation="255"/>
    </xf>
    <xf numFmtId="0" fontId="16" fillId="37" borderId="12" xfId="0" applyFont="1" applyFill="1" applyBorder="1" applyAlignment="1">
      <alignment horizontal="center" vertical="center" textRotation="255"/>
    </xf>
    <xf numFmtId="0" fontId="16" fillId="37" borderId="0" xfId="0" applyFont="1" applyFill="1" applyAlignment="1">
      <alignment horizontal="center" vertical="center" textRotation="255"/>
    </xf>
    <xf numFmtId="0" fontId="16" fillId="37" borderId="10" xfId="0" applyFont="1" applyFill="1" applyBorder="1" applyAlignment="1">
      <alignment horizontal="center" vertical="center" textRotation="255"/>
    </xf>
    <xf numFmtId="0" fontId="16" fillId="38" borderId="12" xfId="0" applyFont="1" applyFill="1" applyBorder="1" applyAlignment="1">
      <alignment horizontal="center" vertical="center" textRotation="255"/>
    </xf>
    <xf numFmtId="0" fontId="16" fillId="38" borderId="0" xfId="0" applyFont="1" applyFill="1" applyAlignment="1">
      <alignment horizontal="center" vertical="center" textRotation="255"/>
    </xf>
    <xf numFmtId="0" fontId="16" fillId="38" borderId="10" xfId="0" applyFont="1" applyFill="1" applyBorder="1" applyAlignment="1">
      <alignment horizontal="center" vertical="center" textRotation="255"/>
    </xf>
    <xf numFmtId="0" fontId="16" fillId="39" borderId="12" xfId="0" applyFont="1" applyFill="1" applyBorder="1" applyAlignment="1">
      <alignment horizontal="center" vertical="center" textRotation="255"/>
    </xf>
    <xf numFmtId="0" fontId="16" fillId="39" borderId="0" xfId="0" applyFont="1" applyFill="1" applyAlignment="1">
      <alignment horizontal="center" vertical="center" textRotation="255"/>
    </xf>
    <xf numFmtId="0" fontId="16" fillId="39" borderId="10" xfId="0" applyFont="1" applyFill="1" applyBorder="1" applyAlignment="1">
      <alignment horizontal="center" vertical="center" textRotation="255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center" vertical="center"/>
    </xf>
    <xf numFmtId="0" fontId="16" fillId="33" borderId="12" xfId="0" applyFont="1" applyFill="1" applyBorder="1" applyAlignment="1">
      <alignment horizontal="center" vertical="center" textRotation="255"/>
    </xf>
    <xf numFmtId="0" fontId="16" fillId="33" borderId="0" xfId="0" applyFont="1" applyFill="1" applyAlignment="1">
      <alignment horizontal="center" vertical="center" textRotation="255"/>
    </xf>
    <xf numFmtId="0" fontId="16" fillId="33" borderId="10" xfId="0" applyFont="1" applyFill="1" applyBorder="1" applyAlignment="1">
      <alignment horizontal="center" vertical="center" textRotation="255"/>
    </xf>
    <xf numFmtId="0" fontId="16" fillId="34" borderId="12" xfId="0" applyFont="1" applyFill="1" applyBorder="1" applyAlignment="1">
      <alignment horizontal="center" vertical="center" textRotation="255"/>
    </xf>
    <xf numFmtId="0" fontId="16" fillId="34" borderId="0" xfId="0" applyFont="1" applyFill="1" applyAlignment="1">
      <alignment horizontal="center" vertical="center" textRotation="255"/>
    </xf>
    <xf numFmtId="0" fontId="16" fillId="34" borderId="10" xfId="0" applyFont="1" applyFill="1" applyBorder="1" applyAlignment="1">
      <alignment horizontal="center" vertical="center" textRotation="255"/>
    </xf>
    <xf numFmtId="0" fontId="16" fillId="35" borderId="12" xfId="0" applyFont="1" applyFill="1" applyBorder="1" applyAlignment="1">
      <alignment horizontal="center" vertical="center" textRotation="255"/>
    </xf>
    <xf numFmtId="0" fontId="16" fillId="35" borderId="0" xfId="0" applyFont="1" applyFill="1" applyAlignment="1">
      <alignment horizontal="center" vertical="center" textRotation="255"/>
    </xf>
    <xf numFmtId="0" fontId="16" fillId="35" borderId="10" xfId="0" applyFont="1" applyFill="1" applyBorder="1" applyAlignment="1">
      <alignment horizontal="center" vertical="center" textRotation="255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6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0" tint="-0.34998626667073579"/>
        </patternFill>
      </fill>
    </dxf>
    <dxf>
      <fill>
        <patternFill>
          <bgColor theme="7" tint="-0.499984740745262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ill>
        <patternFill>
          <bgColor theme="5" tint="0.39994506668294322"/>
        </patternFill>
      </fill>
    </dxf>
    <dxf>
      <fill>
        <patternFill>
          <bgColor rgb="FFC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theme="4"/>
        </patternFill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4" tint="0.39994506668294322"/>
        </patternFill>
      </fill>
    </dxf>
    <dxf>
      <fill>
        <patternFill>
          <bgColor rgb="FF00B0F0"/>
        </patternFill>
      </fill>
    </dxf>
    <dxf>
      <fill>
        <patternFill>
          <bgColor theme="0" tint="-0.3499862666707357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872272-E1F3-4D95-9041-E37306760A54}">
  <dimension ref="A1:Y325"/>
  <sheetViews>
    <sheetView tabSelected="1" workbookViewId="0">
      <selection activeCell="C7" sqref="C7"/>
    </sheetView>
  </sheetViews>
  <sheetFormatPr baseColWidth="10" defaultRowHeight="14.5" x14ac:dyDescent="0.35"/>
  <cols>
    <col min="8" max="8" width="16.08984375" customWidth="1"/>
  </cols>
  <sheetData>
    <row r="1" spans="1:25" x14ac:dyDescent="0.35">
      <c r="A1" t="s">
        <v>2</v>
      </c>
      <c r="B1" s="30" t="s">
        <v>67</v>
      </c>
      <c r="C1" s="30" t="s">
        <v>68</v>
      </c>
      <c r="D1" s="30" t="s">
        <v>69</v>
      </c>
      <c r="E1" s="30" t="s">
        <v>70</v>
      </c>
      <c r="F1" s="30" t="s">
        <v>71</v>
      </c>
      <c r="G1" s="30" t="s">
        <v>72</v>
      </c>
      <c r="H1" s="30" t="s">
        <v>73</v>
      </c>
      <c r="I1" s="30" t="s">
        <v>74</v>
      </c>
      <c r="J1" s="30" t="s">
        <v>75</v>
      </c>
      <c r="K1" s="30" t="s">
        <v>76</v>
      </c>
      <c r="L1" s="30" t="s">
        <v>77</v>
      </c>
      <c r="M1" s="30" t="s">
        <v>78</v>
      </c>
      <c r="N1" s="30" t="s">
        <v>79</v>
      </c>
      <c r="O1" s="30" t="s">
        <v>80</v>
      </c>
      <c r="P1" s="30" t="s">
        <v>81</v>
      </c>
      <c r="Q1" s="30" t="s">
        <v>82</v>
      </c>
      <c r="R1" s="30" t="s">
        <v>83</v>
      </c>
      <c r="S1" s="30" t="s">
        <v>84</v>
      </c>
      <c r="T1" s="30" t="s">
        <v>85</v>
      </c>
      <c r="U1" s="30" t="s">
        <v>86</v>
      </c>
      <c r="V1" s="30" t="s">
        <v>87</v>
      </c>
      <c r="W1" s="30" t="s">
        <v>88</v>
      </c>
      <c r="X1" s="30" t="s">
        <v>89</v>
      </c>
      <c r="Y1" s="30" t="s">
        <v>90</v>
      </c>
    </row>
    <row r="2" spans="1:25" x14ac:dyDescent="0.35">
      <c r="A2" s="1">
        <v>42989</v>
      </c>
      <c r="B2">
        <v>14</v>
      </c>
      <c r="C2">
        <v>12</v>
      </c>
      <c r="D2">
        <v>16.899999999999999</v>
      </c>
      <c r="E2">
        <v>14</v>
      </c>
      <c r="H2">
        <v>1</v>
      </c>
      <c r="J2">
        <v>2.1</v>
      </c>
      <c r="L2">
        <v>-1.1000000000000001</v>
      </c>
      <c r="N2">
        <v>1</v>
      </c>
      <c r="O2">
        <v>0.35</v>
      </c>
      <c r="P2">
        <v>0.73499999999999999</v>
      </c>
      <c r="Q2">
        <v>0.26500000000000001</v>
      </c>
      <c r="R2">
        <v>28.064999999999998</v>
      </c>
      <c r="T2">
        <v>914.6</v>
      </c>
      <c r="V2">
        <v>914.6</v>
      </c>
      <c r="Y2">
        <v>12.568704218592236</v>
      </c>
    </row>
    <row r="3" spans="1:25" x14ac:dyDescent="0.35">
      <c r="A3" s="1">
        <v>42990</v>
      </c>
      <c r="B3">
        <v>14.6</v>
      </c>
      <c r="C3">
        <v>10.7</v>
      </c>
      <c r="D3">
        <v>17.600000000000001</v>
      </c>
      <c r="E3">
        <v>28.6</v>
      </c>
      <c r="H3">
        <v>0.6</v>
      </c>
      <c r="J3">
        <v>2.2000000000000002</v>
      </c>
      <c r="L3">
        <v>-1.6</v>
      </c>
      <c r="N3">
        <v>2</v>
      </c>
      <c r="O3">
        <v>0.35</v>
      </c>
      <c r="P3">
        <v>0.77</v>
      </c>
      <c r="Q3">
        <v>-0.17000000000000004</v>
      </c>
      <c r="R3">
        <v>27.894999999999996</v>
      </c>
      <c r="T3">
        <v>1135.7</v>
      </c>
      <c r="V3">
        <v>2050.3000000000002</v>
      </c>
      <c r="Y3">
        <v>12.509050879219823</v>
      </c>
    </row>
    <row r="4" spans="1:25" x14ac:dyDescent="0.35">
      <c r="A4" s="1">
        <v>42991</v>
      </c>
      <c r="B4">
        <v>15.3</v>
      </c>
      <c r="C4">
        <v>13.8</v>
      </c>
      <c r="D4">
        <v>17.100000000000001</v>
      </c>
      <c r="E4">
        <v>43.900000000000006</v>
      </c>
      <c r="H4">
        <v>13.3</v>
      </c>
      <c r="J4">
        <v>0.7</v>
      </c>
      <c r="L4">
        <v>12.600000000000001</v>
      </c>
      <c r="N4">
        <v>3</v>
      </c>
      <c r="O4">
        <v>0.35</v>
      </c>
      <c r="P4">
        <v>0.24499999999999997</v>
      </c>
      <c r="Q4">
        <v>13.055000000000001</v>
      </c>
      <c r="R4">
        <v>40.949999999999996</v>
      </c>
      <c r="T4">
        <v>313.89999999999998</v>
      </c>
      <c r="V4">
        <v>2364.2000000000003</v>
      </c>
      <c r="Y4">
        <v>12.449326935536673</v>
      </c>
    </row>
    <row r="5" spans="1:25" x14ac:dyDescent="0.35">
      <c r="A5" s="1">
        <v>42992</v>
      </c>
      <c r="B5">
        <v>12.8</v>
      </c>
      <c r="C5">
        <v>9.8000000000000007</v>
      </c>
      <c r="D5">
        <v>15.9</v>
      </c>
      <c r="E5">
        <v>56.7</v>
      </c>
      <c r="H5">
        <v>0.4</v>
      </c>
      <c r="J5">
        <v>2.1</v>
      </c>
      <c r="L5">
        <v>-1.7000000000000002</v>
      </c>
      <c r="N5">
        <v>4</v>
      </c>
      <c r="O5">
        <v>0.35</v>
      </c>
      <c r="P5">
        <v>0.73499999999999999</v>
      </c>
      <c r="Q5">
        <v>-0.33499999999999996</v>
      </c>
      <c r="R5">
        <v>40.614999999999995</v>
      </c>
      <c r="T5">
        <v>1494.2</v>
      </c>
      <c r="V5">
        <v>3858.4000000000005</v>
      </c>
      <c r="Y5">
        <v>12.389540997661971</v>
      </c>
    </row>
    <row r="6" spans="1:25" x14ac:dyDescent="0.35">
      <c r="A6" s="1">
        <v>42993</v>
      </c>
      <c r="B6">
        <v>11.1</v>
      </c>
      <c r="C6">
        <v>7.7</v>
      </c>
      <c r="D6">
        <v>15</v>
      </c>
      <c r="E6">
        <v>67.8</v>
      </c>
      <c r="H6">
        <v>0.9</v>
      </c>
      <c r="J6">
        <v>1.2</v>
      </c>
      <c r="L6">
        <v>-0.29999999999999993</v>
      </c>
      <c r="N6">
        <v>5</v>
      </c>
      <c r="O6">
        <v>0.35</v>
      </c>
      <c r="P6">
        <v>0.42</v>
      </c>
      <c r="Q6">
        <v>0.48000000000000004</v>
      </c>
      <c r="R6">
        <v>41.094999999999992</v>
      </c>
      <c r="T6">
        <v>833.1</v>
      </c>
      <c r="V6">
        <v>4691.5000000000009</v>
      </c>
      <c r="Y6">
        <v>12.329701562045148</v>
      </c>
    </row>
    <row r="7" spans="1:25" x14ac:dyDescent="0.35">
      <c r="A7" s="1">
        <v>42994</v>
      </c>
      <c r="B7">
        <v>10.3</v>
      </c>
      <c r="C7">
        <v>6.3</v>
      </c>
      <c r="D7">
        <v>13.9</v>
      </c>
      <c r="E7">
        <v>78.099999999999994</v>
      </c>
      <c r="H7">
        <v>7.7</v>
      </c>
      <c r="J7">
        <v>0.6</v>
      </c>
      <c r="L7">
        <v>7.1000000000000005</v>
      </c>
      <c r="N7">
        <v>6</v>
      </c>
      <c r="O7">
        <v>0.35878378378378378</v>
      </c>
      <c r="P7">
        <v>0.21527027027027026</v>
      </c>
      <c r="Q7">
        <v>7.4847297297297297</v>
      </c>
      <c r="R7">
        <v>48.579729729729721</v>
      </c>
      <c r="T7">
        <v>699.8</v>
      </c>
      <c r="V7">
        <v>5391.3000000000011</v>
      </c>
      <c r="Y7">
        <v>12.26981702646764</v>
      </c>
    </row>
    <row r="8" spans="1:25" x14ac:dyDescent="0.35">
      <c r="A8" s="1">
        <v>42995</v>
      </c>
      <c r="B8">
        <v>12</v>
      </c>
      <c r="C8">
        <v>9.6</v>
      </c>
      <c r="D8">
        <v>15.9</v>
      </c>
      <c r="E8">
        <v>90.1</v>
      </c>
      <c r="H8">
        <v>0.9</v>
      </c>
      <c r="J8">
        <v>1.2</v>
      </c>
      <c r="L8">
        <v>-0.29999999999999993</v>
      </c>
      <c r="N8">
        <v>7</v>
      </c>
      <c r="O8">
        <v>0.36756756756756753</v>
      </c>
      <c r="P8">
        <v>0.44108108108108102</v>
      </c>
      <c r="Q8">
        <v>0.45891891891891901</v>
      </c>
      <c r="R8">
        <v>49.038648648648639</v>
      </c>
      <c r="T8">
        <v>733.8</v>
      </c>
      <c r="V8">
        <v>6125.1000000000013</v>
      </c>
      <c r="Y8">
        <v>12.209895705112354</v>
      </c>
    </row>
    <row r="9" spans="1:25" x14ac:dyDescent="0.35">
      <c r="A9" s="1">
        <v>42996</v>
      </c>
      <c r="B9">
        <v>11.8</v>
      </c>
      <c r="C9">
        <v>5.9</v>
      </c>
      <c r="D9">
        <v>16.899999999999999</v>
      </c>
      <c r="E9">
        <v>101.89999999999999</v>
      </c>
      <c r="H9">
        <v>0.9</v>
      </c>
      <c r="J9">
        <v>1.5</v>
      </c>
      <c r="L9">
        <v>-0.6</v>
      </c>
      <c r="N9">
        <v>8</v>
      </c>
      <c r="O9">
        <v>0.37635135135135134</v>
      </c>
      <c r="P9">
        <v>0.56452702702702706</v>
      </c>
      <c r="Q9">
        <v>0.33547297297297296</v>
      </c>
      <c r="R9">
        <v>49.374121621621612</v>
      </c>
      <c r="T9">
        <v>1051</v>
      </c>
      <c r="V9">
        <v>7176.1000000000013</v>
      </c>
      <c r="Y9">
        <v>12.149945843689196</v>
      </c>
    </row>
    <row r="10" spans="1:25" x14ac:dyDescent="0.35">
      <c r="A10" s="1">
        <v>42997</v>
      </c>
      <c r="B10">
        <v>13.6</v>
      </c>
      <c r="C10">
        <v>10.6</v>
      </c>
      <c r="D10">
        <v>17.3</v>
      </c>
      <c r="E10">
        <v>115.49999999999999</v>
      </c>
      <c r="H10">
        <v>0.1</v>
      </c>
      <c r="J10">
        <v>2.4</v>
      </c>
      <c r="L10">
        <v>-2.2999999999999998</v>
      </c>
      <c r="N10">
        <v>9</v>
      </c>
      <c r="O10">
        <v>0.38513513513513509</v>
      </c>
      <c r="P10">
        <v>0.92432432432432421</v>
      </c>
      <c r="Q10">
        <v>-0.82432432432432423</v>
      </c>
      <c r="R10">
        <v>48.549797297297289</v>
      </c>
      <c r="T10">
        <v>1424.5</v>
      </c>
      <c r="V10">
        <v>8600.6000000000022</v>
      </c>
      <c r="Y10">
        <v>12.089975634605578</v>
      </c>
    </row>
    <row r="11" spans="1:25" x14ac:dyDescent="0.35">
      <c r="A11" s="1">
        <v>42998</v>
      </c>
      <c r="B11">
        <v>13</v>
      </c>
      <c r="C11">
        <v>9</v>
      </c>
      <c r="D11">
        <v>16.7</v>
      </c>
      <c r="E11">
        <v>128.5</v>
      </c>
      <c r="H11">
        <v>0.1</v>
      </c>
      <c r="J11">
        <v>1.5</v>
      </c>
      <c r="L11">
        <v>-1.4</v>
      </c>
      <c r="N11">
        <v>10</v>
      </c>
      <c r="O11">
        <v>0.39391891891891889</v>
      </c>
      <c r="P11">
        <v>0.59087837837837831</v>
      </c>
      <c r="Q11">
        <v>-0.49087837837837833</v>
      </c>
      <c r="R11">
        <v>48.058918918918913</v>
      </c>
      <c r="T11">
        <v>802.7</v>
      </c>
      <c r="V11">
        <v>9403.3000000000029</v>
      </c>
      <c r="Y11">
        <v>12.029993232171435</v>
      </c>
    </row>
    <row r="12" spans="1:25" x14ac:dyDescent="0.35">
      <c r="A12" s="1">
        <v>42999</v>
      </c>
      <c r="B12">
        <v>12.7</v>
      </c>
      <c r="C12">
        <v>8.6999999999999993</v>
      </c>
      <c r="D12">
        <v>19.399999999999999</v>
      </c>
      <c r="E12">
        <v>141.19999999999999</v>
      </c>
      <c r="H12">
        <v>9.5</v>
      </c>
      <c r="J12">
        <v>1.8</v>
      </c>
      <c r="L12">
        <v>7.7</v>
      </c>
      <c r="N12">
        <v>11</v>
      </c>
      <c r="O12">
        <v>0.4027027027027027</v>
      </c>
      <c r="P12">
        <v>0.7248648648648649</v>
      </c>
      <c r="Q12">
        <v>8.7751351351351357</v>
      </c>
      <c r="R12">
        <v>56.83405405405405</v>
      </c>
      <c r="T12">
        <v>811.7</v>
      </c>
      <c r="V12">
        <v>10215.000000000004</v>
      </c>
      <c r="Y12">
        <v>11.970006767828563</v>
      </c>
    </row>
    <row r="13" spans="1:25" x14ac:dyDescent="0.35">
      <c r="A13" s="1">
        <v>43000</v>
      </c>
      <c r="B13">
        <v>12.1</v>
      </c>
      <c r="C13">
        <v>6.5</v>
      </c>
      <c r="D13">
        <v>17</v>
      </c>
      <c r="E13">
        <v>153.29999999999998</v>
      </c>
      <c r="H13">
        <v>0.1</v>
      </c>
      <c r="J13">
        <v>2.7</v>
      </c>
      <c r="L13">
        <v>-2.6</v>
      </c>
      <c r="N13">
        <v>12</v>
      </c>
      <c r="O13">
        <v>0.41148648648648645</v>
      </c>
      <c r="P13">
        <v>1.1110135135135135</v>
      </c>
      <c r="Q13">
        <v>-1.0110135135135134</v>
      </c>
      <c r="R13">
        <v>55.823040540540539</v>
      </c>
      <c r="T13">
        <v>1746.3</v>
      </c>
      <c r="V13">
        <v>11961.300000000003</v>
      </c>
      <c r="Y13">
        <v>11.910024365394424</v>
      </c>
    </row>
    <row r="14" spans="1:25" x14ac:dyDescent="0.35">
      <c r="A14" s="1">
        <v>43001</v>
      </c>
      <c r="B14">
        <v>14.5</v>
      </c>
      <c r="C14">
        <v>7.4</v>
      </c>
      <c r="D14">
        <v>19.600000000000001</v>
      </c>
      <c r="E14">
        <v>167.79999999999998</v>
      </c>
      <c r="H14">
        <v>0</v>
      </c>
      <c r="J14">
        <v>2.6</v>
      </c>
      <c r="L14">
        <v>-2.6</v>
      </c>
      <c r="N14">
        <v>13</v>
      </c>
      <c r="O14">
        <v>0.42027027027027025</v>
      </c>
      <c r="P14">
        <v>1.0927027027027028</v>
      </c>
      <c r="Q14">
        <v>-1.0927027027027028</v>
      </c>
      <c r="R14">
        <v>54.730337837837837</v>
      </c>
      <c r="T14">
        <v>1676.1</v>
      </c>
      <c r="V14">
        <v>13637.400000000003</v>
      </c>
      <c r="Y14">
        <v>11.850054156310808</v>
      </c>
    </row>
    <row r="15" spans="1:25" x14ac:dyDescent="0.35">
      <c r="A15" s="1">
        <v>43002</v>
      </c>
      <c r="B15">
        <v>16.399999999999999</v>
      </c>
      <c r="C15">
        <v>12</v>
      </c>
      <c r="D15">
        <v>19.8</v>
      </c>
      <c r="E15">
        <v>184.2</v>
      </c>
      <c r="H15">
        <v>11.3</v>
      </c>
      <c r="J15">
        <v>1.2</v>
      </c>
      <c r="L15">
        <v>10.100000000000001</v>
      </c>
      <c r="N15">
        <v>14</v>
      </c>
      <c r="O15">
        <v>0.42905405405405406</v>
      </c>
      <c r="P15">
        <v>0.51486486486486482</v>
      </c>
      <c r="Q15">
        <v>10.785135135135135</v>
      </c>
      <c r="R15">
        <v>65.515472972972972</v>
      </c>
      <c r="T15">
        <v>688.7</v>
      </c>
      <c r="V15">
        <v>14326.100000000004</v>
      </c>
      <c r="Y15">
        <v>11.790104294887646</v>
      </c>
    </row>
    <row r="16" spans="1:25" x14ac:dyDescent="0.35">
      <c r="A16" s="1">
        <v>43003</v>
      </c>
      <c r="B16">
        <v>15.8</v>
      </c>
      <c r="C16">
        <v>15.3</v>
      </c>
      <c r="D16">
        <v>18</v>
      </c>
      <c r="E16">
        <v>200</v>
      </c>
      <c r="H16">
        <v>2.6</v>
      </c>
      <c r="J16">
        <v>0.9</v>
      </c>
      <c r="L16">
        <v>1.7000000000000002</v>
      </c>
      <c r="N16">
        <v>15</v>
      </c>
      <c r="O16">
        <v>0.43783783783783781</v>
      </c>
      <c r="P16">
        <v>0.39405405405405403</v>
      </c>
      <c r="Q16">
        <v>2.2059459459459463</v>
      </c>
      <c r="R16">
        <v>67.721418918918914</v>
      </c>
      <c r="T16">
        <v>288.2</v>
      </c>
      <c r="V16">
        <v>14614.300000000005</v>
      </c>
      <c r="Y16">
        <v>11.730182973532362</v>
      </c>
    </row>
    <row r="17" spans="1:25" x14ac:dyDescent="0.35">
      <c r="A17" s="1">
        <v>43004</v>
      </c>
      <c r="B17">
        <v>14.7</v>
      </c>
      <c r="C17">
        <v>12.2</v>
      </c>
      <c r="D17">
        <v>17.100000000000001</v>
      </c>
      <c r="E17">
        <v>214.7</v>
      </c>
      <c r="H17">
        <v>0.2</v>
      </c>
      <c r="J17">
        <v>0.6</v>
      </c>
      <c r="L17">
        <v>-0.39999999999999997</v>
      </c>
      <c r="N17">
        <v>16</v>
      </c>
      <c r="O17">
        <v>0.44662162162162161</v>
      </c>
      <c r="P17">
        <v>0.26797297297297296</v>
      </c>
      <c r="Q17">
        <v>-6.7972972972972945E-2</v>
      </c>
      <c r="R17">
        <v>67.653445945945947</v>
      </c>
      <c r="T17">
        <v>452.6</v>
      </c>
      <c r="V17">
        <v>15066.900000000005</v>
      </c>
      <c r="Y17">
        <v>11.67029843795485</v>
      </c>
    </row>
    <row r="18" spans="1:25" x14ac:dyDescent="0.35">
      <c r="A18" s="1">
        <v>43005</v>
      </c>
      <c r="B18">
        <v>15.2</v>
      </c>
      <c r="C18">
        <v>10.9</v>
      </c>
      <c r="D18">
        <v>20</v>
      </c>
      <c r="E18">
        <v>229.89999999999998</v>
      </c>
      <c r="H18">
        <v>4.3</v>
      </c>
      <c r="J18">
        <v>2</v>
      </c>
      <c r="L18">
        <v>2.2999999999999998</v>
      </c>
      <c r="N18">
        <v>17</v>
      </c>
      <c r="O18">
        <v>0.45540540540540542</v>
      </c>
      <c r="P18">
        <v>0.91081081081081083</v>
      </c>
      <c r="Q18">
        <v>3.3891891891891888</v>
      </c>
      <c r="R18">
        <v>71.042635135135129</v>
      </c>
      <c r="T18">
        <v>1032.5</v>
      </c>
      <c r="V18">
        <v>16099.400000000005</v>
      </c>
      <c r="Y18">
        <v>11.610459002338031</v>
      </c>
    </row>
    <row r="19" spans="1:25" x14ac:dyDescent="0.35">
      <c r="A19" s="1">
        <v>43006</v>
      </c>
      <c r="B19">
        <v>17.899999999999999</v>
      </c>
      <c r="C19">
        <v>15</v>
      </c>
      <c r="D19">
        <v>20.2</v>
      </c>
      <c r="E19">
        <v>247.79999999999998</v>
      </c>
      <c r="H19">
        <v>0.2</v>
      </c>
      <c r="J19">
        <v>0.5</v>
      </c>
      <c r="L19">
        <v>-0.3</v>
      </c>
      <c r="N19">
        <v>18</v>
      </c>
      <c r="O19">
        <v>0.46418918918918917</v>
      </c>
      <c r="P19">
        <v>0.23209459459459458</v>
      </c>
      <c r="Q19">
        <v>-3.2094594594594572E-2</v>
      </c>
      <c r="R19">
        <v>71.010540540540532</v>
      </c>
      <c r="T19">
        <v>420.3</v>
      </c>
      <c r="V19">
        <v>16519.700000000004</v>
      </c>
      <c r="Y19">
        <v>11.550673064463327</v>
      </c>
    </row>
    <row r="20" spans="1:25" x14ac:dyDescent="0.35">
      <c r="A20" s="1">
        <v>43007</v>
      </c>
      <c r="B20">
        <v>16.100000000000001</v>
      </c>
      <c r="C20">
        <v>14.2</v>
      </c>
      <c r="D20">
        <v>19.600000000000001</v>
      </c>
      <c r="E20">
        <v>263.89999999999998</v>
      </c>
      <c r="H20">
        <v>1.8</v>
      </c>
      <c r="J20">
        <v>1</v>
      </c>
      <c r="L20">
        <v>0.8</v>
      </c>
      <c r="N20">
        <v>19</v>
      </c>
      <c r="O20">
        <v>0.47297297297297297</v>
      </c>
      <c r="P20">
        <v>0.47297297297297297</v>
      </c>
      <c r="Q20">
        <v>1.327027027027027</v>
      </c>
      <c r="R20">
        <v>72.337567567567561</v>
      </c>
      <c r="T20">
        <v>386.4</v>
      </c>
      <c r="V20">
        <v>16906.100000000006</v>
      </c>
      <c r="Y20">
        <v>11.490949120780177</v>
      </c>
    </row>
    <row r="21" spans="1:25" x14ac:dyDescent="0.35">
      <c r="A21" s="1">
        <v>43008</v>
      </c>
      <c r="B21">
        <v>14.3</v>
      </c>
      <c r="C21">
        <v>10.3</v>
      </c>
      <c r="D21">
        <v>17.399999999999999</v>
      </c>
      <c r="E21">
        <v>278.2</v>
      </c>
      <c r="H21">
        <v>0.5</v>
      </c>
      <c r="J21">
        <v>1.5</v>
      </c>
      <c r="L21">
        <v>-1</v>
      </c>
      <c r="N21">
        <v>20</v>
      </c>
      <c r="O21">
        <v>0.48175675675675678</v>
      </c>
      <c r="P21">
        <v>0.72263513513513522</v>
      </c>
      <c r="Q21">
        <v>-0.22263513513513522</v>
      </c>
      <c r="R21">
        <v>72.114932432432425</v>
      </c>
      <c r="T21">
        <v>1026</v>
      </c>
      <c r="V21">
        <v>17932.100000000006</v>
      </c>
      <c r="Y21">
        <v>11.431295781407767</v>
      </c>
    </row>
    <row r="22" spans="1:25" x14ac:dyDescent="0.35">
      <c r="A22" s="1">
        <v>43009</v>
      </c>
      <c r="B22">
        <v>16.399999999999999</v>
      </c>
      <c r="C22">
        <v>14.9</v>
      </c>
      <c r="D22">
        <v>17.3</v>
      </c>
      <c r="E22">
        <v>294.59999999999997</v>
      </c>
      <c r="H22">
        <v>1.8</v>
      </c>
      <c r="J22">
        <v>0.6</v>
      </c>
      <c r="L22">
        <v>1.2000000000000002</v>
      </c>
      <c r="N22">
        <v>21</v>
      </c>
      <c r="O22">
        <v>0.49054054054054053</v>
      </c>
      <c r="P22">
        <v>0.29432432432432432</v>
      </c>
      <c r="Q22">
        <v>1.5056756756756757</v>
      </c>
      <c r="R22">
        <v>73.620608108108101</v>
      </c>
      <c r="T22">
        <v>225.3</v>
      </c>
      <c r="V22">
        <v>18157.400000000005</v>
      </c>
      <c r="Y22">
        <v>11.371721785056641</v>
      </c>
    </row>
    <row r="23" spans="1:25" x14ac:dyDescent="0.35">
      <c r="A23" s="1">
        <v>43010</v>
      </c>
      <c r="B23">
        <v>16.899999999999999</v>
      </c>
      <c r="C23">
        <v>15</v>
      </c>
      <c r="D23">
        <v>19.2</v>
      </c>
      <c r="E23">
        <v>311.49999999999994</v>
      </c>
      <c r="H23">
        <v>3</v>
      </c>
      <c r="J23">
        <v>1</v>
      </c>
      <c r="L23">
        <v>2</v>
      </c>
      <c r="N23">
        <v>22</v>
      </c>
      <c r="O23">
        <v>0.49932432432432428</v>
      </c>
      <c r="P23">
        <v>0.49932432432432428</v>
      </c>
      <c r="Q23">
        <v>2.5006756756756756</v>
      </c>
      <c r="R23">
        <v>76.121283783783781</v>
      </c>
      <c r="T23">
        <v>495</v>
      </c>
      <c r="V23">
        <v>18652.400000000005</v>
      </c>
      <c r="Y23">
        <v>11.312236013856966</v>
      </c>
    </row>
    <row r="24" spans="1:25" x14ac:dyDescent="0.35">
      <c r="A24" s="1">
        <v>43011</v>
      </c>
      <c r="B24">
        <v>12.7</v>
      </c>
      <c r="C24">
        <v>10.5</v>
      </c>
      <c r="D24">
        <v>16.399999999999999</v>
      </c>
      <c r="E24">
        <v>324.19999999999993</v>
      </c>
      <c r="H24">
        <v>0.1</v>
      </c>
      <c r="J24">
        <v>1.9</v>
      </c>
      <c r="L24">
        <v>-1.7999999999999998</v>
      </c>
      <c r="N24">
        <v>23</v>
      </c>
      <c r="O24">
        <v>0.50810810810810814</v>
      </c>
      <c r="P24">
        <v>0.96540540540540543</v>
      </c>
      <c r="Q24">
        <v>-0.86540540540540545</v>
      </c>
      <c r="R24">
        <v>75.25587837837837</v>
      </c>
      <c r="T24">
        <v>928.9</v>
      </c>
      <c r="V24">
        <v>19581.300000000007</v>
      </c>
      <c r="Y24">
        <v>11.252847508079137</v>
      </c>
    </row>
    <row r="25" spans="1:25" x14ac:dyDescent="0.35">
      <c r="A25" s="1">
        <v>43012</v>
      </c>
      <c r="B25">
        <v>11.2</v>
      </c>
      <c r="C25">
        <v>6.2</v>
      </c>
      <c r="D25">
        <v>16.3</v>
      </c>
      <c r="E25">
        <v>335.39999999999992</v>
      </c>
      <c r="H25">
        <v>0.1</v>
      </c>
      <c r="J25">
        <v>2.5</v>
      </c>
      <c r="L25">
        <v>-2.4</v>
      </c>
      <c r="N25">
        <v>24</v>
      </c>
      <c r="O25">
        <v>0.51689189189189189</v>
      </c>
      <c r="P25">
        <v>1.2922297297297298</v>
      </c>
      <c r="Q25">
        <v>-1.1922297297297297</v>
      </c>
      <c r="R25">
        <v>74.063648648648638</v>
      </c>
      <c r="T25">
        <v>1521.6</v>
      </c>
      <c r="V25">
        <v>21102.900000000005</v>
      </c>
      <c r="Y25">
        <v>11.193565480731463</v>
      </c>
    </row>
    <row r="26" spans="1:25" x14ac:dyDescent="0.35">
      <c r="A26" s="1">
        <v>43013</v>
      </c>
      <c r="B26">
        <v>11.5</v>
      </c>
      <c r="C26">
        <v>6.7</v>
      </c>
      <c r="D26">
        <v>15.3</v>
      </c>
      <c r="E26">
        <v>346.89999999999992</v>
      </c>
      <c r="H26">
        <v>0.8</v>
      </c>
      <c r="J26">
        <v>0.5</v>
      </c>
      <c r="L26">
        <v>0.30000000000000004</v>
      </c>
      <c r="N26">
        <v>25</v>
      </c>
      <c r="O26">
        <v>0.52567567567567564</v>
      </c>
      <c r="P26">
        <v>0.26283783783783782</v>
      </c>
      <c r="Q26">
        <v>0.53716216216216228</v>
      </c>
      <c r="R26">
        <v>74.600810810810799</v>
      </c>
      <c r="T26">
        <v>333.2</v>
      </c>
      <c r="V26">
        <v>21436.100000000006</v>
      </c>
      <c r="Y26">
        <v>11.134399332018457</v>
      </c>
    </row>
    <row r="27" spans="1:25" x14ac:dyDescent="0.35">
      <c r="A27" s="1">
        <v>43014</v>
      </c>
      <c r="B27">
        <v>10.8</v>
      </c>
      <c r="C27">
        <v>8.4</v>
      </c>
      <c r="D27">
        <v>15.2</v>
      </c>
      <c r="E27">
        <v>357.69999999999993</v>
      </c>
      <c r="H27">
        <v>0.1</v>
      </c>
      <c r="J27">
        <v>1.6</v>
      </c>
      <c r="L27">
        <v>-1.5</v>
      </c>
      <c r="N27">
        <v>26</v>
      </c>
      <c r="O27">
        <v>0.53445945945945939</v>
      </c>
      <c r="P27">
        <v>0.85513513513513506</v>
      </c>
      <c r="Q27">
        <v>-0.75513513513513508</v>
      </c>
      <c r="R27">
        <v>73.845675675675665</v>
      </c>
      <c r="T27">
        <v>1004.5</v>
      </c>
      <c r="V27">
        <v>22440.600000000006</v>
      </c>
      <c r="Y27">
        <v>11.075358663641881</v>
      </c>
    </row>
    <row r="28" spans="1:25" x14ac:dyDescent="0.35">
      <c r="A28" s="1">
        <v>43015</v>
      </c>
      <c r="B28">
        <v>12.2</v>
      </c>
      <c r="C28">
        <v>4.5</v>
      </c>
      <c r="D28">
        <v>17.5</v>
      </c>
      <c r="E28">
        <v>369.89999999999992</v>
      </c>
      <c r="H28">
        <v>0.1</v>
      </c>
      <c r="J28">
        <v>2</v>
      </c>
      <c r="L28">
        <v>-1.9</v>
      </c>
      <c r="N28">
        <v>27</v>
      </c>
      <c r="O28">
        <v>0.54324324324324325</v>
      </c>
      <c r="P28">
        <v>1.0864864864864865</v>
      </c>
      <c r="Q28">
        <v>-0.98648648648648651</v>
      </c>
      <c r="R28">
        <v>72.859189189189181</v>
      </c>
      <c r="T28">
        <v>1330.4</v>
      </c>
      <c r="V28">
        <v>23771.000000000007</v>
      </c>
      <c r="Y28">
        <v>11.01645329292538</v>
      </c>
    </row>
    <row r="29" spans="1:25" x14ac:dyDescent="0.35">
      <c r="A29" s="1">
        <v>43016</v>
      </c>
      <c r="B29">
        <v>14.6</v>
      </c>
      <c r="C29">
        <v>13.9</v>
      </c>
      <c r="D29">
        <v>16</v>
      </c>
      <c r="E29">
        <v>384.49999999999994</v>
      </c>
      <c r="H29">
        <v>1.3</v>
      </c>
      <c r="J29">
        <v>0.7</v>
      </c>
      <c r="L29">
        <v>0.60000000000000009</v>
      </c>
      <c r="N29">
        <v>28</v>
      </c>
      <c r="O29">
        <v>0.552027027027027</v>
      </c>
      <c r="P29">
        <v>0.38641891891891889</v>
      </c>
      <c r="Q29">
        <v>0.91358108108108116</v>
      </c>
      <c r="R29">
        <v>73.772770270270257</v>
      </c>
      <c r="T29">
        <v>229.6</v>
      </c>
      <c r="V29">
        <v>24000.600000000006</v>
      </c>
      <c r="Y29">
        <v>10.95769326674192</v>
      </c>
    </row>
    <row r="30" spans="1:25" x14ac:dyDescent="0.35">
      <c r="A30" s="1">
        <v>43017</v>
      </c>
      <c r="B30">
        <v>15.4</v>
      </c>
      <c r="C30">
        <v>13.5</v>
      </c>
      <c r="D30">
        <v>17.5</v>
      </c>
      <c r="E30">
        <v>399.89999999999992</v>
      </c>
      <c r="H30">
        <v>0.3</v>
      </c>
      <c r="J30">
        <v>0.7</v>
      </c>
      <c r="L30">
        <v>-0.39999999999999997</v>
      </c>
      <c r="N30">
        <v>29</v>
      </c>
      <c r="O30">
        <v>0.56081081081081074</v>
      </c>
      <c r="P30">
        <v>0.3925675675675675</v>
      </c>
      <c r="Q30">
        <v>-9.256756756756751E-2</v>
      </c>
      <c r="R30">
        <v>73.680202702702687</v>
      </c>
      <c r="T30">
        <v>331.6</v>
      </c>
      <c r="V30">
        <v>24332.200000000004</v>
      </c>
      <c r="Y30">
        <v>10.899088875221722</v>
      </c>
    </row>
    <row r="31" spans="1:25" x14ac:dyDescent="0.35">
      <c r="A31" s="1">
        <v>43018</v>
      </c>
      <c r="B31">
        <v>14.7</v>
      </c>
      <c r="C31">
        <v>13.6</v>
      </c>
      <c r="D31">
        <v>16.100000000000001</v>
      </c>
      <c r="E31">
        <v>414.59999999999991</v>
      </c>
      <c r="H31">
        <v>0</v>
      </c>
      <c r="J31">
        <v>0.8</v>
      </c>
      <c r="L31">
        <v>-0.8</v>
      </c>
      <c r="N31">
        <v>30</v>
      </c>
      <c r="O31">
        <v>0.56959459459459461</v>
      </c>
      <c r="P31">
        <v>0.45567567567567568</v>
      </c>
      <c r="Q31">
        <v>-0.45567567567567568</v>
      </c>
      <c r="R31">
        <v>73.224527027027008</v>
      </c>
      <c r="T31">
        <v>212</v>
      </c>
      <c r="V31">
        <v>24544.200000000004</v>
      </c>
      <c r="Y31">
        <v>10.840650665216574</v>
      </c>
    </row>
    <row r="32" spans="1:25" x14ac:dyDescent="0.35">
      <c r="A32" s="1">
        <v>43019</v>
      </c>
      <c r="B32">
        <v>15.7</v>
      </c>
      <c r="C32">
        <v>13.5</v>
      </c>
      <c r="D32">
        <v>18.600000000000001</v>
      </c>
      <c r="E32">
        <v>430.2999999999999</v>
      </c>
      <c r="H32">
        <v>0.3</v>
      </c>
      <c r="J32">
        <v>1.6</v>
      </c>
      <c r="L32">
        <v>-1.3</v>
      </c>
      <c r="N32">
        <v>31</v>
      </c>
      <c r="O32">
        <v>0.57837837837837835</v>
      </c>
      <c r="P32">
        <v>0.92540540540540539</v>
      </c>
      <c r="Q32">
        <v>-0.62540540540540546</v>
      </c>
      <c r="R32">
        <v>72.599121621621606</v>
      </c>
      <c r="T32">
        <v>533</v>
      </c>
      <c r="V32">
        <v>25077.200000000004</v>
      </c>
      <c r="Y32">
        <v>10.782389453494581</v>
      </c>
    </row>
    <row r="33" spans="1:25" x14ac:dyDescent="0.35">
      <c r="A33" s="1">
        <v>43020</v>
      </c>
      <c r="B33">
        <v>16.600000000000001</v>
      </c>
      <c r="C33">
        <v>14.6</v>
      </c>
      <c r="D33">
        <v>19.399999999999999</v>
      </c>
      <c r="E33">
        <v>446.89999999999992</v>
      </c>
      <c r="H33">
        <v>0</v>
      </c>
      <c r="J33">
        <v>1</v>
      </c>
      <c r="L33">
        <v>-1</v>
      </c>
      <c r="N33">
        <v>32</v>
      </c>
      <c r="O33">
        <v>0.5871621621621621</v>
      </c>
      <c r="P33">
        <v>0.5871621621621621</v>
      </c>
      <c r="Q33">
        <v>-0.5871621621621621</v>
      </c>
      <c r="R33">
        <v>72.011959459459447</v>
      </c>
      <c r="T33">
        <v>413.5</v>
      </c>
      <c r="V33">
        <v>25490.700000000004</v>
      </c>
      <c r="Y33">
        <v>10.724316339637516</v>
      </c>
    </row>
    <row r="34" spans="1:25" x14ac:dyDescent="0.35">
      <c r="A34" s="1">
        <v>43021</v>
      </c>
      <c r="B34">
        <v>15.7</v>
      </c>
      <c r="C34">
        <v>14.8</v>
      </c>
      <c r="D34">
        <v>17.8</v>
      </c>
      <c r="E34">
        <v>462.59999999999991</v>
      </c>
      <c r="H34">
        <v>0.3</v>
      </c>
      <c r="J34">
        <v>0.8</v>
      </c>
      <c r="L34">
        <v>-0.5</v>
      </c>
      <c r="N34">
        <v>33</v>
      </c>
      <c r="O34">
        <v>0.59594594594594597</v>
      </c>
      <c r="P34">
        <v>0.47675675675675677</v>
      </c>
      <c r="Q34">
        <v>-0.17675675675675678</v>
      </c>
      <c r="R34">
        <v>71.835202702702688</v>
      </c>
      <c r="T34">
        <v>367.3</v>
      </c>
      <c r="V34">
        <v>25858.000000000004</v>
      </c>
      <c r="Y34">
        <v>10.66644271861089</v>
      </c>
    </row>
    <row r="35" spans="1:25" x14ac:dyDescent="0.35">
      <c r="A35" s="1">
        <v>43022</v>
      </c>
      <c r="B35">
        <v>15.7</v>
      </c>
      <c r="C35">
        <v>10</v>
      </c>
      <c r="D35">
        <v>20.8</v>
      </c>
      <c r="E35">
        <v>478.2999999999999</v>
      </c>
      <c r="H35">
        <v>0.1</v>
      </c>
      <c r="J35">
        <v>2.2999999999999998</v>
      </c>
      <c r="L35">
        <v>-2.1999999999999997</v>
      </c>
      <c r="N35">
        <v>34</v>
      </c>
      <c r="O35">
        <v>0.60472972972972971</v>
      </c>
      <c r="P35">
        <v>1.3908783783783782</v>
      </c>
      <c r="Q35">
        <v>-1.2908783783783782</v>
      </c>
      <c r="R35">
        <v>70.544324324324307</v>
      </c>
      <c r="T35">
        <v>1325.6</v>
      </c>
      <c r="V35">
        <v>27183.600000000002</v>
      </c>
      <c r="Y35">
        <v>10.608780292974748</v>
      </c>
    </row>
    <row r="36" spans="1:25" x14ac:dyDescent="0.35">
      <c r="A36" s="1">
        <v>43023</v>
      </c>
      <c r="B36">
        <v>17.100000000000001</v>
      </c>
      <c r="C36">
        <v>14</v>
      </c>
      <c r="D36">
        <v>19.5</v>
      </c>
      <c r="E36">
        <v>495.39999999999992</v>
      </c>
      <c r="H36">
        <v>0.2</v>
      </c>
      <c r="J36">
        <v>1.1000000000000001</v>
      </c>
      <c r="L36">
        <v>-0.90000000000000013</v>
      </c>
      <c r="N36">
        <v>35</v>
      </c>
      <c r="O36">
        <v>0.61351351351351346</v>
      </c>
      <c r="P36">
        <v>0.67486486486486486</v>
      </c>
      <c r="Q36">
        <v>-0.47486486486486484</v>
      </c>
      <c r="R36">
        <v>70.069459459459438</v>
      </c>
      <c r="T36">
        <v>490</v>
      </c>
      <c r="V36">
        <v>27673.600000000002</v>
      </c>
      <c r="Y36">
        <v>10.551341084701024</v>
      </c>
    </row>
    <row r="37" spans="1:25" x14ac:dyDescent="0.35">
      <c r="A37" s="1">
        <v>43024</v>
      </c>
      <c r="B37">
        <v>16.5</v>
      </c>
      <c r="C37">
        <v>15.5</v>
      </c>
      <c r="D37">
        <v>19.399999999999999</v>
      </c>
      <c r="E37">
        <v>511.89999999999992</v>
      </c>
      <c r="H37">
        <v>0.9</v>
      </c>
      <c r="J37">
        <v>1.3</v>
      </c>
      <c r="L37">
        <v>-0.4</v>
      </c>
      <c r="N37">
        <v>36</v>
      </c>
      <c r="O37">
        <v>0.62229729729729732</v>
      </c>
      <c r="P37">
        <v>0.80898648648648652</v>
      </c>
      <c r="Q37">
        <v>9.10135135135135E-2</v>
      </c>
      <c r="R37">
        <v>70.160472972972954</v>
      </c>
      <c r="T37">
        <v>487.9</v>
      </c>
      <c r="V37">
        <v>28161.500000000004</v>
      </c>
      <c r="Y37">
        <v>10.494137446560973</v>
      </c>
    </row>
    <row r="38" spans="1:25" x14ac:dyDescent="0.35">
      <c r="A38" s="1">
        <v>43025</v>
      </c>
      <c r="B38">
        <v>15.6</v>
      </c>
      <c r="C38">
        <v>12.1</v>
      </c>
      <c r="D38">
        <v>18.5</v>
      </c>
      <c r="E38">
        <v>527.49999999999989</v>
      </c>
      <c r="H38">
        <v>0.4</v>
      </c>
      <c r="J38">
        <v>1.3</v>
      </c>
      <c r="L38">
        <v>-0.9</v>
      </c>
      <c r="N38">
        <v>37</v>
      </c>
      <c r="O38">
        <v>0.63108108108108107</v>
      </c>
      <c r="P38">
        <v>0.82040540540540541</v>
      </c>
      <c r="Q38">
        <v>-0.42040540540540539</v>
      </c>
      <c r="R38">
        <v>69.74006756756755</v>
      </c>
      <c r="T38">
        <v>709.1</v>
      </c>
      <c r="V38">
        <v>28870.600000000002</v>
      </c>
      <c r="Y38">
        <v>10.437182073043973</v>
      </c>
    </row>
    <row r="39" spans="1:25" x14ac:dyDescent="0.35">
      <c r="A39" s="1">
        <v>43026</v>
      </c>
      <c r="B39">
        <v>16.2</v>
      </c>
      <c r="C39">
        <v>15.4</v>
      </c>
      <c r="D39">
        <v>17</v>
      </c>
      <c r="E39">
        <v>543.69999999999993</v>
      </c>
      <c r="H39">
        <v>3.2</v>
      </c>
      <c r="J39">
        <v>0.4</v>
      </c>
      <c r="L39">
        <v>2.8000000000000003</v>
      </c>
      <c r="N39">
        <v>38</v>
      </c>
      <c r="O39">
        <v>0.63986486486486482</v>
      </c>
      <c r="P39">
        <v>0.25594594594594594</v>
      </c>
      <c r="Q39">
        <v>2.9440540540540541</v>
      </c>
      <c r="R39">
        <v>72.6841216216216</v>
      </c>
      <c r="T39">
        <v>250.2</v>
      </c>
      <c r="V39">
        <v>29120.800000000003</v>
      </c>
      <c r="Y39">
        <v>10.380488010766509</v>
      </c>
    </row>
    <row r="40" spans="1:25" x14ac:dyDescent="0.35">
      <c r="A40" s="1">
        <v>43027</v>
      </c>
      <c r="B40">
        <v>14.7</v>
      </c>
      <c r="C40">
        <v>14.3</v>
      </c>
      <c r="D40">
        <v>17.100000000000001</v>
      </c>
      <c r="E40">
        <v>558.4</v>
      </c>
      <c r="H40">
        <v>10.7</v>
      </c>
      <c r="J40">
        <v>1.3</v>
      </c>
      <c r="L40">
        <v>9.3999999999999986</v>
      </c>
      <c r="N40">
        <v>39</v>
      </c>
      <c r="O40">
        <v>0.64864864864864868</v>
      </c>
      <c r="P40">
        <v>0.84324324324324329</v>
      </c>
      <c r="Q40">
        <v>9.8567567567567558</v>
      </c>
      <c r="R40">
        <v>82.540878378378352</v>
      </c>
      <c r="T40">
        <v>362.6</v>
      </c>
      <c r="V40">
        <v>29483.4</v>
      </c>
      <c r="Y40">
        <v>10.32406866832776</v>
      </c>
    </row>
    <row r="41" spans="1:25" x14ac:dyDescent="0.35">
      <c r="A41" s="1">
        <v>43028</v>
      </c>
      <c r="B41">
        <v>13.3</v>
      </c>
      <c r="C41">
        <v>9.1999999999999993</v>
      </c>
      <c r="D41">
        <v>15.8</v>
      </c>
      <c r="E41">
        <v>571.69999999999993</v>
      </c>
      <c r="H41">
        <v>2.4</v>
      </c>
      <c r="J41">
        <v>1</v>
      </c>
      <c r="L41">
        <v>1.4</v>
      </c>
      <c r="N41">
        <v>40</v>
      </c>
      <c r="O41">
        <v>0.65743243243243243</v>
      </c>
      <c r="P41">
        <v>0.65743243243243243</v>
      </c>
      <c r="Q41">
        <v>1.7425675675675674</v>
      </c>
      <c r="R41">
        <v>84.283445945945914</v>
      </c>
      <c r="T41">
        <v>538</v>
      </c>
      <c r="V41">
        <v>30021.4</v>
      </c>
      <c r="Y41">
        <v>10.267937825565793</v>
      </c>
    </row>
    <row r="42" spans="1:25" x14ac:dyDescent="0.35">
      <c r="A42" s="1">
        <v>43029</v>
      </c>
      <c r="B42">
        <v>12.8</v>
      </c>
      <c r="C42">
        <v>11.5</v>
      </c>
      <c r="D42">
        <v>13.9</v>
      </c>
      <c r="E42">
        <v>584.49999999999989</v>
      </c>
      <c r="H42">
        <v>2</v>
      </c>
      <c r="J42">
        <v>1.5</v>
      </c>
      <c r="L42">
        <v>0.5</v>
      </c>
      <c r="N42">
        <v>41</v>
      </c>
      <c r="O42">
        <v>0.66621621621621618</v>
      </c>
      <c r="P42">
        <v>0.99932432432432428</v>
      </c>
      <c r="Q42">
        <v>1.0006756756756756</v>
      </c>
      <c r="R42">
        <v>85.284121621621594</v>
      </c>
      <c r="T42">
        <v>794.2</v>
      </c>
      <c r="V42">
        <v>30815.600000000002</v>
      </c>
      <c r="Y42">
        <v>10.212109642165881</v>
      </c>
    </row>
    <row r="43" spans="1:25" x14ac:dyDescent="0.35">
      <c r="A43" s="1">
        <v>43030</v>
      </c>
      <c r="B43">
        <v>11.4</v>
      </c>
      <c r="C43">
        <v>8.9</v>
      </c>
      <c r="D43">
        <v>13.4</v>
      </c>
      <c r="E43">
        <v>595.89999999999986</v>
      </c>
      <c r="H43">
        <v>1</v>
      </c>
      <c r="J43">
        <v>1.3</v>
      </c>
      <c r="L43">
        <v>-0.30000000000000004</v>
      </c>
      <c r="N43">
        <v>42</v>
      </c>
      <c r="O43">
        <v>0.67500000000000004</v>
      </c>
      <c r="P43">
        <v>0.87750000000000006</v>
      </c>
      <c r="Q43">
        <v>0.12249999999999994</v>
      </c>
      <c r="R43">
        <v>85.406621621621596</v>
      </c>
      <c r="T43">
        <v>503.8</v>
      </c>
      <c r="V43">
        <v>31319.4</v>
      </c>
      <c r="Y43">
        <v>10.156598665570007</v>
      </c>
    </row>
    <row r="44" spans="1:25" x14ac:dyDescent="0.35">
      <c r="A44" s="1">
        <v>43031</v>
      </c>
      <c r="B44">
        <v>13.7</v>
      </c>
      <c r="C44">
        <v>11.2</v>
      </c>
      <c r="D44">
        <v>15.5</v>
      </c>
      <c r="E44">
        <v>609.59999999999991</v>
      </c>
      <c r="H44">
        <v>2.9</v>
      </c>
      <c r="J44">
        <v>0.5</v>
      </c>
      <c r="L44">
        <v>2.4</v>
      </c>
      <c r="N44">
        <v>43</v>
      </c>
      <c r="O44">
        <v>0.68378378378378368</v>
      </c>
      <c r="P44">
        <v>0.34189189189189184</v>
      </c>
      <c r="Q44">
        <v>2.5581081081081081</v>
      </c>
      <c r="R44">
        <v>87.964729729729697</v>
      </c>
      <c r="T44">
        <v>127.7</v>
      </c>
      <c r="V44">
        <v>31447.100000000002</v>
      </c>
      <c r="Y44">
        <v>10.101419838134126</v>
      </c>
    </row>
    <row r="45" spans="1:25" x14ac:dyDescent="0.35">
      <c r="A45" s="1">
        <v>43032</v>
      </c>
      <c r="B45">
        <v>14.8</v>
      </c>
      <c r="C45">
        <v>14.3</v>
      </c>
      <c r="D45">
        <v>16.3</v>
      </c>
      <c r="E45">
        <v>624.39999999999986</v>
      </c>
      <c r="H45">
        <v>0.2</v>
      </c>
      <c r="J45">
        <v>0.6</v>
      </c>
      <c r="L45">
        <v>-0.39999999999999997</v>
      </c>
      <c r="N45">
        <v>44</v>
      </c>
      <c r="O45">
        <v>0.69256756756756754</v>
      </c>
      <c r="P45">
        <v>0.41554054054054052</v>
      </c>
      <c r="Q45">
        <v>-0.2155405405405405</v>
      </c>
      <c r="R45">
        <v>87.749189189189153</v>
      </c>
      <c r="T45">
        <v>214.8</v>
      </c>
      <c r="V45">
        <v>31661.9</v>
      </c>
      <c r="Y45">
        <v>10.046588503477551</v>
      </c>
    </row>
    <row r="46" spans="1:25" x14ac:dyDescent="0.35">
      <c r="A46" s="1">
        <v>43033</v>
      </c>
      <c r="B46">
        <v>11.9</v>
      </c>
      <c r="C46">
        <v>11.5</v>
      </c>
      <c r="D46">
        <v>13.9</v>
      </c>
      <c r="E46">
        <v>636.29999999999984</v>
      </c>
      <c r="H46">
        <v>0.2</v>
      </c>
      <c r="J46">
        <v>0.7</v>
      </c>
      <c r="L46">
        <v>-0.49999999999999994</v>
      </c>
      <c r="N46">
        <v>45</v>
      </c>
      <c r="O46">
        <v>0.7013513513513514</v>
      </c>
      <c r="P46">
        <v>0.49094594594594593</v>
      </c>
      <c r="Q46">
        <v>-0.29094594594594592</v>
      </c>
      <c r="R46">
        <v>87.458243243243203</v>
      </c>
      <c r="T46">
        <v>283.5</v>
      </c>
      <c r="V46">
        <v>31945.4</v>
      </c>
      <c r="Y46">
        <v>9.9921204119662548</v>
      </c>
    </row>
    <row r="47" spans="1:25" x14ac:dyDescent="0.35">
      <c r="A47" s="1">
        <v>43034</v>
      </c>
      <c r="B47">
        <v>11.4</v>
      </c>
      <c r="C47">
        <v>7.8</v>
      </c>
      <c r="D47">
        <v>13.9</v>
      </c>
      <c r="E47">
        <v>647.69999999999982</v>
      </c>
      <c r="H47">
        <v>0.2</v>
      </c>
      <c r="J47">
        <v>1.1000000000000001</v>
      </c>
      <c r="L47">
        <v>-0.90000000000000013</v>
      </c>
      <c r="N47">
        <v>46</v>
      </c>
      <c r="O47">
        <v>0.71013513513513515</v>
      </c>
      <c r="P47">
        <v>0.78114864864864875</v>
      </c>
      <c r="Q47">
        <v>-0.58114864864864879</v>
      </c>
      <c r="R47">
        <v>86.877094594594553</v>
      </c>
      <c r="T47">
        <v>483.9</v>
      </c>
      <c r="V47">
        <v>32429.300000000003</v>
      </c>
      <c r="Y47">
        <v>9.9380317252698891</v>
      </c>
    </row>
    <row r="48" spans="1:25" x14ac:dyDescent="0.35">
      <c r="A48" s="1">
        <v>43035</v>
      </c>
      <c r="B48">
        <v>12.7</v>
      </c>
      <c r="C48">
        <v>11.5</v>
      </c>
      <c r="D48">
        <v>16.100000000000001</v>
      </c>
      <c r="E48">
        <v>660.39999999999986</v>
      </c>
      <c r="H48">
        <v>0.2</v>
      </c>
      <c r="J48">
        <v>0.8</v>
      </c>
      <c r="L48">
        <v>-0.60000000000000009</v>
      </c>
      <c r="N48">
        <v>47</v>
      </c>
      <c r="O48">
        <v>0.7189189189189189</v>
      </c>
      <c r="P48">
        <v>0.57513513513513514</v>
      </c>
      <c r="Q48">
        <v>-0.37513513513513513</v>
      </c>
      <c r="R48">
        <v>86.501959459459414</v>
      </c>
      <c r="T48">
        <v>260.39999999999998</v>
      </c>
      <c r="V48">
        <v>32689.700000000004</v>
      </c>
      <c r="Y48">
        <v>9.8843390199300991</v>
      </c>
    </row>
    <row r="49" spans="1:25" x14ac:dyDescent="0.35">
      <c r="A49" s="1">
        <v>43036</v>
      </c>
      <c r="B49">
        <v>10</v>
      </c>
      <c r="C49">
        <v>4.3</v>
      </c>
      <c r="D49">
        <v>13.6</v>
      </c>
      <c r="E49">
        <v>670.39999999999986</v>
      </c>
      <c r="H49">
        <v>0.9</v>
      </c>
      <c r="J49">
        <v>1</v>
      </c>
      <c r="L49">
        <v>-9.9999999999999978E-2</v>
      </c>
      <c r="N49">
        <v>48</v>
      </c>
      <c r="O49">
        <v>0.72770270270270265</v>
      </c>
      <c r="P49">
        <v>0.72770270270270265</v>
      </c>
      <c r="Q49">
        <v>0.17229729729729737</v>
      </c>
      <c r="R49">
        <v>86.674256756756705</v>
      </c>
      <c r="T49">
        <v>813.5</v>
      </c>
      <c r="V49">
        <v>33503.200000000004</v>
      </c>
      <c r="Y49">
        <v>9.8310592898758404</v>
      </c>
    </row>
    <row r="50" spans="1:25" x14ac:dyDescent="0.35">
      <c r="A50" s="1">
        <v>43037</v>
      </c>
      <c r="B50">
        <v>12.6</v>
      </c>
      <c r="C50">
        <v>11.3</v>
      </c>
      <c r="D50">
        <v>14.1</v>
      </c>
      <c r="E50">
        <v>682.99999999999989</v>
      </c>
      <c r="H50">
        <v>0.7</v>
      </c>
      <c r="J50">
        <v>0.4</v>
      </c>
      <c r="L50">
        <v>0.29999999999999993</v>
      </c>
      <c r="N50">
        <v>49</v>
      </c>
      <c r="O50">
        <v>0.73648648648648651</v>
      </c>
      <c r="P50">
        <v>0.29459459459459464</v>
      </c>
      <c r="Q50">
        <v>0.40540540540540532</v>
      </c>
      <c r="R50">
        <v>87.079662162162109</v>
      </c>
      <c r="T50">
        <v>159.19999999999999</v>
      </c>
      <c r="V50">
        <v>33662.400000000001</v>
      </c>
      <c r="Y50">
        <v>9.778209947819624</v>
      </c>
    </row>
    <row r="51" spans="1:25" x14ac:dyDescent="0.35">
      <c r="A51" s="1">
        <v>43038</v>
      </c>
      <c r="B51">
        <v>8.6</v>
      </c>
      <c r="C51">
        <v>6.7</v>
      </c>
      <c r="D51">
        <v>13</v>
      </c>
      <c r="E51">
        <v>691.59999999999991</v>
      </c>
      <c r="H51">
        <v>0.2</v>
      </c>
      <c r="J51">
        <v>1</v>
      </c>
      <c r="L51">
        <v>-0.8</v>
      </c>
      <c r="N51">
        <v>50</v>
      </c>
      <c r="O51">
        <v>0.74527027027027026</v>
      </c>
      <c r="P51">
        <v>0.74527027027027026</v>
      </c>
      <c r="Q51">
        <v>-0.54527027027027031</v>
      </c>
      <c r="R51">
        <v>86.534391891891843</v>
      </c>
      <c r="T51">
        <v>448.7</v>
      </c>
      <c r="V51">
        <v>34111.1</v>
      </c>
      <c r="Y51">
        <v>9.7258088254671407</v>
      </c>
    </row>
    <row r="52" spans="1:25" x14ac:dyDescent="0.35">
      <c r="A52" s="1">
        <v>43039</v>
      </c>
      <c r="B52">
        <v>7.1</v>
      </c>
      <c r="C52">
        <v>2</v>
      </c>
      <c r="D52">
        <v>11.9</v>
      </c>
      <c r="E52">
        <v>698.69999999999993</v>
      </c>
      <c r="H52">
        <v>0</v>
      </c>
      <c r="J52">
        <v>1.3</v>
      </c>
      <c r="L52">
        <v>-1.3</v>
      </c>
      <c r="N52">
        <v>51</v>
      </c>
      <c r="O52">
        <v>0.75405405405405401</v>
      </c>
      <c r="P52">
        <v>0.98027027027027025</v>
      </c>
      <c r="Q52">
        <v>-0.98027027027027025</v>
      </c>
      <c r="R52">
        <v>85.554121621621576</v>
      </c>
      <c r="T52">
        <v>999.6</v>
      </c>
      <c r="V52">
        <v>35110.699999999997</v>
      </c>
      <c r="Y52">
        <v>9.6738741724714572</v>
      </c>
    </row>
    <row r="53" spans="1:25" x14ac:dyDescent="0.35">
      <c r="A53" s="1">
        <v>43040</v>
      </c>
      <c r="B53">
        <v>8.8000000000000007</v>
      </c>
      <c r="C53">
        <v>5.5</v>
      </c>
      <c r="D53">
        <v>11.7</v>
      </c>
      <c r="E53">
        <v>707.49999999999989</v>
      </c>
      <c r="H53">
        <v>0</v>
      </c>
      <c r="J53">
        <v>0.7</v>
      </c>
      <c r="L53">
        <v>-0.7</v>
      </c>
      <c r="N53">
        <v>52</v>
      </c>
      <c r="O53">
        <v>0.76283783783783776</v>
      </c>
      <c r="P53">
        <v>0.53398648648648639</v>
      </c>
      <c r="Q53">
        <v>-0.53398648648648639</v>
      </c>
      <c r="R53">
        <v>85.020135135135092</v>
      </c>
      <c r="T53">
        <v>388.1</v>
      </c>
      <c r="V53">
        <v>35498.799999999996</v>
      </c>
      <c r="Y53">
        <v>9.6224246540620815</v>
      </c>
    </row>
    <row r="54" spans="1:25" x14ac:dyDescent="0.35">
      <c r="A54" s="1">
        <v>43041</v>
      </c>
      <c r="B54">
        <v>11.6</v>
      </c>
      <c r="C54">
        <v>8.8000000000000007</v>
      </c>
      <c r="D54">
        <v>14.5</v>
      </c>
      <c r="E54">
        <v>719.09999999999991</v>
      </c>
      <c r="H54">
        <v>0.2</v>
      </c>
      <c r="J54">
        <v>0.6</v>
      </c>
      <c r="L54">
        <v>-0.39999999999999997</v>
      </c>
      <c r="N54">
        <v>53</v>
      </c>
      <c r="O54">
        <v>0.77162162162162162</v>
      </c>
      <c r="P54">
        <v>0.46297297297297296</v>
      </c>
      <c r="Q54">
        <v>-0.26297297297297295</v>
      </c>
      <c r="R54">
        <v>84.757162162162118</v>
      </c>
      <c r="T54">
        <v>281</v>
      </c>
      <c r="V54">
        <v>35779.799999999996</v>
      </c>
      <c r="Y54">
        <v>9.5714793472785473</v>
      </c>
    </row>
    <row r="55" spans="1:25" x14ac:dyDescent="0.35">
      <c r="A55" s="1">
        <v>43042</v>
      </c>
      <c r="B55">
        <v>12.3</v>
      </c>
      <c r="C55">
        <v>9.6</v>
      </c>
      <c r="D55">
        <v>14.4</v>
      </c>
      <c r="E55">
        <v>731.39999999999986</v>
      </c>
      <c r="H55">
        <v>3.6</v>
      </c>
      <c r="J55">
        <v>0.5</v>
      </c>
      <c r="L55">
        <v>3.1</v>
      </c>
      <c r="N55">
        <v>54</v>
      </c>
      <c r="O55">
        <v>0.78040540540540548</v>
      </c>
      <c r="P55">
        <v>0.39020270270270274</v>
      </c>
      <c r="Q55">
        <v>3.2097972972972975</v>
      </c>
      <c r="R55">
        <v>87.966959459459417</v>
      </c>
      <c r="T55">
        <v>252.5</v>
      </c>
      <c r="V55">
        <v>36032.299999999996</v>
      </c>
      <c r="Y55">
        <v>9.521057735738184</v>
      </c>
    </row>
    <row r="56" spans="1:25" x14ac:dyDescent="0.35">
      <c r="A56" s="1">
        <v>43043</v>
      </c>
      <c r="B56">
        <v>12.1</v>
      </c>
      <c r="C56">
        <v>10.5</v>
      </c>
      <c r="D56">
        <v>15</v>
      </c>
      <c r="E56">
        <v>743.49999999999989</v>
      </c>
      <c r="H56">
        <v>5.5</v>
      </c>
      <c r="J56">
        <v>0.7</v>
      </c>
      <c r="L56">
        <v>4.8</v>
      </c>
      <c r="N56">
        <v>55</v>
      </c>
      <c r="O56">
        <v>0.78918918918918912</v>
      </c>
      <c r="P56">
        <v>0.55243243243243234</v>
      </c>
      <c r="Q56">
        <v>4.9475675675675674</v>
      </c>
      <c r="R56">
        <v>92.914527027026992</v>
      </c>
      <c r="T56">
        <v>143.1</v>
      </c>
      <c r="V56">
        <v>36175.399999999994</v>
      </c>
      <c r="Y56">
        <v>9.4711797028677687</v>
      </c>
    </row>
    <row r="57" spans="1:25" x14ac:dyDescent="0.35">
      <c r="A57" s="1">
        <v>43044</v>
      </c>
      <c r="B57">
        <v>6.5</v>
      </c>
      <c r="C57">
        <v>5.8</v>
      </c>
      <c r="D57">
        <v>7.1</v>
      </c>
      <c r="E57">
        <v>749.99999999999989</v>
      </c>
      <c r="H57">
        <v>9.3000000000000007</v>
      </c>
      <c r="J57">
        <v>0.4</v>
      </c>
      <c r="L57">
        <v>8.9</v>
      </c>
      <c r="N57">
        <v>56</v>
      </c>
      <c r="O57">
        <v>0.79797297297297298</v>
      </c>
      <c r="P57">
        <v>0.3191891891891892</v>
      </c>
      <c r="Q57">
        <v>8.9808108108108122</v>
      </c>
      <c r="R57">
        <v>101.8953378378378</v>
      </c>
      <c r="T57">
        <v>130.30000000000001</v>
      </c>
      <c r="V57">
        <v>36305.699999999997</v>
      </c>
      <c r="Y57">
        <v>9.4218655235298758</v>
      </c>
    </row>
    <row r="58" spans="1:25" x14ac:dyDescent="0.35">
      <c r="A58" s="1">
        <v>43045</v>
      </c>
      <c r="B58">
        <v>7.5</v>
      </c>
      <c r="C58">
        <v>4.8</v>
      </c>
      <c r="D58">
        <v>11.9</v>
      </c>
      <c r="E58">
        <v>757.49999999999989</v>
      </c>
      <c r="H58">
        <v>0.1</v>
      </c>
      <c r="J58">
        <v>1.3</v>
      </c>
      <c r="L58">
        <v>-1.2</v>
      </c>
      <c r="N58">
        <v>57</v>
      </c>
      <c r="O58">
        <v>0.80675675675675684</v>
      </c>
      <c r="P58">
        <v>1.0487837837837839</v>
      </c>
      <c r="Q58">
        <v>-0.94878378378378392</v>
      </c>
      <c r="R58">
        <v>100.94655405405402</v>
      </c>
      <c r="T58">
        <v>924.1</v>
      </c>
      <c r="V58">
        <v>37229.799999999996</v>
      </c>
      <c r="Y58">
        <v>9.3731358539758194</v>
      </c>
    </row>
    <row r="59" spans="1:25" x14ac:dyDescent="0.35">
      <c r="A59" s="1">
        <v>43046</v>
      </c>
      <c r="B59">
        <v>7.2</v>
      </c>
      <c r="C59">
        <v>4.3</v>
      </c>
      <c r="D59">
        <v>9.5</v>
      </c>
      <c r="E59">
        <v>764.69999999999993</v>
      </c>
      <c r="H59">
        <v>12</v>
      </c>
      <c r="J59">
        <v>0.7</v>
      </c>
      <c r="L59">
        <v>11.3</v>
      </c>
      <c r="N59">
        <v>58</v>
      </c>
      <c r="O59">
        <v>0.81554054054054048</v>
      </c>
      <c r="P59">
        <v>0.57087837837837829</v>
      </c>
      <c r="Q59">
        <v>11.429121621621622</v>
      </c>
      <c r="R59">
        <v>112.37567567567564</v>
      </c>
      <c r="T59">
        <v>153.80000000000001</v>
      </c>
      <c r="V59">
        <v>37383.599999999999</v>
      </c>
      <c r="Y59">
        <v>9.3250117200592744</v>
      </c>
    </row>
    <row r="60" spans="1:25" x14ac:dyDescent="0.35">
      <c r="A60" s="1">
        <v>43047</v>
      </c>
      <c r="B60">
        <v>7.3</v>
      </c>
      <c r="C60">
        <v>5.4</v>
      </c>
      <c r="D60">
        <v>10.9</v>
      </c>
      <c r="E60">
        <v>771.99999999999989</v>
      </c>
      <c r="H60">
        <v>0.1</v>
      </c>
      <c r="J60">
        <v>1.3</v>
      </c>
      <c r="L60">
        <v>-1.2</v>
      </c>
      <c r="N60">
        <v>59</v>
      </c>
      <c r="O60">
        <v>0.82432432432432434</v>
      </c>
      <c r="P60">
        <v>1.0716216216216217</v>
      </c>
      <c r="Q60">
        <v>-0.97162162162162169</v>
      </c>
      <c r="R60">
        <v>111.40405405405401</v>
      </c>
      <c r="T60">
        <v>646.6</v>
      </c>
      <c r="V60">
        <v>38030.199999999997</v>
      </c>
      <c r="Y60">
        <v>9.2775145036471933</v>
      </c>
    </row>
    <row r="61" spans="1:25" x14ac:dyDescent="0.35">
      <c r="A61" s="1">
        <v>43048</v>
      </c>
      <c r="B61">
        <v>7.4</v>
      </c>
      <c r="C61">
        <v>2.2999999999999998</v>
      </c>
      <c r="D61">
        <v>10.3</v>
      </c>
      <c r="E61">
        <v>779.39999999999986</v>
      </c>
      <c r="H61">
        <v>2.1</v>
      </c>
      <c r="J61">
        <v>0.2</v>
      </c>
      <c r="L61">
        <v>1.9000000000000001</v>
      </c>
      <c r="N61">
        <v>60</v>
      </c>
      <c r="O61">
        <v>0.83310810810810809</v>
      </c>
      <c r="P61">
        <v>0.16662162162162164</v>
      </c>
      <c r="Q61">
        <v>1.9333783783783784</v>
      </c>
      <c r="R61">
        <v>113.33743243243239</v>
      </c>
      <c r="T61">
        <v>290.7</v>
      </c>
      <c r="V61">
        <v>38320.899999999994</v>
      </c>
      <c r="Y61">
        <v>9.2306659271680385</v>
      </c>
    </row>
    <row r="62" spans="1:25" x14ac:dyDescent="0.35">
      <c r="A62" s="1">
        <v>43049</v>
      </c>
      <c r="B62">
        <v>10.6</v>
      </c>
      <c r="C62">
        <v>9.1</v>
      </c>
      <c r="D62">
        <v>12.7</v>
      </c>
      <c r="E62">
        <v>789.99999999999989</v>
      </c>
      <c r="H62">
        <v>0.6</v>
      </c>
      <c r="J62">
        <v>0.4</v>
      </c>
      <c r="L62">
        <v>0.19999999999999996</v>
      </c>
      <c r="N62">
        <v>61</v>
      </c>
      <c r="O62">
        <v>0.84189189189189184</v>
      </c>
      <c r="P62">
        <v>0.33675675675675676</v>
      </c>
      <c r="Q62">
        <v>0.26324324324324322</v>
      </c>
      <c r="R62">
        <v>113.60067567567563</v>
      </c>
      <c r="T62">
        <v>172.1</v>
      </c>
      <c r="V62">
        <v>38492.999999999993</v>
      </c>
      <c r="Y62">
        <v>9.1844880362415182</v>
      </c>
    </row>
    <row r="63" spans="1:25" x14ac:dyDescent="0.35">
      <c r="A63" s="1">
        <v>43050</v>
      </c>
      <c r="B63">
        <v>12.6</v>
      </c>
      <c r="C63">
        <v>10.1</v>
      </c>
      <c r="D63">
        <v>14.1</v>
      </c>
      <c r="E63">
        <v>802.59999999999991</v>
      </c>
      <c r="H63">
        <v>1.9</v>
      </c>
      <c r="J63">
        <v>0.6</v>
      </c>
      <c r="L63">
        <v>1.2999999999999998</v>
      </c>
      <c r="N63">
        <v>62</v>
      </c>
      <c r="O63">
        <v>0.8506756756756757</v>
      </c>
      <c r="P63">
        <v>0.51040540540540535</v>
      </c>
      <c r="Q63">
        <v>1.3895945945945947</v>
      </c>
      <c r="R63">
        <v>114.99027027027023</v>
      </c>
      <c r="T63">
        <v>134.80000000000001</v>
      </c>
      <c r="V63">
        <v>38627.799999999996</v>
      </c>
      <c r="Y63">
        <v>9.1390031803389036</v>
      </c>
    </row>
    <row r="64" spans="1:25" x14ac:dyDescent="0.35">
      <c r="A64" s="1">
        <v>43051</v>
      </c>
      <c r="B64">
        <v>9.8000000000000007</v>
      </c>
      <c r="C64">
        <v>6.8</v>
      </c>
      <c r="D64">
        <v>12.4</v>
      </c>
      <c r="E64">
        <v>812.39999999999986</v>
      </c>
      <c r="H64">
        <v>1.8</v>
      </c>
      <c r="J64">
        <v>0.7</v>
      </c>
      <c r="L64">
        <v>1.1000000000000001</v>
      </c>
      <c r="N64">
        <v>63</v>
      </c>
      <c r="O64">
        <v>0.85945945945945945</v>
      </c>
      <c r="P64">
        <v>0.60162162162162158</v>
      </c>
      <c r="Q64">
        <v>1.1983783783783784</v>
      </c>
      <c r="R64">
        <v>116.18864864864861</v>
      </c>
      <c r="T64">
        <v>265.2</v>
      </c>
      <c r="V64">
        <v>38892.999999999993</v>
      </c>
      <c r="Y64">
        <v>9.0942339914289434</v>
      </c>
    </row>
    <row r="65" spans="1:25" x14ac:dyDescent="0.35">
      <c r="A65" s="1">
        <v>43052</v>
      </c>
      <c r="B65">
        <v>5.7</v>
      </c>
      <c r="C65">
        <v>2.7</v>
      </c>
      <c r="D65">
        <v>10.199999999999999</v>
      </c>
      <c r="E65">
        <v>818.09999999999991</v>
      </c>
      <c r="H65">
        <v>0</v>
      </c>
      <c r="J65">
        <v>1</v>
      </c>
      <c r="L65">
        <v>-1</v>
      </c>
      <c r="N65">
        <v>64</v>
      </c>
      <c r="O65">
        <v>0.8682432432432432</v>
      </c>
      <c r="P65">
        <v>0.8682432432432432</v>
      </c>
      <c r="Q65">
        <v>-0.8682432432432432</v>
      </c>
      <c r="R65">
        <v>115.32040540540537</v>
      </c>
      <c r="T65">
        <v>667.3</v>
      </c>
      <c r="V65">
        <v>39560.299999999996</v>
      </c>
      <c r="Y65">
        <v>9.0502033605709933</v>
      </c>
    </row>
    <row r="66" spans="1:25" x14ac:dyDescent="0.35">
      <c r="A66" s="1">
        <v>43053</v>
      </c>
      <c r="B66">
        <v>5.4</v>
      </c>
      <c r="C66">
        <v>1.1000000000000001</v>
      </c>
      <c r="D66">
        <v>9.4</v>
      </c>
      <c r="E66">
        <v>823.49999999999989</v>
      </c>
      <c r="H66">
        <v>0.1</v>
      </c>
      <c r="J66">
        <v>0.4</v>
      </c>
      <c r="L66">
        <v>-0.30000000000000004</v>
      </c>
      <c r="N66">
        <v>65</v>
      </c>
      <c r="O66">
        <v>0.87702702702702706</v>
      </c>
      <c r="P66">
        <v>0.35081081081081084</v>
      </c>
      <c r="Q66">
        <v>-0.2508108108108108</v>
      </c>
      <c r="R66">
        <v>115.06959459459456</v>
      </c>
      <c r="T66">
        <v>217.2</v>
      </c>
      <c r="V66">
        <v>39777.499999999993</v>
      </c>
      <c r="Y66">
        <v>9.0069344124247763</v>
      </c>
    </row>
    <row r="67" spans="1:25" x14ac:dyDescent="0.35">
      <c r="A67" s="1">
        <v>43054</v>
      </c>
      <c r="B67">
        <v>6.9</v>
      </c>
      <c r="C67">
        <v>3.4</v>
      </c>
      <c r="D67">
        <v>11.4</v>
      </c>
      <c r="E67">
        <v>830.39999999999986</v>
      </c>
      <c r="H67">
        <v>0</v>
      </c>
      <c r="J67">
        <v>1.1000000000000001</v>
      </c>
      <c r="L67">
        <v>-1.1000000000000001</v>
      </c>
      <c r="N67">
        <v>66</v>
      </c>
      <c r="O67">
        <v>0.88581081081081081</v>
      </c>
      <c r="P67">
        <v>0.97439189189189201</v>
      </c>
      <c r="Q67">
        <v>-0.97439189189189201</v>
      </c>
      <c r="R67">
        <v>114.09520270270266</v>
      </c>
      <c r="T67">
        <v>623</v>
      </c>
      <c r="V67">
        <v>40400.499999999993</v>
      </c>
      <c r="Y67">
        <v>8.9644504776547578</v>
      </c>
    </row>
    <row r="68" spans="1:25" x14ac:dyDescent="0.35">
      <c r="A68" s="1">
        <v>43055</v>
      </c>
      <c r="B68">
        <v>6</v>
      </c>
      <c r="C68">
        <v>3.8</v>
      </c>
      <c r="D68">
        <v>8</v>
      </c>
      <c r="E68">
        <v>836.39999999999986</v>
      </c>
      <c r="H68">
        <v>0</v>
      </c>
      <c r="J68">
        <v>0.4</v>
      </c>
      <c r="L68">
        <v>-0.4</v>
      </c>
      <c r="N68">
        <v>67</v>
      </c>
      <c r="O68">
        <v>0.89459459459459456</v>
      </c>
      <c r="P68">
        <v>0.35783783783783785</v>
      </c>
      <c r="Q68">
        <v>-0.35783783783783785</v>
      </c>
      <c r="R68">
        <v>113.73736486486483</v>
      </c>
      <c r="T68">
        <v>189.5</v>
      </c>
      <c r="V68">
        <v>40589.999999999993</v>
      </c>
      <c r="Y68">
        <v>8.9227750632167773</v>
      </c>
    </row>
    <row r="69" spans="1:25" x14ac:dyDescent="0.35">
      <c r="A69" s="1">
        <v>43056</v>
      </c>
      <c r="B69">
        <v>6.6</v>
      </c>
      <c r="C69">
        <v>3.6</v>
      </c>
      <c r="D69">
        <v>10.5</v>
      </c>
      <c r="E69">
        <v>842.99999999999989</v>
      </c>
      <c r="H69">
        <v>0.2</v>
      </c>
      <c r="J69">
        <v>0.6</v>
      </c>
      <c r="L69">
        <v>-0.39999999999999997</v>
      </c>
      <c r="N69">
        <v>68</v>
      </c>
      <c r="O69">
        <v>0.90337837837837831</v>
      </c>
      <c r="P69">
        <v>0.54202702702702699</v>
      </c>
      <c r="Q69">
        <v>-0.34202702702702698</v>
      </c>
      <c r="R69">
        <v>113.3953378378378</v>
      </c>
      <c r="T69">
        <v>427.4</v>
      </c>
      <c r="V69">
        <v>41017.399999999994</v>
      </c>
      <c r="Y69">
        <v>8.8819318205252102</v>
      </c>
    </row>
    <row r="70" spans="1:25" x14ac:dyDescent="0.35">
      <c r="A70" s="1">
        <v>43057</v>
      </c>
      <c r="B70">
        <v>5.8</v>
      </c>
      <c r="C70">
        <v>4</v>
      </c>
      <c r="D70">
        <v>7.7</v>
      </c>
      <c r="E70">
        <v>848.79999999999984</v>
      </c>
      <c r="H70">
        <v>0</v>
      </c>
      <c r="J70">
        <v>0.4</v>
      </c>
      <c r="L70">
        <v>-0.4</v>
      </c>
      <c r="N70">
        <v>69</v>
      </c>
      <c r="O70">
        <v>0.91216216216216217</v>
      </c>
      <c r="P70">
        <v>0.36486486486486491</v>
      </c>
      <c r="Q70">
        <v>-0.36486486486486491</v>
      </c>
      <c r="R70">
        <v>113.03047297297293</v>
      </c>
      <c r="T70">
        <v>227.4</v>
      </c>
      <c r="V70">
        <v>41244.799999999996</v>
      </c>
      <c r="Y70">
        <v>8.8419445115105368</v>
      </c>
    </row>
    <row r="71" spans="1:25" x14ac:dyDescent="0.35">
      <c r="A71" s="1">
        <v>43058</v>
      </c>
      <c r="B71">
        <v>9.5</v>
      </c>
      <c r="C71">
        <v>5.5</v>
      </c>
      <c r="D71">
        <v>12.3</v>
      </c>
      <c r="E71">
        <v>858.29999999999984</v>
      </c>
      <c r="H71">
        <v>0.2</v>
      </c>
      <c r="J71">
        <v>0.2</v>
      </c>
      <c r="L71">
        <v>0</v>
      </c>
      <c r="N71">
        <v>70</v>
      </c>
      <c r="O71">
        <v>0.92094594594594592</v>
      </c>
      <c r="P71">
        <v>0.1841891891891892</v>
      </c>
      <c r="Q71">
        <v>1.5810810810810816E-2</v>
      </c>
      <c r="R71">
        <v>113.04628378378374</v>
      </c>
      <c r="T71">
        <v>185.1</v>
      </c>
      <c r="V71">
        <v>41429.899999999994</v>
      </c>
      <c r="Y71">
        <v>8.802836972589775</v>
      </c>
    </row>
    <row r="72" spans="1:25" x14ac:dyDescent="0.35">
      <c r="A72" s="1">
        <v>43059</v>
      </c>
      <c r="B72">
        <v>10.9</v>
      </c>
      <c r="C72">
        <v>8.8000000000000007</v>
      </c>
      <c r="D72">
        <v>12.7</v>
      </c>
      <c r="E72">
        <v>869.19999999999982</v>
      </c>
      <c r="H72">
        <v>0</v>
      </c>
      <c r="J72">
        <v>0.5</v>
      </c>
      <c r="L72">
        <v>-0.5</v>
      </c>
      <c r="N72">
        <v>71</v>
      </c>
      <c r="O72">
        <v>0.92972972972972967</v>
      </c>
      <c r="P72">
        <v>0.46486486486486484</v>
      </c>
      <c r="Q72">
        <v>-0.46486486486486484</v>
      </c>
      <c r="R72">
        <v>112.58141891891887</v>
      </c>
      <c r="T72">
        <v>359.7</v>
      </c>
      <c r="V72">
        <v>41789.599999999991</v>
      </c>
      <c r="Y72">
        <v>8.7646330765858078</v>
      </c>
    </row>
    <row r="73" spans="1:25" x14ac:dyDescent="0.35">
      <c r="A73" s="1">
        <v>43060</v>
      </c>
      <c r="B73">
        <v>11.7</v>
      </c>
      <c r="C73">
        <v>10</v>
      </c>
      <c r="D73">
        <v>13</v>
      </c>
      <c r="E73">
        <v>880.89999999999986</v>
      </c>
      <c r="H73">
        <v>0</v>
      </c>
      <c r="J73">
        <v>0.5</v>
      </c>
      <c r="L73">
        <v>-0.5</v>
      </c>
      <c r="N73">
        <v>72</v>
      </c>
      <c r="O73">
        <v>0.93851351351351353</v>
      </c>
      <c r="P73">
        <v>0.46925675675675677</v>
      </c>
      <c r="Q73">
        <v>-0.46925675675675677</v>
      </c>
      <c r="R73">
        <v>112.11216216216211</v>
      </c>
      <c r="T73">
        <v>111.5</v>
      </c>
      <c r="V73">
        <v>41901.099999999991</v>
      </c>
      <c r="Y73">
        <v>8.7273566926459516</v>
      </c>
    </row>
    <row r="74" spans="1:25" x14ac:dyDescent="0.35">
      <c r="A74" s="1">
        <v>43061</v>
      </c>
      <c r="B74">
        <v>12.4</v>
      </c>
      <c r="C74">
        <v>9.3000000000000007</v>
      </c>
      <c r="D74">
        <v>13.8</v>
      </c>
      <c r="E74">
        <v>893.29999999999984</v>
      </c>
      <c r="H74">
        <v>5.5</v>
      </c>
      <c r="J74">
        <v>1.4</v>
      </c>
      <c r="L74">
        <v>4.0999999999999996</v>
      </c>
      <c r="N74">
        <v>73</v>
      </c>
      <c r="O74">
        <v>0.94729729729729728</v>
      </c>
      <c r="P74">
        <v>1.3262162162162161</v>
      </c>
      <c r="Q74">
        <v>4.1737837837837839</v>
      </c>
      <c r="R74">
        <v>116.2859459459459</v>
      </c>
      <c r="T74">
        <v>697.9</v>
      </c>
      <c r="V74">
        <v>42598.999999999993</v>
      </c>
      <c r="Y74">
        <v>8.6910316442254913</v>
      </c>
    </row>
    <row r="75" spans="1:25" x14ac:dyDescent="0.35">
      <c r="A75" s="1">
        <v>43062</v>
      </c>
      <c r="B75">
        <v>13.5</v>
      </c>
      <c r="C75">
        <v>11.6</v>
      </c>
      <c r="D75">
        <v>14.6</v>
      </c>
      <c r="E75">
        <v>906.79999999999984</v>
      </c>
      <c r="H75">
        <v>9.1999999999999993</v>
      </c>
      <c r="J75">
        <v>1</v>
      </c>
      <c r="L75">
        <v>8.1999999999999993</v>
      </c>
      <c r="N75">
        <v>74</v>
      </c>
      <c r="O75">
        <v>0.95608108108108114</v>
      </c>
      <c r="P75">
        <v>0.95608108108108114</v>
      </c>
      <c r="Q75">
        <v>8.2439189189189186</v>
      </c>
      <c r="R75">
        <v>124.52986486486482</v>
      </c>
      <c r="T75">
        <v>284.7</v>
      </c>
      <c r="V75">
        <v>42883.69999999999</v>
      </c>
      <c r="Y75">
        <v>8.6556816652176938</v>
      </c>
    </row>
    <row r="76" spans="1:25" x14ac:dyDescent="0.35">
      <c r="A76" s="1">
        <v>43063</v>
      </c>
      <c r="B76">
        <v>8.9</v>
      </c>
      <c r="C76">
        <v>7.7</v>
      </c>
      <c r="D76">
        <v>10.9</v>
      </c>
      <c r="E76">
        <v>915.69999999999982</v>
      </c>
      <c r="H76">
        <v>0.9</v>
      </c>
      <c r="J76">
        <v>0.4</v>
      </c>
      <c r="L76">
        <v>0.5</v>
      </c>
      <c r="N76">
        <v>75</v>
      </c>
      <c r="O76">
        <v>0.96486486486486489</v>
      </c>
      <c r="P76">
        <v>0.385945945945946</v>
      </c>
      <c r="Q76">
        <v>0.51405405405405402</v>
      </c>
      <c r="R76">
        <v>125.04391891891888</v>
      </c>
      <c r="T76">
        <v>122.5</v>
      </c>
      <c r="V76">
        <v>43006.19999999999</v>
      </c>
      <c r="Y76">
        <v>8.6213303543285988</v>
      </c>
    </row>
    <row r="77" spans="1:25" x14ac:dyDescent="0.35">
      <c r="A77" s="1">
        <v>43064</v>
      </c>
      <c r="B77">
        <v>4.7</v>
      </c>
      <c r="C77">
        <v>3.8</v>
      </c>
      <c r="D77">
        <v>6.8</v>
      </c>
      <c r="E77">
        <v>920.39999999999986</v>
      </c>
      <c r="H77">
        <v>3.7</v>
      </c>
      <c r="J77">
        <v>0.5</v>
      </c>
      <c r="L77">
        <v>3.2</v>
      </c>
      <c r="N77">
        <v>76</v>
      </c>
      <c r="O77">
        <v>0.97364864864864864</v>
      </c>
      <c r="P77">
        <v>0.48682432432432432</v>
      </c>
      <c r="Q77">
        <v>3.213175675675676</v>
      </c>
      <c r="R77">
        <v>128.25709459459455</v>
      </c>
      <c r="T77">
        <v>299.3</v>
      </c>
      <c r="V77">
        <v>43305.499999999993</v>
      </c>
      <c r="Y77">
        <v>8.5880011278118555</v>
      </c>
    </row>
    <row r="78" spans="1:25" x14ac:dyDescent="0.35">
      <c r="A78" s="1">
        <v>43065</v>
      </c>
      <c r="B78">
        <v>4.8</v>
      </c>
      <c r="C78">
        <v>2</v>
      </c>
      <c r="D78">
        <v>6.9</v>
      </c>
      <c r="E78">
        <v>925.19999999999982</v>
      </c>
      <c r="H78">
        <v>0.4</v>
      </c>
      <c r="J78">
        <v>0.3</v>
      </c>
      <c r="L78">
        <v>0.10000000000000003</v>
      </c>
      <c r="N78">
        <v>77</v>
      </c>
      <c r="O78">
        <v>0.9824324324324325</v>
      </c>
      <c r="P78">
        <v>0.29472972972972972</v>
      </c>
      <c r="Q78">
        <v>0.10527027027027031</v>
      </c>
      <c r="R78">
        <v>128.36236486486482</v>
      </c>
      <c r="T78">
        <v>213.7</v>
      </c>
      <c r="V78">
        <v>43519.19999999999</v>
      </c>
      <c r="Y78">
        <v>8.5557171706963366</v>
      </c>
    </row>
    <row r="79" spans="1:25" x14ac:dyDescent="0.35">
      <c r="A79" s="1">
        <v>43066</v>
      </c>
      <c r="B79">
        <v>8.6</v>
      </c>
      <c r="C79">
        <v>4.5</v>
      </c>
      <c r="D79">
        <v>11.2</v>
      </c>
      <c r="E79">
        <v>933.79999999999984</v>
      </c>
      <c r="H79">
        <v>9.4</v>
      </c>
      <c r="J79">
        <v>0.5</v>
      </c>
      <c r="L79">
        <v>8.9</v>
      </c>
      <c r="N79">
        <v>78</v>
      </c>
      <c r="O79">
        <v>0.99121621621621625</v>
      </c>
      <c r="P79">
        <v>0.49560810810810813</v>
      </c>
      <c r="Q79">
        <v>8.9043918918918923</v>
      </c>
      <c r="R79">
        <v>137.26675675675671</v>
      </c>
      <c r="T79">
        <v>213.9</v>
      </c>
      <c r="V79">
        <v>43733.099999999991</v>
      </c>
      <c r="Y79">
        <v>8.5245013866569721</v>
      </c>
    </row>
    <row r="80" spans="1:25" x14ac:dyDescent="0.35">
      <c r="A80" s="1">
        <v>43067</v>
      </c>
      <c r="B80">
        <v>6.5</v>
      </c>
      <c r="C80">
        <v>4.9000000000000004</v>
      </c>
      <c r="D80">
        <v>8.6</v>
      </c>
      <c r="E80">
        <v>940.29999999999984</v>
      </c>
      <c r="H80">
        <v>2.1</v>
      </c>
      <c r="J80">
        <v>0.4</v>
      </c>
      <c r="L80">
        <v>1.7000000000000002</v>
      </c>
      <c r="N80">
        <v>79</v>
      </c>
      <c r="O80">
        <v>1</v>
      </c>
      <c r="P80">
        <v>0.4</v>
      </c>
      <c r="Q80">
        <v>1.7000000000000002</v>
      </c>
      <c r="R80">
        <v>138.96675675675669</v>
      </c>
      <c r="T80">
        <v>189.9</v>
      </c>
      <c r="V80">
        <v>43922.999999999993</v>
      </c>
      <c r="Y80">
        <v>8.494376346696825</v>
      </c>
    </row>
    <row r="81" spans="1:25" x14ac:dyDescent="0.35">
      <c r="A81" s="1">
        <v>43068</v>
      </c>
      <c r="B81">
        <v>3.3</v>
      </c>
      <c r="C81">
        <v>0.9</v>
      </c>
      <c r="D81">
        <v>6.7</v>
      </c>
      <c r="E81">
        <v>943.5999999999998</v>
      </c>
      <c r="H81">
        <v>2.7</v>
      </c>
      <c r="J81">
        <v>0.4</v>
      </c>
      <c r="L81">
        <v>2.3000000000000003</v>
      </c>
      <c r="N81">
        <v>80</v>
      </c>
      <c r="O81">
        <v>1</v>
      </c>
      <c r="P81">
        <v>0.4</v>
      </c>
      <c r="Q81">
        <v>2.3000000000000003</v>
      </c>
      <c r="R81">
        <v>141.26675675675671</v>
      </c>
      <c r="T81">
        <v>339</v>
      </c>
      <c r="V81">
        <v>339</v>
      </c>
      <c r="Y81">
        <v>8.4653642368258453</v>
      </c>
    </row>
    <row r="82" spans="1:25" x14ac:dyDescent="0.35">
      <c r="A82" s="1">
        <v>43069</v>
      </c>
      <c r="B82">
        <v>2.9</v>
      </c>
      <c r="C82">
        <v>2.1</v>
      </c>
      <c r="D82">
        <v>5</v>
      </c>
      <c r="E82">
        <v>946.49999999999977</v>
      </c>
      <c r="H82">
        <v>7.3</v>
      </c>
      <c r="J82">
        <v>0.3</v>
      </c>
      <c r="L82">
        <v>7</v>
      </c>
      <c r="N82">
        <v>81</v>
      </c>
      <c r="O82">
        <v>1</v>
      </c>
      <c r="P82">
        <v>0.3</v>
      </c>
      <c r="Q82">
        <v>7</v>
      </c>
      <c r="R82">
        <v>148.26675675675671</v>
      </c>
      <c r="T82">
        <v>86.5</v>
      </c>
      <c r="V82">
        <v>425.5</v>
      </c>
      <c r="Y82">
        <v>8.4374868049388372</v>
      </c>
    </row>
    <row r="83" spans="1:25" x14ac:dyDescent="0.35">
      <c r="A83" s="1">
        <v>43070</v>
      </c>
      <c r="B83">
        <v>3</v>
      </c>
      <c r="C83">
        <v>-0.3</v>
      </c>
      <c r="D83">
        <v>6.5</v>
      </c>
      <c r="E83">
        <v>949.49999999999977</v>
      </c>
      <c r="H83">
        <v>2.7</v>
      </c>
      <c r="J83">
        <v>0.5</v>
      </c>
      <c r="L83">
        <v>2.2000000000000002</v>
      </c>
      <c r="N83">
        <v>82</v>
      </c>
      <c r="O83">
        <v>1</v>
      </c>
      <c r="P83">
        <v>0.5</v>
      </c>
      <c r="Q83">
        <v>2.2000000000000002</v>
      </c>
      <c r="R83">
        <v>150.46675675675669</v>
      </c>
      <c r="T83">
        <v>135.69999999999999</v>
      </c>
      <c r="V83">
        <v>561.20000000000005</v>
      </c>
      <c r="Y83">
        <v>8.4107653071114026</v>
      </c>
    </row>
    <row r="84" spans="1:25" x14ac:dyDescent="0.35">
      <c r="A84" s="1">
        <v>43071</v>
      </c>
      <c r="B84">
        <v>4.2</v>
      </c>
      <c r="C84">
        <v>1</v>
      </c>
      <c r="D84">
        <v>7.9</v>
      </c>
      <c r="E84">
        <v>953.69999999999982</v>
      </c>
      <c r="H84">
        <v>0.5</v>
      </c>
      <c r="J84">
        <v>0.5</v>
      </c>
      <c r="L84">
        <v>0</v>
      </c>
      <c r="N84">
        <v>83</v>
      </c>
      <c r="O84">
        <v>1</v>
      </c>
      <c r="P84">
        <v>0.5</v>
      </c>
      <c r="Q84">
        <v>0</v>
      </c>
      <c r="R84">
        <v>150.46675675675669</v>
      </c>
      <c r="T84">
        <v>464.6</v>
      </c>
      <c r="V84">
        <v>1025.8000000000002</v>
      </c>
      <c r="Y84">
        <v>8.385220453548154</v>
      </c>
    </row>
    <row r="85" spans="1:25" x14ac:dyDescent="0.35">
      <c r="A85" s="1">
        <v>43072</v>
      </c>
      <c r="B85">
        <v>6.8</v>
      </c>
      <c r="C85">
        <v>3.9</v>
      </c>
      <c r="D85">
        <v>8.4</v>
      </c>
      <c r="E85">
        <v>960.49999999999977</v>
      </c>
      <c r="H85">
        <v>0.5</v>
      </c>
      <c r="J85">
        <v>0.1</v>
      </c>
      <c r="L85">
        <v>0.4</v>
      </c>
      <c r="N85">
        <v>84</v>
      </c>
      <c r="O85">
        <v>1</v>
      </c>
      <c r="P85">
        <v>0.1</v>
      </c>
      <c r="Q85">
        <v>0.4</v>
      </c>
      <c r="R85">
        <v>150.8667567567567</v>
      </c>
      <c r="T85">
        <v>101.6</v>
      </c>
      <c r="V85">
        <v>1127.4000000000001</v>
      </c>
      <c r="Y85">
        <v>8.3608723544317325</v>
      </c>
    </row>
    <row r="86" spans="1:25" x14ac:dyDescent="0.35">
      <c r="A86" s="1">
        <v>43073</v>
      </c>
      <c r="B86">
        <v>7.8</v>
      </c>
      <c r="C86">
        <v>6.2</v>
      </c>
      <c r="D86">
        <v>10.8</v>
      </c>
      <c r="E86">
        <v>968.29999999999973</v>
      </c>
      <c r="H86">
        <v>0.1</v>
      </c>
      <c r="J86">
        <v>0.4</v>
      </c>
      <c r="L86">
        <v>-0.30000000000000004</v>
      </c>
      <c r="N86">
        <v>85</v>
      </c>
      <c r="O86">
        <v>1</v>
      </c>
      <c r="P86">
        <v>0.4</v>
      </c>
      <c r="Q86">
        <v>-0.30000000000000004</v>
      </c>
      <c r="R86">
        <v>150.56675675675669</v>
      </c>
      <c r="T86">
        <v>185.9</v>
      </c>
      <c r="V86">
        <v>1313.3000000000002</v>
      </c>
      <c r="Y86">
        <v>8.3377404659340169</v>
      </c>
    </row>
    <row r="87" spans="1:25" x14ac:dyDescent="0.35">
      <c r="A87" s="1">
        <v>43074</v>
      </c>
      <c r="B87">
        <v>7.6</v>
      </c>
      <c r="C87">
        <v>6.3</v>
      </c>
      <c r="D87">
        <v>8.9</v>
      </c>
      <c r="E87">
        <v>975.89999999999975</v>
      </c>
      <c r="H87">
        <v>0</v>
      </c>
      <c r="J87">
        <v>0.2</v>
      </c>
      <c r="L87">
        <v>-0.2</v>
      </c>
      <c r="N87">
        <v>86</v>
      </c>
      <c r="O87">
        <v>1</v>
      </c>
      <c r="P87">
        <v>0.2</v>
      </c>
      <c r="Q87">
        <v>-0.2</v>
      </c>
      <c r="R87">
        <v>150.3667567567567</v>
      </c>
      <c r="T87">
        <v>81.099999999999994</v>
      </c>
      <c r="V87">
        <v>1394.4</v>
      </c>
      <c r="Y87">
        <v>8.3158435366621202</v>
      </c>
    </row>
    <row r="88" spans="1:25" x14ac:dyDescent="0.35">
      <c r="A88" s="1">
        <v>43075</v>
      </c>
      <c r="B88">
        <v>7</v>
      </c>
      <c r="C88">
        <v>7</v>
      </c>
      <c r="D88">
        <v>8.1999999999999993</v>
      </c>
      <c r="E88">
        <v>982.89999999999975</v>
      </c>
      <c r="H88">
        <v>0.6</v>
      </c>
      <c r="J88">
        <v>1</v>
      </c>
      <c r="L88">
        <v>-0.4</v>
      </c>
      <c r="N88">
        <v>87</v>
      </c>
      <c r="O88">
        <v>1</v>
      </c>
      <c r="P88">
        <v>1</v>
      </c>
      <c r="Q88">
        <v>-0.4</v>
      </c>
      <c r="R88">
        <v>149.96675675675669</v>
      </c>
      <c r="T88">
        <v>97.8</v>
      </c>
      <c r="V88">
        <v>1492.2</v>
      </c>
      <c r="Y88">
        <v>8.2951995548210622</v>
      </c>
    </row>
    <row r="89" spans="1:25" x14ac:dyDescent="0.35">
      <c r="A89" s="1">
        <v>43076</v>
      </c>
      <c r="B89">
        <v>7.9</v>
      </c>
      <c r="C89">
        <v>4.0999999999999996</v>
      </c>
      <c r="D89">
        <v>11.8</v>
      </c>
      <c r="E89">
        <v>990.79999999999973</v>
      </c>
      <c r="H89">
        <v>4.7</v>
      </c>
      <c r="J89">
        <v>0.4</v>
      </c>
      <c r="L89">
        <v>4.3</v>
      </c>
      <c r="N89">
        <v>88</v>
      </c>
      <c r="O89">
        <v>1</v>
      </c>
      <c r="P89">
        <v>0.4</v>
      </c>
      <c r="Q89">
        <v>4.3</v>
      </c>
      <c r="R89">
        <v>154.26675675675671</v>
      </c>
      <c r="T89">
        <v>79.3</v>
      </c>
      <c r="V89">
        <v>1571.5</v>
      </c>
      <c r="Y89">
        <v>8.2758256963820163</v>
      </c>
    </row>
    <row r="90" spans="1:25" x14ac:dyDescent="0.35">
      <c r="A90" s="1">
        <v>43077</v>
      </c>
      <c r="B90">
        <v>4.8</v>
      </c>
      <c r="C90">
        <v>3.7</v>
      </c>
      <c r="D90">
        <v>7.4</v>
      </c>
      <c r="E90">
        <v>995.59999999999968</v>
      </c>
      <c r="H90">
        <v>4.7</v>
      </c>
      <c r="J90">
        <v>0.9</v>
      </c>
      <c r="L90">
        <v>3.8000000000000003</v>
      </c>
      <c r="N90">
        <v>89</v>
      </c>
      <c r="O90">
        <v>1</v>
      </c>
      <c r="P90">
        <v>0.9</v>
      </c>
      <c r="Q90">
        <v>3.8000000000000003</v>
      </c>
      <c r="R90">
        <v>158.06675675675672</v>
      </c>
      <c r="T90">
        <v>463</v>
      </c>
      <c r="V90">
        <v>2034.5</v>
      </c>
      <c r="Y90">
        <v>8.2577382745499577</v>
      </c>
    </row>
    <row r="91" spans="1:25" x14ac:dyDescent="0.35">
      <c r="A91" s="1">
        <v>43078</v>
      </c>
      <c r="B91">
        <v>3.7</v>
      </c>
      <c r="C91">
        <v>1.9</v>
      </c>
      <c r="D91">
        <v>13.3</v>
      </c>
      <c r="E91">
        <v>999.29999999999973</v>
      </c>
      <c r="H91">
        <v>15.4</v>
      </c>
      <c r="J91">
        <v>1.2</v>
      </c>
      <c r="L91">
        <v>14.200000000000001</v>
      </c>
      <c r="N91">
        <v>90</v>
      </c>
      <c r="O91">
        <v>1</v>
      </c>
      <c r="P91">
        <v>1.2</v>
      </c>
      <c r="Q91">
        <v>14.200000000000001</v>
      </c>
      <c r="R91">
        <v>172.26675675675671</v>
      </c>
      <c r="T91">
        <v>156.30000000000001</v>
      </c>
      <c r="V91">
        <v>2190.8000000000002</v>
      </c>
      <c r="Y91">
        <v>8.2409526908265018</v>
      </c>
    </row>
    <row r="92" spans="1:25" x14ac:dyDescent="0.35">
      <c r="A92" s="1">
        <v>43079</v>
      </c>
      <c r="B92">
        <v>9.6999999999999993</v>
      </c>
      <c r="C92">
        <v>4.4000000000000004</v>
      </c>
      <c r="D92">
        <v>12.8</v>
      </c>
      <c r="E92">
        <v>1008.9999999999998</v>
      </c>
      <c r="H92">
        <v>14.9</v>
      </c>
      <c r="J92">
        <v>0.5</v>
      </c>
      <c r="L92">
        <v>14.4</v>
      </c>
      <c r="N92">
        <v>91</v>
      </c>
      <c r="O92">
        <v>1</v>
      </c>
      <c r="P92">
        <v>0.5</v>
      </c>
      <c r="Q92">
        <v>14.4</v>
      </c>
      <c r="R92">
        <v>186.66675675675671</v>
      </c>
      <c r="T92">
        <v>150.5</v>
      </c>
      <c r="V92">
        <v>2341.3000000000002</v>
      </c>
      <c r="Y92">
        <v>8.2254833879633473</v>
      </c>
    </row>
    <row r="93" spans="1:25" x14ac:dyDescent="0.35">
      <c r="A93" s="1">
        <v>43080</v>
      </c>
      <c r="B93">
        <v>5.7</v>
      </c>
      <c r="C93">
        <v>4.7</v>
      </c>
      <c r="D93">
        <v>7.6</v>
      </c>
      <c r="E93">
        <v>1014.6999999999998</v>
      </c>
      <c r="H93">
        <v>4.0999999999999996</v>
      </c>
      <c r="J93">
        <v>0.5</v>
      </c>
      <c r="L93">
        <v>3.5999999999999996</v>
      </c>
      <c r="N93">
        <v>92</v>
      </c>
      <c r="O93">
        <v>1</v>
      </c>
      <c r="P93">
        <v>0.5</v>
      </c>
      <c r="Q93">
        <v>3.5999999999999996</v>
      </c>
      <c r="R93">
        <v>190.26675675675671</v>
      </c>
      <c r="T93">
        <v>84.2</v>
      </c>
      <c r="V93">
        <v>2425.5</v>
      </c>
      <c r="Y93">
        <v>8.2113438050981795</v>
      </c>
    </row>
    <row r="94" spans="1:25" x14ac:dyDescent="0.35">
      <c r="A94" s="1">
        <v>43081</v>
      </c>
      <c r="B94">
        <v>4.3</v>
      </c>
      <c r="C94">
        <v>0.5</v>
      </c>
      <c r="D94">
        <v>9</v>
      </c>
      <c r="E94">
        <v>1018.9999999999998</v>
      </c>
      <c r="H94">
        <v>2.2999999999999998</v>
      </c>
      <c r="J94">
        <v>0.6</v>
      </c>
      <c r="L94">
        <v>1.6999999999999997</v>
      </c>
      <c r="N94">
        <v>93</v>
      </c>
      <c r="O94">
        <v>1</v>
      </c>
      <c r="P94">
        <v>0.6</v>
      </c>
      <c r="Q94">
        <v>1.6999999999999997</v>
      </c>
      <c r="R94">
        <v>191.96675675675669</v>
      </c>
      <c r="T94">
        <v>591</v>
      </c>
      <c r="V94">
        <v>3016.5</v>
      </c>
      <c r="Y94">
        <v>8.1985463353585555</v>
      </c>
    </row>
    <row r="95" spans="1:25" x14ac:dyDescent="0.35">
      <c r="A95" s="1">
        <v>43082</v>
      </c>
      <c r="B95">
        <v>9.1999999999999993</v>
      </c>
      <c r="C95">
        <v>5.5</v>
      </c>
      <c r="D95">
        <v>10.199999999999999</v>
      </c>
      <c r="E95">
        <v>1028.1999999999998</v>
      </c>
      <c r="H95">
        <v>1.5</v>
      </c>
      <c r="J95">
        <v>0.3</v>
      </c>
      <c r="L95">
        <v>1.2</v>
      </c>
      <c r="N95">
        <v>94</v>
      </c>
      <c r="O95">
        <v>1</v>
      </c>
      <c r="P95">
        <v>0.3</v>
      </c>
      <c r="Q95">
        <v>1.2</v>
      </c>
      <c r="R95">
        <v>193.16675675675668</v>
      </c>
      <c r="T95">
        <v>134.4</v>
      </c>
      <c r="V95">
        <v>3150.9</v>
      </c>
      <c r="Y95">
        <v>8.187102286209953</v>
      </c>
    </row>
    <row r="96" spans="1:25" x14ac:dyDescent="0.35">
      <c r="A96" s="1">
        <v>43083</v>
      </c>
      <c r="B96">
        <v>6.5</v>
      </c>
      <c r="C96">
        <v>4.7</v>
      </c>
      <c r="D96">
        <v>8.9</v>
      </c>
      <c r="E96">
        <v>1034.6999999999998</v>
      </c>
      <c r="H96">
        <v>3.2</v>
      </c>
      <c r="J96">
        <v>1.1000000000000001</v>
      </c>
      <c r="L96">
        <v>2.1</v>
      </c>
      <c r="N96">
        <v>95</v>
      </c>
      <c r="O96">
        <v>1</v>
      </c>
      <c r="P96">
        <v>1.1000000000000001</v>
      </c>
      <c r="Q96">
        <v>2.1</v>
      </c>
      <c r="R96">
        <v>195.26675675675668</v>
      </c>
      <c r="T96">
        <v>287.3</v>
      </c>
      <c r="V96">
        <v>3438.2000000000003</v>
      </c>
      <c r="Y96">
        <v>8.1770218428116213</v>
      </c>
    </row>
    <row r="97" spans="1:25" x14ac:dyDescent="0.35">
      <c r="A97" s="1">
        <v>43084</v>
      </c>
      <c r="B97">
        <v>5.5</v>
      </c>
      <c r="C97">
        <v>4.5</v>
      </c>
      <c r="D97">
        <v>8.8000000000000007</v>
      </c>
      <c r="E97">
        <v>1040.1999999999998</v>
      </c>
      <c r="H97">
        <v>0.6</v>
      </c>
      <c r="J97">
        <v>1.1000000000000001</v>
      </c>
      <c r="L97">
        <v>-0.50000000000000011</v>
      </c>
      <c r="N97">
        <v>96</v>
      </c>
      <c r="O97">
        <v>1</v>
      </c>
      <c r="P97">
        <v>1.1000000000000001</v>
      </c>
      <c r="Q97">
        <v>-0.50000000000000011</v>
      </c>
      <c r="R97">
        <v>194.76675675675668</v>
      </c>
      <c r="T97">
        <v>292.60000000000002</v>
      </c>
      <c r="V97">
        <v>3730.8</v>
      </c>
      <c r="Y97">
        <v>8.1683140346286738</v>
      </c>
    </row>
    <row r="98" spans="1:25" x14ac:dyDescent="0.35">
      <c r="A98" s="1">
        <v>43085</v>
      </c>
      <c r="B98">
        <v>4.3</v>
      </c>
      <c r="C98">
        <v>2.2000000000000002</v>
      </c>
      <c r="D98">
        <v>6.5</v>
      </c>
      <c r="E98">
        <v>1044.4999999999998</v>
      </c>
      <c r="H98">
        <v>3</v>
      </c>
      <c r="J98">
        <v>0.5</v>
      </c>
      <c r="L98">
        <v>2.5</v>
      </c>
      <c r="N98">
        <v>97</v>
      </c>
      <c r="O98">
        <v>1</v>
      </c>
      <c r="P98">
        <v>0.5</v>
      </c>
      <c r="Q98">
        <v>2.5</v>
      </c>
      <c r="R98">
        <v>197.26675675675668</v>
      </c>
      <c r="T98">
        <v>102.1</v>
      </c>
      <c r="V98">
        <v>3832.9</v>
      </c>
      <c r="Y98">
        <v>8.1609867055304228</v>
      </c>
    </row>
    <row r="99" spans="1:25" x14ac:dyDescent="0.35">
      <c r="A99" s="1">
        <v>43086</v>
      </c>
      <c r="B99">
        <v>7.7</v>
      </c>
      <c r="C99">
        <v>4.5999999999999996</v>
      </c>
      <c r="D99">
        <v>10.6</v>
      </c>
      <c r="E99">
        <v>1052.1999999999998</v>
      </c>
      <c r="H99">
        <v>0.3</v>
      </c>
      <c r="J99">
        <v>0.4</v>
      </c>
      <c r="L99">
        <v>-0.10000000000000003</v>
      </c>
      <c r="N99">
        <v>98</v>
      </c>
      <c r="O99">
        <v>1</v>
      </c>
      <c r="P99">
        <v>0.4</v>
      </c>
      <c r="Q99">
        <v>-0.10000000000000003</v>
      </c>
      <c r="R99">
        <v>197.16675675675668</v>
      </c>
      <c r="T99">
        <v>314.7</v>
      </c>
      <c r="V99">
        <v>4147.6000000000004</v>
      </c>
      <c r="Y99">
        <v>8.1550464875842312</v>
      </c>
    </row>
    <row r="100" spans="1:25" x14ac:dyDescent="0.35">
      <c r="A100" s="1">
        <v>43087</v>
      </c>
      <c r="B100">
        <v>7.7</v>
      </c>
      <c r="C100">
        <v>5.3</v>
      </c>
      <c r="D100">
        <v>10.5</v>
      </c>
      <c r="E100">
        <v>1059.8999999999999</v>
      </c>
      <c r="H100">
        <v>0.2</v>
      </c>
      <c r="J100">
        <v>0.6</v>
      </c>
      <c r="L100">
        <v>-0.39999999999999997</v>
      </c>
      <c r="N100">
        <v>99</v>
      </c>
      <c r="O100">
        <v>1</v>
      </c>
      <c r="P100">
        <v>0.6</v>
      </c>
      <c r="Q100">
        <v>-0.39999999999999997</v>
      </c>
      <c r="R100">
        <v>196.76675675675668</v>
      </c>
      <c r="T100">
        <v>396.4</v>
      </c>
      <c r="V100">
        <v>4544</v>
      </c>
      <c r="Y100">
        <v>8.1504987787304159</v>
      </c>
    </row>
    <row r="101" spans="1:25" x14ac:dyDescent="0.35">
      <c r="A101" s="1">
        <v>43088</v>
      </c>
      <c r="B101">
        <v>2.2000000000000002</v>
      </c>
      <c r="C101">
        <v>-0.8</v>
      </c>
      <c r="D101">
        <v>4.8</v>
      </c>
      <c r="E101">
        <v>1062.0999999999999</v>
      </c>
      <c r="H101">
        <v>0.1</v>
      </c>
      <c r="J101">
        <v>0.6</v>
      </c>
      <c r="L101">
        <v>-0.5</v>
      </c>
      <c r="N101">
        <v>100</v>
      </c>
      <c r="O101">
        <v>1</v>
      </c>
      <c r="P101">
        <v>0.6</v>
      </c>
      <c r="Q101">
        <v>-0.5</v>
      </c>
      <c r="R101">
        <v>196.26675675675668</v>
      </c>
      <c r="T101">
        <v>357</v>
      </c>
      <c r="V101">
        <v>4901</v>
      </c>
      <c r="Y101">
        <v>8.1473477244981485</v>
      </c>
    </row>
    <row r="102" spans="1:25" x14ac:dyDescent="0.35">
      <c r="A102" s="1">
        <v>43089</v>
      </c>
      <c r="B102">
        <v>5.5</v>
      </c>
      <c r="C102">
        <v>0.6</v>
      </c>
      <c r="D102">
        <v>8.5</v>
      </c>
      <c r="E102">
        <v>1067.5999999999999</v>
      </c>
      <c r="H102">
        <v>0.8</v>
      </c>
      <c r="J102">
        <v>0.2</v>
      </c>
      <c r="L102">
        <v>0.60000000000000009</v>
      </c>
      <c r="N102">
        <v>101</v>
      </c>
      <c r="O102">
        <v>1</v>
      </c>
      <c r="P102">
        <v>0.2</v>
      </c>
      <c r="Q102">
        <v>0.60000000000000009</v>
      </c>
      <c r="R102">
        <v>196.86675675675667</v>
      </c>
      <c r="T102">
        <v>92.4</v>
      </c>
      <c r="V102">
        <v>4993.3999999999996</v>
      </c>
      <c r="Y102">
        <v>8.1455962038944758</v>
      </c>
    </row>
    <row r="103" spans="1:25" x14ac:dyDescent="0.35">
      <c r="A103" s="1">
        <v>43090</v>
      </c>
      <c r="B103">
        <v>9.1999999999999993</v>
      </c>
      <c r="C103">
        <v>8</v>
      </c>
      <c r="D103">
        <v>9.8000000000000007</v>
      </c>
      <c r="E103">
        <v>1076.8</v>
      </c>
      <c r="H103">
        <v>1.3</v>
      </c>
      <c r="J103">
        <v>0.2</v>
      </c>
      <c r="L103">
        <v>1.1000000000000001</v>
      </c>
      <c r="N103">
        <v>102</v>
      </c>
      <c r="O103">
        <v>1</v>
      </c>
      <c r="P103">
        <v>0.2</v>
      </c>
      <c r="Q103">
        <v>1.1000000000000001</v>
      </c>
      <c r="R103">
        <v>197.4</v>
      </c>
      <c r="T103">
        <v>114.1</v>
      </c>
      <c r="V103">
        <v>5107.5</v>
      </c>
      <c r="Y103">
        <v>8.1452458195690891</v>
      </c>
    </row>
    <row r="104" spans="1:25" x14ac:dyDescent="0.35">
      <c r="A104" s="1">
        <v>43091</v>
      </c>
      <c r="B104">
        <v>9.1999999999999993</v>
      </c>
      <c r="C104">
        <v>7.9</v>
      </c>
      <c r="D104">
        <v>10</v>
      </c>
      <c r="E104">
        <v>1086</v>
      </c>
      <c r="H104">
        <v>1.2</v>
      </c>
      <c r="J104">
        <v>0.3</v>
      </c>
      <c r="L104">
        <v>0.89999999999999991</v>
      </c>
      <c r="N104">
        <v>103</v>
      </c>
      <c r="O104">
        <v>1</v>
      </c>
      <c r="P104">
        <v>0.3</v>
      </c>
      <c r="Q104">
        <v>0.89999999999999991</v>
      </c>
      <c r="R104">
        <v>197.4</v>
      </c>
      <c r="T104">
        <v>119.2</v>
      </c>
      <c r="V104">
        <v>5226.7</v>
      </c>
      <c r="Y104">
        <v>8.1462968923268395</v>
      </c>
    </row>
    <row r="105" spans="1:25" x14ac:dyDescent="0.35">
      <c r="A105" s="1">
        <v>43092</v>
      </c>
      <c r="B105">
        <v>9.8000000000000007</v>
      </c>
      <c r="C105">
        <v>9</v>
      </c>
      <c r="D105">
        <v>10.9</v>
      </c>
      <c r="E105">
        <v>1095.8</v>
      </c>
      <c r="H105">
        <v>0.5</v>
      </c>
      <c r="J105">
        <v>0.2</v>
      </c>
      <c r="L105">
        <v>0.3</v>
      </c>
      <c r="N105">
        <v>104</v>
      </c>
      <c r="O105">
        <v>1</v>
      </c>
      <c r="P105">
        <v>0.2</v>
      </c>
      <c r="Q105">
        <v>0.3</v>
      </c>
      <c r="R105">
        <v>197.4</v>
      </c>
      <c r="T105">
        <v>108</v>
      </c>
      <c r="V105">
        <v>5334.7</v>
      </c>
      <c r="Y105">
        <v>8.148748460028191</v>
      </c>
    </row>
    <row r="106" spans="1:25" x14ac:dyDescent="0.35">
      <c r="A106" s="1">
        <v>43093</v>
      </c>
      <c r="B106">
        <v>9</v>
      </c>
      <c r="C106">
        <v>8.8000000000000007</v>
      </c>
      <c r="D106">
        <v>10.4</v>
      </c>
      <c r="E106">
        <v>1104.8</v>
      </c>
      <c r="H106">
        <v>0.8</v>
      </c>
      <c r="J106">
        <v>0.4</v>
      </c>
      <c r="L106">
        <v>0.4</v>
      </c>
      <c r="N106">
        <v>105</v>
      </c>
      <c r="O106">
        <v>1</v>
      </c>
      <c r="P106">
        <v>0.4</v>
      </c>
      <c r="Q106">
        <v>0.4</v>
      </c>
      <c r="R106">
        <v>197.4</v>
      </c>
      <c r="T106">
        <v>95.8</v>
      </c>
      <c r="V106">
        <v>5430.5</v>
      </c>
      <c r="Y106">
        <v>8.1525982808857957</v>
      </c>
    </row>
    <row r="107" spans="1:25" x14ac:dyDescent="0.35">
      <c r="A107" s="1">
        <v>43094</v>
      </c>
      <c r="B107">
        <v>7.1</v>
      </c>
      <c r="C107">
        <v>7</v>
      </c>
      <c r="D107">
        <v>8.1</v>
      </c>
      <c r="E107">
        <v>1111.8999999999999</v>
      </c>
      <c r="H107">
        <v>5.7</v>
      </c>
      <c r="J107">
        <v>0.5</v>
      </c>
      <c r="L107">
        <v>5.2</v>
      </c>
      <c r="N107">
        <v>106</v>
      </c>
      <c r="O107">
        <v>1</v>
      </c>
      <c r="P107">
        <v>0.5</v>
      </c>
      <c r="Q107">
        <v>5.2</v>
      </c>
      <c r="R107">
        <v>197.4</v>
      </c>
      <c r="T107">
        <v>86.3</v>
      </c>
      <c r="V107">
        <v>5516.8</v>
      </c>
      <c r="Y107">
        <v>8.1578428411328474</v>
      </c>
    </row>
    <row r="108" spans="1:25" x14ac:dyDescent="0.35">
      <c r="A108" s="1">
        <v>43095</v>
      </c>
      <c r="B108">
        <v>6.6</v>
      </c>
      <c r="C108">
        <v>4.2</v>
      </c>
      <c r="D108">
        <v>8.5</v>
      </c>
      <c r="E108">
        <v>1118.4999999999998</v>
      </c>
      <c r="H108">
        <v>16.5</v>
      </c>
      <c r="J108">
        <v>0.5</v>
      </c>
      <c r="L108">
        <v>16</v>
      </c>
      <c r="N108">
        <v>107</v>
      </c>
      <c r="O108">
        <v>1</v>
      </c>
      <c r="P108">
        <v>0.5</v>
      </c>
      <c r="Q108">
        <v>16</v>
      </c>
      <c r="R108">
        <v>197.4</v>
      </c>
      <c r="T108">
        <v>418.7</v>
      </c>
      <c r="V108">
        <v>5935.5</v>
      </c>
      <c r="Y108">
        <v>8.1644773670071498</v>
      </c>
    </row>
    <row r="109" spans="1:25" x14ac:dyDescent="0.35">
      <c r="A109" s="1">
        <v>43096</v>
      </c>
      <c r="B109">
        <v>5.3</v>
      </c>
      <c r="C109">
        <v>4.5</v>
      </c>
      <c r="D109">
        <v>7.2</v>
      </c>
      <c r="E109">
        <v>1123.7999999999997</v>
      </c>
      <c r="H109">
        <v>3.9</v>
      </c>
      <c r="J109">
        <v>1.2</v>
      </c>
      <c r="L109">
        <v>2.7</v>
      </c>
      <c r="N109">
        <v>108</v>
      </c>
      <c r="O109">
        <v>1</v>
      </c>
      <c r="P109">
        <v>1.2</v>
      </c>
      <c r="Q109">
        <v>2.7</v>
      </c>
      <c r="R109">
        <v>197.4</v>
      </c>
      <c r="T109">
        <v>216.1</v>
      </c>
      <c r="V109">
        <v>6151.6</v>
      </c>
      <c r="Y109">
        <v>8.1724958409633626</v>
      </c>
    </row>
    <row r="110" spans="1:25" x14ac:dyDescent="0.35">
      <c r="A110" s="1">
        <v>43097</v>
      </c>
      <c r="B110">
        <v>3.1</v>
      </c>
      <c r="C110">
        <v>0.5</v>
      </c>
      <c r="D110">
        <v>6.6</v>
      </c>
      <c r="E110">
        <v>1126.8999999999996</v>
      </c>
      <c r="H110">
        <v>1.2</v>
      </c>
      <c r="J110">
        <v>0.5</v>
      </c>
      <c r="L110">
        <v>0.7</v>
      </c>
      <c r="N110">
        <v>109</v>
      </c>
      <c r="O110">
        <v>1</v>
      </c>
      <c r="P110">
        <v>0.5</v>
      </c>
      <c r="Q110">
        <v>0.7</v>
      </c>
      <c r="R110">
        <v>197.4</v>
      </c>
      <c r="T110">
        <v>477.9</v>
      </c>
      <c r="V110">
        <v>6629.5</v>
      </c>
      <c r="Y110">
        <v>8.1818910219958845</v>
      </c>
    </row>
    <row r="111" spans="1:25" x14ac:dyDescent="0.35">
      <c r="A111" s="1">
        <v>43098</v>
      </c>
      <c r="B111">
        <v>9.3000000000000007</v>
      </c>
      <c r="C111">
        <v>3.2</v>
      </c>
      <c r="D111">
        <v>13.2</v>
      </c>
      <c r="E111">
        <v>1136.1999999999996</v>
      </c>
      <c r="H111">
        <v>6.3</v>
      </c>
      <c r="J111">
        <v>0.3</v>
      </c>
      <c r="L111">
        <v>6</v>
      </c>
      <c r="N111">
        <v>110</v>
      </c>
      <c r="O111">
        <v>1</v>
      </c>
      <c r="P111">
        <v>0.3</v>
      </c>
      <c r="Q111">
        <v>6</v>
      </c>
      <c r="R111">
        <v>197.4</v>
      </c>
      <c r="T111">
        <v>86.7</v>
      </c>
      <c r="V111">
        <v>6716.2</v>
      </c>
      <c r="Y111">
        <v>8.1926544699261221</v>
      </c>
    </row>
    <row r="112" spans="1:25" x14ac:dyDescent="0.35">
      <c r="A112" s="1">
        <v>43099</v>
      </c>
      <c r="B112">
        <v>13.3</v>
      </c>
      <c r="C112">
        <v>10.8</v>
      </c>
      <c r="D112">
        <v>13.9</v>
      </c>
      <c r="E112">
        <v>1149.4999999999995</v>
      </c>
      <c r="H112">
        <v>1.2</v>
      </c>
      <c r="J112">
        <v>0.3</v>
      </c>
      <c r="L112">
        <v>0.89999999999999991</v>
      </c>
      <c r="N112">
        <v>111</v>
      </c>
      <c r="O112">
        <v>1</v>
      </c>
      <c r="P112">
        <v>0.3</v>
      </c>
      <c r="Q112">
        <v>0.89999999999999991</v>
      </c>
      <c r="R112">
        <v>197.4</v>
      </c>
      <c r="T112">
        <v>76.2</v>
      </c>
      <c r="V112">
        <v>6792.4</v>
      </c>
      <c r="Y112">
        <v>8.2047765734811406</v>
      </c>
    </row>
    <row r="113" spans="1:25" x14ac:dyDescent="0.35">
      <c r="A113" s="1">
        <v>43100</v>
      </c>
      <c r="B113">
        <v>11.2</v>
      </c>
      <c r="C113">
        <v>9.5</v>
      </c>
      <c r="D113">
        <v>13.3</v>
      </c>
      <c r="E113">
        <v>1160.6999999999996</v>
      </c>
      <c r="H113">
        <v>6.2</v>
      </c>
      <c r="J113">
        <v>1.2</v>
      </c>
      <c r="L113">
        <v>5</v>
      </c>
      <c r="N113">
        <v>112</v>
      </c>
      <c r="O113">
        <v>1</v>
      </c>
      <c r="P113">
        <v>1.2</v>
      </c>
      <c r="Q113">
        <v>5</v>
      </c>
      <c r="R113">
        <v>197.4</v>
      </c>
      <c r="T113">
        <v>81.099999999999994</v>
      </c>
      <c r="V113">
        <v>6873.5</v>
      </c>
      <c r="Y113">
        <v>8.2182465819659498</v>
      </c>
    </row>
    <row r="114" spans="1:25" x14ac:dyDescent="0.35">
      <c r="A114" s="1">
        <v>43101</v>
      </c>
      <c r="B114">
        <v>8.6</v>
      </c>
      <c r="C114">
        <v>8.1</v>
      </c>
      <c r="D114">
        <v>9.8000000000000007</v>
      </c>
      <c r="E114">
        <v>1169.2999999999995</v>
      </c>
      <c r="H114">
        <v>15.2</v>
      </c>
      <c r="J114">
        <v>1.4</v>
      </c>
      <c r="L114">
        <v>13.799999999999999</v>
      </c>
      <c r="N114">
        <v>113</v>
      </c>
      <c r="O114">
        <v>1</v>
      </c>
      <c r="P114">
        <v>1.4</v>
      </c>
      <c r="Q114">
        <v>13.799999999999999</v>
      </c>
      <c r="R114">
        <v>197.4</v>
      </c>
      <c r="T114">
        <v>113.6</v>
      </c>
      <c r="V114">
        <v>6987.1</v>
      </c>
      <c r="Y114">
        <v>8.2330526403095128</v>
      </c>
    </row>
    <row r="115" spans="1:25" x14ac:dyDescent="0.35">
      <c r="A115" s="1">
        <v>43102</v>
      </c>
      <c r="B115">
        <v>10.4</v>
      </c>
      <c r="C115">
        <v>6.5</v>
      </c>
      <c r="D115">
        <v>14.1</v>
      </c>
      <c r="E115">
        <v>1179.6999999999996</v>
      </c>
      <c r="H115">
        <v>2</v>
      </c>
      <c r="J115">
        <v>0.5</v>
      </c>
      <c r="L115">
        <v>1.5</v>
      </c>
      <c r="N115">
        <v>114</v>
      </c>
      <c r="O115">
        <v>1</v>
      </c>
      <c r="P115">
        <v>0.5</v>
      </c>
      <c r="Q115">
        <v>1.5</v>
      </c>
      <c r="R115">
        <v>197.4</v>
      </c>
      <c r="T115">
        <v>88.6</v>
      </c>
      <c r="V115">
        <v>7075.7000000000007</v>
      </c>
      <c r="Y115">
        <v>8.2491818272448576</v>
      </c>
    </row>
    <row r="116" spans="1:25" x14ac:dyDescent="0.35">
      <c r="A116" s="1">
        <v>43103</v>
      </c>
      <c r="B116">
        <v>11.5</v>
      </c>
      <c r="C116">
        <v>9.8000000000000007</v>
      </c>
      <c r="D116">
        <v>13.7</v>
      </c>
      <c r="E116">
        <v>1191.1999999999996</v>
      </c>
      <c r="H116">
        <v>9.1</v>
      </c>
      <c r="J116">
        <v>1.6</v>
      </c>
      <c r="L116">
        <v>7.5</v>
      </c>
      <c r="N116">
        <v>115</v>
      </c>
      <c r="O116">
        <v>1</v>
      </c>
      <c r="P116">
        <v>1.6</v>
      </c>
      <c r="Q116">
        <v>7.5</v>
      </c>
      <c r="R116">
        <v>197.4</v>
      </c>
      <c r="T116">
        <v>371.3</v>
      </c>
      <c r="V116">
        <v>7447.0000000000009</v>
      </c>
      <c r="Y116">
        <v>8.2666201963669401</v>
      </c>
    </row>
    <row r="117" spans="1:25" x14ac:dyDescent="0.35">
      <c r="A117" s="1">
        <v>43104</v>
      </c>
      <c r="B117">
        <v>12.6</v>
      </c>
      <c r="C117">
        <v>10.5</v>
      </c>
      <c r="D117">
        <v>13.9</v>
      </c>
      <c r="E117">
        <v>1203.7999999999995</v>
      </c>
      <c r="H117">
        <v>1.9</v>
      </c>
      <c r="J117">
        <v>0.5</v>
      </c>
      <c r="L117">
        <v>1.4</v>
      </c>
      <c r="N117">
        <v>116</v>
      </c>
      <c r="O117">
        <v>1</v>
      </c>
      <c r="P117">
        <v>0.5</v>
      </c>
      <c r="Q117">
        <v>1.4</v>
      </c>
      <c r="R117">
        <v>197.4</v>
      </c>
      <c r="T117">
        <v>63.3</v>
      </c>
      <c r="V117">
        <v>7510.3000000000011</v>
      </c>
      <c r="Y117">
        <v>8.2853528197978985</v>
      </c>
    </row>
    <row r="118" spans="1:25" x14ac:dyDescent="0.35">
      <c r="A118" s="1">
        <v>43105</v>
      </c>
      <c r="B118">
        <v>8.4</v>
      </c>
      <c r="C118">
        <v>7.1</v>
      </c>
      <c r="D118">
        <v>9.8000000000000007</v>
      </c>
      <c r="E118">
        <v>1212.1999999999996</v>
      </c>
      <c r="H118">
        <v>1.5</v>
      </c>
      <c r="J118">
        <v>0.6</v>
      </c>
      <c r="L118">
        <v>0.9</v>
      </c>
      <c r="N118">
        <v>117</v>
      </c>
      <c r="O118">
        <v>1</v>
      </c>
      <c r="P118">
        <v>0.6</v>
      </c>
      <c r="Q118">
        <v>0.9</v>
      </c>
      <c r="R118">
        <v>197.4</v>
      </c>
      <c r="T118">
        <v>406</v>
      </c>
      <c r="V118">
        <v>7916.3000000000011</v>
      </c>
      <c r="Y118">
        <v>8.3053638341785643</v>
      </c>
    </row>
    <row r="119" spans="1:25" x14ac:dyDescent="0.35">
      <c r="A119" s="1">
        <v>43106</v>
      </c>
      <c r="B119">
        <v>5.3</v>
      </c>
      <c r="C119">
        <v>3.5</v>
      </c>
      <c r="D119">
        <v>7.6</v>
      </c>
      <c r="E119">
        <v>1217.4999999999995</v>
      </c>
      <c r="H119">
        <v>0.3</v>
      </c>
      <c r="J119">
        <v>0.4</v>
      </c>
      <c r="L119">
        <v>-0.10000000000000003</v>
      </c>
      <c r="N119">
        <v>118</v>
      </c>
      <c r="O119">
        <v>1</v>
      </c>
      <c r="P119">
        <v>0.4</v>
      </c>
      <c r="Q119">
        <v>-0.10000000000000003</v>
      </c>
      <c r="R119">
        <v>197.3</v>
      </c>
      <c r="T119">
        <v>356.5</v>
      </c>
      <c r="V119">
        <v>8272.8000000000011</v>
      </c>
      <c r="Y119">
        <v>8.3266364886970745</v>
      </c>
    </row>
    <row r="120" spans="1:25" x14ac:dyDescent="0.35">
      <c r="A120" s="1">
        <v>43107</v>
      </c>
      <c r="B120">
        <v>6.1</v>
      </c>
      <c r="C120">
        <v>4.5999999999999996</v>
      </c>
      <c r="D120">
        <v>6.7</v>
      </c>
      <c r="E120">
        <v>1223.5999999999995</v>
      </c>
      <c r="H120">
        <v>3.1</v>
      </c>
      <c r="J120">
        <v>0.6</v>
      </c>
      <c r="L120">
        <v>2.5</v>
      </c>
      <c r="N120">
        <v>119</v>
      </c>
      <c r="O120">
        <v>1</v>
      </c>
      <c r="P120">
        <v>0.6</v>
      </c>
      <c r="Q120">
        <v>2.5</v>
      </c>
      <c r="R120">
        <v>197.4</v>
      </c>
      <c r="T120">
        <v>81</v>
      </c>
      <c r="V120">
        <v>8353.8000000000011</v>
      </c>
      <c r="Y120">
        <v>8.349153194860655</v>
      </c>
    </row>
    <row r="121" spans="1:25" x14ac:dyDescent="0.35">
      <c r="A121" s="1">
        <v>43108</v>
      </c>
      <c r="B121">
        <v>6.1</v>
      </c>
      <c r="C121">
        <v>5.8</v>
      </c>
      <c r="D121">
        <v>6.6</v>
      </c>
      <c r="E121">
        <v>1229.6999999999994</v>
      </c>
      <c r="H121">
        <v>0</v>
      </c>
      <c r="J121">
        <v>0.6</v>
      </c>
      <c r="L121">
        <v>-0.6</v>
      </c>
      <c r="N121">
        <v>120</v>
      </c>
      <c r="O121">
        <v>1</v>
      </c>
      <c r="P121">
        <v>0.6</v>
      </c>
      <c r="Q121">
        <v>-0.6</v>
      </c>
      <c r="R121">
        <v>196.8</v>
      </c>
      <c r="T121">
        <v>148.6</v>
      </c>
      <c r="V121">
        <v>8502.4000000000015</v>
      </c>
      <c r="Y121">
        <v>8.3728955777145835</v>
      </c>
    </row>
    <row r="122" spans="1:25" x14ac:dyDescent="0.35">
      <c r="A122" s="1">
        <v>43109</v>
      </c>
      <c r="B122">
        <v>7.7</v>
      </c>
      <c r="C122">
        <v>5.5</v>
      </c>
      <c r="D122">
        <v>9.5</v>
      </c>
      <c r="E122">
        <v>1237.3999999999994</v>
      </c>
      <c r="H122">
        <v>2.5</v>
      </c>
      <c r="J122">
        <v>0.4</v>
      </c>
      <c r="L122">
        <v>2.1</v>
      </c>
      <c r="N122">
        <v>121</v>
      </c>
      <c r="O122">
        <v>1</v>
      </c>
      <c r="P122">
        <v>0.4</v>
      </c>
      <c r="Q122">
        <v>2.1</v>
      </c>
      <c r="R122">
        <v>197.4</v>
      </c>
      <c r="T122">
        <v>159.30000000000001</v>
      </c>
      <c r="V122">
        <v>8661.7000000000007</v>
      </c>
      <c r="Y122">
        <v>8.3978445282131968</v>
      </c>
    </row>
    <row r="123" spans="1:25" x14ac:dyDescent="0.35">
      <c r="A123" s="1">
        <v>43110</v>
      </c>
      <c r="B123">
        <v>8.1999999999999993</v>
      </c>
      <c r="C123">
        <v>6.7</v>
      </c>
      <c r="D123">
        <v>10.9</v>
      </c>
      <c r="E123">
        <v>1245.5999999999995</v>
      </c>
      <c r="H123">
        <v>0.4</v>
      </c>
      <c r="J123">
        <v>0.7</v>
      </c>
      <c r="L123">
        <v>-0.29999999999999993</v>
      </c>
      <c r="N123">
        <v>122</v>
      </c>
      <c r="O123">
        <v>1</v>
      </c>
      <c r="P123">
        <v>0.7</v>
      </c>
      <c r="Q123">
        <v>-0.29999999999999993</v>
      </c>
      <c r="R123">
        <v>197.1</v>
      </c>
      <c r="T123">
        <v>489.2</v>
      </c>
      <c r="V123">
        <v>9150.9000000000015</v>
      </c>
      <c r="Y123">
        <v>8.423980256451312</v>
      </c>
    </row>
    <row r="124" spans="1:25" x14ac:dyDescent="0.35">
      <c r="A124" s="1">
        <v>43111</v>
      </c>
      <c r="B124">
        <v>7.1</v>
      </c>
      <c r="C124">
        <v>6.3</v>
      </c>
      <c r="D124">
        <v>8.4</v>
      </c>
      <c r="E124">
        <v>1252.6999999999994</v>
      </c>
      <c r="H124">
        <v>0.2</v>
      </c>
      <c r="J124">
        <v>0.4</v>
      </c>
      <c r="L124">
        <v>-0.2</v>
      </c>
      <c r="N124">
        <v>123</v>
      </c>
      <c r="O124">
        <v>1</v>
      </c>
      <c r="P124">
        <v>0.4</v>
      </c>
      <c r="Q124">
        <v>-0.2</v>
      </c>
      <c r="R124">
        <v>196.9</v>
      </c>
      <c r="T124">
        <v>151.6</v>
      </c>
      <c r="V124">
        <v>9302.5000000000018</v>
      </c>
      <c r="Y124">
        <v>8.451282345470295</v>
      </c>
    </row>
    <row r="125" spans="1:25" x14ac:dyDescent="0.35">
      <c r="A125" s="1">
        <v>43112</v>
      </c>
      <c r="B125">
        <v>4.0999999999999996</v>
      </c>
      <c r="C125">
        <v>1.3</v>
      </c>
      <c r="D125">
        <v>5.0999999999999996</v>
      </c>
      <c r="E125">
        <v>1256.7999999999993</v>
      </c>
      <c r="H125">
        <v>0</v>
      </c>
      <c r="J125">
        <v>0.1</v>
      </c>
      <c r="L125">
        <v>-0.1</v>
      </c>
      <c r="N125">
        <v>124</v>
      </c>
      <c r="O125">
        <v>1</v>
      </c>
      <c r="P125">
        <v>0.1</v>
      </c>
      <c r="Q125">
        <v>-0.1</v>
      </c>
      <c r="R125">
        <v>196.8</v>
      </c>
      <c r="T125">
        <v>138.6</v>
      </c>
      <c r="V125">
        <v>9441.1000000000022</v>
      </c>
      <c r="Y125">
        <v>8.4797298053613801</v>
      </c>
    </row>
    <row r="126" spans="1:25" x14ac:dyDescent="0.35">
      <c r="A126" s="1">
        <v>43113</v>
      </c>
      <c r="B126">
        <v>4.5</v>
      </c>
      <c r="C126">
        <v>3.5</v>
      </c>
      <c r="D126">
        <v>5.2</v>
      </c>
      <c r="E126">
        <v>1261.2999999999993</v>
      </c>
      <c r="H126">
        <v>0.2</v>
      </c>
      <c r="J126">
        <v>0.4</v>
      </c>
      <c r="L126">
        <v>-0.2</v>
      </c>
      <c r="N126">
        <v>125</v>
      </c>
      <c r="O126">
        <v>1</v>
      </c>
      <c r="P126">
        <v>0.4</v>
      </c>
      <c r="Q126">
        <v>-0.2</v>
      </c>
      <c r="R126">
        <v>196.60000000000002</v>
      </c>
      <c r="T126">
        <v>175</v>
      </c>
      <c r="V126">
        <v>9616.1000000000022</v>
      </c>
      <c r="Y126">
        <v>8.5093011273989667</v>
      </c>
    </row>
    <row r="127" spans="1:25" x14ac:dyDescent="0.35">
      <c r="A127" s="1">
        <v>43114</v>
      </c>
      <c r="B127">
        <v>4.7</v>
      </c>
      <c r="C127">
        <v>3.3</v>
      </c>
      <c r="D127">
        <v>6.4</v>
      </c>
      <c r="E127">
        <v>1265.9999999999993</v>
      </c>
      <c r="H127">
        <v>0.1</v>
      </c>
      <c r="J127">
        <v>0.3</v>
      </c>
      <c r="L127">
        <v>-0.19999999999999998</v>
      </c>
      <c r="N127">
        <v>126</v>
      </c>
      <c r="O127">
        <v>1</v>
      </c>
      <c r="P127">
        <v>0.3</v>
      </c>
      <c r="Q127">
        <v>-0.19999999999999998</v>
      </c>
      <c r="R127">
        <v>196.40000000000003</v>
      </c>
      <c r="T127">
        <v>107.9</v>
      </c>
      <c r="V127">
        <v>9724.0000000000018</v>
      </c>
      <c r="Y127">
        <v>8.5399743379487294</v>
      </c>
    </row>
    <row r="128" spans="1:25" x14ac:dyDescent="0.35">
      <c r="A128" s="1">
        <v>43115</v>
      </c>
      <c r="B128">
        <v>8.6999999999999993</v>
      </c>
      <c r="C128">
        <v>5</v>
      </c>
      <c r="D128">
        <v>10.6</v>
      </c>
      <c r="E128">
        <v>1274.6999999999994</v>
      </c>
      <c r="H128">
        <v>7.4</v>
      </c>
      <c r="J128">
        <v>0.1</v>
      </c>
      <c r="L128">
        <v>7.3000000000000007</v>
      </c>
      <c r="N128">
        <v>127</v>
      </c>
      <c r="O128">
        <v>1</v>
      </c>
      <c r="P128">
        <v>0.1</v>
      </c>
      <c r="Q128">
        <v>7.3000000000000007</v>
      </c>
      <c r="R128">
        <v>197.4</v>
      </c>
      <c r="T128">
        <v>85.2</v>
      </c>
      <c r="V128">
        <v>9809.2000000000025</v>
      </c>
      <c r="Y128">
        <v>8.571727051909015</v>
      </c>
    </row>
    <row r="129" spans="1:25" x14ac:dyDescent="0.35">
      <c r="A129" s="1">
        <v>43116</v>
      </c>
      <c r="B129">
        <v>9.1</v>
      </c>
      <c r="C129">
        <v>8.3000000000000007</v>
      </c>
      <c r="D129">
        <v>11.5</v>
      </c>
      <c r="E129">
        <v>1283.7999999999993</v>
      </c>
      <c r="H129">
        <v>2.2999999999999998</v>
      </c>
      <c r="J129">
        <v>1.7</v>
      </c>
      <c r="L129">
        <v>0.59999999999999987</v>
      </c>
      <c r="N129">
        <v>128</v>
      </c>
      <c r="O129">
        <v>1</v>
      </c>
      <c r="P129">
        <v>1.7</v>
      </c>
      <c r="Q129">
        <v>0.59999999999999987</v>
      </c>
      <c r="R129">
        <v>197.4</v>
      </c>
      <c r="T129">
        <v>244.8</v>
      </c>
      <c r="V129">
        <v>10054.000000000002</v>
      </c>
      <c r="Y129">
        <v>8.6045365254588315</v>
      </c>
    </row>
    <row r="130" spans="1:25" x14ac:dyDescent="0.35">
      <c r="A130" s="1">
        <v>43117</v>
      </c>
      <c r="B130">
        <v>6.8</v>
      </c>
      <c r="C130">
        <v>4.5999999999999996</v>
      </c>
      <c r="D130">
        <v>10.8</v>
      </c>
      <c r="E130">
        <v>1290.5999999999992</v>
      </c>
      <c r="H130">
        <v>0.2</v>
      </c>
      <c r="J130">
        <v>1.5</v>
      </c>
      <c r="L130">
        <v>-1.3</v>
      </c>
      <c r="N130">
        <v>129</v>
      </c>
      <c r="O130">
        <v>1</v>
      </c>
      <c r="P130">
        <v>1.5</v>
      </c>
      <c r="Q130">
        <v>-1.3</v>
      </c>
      <c r="R130">
        <v>196.1</v>
      </c>
      <c r="T130">
        <v>526.9</v>
      </c>
      <c r="V130">
        <v>10580.900000000001</v>
      </c>
      <c r="Y130">
        <v>8.6383797079016862</v>
      </c>
    </row>
    <row r="131" spans="1:25" x14ac:dyDescent="0.35">
      <c r="A131" s="1">
        <v>43118</v>
      </c>
      <c r="B131">
        <v>10.1</v>
      </c>
      <c r="C131">
        <v>7.3</v>
      </c>
      <c r="D131">
        <v>12.8</v>
      </c>
      <c r="E131">
        <v>1300.6999999999991</v>
      </c>
      <c r="H131">
        <v>3.2</v>
      </c>
      <c r="J131">
        <v>0.7</v>
      </c>
      <c r="L131">
        <v>2.5</v>
      </c>
      <c r="N131">
        <v>130</v>
      </c>
      <c r="O131">
        <v>1</v>
      </c>
      <c r="P131">
        <v>0.7</v>
      </c>
      <c r="Q131">
        <v>2.5</v>
      </c>
      <c r="R131">
        <v>197.4</v>
      </c>
      <c r="T131">
        <v>105.1</v>
      </c>
      <c r="V131">
        <v>10686.000000000002</v>
      </c>
      <c r="Y131">
        <v>8.6732332924112434</v>
      </c>
    </row>
    <row r="132" spans="1:25" x14ac:dyDescent="0.35">
      <c r="A132" s="1">
        <v>43119</v>
      </c>
      <c r="B132">
        <v>6.2</v>
      </c>
      <c r="C132">
        <v>5.0999999999999996</v>
      </c>
      <c r="D132">
        <v>8.6999999999999993</v>
      </c>
      <c r="E132">
        <v>1306.8999999999992</v>
      </c>
      <c r="H132">
        <v>11.2</v>
      </c>
      <c r="J132">
        <v>1</v>
      </c>
      <c r="L132">
        <v>10.199999999999999</v>
      </c>
      <c r="N132">
        <v>131</v>
      </c>
      <c r="O132">
        <v>1</v>
      </c>
      <c r="P132">
        <v>1</v>
      </c>
      <c r="Q132">
        <v>10.199999999999999</v>
      </c>
      <c r="R132">
        <v>197.4</v>
      </c>
      <c r="T132">
        <v>523.5</v>
      </c>
      <c r="V132">
        <v>11209.500000000002</v>
      </c>
      <c r="Y132">
        <v>8.7090737655019961</v>
      </c>
    </row>
    <row r="133" spans="1:25" x14ac:dyDescent="0.35">
      <c r="A133" s="1">
        <v>43120</v>
      </c>
      <c r="B133">
        <v>10.4</v>
      </c>
      <c r="C133">
        <v>5.3</v>
      </c>
      <c r="D133">
        <v>13.1</v>
      </c>
      <c r="E133">
        <v>1317.2999999999993</v>
      </c>
      <c r="H133">
        <v>4.2</v>
      </c>
      <c r="J133">
        <v>0.2</v>
      </c>
      <c r="L133">
        <v>4</v>
      </c>
      <c r="N133">
        <v>132</v>
      </c>
      <c r="O133">
        <v>1</v>
      </c>
      <c r="P133">
        <v>0.2</v>
      </c>
      <c r="Q133">
        <v>4</v>
      </c>
      <c r="R133">
        <v>197.4</v>
      </c>
      <c r="T133">
        <v>141.6</v>
      </c>
      <c r="V133">
        <v>11351.100000000002</v>
      </c>
      <c r="Y133">
        <v>8.745877455065731</v>
      </c>
    </row>
    <row r="134" spans="1:25" x14ac:dyDescent="0.35">
      <c r="A134" s="1">
        <v>43121</v>
      </c>
      <c r="B134">
        <v>11.5</v>
      </c>
      <c r="C134">
        <v>8.8000000000000007</v>
      </c>
      <c r="D134">
        <v>13.2</v>
      </c>
      <c r="E134">
        <v>1328.7999999999993</v>
      </c>
      <c r="H134">
        <v>0.5</v>
      </c>
      <c r="J134">
        <v>0.5</v>
      </c>
      <c r="L134">
        <v>0</v>
      </c>
      <c r="N134">
        <v>133</v>
      </c>
      <c r="O134">
        <v>1</v>
      </c>
      <c r="P134">
        <v>0.5</v>
      </c>
      <c r="Q134">
        <v>0</v>
      </c>
      <c r="R134">
        <v>197.4</v>
      </c>
      <c r="T134">
        <v>116.4</v>
      </c>
      <c r="V134">
        <v>11467.500000000002</v>
      </c>
      <c r="Y134">
        <v>8.7836205768322237</v>
      </c>
    </row>
    <row r="135" spans="1:25" x14ac:dyDescent="0.35">
      <c r="A135" s="1">
        <v>43122</v>
      </c>
      <c r="B135">
        <v>10.7</v>
      </c>
      <c r="C135">
        <v>10.199999999999999</v>
      </c>
      <c r="D135">
        <v>12.2</v>
      </c>
      <c r="E135">
        <v>1339.4999999999993</v>
      </c>
      <c r="H135">
        <v>0.9</v>
      </c>
      <c r="J135">
        <v>0.8</v>
      </c>
      <c r="L135">
        <v>9.9999999999999978E-2</v>
      </c>
      <c r="N135">
        <v>134</v>
      </c>
      <c r="O135">
        <v>1</v>
      </c>
      <c r="P135">
        <v>0.8</v>
      </c>
      <c r="Q135">
        <v>9.9999999999999978E-2</v>
      </c>
      <c r="R135">
        <v>197.4</v>
      </c>
      <c r="T135">
        <v>107.9</v>
      </c>
      <c r="V135">
        <v>11575.400000000001</v>
      </c>
      <c r="Y135">
        <v>8.8222792791301696</v>
      </c>
    </row>
    <row r="136" spans="1:25" x14ac:dyDescent="0.35">
      <c r="A136" s="1">
        <v>43123</v>
      </c>
      <c r="B136">
        <v>11.2</v>
      </c>
      <c r="C136">
        <v>7.5</v>
      </c>
      <c r="D136">
        <v>13.5</v>
      </c>
      <c r="E136">
        <v>1350.6999999999994</v>
      </c>
      <c r="H136">
        <v>1.3</v>
      </c>
      <c r="J136">
        <v>0.3</v>
      </c>
      <c r="L136">
        <v>1</v>
      </c>
      <c r="N136">
        <v>135</v>
      </c>
      <c r="O136">
        <v>1</v>
      </c>
      <c r="P136">
        <v>0.3</v>
      </c>
      <c r="Q136">
        <v>1</v>
      </c>
      <c r="R136">
        <v>197.4</v>
      </c>
      <c r="T136">
        <v>188.7</v>
      </c>
      <c r="V136">
        <v>11764.100000000002</v>
      </c>
      <c r="Y136">
        <v>8.8618296858416272</v>
      </c>
    </row>
    <row r="137" spans="1:25" x14ac:dyDescent="0.35">
      <c r="A137" s="1">
        <v>43124</v>
      </c>
      <c r="B137">
        <v>11.7</v>
      </c>
      <c r="C137">
        <v>11.4</v>
      </c>
      <c r="D137">
        <v>12.7</v>
      </c>
      <c r="E137">
        <v>1362.3999999999994</v>
      </c>
      <c r="H137">
        <v>5</v>
      </c>
      <c r="J137">
        <v>0.9</v>
      </c>
      <c r="L137">
        <v>4.0999999999999996</v>
      </c>
      <c r="N137">
        <v>136</v>
      </c>
      <c r="O137">
        <v>1</v>
      </c>
      <c r="P137">
        <v>0.9</v>
      </c>
      <c r="Q137">
        <v>4.0999999999999996</v>
      </c>
      <c r="R137">
        <v>197.4</v>
      </c>
      <c r="T137">
        <v>184.1</v>
      </c>
      <c r="V137">
        <v>11948.200000000003</v>
      </c>
      <c r="Y137">
        <v>8.9022479374601531</v>
      </c>
    </row>
    <row r="138" spans="1:25" x14ac:dyDescent="0.35">
      <c r="A138" s="1">
        <v>43125</v>
      </c>
      <c r="B138">
        <v>7.8</v>
      </c>
      <c r="C138">
        <v>7.2</v>
      </c>
      <c r="D138">
        <v>9.5</v>
      </c>
      <c r="E138">
        <v>1370.1999999999994</v>
      </c>
      <c r="H138">
        <v>0.1</v>
      </c>
      <c r="J138">
        <v>0.5</v>
      </c>
      <c r="L138">
        <v>-0.4</v>
      </c>
      <c r="N138">
        <v>137</v>
      </c>
      <c r="O138">
        <v>1</v>
      </c>
      <c r="P138">
        <v>0.5</v>
      </c>
      <c r="Q138">
        <v>-0.4</v>
      </c>
      <c r="R138">
        <v>197</v>
      </c>
      <c r="T138">
        <v>128.80000000000001</v>
      </c>
      <c r="V138">
        <v>12077.000000000002</v>
      </c>
      <c r="Y138">
        <v>8.9435102301791058</v>
      </c>
    </row>
    <row r="139" spans="1:25" x14ac:dyDescent="0.35">
      <c r="A139" s="1">
        <v>43126</v>
      </c>
      <c r="B139">
        <v>6.1</v>
      </c>
      <c r="C139">
        <v>3.8</v>
      </c>
      <c r="D139">
        <v>9.1999999999999993</v>
      </c>
      <c r="E139">
        <v>1376.2999999999993</v>
      </c>
      <c r="H139">
        <v>0.6</v>
      </c>
      <c r="J139">
        <v>0.6</v>
      </c>
      <c r="L139">
        <v>0</v>
      </c>
      <c r="N139">
        <v>138</v>
      </c>
      <c r="O139">
        <v>1</v>
      </c>
      <c r="P139">
        <v>0.6</v>
      </c>
      <c r="Q139">
        <v>0</v>
      </c>
      <c r="R139">
        <v>197</v>
      </c>
      <c r="T139">
        <v>330.9</v>
      </c>
      <c r="V139">
        <v>12407.900000000001</v>
      </c>
      <c r="Y139">
        <v>8.9855928529521272</v>
      </c>
    </row>
    <row r="140" spans="1:25" x14ac:dyDescent="0.35">
      <c r="A140" s="1">
        <v>43127</v>
      </c>
      <c r="B140">
        <v>6.7</v>
      </c>
      <c r="C140">
        <v>2.2999999999999998</v>
      </c>
      <c r="D140">
        <v>10.3</v>
      </c>
      <c r="E140">
        <v>1382.9999999999993</v>
      </c>
      <c r="H140">
        <v>0.3</v>
      </c>
      <c r="J140">
        <v>0.5</v>
      </c>
      <c r="L140">
        <v>-0.2</v>
      </c>
      <c r="N140">
        <v>139</v>
      </c>
      <c r="O140">
        <v>1</v>
      </c>
      <c r="P140">
        <v>0.5</v>
      </c>
      <c r="Q140">
        <v>-0.2</v>
      </c>
      <c r="R140">
        <v>196.8</v>
      </c>
      <c r="T140">
        <v>197.4</v>
      </c>
      <c r="V140">
        <v>12605.300000000001</v>
      </c>
      <c r="Y140">
        <v>9.0284722224827778</v>
      </c>
    </row>
    <row r="141" spans="1:25" x14ac:dyDescent="0.35">
      <c r="A141" s="1">
        <v>43128</v>
      </c>
      <c r="B141">
        <v>10.7</v>
      </c>
      <c r="C141">
        <v>8.3000000000000007</v>
      </c>
      <c r="D141">
        <v>12</v>
      </c>
      <c r="E141">
        <v>1393.6999999999994</v>
      </c>
      <c r="H141">
        <v>0.6</v>
      </c>
      <c r="J141">
        <v>0.2</v>
      </c>
      <c r="L141">
        <v>0.39999999999999997</v>
      </c>
      <c r="N141">
        <v>140</v>
      </c>
      <c r="O141">
        <v>1</v>
      </c>
      <c r="P141">
        <v>0.2</v>
      </c>
      <c r="Q141">
        <v>0.39999999999999997</v>
      </c>
      <c r="R141">
        <v>197.20000000000002</v>
      </c>
      <c r="T141">
        <v>111.8</v>
      </c>
      <c r="V141">
        <v>12717.1</v>
      </c>
      <c r="Y141">
        <v>9.0721249161141788</v>
      </c>
    </row>
    <row r="142" spans="1:25" x14ac:dyDescent="0.35">
      <c r="A142" s="1">
        <v>43129</v>
      </c>
      <c r="B142">
        <v>10.1</v>
      </c>
      <c r="C142">
        <v>9.3000000000000007</v>
      </c>
      <c r="D142">
        <v>11.4</v>
      </c>
      <c r="E142">
        <v>1403.7999999999993</v>
      </c>
      <c r="H142">
        <v>0.6</v>
      </c>
      <c r="J142">
        <v>0.5</v>
      </c>
      <c r="L142">
        <v>9.9999999999999978E-2</v>
      </c>
      <c r="N142">
        <v>141</v>
      </c>
      <c r="O142">
        <v>1</v>
      </c>
      <c r="P142">
        <v>0.5</v>
      </c>
      <c r="Q142">
        <v>9.9999999999999978E-2</v>
      </c>
      <c r="R142">
        <v>197.3</v>
      </c>
      <c r="T142">
        <v>150.69999999999999</v>
      </c>
      <c r="V142">
        <v>12867.800000000001</v>
      </c>
      <c r="Y142">
        <v>9.1165277026025908</v>
      </c>
    </row>
    <row r="143" spans="1:25" x14ac:dyDescent="0.35">
      <c r="A143" s="1">
        <v>43130</v>
      </c>
      <c r="B143">
        <v>9.6999999999999993</v>
      </c>
      <c r="C143">
        <v>9.1</v>
      </c>
      <c r="D143">
        <v>10.4</v>
      </c>
      <c r="E143">
        <v>1413.4999999999993</v>
      </c>
      <c r="H143">
        <v>0.7</v>
      </c>
      <c r="J143">
        <v>0.3</v>
      </c>
      <c r="L143">
        <v>0.39999999999999997</v>
      </c>
      <c r="N143">
        <v>142</v>
      </c>
      <c r="O143">
        <v>1</v>
      </c>
      <c r="P143">
        <v>0.3</v>
      </c>
      <c r="Q143">
        <v>0.39999999999999997</v>
      </c>
      <c r="R143">
        <v>197.4</v>
      </c>
      <c r="T143">
        <v>184.7</v>
      </c>
      <c r="V143">
        <v>13052.500000000002</v>
      </c>
      <c r="Y143">
        <v>9.1616575707710179</v>
      </c>
    </row>
    <row r="144" spans="1:25" x14ac:dyDescent="0.35">
      <c r="A144" s="1">
        <v>43131</v>
      </c>
      <c r="B144">
        <v>8.5</v>
      </c>
      <c r="C144">
        <v>7.5</v>
      </c>
      <c r="D144">
        <v>11</v>
      </c>
      <c r="E144">
        <v>1421.9999999999993</v>
      </c>
      <c r="H144">
        <v>8</v>
      </c>
      <c r="J144">
        <v>0.7</v>
      </c>
      <c r="L144">
        <v>7.3</v>
      </c>
      <c r="N144">
        <v>143</v>
      </c>
      <c r="O144">
        <v>1</v>
      </c>
      <c r="P144">
        <v>0.7</v>
      </c>
      <c r="Q144">
        <v>7.3</v>
      </c>
      <c r="R144">
        <v>197.4</v>
      </c>
      <c r="T144">
        <v>118.2</v>
      </c>
      <c r="V144">
        <v>13170.700000000003</v>
      </c>
      <c r="Y144">
        <v>9.2074917560499596</v>
      </c>
    </row>
    <row r="145" spans="1:25" x14ac:dyDescent="0.35">
      <c r="A145" s="1">
        <v>43132</v>
      </c>
      <c r="B145">
        <v>4.5</v>
      </c>
      <c r="C145">
        <v>3.9</v>
      </c>
      <c r="D145">
        <v>6.2</v>
      </c>
      <c r="E145">
        <v>1426.4999999999993</v>
      </c>
      <c r="H145">
        <v>6</v>
      </c>
      <c r="J145">
        <v>0.6</v>
      </c>
      <c r="L145">
        <v>5.4</v>
      </c>
      <c r="N145">
        <v>144</v>
      </c>
      <c r="O145">
        <v>1</v>
      </c>
      <c r="P145">
        <v>0.6</v>
      </c>
      <c r="Q145">
        <v>5.4</v>
      </c>
      <c r="R145">
        <v>197.4</v>
      </c>
      <c r="T145">
        <v>277.10000000000002</v>
      </c>
      <c r="V145">
        <v>13447.800000000003</v>
      </c>
      <c r="Y145">
        <v>9.25400776492266</v>
      </c>
    </row>
    <row r="146" spans="1:25" x14ac:dyDescent="0.35">
      <c r="A146" s="1">
        <v>43133</v>
      </c>
      <c r="B146">
        <v>4.5</v>
      </c>
      <c r="C146">
        <v>2.2000000000000002</v>
      </c>
      <c r="D146">
        <v>8.1999999999999993</v>
      </c>
      <c r="E146">
        <v>1430.9999999999993</v>
      </c>
      <c r="H146">
        <v>2.6</v>
      </c>
      <c r="J146">
        <v>0.8</v>
      </c>
      <c r="L146">
        <v>1.8</v>
      </c>
      <c r="N146">
        <v>145</v>
      </c>
      <c r="O146">
        <v>1</v>
      </c>
      <c r="P146">
        <v>0.8</v>
      </c>
      <c r="Q146">
        <v>1.8</v>
      </c>
      <c r="R146">
        <v>197.4</v>
      </c>
      <c r="T146">
        <v>702.4</v>
      </c>
      <c r="V146">
        <v>14150.200000000003</v>
      </c>
      <c r="Y146">
        <v>9.3011833973012479</v>
      </c>
    </row>
    <row r="147" spans="1:25" x14ac:dyDescent="0.35">
      <c r="A147" s="1">
        <v>43134</v>
      </c>
      <c r="B147">
        <v>5.0999999999999996</v>
      </c>
      <c r="C147">
        <v>3.6</v>
      </c>
      <c r="D147">
        <v>6.1</v>
      </c>
      <c r="E147">
        <v>1436.0999999999992</v>
      </c>
      <c r="H147">
        <v>6.2</v>
      </c>
      <c r="J147">
        <v>0.2</v>
      </c>
      <c r="L147">
        <v>6</v>
      </c>
      <c r="N147">
        <v>146</v>
      </c>
      <c r="O147">
        <v>1</v>
      </c>
      <c r="P147">
        <v>0.2</v>
      </c>
      <c r="Q147">
        <v>6</v>
      </c>
      <c r="R147">
        <v>197.4</v>
      </c>
      <c r="T147">
        <v>126</v>
      </c>
      <c r="V147">
        <v>14276.200000000003</v>
      </c>
      <c r="Y147">
        <v>9.3489967668683942</v>
      </c>
    </row>
    <row r="148" spans="1:25" x14ac:dyDescent="0.35">
      <c r="A148" s="1">
        <v>43135</v>
      </c>
      <c r="B148">
        <v>3.9</v>
      </c>
      <c r="C148">
        <v>3.1</v>
      </c>
      <c r="D148">
        <v>5.3</v>
      </c>
      <c r="E148">
        <v>1439.9999999999993</v>
      </c>
      <c r="H148">
        <v>0</v>
      </c>
      <c r="J148">
        <v>1.1000000000000001</v>
      </c>
      <c r="L148">
        <v>-1.1000000000000001</v>
      </c>
      <c r="N148">
        <v>147</v>
      </c>
      <c r="O148">
        <v>1</v>
      </c>
      <c r="P148">
        <v>1.1000000000000001</v>
      </c>
      <c r="Q148">
        <v>-1.1000000000000001</v>
      </c>
      <c r="R148">
        <v>196.3</v>
      </c>
      <c r="T148">
        <v>443</v>
      </c>
      <c r="V148">
        <v>14719.200000000003</v>
      </c>
      <c r="Y148">
        <v>9.3974263194262733</v>
      </c>
    </row>
    <row r="149" spans="1:25" x14ac:dyDescent="0.35">
      <c r="A149" s="1">
        <v>43136</v>
      </c>
      <c r="B149">
        <v>0.3</v>
      </c>
      <c r="C149">
        <v>-1.8</v>
      </c>
      <c r="D149">
        <v>3.4</v>
      </c>
      <c r="E149">
        <v>1440.2999999999993</v>
      </c>
      <c r="H149">
        <v>0</v>
      </c>
      <c r="J149">
        <v>1</v>
      </c>
      <c r="L149">
        <v>-1</v>
      </c>
      <c r="N149">
        <v>148</v>
      </c>
      <c r="O149">
        <v>1</v>
      </c>
      <c r="P149">
        <v>1</v>
      </c>
      <c r="Q149">
        <v>-1</v>
      </c>
      <c r="R149">
        <v>195.3</v>
      </c>
      <c r="T149">
        <v>879.8</v>
      </c>
      <c r="V149">
        <v>15599.000000000002</v>
      </c>
      <c r="Y149">
        <v>9.4464508493008772</v>
      </c>
    </row>
    <row r="150" spans="1:25" x14ac:dyDescent="0.35">
      <c r="A150" s="1">
        <v>43137</v>
      </c>
      <c r="B150">
        <v>1.4</v>
      </c>
      <c r="C150">
        <v>-0.8</v>
      </c>
      <c r="D150">
        <v>3.1</v>
      </c>
      <c r="E150">
        <v>1441.6999999999994</v>
      </c>
      <c r="H150">
        <v>0.1</v>
      </c>
      <c r="J150">
        <v>0.6</v>
      </c>
      <c r="L150">
        <v>-0.5</v>
      </c>
      <c r="N150">
        <v>149</v>
      </c>
      <c r="O150">
        <v>1</v>
      </c>
      <c r="P150">
        <v>0.6</v>
      </c>
      <c r="Q150">
        <v>-0.5</v>
      </c>
      <c r="R150">
        <v>194.8</v>
      </c>
      <c r="T150">
        <v>174.9</v>
      </c>
      <c r="V150">
        <v>15773.900000000001</v>
      </c>
      <c r="Y150">
        <v>9.4960495138551924</v>
      </c>
    </row>
    <row r="151" spans="1:25" x14ac:dyDescent="0.35">
      <c r="A151" s="1">
        <v>43138</v>
      </c>
      <c r="B151">
        <v>2.2000000000000002</v>
      </c>
      <c r="C151">
        <v>-1.1000000000000001</v>
      </c>
      <c r="D151">
        <v>4.5</v>
      </c>
      <c r="E151">
        <v>1443.8999999999994</v>
      </c>
      <c r="H151">
        <v>0.2</v>
      </c>
      <c r="J151">
        <v>0.7</v>
      </c>
      <c r="L151">
        <v>-0.49999999999999994</v>
      </c>
      <c r="N151">
        <v>150</v>
      </c>
      <c r="O151">
        <v>1</v>
      </c>
      <c r="P151">
        <v>0.7</v>
      </c>
      <c r="Q151">
        <v>-0.49999999999999994</v>
      </c>
      <c r="R151">
        <v>194.3</v>
      </c>
      <c r="T151">
        <v>317.89999999999998</v>
      </c>
      <c r="V151">
        <v>16091.800000000001</v>
      </c>
      <c r="Y151">
        <v>9.5462018461692093</v>
      </c>
    </row>
    <row r="152" spans="1:25" x14ac:dyDescent="0.35">
      <c r="A152" s="1">
        <v>43139</v>
      </c>
      <c r="B152">
        <v>2.5</v>
      </c>
      <c r="C152">
        <v>-1.6</v>
      </c>
      <c r="D152">
        <v>6.4</v>
      </c>
      <c r="E152">
        <v>1446.3999999999994</v>
      </c>
      <c r="H152">
        <v>2.5</v>
      </c>
      <c r="J152">
        <v>1.1000000000000001</v>
      </c>
      <c r="L152">
        <v>1.4</v>
      </c>
      <c r="N152">
        <v>151</v>
      </c>
      <c r="O152">
        <v>1</v>
      </c>
      <c r="P152">
        <v>1.1000000000000001</v>
      </c>
      <c r="Q152">
        <v>1.4</v>
      </c>
      <c r="R152">
        <v>195.70000000000002</v>
      </c>
      <c r="T152">
        <v>947.1</v>
      </c>
      <c r="V152">
        <v>17038.900000000001</v>
      </c>
      <c r="Y152">
        <v>9.596887765948523</v>
      </c>
    </row>
    <row r="153" spans="1:25" x14ac:dyDescent="0.35">
      <c r="A153" s="1">
        <v>43140</v>
      </c>
      <c r="B153">
        <v>4.2</v>
      </c>
      <c r="C153">
        <v>1.7</v>
      </c>
      <c r="D153">
        <v>7.4</v>
      </c>
      <c r="E153">
        <v>1450.5999999999995</v>
      </c>
      <c r="H153">
        <v>2.4</v>
      </c>
      <c r="J153">
        <v>1.2</v>
      </c>
      <c r="L153">
        <v>1.2</v>
      </c>
      <c r="N153">
        <v>152</v>
      </c>
      <c r="O153">
        <v>1</v>
      </c>
      <c r="P153">
        <v>1.2</v>
      </c>
      <c r="Q153">
        <v>1.2</v>
      </c>
      <c r="R153">
        <v>196.9</v>
      </c>
      <c r="T153">
        <v>689.1</v>
      </c>
      <c r="V153">
        <v>17728</v>
      </c>
      <c r="Y153">
        <v>9.6480875887263213</v>
      </c>
    </row>
    <row r="154" spans="1:25" x14ac:dyDescent="0.35">
      <c r="A154" s="1">
        <v>43141</v>
      </c>
      <c r="B154">
        <v>5.4</v>
      </c>
      <c r="C154">
        <v>0.8</v>
      </c>
      <c r="D154">
        <v>10.199999999999999</v>
      </c>
      <c r="E154">
        <v>1455.9999999999995</v>
      </c>
      <c r="H154">
        <v>2.4</v>
      </c>
      <c r="J154">
        <v>0.8</v>
      </c>
      <c r="L154">
        <v>1.5999999999999999</v>
      </c>
      <c r="N154">
        <v>153</v>
      </c>
      <c r="O154">
        <v>1</v>
      </c>
      <c r="P154">
        <v>0.8</v>
      </c>
      <c r="Q154">
        <v>1.5999999999999999</v>
      </c>
      <c r="R154">
        <v>197.4</v>
      </c>
      <c r="T154">
        <v>481.9</v>
      </c>
      <c r="V154">
        <v>18209.900000000001</v>
      </c>
      <c r="Y154">
        <v>9.6997820334257749</v>
      </c>
    </row>
    <row r="155" spans="1:25" x14ac:dyDescent="0.35">
      <c r="A155" s="1">
        <v>43142</v>
      </c>
      <c r="B155">
        <v>6.2</v>
      </c>
      <c r="C155">
        <v>4.2</v>
      </c>
      <c r="D155">
        <v>8.5</v>
      </c>
      <c r="E155">
        <v>1462.1999999999996</v>
      </c>
      <c r="H155">
        <v>0.6</v>
      </c>
      <c r="J155">
        <v>0.9</v>
      </c>
      <c r="L155">
        <v>-0.30000000000000004</v>
      </c>
      <c r="N155">
        <v>154</v>
      </c>
      <c r="O155">
        <v>1</v>
      </c>
      <c r="P155">
        <v>0.9</v>
      </c>
      <c r="Q155">
        <v>-0.30000000000000004</v>
      </c>
      <c r="R155">
        <v>197.1</v>
      </c>
      <c r="T155">
        <v>751.8</v>
      </c>
      <c r="V155">
        <v>18961.7</v>
      </c>
      <c r="Y155">
        <v>9.7519522283515983</v>
      </c>
    </row>
    <row r="156" spans="1:25" x14ac:dyDescent="0.35">
      <c r="A156" s="1">
        <v>43143</v>
      </c>
      <c r="B156">
        <v>2.9</v>
      </c>
      <c r="C156">
        <v>-0.7</v>
      </c>
      <c r="D156">
        <v>7.2</v>
      </c>
      <c r="E156">
        <v>1465.0999999999997</v>
      </c>
      <c r="H156">
        <v>0.6</v>
      </c>
      <c r="J156">
        <v>1.2</v>
      </c>
      <c r="L156">
        <v>-0.6</v>
      </c>
      <c r="N156">
        <v>155</v>
      </c>
      <c r="O156">
        <v>1</v>
      </c>
      <c r="P156">
        <v>1.2</v>
      </c>
      <c r="Q156">
        <v>-0.6</v>
      </c>
      <c r="R156">
        <v>196.5</v>
      </c>
      <c r="T156">
        <v>1114.8</v>
      </c>
      <c r="V156">
        <v>20076.5</v>
      </c>
      <c r="Y156">
        <v>9.8045797156805676</v>
      </c>
    </row>
    <row r="157" spans="1:25" x14ac:dyDescent="0.35">
      <c r="A157" s="1">
        <v>43144</v>
      </c>
      <c r="B157">
        <v>3.5</v>
      </c>
      <c r="C157">
        <v>1</v>
      </c>
      <c r="D157">
        <v>5.5</v>
      </c>
      <c r="E157">
        <v>1468.5999999999997</v>
      </c>
      <c r="H157">
        <v>7.4</v>
      </c>
      <c r="J157">
        <v>0.4</v>
      </c>
      <c r="L157">
        <v>7</v>
      </c>
      <c r="N157">
        <v>156</v>
      </c>
      <c r="O157">
        <v>1</v>
      </c>
      <c r="P157">
        <v>0.4</v>
      </c>
      <c r="Q157">
        <v>7</v>
      </c>
      <c r="R157">
        <v>197.4</v>
      </c>
      <c r="T157">
        <v>212.5</v>
      </c>
      <c r="V157">
        <v>20289</v>
      </c>
      <c r="Y157">
        <v>9.8576464545214026</v>
      </c>
    </row>
    <row r="158" spans="1:25" x14ac:dyDescent="0.35">
      <c r="A158" s="1">
        <v>43145</v>
      </c>
      <c r="B158">
        <v>5.3</v>
      </c>
      <c r="C158">
        <v>1.2</v>
      </c>
      <c r="D158">
        <v>11.7</v>
      </c>
      <c r="E158">
        <v>1473.8999999999996</v>
      </c>
      <c r="H158">
        <v>7.2</v>
      </c>
      <c r="J158">
        <v>0.9</v>
      </c>
      <c r="L158">
        <v>6.3</v>
      </c>
      <c r="N158">
        <v>157</v>
      </c>
      <c r="O158">
        <v>1</v>
      </c>
      <c r="P158">
        <v>0.9</v>
      </c>
      <c r="Q158">
        <v>6.3</v>
      </c>
      <c r="R158">
        <v>197.4</v>
      </c>
      <c r="T158">
        <v>346</v>
      </c>
      <c r="V158">
        <v>20635</v>
      </c>
      <c r="Y158">
        <v>9.9111348226143665</v>
      </c>
    </row>
    <row r="159" spans="1:25" x14ac:dyDescent="0.35">
      <c r="A159" s="1">
        <v>43146</v>
      </c>
      <c r="B159">
        <v>9.4</v>
      </c>
      <c r="C159">
        <v>8.1</v>
      </c>
      <c r="D159">
        <v>11.6</v>
      </c>
      <c r="E159">
        <v>1483.2999999999997</v>
      </c>
      <c r="H159">
        <v>2.5</v>
      </c>
      <c r="J159">
        <v>0.3</v>
      </c>
      <c r="L159">
        <v>2.2000000000000002</v>
      </c>
      <c r="N159">
        <v>158</v>
      </c>
      <c r="O159">
        <v>1</v>
      </c>
      <c r="P159">
        <v>0.3</v>
      </c>
      <c r="Q159">
        <v>2.2000000000000002</v>
      </c>
      <c r="R159">
        <v>197.4</v>
      </c>
      <c r="T159">
        <v>146.19999999999999</v>
      </c>
      <c r="V159">
        <v>20781.2</v>
      </c>
      <c r="Y159">
        <v>9.9650276167406915</v>
      </c>
    </row>
    <row r="160" spans="1:25" x14ac:dyDescent="0.35">
      <c r="A160" s="1">
        <v>43147</v>
      </c>
      <c r="B160">
        <v>3.8</v>
      </c>
      <c r="C160">
        <v>-0.3</v>
      </c>
      <c r="D160">
        <v>6</v>
      </c>
      <c r="E160">
        <v>1487.0999999999997</v>
      </c>
      <c r="H160">
        <v>2.2000000000000002</v>
      </c>
      <c r="J160">
        <v>0.1</v>
      </c>
      <c r="L160">
        <v>2.1</v>
      </c>
      <c r="N160">
        <v>159</v>
      </c>
      <c r="O160">
        <v>1</v>
      </c>
      <c r="P160">
        <v>0.1</v>
      </c>
      <c r="Q160">
        <v>2.1</v>
      </c>
      <c r="R160">
        <v>197.4</v>
      </c>
      <c r="T160">
        <v>339.8</v>
      </c>
      <c r="V160">
        <v>21121</v>
      </c>
      <c r="Y160">
        <v>10.01930805191112</v>
      </c>
    </row>
    <row r="161" spans="1:25" x14ac:dyDescent="0.35">
      <c r="A161" s="1">
        <v>43148</v>
      </c>
      <c r="B161">
        <v>6.8</v>
      </c>
      <c r="C161">
        <v>4.4000000000000004</v>
      </c>
      <c r="D161">
        <v>9.3000000000000007</v>
      </c>
      <c r="E161">
        <v>1493.8999999999996</v>
      </c>
      <c r="H161">
        <v>6.7</v>
      </c>
      <c r="J161">
        <v>1.2</v>
      </c>
      <c r="L161">
        <v>5.5</v>
      </c>
      <c r="N161">
        <v>160</v>
      </c>
      <c r="O161">
        <v>1</v>
      </c>
      <c r="P161">
        <v>1.2</v>
      </c>
      <c r="Q161">
        <v>5.5</v>
      </c>
      <c r="R161">
        <v>197.4</v>
      </c>
      <c r="T161">
        <v>954.6</v>
      </c>
      <c r="V161">
        <v>22075.599999999999</v>
      </c>
      <c r="Y161">
        <v>10.073959759401752</v>
      </c>
    </row>
    <row r="162" spans="1:25" x14ac:dyDescent="0.35">
      <c r="A162" s="1">
        <v>43149</v>
      </c>
      <c r="B162">
        <v>7</v>
      </c>
      <c r="C162">
        <v>5.6</v>
      </c>
      <c r="D162">
        <v>7.9</v>
      </c>
      <c r="E162">
        <v>1500.8999999999996</v>
      </c>
      <c r="H162">
        <v>3.7</v>
      </c>
      <c r="J162">
        <v>0.3</v>
      </c>
      <c r="L162">
        <v>3.4000000000000004</v>
      </c>
      <c r="N162">
        <v>161</v>
      </c>
      <c r="O162">
        <v>1</v>
      </c>
      <c r="P162">
        <v>0.3</v>
      </c>
      <c r="Q162">
        <v>3.4000000000000004</v>
      </c>
      <c r="R162">
        <v>197.4</v>
      </c>
      <c r="T162">
        <v>185.4</v>
      </c>
      <c r="V162">
        <v>22261</v>
      </c>
      <c r="Y162">
        <v>10.128966783704099</v>
      </c>
    </row>
    <row r="163" spans="1:25" x14ac:dyDescent="0.35">
      <c r="A163" s="1">
        <v>43150</v>
      </c>
      <c r="B163">
        <v>9.1</v>
      </c>
      <c r="C163">
        <v>7.5</v>
      </c>
      <c r="D163">
        <v>10.4</v>
      </c>
      <c r="E163">
        <v>1509.9999999999995</v>
      </c>
      <c r="H163">
        <v>1.5</v>
      </c>
      <c r="J163">
        <v>0.4</v>
      </c>
      <c r="L163">
        <v>1.1000000000000001</v>
      </c>
      <c r="N163">
        <v>162</v>
      </c>
      <c r="O163">
        <v>1</v>
      </c>
      <c r="P163">
        <v>0.4</v>
      </c>
      <c r="Q163">
        <v>1.1000000000000001</v>
      </c>
      <c r="R163">
        <v>197.4</v>
      </c>
      <c r="T163">
        <v>162.4</v>
      </c>
      <c r="V163">
        <v>22423.4</v>
      </c>
      <c r="Y163">
        <v>10.184313578454478</v>
      </c>
    </row>
    <row r="164" spans="1:25" x14ac:dyDescent="0.35">
      <c r="A164" s="1">
        <v>43151</v>
      </c>
      <c r="B164">
        <v>8.8000000000000007</v>
      </c>
      <c r="C164">
        <v>8.1</v>
      </c>
      <c r="D164">
        <v>10</v>
      </c>
      <c r="E164">
        <v>1518.7999999999995</v>
      </c>
      <c r="H164">
        <v>0.2</v>
      </c>
      <c r="J164">
        <v>0.9</v>
      </c>
      <c r="L164">
        <v>-0.7</v>
      </c>
      <c r="N164">
        <v>163</v>
      </c>
      <c r="O164">
        <v>1</v>
      </c>
      <c r="P164">
        <v>0.9</v>
      </c>
      <c r="Q164">
        <v>-0.7</v>
      </c>
      <c r="R164">
        <v>196.70000000000002</v>
      </c>
      <c r="T164">
        <v>234.5</v>
      </c>
      <c r="V164">
        <v>22657.9</v>
      </c>
      <c r="Y164">
        <v>10.239985001406184</v>
      </c>
    </row>
    <row r="165" spans="1:25" x14ac:dyDescent="0.35">
      <c r="A165" s="1">
        <v>43152</v>
      </c>
      <c r="B165">
        <v>5.2</v>
      </c>
      <c r="C165">
        <v>4.7</v>
      </c>
      <c r="D165">
        <v>7.6</v>
      </c>
      <c r="E165">
        <v>1523.9999999999995</v>
      </c>
      <c r="H165">
        <v>0</v>
      </c>
      <c r="J165">
        <v>1.9</v>
      </c>
      <c r="L165">
        <v>-1.9</v>
      </c>
      <c r="N165">
        <v>164</v>
      </c>
      <c r="O165">
        <v>1</v>
      </c>
      <c r="P165">
        <v>1.9</v>
      </c>
      <c r="Q165">
        <v>-1.9</v>
      </c>
      <c r="R165">
        <v>194.8</v>
      </c>
      <c r="T165">
        <v>1210.4000000000001</v>
      </c>
      <c r="V165">
        <v>23868.300000000003</v>
      </c>
      <c r="Y165">
        <v>10.295966308505745</v>
      </c>
    </row>
    <row r="166" spans="1:25" x14ac:dyDescent="0.35">
      <c r="A166" s="1">
        <v>43153</v>
      </c>
      <c r="B166">
        <v>1.8</v>
      </c>
      <c r="C166">
        <v>-1.8</v>
      </c>
      <c r="D166">
        <v>5.5</v>
      </c>
      <c r="E166">
        <v>1525.7999999999995</v>
      </c>
      <c r="H166">
        <v>0</v>
      </c>
      <c r="J166">
        <v>1.4</v>
      </c>
      <c r="L166">
        <v>-1.4</v>
      </c>
      <c r="N166">
        <v>165</v>
      </c>
      <c r="O166">
        <v>1</v>
      </c>
      <c r="P166">
        <v>1.4</v>
      </c>
      <c r="Q166">
        <v>-1.4</v>
      </c>
      <c r="R166">
        <v>193.4</v>
      </c>
      <c r="T166">
        <v>1369.1</v>
      </c>
      <c r="V166">
        <v>25237.4</v>
      </c>
      <c r="Y166">
        <v>10.352243147132491</v>
      </c>
    </row>
    <row r="167" spans="1:25" x14ac:dyDescent="0.35">
      <c r="A167" s="1">
        <v>43154</v>
      </c>
      <c r="B167">
        <v>1</v>
      </c>
      <c r="C167">
        <v>-2.2999999999999998</v>
      </c>
      <c r="D167">
        <v>4.2</v>
      </c>
      <c r="E167">
        <v>1526.7999999999995</v>
      </c>
      <c r="H167">
        <v>0</v>
      </c>
      <c r="J167">
        <v>1.4</v>
      </c>
      <c r="L167">
        <v>-1.4</v>
      </c>
      <c r="N167">
        <v>166</v>
      </c>
      <c r="O167">
        <v>1</v>
      </c>
      <c r="P167">
        <v>1.4</v>
      </c>
      <c r="Q167">
        <v>-1.4</v>
      </c>
      <c r="R167">
        <v>192</v>
      </c>
      <c r="T167">
        <v>1401.3</v>
      </c>
      <c r="V167">
        <v>26638.7</v>
      </c>
      <c r="Y167">
        <v>10.408801548558333</v>
      </c>
    </row>
    <row r="168" spans="1:25" x14ac:dyDescent="0.35">
      <c r="A168" s="1">
        <v>43155</v>
      </c>
      <c r="B168">
        <v>1.3</v>
      </c>
      <c r="C168">
        <v>-1.9</v>
      </c>
      <c r="D168">
        <v>4.0999999999999996</v>
      </c>
      <c r="E168">
        <v>1528.0999999999995</v>
      </c>
      <c r="H168">
        <v>0</v>
      </c>
      <c r="J168">
        <v>1.5</v>
      </c>
      <c r="L168">
        <v>-1.5</v>
      </c>
      <c r="N168">
        <v>167</v>
      </c>
      <c r="O168">
        <v>1</v>
      </c>
      <c r="P168">
        <v>1.5</v>
      </c>
      <c r="Q168">
        <v>-1.5</v>
      </c>
      <c r="R168">
        <v>190.5</v>
      </c>
      <c r="T168">
        <v>1435.4</v>
      </c>
      <c r="V168">
        <v>28074.100000000002</v>
      </c>
      <c r="Y168">
        <v>10.465627919682346</v>
      </c>
    </row>
    <row r="169" spans="1:25" x14ac:dyDescent="0.35">
      <c r="A169" s="1">
        <v>43156</v>
      </c>
      <c r="B169">
        <v>1.5</v>
      </c>
      <c r="C169">
        <v>-0.7</v>
      </c>
      <c r="D169">
        <v>4.3</v>
      </c>
      <c r="E169">
        <v>1529.5999999999995</v>
      </c>
      <c r="H169">
        <v>0</v>
      </c>
      <c r="J169">
        <v>1.8</v>
      </c>
      <c r="L169">
        <v>-1.8</v>
      </c>
      <c r="N169">
        <v>168</v>
      </c>
      <c r="O169">
        <v>1</v>
      </c>
      <c r="P169">
        <v>1.8</v>
      </c>
      <c r="Q169">
        <v>-1.8</v>
      </c>
      <c r="R169">
        <v>188.7</v>
      </c>
      <c r="T169">
        <v>1335.1</v>
      </c>
      <c r="V169">
        <v>29409.200000000001</v>
      </c>
      <c r="Y169">
        <v>10.522709034092294</v>
      </c>
    </row>
    <row r="170" spans="1:25" x14ac:dyDescent="0.35">
      <c r="A170" s="1">
        <v>43157</v>
      </c>
      <c r="B170">
        <v>-1.5</v>
      </c>
      <c r="C170">
        <v>-3.2</v>
      </c>
      <c r="D170">
        <v>1.1000000000000001</v>
      </c>
      <c r="E170">
        <v>1529.6</v>
      </c>
      <c r="H170">
        <v>0</v>
      </c>
      <c r="J170">
        <v>1.9</v>
      </c>
      <c r="L170">
        <v>-1.9</v>
      </c>
      <c r="N170">
        <v>169</v>
      </c>
      <c r="O170">
        <v>1</v>
      </c>
      <c r="P170">
        <v>1.9</v>
      </c>
      <c r="Q170">
        <v>-1.9</v>
      </c>
      <c r="R170">
        <v>186.79999999999998</v>
      </c>
      <c r="T170">
        <v>1473</v>
      </c>
      <c r="V170">
        <v>30882.2</v>
      </c>
      <c r="Y170">
        <v>10.580032022502831</v>
      </c>
    </row>
    <row r="171" spans="1:25" x14ac:dyDescent="0.35">
      <c r="A171" s="1">
        <v>43158</v>
      </c>
      <c r="B171">
        <v>-2.9</v>
      </c>
      <c r="C171">
        <v>-5.7</v>
      </c>
      <c r="D171">
        <v>0.4</v>
      </c>
      <c r="E171">
        <v>1529.6</v>
      </c>
      <c r="H171">
        <v>0</v>
      </c>
      <c r="J171">
        <v>1.6</v>
      </c>
      <c r="L171">
        <v>-1.6</v>
      </c>
      <c r="N171">
        <v>170</v>
      </c>
      <c r="O171">
        <v>1</v>
      </c>
      <c r="P171">
        <v>1.6</v>
      </c>
      <c r="Q171">
        <v>-1.6</v>
      </c>
      <c r="R171">
        <v>185.2</v>
      </c>
      <c r="T171">
        <v>1522</v>
      </c>
      <c r="V171">
        <v>32404.2</v>
      </c>
      <c r="Y171">
        <v>10.637584362617616</v>
      </c>
    </row>
    <row r="172" spans="1:25" x14ac:dyDescent="0.35">
      <c r="A172" s="1">
        <v>43159</v>
      </c>
      <c r="B172">
        <v>-3.7</v>
      </c>
      <c r="C172">
        <v>-6.9</v>
      </c>
      <c r="D172">
        <v>-1.6</v>
      </c>
      <c r="E172">
        <v>1529.6</v>
      </c>
      <c r="H172">
        <v>0</v>
      </c>
      <c r="J172">
        <v>1.2</v>
      </c>
      <c r="L172">
        <v>-1.2</v>
      </c>
      <c r="N172">
        <v>171</v>
      </c>
      <c r="O172">
        <v>1</v>
      </c>
      <c r="P172">
        <v>1.2</v>
      </c>
      <c r="Q172">
        <v>-1.2</v>
      </c>
      <c r="R172">
        <v>184</v>
      </c>
      <c r="T172">
        <v>456.6</v>
      </c>
      <c r="V172">
        <v>32860.800000000003</v>
      </c>
      <c r="Y172">
        <v>10.695353868460133</v>
      </c>
    </row>
    <row r="173" spans="1:25" x14ac:dyDescent="0.35">
      <c r="A173" s="1">
        <v>43160</v>
      </c>
      <c r="B173">
        <v>0.4</v>
      </c>
      <c r="C173">
        <v>-3.6</v>
      </c>
      <c r="D173">
        <v>6.4</v>
      </c>
      <c r="E173">
        <v>1530</v>
      </c>
      <c r="H173">
        <v>9.1</v>
      </c>
      <c r="J173">
        <v>0.7</v>
      </c>
      <c r="L173">
        <v>8.4</v>
      </c>
      <c r="N173">
        <v>172</v>
      </c>
      <c r="O173">
        <v>1</v>
      </c>
      <c r="P173">
        <v>0.7</v>
      </c>
      <c r="Q173">
        <v>8.4</v>
      </c>
      <c r="R173">
        <v>192.4</v>
      </c>
      <c r="T173">
        <v>195.5</v>
      </c>
      <c r="V173">
        <v>33056.300000000003</v>
      </c>
      <c r="Y173">
        <v>10.753328679215574</v>
      </c>
    </row>
    <row r="174" spans="1:25" x14ac:dyDescent="0.35">
      <c r="A174" s="1">
        <v>43161</v>
      </c>
      <c r="B174">
        <v>6.1</v>
      </c>
      <c r="C174">
        <v>3.7</v>
      </c>
      <c r="D174">
        <v>7.8</v>
      </c>
      <c r="E174">
        <v>1536.1</v>
      </c>
      <c r="H174">
        <v>3</v>
      </c>
      <c r="J174">
        <v>0.8</v>
      </c>
      <c r="L174">
        <v>2.2000000000000002</v>
      </c>
      <c r="N174">
        <v>173</v>
      </c>
      <c r="O174">
        <v>1.0042857142857142</v>
      </c>
      <c r="P174">
        <v>0.80342857142857138</v>
      </c>
      <c r="Q174">
        <v>2.1965714285714286</v>
      </c>
      <c r="R174">
        <v>194.59657142857142</v>
      </c>
      <c r="T174">
        <v>275.3</v>
      </c>
      <c r="V174">
        <v>275.3</v>
      </c>
      <c r="Y174">
        <v>10.811497247623747</v>
      </c>
    </row>
    <row r="175" spans="1:25" x14ac:dyDescent="0.35">
      <c r="A175" s="1">
        <v>43162</v>
      </c>
      <c r="B175">
        <v>7.2</v>
      </c>
      <c r="C175">
        <v>4.2</v>
      </c>
      <c r="D175">
        <v>11.8</v>
      </c>
      <c r="E175">
        <v>1543.3</v>
      </c>
      <c r="H175">
        <v>1.8</v>
      </c>
      <c r="J175">
        <v>1.4</v>
      </c>
      <c r="L175">
        <v>0.40000000000000013</v>
      </c>
      <c r="N175">
        <v>174</v>
      </c>
      <c r="O175">
        <v>1.0085714285714287</v>
      </c>
      <c r="P175">
        <v>1.4120000000000001</v>
      </c>
      <c r="Q175">
        <v>0.3879999999999999</v>
      </c>
      <c r="R175">
        <v>194.98457142857143</v>
      </c>
      <c r="T175">
        <v>529.20000000000005</v>
      </c>
      <c r="V175">
        <v>804.5</v>
      </c>
      <c r="Y175">
        <v>10.869848327960588</v>
      </c>
    </row>
    <row r="176" spans="1:25" x14ac:dyDescent="0.35">
      <c r="A176" s="1">
        <v>43163</v>
      </c>
      <c r="B176">
        <v>7.4</v>
      </c>
      <c r="C176">
        <v>5.3</v>
      </c>
      <c r="D176">
        <v>10.199999999999999</v>
      </c>
      <c r="E176">
        <v>1550.7</v>
      </c>
      <c r="H176">
        <v>1.1000000000000001</v>
      </c>
      <c r="J176">
        <v>0.8</v>
      </c>
      <c r="L176">
        <v>0.30000000000000004</v>
      </c>
      <c r="N176">
        <v>175</v>
      </c>
      <c r="O176">
        <v>1.0128571428571429</v>
      </c>
      <c r="P176">
        <v>0.81028571428571439</v>
      </c>
      <c r="Q176">
        <v>0.2897142857142857</v>
      </c>
      <c r="R176">
        <v>195.27428571428572</v>
      </c>
      <c r="T176">
        <v>534.70000000000005</v>
      </c>
      <c r="V176">
        <v>1339.2</v>
      </c>
      <c r="Y176">
        <v>10.928370963643593</v>
      </c>
    </row>
    <row r="177" spans="1:25" x14ac:dyDescent="0.35">
      <c r="A177" s="26">
        <v>43164</v>
      </c>
      <c r="B177">
        <v>7.6</v>
      </c>
      <c r="C177">
        <v>4.2</v>
      </c>
      <c r="D177">
        <v>12.2</v>
      </c>
      <c r="E177">
        <v>1558.3</v>
      </c>
      <c r="H177">
        <v>1.5</v>
      </c>
      <c r="J177">
        <v>1</v>
      </c>
      <c r="L177">
        <v>0.5</v>
      </c>
      <c r="N177">
        <v>176</v>
      </c>
      <c r="O177">
        <v>1.0171428571428571</v>
      </c>
      <c r="P177">
        <v>1.0171428571428571</v>
      </c>
      <c r="Q177">
        <v>0.48285714285714287</v>
      </c>
      <c r="R177">
        <v>195.75714285714287</v>
      </c>
      <c r="T177">
        <v>574.20000000000005</v>
      </c>
      <c r="V177">
        <v>1913.4</v>
      </c>
      <c r="Y177" s="25">
        <v>10.987054474494258</v>
      </c>
    </row>
    <row r="178" spans="1:25" x14ac:dyDescent="0.35">
      <c r="A178" s="1">
        <v>43165</v>
      </c>
      <c r="B178">
        <v>6.1</v>
      </c>
      <c r="C178">
        <v>3.2</v>
      </c>
      <c r="D178">
        <v>9.5</v>
      </c>
      <c r="E178">
        <v>1564.3999999999999</v>
      </c>
      <c r="H178">
        <v>10.1</v>
      </c>
      <c r="J178">
        <v>0.4</v>
      </c>
      <c r="L178">
        <v>9.6999999999999993</v>
      </c>
      <c r="N178">
        <v>177</v>
      </c>
      <c r="O178">
        <v>1.0214285714285714</v>
      </c>
      <c r="P178">
        <v>0.40857142857142859</v>
      </c>
      <c r="Q178">
        <v>9.6914285714285704</v>
      </c>
      <c r="R178">
        <v>197.4</v>
      </c>
      <c r="T178">
        <v>280.3</v>
      </c>
      <c r="V178">
        <v>2193.7000000000003</v>
      </c>
      <c r="Y178">
        <v>11.045888443688392</v>
      </c>
    </row>
    <row r="179" spans="1:25" x14ac:dyDescent="0.35">
      <c r="A179" s="1">
        <v>43166</v>
      </c>
      <c r="B179">
        <v>6.2</v>
      </c>
      <c r="C179">
        <v>1.8</v>
      </c>
      <c r="D179">
        <v>9.4</v>
      </c>
      <c r="E179">
        <v>1570.6</v>
      </c>
      <c r="H179">
        <v>2.2000000000000002</v>
      </c>
      <c r="J179">
        <v>0.7</v>
      </c>
      <c r="L179">
        <v>1.5000000000000002</v>
      </c>
      <c r="N179">
        <v>178</v>
      </c>
      <c r="O179">
        <v>1.0257142857142858</v>
      </c>
      <c r="P179">
        <v>0.71799999999999997</v>
      </c>
      <c r="Q179">
        <v>1.4820000000000002</v>
      </c>
      <c r="R179">
        <v>197.4</v>
      </c>
      <c r="T179">
        <v>539.6</v>
      </c>
      <c r="V179">
        <v>2733.3</v>
      </c>
      <c r="Y179">
        <v>11.104862704423253</v>
      </c>
    </row>
    <row r="180" spans="1:25" x14ac:dyDescent="0.35">
      <c r="A180" s="1">
        <v>43167</v>
      </c>
      <c r="B180">
        <v>8</v>
      </c>
      <c r="C180">
        <v>5.9</v>
      </c>
      <c r="D180">
        <v>9</v>
      </c>
      <c r="E180">
        <v>1578.6</v>
      </c>
      <c r="H180">
        <v>6.4</v>
      </c>
      <c r="J180">
        <v>0.2</v>
      </c>
      <c r="L180">
        <v>6.2</v>
      </c>
      <c r="N180">
        <v>179</v>
      </c>
      <c r="O180">
        <v>1.03</v>
      </c>
      <c r="P180">
        <v>0.20600000000000002</v>
      </c>
      <c r="Q180">
        <v>6.194</v>
      </c>
      <c r="R180">
        <v>197.4</v>
      </c>
      <c r="T180">
        <v>212.7</v>
      </c>
      <c r="V180">
        <v>2946</v>
      </c>
      <c r="Y180">
        <v>11.16396732632829</v>
      </c>
    </row>
    <row r="181" spans="1:25" x14ac:dyDescent="0.35">
      <c r="A181" s="1">
        <v>43168</v>
      </c>
      <c r="B181">
        <v>11.1</v>
      </c>
      <c r="C181">
        <v>8.1999999999999993</v>
      </c>
      <c r="D181">
        <v>13.6</v>
      </c>
      <c r="E181">
        <v>1589.6999999999998</v>
      </c>
      <c r="H181">
        <v>0.1</v>
      </c>
      <c r="J181">
        <v>0.6</v>
      </c>
      <c r="L181">
        <v>-0.5</v>
      </c>
      <c r="N181">
        <v>180</v>
      </c>
      <c r="O181">
        <v>1.0342857142857143</v>
      </c>
      <c r="P181">
        <v>0.62057142857142855</v>
      </c>
      <c r="Q181">
        <v>-0.52057142857142857</v>
      </c>
      <c r="R181">
        <v>196.87942857142858</v>
      </c>
      <c r="T181">
        <v>279</v>
      </c>
      <c r="V181">
        <v>3225</v>
      </c>
      <c r="Y181">
        <v>11.223192601644561</v>
      </c>
    </row>
    <row r="182" spans="1:25" x14ac:dyDescent="0.35">
      <c r="A182" s="1">
        <v>43169</v>
      </c>
      <c r="B182">
        <v>12.5</v>
      </c>
      <c r="C182">
        <v>11.5</v>
      </c>
      <c r="D182">
        <v>15.5</v>
      </c>
      <c r="E182">
        <v>1602.1999999999998</v>
      </c>
      <c r="H182">
        <v>0.1</v>
      </c>
      <c r="J182">
        <v>1.6</v>
      </c>
      <c r="L182">
        <v>-1.5</v>
      </c>
      <c r="N182">
        <v>181</v>
      </c>
      <c r="O182">
        <v>1.0385714285714285</v>
      </c>
      <c r="P182">
        <v>1.6617142857142857</v>
      </c>
      <c r="Q182">
        <v>-1.5617142857142856</v>
      </c>
      <c r="R182">
        <v>195.31771428571429</v>
      </c>
      <c r="T182">
        <v>640.5</v>
      </c>
      <c r="V182">
        <v>3865.5</v>
      </c>
      <c r="Y182">
        <v>11.282529031196002</v>
      </c>
    </row>
    <row r="183" spans="1:25" x14ac:dyDescent="0.35">
      <c r="A183" s="1">
        <v>43170</v>
      </c>
      <c r="B183">
        <v>10.6</v>
      </c>
      <c r="C183">
        <v>8.1</v>
      </c>
      <c r="D183">
        <v>12.7</v>
      </c>
      <c r="E183">
        <v>1612.7999999999997</v>
      </c>
      <c r="H183">
        <v>2.6</v>
      </c>
      <c r="J183">
        <v>0.9</v>
      </c>
      <c r="L183">
        <v>1.7000000000000002</v>
      </c>
      <c r="N183">
        <v>182</v>
      </c>
      <c r="O183">
        <v>1.0428571428571429</v>
      </c>
      <c r="P183">
        <v>0.93857142857142861</v>
      </c>
      <c r="Q183">
        <v>1.6614285714285715</v>
      </c>
      <c r="R183">
        <v>196.97914285714285</v>
      </c>
      <c r="T183">
        <v>389.1</v>
      </c>
      <c r="V183">
        <v>4254.6000000000004</v>
      </c>
      <c r="Y183">
        <v>11.341967310174089</v>
      </c>
    </row>
    <row r="184" spans="1:25" x14ac:dyDescent="0.35">
      <c r="A184" s="1">
        <v>43171</v>
      </c>
      <c r="B184">
        <v>9.6</v>
      </c>
      <c r="C184">
        <v>9.1999999999999993</v>
      </c>
      <c r="D184">
        <v>10.7</v>
      </c>
      <c r="E184">
        <v>1622.3999999999996</v>
      </c>
      <c r="H184">
        <v>2.2000000000000002</v>
      </c>
      <c r="J184">
        <v>1.2</v>
      </c>
      <c r="L184">
        <v>1.0000000000000002</v>
      </c>
      <c r="N184">
        <v>183</v>
      </c>
      <c r="O184">
        <v>1.0471428571428572</v>
      </c>
      <c r="P184">
        <v>1.2565714285714285</v>
      </c>
      <c r="Q184">
        <v>0.94342857142857173</v>
      </c>
      <c r="R184">
        <v>197.4</v>
      </c>
      <c r="T184">
        <v>207.3</v>
      </c>
      <c r="V184">
        <v>4461.9000000000005</v>
      </c>
      <c r="Y184">
        <v>11.401498313755869</v>
      </c>
    </row>
    <row r="185" spans="1:25" x14ac:dyDescent="0.35">
      <c r="A185" s="1">
        <v>43172</v>
      </c>
      <c r="B185">
        <v>8.9</v>
      </c>
      <c r="C185">
        <v>7.5</v>
      </c>
      <c r="D185">
        <v>11.7</v>
      </c>
      <c r="E185">
        <v>1631.2999999999997</v>
      </c>
      <c r="H185">
        <v>0</v>
      </c>
      <c r="J185">
        <v>1.7</v>
      </c>
      <c r="L185">
        <v>-1.7</v>
      </c>
      <c r="N185">
        <v>184</v>
      </c>
      <c r="O185">
        <v>1.0514285714285714</v>
      </c>
      <c r="P185">
        <v>1.7874285714285714</v>
      </c>
      <c r="Q185">
        <v>-1.7874285714285714</v>
      </c>
      <c r="R185">
        <v>195.61257142857144</v>
      </c>
      <c r="T185">
        <v>1178.2</v>
      </c>
      <c r="V185">
        <v>5640.1</v>
      </c>
      <c r="Y185">
        <v>11.461113082573837</v>
      </c>
    </row>
    <row r="186" spans="1:25" x14ac:dyDescent="0.35">
      <c r="A186" s="1">
        <v>43173</v>
      </c>
      <c r="B186">
        <v>9.1999999999999993</v>
      </c>
      <c r="C186">
        <v>5.2</v>
      </c>
      <c r="D186">
        <v>12.7</v>
      </c>
      <c r="E186">
        <v>1640.4999999999998</v>
      </c>
      <c r="H186">
        <v>11.2</v>
      </c>
      <c r="J186">
        <v>1.2</v>
      </c>
      <c r="L186">
        <v>10</v>
      </c>
      <c r="N186">
        <v>185</v>
      </c>
      <c r="O186">
        <v>1.0557142857142856</v>
      </c>
      <c r="P186">
        <v>1.2668571428571427</v>
      </c>
      <c r="Q186">
        <v>9.9331428571428564</v>
      </c>
      <c r="R186">
        <v>197.4</v>
      </c>
      <c r="T186">
        <v>641.4</v>
      </c>
      <c r="V186">
        <v>6281.5</v>
      </c>
      <c r="Y186">
        <v>11.520802808054778</v>
      </c>
    </row>
    <row r="187" spans="1:25" x14ac:dyDescent="0.35">
      <c r="A187" s="1">
        <v>43174</v>
      </c>
      <c r="B187">
        <v>9.6</v>
      </c>
      <c r="C187">
        <v>8.4</v>
      </c>
      <c r="D187">
        <v>12.1</v>
      </c>
      <c r="E187">
        <v>1650.0999999999997</v>
      </c>
      <c r="H187">
        <v>2.5</v>
      </c>
      <c r="J187">
        <v>1.2</v>
      </c>
      <c r="L187">
        <v>1.3</v>
      </c>
      <c r="N187">
        <v>186</v>
      </c>
      <c r="O187">
        <v>1.06</v>
      </c>
      <c r="P187">
        <v>1.272</v>
      </c>
      <c r="Q187">
        <v>1.228</v>
      </c>
      <c r="R187">
        <v>197.4</v>
      </c>
      <c r="T187">
        <v>594.20000000000005</v>
      </c>
      <c r="V187">
        <v>6875.7</v>
      </c>
      <c r="Y187">
        <v>11.580558817643515</v>
      </c>
    </row>
    <row r="188" spans="1:25" x14ac:dyDescent="0.35">
      <c r="A188" s="1">
        <v>43175</v>
      </c>
      <c r="B188">
        <v>6.9</v>
      </c>
      <c r="C188">
        <v>4.8</v>
      </c>
      <c r="D188">
        <v>9.1</v>
      </c>
      <c r="E188">
        <v>1656.9999999999998</v>
      </c>
      <c r="H188">
        <v>5</v>
      </c>
      <c r="J188">
        <v>0.6</v>
      </c>
      <c r="L188">
        <v>4.4000000000000004</v>
      </c>
      <c r="N188">
        <v>187</v>
      </c>
      <c r="O188">
        <v>1.0642857142857143</v>
      </c>
      <c r="P188">
        <v>0.63857142857142857</v>
      </c>
      <c r="Q188">
        <v>4.3614285714285712</v>
      </c>
      <c r="R188">
        <v>197.4</v>
      </c>
      <c r="T188">
        <v>576.4</v>
      </c>
      <c r="V188">
        <v>7452.0999999999995</v>
      </c>
      <c r="Y188">
        <v>11.640372559926252</v>
      </c>
    </row>
    <row r="189" spans="1:25" x14ac:dyDescent="0.35">
      <c r="A189" s="1">
        <v>43176</v>
      </c>
      <c r="B189">
        <v>5.2</v>
      </c>
      <c r="C189">
        <v>2.7</v>
      </c>
      <c r="D189">
        <v>9.4</v>
      </c>
      <c r="E189">
        <v>1662.1999999999998</v>
      </c>
      <c r="H189">
        <v>2.4</v>
      </c>
      <c r="J189">
        <v>0.8</v>
      </c>
      <c r="L189">
        <v>1.5999999999999999</v>
      </c>
      <c r="N189">
        <v>188</v>
      </c>
      <c r="O189">
        <v>1.0685714285714285</v>
      </c>
      <c r="P189">
        <v>0.85485714285714287</v>
      </c>
      <c r="Q189">
        <v>1.5451428571428569</v>
      </c>
      <c r="R189">
        <v>197.4</v>
      </c>
      <c r="T189">
        <v>444.3</v>
      </c>
      <c r="V189">
        <v>7896.4</v>
      </c>
      <c r="Y189">
        <v>11.700235589667285</v>
      </c>
    </row>
    <row r="190" spans="1:25" x14ac:dyDescent="0.35">
      <c r="A190" s="1">
        <v>43177</v>
      </c>
      <c r="B190">
        <v>3.7</v>
      </c>
      <c r="C190">
        <v>1.9</v>
      </c>
      <c r="D190">
        <v>6</v>
      </c>
      <c r="E190">
        <v>1665.8999999999999</v>
      </c>
      <c r="H190">
        <v>3.2</v>
      </c>
      <c r="J190">
        <v>0.6</v>
      </c>
      <c r="L190">
        <v>2.6</v>
      </c>
      <c r="N190">
        <v>189</v>
      </c>
      <c r="O190">
        <v>1.0728571428571427</v>
      </c>
      <c r="P190">
        <v>0.64371428571428557</v>
      </c>
      <c r="Q190">
        <v>2.5562857142857145</v>
      </c>
      <c r="R190">
        <v>197.4</v>
      </c>
      <c r="T190">
        <v>419.1</v>
      </c>
      <c r="V190">
        <v>8315.5</v>
      </c>
      <c r="Y190">
        <v>11.7601395527719</v>
      </c>
    </row>
    <row r="191" spans="1:25" x14ac:dyDescent="0.35">
      <c r="A191" s="1">
        <v>43178</v>
      </c>
      <c r="B191">
        <v>0.8</v>
      </c>
      <c r="C191">
        <v>-1.9</v>
      </c>
      <c r="D191">
        <v>3.4</v>
      </c>
      <c r="E191">
        <v>1666.6999999999998</v>
      </c>
      <c r="H191">
        <v>0.3</v>
      </c>
      <c r="J191">
        <v>0.6</v>
      </c>
      <c r="L191">
        <v>-0.3</v>
      </c>
      <c r="N191">
        <v>190</v>
      </c>
      <c r="O191">
        <v>1.0771428571428572</v>
      </c>
      <c r="P191">
        <v>0.64628571428571424</v>
      </c>
      <c r="Q191">
        <v>-0.34628571428571425</v>
      </c>
      <c r="R191">
        <v>197.05371428571428</v>
      </c>
      <c r="T191">
        <v>432</v>
      </c>
      <c r="V191">
        <v>8747.5</v>
      </c>
      <c r="Y191">
        <v>11.820076171187441</v>
      </c>
    </row>
    <row r="192" spans="1:25" x14ac:dyDescent="0.35">
      <c r="A192" s="1">
        <v>43179</v>
      </c>
      <c r="B192">
        <v>3.3</v>
      </c>
      <c r="C192">
        <v>-0.4</v>
      </c>
      <c r="D192">
        <v>7.5</v>
      </c>
      <c r="E192">
        <v>1669.9999999999998</v>
      </c>
      <c r="H192">
        <v>0.2</v>
      </c>
      <c r="J192">
        <v>1.3</v>
      </c>
      <c r="L192">
        <v>-1.1000000000000001</v>
      </c>
      <c r="N192">
        <v>191</v>
      </c>
      <c r="O192">
        <v>1.0814285714285714</v>
      </c>
      <c r="P192">
        <v>1.4058571428571429</v>
      </c>
      <c r="Q192">
        <v>-1.205857142857143</v>
      </c>
      <c r="R192">
        <v>195.84785714285712</v>
      </c>
      <c r="T192">
        <v>1062.5</v>
      </c>
      <c r="V192">
        <v>9810</v>
      </c>
      <c r="Y192">
        <v>11.880037227753965</v>
      </c>
    </row>
    <row r="193" spans="1:25" x14ac:dyDescent="0.35">
      <c r="A193" s="1">
        <v>43180</v>
      </c>
      <c r="B193">
        <v>4</v>
      </c>
      <c r="C193">
        <v>0.7</v>
      </c>
      <c r="D193">
        <v>7.5</v>
      </c>
      <c r="E193">
        <v>1673.9999999999998</v>
      </c>
      <c r="H193">
        <v>0</v>
      </c>
      <c r="J193">
        <v>0.9</v>
      </c>
      <c r="L193">
        <v>-0.9</v>
      </c>
      <c r="N193">
        <v>192</v>
      </c>
      <c r="O193">
        <v>1.0857142857142856</v>
      </c>
      <c r="P193">
        <v>0.97714285714285709</v>
      </c>
      <c r="Q193">
        <v>-0.97714285714285709</v>
      </c>
      <c r="R193">
        <v>194.87071428571426</v>
      </c>
      <c r="T193">
        <v>650.4</v>
      </c>
      <c r="V193">
        <v>10460.4</v>
      </c>
      <c r="Y193">
        <v>11.940014551015169</v>
      </c>
    </row>
    <row r="194" spans="1:25" x14ac:dyDescent="0.35">
      <c r="A194" s="1">
        <v>43181</v>
      </c>
      <c r="B194">
        <v>5.4</v>
      </c>
      <c r="C194">
        <v>0.4</v>
      </c>
      <c r="D194">
        <v>7.7</v>
      </c>
      <c r="E194">
        <v>1679.3999999999999</v>
      </c>
      <c r="H194">
        <v>1.1000000000000001</v>
      </c>
      <c r="J194">
        <v>0.8</v>
      </c>
      <c r="L194">
        <v>0.30000000000000004</v>
      </c>
      <c r="N194">
        <v>193</v>
      </c>
      <c r="O194">
        <v>1.0899999999999999</v>
      </c>
      <c r="P194">
        <v>0.87199999999999989</v>
      </c>
      <c r="Q194">
        <v>0.2280000000000002</v>
      </c>
      <c r="R194">
        <v>195.09871428571427</v>
      </c>
      <c r="T194">
        <v>308</v>
      </c>
      <c r="V194">
        <v>10768.4</v>
      </c>
      <c r="Y194">
        <v>12</v>
      </c>
    </row>
    <row r="195" spans="1:25" x14ac:dyDescent="0.35">
      <c r="A195" s="1">
        <v>43182</v>
      </c>
      <c r="B195">
        <v>8.9</v>
      </c>
      <c r="C195">
        <v>6.4</v>
      </c>
      <c r="D195">
        <v>11.9</v>
      </c>
      <c r="E195">
        <v>1688.3</v>
      </c>
      <c r="H195">
        <v>1.2</v>
      </c>
      <c r="J195">
        <v>1.3</v>
      </c>
      <c r="L195">
        <v>-0.10000000000000009</v>
      </c>
      <c r="N195">
        <v>194</v>
      </c>
      <c r="O195">
        <v>1.0942857142857143</v>
      </c>
      <c r="P195">
        <v>1.4225714285714286</v>
      </c>
      <c r="Q195">
        <v>-0.22257142857142864</v>
      </c>
      <c r="R195">
        <v>194.87614285714284</v>
      </c>
      <c r="T195">
        <v>680.9</v>
      </c>
      <c r="V195">
        <v>11449.3</v>
      </c>
      <c r="Y195">
        <v>12.059985448984829</v>
      </c>
    </row>
    <row r="196" spans="1:25" x14ac:dyDescent="0.35">
      <c r="A196" s="1">
        <v>43183</v>
      </c>
      <c r="B196">
        <v>8</v>
      </c>
      <c r="C196">
        <v>6.3</v>
      </c>
      <c r="D196">
        <v>9.3000000000000007</v>
      </c>
      <c r="E196">
        <v>1696.3</v>
      </c>
      <c r="H196">
        <v>5.2</v>
      </c>
      <c r="J196">
        <v>0.4</v>
      </c>
      <c r="L196">
        <v>4.8</v>
      </c>
      <c r="N196">
        <v>195</v>
      </c>
      <c r="O196">
        <v>1.0985714285714285</v>
      </c>
      <c r="P196">
        <v>0.43942857142857145</v>
      </c>
      <c r="Q196">
        <v>4.7605714285714287</v>
      </c>
      <c r="R196">
        <v>197.4</v>
      </c>
      <c r="T196">
        <v>266.8</v>
      </c>
      <c r="V196">
        <v>11716.099999999999</v>
      </c>
      <c r="Y196">
        <v>12.119962772246035</v>
      </c>
    </row>
    <row r="197" spans="1:25" x14ac:dyDescent="0.35">
      <c r="A197" s="1">
        <v>43184</v>
      </c>
      <c r="B197">
        <v>8.9</v>
      </c>
      <c r="C197">
        <v>7.8</v>
      </c>
      <c r="D197">
        <v>10.8</v>
      </c>
      <c r="E197">
        <v>1705.2</v>
      </c>
      <c r="H197">
        <v>0.5</v>
      </c>
      <c r="J197">
        <v>1</v>
      </c>
      <c r="L197">
        <v>-0.5</v>
      </c>
      <c r="N197">
        <v>196</v>
      </c>
      <c r="O197">
        <v>1.1028571428571428</v>
      </c>
      <c r="P197">
        <v>1.1028571428571428</v>
      </c>
      <c r="Q197">
        <v>-0.60285714285714276</v>
      </c>
      <c r="R197">
        <v>196.79714285714286</v>
      </c>
      <c r="T197">
        <v>649.79999999999995</v>
      </c>
      <c r="V197">
        <v>12365.899999999998</v>
      </c>
      <c r="Y197">
        <v>12.179923828812557</v>
      </c>
    </row>
    <row r="198" spans="1:25" x14ac:dyDescent="0.35">
      <c r="A198" s="1">
        <v>43185</v>
      </c>
      <c r="B198">
        <v>8.9</v>
      </c>
      <c r="C198">
        <v>5.4</v>
      </c>
      <c r="D198">
        <v>11.7</v>
      </c>
      <c r="E198">
        <v>1714.1000000000001</v>
      </c>
      <c r="H198">
        <v>3.1</v>
      </c>
      <c r="J198">
        <v>1.6</v>
      </c>
      <c r="L198">
        <v>1.5</v>
      </c>
      <c r="N198">
        <v>197</v>
      </c>
      <c r="O198">
        <v>1.107142857142857</v>
      </c>
      <c r="P198">
        <v>1.7714285714285714</v>
      </c>
      <c r="Q198">
        <v>1.3285714285714287</v>
      </c>
      <c r="R198">
        <v>197.4</v>
      </c>
      <c r="T198">
        <v>1320.9</v>
      </c>
      <c r="V198">
        <v>13686.799999999997</v>
      </c>
      <c r="Y198">
        <v>12.2398604472281</v>
      </c>
    </row>
    <row r="199" spans="1:25" x14ac:dyDescent="0.35">
      <c r="A199" s="1">
        <v>43186</v>
      </c>
      <c r="B199">
        <v>11.5</v>
      </c>
      <c r="C199">
        <v>7.7</v>
      </c>
      <c r="D199">
        <v>14.2</v>
      </c>
      <c r="E199">
        <v>1725.6000000000001</v>
      </c>
      <c r="H199">
        <v>3</v>
      </c>
      <c r="J199">
        <v>0.8</v>
      </c>
      <c r="L199">
        <v>2.2000000000000002</v>
      </c>
      <c r="N199">
        <v>198</v>
      </c>
      <c r="O199">
        <v>1.1114285714285714</v>
      </c>
      <c r="P199">
        <v>0.88914285714285723</v>
      </c>
      <c r="Q199">
        <v>2.1108571428571428</v>
      </c>
      <c r="R199">
        <v>197.4</v>
      </c>
      <c r="T199">
        <v>327.3</v>
      </c>
      <c r="V199">
        <v>14014.099999999997</v>
      </c>
      <c r="Y199">
        <v>12.299764410332713</v>
      </c>
    </row>
    <row r="200" spans="1:25" x14ac:dyDescent="0.35">
      <c r="A200" s="1">
        <v>43187</v>
      </c>
      <c r="B200">
        <v>9.1999999999999993</v>
      </c>
      <c r="C200">
        <v>8.6999999999999993</v>
      </c>
      <c r="D200">
        <v>11.1</v>
      </c>
      <c r="E200">
        <v>1734.8000000000002</v>
      </c>
      <c r="H200">
        <v>3.5</v>
      </c>
      <c r="J200">
        <v>1</v>
      </c>
      <c r="L200">
        <v>2.5</v>
      </c>
      <c r="N200">
        <v>199</v>
      </c>
      <c r="O200">
        <v>1.1157142857142857</v>
      </c>
      <c r="P200">
        <v>1.1157142857142857</v>
      </c>
      <c r="Q200">
        <v>2.3842857142857143</v>
      </c>
      <c r="R200">
        <v>197.4</v>
      </c>
      <c r="T200">
        <v>527.1</v>
      </c>
      <c r="V200">
        <v>14541.199999999997</v>
      </c>
      <c r="Y200">
        <v>12.359627440073748</v>
      </c>
    </row>
    <row r="201" spans="1:25" x14ac:dyDescent="0.35">
      <c r="A201" s="1">
        <v>43188</v>
      </c>
      <c r="B201">
        <v>6.3</v>
      </c>
      <c r="C201">
        <v>4</v>
      </c>
      <c r="D201">
        <v>8.5</v>
      </c>
      <c r="E201">
        <v>1741.1000000000001</v>
      </c>
      <c r="H201">
        <v>16.8</v>
      </c>
      <c r="J201">
        <v>0.6</v>
      </c>
      <c r="L201">
        <v>16.2</v>
      </c>
      <c r="N201">
        <v>200</v>
      </c>
      <c r="O201">
        <v>1.1199999999999999</v>
      </c>
      <c r="P201">
        <v>0.67199999999999993</v>
      </c>
      <c r="Q201">
        <v>16.128</v>
      </c>
      <c r="R201">
        <v>197.4</v>
      </c>
      <c r="T201">
        <v>585.1</v>
      </c>
      <c r="V201">
        <v>15126.299999999997</v>
      </c>
      <c r="Y201">
        <v>12.419441182356485</v>
      </c>
    </row>
    <row r="202" spans="1:25" x14ac:dyDescent="0.35">
      <c r="A202" s="1">
        <v>43189</v>
      </c>
      <c r="B202">
        <v>6.6</v>
      </c>
      <c r="C202">
        <v>5</v>
      </c>
      <c r="D202">
        <v>9.5</v>
      </c>
      <c r="E202">
        <v>1747.7</v>
      </c>
      <c r="H202">
        <v>2.9</v>
      </c>
      <c r="J202">
        <v>1.4</v>
      </c>
      <c r="L202">
        <v>1.5</v>
      </c>
      <c r="N202">
        <v>201</v>
      </c>
      <c r="O202">
        <v>1.1242857142857141</v>
      </c>
      <c r="P202">
        <v>1.5739999999999996</v>
      </c>
      <c r="Q202">
        <v>1.3260000000000003</v>
      </c>
      <c r="R202">
        <v>197.4</v>
      </c>
      <c r="T202">
        <v>1010.1</v>
      </c>
      <c r="V202">
        <v>16136.399999999998</v>
      </c>
      <c r="Y202">
        <v>12.47919719194522</v>
      </c>
    </row>
    <row r="203" spans="1:25" x14ac:dyDescent="0.35">
      <c r="A203" s="1">
        <v>43190</v>
      </c>
      <c r="B203">
        <v>5.9</v>
      </c>
      <c r="C203">
        <v>2.4</v>
      </c>
      <c r="D203">
        <v>8.1</v>
      </c>
      <c r="E203">
        <v>1753.6000000000001</v>
      </c>
      <c r="H203">
        <v>2.1</v>
      </c>
      <c r="J203">
        <v>0.7</v>
      </c>
      <c r="L203">
        <v>1.4000000000000001</v>
      </c>
      <c r="N203">
        <v>202</v>
      </c>
      <c r="O203">
        <v>1.1285714285714286</v>
      </c>
      <c r="P203">
        <v>0.78999999999999992</v>
      </c>
      <c r="Q203">
        <v>1.31</v>
      </c>
      <c r="R203">
        <v>197.4</v>
      </c>
      <c r="T203">
        <v>519.70000000000005</v>
      </c>
      <c r="V203">
        <v>16656.099999999999</v>
      </c>
      <c r="Y203">
        <v>12.538886917426161</v>
      </c>
    </row>
    <row r="204" spans="1:25" x14ac:dyDescent="0.35">
      <c r="A204" s="1">
        <v>43191</v>
      </c>
      <c r="B204">
        <v>7</v>
      </c>
      <c r="C204">
        <v>1.9</v>
      </c>
      <c r="D204">
        <v>10.3</v>
      </c>
      <c r="E204">
        <v>1760.6000000000001</v>
      </c>
      <c r="H204">
        <v>3.7</v>
      </c>
      <c r="J204">
        <v>0.8</v>
      </c>
      <c r="L204">
        <v>2.9000000000000004</v>
      </c>
      <c r="N204">
        <v>203</v>
      </c>
      <c r="O204">
        <v>1.1328571428571428</v>
      </c>
      <c r="P204">
        <v>0.90628571428571425</v>
      </c>
      <c r="Q204">
        <v>2.793714285714286</v>
      </c>
      <c r="R204">
        <v>197.4</v>
      </c>
      <c r="T204">
        <v>711.1</v>
      </c>
      <c r="V204">
        <v>17367.199999999997</v>
      </c>
      <c r="Y204">
        <v>12.598501686244129</v>
      </c>
    </row>
    <row r="205" spans="1:25" x14ac:dyDescent="0.35">
      <c r="A205" s="1">
        <v>43192</v>
      </c>
      <c r="B205">
        <v>11.1</v>
      </c>
      <c r="C205">
        <v>8.1999999999999993</v>
      </c>
      <c r="D205">
        <v>14</v>
      </c>
      <c r="E205">
        <v>1771.7</v>
      </c>
      <c r="H205">
        <v>1.5</v>
      </c>
      <c r="J205">
        <v>1.9</v>
      </c>
      <c r="L205">
        <v>-0.39999999999999991</v>
      </c>
      <c r="N205">
        <v>204</v>
      </c>
      <c r="O205">
        <v>1.137142857142857</v>
      </c>
      <c r="P205">
        <v>2.1605714285714281</v>
      </c>
      <c r="Q205">
        <v>-0.66057142857142814</v>
      </c>
      <c r="R205">
        <v>196.73942857142859</v>
      </c>
      <c r="T205">
        <v>1438.9</v>
      </c>
      <c r="V205">
        <v>18806.099999999999</v>
      </c>
      <c r="Y205">
        <v>12.658032689825911</v>
      </c>
    </row>
    <row r="206" spans="1:25" x14ac:dyDescent="0.35">
      <c r="A206" s="1">
        <v>43193</v>
      </c>
      <c r="B206">
        <v>10.7</v>
      </c>
      <c r="C206">
        <v>10.4</v>
      </c>
      <c r="D206">
        <v>12</v>
      </c>
      <c r="E206">
        <v>1782.4</v>
      </c>
      <c r="H206">
        <v>3.2</v>
      </c>
      <c r="J206">
        <v>1</v>
      </c>
      <c r="L206">
        <v>2.2000000000000002</v>
      </c>
      <c r="N206">
        <v>205</v>
      </c>
      <c r="O206">
        <v>1.1414285714285715</v>
      </c>
      <c r="P206">
        <v>1.1414285714285715</v>
      </c>
      <c r="Q206">
        <v>2.0585714285714287</v>
      </c>
      <c r="R206">
        <v>197.4</v>
      </c>
      <c r="T206">
        <v>512.79999999999995</v>
      </c>
      <c r="V206">
        <v>19318.899999999998</v>
      </c>
      <c r="Y206">
        <v>12.717470968803998</v>
      </c>
    </row>
    <row r="207" spans="1:25" x14ac:dyDescent="0.35">
      <c r="A207" s="1">
        <v>43194</v>
      </c>
      <c r="B207">
        <v>9.9</v>
      </c>
      <c r="C207">
        <v>9</v>
      </c>
      <c r="D207">
        <v>11.2</v>
      </c>
      <c r="E207">
        <v>1792.3000000000002</v>
      </c>
      <c r="H207">
        <v>4.0999999999999996</v>
      </c>
      <c r="J207">
        <v>1.3</v>
      </c>
      <c r="L207">
        <v>2.8</v>
      </c>
      <c r="N207">
        <v>206</v>
      </c>
      <c r="O207">
        <v>1.1457142857142857</v>
      </c>
      <c r="P207">
        <v>1.4894285714285715</v>
      </c>
      <c r="Q207">
        <v>2.6105714285714283</v>
      </c>
      <c r="R207">
        <v>197.4</v>
      </c>
      <c r="T207">
        <v>524.5</v>
      </c>
      <c r="V207">
        <v>19843.399999999998</v>
      </c>
      <c r="Y207">
        <v>12.776807398355439</v>
      </c>
    </row>
    <row r="208" spans="1:25" x14ac:dyDescent="0.35">
      <c r="A208" s="1">
        <v>43195</v>
      </c>
      <c r="B208">
        <v>9.3000000000000007</v>
      </c>
      <c r="C208">
        <v>5.5</v>
      </c>
      <c r="D208">
        <v>12.3</v>
      </c>
      <c r="E208">
        <v>1801.6000000000001</v>
      </c>
      <c r="H208">
        <v>0</v>
      </c>
      <c r="J208">
        <v>1.5</v>
      </c>
      <c r="L208">
        <v>-1.5</v>
      </c>
      <c r="N208">
        <v>207</v>
      </c>
      <c r="O208">
        <v>1.1499999999999999</v>
      </c>
      <c r="P208">
        <v>1.7249999999999999</v>
      </c>
      <c r="Q208">
        <v>-1.7249999999999999</v>
      </c>
      <c r="R208">
        <v>195.67500000000001</v>
      </c>
      <c r="T208">
        <v>987.9</v>
      </c>
      <c r="V208">
        <v>20831.3</v>
      </c>
      <c r="Y208">
        <v>12.836032673671708</v>
      </c>
    </row>
    <row r="209" spans="1:25" x14ac:dyDescent="0.35">
      <c r="A209" s="1">
        <v>43196</v>
      </c>
      <c r="B209">
        <v>12.8</v>
      </c>
      <c r="C209">
        <v>6.3</v>
      </c>
      <c r="D209">
        <v>17.899999999999999</v>
      </c>
      <c r="E209">
        <v>1814.4</v>
      </c>
      <c r="H209">
        <v>0</v>
      </c>
      <c r="J209">
        <v>3.1</v>
      </c>
      <c r="L209">
        <v>-3.1</v>
      </c>
      <c r="N209">
        <v>208</v>
      </c>
      <c r="O209">
        <v>1.1499999999999999</v>
      </c>
      <c r="P209">
        <v>3.5649999999999999</v>
      </c>
      <c r="Q209">
        <v>-3.5649999999999999</v>
      </c>
      <c r="R209">
        <v>192.11</v>
      </c>
      <c r="T209">
        <v>2123.4</v>
      </c>
      <c r="V209">
        <v>2123.4</v>
      </c>
      <c r="Y209">
        <v>12.895137295576747</v>
      </c>
    </row>
    <row r="210" spans="1:25" x14ac:dyDescent="0.35">
      <c r="A210" s="1">
        <v>43197</v>
      </c>
      <c r="B210">
        <v>12.4</v>
      </c>
      <c r="C210">
        <v>11.4</v>
      </c>
      <c r="D210">
        <v>14.1</v>
      </c>
      <c r="E210">
        <v>1826.8000000000002</v>
      </c>
      <c r="H210">
        <v>8.1</v>
      </c>
      <c r="J210">
        <v>0.9</v>
      </c>
      <c r="L210">
        <v>7.1999999999999993</v>
      </c>
      <c r="N210">
        <v>209</v>
      </c>
      <c r="O210">
        <v>1.1499999999999999</v>
      </c>
      <c r="P210">
        <v>1.0349999999999999</v>
      </c>
      <c r="Q210">
        <v>7.0649999999999995</v>
      </c>
      <c r="R210">
        <v>197.4</v>
      </c>
      <c r="T210">
        <v>377</v>
      </c>
      <c r="V210">
        <v>2500.4</v>
      </c>
      <c r="Y210">
        <v>12.954111556311608</v>
      </c>
    </row>
    <row r="211" spans="1:25" x14ac:dyDescent="0.35">
      <c r="A211" s="1">
        <v>43198</v>
      </c>
      <c r="B211">
        <v>10.1</v>
      </c>
      <c r="C211">
        <v>8.8000000000000007</v>
      </c>
      <c r="D211">
        <v>10.9</v>
      </c>
      <c r="E211">
        <v>1836.9</v>
      </c>
      <c r="H211">
        <v>3.4</v>
      </c>
      <c r="J211">
        <v>0.7</v>
      </c>
      <c r="L211">
        <v>2.7</v>
      </c>
      <c r="N211">
        <v>210</v>
      </c>
      <c r="O211">
        <v>1.1499999999999999</v>
      </c>
      <c r="P211">
        <v>0.80499999999999994</v>
      </c>
      <c r="Q211">
        <v>2.5949999999999998</v>
      </c>
      <c r="R211">
        <v>197.4</v>
      </c>
      <c r="T211">
        <v>428.9</v>
      </c>
      <c r="V211">
        <v>2929.3</v>
      </c>
      <c r="Y211">
        <v>13.012945525505742</v>
      </c>
    </row>
    <row r="212" spans="1:25" x14ac:dyDescent="0.35">
      <c r="A212" s="1">
        <v>43199</v>
      </c>
      <c r="B212">
        <v>12</v>
      </c>
      <c r="C212">
        <v>10.3</v>
      </c>
      <c r="D212">
        <v>14.1</v>
      </c>
      <c r="E212">
        <v>1848.9</v>
      </c>
      <c r="H212">
        <v>6.9</v>
      </c>
      <c r="J212">
        <v>0.7</v>
      </c>
      <c r="L212">
        <v>6.2</v>
      </c>
      <c r="N212">
        <v>211</v>
      </c>
      <c r="O212">
        <v>1.1499999999999999</v>
      </c>
      <c r="P212">
        <v>0.80499999999999994</v>
      </c>
      <c r="Q212">
        <v>6.0950000000000006</v>
      </c>
      <c r="R212">
        <v>197.4</v>
      </c>
      <c r="T212">
        <v>446.1</v>
      </c>
      <c r="V212">
        <v>3375.4</v>
      </c>
      <c r="Y212">
        <v>13.071629036356406</v>
      </c>
    </row>
    <row r="213" spans="1:25" x14ac:dyDescent="0.35">
      <c r="A213" s="1">
        <v>43200</v>
      </c>
      <c r="B213">
        <v>10.4</v>
      </c>
      <c r="C213">
        <v>8.3000000000000007</v>
      </c>
      <c r="D213">
        <v>13.3</v>
      </c>
      <c r="E213">
        <v>1859.3000000000002</v>
      </c>
      <c r="H213">
        <v>0.4</v>
      </c>
      <c r="J213">
        <v>1.4</v>
      </c>
      <c r="L213">
        <v>-0.99999999999999989</v>
      </c>
      <c r="N213">
        <v>212</v>
      </c>
      <c r="O213">
        <v>1.1499999999999999</v>
      </c>
      <c r="P213">
        <v>1.6099999999999999</v>
      </c>
      <c r="Q213">
        <v>-1.21</v>
      </c>
      <c r="R213">
        <v>196.19</v>
      </c>
      <c r="T213">
        <v>908.4</v>
      </c>
      <c r="V213">
        <v>4283.8</v>
      </c>
      <c r="Y213">
        <v>13.130151672039412</v>
      </c>
    </row>
    <row r="214" spans="1:25" x14ac:dyDescent="0.35">
      <c r="A214" s="1">
        <v>43201</v>
      </c>
      <c r="B214">
        <v>10.9</v>
      </c>
      <c r="C214">
        <v>5.5</v>
      </c>
      <c r="D214">
        <v>14.6</v>
      </c>
      <c r="E214">
        <v>1870.2000000000003</v>
      </c>
      <c r="H214">
        <v>0</v>
      </c>
      <c r="J214">
        <v>1.4</v>
      </c>
      <c r="L214">
        <v>-1.4</v>
      </c>
      <c r="N214">
        <v>213</v>
      </c>
      <c r="O214">
        <v>1.1499999999999999</v>
      </c>
      <c r="P214">
        <v>1.6099999999999999</v>
      </c>
      <c r="Q214">
        <v>-1.6099999999999999</v>
      </c>
      <c r="R214">
        <v>194.57999999999998</v>
      </c>
      <c r="T214">
        <v>1182.5</v>
      </c>
      <c r="V214">
        <v>5466.3</v>
      </c>
      <c r="Y214">
        <v>13.188502752376252</v>
      </c>
    </row>
    <row r="215" spans="1:25" x14ac:dyDescent="0.35">
      <c r="A215" s="1">
        <v>43202</v>
      </c>
      <c r="B215">
        <v>13.3</v>
      </c>
      <c r="C215">
        <v>10.199999999999999</v>
      </c>
      <c r="D215">
        <v>18.3</v>
      </c>
      <c r="E215">
        <v>1883.5000000000002</v>
      </c>
      <c r="H215">
        <v>0.1</v>
      </c>
      <c r="J215">
        <v>2.2999999999999998</v>
      </c>
      <c r="L215">
        <v>-2.1999999999999997</v>
      </c>
      <c r="N215">
        <v>214</v>
      </c>
      <c r="O215">
        <v>1.1499999999999999</v>
      </c>
      <c r="P215">
        <v>2.6449999999999996</v>
      </c>
      <c r="Q215">
        <v>-2.5449999999999995</v>
      </c>
      <c r="R215">
        <v>192.035</v>
      </c>
      <c r="T215">
        <v>1441.9</v>
      </c>
      <c r="V215">
        <v>6908.2000000000007</v>
      </c>
      <c r="Y215">
        <v>13.246671320784426</v>
      </c>
    </row>
    <row r="216" spans="1:25" x14ac:dyDescent="0.35">
      <c r="A216" s="1">
        <v>43203</v>
      </c>
      <c r="B216">
        <v>11.6</v>
      </c>
      <c r="C216">
        <v>7.4</v>
      </c>
      <c r="D216">
        <v>16</v>
      </c>
      <c r="E216">
        <v>1895.1000000000001</v>
      </c>
      <c r="H216">
        <v>1</v>
      </c>
      <c r="J216">
        <v>2.2000000000000002</v>
      </c>
      <c r="L216">
        <v>-1.2000000000000002</v>
      </c>
      <c r="N216">
        <v>215</v>
      </c>
      <c r="O216">
        <v>1.1499999999999999</v>
      </c>
      <c r="P216">
        <v>2.5299999999999998</v>
      </c>
      <c r="Q216">
        <v>-1.5299999999999998</v>
      </c>
      <c r="R216">
        <v>190.505</v>
      </c>
      <c r="T216">
        <v>1582.4</v>
      </c>
      <c r="V216">
        <v>8490.6</v>
      </c>
      <c r="Y216">
        <v>13.304646131539867</v>
      </c>
    </row>
    <row r="217" spans="1:25" x14ac:dyDescent="0.35">
      <c r="A217" s="1">
        <v>43204</v>
      </c>
      <c r="B217">
        <v>11.8</v>
      </c>
      <c r="C217">
        <v>8.6</v>
      </c>
      <c r="D217">
        <v>15.7</v>
      </c>
      <c r="E217">
        <v>1906.9</v>
      </c>
      <c r="H217">
        <v>0.4</v>
      </c>
      <c r="J217">
        <v>1.2</v>
      </c>
      <c r="L217">
        <v>-0.79999999999999993</v>
      </c>
      <c r="N217">
        <v>216</v>
      </c>
      <c r="O217">
        <v>1.1499999999999999</v>
      </c>
      <c r="P217">
        <v>1.38</v>
      </c>
      <c r="Q217">
        <v>-0.97999999999999987</v>
      </c>
      <c r="R217">
        <v>189.52500000000001</v>
      </c>
      <c r="T217">
        <v>1007.5</v>
      </c>
      <c r="V217">
        <v>9498.1</v>
      </c>
      <c r="Y217">
        <v>13.362415637382384</v>
      </c>
    </row>
    <row r="218" spans="1:25" x14ac:dyDescent="0.35">
      <c r="A218" s="1">
        <v>43205</v>
      </c>
      <c r="B218">
        <v>11.8</v>
      </c>
      <c r="C218">
        <v>8.8000000000000007</v>
      </c>
      <c r="D218">
        <v>15.9</v>
      </c>
      <c r="E218">
        <v>1918.7</v>
      </c>
      <c r="H218">
        <v>1.7</v>
      </c>
      <c r="J218">
        <v>2.1</v>
      </c>
      <c r="L218">
        <v>-0.40000000000000013</v>
      </c>
      <c r="N218">
        <v>217</v>
      </c>
      <c r="O218">
        <v>1.1499999999999999</v>
      </c>
      <c r="P218">
        <v>2.415</v>
      </c>
      <c r="Q218">
        <v>-0.71500000000000008</v>
      </c>
      <c r="R218">
        <v>188.81</v>
      </c>
      <c r="T218">
        <v>1317</v>
      </c>
      <c r="V218">
        <v>10815.1</v>
      </c>
      <c r="Y218">
        <v>13.419967977497169</v>
      </c>
    </row>
    <row r="219" spans="1:25" x14ac:dyDescent="0.35">
      <c r="A219" s="1">
        <v>43206</v>
      </c>
      <c r="B219">
        <v>10.9</v>
      </c>
      <c r="C219">
        <v>7.4</v>
      </c>
      <c r="D219">
        <v>14.2</v>
      </c>
      <c r="E219">
        <v>1929.6000000000001</v>
      </c>
      <c r="H219">
        <v>0.1</v>
      </c>
      <c r="J219">
        <v>1.7</v>
      </c>
      <c r="L219">
        <v>-1.5999999999999999</v>
      </c>
      <c r="N219">
        <v>218</v>
      </c>
      <c r="O219">
        <v>1.1499999999999999</v>
      </c>
      <c r="P219">
        <v>1.9549999999999998</v>
      </c>
      <c r="Q219">
        <v>-1.8549999999999998</v>
      </c>
      <c r="R219">
        <v>186.95500000000001</v>
      </c>
      <c r="T219">
        <v>1063.3</v>
      </c>
      <c r="V219">
        <v>11878.4</v>
      </c>
      <c r="Y219">
        <v>13.477290965907706</v>
      </c>
    </row>
    <row r="220" spans="1:25" x14ac:dyDescent="0.35">
      <c r="A220" s="1">
        <v>43207</v>
      </c>
      <c r="B220">
        <v>13.9</v>
      </c>
      <c r="C220">
        <v>7.9</v>
      </c>
      <c r="D220">
        <v>19.100000000000001</v>
      </c>
      <c r="E220">
        <v>1943.5000000000002</v>
      </c>
      <c r="H220">
        <v>0</v>
      </c>
      <c r="J220">
        <v>3.9</v>
      </c>
      <c r="L220">
        <v>-3.9</v>
      </c>
      <c r="N220">
        <v>219</v>
      </c>
      <c r="O220">
        <v>1.1499999999999999</v>
      </c>
      <c r="P220">
        <v>4.4849999999999994</v>
      </c>
      <c r="Q220">
        <v>-4.4849999999999994</v>
      </c>
      <c r="R220">
        <v>182.47000000000003</v>
      </c>
      <c r="T220">
        <v>2462.8000000000002</v>
      </c>
      <c r="V220">
        <v>14341.2</v>
      </c>
      <c r="Y220">
        <v>13.534372080317652</v>
      </c>
    </row>
    <row r="221" spans="1:25" x14ac:dyDescent="0.35">
      <c r="A221" s="1">
        <v>43208</v>
      </c>
      <c r="B221">
        <v>17.2</v>
      </c>
      <c r="C221">
        <v>8.1</v>
      </c>
      <c r="D221">
        <v>24.1</v>
      </c>
      <c r="E221">
        <v>1960.7000000000003</v>
      </c>
      <c r="H221">
        <v>0</v>
      </c>
      <c r="J221">
        <v>4.5999999999999996</v>
      </c>
      <c r="L221">
        <v>-4.5999999999999996</v>
      </c>
      <c r="N221">
        <v>220</v>
      </c>
      <c r="O221">
        <v>1.1499999999999999</v>
      </c>
      <c r="P221">
        <v>5.2899999999999991</v>
      </c>
      <c r="Q221">
        <v>-5.2899999999999991</v>
      </c>
      <c r="R221">
        <v>177.18000000000004</v>
      </c>
      <c r="T221">
        <v>2510.4</v>
      </c>
      <c r="V221">
        <v>16851.600000000002</v>
      </c>
      <c r="Y221">
        <v>13.591198451441665</v>
      </c>
    </row>
    <row r="222" spans="1:25" x14ac:dyDescent="0.35">
      <c r="A222" s="1">
        <v>43209</v>
      </c>
      <c r="B222">
        <v>18.399999999999999</v>
      </c>
      <c r="C222">
        <v>11.6</v>
      </c>
      <c r="D222">
        <v>24.9</v>
      </c>
      <c r="E222">
        <v>1979.1000000000004</v>
      </c>
      <c r="H222">
        <v>0</v>
      </c>
      <c r="J222">
        <v>4.8</v>
      </c>
      <c r="L222">
        <v>-4.8</v>
      </c>
      <c r="N222">
        <v>221</v>
      </c>
      <c r="O222">
        <v>1.1499999999999999</v>
      </c>
      <c r="P222">
        <v>5.52</v>
      </c>
      <c r="Q222">
        <v>-5.52</v>
      </c>
      <c r="R222">
        <v>171.66000000000003</v>
      </c>
      <c r="T222">
        <v>2489.3000000000002</v>
      </c>
      <c r="V222">
        <v>19340.900000000001</v>
      </c>
      <c r="Y222">
        <v>13.647756852867508</v>
      </c>
    </row>
    <row r="223" spans="1:25" x14ac:dyDescent="0.35">
      <c r="A223" s="1">
        <v>43210</v>
      </c>
      <c r="B223">
        <v>19</v>
      </c>
      <c r="C223">
        <v>10.6</v>
      </c>
      <c r="D223">
        <v>25.9</v>
      </c>
      <c r="E223">
        <v>1998.1000000000004</v>
      </c>
      <c r="H223">
        <v>0</v>
      </c>
      <c r="J223">
        <v>4.5</v>
      </c>
      <c r="L223">
        <v>-4.5</v>
      </c>
      <c r="N223">
        <v>222</v>
      </c>
      <c r="O223">
        <v>1.1499999999999999</v>
      </c>
      <c r="P223">
        <v>5.1749999999999998</v>
      </c>
      <c r="Q223">
        <v>-5.1749999999999998</v>
      </c>
      <c r="R223">
        <v>166.48500000000001</v>
      </c>
      <c r="T223">
        <v>2325.6999999999998</v>
      </c>
      <c r="V223">
        <v>21666.600000000002</v>
      </c>
      <c r="Y223">
        <v>13.704033691494255</v>
      </c>
    </row>
    <row r="224" spans="1:25" x14ac:dyDescent="0.35">
      <c r="A224" s="1">
        <v>43211</v>
      </c>
      <c r="B224">
        <v>19.399999999999999</v>
      </c>
      <c r="C224">
        <v>15.2</v>
      </c>
      <c r="D224">
        <v>24.3</v>
      </c>
      <c r="E224">
        <v>2017.5000000000005</v>
      </c>
      <c r="H224">
        <v>0</v>
      </c>
      <c r="J224">
        <v>2.4</v>
      </c>
      <c r="L224">
        <v>-2.4</v>
      </c>
      <c r="N224">
        <v>223</v>
      </c>
      <c r="O224">
        <v>1.1499999999999999</v>
      </c>
      <c r="P224">
        <v>2.76</v>
      </c>
      <c r="Q224">
        <v>-2.76</v>
      </c>
      <c r="R224">
        <v>163.72500000000002</v>
      </c>
      <c r="T224">
        <v>1255.9000000000001</v>
      </c>
      <c r="V224">
        <v>22922.500000000004</v>
      </c>
      <c r="Y224">
        <v>13.760014998593816</v>
      </c>
    </row>
    <row r="225" spans="1:25" x14ac:dyDescent="0.35">
      <c r="A225" s="1">
        <v>43212</v>
      </c>
      <c r="B225">
        <v>15.7</v>
      </c>
      <c r="C225">
        <v>11.5</v>
      </c>
      <c r="D225">
        <v>21</v>
      </c>
      <c r="E225">
        <v>2033.2000000000005</v>
      </c>
      <c r="H225">
        <v>0</v>
      </c>
      <c r="J225">
        <v>2</v>
      </c>
      <c r="L225">
        <v>-2</v>
      </c>
      <c r="N225">
        <v>224</v>
      </c>
      <c r="O225">
        <v>1.1499999999999999</v>
      </c>
      <c r="P225">
        <v>2.2999999999999998</v>
      </c>
      <c r="Q225">
        <v>-2.2999999999999998</v>
      </c>
      <c r="R225">
        <v>161.42500000000001</v>
      </c>
      <c r="T225">
        <v>1112.4000000000001</v>
      </c>
      <c r="V225">
        <v>24034.900000000005</v>
      </c>
      <c r="Y225">
        <v>13.81568642154552</v>
      </c>
    </row>
    <row r="226" spans="1:25" x14ac:dyDescent="0.35">
      <c r="A226" s="1">
        <v>43213</v>
      </c>
      <c r="B226">
        <v>12.1</v>
      </c>
      <c r="C226">
        <v>10.5</v>
      </c>
      <c r="D226">
        <v>14.8</v>
      </c>
      <c r="E226">
        <v>2045.3000000000004</v>
      </c>
      <c r="H226">
        <v>0</v>
      </c>
      <c r="J226">
        <v>1.4</v>
      </c>
      <c r="L226">
        <v>-1.4</v>
      </c>
      <c r="N226">
        <v>225</v>
      </c>
      <c r="O226">
        <v>1.1499999999999999</v>
      </c>
      <c r="P226">
        <v>1.6099999999999999</v>
      </c>
      <c r="Q226">
        <v>-1.6099999999999999</v>
      </c>
      <c r="R226">
        <v>159.815</v>
      </c>
      <c r="T226">
        <v>720.5</v>
      </c>
      <c r="V226">
        <v>24755.400000000005</v>
      </c>
      <c r="Y226">
        <v>13.871033216295899</v>
      </c>
    </row>
    <row r="227" spans="1:25" x14ac:dyDescent="0.35">
      <c r="A227" s="1">
        <v>43214</v>
      </c>
      <c r="B227">
        <v>12.2</v>
      </c>
      <c r="C227">
        <v>6.3</v>
      </c>
      <c r="D227">
        <v>17.2</v>
      </c>
      <c r="E227">
        <v>2057.5000000000005</v>
      </c>
      <c r="H227">
        <v>0.6</v>
      </c>
      <c r="J227">
        <v>3.3</v>
      </c>
      <c r="L227">
        <v>-2.6999999999999997</v>
      </c>
      <c r="N227">
        <v>226</v>
      </c>
      <c r="O227">
        <v>1.1499999999999999</v>
      </c>
      <c r="P227">
        <v>3.7949999999999995</v>
      </c>
      <c r="Q227">
        <v>-3.1949999999999994</v>
      </c>
      <c r="R227">
        <v>156.62</v>
      </c>
      <c r="T227">
        <v>2284.3000000000002</v>
      </c>
      <c r="V227">
        <v>27039.700000000004</v>
      </c>
      <c r="Y227">
        <v>13.926040240598248</v>
      </c>
    </row>
    <row r="228" spans="1:25" x14ac:dyDescent="0.35">
      <c r="A228" s="1">
        <v>43215</v>
      </c>
      <c r="B228">
        <v>12</v>
      </c>
      <c r="C228">
        <v>10</v>
      </c>
      <c r="D228">
        <v>15.2</v>
      </c>
      <c r="E228">
        <v>2069.5000000000005</v>
      </c>
      <c r="H228">
        <v>0.1</v>
      </c>
      <c r="J228">
        <v>1.9</v>
      </c>
      <c r="L228">
        <v>-1.7999999999999998</v>
      </c>
      <c r="N228">
        <v>227</v>
      </c>
      <c r="O228">
        <v>1.1499999999999999</v>
      </c>
      <c r="P228">
        <v>2.1849999999999996</v>
      </c>
      <c r="Q228">
        <v>-2.0849999999999995</v>
      </c>
      <c r="R228">
        <v>154.535</v>
      </c>
      <c r="T228">
        <v>807.9</v>
      </c>
      <c r="V228">
        <v>27847.600000000006</v>
      </c>
      <c r="Y228">
        <v>13.98069194808888</v>
      </c>
    </row>
    <row r="229" spans="1:25" x14ac:dyDescent="0.35">
      <c r="A229" s="1">
        <v>43216</v>
      </c>
      <c r="B229">
        <v>10.4</v>
      </c>
      <c r="C229">
        <v>6.8</v>
      </c>
      <c r="D229">
        <v>13.8</v>
      </c>
      <c r="E229">
        <v>2079.9000000000005</v>
      </c>
      <c r="H229">
        <v>0</v>
      </c>
      <c r="J229">
        <v>2</v>
      </c>
      <c r="L229">
        <v>-2</v>
      </c>
      <c r="N229">
        <v>228</v>
      </c>
      <c r="O229">
        <v>1.1499999999999999</v>
      </c>
      <c r="P229">
        <v>2.2999999999999998</v>
      </c>
      <c r="Q229">
        <v>-2.2999999999999998</v>
      </c>
      <c r="R229">
        <v>152.23499999999999</v>
      </c>
      <c r="T229">
        <v>1400.8</v>
      </c>
      <c r="V229">
        <v>29248.400000000005</v>
      </c>
      <c r="Y229">
        <v>14.034972383259307</v>
      </c>
    </row>
    <row r="230" spans="1:25" x14ac:dyDescent="0.35">
      <c r="A230" s="1">
        <v>43217</v>
      </c>
      <c r="B230">
        <v>10.7</v>
      </c>
      <c r="C230">
        <v>7.5</v>
      </c>
      <c r="D230">
        <v>13.8</v>
      </c>
      <c r="E230">
        <v>2090.6000000000004</v>
      </c>
      <c r="H230">
        <v>0.7</v>
      </c>
      <c r="J230">
        <v>2</v>
      </c>
      <c r="L230">
        <v>-1.3</v>
      </c>
      <c r="N230">
        <v>229</v>
      </c>
      <c r="O230">
        <v>1.1499999999999999</v>
      </c>
      <c r="P230">
        <v>2.2999999999999998</v>
      </c>
      <c r="Q230">
        <v>-1.5999999999999999</v>
      </c>
      <c r="R230">
        <v>150.63499999999999</v>
      </c>
      <c r="T230">
        <v>1180.5999999999999</v>
      </c>
      <c r="V230">
        <v>1180.5999999999999</v>
      </c>
      <c r="Y230">
        <v>14.088865177385633</v>
      </c>
    </row>
    <row r="231" spans="1:25" x14ac:dyDescent="0.35">
      <c r="A231" s="1">
        <v>43218</v>
      </c>
      <c r="B231">
        <v>11.2</v>
      </c>
      <c r="C231">
        <v>8.4</v>
      </c>
      <c r="D231">
        <v>13.8</v>
      </c>
      <c r="E231">
        <v>2101.8000000000002</v>
      </c>
      <c r="H231">
        <v>0</v>
      </c>
      <c r="J231">
        <v>1.4</v>
      </c>
      <c r="L231">
        <v>-1.4</v>
      </c>
      <c r="N231">
        <v>230</v>
      </c>
      <c r="O231">
        <v>1.1499999999999999</v>
      </c>
      <c r="P231">
        <v>1.6099999999999999</v>
      </c>
      <c r="Q231">
        <v>-1.6099999999999999</v>
      </c>
      <c r="R231">
        <v>149.02499999999998</v>
      </c>
      <c r="T231">
        <v>955.7</v>
      </c>
      <c r="V231">
        <v>2136.3000000000002</v>
      </c>
      <c r="Y231">
        <v>14.142353545478596</v>
      </c>
    </row>
    <row r="232" spans="1:25" x14ac:dyDescent="0.35">
      <c r="A232" s="1">
        <v>43219</v>
      </c>
      <c r="B232">
        <v>8.4</v>
      </c>
      <c r="C232">
        <v>7.5</v>
      </c>
      <c r="D232">
        <v>9.8000000000000007</v>
      </c>
      <c r="E232">
        <v>2110.2000000000003</v>
      </c>
      <c r="H232">
        <v>18.600000000000001</v>
      </c>
      <c r="J232">
        <v>0.7</v>
      </c>
      <c r="L232">
        <v>17.900000000000002</v>
      </c>
      <c r="N232">
        <v>231</v>
      </c>
      <c r="O232">
        <v>1.1499999999999999</v>
      </c>
      <c r="P232">
        <v>0.80499999999999994</v>
      </c>
      <c r="Q232">
        <v>17.795000000000002</v>
      </c>
      <c r="R232">
        <v>166.82</v>
      </c>
      <c r="T232">
        <v>399.4</v>
      </c>
      <c r="V232">
        <v>2535.7000000000003</v>
      </c>
      <c r="Y232">
        <v>14.195420284319432</v>
      </c>
    </row>
    <row r="233" spans="1:25" x14ac:dyDescent="0.35">
      <c r="A233" s="1">
        <v>43220</v>
      </c>
      <c r="B233">
        <v>7.6</v>
      </c>
      <c r="C233">
        <v>6.6</v>
      </c>
      <c r="D233">
        <v>9</v>
      </c>
      <c r="E233">
        <v>2117.8000000000002</v>
      </c>
      <c r="H233">
        <v>0.9</v>
      </c>
      <c r="J233">
        <v>1.2</v>
      </c>
      <c r="L233">
        <v>-0.29999999999999993</v>
      </c>
      <c r="N233">
        <v>232</v>
      </c>
      <c r="O233">
        <v>1.1499999999999999</v>
      </c>
      <c r="P233">
        <v>1.38</v>
      </c>
      <c r="Q233">
        <v>-0.47999999999999987</v>
      </c>
      <c r="R233">
        <v>166.34</v>
      </c>
      <c r="T233">
        <v>749.7</v>
      </c>
      <c r="V233">
        <v>3285.4000000000005</v>
      </c>
      <c r="Y233">
        <v>14.248047771648402</v>
      </c>
    </row>
    <row r="234" spans="1:25" x14ac:dyDescent="0.35">
      <c r="A234" s="1">
        <v>43221</v>
      </c>
      <c r="B234">
        <v>8.8000000000000007</v>
      </c>
      <c r="C234">
        <v>4.3</v>
      </c>
      <c r="D234">
        <v>12.9</v>
      </c>
      <c r="E234">
        <v>2126.6000000000004</v>
      </c>
      <c r="H234">
        <v>0.8</v>
      </c>
      <c r="J234">
        <v>1.5</v>
      </c>
      <c r="L234">
        <v>-0.7</v>
      </c>
      <c r="N234">
        <v>233</v>
      </c>
      <c r="O234">
        <v>1.1499999999999999</v>
      </c>
      <c r="P234">
        <v>1.7249999999999999</v>
      </c>
      <c r="Q234">
        <v>-0.92499999999999982</v>
      </c>
      <c r="R234">
        <v>165.41499999999999</v>
      </c>
      <c r="T234">
        <v>1124.3</v>
      </c>
      <c r="V234">
        <v>4409.7000000000007</v>
      </c>
      <c r="Y234">
        <v>14.300217966574223</v>
      </c>
    </row>
    <row r="235" spans="1:25" x14ac:dyDescent="0.35">
      <c r="A235" s="1">
        <v>43222</v>
      </c>
      <c r="B235">
        <v>9</v>
      </c>
      <c r="C235">
        <v>7.8</v>
      </c>
      <c r="D235">
        <v>11</v>
      </c>
      <c r="E235">
        <v>2135.6000000000004</v>
      </c>
      <c r="H235">
        <v>3.8</v>
      </c>
      <c r="J235">
        <v>0.9</v>
      </c>
      <c r="L235">
        <v>2.9</v>
      </c>
      <c r="N235">
        <v>234</v>
      </c>
      <c r="O235">
        <v>1.1499999999999999</v>
      </c>
      <c r="P235">
        <v>1.0349999999999999</v>
      </c>
      <c r="Q235">
        <v>2.7649999999999997</v>
      </c>
      <c r="R235">
        <v>168.17999999999998</v>
      </c>
      <c r="T235">
        <v>572.6</v>
      </c>
      <c r="V235">
        <v>4982.3000000000011</v>
      </c>
      <c r="Y235">
        <v>14.351912411273677</v>
      </c>
    </row>
    <row r="236" spans="1:25" x14ac:dyDescent="0.35">
      <c r="A236" s="1">
        <v>43223</v>
      </c>
      <c r="B236">
        <v>9.6</v>
      </c>
      <c r="C236">
        <v>5.2</v>
      </c>
      <c r="D236">
        <v>14.1</v>
      </c>
      <c r="E236">
        <v>2145.2000000000003</v>
      </c>
      <c r="H236">
        <v>0</v>
      </c>
      <c r="J236">
        <v>2.6</v>
      </c>
      <c r="L236">
        <v>-2.6</v>
      </c>
      <c r="N236">
        <v>235</v>
      </c>
      <c r="O236">
        <v>1.1499999999999999</v>
      </c>
      <c r="P236">
        <v>2.9899999999999998</v>
      </c>
      <c r="Q236">
        <v>-2.9899999999999998</v>
      </c>
      <c r="R236">
        <v>165.18999999999997</v>
      </c>
      <c r="T236">
        <v>1928</v>
      </c>
      <c r="V236">
        <v>6910.3000000000011</v>
      </c>
      <c r="Y236">
        <v>14.403112234051477</v>
      </c>
    </row>
    <row r="237" spans="1:25" x14ac:dyDescent="0.35">
      <c r="A237" s="1">
        <v>43224</v>
      </c>
      <c r="B237">
        <v>11.3</v>
      </c>
      <c r="C237">
        <v>5.7</v>
      </c>
      <c r="D237">
        <v>16.600000000000001</v>
      </c>
      <c r="E237">
        <v>2156.5000000000005</v>
      </c>
      <c r="H237">
        <v>0</v>
      </c>
      <c r="J237">
        <v>3.8</v>
      </c>
      <c r="L237">
        <v>-3.8</v>
      </c>
      <c r="N237">
        <v>236</v>
      </c>
      <c r="O237">
        <v>1.1499999999999999</v>
      </c>
      <c r="P237">
        <v>4.3699999999999992</v>
      </c>
      <c r="Q237">
        <v>-4.3699999999999992</v>
      </c>
      <c r="R237">
        <v>160.81999999999996</v>
      </c>
      <c r="T237">
        <v>2586.9</v>
      </c>
      <c r="V237">
        <v>9497.2000000000007</v>
      </c>
      <c r="Y237">
        <v>14.453798153830791</v>
      </c>
    </row>
    <row r="238" spans="1:25" x14ac:dyDescent="0.35">
      <c r="A238" s="1">
        <v>43225</v>
      </c>
      <c r="B238">
        <v>14.6</v>
      </c>
      <c r="C238">
        <v>7.5</v>
      </c>
      <c r="D238">
        <v>20.6</v>
      </c>
      <c r="E238">
        <v>2171.1000000000004</v>
      </c>
      <c r="H238">
        <v>0</v>
      </c>
      <c r="J238">
        <v>4.5</v>
      </c>
      <c r="L238">
        <v>-4.5</v>
      </c>
      <c r="N238">
        <v>237</v>
      </c>
      <c r="O238">
        <v>1.1499999999999999</v>
      </c>
      <c r="P238">
        <v>5.1749999999999998</v>
      </c>
      <c r="Q238">
        <v>-5.1749999999999998</v>
      </c>
      <c r="R238">
        <v>155.64499999999995</v>
      </c>
      <c r="T238">
        <v>2820.7</v>
      </c>
      <c r="V238">
        <v>12317.900000000001</v>
      </c>
      <c r="Y238">
        <v>14.503950486144806</v>
      </c>
    </row>
    <row r="239" spans="1:25" x14ac:dyDescent="0.35">
      <c r="A239" s="1">
        <v>43226</v>
      </c>
      <c r="B239">
        <v>17.8</v>
      </c>
      <c r="C239">
        <v>10.3</v>
      </c>
      <c r="D239">
        <v>24.3</v>
      </c>
      <c r="E239">
        <v>2188.9000000000005</v>
      </c>
      <c r="H239">
        <v>0</v>
      </c>
      <c r="J239">
        <v>4.2</v>
      </c>
      <c r="L239">
        <v>-4.2</v>
      </c>
      <c r="N239">
        <v>238</v>
      </c>
      <c r="O239">
        <v>1.1499999999999999</v>
      </c>
      <c r="P239">
        <v>4.83</v>
      </c>
      <c r="Q239">
        <v>-4.83</v>
      </c>
      <c r="R239">
        <v>150.81499999999994</v>
      </c>
      <c r="T239">
        <v>2475.6</v>
      </c>
      <c r="V239">
        <v>14793.500000000002</v>
      </c>
      <c r="Y239">
        <v>14.553549150699121</v>
      </c>
    </row>
    <row r="240" spans="1:25" x14ac:dyDescent="0.35">
      <c r="A240" s="1">
        <v>43227</v>
      </c>
      <c r="B240">
        <v>19.8</v>
      </c>
      <c r="C240">
        <v>13.4</v>
      </c>
      <c r="D240">
        <v>26.3</v>
      </c>
      <c r="E240">
        <v>2208.7000000000007</v>
      </c>
      <c r="H240">
        <v>0</v>
      </c>
      <c r="J240">
        <v>4.4000000000000004</v>
      </c>
      <c r="L240">
        <v>-4.4000000000000004</v>
      </c>
      <c r="N240">
        <v>239</v>
      </c>
      <c r="O240">
        <v>1.1499999999999999</v>
      </c>
      <c r="P240">
        <v>5.0599999999999996</v>
      </c>
      <c r="Q240">
        <v>-5.0599999999999996</v>
      </c>
      <c r="R240">
        <v>145.75499999999994</v>
      </c>
      <c r="T240">
        <v>2345.6</v>
      </c>
      <c r="V240">
        <v>17139.100000000002</v>
      </c>
      <c r="Y240">
        <v>14.602573680573725</v>
      </c>
    </row>
    <row r="241" spans="1:25" x14ac:dyDescent="0.35">
      <c r="A241" s="1">
        <v>43228</v>
      </c>
      <c r="B241">
        <v>14.5</v>
      </c>
      <c r="C241">
        <v>13.1</v>
      </c>
      <c r="D241">
        <v>18.8</v>
      </c>
      <c r="E241">
        <v>2223.2000000000007</v>
      </c>
      <c r="H241">
        <v>0</v>
      </c>
      <c r="J241">
        <v>3.7</v>
      </c>
      <c r="L241">
        <v>-3.7</v>
      </c>
      <c r="N241">
        <v>240</v>
      </c>
      <c r="O241">
        <v>1.1499999999999999</v>
      </c>
      <c r="P241">
        <v>4.2549999999999999</v>
      </c>
      <c r="Q241">
        <v>-4.2549999999999999</v>
      </c>
      <c r="R241">
        <v>141.49999999999994</v>
      </c>
      <c r="T241">
        <v>2113.3000000000002</v>
      </c>
      <c r="V241">
        <v>19252.400000000001</v>
      </c>
      <c r="Y241">
        <v>14.651003233131604</v>
      </c>
    </row>
    <row r="242" spans="1:25" x14ac:dyDescent="0.35">
      <c r="A242" s="1">
        <v>43229</v>
      </c>
      <c r="B242">
        <v>12.9</v>
      </c>
      <c r="C242">
        <v>9</v>
      </c>
      <c r="D242">
        <v>16.8</v>
      </c>
      <c r="E242">
        <v>2236.1000000000008</v>
      </c>
      <c r="H242">
        <v>0</v>
      </c>
      <c r="J242">
        <v>3.3</v>
      </c>
      <c r="L242">
        <v>-3.3</v>
      </c>
      <c r="N242">
        <v>241</v>
      </c>
      <c r="O242">
        <v>1.1499999999999999</v>
      </c>
      <c r="P242">
        <v>3.7949999999999995</v>
      </c>
      <c r="Q242">
        <v>-3.7949999999999995</v>
      </c>
      <c r="R242">
        <v>137.70499999999996</v>
      </c>
      <c r="T242">
        <v>2154.5</v>
      </c>
      <c r="V242">
        <v>21406.9</v>
      </c>
      <c r="Y242">
        <v>14.69881660269875</v>
      </c>
    </row>
    <row r="243" spans="1:25" x14ac:dyDescent="0.35">
      <c r="A243" s="1">
        <v>43230</v>
      </c>
      <c r="B243">
        <v>11.7</v>
      </c>
      <c r="C243">
        <v>9</v>
      </c>
      <c r="D243">
        <v>14.9</v>
      </c>
      <c r="E243">
        <v>2247.8000000000006</v>
      </c>
      <c r="H243">
        <v>0</v>
      </c>
      <c r="J243">
        <v>3</v>
      </c>
      <c r="L243">
        <v>-3</v>
      </c>
      <c r="N243">
        <v>242</v>
      </c>
      <c r="O243">
        <v>1.1499999999999999</v>
      </c>
      <c r="P243">
        <v>3.4499999999999997</v>
      </c>
      <c r="Q243">
        <v>-3.4499999999999997</v>
      </c>
      <c r="R243">
        <v>134.25499999999997</v>
      </c>
      <c r="T243">
        <v>1892.7</v>
      </c>
      <c r="V243">
        <v>23299.600000000002</v>
      </c>
      <c r="Y243">
        <v>14.74599223507734</v>
      </c>
    </row>
    <row r="244" spans="1:25" x14ac:dyDescent="0.35">
      <c r="A244" s="1">
        <v>43231</v>
      </c>
      <c r="B244">
        <v>13</v>
      </c>
      <c r="C244">
        <v>6.4</v>
      </c>
      <c r="D244">
        <v>19</v>
      </c>
      <c r="E244">
        <v>2260.8000000000006</v>
      </c>
      <c r="H244">
        <v>0.5</v>
      </c>
      <c r="J244">
        <v>2.5</v>
      </c>
      <c r="L244">
        <v>-2</v>
      </c>
      <c r="N244">
        <v>243</v>
      </c>
      <c r="O244">
        <v>1.1499999999999999</v>
      </c>
      <c r="P244">
        <v>2.875</v>
      </c>
      <c r="Q244">
        <v>-2.375</v>
      </c>
      <c r="R244">
        <v>131.87999999999997</v>
      </c>
      <c r="T244">
        <v>1462.7</v>
      </c>
      <c r="V244">
        <v>24762.300000000003</v>
      </c>
      <c r="Y244">
        <v>14.792508243950039</v>
      </c>
    </row>
    <row r="245" spans="1:25" x14ac:dyDescent="0.35">
      <c r="A245" s="1">
        <v>43232</v>
      </c>
      <c r="B245">
        <v>10.3</v>
      </c>
      <c r="C245">
        <v>10.3</v>
      </c>
      <c r="D245">
        <v>12.4</v>
      </c>
      <c r="E245">
        <v>2271.1000000000008</v>
      </c>
      <c r="H245">
        <v>0.7</v>
      </c>
      <c r="J245">
        <v>2.2000000000000002</v>
      </c>
      <c r="L245">
        <v>-1.5000000000000002</v>
      </c>
      <c r="N245">
        <v>244</v>
      </c>
      <c r="O245">
        <v>1.1499999999999999</v>
      </c>
      <c r="P245">
        <v>2.5299999999999998</v>
      </c>
      <c r="Q245">
        <v>-1.8299999999999998</v>
      </c>
      <c r="R245">
        <v>130.04999999999995</v>
      </c>
      <c r="T245">
        <v>1636.1</v>
      </c>
      <c r="V245">
        <v>26398.400000000001</v>
      </c>
      <c r="Y245">
        <v>14.838342429228982</v>
      </c>
    </row>
    <row r="246" spans="1:25" x14ac:dyDescent="0.35">
      <c r="A246" s="1">
        <v>43233</v>
      </c>
      <c r="B246">
        <v>9.5</v>
      </c>
      <c r="C246">
        <v>5.3</v>
      </c>
      <c r="D246">
        <v>13.4</v>
      </c>
      <c r="E246">
        <v>2280.6000000000008</v>
      </c>
      <c r="H246">
        <v>0.1</v>
      </c>
      <c r="J246">
        <v>2.4</v>
      </c>
      <c r="L246">
        <v>-2.2999999999999998</v>
      </c>
      <c r="N246">
        <v>245</v>
      </c>
      <c r="O246">
        <v>1.1499999999999999</v>
      </c>
      <c r="P246">
        <v>2.76</v>
      </c>
      <c r="Q246">
        <v>-2.6599999999999997</v>
      </c>
      <c r="R246">
        <v>127.38999999999996</v>
      </c>
      <c r="T246">
        <v>1810.7</v>
      </c>
      <c r="V246">
        <v>28209.100000000002</v>
      </c>
      <c r="Y246">
        <v>14.883472297397407</v>
      </c>
    </row>
    <row r="247" spans="1:25" x14ac:dyDescent="0.35">
      <c r="A247" s="1">
        <v>43234</v>
      </c>
      <c r="B247">
        <v>12.3</v>
      </c>
      <c r="C247">
        <v>6.5</v>
      </c>
      <c r="D247">
        <v>17.2</v>
      </c>
      <c r="E247">
        <v>2292.900000000001</v>
      </c>
      <c r="H247">
        <v>0</v>
      </c>
      <c r="J247">
        <v>3.7</v>
      </c>
      <c r="L247">
        <v>-3.7</v>
      </c>
      <c r="N247">
        <v>246</v>
      </c>
      <c r="O247">
        <v>1.1499999999999999</v>
      </c>
      <c r="P247">
        <v>4.2549999999999999</v>
      </c>
      <c r="Q247">
        <v>-4.2549999999999999</v>
      </c>
      <c r="R247">
        <v>123.13499999999996</v>
      </c>
      <c r="T247">
        <v>2489.3000000000002</v>
      </c>
      <c r="V247">
        <v>30698.400000000001</v>
      </c>
      <c r="Y247">
        <v>14.927875083885819</v>
      </c>
    </row>
    <row r="248" spans="1:25" x14ac:dyDescent="0.35">
      <c r="A248" s="1">
        <v>43235</v>
      </c>
      <c r="B248">
        <v>14.3</v>
      </c>
      <c r="C248">
        <v>9.8000000000000007</v>
      </c>
      <c r="D248">
        <v>19.100000000000001</v>
      </c>
      <c r="E248">
        <v>2307.2000000000012</v>
      </c>
      <c r="H248">
        <v>0</v>
      </c>
      <c r="J248">
        <v>4.0999999999999996</v>
      </c>
      <c r="L248">
        <v>-4.0999999999999996</v>
      </c>
      <c r="N248">
        <v>247</v>
      </c>
      <c r="O248">
        <v>1.1499999999999999</v>
      </c>
      <c r="P248">
        <v>4.714999999999999</v>
      </c>
      <c r="Q248">
        <v>-4.714999999999999</v>
      </c>
      <c r="R248">
        <v>118.41999999999996</v>
      </c>
      <c r="T248">
        <v>2408.4</v>
      </c>
      <c r="V248">
        <v>33106.800000000003</v>
      </c>
      <c r="Y248">
        <v>14.97152777751722</v>
      </c>
    </row>
    <row r="249" spans="1:25" x14ac:dyDescent="0.35">
      <c r="A249" s="1">
        <v>43236</v>
      </c>
      <c r="B249">
        <v>15</v>
      </c>
      <c r="C249">
        <v>9.9</v>
      </c>
      <c r="D249">
        <v>21.2</v>
      </c>
      <c r="E249">
        <v>2322.2000000000012</v>
      </c>
      <c r="H249">
        <v>0</v>
      </c>
      <c r="J249">
        <v>4.0999999999999996</v>
      </c>
      <c r="L249">
        <v>-4.0999999999999996</v>
      </c>
      <c r="N249">
        <v>248</v>
      </c>
      <c r="O249">
        <v>1.1499999999999999</v>
      </c>
      <c r="P249">
        <v>4.714999999999999</v>
      </c>
      <c r="Q249">
        <v>-4.714999999999999</v>
      </c>
      <c r="R249">
        <v>113.70499999999996</v>
      </c>
      <c r="T249">
        <v>2119.1999999999998</v>
      </c>
      <c r="V249">
        <v>35226</v>
      </c>
      <c r="Y249">
        <v>15.014407147047871</v>
      </c>
    </row>
    <row r="250" spans="1:25" x14ac:dyDescent="0.35">
      <c r="A250" s="1">
        <v>43237</v>
      </c>
      <c r="B250">
        <v>14.9</v>
      </c>
      <c r="C250">
        <v>10.1</v>
      </c>
      <c r="D250">
        <v>19.899999999999999</v>
      </c>
      <c r="E250">
        <v>2337.1000000000013</v>
      </c>
      <c r="H250">
        <v>0</v>
      </c>
      <c r="J250">
        <v>4.8</v>
      </c>
      <c r="L250">
        <v>-4.8</v>
      </c>
      <c r="N250">
        <v>249</v>
      </c>
      <c r="O250">
        <v>1.1499999999999999</v>
      </c>
      <c r="P250">
        <v>5.52</v>
      </c>
      <c r="Q250">
        <v>-5.52</v>
      </c>
      <c r="R250">
        <v>108.18499999999996</v>
      </c>
      <c r="T250">
        <v>2962.2</v>
      </c>
      <c r="V250">
        <v>38188.199999999997</v>
      </c>
      <c r="Y250">
        <v>15.056489769820892</v>
      </c>
    </row>
    <row r="251" spans="1:25" x14ac:dyDescent="0.35">
      <c r="A251" s="1">
        <v>43238</v>
      </c>
      <c r="B251">
        <v>13.5</v>
      </c>
      <c r="C251">
        <v>9.1</v>
      </c>
      <c r="D251">
        <v>18.8</v>
      </c>
      <c r="E251">
        <v>2350.6000000000013</v>
      </c>
      <c r="H251">
        <v>0</v>
      </c>
      <c r="J251">
        <v>5</v>
      </c>
      <c r="L251">
        <v>-5</v>
      </c>
      <c r="N251">
        <v>250</v>
      </c>
      <c r="O251">
        <v>1.1499999999999999</v>
      </c>
      <c r="P251">
        <v>5.75</v>
      </c>
      <c r="Q251">
        <v>-5.75</v>
      </c>
      <c r="R251">
        <v>102.43499999999996</v>
      </c>
      <c r="T251">
        <v>2911.1</v>
      </c>
      <c r="V251">
        <v>41099.299999999996</v>
      </c>
      <c r="Y251">
        <v>15.097752062539845</v>
      </c>
    </row>
    <row r="252" spans="1:25" x14ac:dyDescent="0.35">
      <c r="A252" s="1">
        <v>43239</v>
      </c>
      <c r="B252">
        <v>13.7</v>
      </c>
      <c r="C252">
        <v>7.9</v>
      </c>
      <c r="D252">
        <v>19</v>
      </c>
      <c r="E252">
        <v>2364.3000000000011</v>
      </c>
      <c r="H252">
        <v>0</v>
      </c>
      <c r="J252">
        <v>4.8</v>
      </c>
      <c r="L252">
        <v>-4.8</v>
      </c>
      <c r="N252">
        <v>251</v>
      </c>
      <c r="O252">
        <v>1.1499999999999999</v>
      </c>
      <c r="P252">
        <v>5.52</v>
      </c>
      <c r="Q252">
        <v>-5.52</v>
      </c>
      <c r="R252">
        <v>96.914999999999964</v>
      </c>
      <c r="T252">
        <v>3054.4</v>
      </c>
      <c r="V252">
        <v>44153.7</v>
      </c>
      <c r="Y252">
        <v>15.138170314158373</v>
      </c>
    </row>
    <row r="253" spans="1:25" x14ac:dyDescent="0.35">
      <c r="A253" s="1">
        <v>43240</v>
      </c>
      <c r="B253">
        <v>15.4</v>
      </c>
      <c r="C253">
        <v>9.1999999999999993</v>
      </c>
      <c r="D253">
        <v>21.1</v>
      </c>
      <c r="E253">
        <v>2379.7000000000012</v>
      </c>
      <c r="H253">
        <v>0</v>
      </c>
      <c r="J253">
        <v>5</v>
      </c>
      <c r="L253">
        <v>-5</v>
      </c>
      <c r="N253">
        <v>252</v>
      </c>
      <c r="O253">
        <v>1.1499999999999999</v>
      </c>
      <c r="P253">
        <v>5.75</v>
      </c>
      <c r="Q253">
        <v>-5.75</v>
      </c>
      <c r="R253">
        <v>91.164999999999964</v>
      </c>
      <c r="T253">
        <v>2965</v>
      </c>
      <c r="V253">
        <v>47118.7</v>
      </c>
      <c r="Y253">
        <v>15.177720720869829</v>
      </c>
    </row>
    <row r="254" spans="1:25" x14ac:dyDescent="0.35">
      <c r="A254" s="1">
        <v>43241</v>
      </c>
      <c r="B254">
        <v>17.3</v>
      </c>
      <c r="C254">
        <v>11.5</v>
      </c>
      <c r="D254">
        <v>23.4</v>
      </c>
      <c r="E254">
        <v>2397.0000000000014</v>
      </c>
      <c r="H254">
        <v>0</v>
      </c>
      <c r="J254">
        <v>3.5</v>
      </c>
      <c r="L254">
        <v>-3.5</v>
      </c>
      <c r="N254">
        <v>253</v>
      </c>
      <c r="O254">
        <v>1.1499999999999999</v>
      </c>
      <c r="P254">
        <v>4.0249999999999995</v>
      </c>
      <c r="Q254">
        <v>-4.0249999999999995</v>
      </c>
      <c r="R254">
        <v>87.139999999999958</v>
      </c>
      <c r="T254">
        <v>1615.3</v>
      </c>
      <c r="V254">
        <v>48734</v>
      </c>
      <c r="Y254">
        <v>15.216379423167773</v>
      </c>
    </row>
    <row r="255" spans="1:25" x14ac:dyDescent="0.35">
      <c r="A255" s="1">
        <v>43242</v>
      </c>
      <c r="B255">
        <v>17.100000000000001</v>
      </c>
      <c r="C255">
        <v>12.3</v>
      </c>
      <c r="D255">
        <v>22.4</v>
      </c>
      <c r="E255">
        <v>2414.1000000000013</v>
      </c>
      <c r="H255">
        <v>0</v>
      </c>
      <c r="J255">
        <v>4.3</v>
      </c>
      <c r="L255">
        <v>-4.3</v>
      </c>
      <c r="N255">
        <v>254</v>
      </c>
      <c r="O255">
        <v>1.133673469387755</v>
      </c>
      <c r="P255">
        <v>4.8747959183673464</v>
      </c>
      <c r="Q255">
        <v>-4.8747959183673464</v>
      </c>
      <c r="R255">
        <v>82.265204081632618</v>
      </c>
      <c r="T255">
        <v>2247</v>
      </c>
      <c r="V255">
        <v>2247</v>
      </c>
      <c r="Y255">
        <v>15.254122544934269</v>
      </c>
    </row>
    <row r="256" spans="1:25" x14ac:dyDescent="0.35">
      <c r="A256" s="1">
        <v>43243</v>
      </c>
      <c r="B256">
        <v>16.7</v>
      </c>
      <c r="C256">
        <v>12.9</v>
      </c>
      <c r="D256">
        <v>22</v>
      </c>
      <c r="E256">
        <v>2430.8000000000011</v>
      </c>
      <c r="H256">
        <v>0</v>
      </c>
      <c r="J256">
        <v>4.2</v>
      </c>
      <c r="L256">
        <v>-4.2</v>
      </c>
      <c r="N256">
        <v>255</v>
      </c>
      <c r="O256">
        <v>1.1173469387755102</v>
      </c>
      <c r="P256">
        <v>4.6928571428571431</v>
      </c>
      <c r="Q256">
        <v>-4.6928571428571431</v>
      </c>
      <c r="R256">
        <v>77.572346938775468</v>
      </c>
      <c r="T256">
        <v>2153.1</v>
      </c>
      <c r="V256">
        <v>4400.1000000000004</v>
      </c>
      <c r="Y256">
        <v>15.290926234498</v>
      </c>
    </row>
    <row r="257" spans="1:25" x14ac:dyDescent="0.35">
      <c r="A257" s="1">
        <v>43244</v>
      </c>
      <c r="B257">
        <v>16.100000000000001</v>
      </c>
      <c r="C257">
        <v>11.9</v>
      </c>
      <c r="D257">
        <v>21.7</v>
      </c>
      <c r="E257">
        <v>2446.900000000001</v>
      </c>
      <c r="H257">
        <v>1</v>
      </c>
      <c r="J257">
        <v>3.3</v>
      </c>
      <c r="L257">
        <v>-2.2999999999999998</v>
      </c>
      <c r="N257">
        <v>256</v>
      </c>
      <c r="O257">
        <v>1.1010204081632653</v>
      </c>
      <c r="P257">
        <v>3.6333673469387753</v>
      </c>
      <c r="Q257">
        <v>-2.6333673469387753</v>
      </c>
      <c r="R257">
        <v>74.938979591836699</v>
      </c>
      <c r="T257">
        <v>1619.2</v>
      </c>
      <c r="V257">
        <v>6019.3</v>
      </c>
      <c r="Y257">
        <v>15.326766707588753</v>
      </c>
    </row>
    <row r="258" spans="1:25" x14ac:dyDescent="0.35">
      <c r="A258" s="1">
        <v>43245</v>
      </c>
      <c r="B258">
        <v>16.8</v>
      </c>
      <c r="C258">
        <v>12.3</v>
      </c>
      <c r="D258">
        <v>21.9</v>
      </c>
      <c r="E258">
        <v>2463.7000000000012</v>
      </c>
      <c r="H258">
        <v>3</v>
      </c>
      <c r="J258">
        <v>3.9</v>
      </c>
      <c r="L258">
        <v>-0.89999999999999991</v>
      </c>
      <c r="N258">
        <v>257</v>
      </c>
      <c r="O258">
        <v>1.0846938775510204</v>
      </c>
      <c r="P258">
        <v>4.2303061224489795</v>
      </c>
      <c r="Q258">
        <v>-1.2303061224489795</v>
      </c>
      <c r="R258">
        <v>73.708673469387719</v>
      </c>
      <c r="T258">
        <v>2115.8000000000002</v>
      </c>
      <c r="V258">
        <v>8135.1</v>
      </c>
      <c r="Y258">
        <v>15.361620292098312</v>
      </c>
    </row>
    <row r="259" spans="1:25" x14ac:dyDescent="0.35">
      <c r="A259" s="1">
        <v>43246</v>
      </c>
      <c r="B259">
        <v>18.7</v>
      </c>
      <c r="C259">
        <v>14.4</v>
      </c>
      <c r="D259">
        <v>23</v>
      </c>
      <c r="E259">
        <v>2482.400000000001</v>
      </c>
      <c r="H259">
        <v>1.3</v>
      </c>
      <c r="J259">
        <v>2.2999999999999998</v>
      </c>
      <c r="L259">
        <v>-0.99999999999999978</v>
      </c>
      <c r="N259">
        <v>258</v>
      </c>
      <c r="O259">
        <v>1.0683673469387753</v>
      </c>
      <c r="P259">
        <v>2.4572448979591832</v>
      </c>
      <c r="Q259">
        <v>-1.1572448979591832</v>
      </c>
      <c r="R259">
        <v>72.551428571428531</v>
      </c>
      <c r="T259">
        <v>1074.8</v>
      </c>
      <c r="V259">
        <v>9209.9</v>
      </c>
      <c r="Y259">
        <v>15.395463474541168</v>
      </c>
    </row>
    <row r="260" spans="1:25" x14ac:dyDescent="0.35">
      <c r="A260" s="1">
        <v>43247</v>
      </c>
      <c r="B260">
        <v>19.3</v>
      </c>
      <c r="C260">
        <v>15.5</v>
      </c>
      <c r="D260">
        <v>23.2</v>
      </c>
      <c r="E260">
        <v>2501.7000000000012</v>
      </c>
      <c r="H260">
        <v>0</v>
      </c>
      <c r="J260">
        <v>3.3</v>
      </c>
      <c r="L260">
        <v>-3.3</v>
      </c>
      <c r="N260">
        <v>259</v>
      </c>
      <c r="O260">
        <v>1.0520408163265305</v>
      </c>
      <c r="P260">
        <v>3.4717346938775502</v>
      </c>
      <c r="Q260">
        <v>-3.4717346938775502</v>
      </c>
      <c r="R260">
        <v>69.07969387755098</v>
      </c>
      <c r="T260">
        <v>1595.7</v>
      </c>
      <c r="V260">
        <v>10805.6</v>
      </c>
      <c r="Y260">
        <v>15.428272948090985</v>
      </c>
    </row>
    <row r="261" spans="1:25" x14ac:dyDescent="0.35">
      <c r="A261" s="1">
        <v>43248</v>
      </c>
      <c r="B261">
        <v>19.100000000000001</v>
      </c>
      <c r="C261">
        <v>13.7</v>
      </c>
      <c r="D261">
        <v>25.5</v>
      </c>
      <c r="E261">
        <v>2520.8000000000011</v>
      </c>
      <c r="H261">
        <v>7.9</v>
      </c>
      <c r="J261">
        <v>3.1</v>
      </c>
      <c r="L261">
        <v>4.8000000000000007</v>
      </c>
      <c r="N261">
        <v>260</v>
      </c>
      <c r="O261">
        <v>1.0357142857142856</v>
      </c>
      <c r="P261">
        <v>3.2107142857142854</v>
      </c>
      <c r="Q261">
        <v>4.6892857142857149</v>
      </c>
      <c r="R261">
        <v>73.768979591836697</v>
      </c>
      <c r="T261">
        <v>1432.4</v>
      </c>
      <c r="V261">
        <v>12238</v>
      </c>
      <c r="Y261">
        <v>15.460025662051269</v>
      </c>
    </row>
    <row r="262" spans="1:25" x14ac:dyDescent="0.35">
      <c r="A262" s="1">
        <v>43249</v>
      </c>
      <c r="B262">
        <v>19.3</v>
      </c>
      <c r="C262">
        <v>16.899999999999999</v>
      </c>
      <c r="D262">
        <v>21.9</v>
      </c>
      <c r="E262">
        <v>2540.1000000000013</v>
      </c>
      <c r="H262">
        <v>2</v>
      </c>
      <c r="J262">
        <v>2.6</v>
      </c>
      <c r="L262">
        <v>-0.60000000000000009</v>
      </c>
      <c r="N262">
        <v>261</v>
      </c>
      <c r="O262">
        <v>1.0193877551020407</v>
      </c>
      <c r="P262">
        <v>2.6504081632653058</v>
      </c>
      <c r="Q262">
        <v>-0.65040816326530582</v>
      </c>
      <c r="R262">
        <v>73.118571428571386</v>
      </c>
      <c r="T262">
        <v>1256.5</v>
      </c>
      <c r="V262">
        <v>13494.5</v>
      </c>
      <c r="Y262">
        <v>15.490698872601032</v>
      </c>
    </row>
    <row r="263" spans="1:25" x14ac:dyDescent="0.35">
      <c r="A263" s="1">
        <v>43250</v>
      </c>
      <c r="B263">
        <v>18.3</v>
      </c>
      <c r="C263">
        <v>16.600000000000001</v>
      </c>
      <c r="D263">
        <v>20.5</v>
      </c>
      <c r="E263">
        <v>2558.4000000000015</v>
      </c>
      <c r="H263">
        <v>0</v>
      </c>
      <c r="J263">
        <v>2.2999999999999998</v>
      </c>
      <c r="L263">
        <v>-2.2999999999999998</v>
      </c>
      <c r="N263">
        <v>262</v>
      </c>
      <c r="O263">
        <v>1.0030612244897958</v>
      </c>
      <c r="P263">
        <v>2.3070408163265301</v>
      </c>
      <c r="Q263">
        <v>-2.3070408163265301</v>
      </c>
      <c r="R263">
        <v>70.811530612244852</v>
      </c>
      <c r="T263">
        <v>1158.8</v>
      </c>
      <c r="V263">
        <v>14653.3</v>
      </c>
      <c r="Y263">
        <v>15.520270194638618</v>
      </c>
    </row>
    <row r="264" spans="1:25" x14ac:dyDescent="0.35">
      <c r="A264" s="1">
        <v>43251</v>
      </c>
      <c r="B264">
        <v>16.7</v>
      </c>
      <c r="C264">
        <v>14.5</v>
      </c>
      <c r="D264">
        <v>18.7</v>
      </c>
      <c r="E264">
        <v>2575.1000000000013</v>
      </c>
      <c r="H264">
        <v>4</v>
      </c>
      <c r="J264">
        <v>1.3</v>
      </c>
      <c r="L264">
        <v>2.7</v>
      </c>
      <c r="N264">
        <v>263</v>
      </c>
      <c r="O264">
        <v>0.98673469387755097</v>
      </c>
      <c r="P264">
        <v>1.2827551020408163</v>
      </c>
      <c r="Q264">
        <v>2.7172448979591834</v>
      </c>
      <c r="R264">
        <v>73.528775510204042</v>
      </c>
      <c r="T264">
        <v>798.3</v>
      </c>
      <c r="V264">
        <v>15451.599999999999</v>
      </c>
      <c r="Y264">
        <v>15.548717654529707</v>
      </c>
    </row>
    <row r="265" spans="1:25" x14ac:dyDescent="0.35">
      <c r="A265" s="1">
        <v>43252</v>
      </c>
      <c r="B265">
        <v>17.8</v>
      </c>
      <c r="C265">
        <v>15.2</v>
      </c>
      <c r="D265">
        <v>22.1</v>
      </c>
      <c r="E265">
        <v>2592.9000000000015</v>
      </c>
      <c r="H265">
        <v>0</v>
      </c>
      <c r="J265">
        <v>1.9</v>
      </c>
      <c r="L265">
        <v>-1.9</v>
      </c>
      <c r="N265">
        <v>264</v>
      </c>
      <c r="O265">
        <v>0.9704081632653061</v>
      </c>
      <c r="P265">
        <v>1.8437755102040816</v>
      </c>
      <c r="Q265">
        <v>-1.8437755102040816</v>
      </c>
      <c r="R265">
        <v>71.68499999999996</v>
      </c>
      <c r="T265">
        <v>821.1</v>
      </c>
      <c r="V265">
        <v>16272.699999999999</v>
      </c>
      <c r="Y265">
        <v>15.57601974354869</v>
      </c>
    </row>
    <row r="266" spans="1:25" x14ac:dyDescent="0.35">
      <c r="A266" s="1">
        <v>43253</v>
      </c>
      <c r="B266">
        <v>18.7</v>
      </c>
      <c r="C266">
        <v>13.3</v>
      </c>
      <c r="D266">
        <v>22.9</v>
      </c>
      <c r="E266">
        <v>2611.6000000000013</v>
      </c>
      <c r="H266">
        <v>0.1</v>
      </c>
      <c r="J266">
        <v>2.5</v>
      </c>
      <c r="L266">
        <v>-2.4</v>
      </c>
      <c r="N266">
        <v>265</v>
      </c>
      <c r="O266">
        <v>0.95408163265306112</v>
      </c>
      <c r="P266">
        <v>2.385204081632653</v>
      </c>
      <c r="Q266">
        <v>-2.2852040816326529</v>
      </c>
      <c r="R266">
        <v>69.399795918367303</v>
      </c>
      <c r="T266">
        <v>1307.5</v>
      </c>
      <c r="V266">
        <v>17580.199999999997</v>
      </c>
      <c r="Y266">
        <v>15.6021554717868</v>
      </c>
    </row>
    <row r="267" spans="1:25" x14ac:dyDescent="0.35">
      <c r="A267" s="1">
        <v>43254</v>
      </c>
      <c r="B267">
        <v>19.8</v>
      </c>
      <c r="C267">
        <v>17.2</v>
      </c>
      <c r="D267">
        <v>26.7</v>
      </c>
      <c r="E267">
        <v>2631.4000000000015</v>
      </c>
      <c r="H267">
        <v>26.5</v>
      </c>
      <c r="J267">
        <v>4.5</v>
      </c>
      <c r="L267">
        <v>22</v>
      </c>
      <c r="N267">
        <v>266</v>
      </c>
      <c r="O267">
        <v>0.93775510204081625</v>
      </c>
      <c r="P267">
        <v>4.2198979591836734</v>
      </c>
      <c r="Q267">
        <v>22.280102040816328</v>
      </c>
      <c r="R267">
        <v>91.679897959183634</v>
      </c>
      <c r="T267">
        <v>1881.2</v>
      </c>
      <c r="V267">
        <v>19461.399999999998</v>
      </c>
      <c r="Y267">
        <v>15.627104422285417</v>
      </c>
    </row>
    <row r="268" spans="1:25" x14ac:dyDescent="0.35">
      <c r="A268" s="1">
        <v>43255</v>
      </c>
      <c r="B268">
        <v>17.399999999999999</v>
      </c>
      <c r="C268">
        <v>16</v>
      </c>
      <c r="D268">
        <v>19.600000000000001</v>
      </c>
      <c r="E268">
        <v>2648.8000000000015</v>
      </c>
      <c r="H268">
        <v>17.899999999999999</v>
      </c>
      <c r="J268">
        <v>1.3</v>
      </c>
      <c r="L268">
        <v>16.599999999999998</v>
      </c>
      <c r="N268">
        <v>267</v>
      </c>
      <c r="O268">
        <v>0.92142857142857137</v>
      </c>
      <c r="P268">
        <v>1.1978571428571427</v>
      </c>
      <c r="Q268">
        <v>16.702142857142857</v>
      </c>
      <c r="R268">
        <v>108.38204081632649</v>
      </c>
      <c r="T268">
        <v>648.79999999999995</v>
      </c>
      <c r="V268">
        <v>20110.199999999997</v>
      </c>
      <c r="Y268">
        <v>15.650846805139345</v>
      </c>
    </row>
    <row r="269" spans="1:25" x14ac:dyDescent="0.35">
      <c r="A269" s="1">
        <v>43256</v>
      </c>
      <c r="B269">
        <v>17.2</v>
      </c>
      <c r="C269">
        <v>16</v>
      </c>
      <c r="D269">
        <v>19.100000000000001</v>
      </c>
      <c r="E269">
        <v>2666.0000000000014</v>
      </c>
      <c r="H269">
        <v>0.7</v>
      </c>
      <c r="J269">
        <v>1.1000000000000001</v>
      </c>
      <c r="L269">
        <v>-0.40000000000000013</v>
      </c>
      <c r="N269">
        <v>268</v>
      </c>
      <c r="O269">
        <v>0.90510204081632639</v>
      </c>
      <c r="P269">
        <v>0.99561224489795908</v>
      </c>
      <c r="Q269">
        <v>-0.29561224489795912</v>
      </c>
      <c r="R269">
        <v>108.08642857142854</v>
      </c>
      <c r="T269">
        <v>595.6</v>
      </c>
      <c r="V269">
        <v>20705.799999999996</v>
      </c>
      <c r="Y269">
        <v>15.673363511302922</v>
      </c>
    </row>
    <row r="270" spans="1:25" x14ac:dyDescent="0.35">
      <c r="A270" s="1">
        <v>43257</v>
      </c>
      <c r="B270">
        <v>14.8</v>
      </c>
      <c r="C270">
        <v>13.8</v>
      </c>
      <c r="D270">
        <v>15.7</v>
      </c>
      <c r="E270">
        <v>2680.8000000000015</v>
      </c>
      <c r="H270">
        <v>8.1999999999999993</v>
      </c>
      <c r="J270">
        <v>1</v>
      </c>
      <c r="L270">
        <v>7.1999999999999993</v>
      </c>
      <c r="N270">
        <v>269</v>
      </c>
      <c r="O270">
        <v>0.88877551020408152</v>
      </c>
      <c r="P270">
        <v>0.88877551020408152</v>
      </c>
      <c r="Q270">
        <v>7.3112244897959178</v>
      </c>
      <c r="R270">
        <v>115.39765306122446</v>
      </c>
      <c r="T270">
        <v>493.4</v>
      </c>
      <c r="V270">
        <v>21199.199999999997</v>
      </c>
      <c r="Y270">
        <v>15.694636165821434</v>
      </c>
    </row>
    <row r="271" spans="1:25" x14ac:dyDescent="0.35">
      <c r="A271" s="1">
        <v>43258</v>
      </c>
      <c r="B271">
        <v>17.3</v>
      </c>
      <c r="C271">
        <v>14.9</v>
      </c>
      <c r="D271">
        <v>19.899999999999999</v>
      </c>
      <c r="E271">
        <v>2698.1000000000017</v>
      </c>
      <c r="H271">
        <v>0.9</v>
      </c>
      <c r="J271">
        <v>1.3</v>
      </c>
      <c r="L271">
        <v>-0.4</v>
      </c>
      <c r="N271">
        <v>270</v>
      </c>
      <c r="O271">
        <v>0.87244897959183665</v>
      </c>
      <c r="P271">
        <v>1.1341836734693878</v>
      </c>
      <c r="Q271">
        <v>-0.23418367346938773</v>
      </c>
      <c r="R271">
        <v>115.16346938775507</v>
      </c>
      <c r="T271">
        <v>664.5</v>
      </c>
      <c r="V271">
        <v>21863.699999999997</v>
      </c>
      <c r="Y271">
        <v>15.714647180202101</v>
      </c>
    </row>
    <row r="272" spans="1:25" x14ac:dyDescent="0.35">
      <c r="A272" s="1">
        <v>43259</v>
      </c>
      <c r="B272">
        <v>20.100000000000001</v>
      </c>
      <c r="C272">
        <v>14.6</v>
      </c>
      <c r="D272">
        <v>24.4</v>
      </c>
      <c r="E272">
        <v>2718.2000000000016</v>
      </c>
      <c r="H272">
        <v>0.3</v>
      </c>
      <c r="J272">
        <v>3.1</v>
      </c>
      <c r="L272">
        <v>-2.8000000000000003</v>
      </c>
      <c r="N272">
        <v>271</v>
      </c>
      <c r="O272">
        <v>0.85612244897959178</v>
      </c>
      <c r="P272">
        <v>2.6539795918367344</v>
      </c>
      <c r="Q272">
        <v>-2.3539795918367346</v>
      </c>
      <c r="R272">
        <v>112.80948979591834</v>
      </c>
      <c r="T272">
        <v>1705.3</v>
      </c>
      <c r="V272">
        <v>1705.3</v>
      </c>
      <c r="Y272">
        <v>15.733379803633058</v>
      </c>
    </row>
    <row r="273" spans="1:25" x14ac:dyDescent="0.35">
      <c r="A273" s="1">
        <v>43260</v>
      </c>
      <c r="B273">
        <v>19.100000000000001</v>
      </c>
      <c r="C273">
        <v>17.7</v>
      </c>
      <c r="D273">
        <v>21.9</v>
      </c>
      <c r="E273">
        <v>2737.3000000000015</v>
      </c>
      <c r="H273">
        <v>7.1</v>
      </c>
      <c r="J273">
        <v>1.8</v>
      </c>
      <c r="L273">
        <v>5.3</v>
      </c>
      <c r="N273">
        <v>272</v>
      </c>
      <c r="O273">
        <v>0.83979591836734691</v>
      </c>
      <c r="P273">
        <v>1.5116326530612245</v>
      </c>
      <c r="Q273">
        <v>5.5883673469387753</v>
      </c>
      <c r="R273">
        <v>118.39785714285712</v>
      </c>
      <c r="T273">
        <v>1023.7</v>
      </c>
      <c r="V273">
        <v>2729</v>
      </c>
      <c r="Y273">
        <v>15.750818172755142</v>
      </c>
    </row>
    <row r="274" spans="1:25" x14ac:dyDescent="0.35">
      <c r="A274" s="1">
        <v>43261</v>
      </c>
      <c r="B274">
        <v>19</v>
      </c>
      <c r="C274">
        <v>16.3</v>
      </c>
      <c r="D274">
        <v>21.4</v>
      </c>
      <c r="E274">
        <v>2756.3000000000015</v>
      </c>
      <c r="H274">
        <v>1.9</v>
      </c>
      <c r="J274">
        <v>1.2</v>
      </c>
      <c r="L274">
        <v>0.7</v>
      </c>
      <c r="N274">
        <v>273</v>
      </c>
      <c r="O274">
        <v>0.82346938775510203</v>
      </c>
      <c r="P274">
        <v>0.98816326530612242</v>
      </c>
      <c r="Q274">
        <v>0.91183673469387749</v>
      </c>
      <c r="R274">
        <v>119.309693877551</v>
      </c>
      <c r="T274">
        <v>620.70000000000005</v>
      </c>
      <c r="V274">
        <v>3349.7</v>
      </c>
      <c r="Y274">
        <v>15.766947359690485</v>
      </c>
    </row>
    <row r="275" spans="1:25" x14ac:dyDescent="0.35">
      <c r="A275" s="1">
        <v>43262</v>
      </c>
      <c r="B275">
        <v>17.100000000000001</v>
      </c>
      <c r="C275">
        <v>16.3</v>
      </c>
      <c r="D275">
        <v>18.399999999999999</v>
      </c>
      <c r="E275">
        <v>2773.4000000000015</v>
      </c>
      <c r="H275">
        <v>48</v>
      </c>
      <c r="J275">
        <v>1</v>
      </c>
      <c r="L275">
        <v>47</v>
      </c>
      <c r="N275">
        <v>274</v>
      </c>
      <c r="O275">
        <v>0.80714285714285716</v>
      </c>
      <c r="P275">
        <v>0.80714285714285716</v>
      </c>
      <c r="Q275">
        <v>47.192857142857143</v>
      </c>
      <c r="R275">
        <v>166.50255102040813</v>
      </c>
      <c r="T275">
        <v>370.4</v>
      </c>
      <c r="V275">
        <v>3720.1</v>
      </c>
      <c r="Y275">
        <v>15.781753418034045</v>
      </c>
    </row>
    <row r="276" spans="1:25" x14ac:dyDescent="0.35">
      <c r="A276" s="1">
        <v>43263</v>
      </c>
      <c r="B276">
        <v>16.8</v>
      </c>
      <c r="C276">
        <v>14.9</v>
      </c>
      <c r="D276">
        <v>20.2</v>
      </c>
      <c r="E276">
        <v>2790.2000000000016</v>
      </c>
      <c r="H276">
        <v>0.2</v>
      </c>
      <c r="J276">
        <v>2.5</v>
      </c>
      <c r="L276">
        <v>-2.2999999999999998</v>
      </c>
      <c r="N276">
        <v>275</v>
      </c>
      <c r="O276">
        <v>0.79081632653061218</v>
      </c>
      <c r="P276">
        <v>1.9770408163265305</v>
      </c>
      <c r="Q276">
        <v>-1.7770408163265305</v>
      </c>
      <c r="R276">
        <v>164.72551020408162</v>
      </c>
      <c r="T276">
        <v>1253.2</v>
      </c>
      <c r="V276">
        <v>4973.3</v>
      </c>
      <c r="Y276">
        <v>15.795223426518856</v>
      </c>
    </row>
    <row r="277" spans="1:25" x14ac:dyDescent="0.35">
      <c r="A277" s="1">
        <v>43264</v>
      </c>
      <c r="B277">
        <v>16.8</v>
      </c>
      <c r="C277">
        <v>12.6</v>
      </c>
      <c r="D277">
        <v>21.4</v>
      </c>
      <c r="E277">
        <v>2807.0000000000018</v>
      </c>
      <c r="H277">
        <v>0</v>
      </c>
      <c r="J277">
        <v>2.1</v>
      </c>
      <c r="L277">
        <v>-2.1</v>
      </c>
      <c r="N277">
        <v>276</v>
      </c>
      <c r="O277">
        <v>0.7744897959183672</v>
      </c>
      <c r="P277">
        <v>1.6264285714285711</v>
      </c>
      <c r="Q277">
        <v>-1.6264285714285711</v>
      </c>
      <c r="R277">
        <v>163.09908163265305</v>
      </c>
      <c r="T277">
        <v>1254.4000000000001</v>
      </c>
      <c r="V277">
        <v>6227.7000000000007</v>
      </c>
      <c r="Y277">
        <v>15.807345530073876</v>
      </c>
    </row>
    <row r="278" spans="1:25" x14ac:dyDescent="0.35">
      <c r="A278" s="1">
        <v>43265</v>
      </c>
      <c r="B278">
        <v>15.7</v>
      </c>
      <c r="C278">
        <v>13.2</v>
      </c>
      <c r="D278">
        <v>17.5</v>
      </c>
      <c r="E278">
        <v>2822.7000000000016</v>
      </c>
      <c r="H278">
        <v>0.5</v>
      </c>
      <c r="J278">
        <v>1</v>
      </c>
      <c r="L278">
        <v>-0.5</v>
      </c>
      <c r="N278">
        <v>277</v>
      </c>
      <c r="O278">
        <v>0.75816326530612232</v>
      </c>
      <c r="P278">
        <v>0.75816326530612232</v>
      </c>
      <c r="Q278">
        <v>-0.25816326530612232</v>
      </c>
      <c r="R278">
        <v>162.84091836734694</v>
      </c>
      <c r="T278">
        <v>611.5</v>
      </c>
      <c r="V278">
        <v>6839.2000000000007</v>
      </c>
      <c r="Y278">
        <v>15.818108978004114</v>
      </c>
    </row>
    <row r="279" spans="1:25" x14ac:dyDescent="0.35">
      <c r="A279" s="1">
        <v>43266</v>
      </c>
      <c r="B279">
        <v>15.5</v>
      </c>
      <c r="C279">
        <v>13.5</v>
      </c>
      <c r="D279">
        <v>18.7</v>
      </c>
      <c r="E279">
        <v>2838.2000000000016</v>
      </c>
      <c r="H279">
        <v>0</v>
      </c>
      <c r="J279">
        <v>2.8</v>
      </c>
      <c r="L279">
        <v>-2.8</v>
      </c>
      <c r="N279">
        <v>278</v>
      </c>
      <c r="O279">
        <v>0.74183673469387745</v>
      </c>
      <c r="P279">
        <v>2.077142857142857</v>
      </c>
      <c r="Q279">
        <v>-2.077142857142857</v>
      </c>
      <c r="R279">
        <v>160.76377551020408</v>
      </c>
      <c r="T279">
        <v>1255.5999999999999</v>
      </c>
      <c r="V279">
        <v>8094.8000000000011</v>
      </c>
      <c r="Y279">
        <v>15.827504159036636</v>
      </c>
    </row>
    <row r="280" spans="1:25" x14ac:dyDescent="0.35">
      <c r="A280" s="1">
        <v>43267</v>
      </c>
      <c r="B280">
        <v>15.5</v>
      </c>
      <c r="C280">
        <v>10.7</v>
      </c>
      <c r="D280">
        <v>19.100000000000001</v>
      </c>
      <c r="E280">
        <v>2853.7000000000016</v>
      </c>
      <c r="H280">
        <v>0</v>
      </c>
      <c r="J280">
        <v>1.7</v>
      </c>
      <c r="L280">
        <v>-1.7</v>
      </c>
      <c r="N280">
        <v>279</v>
      </c>
      <c r="O280">
        <v>0.72551020408163258</v>
      </c>
      <c r="P280">
        <v>1.2333673469387754</v>
      </c>
      <c r="Q280">
        <v>-1.2333673469387754</v>
      </c>
      <c r="R280">
        <v>159.53040816326532</v>
      </c>
      <c r="T280">
        <v>1082</v>
      </c>
      <c r="V280">
        <v>9176.8000000000011</v>
      </c>
      <c r="Y280">
        <v>15.83552263299285</v>
      </c>
    </row>
    <row r="281" spans="1:25" x14ac:dyDescent="0.35">
      <c r="A281" s="1">
        <v>43268</v>
      </c>
      <c r="B281">
        <v>16.399999999999999</v>
      </c>
      <c r="C281">
        <v>13.7</v>
      </c>
      <c r="D281">
        <v>19.399999999999999</v>
      </c>
      <c r="E281">
        <v>2870.1000000000017</v>
      </c>
      <c r="H281">
        <v>0.2</v>
      </c>
      <c r="J281">
        <v>2.5</v>
      </c>
      <c r="L281">
        <v>-2.2999999999999998</v>
      </c>
      <c r="N281">
        <v>280</v>
      </c>
      <c r="O281">
        <v>0.70918367346938771</v>
      </c>
      <c r="P281">
        <v>1.7729591836734693</v>
      </c>
      <c r="Q281">
        <v>-1.5729591836734693</v>
      </c>
      <c r="R281">
        <v>157.95744897959185</v>
      </c>
      <c r="T281">
        <v>1195.8</v>
      </c>
      <c r="V281">
        <v>10372.6</v>
      </c>
      <c r="Y281">
        <v>15.842157158867153</v>
      </c>
    </row>
    <row r="282" spans="1:25" x14ac:dyDescent="0.35">
      <c r="A282" s="1">
        <v>43269</v>
      </c>
      <c r="B282">
        <v>18.600000000000001</v>
      </c>
      <c r="C282">
        <v>16.3</v>
      </c>
      <c r="D282">
        <v>22.4</v>
      </c>
      <c r="E282">
        <v>2888.7000000000016</v>
      </c>
      <c r="H282">
        <v>0</v>
      </c>
      <c r="J282">
        <v>2</v>
      </c>
      <c r="L282">
        <v>-2</v>
      </c>
      <c r="N282">
        <v>281</v>
      </c>
      <c r="O282">
        <v>0.69285714285714284</v>
      </c>
      <c r="P282">
        <v>1.3857142857142857</v>
      </c>
      <c r="Q282">
        <v>-1.3857142857142857</v>
      </c>
      <c r="R282">
        <v>156.57173469387757</v>
      </c>
      <c r="T282">
        <v>777.9</v>
      </c>
      <c r="V282">
        <v>11150.5</v>
      </c>
      <c r="Y282">
        <v>15.847401719114204</v>
      </c>
    </row>
    <row r="283" spans="1:25" x14ac:dyDescent="0.35">
      <c r="A283" s="1">
        <v>43270</v>
      </c>
      <c r="B283">
        <v>18.8</v>
      </c>
      <c r="C283">
        <v>16.2</v>
      </c>
      <c r="D283">
        <v>23</v>
      </c>
      <c r="E283">
        <v>2907.5000000000018</v>
      </c>
      <c r="H283">
        <v>0</v>
      </c>
      <c r="J283">
        <v>2.1</v>
      </c>
      <c r="L283">
        <v>-2.1</v>
      </c>
      <c r="N283">
        <v>282</v>
      </c>
      <c r="O283">
        <v>0.67653061224489797</v>
      </c>
      <c r="P283">
        <v>1.4207142857142858</v>
      </c>
      <c r="Q283">
        <v>-1.4207142857142858</v>
      </c>
      <c r="R283">
        <v>155.15102040816328</v>
      </c>
      <c r="T283">
        <v>916.8</v>
      </c>
      <c r="V283">
        <v>12067.3</v>
      </c>
      <c r="Y283">
        <v>15.851251539971809</v>
      </c>
    </row>
    <row r="284" spans="1:25" x14ac:dyDescent="0.35">
      <c r="A284" s="1">
        <v>43271</v>
      </c>
      <c r="B284">
        <v>20</v>
      </c>
      <c r="C284">
        <v>15.2</v>
      </c>
      <c r="D284">
        <v>25.3</v>
      </c>
      <c r="E284">
        <v>2927.5000000000018</v>
      </c>
      <c r="H284">
        <v>0</v>
      </c>
      <c r="J284">
        <v>4.7</v>
      </c>
      <c r="L284">
        <v>-4.7</v>
      </c>
      <c r="N284">
        <v>283</v>
      </c>
      <c r="O284">
        <v>0.66020408163265298</v>
      </c>
      <c r="P284">
        <v>3.1029591836734691</v>
      </c>
      <c r="Q284">
        <v>-3.1029591836734691</v>
      </c>
      <c r="R284">
        <v>152.0480612244898</v>
      </c>
      <c r="T284">
        <v>2439.3000000000002</v>
      </c>
      <c r="V284">
        <v>14506.599999999999</v>
      </c>
      <c r="Y284">
        <v>15.85370310767316</v>
      </c>
    </row>
    <row r="285" spans="1:25" x14ac:dyDescent="0.35">
      <c r="A285" s="1">
        <v>43272</v>
      </c>
      <c r="B285">
        <v>16.399999999999999</v>
      </c>
      <c r="C285">
        <v>14.3</v>
      </c>
      <c r="D285">
        <v>19.8</v>
      </c>
      <c r="E285">
        <v>2943.9000000000019</v>
      </c>
      <c r="H285">
        <v>0</v>
      </c>
      <c r="J285">
        <v>4.7</v>
      </c>
      <c r="L285">
        <v>-4.7</v>
      </c>
      <c r="N285">
        <v>284</v>
      </c>
      <c r="O285">
        <v>0.64387755102040811</v>
      </c>
      <c r="P285">
        <v>3.0262244897959181</v>
      </c>
      <c r="Q285">
        <v>-3.0262244897959181</v>
      </c>
      <c r="R285">
        <v>149.02183673469389</v>
      </c>
      <c r="T285">
        <v>2315.6</v>
      </c>
      <c r="V285">
        <v>16822.199999999997</v>
      </c>
      <c r="Y285">
        <v>15.854754180430909</v>
      </c>
    </row>
    <row r="286" spans="1:25" x14ac:dyDescent="0.35">
      <c r="A286" s="1">
        <v>43273</v>
      </c>
      <c r="B286">
        <v>16.2</v>
      </c>
      <c r="C286">
        <v>11.2</v>
      </c>
      <c r="D286">
        <v>20.2</v>
      </c>
      <c r="E286">
        <v>2960.1000000000017</v>
      </c>
      <c r="H286">
        <v>0</v>
      </c>
      <c r="J286">
        <v>6</v>
      </c>
      <c r="L286">
        <v>-6</v>
      </c>
      <c r="N286">
        <v>285</v>
      </c>
      <c r="O286">
        <v>0.62755102040816324</v>
      </c>
      <c r="P286">
        <v>3.7653061224489797</v>
      </c>
      <c r="Q286">
        <v>-3.7653061224489797</v>
      </c>
      <c r="R286">
        <v>145.25653061224492</v>
      </c>
      <c r="T286">
        <v>3318.1</v>
      </c>
      <c r="V286">
        <v>20140.299999999996</v>
      </c>
      <c r="Y286">
        <v>15.854403796105522</v>
      </c>
    </row>
    <row r="287" spans="1:25" x14ac:dyDescent="0.35">
      <c r="A287" s="1">
        <v>43274</v>
      </c>
      <c r="B287">
        <v>18.5</v>
      </c>
      <c r="C287">
        <v>13.9</v>
      </c>
      <c r="D287">
        <v>22.8</v>
      </c>
      <c r="E287">
        <v>2978.6000000000017</v>
      </c>
      <c r="H287">
        <v>0</v>
      </c>
      <c r="J287">
        <v>7.1</v>
      </c>
      <c r="L287">
        <v>-7.1</v>
      </c>
      <c r="N287">
        <v>286</v>
      </c>
      <c r="O287">
        <v>0.61122448979591837</v>
      </c>
      <c r="P287">
        <v>4.3396938775510199</v>
      </c>
      <c r="Q287">
        <v>-4.3396938775510199</v>
      </c>
      <c r="R287">
        <v>140.9168367346939</v>
      </c>
      <c r="T287">
        <v>3312.2</v>
      </c>
      <c r="V287">
        <v>23452.499999999996</v>
      </c>
      <c r="Y287">
        <v>15.852652275501848</v>
      </c>
    </row>
    <row r="288" spans="1:25" x14ac:dyDescent="0.35">
      <c r="A288" s="1">
        <v>43275</v>
      </c>
      <c r="B288">
        <v>19</v>
      </c>
      <c r="C288">
        <v>13.8</v>
      </c>
      <c r="D288">
        <v>23.8</v>
      </c>
      <c r="E288">
        <v>2997.6000000000017</v>
      </c>
      <c r="H288">
        <v>0</v>
      </c>
      <c r="J288">
        <v>6.1</v>
      </c>
      <c r="L288">
        <v>-6.1</v>
      </c>
      <c r="N288">
        <v>287</v>
      </c>
      <c r="O288">
        <v>0.59489795918367339</v>
      </c>
      <c r="P288">
        <v>3.6288775510204077</v>
      </c>
      <c r="Q288">
        <v>-3.6288775510204077</v>
      </c>
      <c r="R288">
        <v>137.28795918367351</v>
      </c>
      <c r="T288">
        <v>2873.2</v>
      </c>
      <c r="V288">
        <v>26325.699999999997</v>
      </c>
      <c r="Y288">
        <v>15.849501221269582</v>
      </c>
    </row>
    <row r="289" spans="1:25" x14ac:dyDescent="0.35">
      <c r="A289" s="1">
        <v>43276</v>
      </c>
      <c r="B289">
        <v>21</v>
      </c>
      <c r="C289">
        <v>14.8</v>
      </c>
      <c r="D289">
        <v>26.3</v>
      </c>
      <c r="E289">
        <v>3018.6000000000017</v>
      </c>
      <c r="H289">
        <v>0</v>
      </c>
      <c r="J289">
        <v>6.9</v>
      </c>
      <c r="L289">
        <v>-6.9</v>
      </c>
      <c r="N289">
        <v>288</v>
      </c>
      <c r="O289">
        <v>0.57857142857142851</v>
      </c>
      <c r="P289">
        <v>3.992142857142857</v>
      </c>
      <c r="Q289">
        <v>-3.992142857142857</v>
      </c>
      <c r="R289">
        <v>133.29581632653066</v>
      </c>
      <c r="T289">
        <v>3296.6</v>
      </c>
      <c r="V289">
        <v>29622.299999999996</v>
      </c>
      <c r="Y289">
        <v>15.844953512415767</v>
      </c>
    </row>
    <row r="290" spans="1:25" x14ac:dyDescent="0.35">
      <c r="A290" s="1">
        <v>43277</v>
      </c>
      <c r="B290">
        <v>23</v>
      </c>
      <c r="C290">
        <v>17.8</v>
      </c>
      <c r="D290">
        <v>27.9</v>
      </c>
      <c r="E290">
        <v>3041.6000000000017</v>
      </c>
      <c r="H290">
        <v>0</v>
      </c>
      <c r="J290">
        <v>7.7</v>
      </c>
      <c r="L290">
        <v>-7.7</v>
      </c>
      <c r="N290">
        <v>289</v>
      </c>
      <c r="O290">
        <v>0.56224489795918364</v>
      </c>
      <c r="P290">
        <v>4.3292857142857137</v>
      </c>
      <c r="Q290">
        <v>-4.3292857142857137</v>
      </c>
      <c r="R290">
        <v>128.96653061224495</v>
      </c>
      <c r="T290">
        <v>3286.4</v>
      </c>
      <c r="V290">
        <v>32908.699999999997</v>
      </c>
      <c r="Y290">
        <v>15.839013294469575</v>
      </c>
    </row>
    <row r="291" spans="1:25" x14ac:dyDescent="0.35">
      <c r="A291" s="1">
        <v>43278</v>
      </c>
      <c r="B291">
        <v>23.8</v>
      </c>
      <c r="C291">
        <v>18.899999999999999</v>
      </c>
      <c r="D291">
        <v>28.9</v>
      </c>
      <c r="E291">
        <v>3065.4000000000019</v>
      </c>
      <c r="H291">
        <v>0</v>
      </c>
      <c r="J291">
        <v>7.8</v>
      </c>
      <c r="L291">
        <v>-7.8</v>
      </c>
      <c r="N291">
        <v>290</v>
      </c>
      <c r="O291">
        <v>0.54591836734693877</v>
      </c>
      <c r="P291">
        <v>4.2581632653061225</v>
      </c>
      <c r="Q291">
        <v>-4.2581632653061225</v>
      </c>
      <c r="R291">
        <v>124.70836734693883</v>
      </c>
      <c r="T291">
        <v>3289.9</v>
      </c>
      <c r="V291">
        <v>36198.6</v>
      </c>
      <c r="Y291">
        <v>15.831685965371326</v>
      </c>
    </row>
    <row r="292" spans="1:25" x14ac:dyDescent="0.35">
      <c r="A292" s="1">
        <v>43279</v>
      </c>
      <c r="B292">
        <v>22.9</v>
      </c>
      <c r="C292">
        <v>18.600000000000001</v>
      </c>
      <c r="D292">
        <v>27.4</v>
      </c>
      <c r="E292">
        <v>3088.300000000002</v>
      </c>
      <c r="H292">
        <v>0</v>
      </c>
      <c r="J292">
        <v>6.8</v>
      </c>
      <c r="L292">
        <v>-6.8</v>
      </c>
      <c r="N292">
        <v>291</v>
      </c>
      <c r="O292">
        <v>0.5295918367346939</v>
      </c>
      <c r="P292">
        <v>3.6012244897959182</v>
      </c>
      <c r="Q292">
        <v>-3.6012244897959182</v>
      </c>
      <c r="R292">
        <v>121.1071428571429</v>
      </c>
      <c r="T292">
        <v>2946.1</v>
      </c>
      <c r="V292">
        <v>39144.699999999997</v>
      </c>
      <c r="Y292">
        <v>15.822978157188379</v>
      </c>
    </row>
    <row r="293" spans="1:25" x14ac:dyDescent="0.35">
      <c r="A293" s="1">
        <v>43280</v>
      </c>
      <c r="B293">
        <v>23.6</v>
      </c>
      <c r="C293">
        <v>18.399999999999999</v>
      </c>
      <c r="D293">
        <v>28.3</v>
      </c>
      <c r="E293">
        <v>3111.9000000000019</v>
      </c>
      <c r="H293">
        <v>0</v>
      </c>
      <c r="J293">
        <v>6.6</v>
      </c>
      <c r="L293">
        <v>-6.6</v>
      </c>
      <c r="N293">
        <v>292</v>
      </c>
      <c r="O293">
        <v>0.51326530612244892</v>
      </c>
      <c r="P293">
        <v>3.3875510204081625</v>
      </c>
      <c r="Q293">
        <v>-3.3875510204081625</v>
      </c>
      <c r="R293">
        <v>117.71959183673474</v>
      </c>
      <c r="T293">
        <v>2594.6999999999998</v>
      </c>
      <c r="V293">
        <v>41739.399999999994</v>
      </c>
      <c r="Y293">
        <v>15.812897713790049</v>
      </c>
    </row>
    <row r="294" spans="1:25" x14ac:dyDescent="0.35">
      <c r="A294" s="1">
        <v>43281</v>
      </c>
      <c r="B294">
        <v>25.4</v>
      </c>
      <c r="C294">
        <v>20.100000000000001</v>
      </c>
      <c r="D294">
        <v>30.1</v>
      </c>
      <c r="E294">
        <v>3137.300000000002</v>
      </c>
      <c r="H294">
        <v>0.9</v>
      </c>
      <c r="J294">
        <v>4.5999999999999996</v>
      </c>
      <c r="L294">
        <v>-3.6999999999999997</v>
      </c>
      <c r="N294">
        <v>293</v>
      </c>
      <c r="O294">
        <v>0.49693877551020404</v>
      </c>
      <c r="P294">
        <v>2.2859183673469383</v>
      </c>
      <c r="Q294">
        <v>-1.3859183673469384</v>
      </c>
      <c r="R294">
        <v>116.3336734693878</v>
      </c>
      <c r="T294">
        <v>1710.1</v>
      </c>
      <c r="V294">
        <v>1710.1</v>
      </c>
      <c r="Y294">
        <v>15.801453664641445</v>
      </c>
    </row>
    <row r="295" spans="1:25" x14ac:dyDescent="0.35">
      <c r="A295" s="1">
        <v>43282</v>
      </c>
      <c r="B295">
        <v>24.8</v>
      </c>
      <c r="C295">
        <v>20.8</v>
      </c>
      <c r="D295">
        <v>28.8</v>
      </c>
      <c r="E295">
        <v>3162.1000000000022</v>
      </c>
      <c r="H295">
        <v>13.4</v>
      </c>
      <c r="J295">
        <v>4.4000000000000004</v>
      </c>
      <c r="L295">
        <v>9</v>
      </c>
      <c r="N295">
        <v>294</v>
      </c>
      <c r="O295">
        <v>0.48061224489795917</v>
      </c>
      <c r="P295">
        <v>2.1146938775510207</v>
      </c>
      <c r="Q295">
        <v>11.285306122448979</v>
      </c>
      <c r="R295">
        <v>127.61897959183679</v>
      </c>
      <c r="T295">
        <v>2192.4</v>
      </c>
      <c r="V295">
        <v>3902.5</v>
      </c>
      <c r="Y295">
        <v>15.788656194901822</v>
      </c>
    </row>
    <row r="296" spans="1:25" x14ac:dyDescent="0.35">
      <c r="A296" s="1">
        <v>43283</v>
      </c>
      <c r="B296">
        <v>21.1</v>
      </c>
      <c r="C296">
        <v>18.899999999999999</v>
      </c>
      <c r="D296">
        <v>24.7</v>
      </c>
      <c r="E296">
        <v>3183.2000000000021</v>
      </c>
      <c r="H296">
        <v>4.8</v>
      </c>
      <c r="J296">
        <v>2.1</v>
      </c>
      <c r="L296">
        <v>2.6999999999999997</v>
      </c>
      <c r="N296">
        <v>295</v>
      </c>
      <c r="O296">
        <v>0.4642857142857143</v>
      </c>
      <c r="P296">
        <v>0.97500000000000009</v>
      </c>
      <c r="Q296">
        <v>3.8249999999999997</v>
      </c>
      <c r="R296">
        <v>131.44397959183678</v>
      </c>
      <c r="T296">
        <v>1071.8</v>
      </c>
      <c r="V296">
        <v>4974.3</v>
      </c>
      <c r="Y296">
        <v>15.774516612036651</v>
      </c>
    </row>
    <row r="297" spans="1:25" x14ac:dyDescent="0.35">
      <c r="A297" s="1">
        <v>43284</v>
      </c>
      <c r="B297">
        <v>20.9</v>
      </c>
      <c r="C297">
        <v>19.2</v>
      </c>
      <c r="D297">
        <v>24</v>
      </c>
      <c r="E297">
        <v>3204.1000000000022</v>
      </c>
      <c r="H297">
        <v>0.1</v>
      </c>
      <c r="J297">
        <v>2.9</v>
      </c>
      <c r="L297">
        <v>-2.8</v>
      </c>
      <c r="N297">
        <v>296</v>
      </c>
      <c r="O297">
        <v>0.44795918367346943</v>
      </c>
      <c r="P297">
        <v>1.2990816326530612</v>
      </c>
      <c r="Q297">
        <v>-1.1990816326530611</v>
      </c>
      <c r="R297">
        <v>130.24489795918373</v>
      </c>
      <c r="T297">
        <v>1291.7</v>
      </c>
      <c r="V297">
        <v>6266</v>
      </c>
      <c r="Y297">
        <v>15.7590473091735</v>
      </c>
    </row>
    <row r="298" spans="1:25" x14ac:dyDescent="0.35">
      <c r="A298" s="1">
        <v>43285</v>
      </c>
      <c r="B298">
        <v>21</v>
      </c>
      <c r="C298">
        <v>17.399999999999999</v>
      </c>
      <c r="D298">
        <v>24.9</v>
      </c>
      <c r="E298">
        <v>3225.1000000000022</v>
      </c>
      <c r="H298">
        <v>0</v>
      </c>
      <c r="J298">
        <v>4</v>
      </c>
      <c r="L298">
        <v>-4</v>
      </c>
      <c r="N298">
        <v>297</v>
      </c>
      <c r="O298">
        <v>0.43163265306122445</v>
      </c>
      <c r="P298">
        <v>1.7265306122448978</v>
      </c>
      <c r="Q298">
        <v>-1.7265306122448978</v>
      </c>
      <c r="R298">
        <v>128.51836734693885</v>
      </c>
      <c r="T298">
        <v>1871</v>
      </c>
      <c r="V298">
        <v>8137</v>
      </c>
      <c r="Y298">
        <v>15.742261725450044</v>
      </c>
    </row>
    <row r="299" spans="1:25" x14ac:dyDescent="0.35">
      <c r="A299" s="1">
        <v>43286</v>
      </c>
      <c r="B299">
        <v>20</v>
      </c>
      <c r="C299">
        <v>16.100000000000001</v>
      </c>
      <c r="D299">
        <v>23.9</v>
      </c>
      <c r="E299">
        <v>3245.1000000000022</v>
      </c>
      <c r="H299">
        <v>0</v>
      </c>
      <c r="J299">
        <v>4.2</v>
      </c>
      <c r="L299">
        <v>-4.2</v>
      </c>
      <c r="N299">
        <v>298</v>
      </c>
      <c r="O299">
        <v>0.41530612244897958</v>
      </c>
      <c r="P299">
        <v>1.7442857142857142</v>
      </c>
      <c r="Q299">
        <v>-1.7442857142857142</v>
      </c>
      <c r="R299">
        <v>126.77408163265314</v>
      </c>
      <c r="T299">
        <v>2277.3000000000002</v>
      </c>
      <c r="V299">
        <v>10414.299999999999</v>
      </c>
      <c r="Y299">
        <v>15.724174303617984</v>
      </c>
    </row>
    <row r="300" spans="1:25" x14ac:dyDescent="0.35">
      <c r="A300" s="1">
        <v>43287</v>
      </c>
      <c r="B300">
        <v>19.600000000000001</v>
      </c>
      <c r="C300">
        <v>16</v>
      </c>
      <c r="D300">
        <v>25.6</v>
      </c>
      <c r="E300">
        <v>3264.7000000000021</v>
      </c>
      <c r="H300">
        <v>0.5</v>
      </c>
      <c r="J300">
        <v>3.3</v>
      </c>
      <c r="L300">
        <v>-2.8</v>
      </c>
      <c r="N300">
        <v>299</v>
      </c>
      <c r="O300">
        <v>0.39897959183673459</v>
      </c>
      <c r="P300">
        <v>1.316632653061224</v>
      </c>
      <c r="Q300">
        <v>-0.81663265306122401</v>
      </c>
      <c r="R300">
        <v>125.95744897959192</v>
      </c>
      <c r="T300">
        <v>1386.7</v>
      </c>
      <c r="V300">
        <v>11801</v>
      </c>
      <c r="Y300">
        <v>15.70480044517894</v>
      </c>
    </row>
    <row r="301" spans="1:25" x14ac:dyDescent="0.35">
      <c r="A301" s="1">
        <v>43288</v>
      </c>
      <c r="B301">
        <v>22.3</v>
      </c>
      <c r="C301">
        <v>15.8</v>
      </c>
      <c r="D301">
        <v>28</v>
      </c>
      <c r="E301">
        <v>3287.0000000000023</v>
      </c>
      <c r="H301">
        <v>0</v>
      </c>
      <c r="J301">
        <v>4.5999999999999996</v>
      </c>
      <c r="L301">
        <v>-4.5999999999999996</v>
      </c>
      <c r="N301">
        <v>300</v>
      </c>
      <c r="O301">
        <v>0.38265306122448983</v>
      </c>
      <c r="P301">
        <v>1.7602040816326532</v>
      </c>
      <c r="Q301">
        <v>-1.7602040816326532</v>
      </c>
      <c r="R301">
        <v>124.19724489795927</v>
      </c>
      <c r="T301">
        <v>2111.6</v>
      </c>
      <c r="V301">
        <v>13912.6</v>
      </c>
      <c r="Y301">
        <v>15.68415646333788</v>
      </c>
    </row>
    <row r="302" spans="1:25" x14ac:dyDescent="0.35">
      <c r="A302" s="1">
        <v>43289</v>
      </c>
      <c r="B302">
        <v>23.7</v>
      </c>
      <c r="C302">
        <v>19.100000000000001</v>
      </c>
      <c r="D302">
        <v>29</v>
      </c>
      <c r="E302">
        <v>3310.7000000000021</v>
      </c>
      <c r="H302">
        <v>0</v>
      </c>
      <c r="J302">
        <v>6.7</v>
      </c>
      <c r="L302">
        <v>-6.7</v>
      </c>
      <c r="N302">
        <v>301</v>
      </c>
      <c r="O302">
        <v>0.36632653061224485</v>
      </c>
      <c r="P302">
        <v>2.4543877551020405</v>
      </c>
      <c r="Q302">
        <v>-2.4543877551020405</v>
      </c>
      <c r="R302">
        <v>121.74285714285722</v>
      </c>
      <c r="T302">
        <v>2592.6999999999998</v>
      </c>
      <c r="V302">
        <v>16505.3</v>
      </c>
      <c r="Y302">
        <v>15.662259534065983</v>
      </c>
    </row>
    <row r="303" spans="1:25" x14ac:dyDescent="0.35">
      <c r="A303" s="1">
        <v>43290</v>
      </c>
      <c r="B303">
        <v>23.1</v>
      </c>
      <c r="C303">
        <v>19.399999999999999</v>
      </c>
      <c r="D303">
        <v>27.3</v>
      </c>
      <c r="E303">
        <v>3333.800000000002</v>
      </c>
      <c r="H303">
        <v>0</v>
      </c>
      <c r="J303">
        <v>6.6</v>
      </c>
      <c r="L303">
        <v>-6.6</v>
      </c>
      <c r="N303">
        <v>302</v>
      </c>
      <c r="O303">
        <v>0.35</v>
      </c>
      <c r="P303">
        <v>2.3099999999999996</v>
      </c>
      <c r="Q303">
        <v>-2.3099999999999996</v>
      </c>
      <c r="R303">
        <v>119.43285714285722</v>
      </c>
      <c r="T303">
        <v>2557.3000000000002</v>
      </c>
      <c r="V303">
        <v>19062.599999999999</v>
      </c>
      <c r="Y303">
        <v>15.639127645568264</v>
      </c>
    </row>
    <row r="304" spans="1:25" x14ac:dyDescent="0.35">
      <c r="A304" s="1">
        <v>43291</v>
      </c>
      <c r="B304">
        <v>21.1</v>
      </c>
      <c r="C304">
        <v>17.100000000000001</v>
      </c>
      <c r="D304">
        <v>26.8</v>
      </c>
      <c r="E304">
        <v>3354.9000000000019</v>
      </c>
      <c r="H304">
        <v>0</v>
      </c>
      <c r="J304">
        <v>5.4</v>
      </c>
      <c r="L304">
        <v>-5.4</v>
      </c>
      <c r="N304">
        <v>303</v>
      </c>
      <c r="P304">
        <v>0</v>
      </c>
      <c r="Q304">
        <v>0</v>
      </c>
      <c r="R304">
        <v>119.43285714285722</v>
      </c>
      <c r="T304">
        <v>2374.3000000000002</v>
      </c>
      <c r="V304">
        <v>21436.899999999998</v>
      </c>
    </row>
    <row r="305" spans="1:22" x14ac:dyDescent="0.35">
      <c r="A305" s="1">
        <v>43292</v>
      </c>
      <c r="B305">
        <v>18.899999999999999</v>
      </c>
      <c r="C305">
        <v>14.3</v>
      </c>
      <c r="D305">
        <v>23.1</v>
      </c>
      <c r="E305">
        <v>3373.800000000002</v>
      </c>
      <c r="H305">
        <v>0</v>
      </c>
      <c r="J305">
        <v>3.9</v>
      </c>
      <c r="L305">
        <v>-3.9</v>
      </c>
      <c r="N305">
        <v>304</v>
      </c>
      <c r="P305">
        <v>0</v>
      </c>
      <c r="Q305">
        <v>0</v>
      </c>
      <c r="R305">
        <v>119.43285714285722</v>
      </c>
      <c r="T305">
        <v>1727.4</v>
      </c>
      <c r="V305">
        <v>23164.3</v>
      </c>
    </row>
    <row r="306" spans="1:22" x14ac:dyDescent="0.35">
      <c r="A306" s="1">
        <v>43293</v>
      </c>
      <c r="B306">
        <v>19.100000000000001</v>
      </c>
      <c r="C306">
        <v>15.2</v>
      </c>
      <c r="D306">
        <v>23.3</v>
      </c>
      <c r="E306">
        <v>3392.9000000000019</v>
      </c>
      <c r="H306">
        <v>0</v>
      </c>
      <c r="J306">
        <v>3.8</v>
      </c>
      <c r="L306">
        <v>-3.8</v>
      </c>
      <c r="N306">
        <v>305</v>
      </c>
      <c r="P306">
        <v>0</v>
      </c>
      <c r="Q306">
        <v>0</v>
      </c>
      <c r="R306">
        <v>119.43285714285722</v>
      </c>
      <c r="T306">
        <v>1883.4</v>
      </c>
      <c r="V306">
        <v>25047.7</v>
      </c>
    </row>
    <row r="307" spans="1:22" x14ac:dyDescent="0.35">
      <c r="A307" s="1">
        <v>43294</v>
      </c>
      <c r="B307">
        <v>20.100000000000001</v>
      </c>
      <c r="C307">
        <v>15.3</v>
      </c>
      <c r="D307">
        <v>24.9</v>
      </c>
      <c r="E307">
        <v>3413.0000000000018</v>
      </c>
      <c r="H307">
        <v>0</v>
      </c>
      <c r="J307">
        <v>5.2</v>
      </c>
      <c r="L307">
        <v>-5.2</v>
      </c>
      <c r="N307">
        <v>306</v>
      </c>
      <c r="P307">
        <v>0</v>
      </c>
      <c r="Q307">
        <v>0</v>
      </c>
      <c r="R307">
        <v>119.43285714285722</v>
      </c>
      <c r="T307">
        <v>2549.4</v>
      </c>
      <c r="V307">
        <v>27597.100000000002</v>
      </c>
    </row>
    <row r="308" spans="1:22" x14ac:dyDescent="0.35">
      <c r="A308" s="1">
        <v>43295</v>
      </c>
      <c r="B308">
        <v>20.9</v>
      </c>
      <c r="C308">
        <v>15.9</v>
      </c>
      <c r="D308">
        <v>26.4</v>
      </c>
      <c r="E308">
        <v>3433.9000000000019</v>
      </c>
      <c r="H308">
        <v>0</v>
      </c>
      <c r="J308">
        <v>5.6</v>
      </c>
      <c r="L308">
        <v>-5.6</v>
      </c>
      <c r="N308">
        <v>307</v>
      </c>
      <c r="P308">
        <v>0</v>
      </c>
      <c r="Q308">
        <v>0</v>
      </c>
      <c r="R308">
        <v>119.43285714285722</v>
      </c>
      <c r="T308">
        <v>2662.9</v>
      </c>
      <c r="V308">
        <v>30260.000000000004</v>
      </c>
    </row>
    <row r="309" spans="1:22" x14ac:dyDescent="0.35">
      <c r="A309" s="1">
        <v>43296</v>
      </c>
      <c r="B309">
        <v>21.4</v>
      </c>
      <c r="C309">
        <v>15.6</v>
      </c>
      <c r="D309">
        <v>27.2</v>
      </c>
      <c r="E309">
        <v>3455.300000000002</v>
      </c>
      <c r="H309">
        <v>0</v>
      </c>
      <c r="J309">
        <v>5.7</v>
      </c>
      <c r="L309">
        <v>-5.7</v>
      </c>
      <c r="N309">
        <v>308</v>
      </c>
      <c r="P309">
        <v>0</v>
      </c>
      <c r="Q309">
        <v>0</v>
      </c>
      <c r="R309">
        <v>119.43285714285722</v>
      </c>
      <c r="T309">
        <v>2643.7</v>
      </c>
      <c r="V309">
        <v>32903.700000000004</v>
      </c>
    </row>
    <row r="310" spans="1:22" x14ac:dyDescent="0.35">
      <c r="A310" s="1">
        <v>43297</v>
      </c>
      <c r="B310">
        <v>21.1</v>
      </c>
      <c r="C310">
        <v>15.7</v>
      </c>
      <c r="D310">
        <v>27.7</v>
      </c>
      <c r="E310">
        <v>3476.4000000000019</v>
      </c>
      <c r="H310">
        <v>0</v>
      </c>
      <c r="J310">
        <v>5.3</v>
      </c>
      <c r="L310">
        <v>-5.3</v>
      </c>
      <c r="N310">
        <v>309</v>
      </c>
      <c r="P310">
        <v>0</v>
      </c>
      <c r="Q310">
        <v>0</v>
      </c>
      <c r="R310">
        <v>119.43285714285722</v>
      </c>
      <c r="T310">
        <v>2388.1</v>
      </c>
      <c r="V310">
        <v>35291.800000000003</v>
      </c>
    </row>
    <row r="311" spans="1:22" x14ac:dyDescent="0.35">
      <c r="A311" s="1">
        <v>43298</v>
      </c>
      <c r="B311">
        <v>19.7</v>
      </c>
      <c r="C311">
        <v>16.8</v>
      </c>
      <c r="D311">
        <v>23.2</v>
      </c>
      <c r="E311">
        <v>3496.1000000000017</v>
      </c>
      <c r="H311">
        <v>0</v>
      </c>
      <c r="J311">
        <v>2.2999999999999998</v>
      </c>
      <c r="L311">
        <v>-2.2999999999999998</v>
      </c>
      <c r="N311">
        <v>310</v>
      </c>
      <c r="P311">
        <v>0</v>
      </c>
      <c r="Q311">
        <v>0</v>
      </c>
      <c r="R311">
        <v>119.43285714285722</v>
      </c>
      <c r="T311">
        <v>793.6</v>
      </c>
      <c r="V311">
        <v>36085.4</v>
      </c>
    </row>
    <row r="312" spans="1:22" x14ac:dyDescent="0.35">
      <c r="A312" s="1">
        <v>43299</v>
      </c>
      <c r="B312">
        <v>20.3</v>
      </c>
      <c r="C312">
        <v>15</v>
      </c>
      <c r="D312">
        <v>25.1</v>
      </c>
      <c r="E312">
        <v>3516.4000000000019</v>
      </c>
      <c r="H312">
        <v>0</v>
      </c>
      <c r="J312">
        <v>3.5</v>
      </c>
      <c r="L312">
        <v>-3.5</v>
      </c>
      <c r="N312">
        <v>311</v>
      </c>
      <c r="P312">
        <v>0</v>
      </c>
      <c r="Q312">
        <v>0</v>
      </c>
      <c r="R312">
        <v>119.43285714285722</v>
      </c>
      <c r="T312">
        <v>1662.1</v>
      </c>
      <c r="V312">
        <v>37747.5</v>
      </c>
    </row>
    <row r="313" spans="1:22" x14ac:dyDescent="0.35">
      <c r="A313" s="1">
        <v>43300</v>
      </c>
      <c r="B313">
        <v>19.399999999999999</v>
      </c>
      <c r="C313">
        <v>16</v>
      </c>
      <c r="D313">
        <v>25.3</v>
      </c>
      <c r="E313">
        <v>3535.800000000002</v>
      </c>
      <c r="H313">
        <v>0</v>
      </c>
      <c r="J313">
        <v>3.8</v>
      </c>
      <c r="L313">
        <v>-3.8</v>
      </c>
      <c r="N313">
        <v>312</v>
      </c>
      <c r="P313">
        <v>0</v>
      </c>
      <c r="Q313">
        <v>0</v>
      </c>
      <c r="R313">
        <v>119.43285714285722</v>
      </c>
      <c r="T313">
        <v>1741.6</v>
      </c>
      <c r="V313">
        <v>39489.1</v>
      </c>
    </row>
    <row r="314" spans="1:22" x14ac:dyDescent="0.35">
      <c r="A314" s="1">
        <v>43301</v>
      </c>
      <c r="B314">
        <v>18.3</v>
      </c>
      <c r="C314">
        <v>14.6</v>
      </c>
      <c r="D314">
        <v>22</v>
      </c>
      <c r="E314">
        <v>3554.1000000000022</v>
      </c>
      <c r="H314">
        <v>0.7</v>
      </c>
      <c r="J314">
        <v>2.5</v>
      </c>
      <c r="L314">
        <v>-1.8</v>
      </c>
      <c r="N314">
        <v>313</v>
      </c>
      <c r="P314">
        <v>0</v>
      </c>
      <c r="Q314">
        <v>0.7</v>
      </c>
      <c r="R314">
        <v>120.13285714285722</v>
      </c>
      <c r="T314">
        <v>1301.2</v>
      </c>
      <c r="V314">
        <v>40790.299999999996</v>
      </c>
    </row>
    <row r="315" spans="1:22" x14ac:dyDescent="0.35">
      <c r="A315" s="1">
        <v>43302</v>
      </c>
      <c r="B315">
        <v>18.899999999999999</v>
      </c>
      <c r="C315">
        <v>13.9</v>
      </c>
      <c r="D315">
        <v>22.8</v>
      </c>
      <c r="E315">
        <v>3573.0000000000023</v>
      </c>
      <c r="H315">
        <v>0.1</v>
      </c>
      <c r="J315">
        <v>2.2999999999999998</v>
      </c>
      <c r="L315">
        <v>-2.1999999999999997</v>
      </c>
      <c r="N315">
        <v>314</v>
      </c>
      <c r="P315">
        <v>0</v>
      </c>
      <c r="Q315">
        <v>0.1</v>
      </c>
      <c r="R315">
        <v>120.23285714285721</v>
      </c>
      <c r="T315">
        <v>1215.5</v>
      </c>
      <c r="V315">
        <v>42005.799999999996</v>
      </c>
    </row>
    <row r="316" spans="1:22" x14ac:dyDescent="0.35">
      <c r="A316" s="1">
        <v>43303</v>
      </c>
      <c r="B316">
        <v>20.7</v>
      </c>
      <c r="C316">
        <v>15.7</v>
      </c>
      <c r="D316">
        <v>25.6</v>
      </c>
      <c r="E316">
        <v>3593.7000000000021</v>
      </c>
      <c r="H316">
        <v>0</v>
      </c>
      <c r="J316">
        <v>4</v>
      </c>
      <c r="L316">
        <v>-4</v>
      </c>
      <c r="N316">
        <v>315</v>
      </c>
      <c r="P316">
        <v>0</v>
      </c>
      <c r="Q316">
        <v>0</v>
      </c>
      <c r="R316">
        <v>120.23285714285721</v>
      </c>
      <c r="T316">
        <v>2045.1</v>
      </c>
      <c r="V316">
        <v>44050.899999999994</v>
      </c>
    </row>
    <row r="317" spans="1:22" x14ac:dyDescent="0.35">
      <c r="A317" s="1">
        <v>43304</v>
      </c>
      <c r="B317">
        <v>22.3</v>
      </c>
      <c r="C317">
        <v>15.7</v>
      </c>
      <c r="D317">
        <v>27.9</v>
      </c>
      <c r="E317">
        <v>3616.0000000000023</v>
      </c>
      <c r="H317">
        <v>0</v>
      </c>
      <c r="J317">
        <v>4.9000000000000004</v>
      </c>
      <c r="L317">
        <v>-4.9000000000000004</v>
      </c>
      <c r="N317">
        <v>316</v>
      </c>
      <c r="P317">
        <v>0</v>
      </c>
      <c r="Q317">
        <v>0</v>
      </c>
      <c r="R317">
        <v>120.23285714285721</v>
      </c>
      <c r="T317">
        <v>2364.1</v>
      </c>
      <c r="V317">
        <v>46414.999999999993</v>
      </c>
    </row>
    <row r="318" spans="1:22" x14ac:dyDescent="0.35">
      <c r="A318" s="1">
        <v>43305</v>
      </c>
      <c r="B318">
        <v>22.2</v>
      </c>
      <c r="C318">
        <v>18.8</v>
      </c>
      <c r="D318">
        <v>27.8</v>
      </c>
      <c r="E318">
        <v>3638.2000000000021</v>
      </c>
      <c r="H318">
        <v>0.1</v>
      </c>
      <c r="J318">
        <v>3.4</v>
      </c>
      <c r="L318">
        <v>-3.3</v>
      </c>
      <c r="N318">
        <v>317</v>
      </c>
      <c r="P318">
        <v>0</v>
      </c>
      <c r="Q318">
        <v>0.1</v>
      </c>
      <c r="R318">
        <v>120.33285714285721</v>
      </c>
      <c r="T318">
        <v>1134.5</v>
      </c>
      <c r="V318">
        <v>47549.499999999993</v>
      </c>
    </row>
    <row r="319" spans="1:22" x14ac:dyDescent="0.35">
      <c r="A319" s="1">
        <v>43306</v>
      </c>
      <c r="B319">
        <v>21.8</v>
      </c>
      <c r="C319">
        <v>17.100000000000001</v>
      </c>
      <c r="D319">
        <v>27.1</v>
      </c>
      <c r="E319">
        <v>3660.0000000000023</v>
      </c>
      <c r="H319">
        <v>0</v>
      </c>
      <c r="J319">
        <v>5.2</v>
      </c>
      <c r="L319">
        <v>-5.2</v>
      </c>
      <c r="N319">
        <v>318</v>
      </c>
      <c r="P319">
        <v>0</v>
      </c>
      <c r="Q319">
        <v>0</v>
      </c>
      <c r="R319">
        <v>120.33285714285721</v>
      </c>
      <c r="T319">
        <v>2279.4</v>
      </c>
      <c r="V319">
        <v>49828.899999999994</v>
      </c>
    </row>
    <row r="320" spans="1:22" x14ac:dyDescent="0.35">
      <c r="A320" s="1">
        <v>43307</v>
      </c>
      <c r="B320">
        <v>22.9</v>
      </c>
      <c r="C320">
        <v>17</v>
      </c>
      <c r="D320">
        <v>30.2</v>
      </c>
      <c r="E320">
        <v>3682.9000000000024</v>
      </c>
      <c r="H320">
        <v>0</v>
      </c>
      <c r="J320">
        <v>5.2</v>
      </c>
      <c r="L320">
        <v>-5.2</v>
      </c>
      <c r="N320">
        <v>319</v>
      </c>
      <c r="P320">
        <v>0</v>
      </c>
      <c r="Q320">
        <v>0</v>
      </c>
      <c r="R320">
        <v>120.33285714285721</v>
      </c>
      <c r="T320">
        <v>2212.8000000000002</v>
      </c>
      <c r="V320">
        <v>52041.7</v>
      </c>
    </row>
    <row r="321" spans="1:22" x14ac:dyDescent="0.35">
      <c r="A321" s="1">
        <v>43308</v>
      </c>
      <c r="B321">
        <v>20.8</v>
      </c>
      <c r="C321">
        <v>17.3</v>
      </c>
      <c r="D321">
        <v>24.3</v>
      </c>
      <c r="E321">
        <v>3703.7000000000025</v>
      </c>
      <c r="H321">
        <v>0.7</v>
      </c>
      <c r="J321">
        <v>2.7</v>
      </c>
      <c r="L321">
        <v>-2</v>
      </c>
      <c r="N321">
        <v>320</v>
      </c>
      <c r="P321">
        <v>0</v>
      </c>
      <c r="Q321">
        <v>0.7</v>
      </c>
      <c r="R321">
        <v>121.03285714285721</v>
      </c>
      <c r="T321">
        <v>1198.9000000000001</v>
      </c>
      <c r="V321">
        <v>53240.6</v>
      </c>
    </row>
    <row r="322" spans="1:22" x14ac:dyDescent="0.35">
      <c r="A322" s="1">
        <v>43309</v>
      </c>
      <c r="B322">
        <v>18.5</v>
      </c>
      <c r="C322">
        <v>15.1</v>
      </c>
      <c r="D322">
        <v>21.8</v>
      </c>
      <c r="E322">
        <v>3722.2000000000025</v>
      </c>
      <c r="H322">
        <v>0.4</v>
      </c>
      <c r="J322">
        <v>4.2</v>
      </c>
      <c r="L322">
        <v>-3.8000000000000003</v>
      </c>
      <c r="N322">
        <v>321</v>
      </c>
      <c r="P322">
        <v>0</v>
      </c>
      <c r="Q322">
        <v>0.4</v>
      </c>
      <c r="R322">
        <v>121.43285714285722</v>
      </c>
      <c r="T322">
        <v>2040.2</v>
      </c>
      <c r="V322">
        <v>55280.799999999996</v>
      </c>
    </row>
    <row r="323" spans="1:22" x14ac:dyDescent="0.35">
      <c r="A323" s="1">
        <v>43310</v>
      </c>
      <c r="B323">
        <v>18.399999999999999</v>
      </c>
      <c r="C323">
        <v>16.8</v>
      </c>
      <c r="D323">
        <v>19.600000000000001</v>
      </c>
      <c r="E323">
        <v>3740.6000000000026</v>
      </c>
      <c r="H323">
        <v>3.5</v>
      </c>
      <c r="J323">
        <v>1.5</v>
      </c>
      <c r="L323">
        <v>2</v>
      </c>
      <c r="N323">
        <v>322</v>
      </c>
      <c r="P323">
        <v>0</v>
      </c>
      <c r="Q323">
        <v>3.5</v>
      </c>
      <c r="R323">
        <v>124.93285714285722</v>
      </c>
      <c r="T323">
        <v>678.6</v>
      </c>
      <c r="V323">
        <v>55959.399999999994</v>
      </c>
    </row>
    <row r="324" spans="1:22" x14ac:dyDescent="0.35">
      <c r="A324" s="1">
        <v>43311</v>
      </c>
      <c r="B324">
        <v>20.3</v>
      </c>
      <c r="C324">
        <v>18.8</v>
      </c>
      <c r="D324">
        <v>23.1</v>
      </c>
      <c r="E324">
        <v>3760.9000000000028</v>
      </c>
      <c r="H324">
        <v>0.7</v>
      </c>
      <c r="J324">
        <v>2.1</v>
      </c>
      <c r="L324">
        <v>-1.4000000000000001</v>
      </c>
      <c r="N324">
        <v>323</v>
      </c>
      <c r="P324">
        <v>0</v>
      </c>
      <c r="Q324">
        <v>0.7</v>
      </c>
      <c r="R324">
        <v>125.63285714285722</v>
      </c>
      <c r="T324">
        <v>762.1</v>
      </c>
      <c r="V324">
        <v>56721.499999999993</v>
      </c>
    </row>
    <row r="325" spans="1:22" x14ac:dyDescent="0.35">
      <c r="A325" s="1">
        <v>43312</v>
      </c>
      <c r="B325">
        <v>19.7</v>
      </c>
      <c r="C325">
        <v>17</v>
      </c>
      <c r="D325">
        <v>23.3</v>
      </c>
      <c r="E325">
        <v>3780.6000000000026</v>
      </c>
      <c r="H325">
        <v>0</v>
      </c>
      <c r="J325">
        <v>3.7</v>
      </c>
      <c r="L325">
        <v>-3.7</v>
      </c>
      <c r="N325">
        <v>324</v>
      </c>
      <c r="P325">
        <v>0</v>
      </c>
      <c r="Q325">
        <v>0</v>
      </c>
      <c r="R325">
        <v>125.63285714285722</v>
      </c>
      <c r="T325">
        <v>1879.7</v>
      </c>
      <c r="V325">
        <v>58601.19999999999</v>
      </c>
    </row>
  </sheetData>
  <conditionalFormatting sqref="Y2:Y303">
    <cfRule type="cellIs" dxfId="62" priority="1" operator="lessThan">
      <formula>9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67"/>
  <sheetViews>
    <sheetView zoomScale="80" zoomScaleNormal="80" workbookViewId="0">
      <pane xSplit="6" ySplit="3" topLeftCell="G291" activePane="bottomRight" state="frozen"/>
      <selection pane="topRight" activeCell="G1" sqref="G1"/>
      <selection pane="bottomLeft" activeCell="A4" sqref="A4"/>
      <selection pane="bottomRight" activeCell="J248" sqref="J248"/>
    </sheetView>
  </sheetViews>
  <sheetFormatPr baseColWidth="10" defaultRowHeight="14.5" x14ac:dyDescent="0.35"/>
  <cols>
    <col min="5" max="5" width="11.453125"/>
  </cols>
  <sheetData>
    <row r="1" spans="1:26" s="2" customFormat="1" x14ac:dyDescent="0.35">
      <c r="O1" s="2" t="s">
        <v>27</v>
      </c>
      <c r="P1" s="2">
        <v>197.4</v>
      </c>
      <c r="Q1" s="3" t="s">
        <v>28</v>
      </c>
      <c r="R1" s="2">
        <f>P1/3</f>
        <v>65.8</v>
      </c>
    </row>
    <row r="2" spans="1:26" s="2" customFormat="1" x14ac:dyDescent="0.35">
      <c r="G2" s="43" t="s">
        <v>24</v>
      </c>
      <c r="H2" s="43"/>
      <c r="I2" s="43"/>
      <c r="J2" s="43"/>
      <c r="K2" s="43"/>
      <c r="L2" s="43"/>
      <c r="M2" s="44" t="s">
        <v>25</v>
      </c>
      <c r="N2" s="44"/>
      <c r="O2" s="44"/>
      <c r="P2" s="44"/>
      <c r="Q2" s="44"/>
      <c r="R2" s="44"/>
      <c r="S2" s="44"/>
      <c r="T2" s="44"/>
      <c r="U2" s="44"/>
      <c r="V2" s="44"/>
      <c r="W2" s="44" t="s">
        <v>26</v>
      </c>
      <c r="X2" s="44"/>
      <c r="Y2" s="44"/>
      <c r="Z2" s="44"/>
    </row>
    <row r="3" spans="1:26" s="2" customFormat="1" x14ac:dyDescent="0.3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13</v>
      </c>
      <c r="K3" s="2" t="s">
        <v>12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35">
      <c r="A4">
        <v>2920</v>
      </c>
      <c r="B4">
        <v>23610</v>
      </c>
      <c r="C4" s="1">
        <v>42949</v>
      </c>
      <c r="D4" s="1"/>
      <c r="F4" s="1"/>
      <c r="G4">
        <v>19.3</v>
      </c>
      <c r="H4">
        <v>14</v>
      </c>
      <c r="I4">
        <v>23.2</v>
      </c>
      <c r="M4">
        <v>2.2000000000000002</v>
      </c>
      <c r="N4">
        <v>2.6</v>
      </c>
      <c r="O4">
        <f>M4-N4</f>
        <v>-0.39999999999999991</v>
      </c>
      <c r="P4">
        <v>0</v>
      </c>
      <c r="S4">
        <f>R4*N4</f>
        <v>0</v>
      </c>
      <c r="T4">
        <f>M4-S4</f>
        <v>2.2000000000000002</v>
      </c>
      <c r="W4">
        <v>1061.2</v>
      </c>
    </row>
    <row r="5" spans="1:26" x14ac:dyDescent="0.35">
      <c r="A5">
        <v>2920</v>
      </c>
      <c r="B5">
        <v>23610</v>
      </c>
      <c r="C5" s="1">
        <v>42950</v>
      </c>
      <c r="D5" s="1"/>
      <c r="F5" s="1"/>
      <c r="G5">
        <v>18.2</v>
      </c>
      <c r="H5">
        <v>16.2</v>
      </c>
      <c r="I5">
        <v>20</v>
      </c>
      <c r="M5">
        <v>0</v>
      </c>
      <c r="N5">
        <v>2.4</v>
      </c>
      <c r="O5">
        <f t="shared" ref="O5:O68" si="0">M5-N5</f>
        <v>-2.4</v>
      </c>
      <c r="P5">
        <v>0</v>
      </c>
      <c r="S5">
        <f t="shared" ref="S5:S68" si="1">R5*N5</f>
        <v>0</v>
      </c>
      <c r="T5">
        <f t="shared" ref="T5:T68" si="2">M5-S5</f>
        <v>0</v>
      </c>
      <c r="W5">
        <v>1059.5999999999999</v>
      </c>
    </row>
    <row r="6" spans="1:26" x14ac:dyDescent="0.35">
      <c r="A6">
        <v>2920</v>
      </c>
      <c r="B6">
        <v>23610</v>
      </c>
      <c r="C6" s="1">
        <v>42951</v>
      </c>
      <c r="D6" s="1"/>
      <c r="F6" s="1"/>
      <c r="G6">
        <v>17</v>
      </c>
      <c r="H6">
        <v>16</v>
      </c>
      <c r="I6">
        <v>18.600000000000001</v>
      </c>
      <c r="M6">
        <v>4.8</v>
      </c>
      <c r="N6">
        <v>1.3</v>
      </c>
      <c r="O6">
        <f t="shared" si="0"/>
        <v>3.5</v>
      </c>
      <c r="P6">
        <f>P5+O6</f>
        <v>3.5</v>
      </c>
      <c r="S6">
        <f t="shared" si="1"/>
        <v>0</v>
      </c>
      <c r="T6">
        <f t="shared" si="2"/>
        <v>4.8</v>
      </c>
      <c r="W6">
        <v>637.6</v>
      </c>
    </row>
    <row r="7" spans="1:26" x14ac:dyDescent="0.35">
      <c r="A7">
        <v>2920</v>
      </c>
      <c r="B7">
        <v>23610</v>
      </c>
      <c r="C7" s="1">
        <v>42952</v>
      </c>
      <c r="D7" s="1"/>
      <c r="F7" s="1"/>
      <c r="G7">
        <v>16.7</v>
      </c>
      <c r="H7">
        <v>13.9</v>
      </c>
      <c r="I7">
        <v>20.9</v>
      </c>
      <c r="M7">
        <v>0</v>
      </c>
      <c r="N7">
        <v>4.2</v>
      </c>
      <c r="O7">
        <f t="shared" si="0"/>
        <v>-4.2</v>
      </c>
      <c r="P7">
        <v>0</v>
      </c>
      <c r="S7">
        <f t="shared" si="1"/>
        <v>0</v>
      </c>
      <c r="T7">
        <f t="shared" si="2"/>
        <v>0</v>
      </c>
      <c r="W7">
        <v>2102.3000000000002</v>
      </c>
    </row>
    <row r="8" spans="1:26" x14ac:dyDescent="0.35">
      <c r="A8">
        <v>2920</v>
      </c>
      <c r="B8">
        <v>23610</v>
      </c>
      <c r="C8" s="1">
        <v>42953</v>
      </c>
      <c r="D8" s="1"/>
      <c r="F8" s="1"/>
      <c r="G8">
        <v>15.6</v>
      </c>
      <c r="H8">
        <v>10.4</v>
      </c>
      <c r="I8">
        <v>20.6</v>
      </c>
      <c r="M8">
        <v>0</v>
      </c>
      <c r="N8">
        <v>3.5</v>
      </c>
      <c r="O8">
        <f t="shared" si="0"/>
        <v>-3.5</v>
      </c>
      <c r="P8">
        <v>0</v>
      </c>
      <c r="S8">
        <f t="shared" si="1"/>
        <v>0</v>
      </c>
      <c r="T8">
        <f t="shared" si="2"/>
        <v>0</v>
      </c>
      <c r="W8">
        <v>1893.4</v>
      </c>
    </row>
    <row r="9" spans="1:26" x14ac:dyDescent="0.35">
      <c r="A9">
        <v>2920</v>
      </c>
      <c r="B9">
        <v>23610</v>
      </c>
      <c r="C9" s="1">
        <v>42954</v>
      </c>
      <c r="D9" s="1"/>
      <c r="F9" s="1"/>
      <c r="G9">
        <v>17.3</v>
      </c>
      <c r="H9">
        <v>10.6</v>
      </c>
      <c r="I9">
        <v>23.2</v>
      </c>
      <c r="M9">
        <v>7.6</v>
      </c>
      <c r="N9">
        <v>3.7</v>
      </c>
      <c r="O9">
        <f t="shared" si="0"/>
        <v>3.8999999999999995</v>
      </c>
      <c r="P9">
        <f t="shared" ref="P9:P43" si="3">P8+O9</f>
        <v>3.8999999999999995</v>
      </c>
      <c r="S9">
        <f t="shared" si="1"/>
        <v>0</v>
      </c>
      <c r="T9">
        <f t="shared" si="2"/>
        <v>7.6</v>
      </c>
      <c r="W9">
        <v>1765</v>
      </c>
    </row>
    <row r="10" spans="1:26" x14ac:dyDescent="0.35">
      <c r="A10">
        <v>2920</v>
      </c>
      <c r="B10">
        <v>23610</v>
      </c>
      <c r="C10" s="1">
        <v>42955</v>
      </c>
      <c r="D10" s="1"/>
      <c r="F10" s="1"/>
      <c r="G10">
        <v>15.4</v>
      </c>
      <c r="H10">
        <v>13.9</v>
      </c>
      <c r="I10">
        <v>17.600000000000001</v>
      </c>
      <c r="M10">
        <v>13.4</v>
      </c>
      <c r="N10">
        <v>1.7</v>
      </c>
      <c r="O10">
        <f t="shared" si="0"/>
        <v>11.700000000000001</v>
      </c>
      <c r="P10">
        <f t="shared" si="3"/>
        <v>15.600000000000001</v>
      </c>
      <c r="S10">
        <f t="shared" si="1"/>
        <v>0</v>
      </c>
      <c r="T10">
        <f t="shared" si="2"/>
        <v>13.4</v>
      </c>
      <c r="W10">
        <v>795.5</v>
      </c>
    </row>
    <row r="11" spans="1:26" x14ac:dyDescent="0.35">
      <c r="A11">
        <v>2920</v>
      </c>
      <c r="B11">
        <v>23610</v>
      </c>
      <c r="C11" s="1">
        <v>42956</v>
      </c>
      <c r="D11" s="1"/>
      <c r="F11" s="1"/>
      <c r="G11">
        <v>14.1</v>
      </c>
      <c r="H11">
        <v>10.4</v>
      </c>
      <c r="I11">
        <v>17</v>
      </c>
      <c r="M11">
        <v>7.2</v>
      </c>
      <c r="N11">
        <v>1.9</v>
      </c>
      <c r="O11">
        <f t="shared" si="0"/>
        <v>5.3000000000000007</v>
      </c>
      <c r="P11">
        <f t="shared" si="3"/>
        <v>20.900000000000002</v>
      </c>
      <c r="S11">
        <f t="shared" si="1"/>
        <v>0</v>
      </c>
      <c r="T11">
        <f t="shared" si="2"/>
        <v>7.2</v>
      </c>
      <c r="W11">
        <v>1301</v>
      </c>
    </row>
    <row r="12" spans="1:26" x14ac:dyDescent="0.35">
      <c r="A12">
        <v>2920</v>
      </c>
      <c r="B12">
        <v>23610</v>
      </c>
      <c r="C12" s="1">
        <v>42957</v>
      </c>
      <c r="D12" s="1"/>
      <c r="F12" s="1"/>
      <c r="G12">
        <v>15.3</v>
      </c>
      <c r="H12">
        <v>14</v>
      </c>
      <c r="I12">
        <v>17.5</v>
      </c>
      <c r="M12">
        <v>0.6</v>
      </c>
      <c r="N12">
        <v>1.8</v>
      </c>
      <c r="O12">
        <f t="shared" si="0"/>
        <v>-1.2000000000000002</v>
      </c>
      <c r="P12">
        <f t="shared" si="3"/>
        <v>19.700000000000003</v>
      </c>
      <c r="S12">
        <f t="shared" si="1"/>
        <v>0</v>
      </c>
      <c r="T12">
        <f t="shared" si="2"/>
        <v>0.6</v>
      </c>
      <c r="W12">
        <v>715.7</v>
      </c>
    </row>
    <row r="13" spans="1:26" x14ac:dyDescent="0.35">
      <c r="A13">
        <v>2920</v>
      </c>
      <c r="B13">
        <v>23610</v>
      </c>
      <c r="C13" s="1">
        <v>42958</v>
      </c>
      <c r="D13" s="1"/>
      <c r="F13" s="1"/>
      <c r="G13">
        <v>15.8</v>
      </c>
      <c r="H13">
        <v>10.8</v>
      </c>
      <c r="I13">
        <v>19.899999999999999</v>
      </c>
      <c r="M13">
        <v>0.4</v>
      </c>
      <c r="N13">
        <v>2.6</v>
      </c>
      <c r="O13">
        <f t="shared" si="0"/>
        <v>-2.2000000000000002</v>
      </c>
      <c r="P13">
        <f t="shared" si="3"/>
        <v>17.500000000000004</v>
      </c>
      <c r="S13">
        <f t="shared" si="1"/>
        <v>0</v>
      </c>
      <c r="T13">
        <f t="shared" si="2"/>
        <v>0.4</v>
      </c>
      <c r="W13">
        <v>1315.8</v>
      </c>
    </row>
    <row r="14" spans="1:26" x14ac:dyDescent="0.35">
      <c r="A14">
        <v>2920</v>
      </c>
      <c r="B14">
        <v>23610</v>
      </c>
      <c r="C14" s="1">
        <v>42959</v>
      </c>
      <c r="D14" s="1"/>
      <c r="F14" s="1"/>
      <c r="G14">
        <v>16.8</v>
      </c>
      <c r="H14">
        <v>15.1</v>
      </c>
      <c r="I14">
        <v>19</v>
      </c>
      <c r="M14">
        <v>2.9</v>
      </c>
      <c r="N14">
        <v>1.1000000000000001</v>
      </c>
      <c r="O14">
        <f t="shared" si="0"/>
        <v>1.7999999999999998</v>
      </c>
      <c r="P14">
        <f t="shared" si="3"/>
        <v>19.300000000000004</v>
      </c>
      <c r="S14">
        <f t="shared" si="1"/>
        <v>0</v>
      </c>
      <c r="T14">
        <f t="shared" si="2"/>
        <v>2.9</v>
      </c>
      <c r="W14">
        <v>412.6</v>
      </c>
    </row>
    <row r="15" spans="1:26" x14ac:dyDescent="0.35">
      <c r="A15">
        <v>2920</v>
      </c>
      <c r="B15">
        <v>23610</v>
      </c>
      <c r="C15" s="1">
        <v>42960</v>
      </c>
      <c r="D15" s="1"/>
      <c r="F15" s="1"/>
      <c r="G15">
        <v>17</v>
      </c>
      <c r="H15">
        <v>13.6</v>
      </c>
      <c r="I15">
        <v>20.7</v>
      </c>
      <c r="M15">
        <v>0</v>
      </c>
      <c r="N15">
        <v>3.1</v>
      </c>
      <c r="O15">
        <f t="shared" si="0"/>
        <v>-3.1</v>
      </c>
      <c r="P15">
        <f t="shared" si="3"/>
        <v>16.200000000000003</v>
      </c>
      <c r="S15">
        <f t="shared" si="1"/>
        <v>0</v>
      </c>
      <c r="T15">
        <f t="shared" si="2"/>
        <v>0</v>
      </c>
      <c r="W15">
        <v>1626.9</v>
      </c>
    </row>
    <row r="16" spans="1:26" x14ac:dyDescent="0.35">
      <c r="A16">
        <v>2920</v>
      </c>
      <c r="B16">
        <v>23610</v>
      </c>
      <c r="C16" s="1">
        <v>42961</v>
      </c>
      <c r="D16" s="1"/>
      <c r="F16" s="1"/>
      <c r="G16">
        <v>19.8</v>
      </c>
      <c r="H16">
        <v>12.5</v>
      </c>
      <c r="I16">
        <v>25.5</v>
      </c>
      <c r="M16">
        <v>0</v>
      </c>
      <c r="N16">
        <v>2.9</v>
      </c>
      <c r="O16">
        <f t="shared" si="0"/>
        <v>-2.9</v>
      </c>
      <c r="P16">
        <f t="shared" si="3"/>
        <v>13.300000000000002</v>
      </c>
      <c r="S16">
        <f t="shared" si="1"/>
        <v>0</v>
      </c>
      <c r="T16">
        <f t="shared" si="2"/>
        <v>0</v>
      </c>
      <c r="W16">
        <v>1561.1</v>
      </c>
    </row>
    <row r="17" spans="1:23" x14ac:dyDescent="0.35">
      <c r="A17">
        <v>2920</v>
      </c>
      <c r="B17">
        <v>23610</v>
      </c>
      <c r="C17" s="1">
        <v>42962</v>
      </c>
      <c r="D17" s="1"/>
      <c r="F17" s="1"/>
      <c r="G17">
        <v>18.8</v>
      </c>
      <c r="H17">
        <v>17.399999999999999</v>
      </c>
      <c r="I17">
        <v>20.7</v>
      </c>
      <c r="M17">
        <v>0</v>
      </c>
      <c r="N17">
        <v>1.9</v>
      </c>
      <c r="O17">
        <f t="shared" si="0"/>
        <v>-1.9</v>
      </c>
      <c r="P17">
        <f t="shared" si="3"/>
        <v>11.400000000000002</v>
      </c>
      <c r="S17">
        <f t="shared" si="1"/>
        <v>0</v>
      </c>
      <c r="T17">
        <f t="shared" si="2"/>
        <v>0</v>
      </c>
      <c r="W17">
        <v>900</v>
      </c>
    </row>
    <row r="18" spans="1:23" x14ac:dyDescent="0.35">
      <c r="A18">
        <v>2920</v>
      </c>
      <c r="B18">
        <v>23610</v>
      </c>
      <c r="C18" s="1">
        <v>42963</v>
      </c>
      <c r="D18" s="1"/>
      <c r="F18" s="1"/>
      <c r="G18">
        <v>18.899999999999999</v>
      </c>
      <c r="H18">
        <v>14.5</v>
      </c>
      <c r="I18">
        <v>23.4</v>
      </c>
      <c r="M18">
        <v>0.5</v>
      </c>
      <c r="N18">
        <v>2.6</v>
      </c>
      <c r="O18">
        <f t="shared" si="0"/>
        <v>-2.1</v>
      </c>
      <c r="P18">
        <f t="shared" si="3"/>
        <v>9.3000000000000025</v>
      </c>
      <c r="S18">
        <f t="shared" si="1"/>
        <v>0</v>
      </c>
      <c r="T18">
        <f t="shared" si="2"/>
        <v>0.5</v>
      </c>
      <c r="W18">
        <v>1156.9000000000001</v>
      </c>
    </row>
    <row r="19" spans="1:23" x14ac:dyDescent="0.35">
      <c r="A19">
        <v>2920</v>
      </c>
      <c r="B19">
        <v>23610</v>
      </c>
      <c r="C19" s="1">
        <v>42964</v>
      </c>
      <c r="D19" s="1"/>
      <c r="F19" s="1"/>
      <c r="G19">
        <v>20.100000000000001</v>
      </c>
      <c r="H19">
        <v>17.5</v>
      </c>
      <c r="I19">
        <v>21.9</v>
      </c>
      <c r="M19">
        <v>3.6</v>
      </c>
      <c r="N19">
        <v>1.4</v>
      </c>
      <c r="O19">
        <f t="shared" si="0"/>
        <v>2.2000000000000002</v>
      </c>
      <c r="P19">
        <f t="shared" si="3"/>
        <v>11.500000000000004</v>
      </c>
      <c r="S19">
        <f t="shared" si="1"/>
        <v>0</v>
      </c>
      <c r="T19">
        <f t="shared" si="2"/>
        <v>3.6</v>
      </c>
      <c r="W19">
        <v>514.79999999999995</v>
      </c>
    </row>
    <row r="20" spans="1:23" x14ac:dyDescent="0.35">
      <c r="A20">
        <v>2920</v>
      </c>
      <c r="B20">
        <v>23610</v>
      </c>
      <c r="C20" s="1">
        <v>42965</v>
      </c>
      <c r="D20" s="1"/>
      <c r="F20" s="1"/>
      <c r="G20">
        <v>18.100000000000001</v>
      </c>
      <c r="H20">
        <v>17.399999999999999</v>
      </c>
      <c r="I20">
        <v>20.8</v>
      </c>
      <c r="M20">
        <v>0.1</v>
      </c>
      <c r="N20">
        <v>2.1</v>
      </c>
      <c r="O20">
        <f t="shared" si="0"/>
        <v>-2</v>
      </c>
      <c r="P20">
        <f t="shared" si="3"/>
        <v>9.5000000000000036</v>
      </c>
      <c r="S20">
        <f t="shared" si="1"/>
        <v>0</v>
      </c>
      <c r="T20">
        <f t="shared" si="2"/>
        <v>0.1</v>
      </c>
      <c r="W20">
        <v>850.6</v>
      </c>
    </row>
    <row r="21" spans="1:23" x14ac:dyDescent="0.35">
      <c r="A21">
        <v>2920</v>
      </c>
      <c r="B21">
        <v>23610</v>
      </c>
      <c r="C21" s="1">
        <v>42966</v>
      </c>
      <c r="D21" s="1"/>
      <c r="F21" s="1"/>
      <c r="G21">
        <v>15.5</v>
      </c>
      <c r="H21">
        <v>11.3</v>
      </c>
      <c r="I21">
        <v>20</v>
      </c>
      <c r="M21">
        <v>0</v>
      </c>
      <c r="N21">
        <v>3.2</v>
      </c>
      <c r="O21">
        <f t="shared" si="0"/>
        <v>-3.2</v>
      </c>
      <c r="P21">
        <f t="shared" si="3"/>
        <v>6.3000000000000034</v>
      </c>
      <c r="S21">
        <f t="shared" si="1"/>
        <v>0</v>
      </c>
      <c r="T21">
        <f t="shared" si="2"/>
        <v>0</v>
      </c>
      <c r="W21">
        <v>1780</v>
      </c>
    </row>
    <row r="22" spans="1:23" x14ac:dyDescent="0.35">
      <c r="A22">
        <v>2920</v>
      </c>
      <c r="B22">
        <v>23610</v>
      </c>
      <c r="C22" s="1">
        <v>42967</v>
      </c>
      <c r="D22" s="1"/>
      <c r="F22" s="1"/>
      <c r="G22">
        <v>16.7</v>
      </c>
      <c r="H22">
        <v>10.1</v>
      </c>
      <c r="I22">
        <v>21.5</v>
      </c>
      <c r="M22">
        <v>0</v>
      </c>
      <c r="N22">
        <v>3.5</v>
      </c>
      <c r="O22">
        <f t="shared" si="0"/>
        <v>-3.5</v>
      </c>
      <c r="P22">
        <f t="shared" si="3"/>
        <v>2.8000000000000034</v>
      </c>
      <c r="S22">
        <f t="shared" si="1"/>
        <v>0</v>
      </c>
      <c r="T22">
        <f t="shared" si="2"/>
        <v>0</v>
      </c>
      <c r="W22">
        <v>1799.7</v>
      </c>
    </row>
    <row r="23" spans="1:23" x14ac:dyDescent="0.35">
      <c r="A23">
        <v>2920</v>
      </c>
      <c r="B23">
        <v>23610</v>
      </c>
      <c r="C23" s="1">
        <v>42968</v>
      </c>
      <c r="D23" s="1"/>
      <c r="F23" s="1"/>
      <c r="G23">
        <v>20.9</v>
      </c>
      <c r="H23">
        <v>16.7</v>
      </c>
      <c r="I23">
        <v>25</v>
      </c>
      <c r="M23">
        <v>0</v>
      </c>
      <c r="N23">
        <v>2.1</v>
      </c>
      <c r="O23">
        <f t="shared" si="0"/>
        <v>-2.1</v>
      </c>
      <c r="P23">
        <f t="shared" si="3"/>
        <v>0.70000000000000329</v>
      </c>
      <c r="S23">
        <f t="shared" si="1"/>
        <v>0</v>
      </c>
      <c r="T23">
        <f t="shared" si="2"/>
        <v>0</v>
      </c>
      <c r="W23">
        <v>965.3</v>
      </c>
    </row>
    <row r="24" spans="1:23" x14ac:dyDescent="0.35">
      <c r="A24">
        <v>2920</v>
      </c>
      <c r="B24">
        <v>23610</v>
      </c>
      <c r="C24" s="1">
        <v>42969</v>
      </c>
      <c r="D24" s="1"/>
      <c r="F24" s="1"/>
      <c r="G24">
        <v>23.2</v>
      </c>
      <c r="H24">
        <v>17.100000000000001</v>
      </c>
      <c r="I24">
        <v>29.2</v>
      </c>
      <c r="M24">
        <v>0</v>
      </c>
      <c r="N24">
        <v>4.8</v>
      </c>
      <c r="O24">
        <f t="shared" si="0"/>
        <v>-4.8</v>
      </c>
      <c r="P24">
        <v>0</v>
      </c>
      <c r="S24">
        <f t="shared" si="1"/>
        <v>0</v>
      </c>
      <c r="T24">
        <f t="shared" si="2"/>
        <v>0</v>
      </c>
      <c r="W24">
        <v>2116.6</v>
      </c>
    </row>
    <row r="25" spans="1:23" x14ac:dyDescent="0.35">
      <c r="A25">
        <v>2920</v>
      </c>
      <c r="B25">
        <v>23610</v>
      </c>
      <c r="C25" s="1">
        <v>42970</v>
      </c>
      <c r="D25" s="1"/>
      <c r="F25" s="1"/>
      <c r="G25">
        <v>19.399999999999999</v>
      </c>
      <c r="H25">
        <v>16.2</v>
      </c>
      <c r="I25">
        <v>23.3</v>
      </c>
      <c r="M25">
        <v>0</v>
      </c>
      <c r="N25">
        <v>2.8</v>
      </c>
      <c r="O25">
        <f t="shared" si="0"/>
        <v>-2.8</v>
      </c>
      <c r="P25">
        <v>0</v>
      </c>
      <c r="S25">
        <f t="shared" si="1"/>
        <v>0</v>
      </c>
      <c r="T25">
        <f t="shared" si="2"/>
        <v>0</v>
      </c>
      <c r="W25">
        <v>1318.5</v>
      </c>
    </row>
    <row r="26" spans="1:23" x14ac:dyDescent="0.35">
      <c r="A26">
        <v>2920</v>
      </c>
      <c r="B26">
        <v>23610</v>
      </c>
      <c r="C26" s="1">
        <v>42971</v>
      </c>
      <c r="D26" s="1"/>
      <c r="F26" s="1"/>
      <c r="G26">
        <v>18.2</v>
      </c>
      <c r="H26">
        <v>14.1</v>
      </c>
      <c r="I26">
        <v>22.2</v>
      </c>
      <c r="M26">
        <v>0</v>
      </c>
      <c r="N26">
        <v>3.5</v>
      </c>
      <c r="O26">
        <f t="shared" si="0"/>
        <v>-3.5</v>
      </c>
      <c r="P26">
        <v>0</v>
      </c>
      <c r="S26">
        <f t="shared" si="1"/>
        <v>0</v>
      </c>
      <c r="T26">
        <f t="shared" si="2"/>
        <v>0</v>
      </c>
      <c r="W26">
        <v>1793.7</v>
      </c>
    </row>
    <row r="27" spans="1:23" x14ac:dyDescent="0.35">
      <c r="A27">
        <v>2920</v>
      </c>
      <c r="B27">
        <v>23610</v>
      </c>
      <c r="C27" s="1">
        <v>42972</v>
      </c>
      <c r="D27" s="1"/>
      <c r="F27" s="1"/>
      <c r="G27">
        <v>20</v>
      </c>
      <c r="H27">
        <v>16.600000000000001</v>
      </c>
      <c r="I27">
        <v>24.3</v>
      </c>
      <c r="M27">
        <v>0</v>
      </c>
      <c r="N27">
        <v>2</v>
      </c>
      <c r="O27">
        <f t="shared" si="0"/>
        <v>-2</v>
      </c>
      <c r="P27">
        <v>0</v>
      </c>
      <c r="S27">
        <f t="shared" si="1"/>
        <v>0</v>
      </c>
      <c r="T27">
        <f t="shared" si="2"/>
        <v>0</v>
      </c>
      <c r="W27">
        <v>830</v>
      </c>
    </row>
    <row r="28" spans="1:23" x14ac:dyDescent="0.35">
      <c r="A28">
        <v>2920</v>
      </c>
      <c r="B28">
        <v>23610</v>
      </c>
      <c r="C28" s="1">
        <v>42973</v>
      </c>
      <c r="D28" s="1"/>
      <c r="F28" s="1"/>
      <c r="G28">
        <v>20.5</v>
      </c>
      <c r="H28">
        <v>14.2</v>
      </c>
      <c r="I28">
        <v>25.7</v>
      </c>
      <c r="M28">
        <v>0.7</v>
      </c>
      <c r="N28">
        <v>2.9</v>
      </c>
      <c r="O28">
        <f t="shared" si="0"/>
        <v>-2.2000000000000002</v>
      </c>
      <c r="P28">
        <v>0</v>
      </c>
      <c r="S28">
        <f t="shared" si="1"/>
        <v>0</v>
      </c>
      <c r="T28">
        <f t="shared" si="2"/>
        <v>0.7</v>
      </c>
      <c r="W28">
        <v>1546.1</v>
      </c>
    </row>
    <row r="29" spans="1:23" x14ac:dyDescent="0.35">
      <c r="A29">
        <v>2920</v>
      </c>
      <c r="B29">
        <v>23610</v>
      </c>
      <c r="C29" s="1">
        <v>42974</v>
      </c>
      <c r="D29" s="1"/>
      <c r="F29" s="1"/>
      <c r="G29">
        <v>22.8</v>
      </c>
      <c r="H29">
        <v>16.7</v>
      </c>
      <c r="I29">
        <v>27.8</v>
      </c>
      <c r="M29">
        <v>0</v>
      </c>
      <c r="N29">
        <v>3.6</v>
      </c>
      <c r="O29">
        <f t="shared" si="0"/>
        <v>-3.6</v>
      </c>
      <c r="P29">
        <v>0</v>
      </c>
      <c r="S29">
        <f t="shared" si="1"/>
        <v>0</v>
      </c>
      <c r="T29">
        <f t="shared" si="2"/>
        <v>0</v>
      </c>
      <c r="W29">
        <v>1758.3</v>
      </c>
    </row>
    <row r="30" spans="1:23" x14ac:dyDescent="0.35">
      <c r="A30">
        <v>2920</v>
      </c>
      <c r="B30">
        <v>23610</v>
      </c>
      <c r="C30" s="1">
        <v>42975</v>
      </c>
      <c r="D30" s="1"/>
      <c r="F30" s="1"/>
      <c r="G30">
        <v>24</v>
      </c>
      <c r="H30">
        <v>19</v>
      </c>
      <c r="I30">
        <v>29.1</v>
      </c>
      <c r="M30">
        <v>1.6</v>
      </c>
      <c r="N30">
        <v>2.7</v>
      </c>
      <c r="O30">
        <f t="shared" si="0"/>
        <v>-1.1000000000000001</v>
      </c>
      <c r="P30">
        <v>0</v>
      </c>
      <c r="S30">
        <f t="shared" si="1"/>
        <v>0</v>
      </c>
      <c r="T30">
        <f t="shared" si="2"/>
        <v>1.6</v>
      </c>
      <c r="W30">
        <v>981.7</v>
      </c>
    </row>
    <row r="31" spans="1:23" x14ac:dyDescent="0.35">
      <c r="A31">
        <v>2920</v>
      </c>
      <c r="B31">
        <v>23610</v>
      </c>
      <c r="C31" s="1">
        <v>42976</v>
      </c>
      <c r="D31" s="1"/>
      <c r="F31" s="1"/>
      <c r="G31">
        <v>21.7</v>
      </c>
      <c r="H31">
        <v>18.100000000000001</v>
      </c>
      <c r="I31">
        <v>29.7</v>
      </c>
      <c r="M31">
        <v>0</v>
      </c>
      <c r="N31">
        <v>3.2</v>
      </c>
      <c r="O31">
        <f t="shared" si="0"/>
        <v>-3.2</v>
      </c>
      <c r="P31">
        <v>0</v>
      </c>
      <c r="S31">
        <f t="shared" si="1"/>
        <v>0</v>
      </c>
      <c r="T31">
        <f t="shared" si="2"/>
        <v>0</v>
      </c>
      <c r="W31">
        <v>823.7</v>
      </c>
    </row>
    <row r="32" spans="1:23" x14ac:dyDescent="0.35">
      <c r="A32">
        <v>2920</v>
      </c>
      <c r="B32">
        <v>23610</v>
      </c>
      <c r="C32" s="1">
        <v>42977</v>
      </c>
      <c r="D32" s="1"/>
      <c r="F32" s="1"/>
      <c r="G32">
        <v>14.5</v>
      </c>
      <c r="H32">
        <v>13.3</v>
      </c>
      <c r="I32">
        <v>15.7</v>
      </c>
      <c r="M32">
        <v>3.1</v>
      </c>
      <c r="N32">
        <v>1.8</v>
      </c>
      <c r="O32">
        <f t="shared" si="0"/>
        <v>1.3</v>
      </c>
      <c r="P32">
        <f t="shared" si="3"/>
        <v>1.3</v>
      </c>
      <c r="S32">
        <f t="shared" si="1"/>
        <v>0</v>
      </c>
      <c r="T32">
        <f t="shared" si="2"/>
        <v>3.1</v>
      </c>
      <c r="W32">
        <v>1030.3</v>
      </c>
    </row>
    <row r="33" spans="1:26" x14ac:dyDescent="0.35">
      <c r="A33">
        <v>2920</v>
      </c>
      <c r="B33">
        <v>23610</v>
      </c>
      <c r="C33" s="1">
        <v>42978</v>
      </c>
      <c r="D33" s="1"/>
      <c r="F33" s="1"/>
      <c r="G33">
        <v>14.2</v>
      </c>
      <c r="H33">
        <v>9.6</v>
      </c>
      <c r="I33">
        <v>19.7</v>
      </c>
      <c r="M33">
        <v>6</v>
      </c>
      <c r="N33">
        <v>1.8</v>
      </c>
      <c r="O33">
        <f t="shared" si="0"/>
        <v>4.2</v>
      </c>
      <c r="P33">
        <f t="shared" si="3"/>
        <v>5.5</v>
      </c>
      <c r="S33">
        <f t="shared" si="1"/>
        <v>0</v>
      </c>
      <c r="T33">
        <f t="shared" si="2"/>
        <v>6</v>
      </c>
      <c r="W33">
        <v>918</v>
      </c>
    </row>
    <row r="34" spans="1:26" x14ac:dyDescent="0.35">
      <c r="A34">
        <v>2920</v>
      </c>
      <c r="B34">
        <v>23610</v>
      </c>
      <c r="C34" s="1">
        <v>42979</v>
      </c>
      <c r="D34" s="1"/>
      <c r="F34" s="1"/>
      <c r="G34">
        <v>14.2</v>
      </c>
      <c r="H34">
        <v>12.1</v>
      </c>
      <c r="I34">
        <v>16.600000000000001</v>
      </c>
      <c r="M34">
        <v>7.6</v>
      </c>
      <c r="N34">
        <v>2.2000000000000002</v>
      </c>
      <c r="O34">
        <f t="shared" si="0"/>
        <v>5.3999999999999995</v>
      </c>
      <c r="P34">
        <f t="shared" si="3"/>
        <v>10.899999999999999</v>
      </c>
      <c r="S34">
        <f t="shared" si="1"/>
        <v>0</v>
      </c>
      <c r="T34">
        <f t="shared" si="2"/>
        <v>7.6</v>
      </c>
      <c r="W34">
        <v>1367.9</v>
      </c>
    </row>
    <row r="35" spans="1:26" x14ac:dyDescent="0.35">
      <c r="A35">
        <v>2920</v>
      </c>
      <c r="B35">
        <v>23610</v>
      </c>
      <c r="C35" s="1">
        <v>42980</v>
      </c>
      <c r="D35" s="1"/>
      <c r="F35" s="1"/>
      <c r="G35">
        <v>15.3</v>
      </c>
      <c r="H35">
        <v>10.3</v>
      </c>
      <c r="I35">
        <v>20</v>
      </c>
      <c r="M35">
        <v>0.1</v>
      </c>
      <c r="N35">
        <v>3.4</v>
      </c>
      <c r="O35">
        <f t="shared" si="0"/>
        <v>-3.3</v>
      </c>
      <c r="P35">
        <f t="shared" si="3"/>
        <v>7.5999999999999988</v>
      </c>
      <c r="S35">
        <f t="shared" si="1"/>
        <v>0</v>
      </c>
      <c r="T35">
        <f t="shared" si="2"/>
        <v>0.1</v>
      </c>
      <c r="W35">
        <v>1943.8</v>
      </c>
    </row>
    <row r="36" spans="1:26" x14ac:dyDescent="0.35">
      <c r="A36">
        <v>2920</v>
      </c>
      <c r="B36">
        <v>23610</v>
      </c>
      <c r="C36" s="1">
        <v>42981</v>
      </c>
      <c r="D36" s="1"/>
      <c r="F36" s="1"/>
      <c r="G36">
        <v>14.2</v>
      </c>
      <c r="H36">
        <v>13.1</v>
      </c>
      <c r="I36">
        <v>15.7</v>
      </c>
      <c r="M36">
        <v>8.1999999999999993</v>
      </c>
      <c r="N36">
        <v>1</v>
      </c>
      <c r="O36">
        <f t="shared" si="0"/>
        <v>7.1999999999999993</v>
      </c>
      <c r="P36">
        <f t="shared" si="3"/>
        <v>14.799999999999997</v>
      </c>
      <c r="S36">
        <f t="shared" si="1"/>
        <v>0</v>
      </c>
      <c r="T36">
        <f t="shared" si="2"/>
        <v>8.1999999999999993</v>
      </c>
      <c r="W36">
        <v>327.9</v>
      </c>
    </row>
    <row r="37" spans="1:26" x14ac:dyDescent="0.35">
      <c r="A37">
        <v>2920</v>
      </c>
      <c r="B37">
        <v>23610</v>
      </c>
      <c r="C37" s="1">
        <v>42982</v>
      </c>
      <c r="D37" s="1"/>
      <c r="F37" s="1"/>
      <c r="G37">
        <v>18.2</v>
      </c>
      <c r="H37">
        <v>14.8</v>
      </c>
      <c r="I37">
        <v>21.3</v>
      </c>
      <c r="M37">
        <v>0.2</v>
      </c>
      <c r="N37">
        <v>0.5</v>
      </c>
      <c r="O37">
        <f t="shared" si="0"/>
        <v>-0.3</v>
      </c>
      <c r="P37">
        <f t="shared" si="3"/>
        <v>14.499999999999996</v>
      </c>
      <c r="S37">
        <f t="shared" si="1"/>
        <v>0</v>
      </c>
      <c r="T37">
        <f t="shared" si="2"/>
        <v>0.2</v>
      </c>
      <c r="W37">
        <v>340.4</v>
      </c>
    </row>
    <row r="38" spans="1:26" x14ac:dyDescent="0.35">
      <c r="A38">
        <v>2920</v>
      </c>
      <c r="B38">
        <v>23610</v>
      </c>
      <c r="C38" s="1">
        <v>42983</v>
      </c>
      <c r="D38" s="1"/>
      <c r="F38" s="1"/>
      <c r="G38">
        <v>17.7</v>
      </c>
      <c r="H38">
        <v>16.100000000000001</v>
      </c>
      <c r="I38">
        <v>21.1</v>
      </c>
      <c r="M38">
        <v>0.2</v>
      </c>
      <c r="N38">
        <v>1.7</v>
      </c>
      <c r="O38">
        <f t="shared" si="0"/>
        <v>-1.5</v>
      </c>
      <c r="P38">
        <f t="shared" si="3"/>
        <v>12.999999999999996</v>
      </c>
      <c r="S38">
        <f t="shared" si="1"/>
        <v>0</v>
      </c>
      <c r="T38">
        <f t="shared" si="2"/>
        <v>0.2</v>
      </c>
      <c r="W38">
        <v>343.9</v>
      </c>
    </row>
    <row r="39" spans="1:26" x14ac:dyDescent="0.35">
      <c r="A39">
        <v>2920</v>
      </c>
      <c r="B39">
        <v>23610</v>
      </c>
      <c r="C39" s="1">
        <v>42984</v>
      </c>
      <c r="D39" s="1"/>
      <c r="F39" s="1"/>
      <c r="G39">
        <v>15.7</v>
      </c>
      <c r="H39">
        <v>12.3</v>
      </c>
      <c r="I39">
        <v>19</v>
      </c>
      <c r="M39">
        <v>0</v>
      </c>
      <c r="N39">
        <v>1.9</v>
      </c>
      <c r="O39">
        <f t="shared" si="0"/>
        <v>-1.9</v>
      </c>
      <c r="P39">
        <f t="shared" si="3"/>
        <v>11.099999999999996</v>
      </c>
      <c r="S39">
        <f t="shared" si="1"/>
        <v>0</v>
      </c>
      <c r="T39">
        <f t="shared" si="2"/>
        <v>0</v>
      </c>
      <c r="W39">
        <v>793.2</v>
      </c>
    </row>
    <row r="40" spans="1:26" x14ac:dyDescent="0.35">
      <c r="A40">
        <v>2920</v>
      </c>
      <c r="B40">
        <v>23610</v>
      </c>
      <c r="C40" s="1">
        <v>42985</v>
      </c>
      <c r="D40" s="1"/>
      <c r="F40" s="1"/>
      <c r="G40">
        <v>15.2</v>
      </c>
      <c r="H40">
        <v>12.4</v>
      </c>
      <c r="I40">
        <v>17.899999999999999</v>
      </c>
      <c r="M40">
        <v>0.8</v>
      </c>
      <c r="N40">
        <v>1.1000000000000001</v>
      </c>
      <c r="O40">
        <f t="shared" si="0"/>
        <v>-0.30000000000000004</v>
      </c>
      <c r="P40">
        <f t="shared" si="3"/>
        <v>10.799999999999995</v>
      </c>
      <c r="S40">
        <f t="shared" si="1"/>
        <v>0</v>
      </c>
      <c r="T40">
        <f t="shared" si="2"/>
        <v>0.8</v>
      </c>
      <c r="W40">
        <v>414.7</v>
      </c>
    </row>
    <row r="41" spans="1:26" x14ac:dyDescent="0.35">
      <c r="A41">
        <v>2920</v>
      </c>
      <c r="B41">
        <v>23610</v>
      </c>
      <c r="C41" s="1">
        <v>42986</v>
      </c>
      <c r="D41" s="1"/>
      <c r="F41" s="1"/>
      <c r="G41">
        <v>15.6</v>
      </c>
      <c r="H41">
        <v>15.2</v>
      </c>
      <c r="I41">
        <v>17.3</v>
      </c>
      <c r="M41">
        <v>18.100000000000001</v>
      </c>
      <c r="N41">
        <v>1.2</v>
      </c>
      <c r="O41">
        <f t="shared" si="0"/>
        <v>16.900000000000002</v>
      </c>
      <c r="P41">
        <f t="shared" si="3"/>
        <v>27.699999999999996</v>
      </c>
      <c r="S41">
        <f t="shared" si="1"/>
        <v>0</v>
      </c>
      <c r="T41">
        <f t="shared" si="2"/>
        <v>18.100000000000001</v>
      </c>
      <c r="W41">
        <v>432.2</v>
      </c>
    </row>
    <row r="42" spans="1:26" x14ac:dyDescent="0.35">
      <c r="A42">
        <v>2920</v>
      </c>
      <c r="B42">
        <v>23610</v>
      </c>
      <c r="C42" s="1">
        <v>42987</v>
      </c>
      <c r="D42" s="1"/>
      <c r="F42" s="1"/>
      <c r="G42">
        <v>14.2</v>
      </c>
      <c r="H42">
        <v>11.1</v>
      </c>
      <c r="I42">
        <v>16.899999999999999</v>
      </c>
      <c r="M42">
        <v>2.9</v>
      </c>
      <c r="N42">
        <v>1.9</v>
      </c>
      <c r="O42">
        <f t="shared" si="0"/>
        <v>1</v>
      </c>
      <c r="P42">
        <f t="shared" si="3"/>
        <v>28.699999999999996</v>
      </c>
      <c r="S42">
        <f t="shared" si="1"/>
        <v>0</v>
      </c>
      <c r="T42">
        <f t="shared" si="2"/>
        <v>2.9</v>
      </c>
      <c r="W42">
        <v>1086.2</v>
      </c>
    </row>
    <row r="43" spans="1:26" s="4" customFormat="1" ht="15" thickBot="1" x14ac:dyDescent="0.4">
      <c r="A43" s="4">
        <v>2920</v>
      </c>
      <c r="B43" s="4">
        <v>23610</v>
      </c>
      <c r="C43" s="5">
        <v>42988</v>
      </c>
      <c r="D43" s="5"/>
      <c r="F43" s="5"/>
      <c r="G43" s="4">
        <v>14.4</v>
      </c>
      <c r="H43" s="4">
        <v>11.7</v>
      </c>
      <c r="I43" s="4">
        <v>17.100000000000001</v>
      </c>
      <c r="M43" s="4">
        <v>0.6</v>
      </c>
      <c r="N43" s="4">
        <v>1.5</v>
      </c>
      <c r="O43" s="4">
        <f t="shared" si="0"/>
        <v>-0.9</v>
      </c>
      <c r="P43" s="4">
        <f t="shared" si="3"/>
        <v>27.799999999999997</v>
      </c>
      <c r="S43" s="4">
        <f t="shared" si="1"/>
        <v>0</v>
      </c>
      <c r="T43" s="4">
        <f t="shared" si="2"/>
        <v>0.6</v>
      </c>
      <c r="W43" s="4">
        <v>512.79999999999995</v>
      </c>
    </row>
    <row r="44" spans="1:26" x14ac:dyDescent="0.35">
      <c r="A44">
        <v>2920</v>
      </c>
      <c r="B44">
        <v>23610</v>
      </c>
      <c r="C44" s="1">
        <v>42989</v>
      </c>
      <c r="D44" s="1" t="s">
        <v>29</v>
      </c>
      <c r="F44" s="45" t="s">
        <v>54</v>
      </c>
      <c r="G44">
        <v>14</v>
      </c>
      <c r="H44">
        <v>12</v>
      </c>
      <c r="I44">
        <v>16.899999999999999</v>
      </c>
      <c r="J44">
        <f>G44</f>
        <v>14</v>
      </c>
      <c r="K44">
        <f>G44</f>
        <v>14</v>
      </c>
      <c r="L44" s="7" t="s">
        <v>38</v>
      </c>
      <c r="M44">
        <v>1</v>
      </c>
      <c r="N44">
        <v>2.1</v>
      </c>
      <c r="O44">
        <f t="shared" si="0"/>
        <v>-1.1000000000000001</v>
      </c>
      <c r="Q44">
        <v>1</v>
      </c>
      <c r="R44">
        <v>0.35</v>
      </c>
      <c r="S44">
        <f t="shared" si="1"/>
        <v>0.73499999999999999</v>
      </c>
      <c r="T44">
        <f t="shared" si="2"/>
        <v>0.26500000000000001</v>
      </c>
      <c r="U44">
        <f>P43+T44</f>
        <v>28.064999999999998</v>
      </c>
      <c r="V44" s="10" t="s">
        <v>45</v>
      </c>
      <c r="W44">
        <v>914.6</v>
      </c>
      <c r="X44">
        <f>W44</f>
        <v>914.6</v>
      </c>
      <c r="Y44">
        <v>12.568704218592236</v>
      </c>
      <c r="Z44" s="10" t="s">
        <v>50</v>
      </c>
    </row>
    <row r="45" spans="1:26" x14ac:dyDescent="0.35">
      <c r="A45">
        <v>2920</v>
      </c>
      <c r="B45">
        <v>23610</v>
      </c>
      <c r="C45" s="1">
        <v>42990</v>
      </c>
      <c r="D45" s="1"/>
      <c r="F45" s="46"/>
      <c r="G45">
        <v>14.6</v>
      </c>
      <c r="H45">
        <v>10.7</v>
      </c>
      <c r="I45">
        <v>17.600000000000001</v>
      </c>
      <c r="J45">
        <f>J44+G45</f>
        <v>28.6</v>
      </c>
      <c r="K45">
        <f>K44+G45</f>
        <v>28.6</v>
      </c>
      <c r="L45" s="8">
        <v>940.3</v>
      </c>
      <c r="M45">
        <v>0.6</v>
      </c>
      <c r="N45">
        <v>2.2000000000000002</v>
      </c>
      <c r="O45">
        <f t="shared" si="0"/>
        <v>-1.6</v>
      </c>
      <c r="Q45">
        <v>2</v>
      </c>
      <c r="R45">
        <v>0.35</v>
      </c>
      <c r="S45">
        <f t="shared" si="1"/>
        <v>0.77</v>
      </c>
      <c r="T45">
        <f t="shared" si="2"/>
        <v>-0.17000000000000004</v>
      </c>
      <c r="U45">
        <f>MIN(U44+T45,197.4)</f>
        <v>27.894999999999996</v>
      </c>
      <c r="V45">
        <v>0</v>
      </c>
      <c r="W45">
        <v>1135.7</v>
      </c>
      <c r="X45">
        <f>X44+W45</f>
        <v>2050.3000000000002</v>
      </c>
      <c r="Y45">
        <v>12.509050879219823</v>
      </c>
      <c r="Z45">
        <v>43923</v>
      </c>
    </row>
    <row r="46" spans="1:26" x14ac:dyDescent="0.35">
      <c r="A46">
        <v>2920</v>
      </c>
      <c r="B46">
        <v>23610</v>
      </c>
      <c r="C46" s="1">
        <v>42991</v>
      </c>
      <c r="D46" s="1"/>
      <c r="F46" s="46"/>
      <c r="G46">
        <v>15.3</v>
      </c>
      <c r="H46">
        <v>13.8</v>
      </c>
      <c r="I46">
        <v>17.100000000000001</v>
      </c>
      <c r="J46">
        <f t="shared" ref="J46:J109" si="4">J45+G46</f>
        <v>43.900000000000006</v>
      </c>
      <c r="K46">
        <f t="shared" ref="K46:K109" si="5">K45+G46</f>
        <v>43.900000000000006</v>
      </c>
      <c r="L46" s="7" t="s">
        <v>39</v>
      </c>
      <c r="M46">
        <v>13.3</v>
      </c>
      <c r="N46">
        <v>0.7</v>
      </c>
      <c r="O46">
        <f t="shared" si="0"/>
        <v>12.600000000000001</v>
      </c>
      <c r="Q46">
        <v>3</v>
      </c>
      <c r="R46">
        <v>0.35</v>
      </c>
      <c r="S46">
        <f t="shared" si="1"/>
        <v>0.24499999999999997</v>
      </c>
      <c r="T46">
        <f t="shared" si="2"/>
        <v>13.055000000000001</v>
      </c>
      <c r="U46">
        <f t="shared" ref="U46:U109" si="6">MIN(U45+T46,197.4)</f>
        <v>40.949999999999996</v>
      </c>
      <c r="V46" s="10" t="s">
        <v>46</v>
      </c>
      <c r="W46">
        <v>313.89999999999998</v>
      </c>
      <c r="X46">
        <f t="shared" ref="X46:X109" si="7">X45+W46</f>
        <v>2364.2000000000003</v>
      </c>
      <c r="Y46">
        <v>12.449326935536673</v>
      </c>
      <c r="Z46" s="10" t="s">
        <v>51</v>
      </c>
    </row>
    <row r="47" spans="1:26" x14ac:dyDescent="0.35">
      <c r="A47">
        <v>2920</v>
      </c>
      <c r="B47">
        <v>23610</v>
      </c>
      <c r="C47" s="1">
        <v>42992</v>
      </c>
      <c r="D47" s="1"/>
      <c r="F47" s="46"/>
      <c r="G47">
        <v>12.8</v>
      </c>
      <c r="H47">
        <v>9.8000000000000007</v>
      </c>
      <c r="I47">
        <v>15.9</v>
      </c>
      <c r="J47">
        <f t="shared" si="4"/>
        <v>56.7</v>
      </c>
      <c r="K47">
        <f t="shared" si="5"/>
        <v>56.7</v>
      </c>
      <c r="L47" s="9">
        <f>AVERAGE(G44:G122)</f>
        <v>11.902531645569619</v>
      </c>
      <c r="M47">
        <v>0.4</v>
      </c>
      <c r="N47">
        <v>2.1</v>
      </c>
      <c r="O47">
        <f t="shared" si="0"/>
        <v>-1.7000000000000002</v>
      </c>
      <c r="Q47">
        <v>4</v>
      </c>
      <c r="R47">
        <v>0.35</v>
      </c>
      <c r="S47">
        <f t="shared" si="1"/>
        <v>0.73499999999999999</v>
      </c>
      <c r="T47">
        <f t="shared" si="2"/>
        <v>-0.33499999999999996</v>
      </c>
      <c r="U47">
        <f t="shared" si="6"/>
        <v>40.614999999999995</v>
      </c>
      <c r="V47">
        <v>14</v>
      </c>
      <c r="W47">
        <v>1494.2</v>
      </c>
      <c r="X47">
        <f t="shared" si="7"/>
        <v>3858.4000000000005</v>
      </c>
      <c r="Y47">
        <v>12.389540997661971</v>
      </c>
      <c r="Z47">
        <f>(Z45/100)/L45</f>
        <v>0.46711687759225784</v>
      </c>
    </row>
    <row r="48" spans="1:26" x14ac:dyDescent="0.35">
      <c r="A48">
        <v>2920</v>
      </c>
      <c r="B48">
        <v>23610</v>
      </c>
      <c r="C48" s="1">
        <v>42993</v>
      </c>
      <c r="D48" s="1"/>
      <c r="F48" s="46"/>
      <c r="G48">
        <v>11.1</v>
      </c>
      <c r="H48">
        <v>7.7</v>
      </c>
      <c r="I48">
        <v>15</v>
      </c>
      <c r="J48">
        <f t="shared" si="4"/>
        <v>67.8</v>
      </c>
      <c r="K48">
        <f t="shared" si="5"/>
        <v>67.8</v>
      </c>
      <c r="L48" s="7" t="s">
        <v>40</v>
      </c>
      <c r="M48">
        <v>0.9</v>
      </c>
      <c r="N48">
        <v>1.2</v>
      </c>
      <c r="O48">
        <f t="shared" si="0"/>
        <v>-0.29999999999999993</v>
      </c>
      <c r="Q48">
        <v>5</v>
      </c>
      <c r="R48">
        <v>0.35</v>
      </c>
      <c r="S48">
        <f t="shared" si="1"/>
        <v>0.42</v>
      </c>
      <c r="T48">
        <f t="shared" si="2"/>
        <v>0.48000000000000004</v>
      </c>
      <c r="U48">
        <f t="shared" si="6"/>
        <v>41.094999999999992</v>
      </c>
      <c r="V48" s="10" t="s">
        <v>47</v>
      </c>
      <c r="W48">
        <v>833.1</v>
      </c>
      <c r="X48">
        <f t="shared" si="7"/>
        <v>4691.5000000000009</v>
      </c>
      <c r="Y48">
        <v>12.329701562045148</v>
      </c>
      <c r="Z48" s="10" t="s">
        <v>52</v>
      </c>
    </row>
    <row r="49" spans="1:26" x14ac:dyDescent="0.35">
      <c r="A49">
        <v>2920</v>
      </c>
      <c r="B49">
        <v>23610</v>
      </c>
      <c r="C49" s="1">
        <v>42994</v>
      </c>
      <c r="D49" s="1"/>
      <c r="F49" s="46"/>
      <c r="G49">
        <v>10.3</v>
      </c>
      <c r="H49">
        <v>6.3</v>
      </c>
      <c r="I49">
        <v>13.9</v>
      </c>
      <c r="J49">
        <f t="shared" si="4"/>
        <v>78.099999999999994</v>
      </c>
      <c r="K49">
        <f t="shared" si="5"/>
        <v>78.099999999999994</v>
      </c>
      <c r="L49" s="8">
        <f>MIN(H44:H122)</f>
        <v>1.1000000000000001</v>
      </c>
      <c r="M49">
        <v>7.7</v>
      </c>
      <c r="N49">
        <v>0.6</v>
      </c>
      <c r="O49">
        <f t="shared" si="0"/>
        <v>7.1000000000000005</v>
      </c>
      <c r="Q49">
        <v>6</v>
      </c>
      <c r="R49">
        <f>0.35+((Q49-5)/74)*(1-0.35)</f>
        <v>0.35878378378378378</v>
      </c>
      <c r="S49">
        <f t="shared" si="1"/>
        <v>0.21527027027027026</v>
      </c>
      <c r="T49">
        <f t="shared" si="2"/>
        <v>7.4847297297297297</v>
      </c>
      <c r="U49">
        <f t="shared" si="6"/>
        <v>48.579729729729721</v>
      </c>
      <c r="V49" s="11">
        <f>MIN(U44:U122)</f>
        <v>27.894999999999996</v>
      </c>
      <c r="W49">
        <v>699.8</v>
      </c>
      <c r="X49">
        <f t="shared" si="7"/>
        <v>5391.3000000000011</v>
      </c>
      <c r="Y49">
        <v>12.26981702646764</v>
      </c>
      <c r="Z49">
        <v>63</v>
      </c>
    </row>
    <row r="50" spans="1:26" x14ac:dyDescent="0.35">
      <c r="A50">
        <v>2920</v>
      </c>
      <c r="B50">
        <v>23610</v>
      </c>
      <c r="C50" s="1">
        <v>42995</v>
      </c>
      <c r="D50" s="1"/>
      <c r="F50" s="46"/>
      <c r="G50">
        <v>12</v>
      </c>
      <c r="H50">
        <v>9.6</v>
      </c>
      <c r="I50">
        <v>15.9</v>
      </c>
      <c r="J50">
        <f t="shared" si="4"/>
        <v>90.1</v>
      </c>
      <c r="K50">
        <f t="shared" si="5"/>
        <v>90.1</v>
      </c>
      <c r="L50" s="7" t="s">
        <v>41</v>
      </c>
      <c r="M50">
        <v>0.9</v>
      </c>
      <c r="N50">
        <v>1.2</v>
      </c>
      <c r="O50">
        <f t="shared" si="0"/>
        <v>-0.29999999999999993</v>
      </c>
      <c r="Q50">
        <v>7</v>
      </c>
      <c r="R50">
        <f t="shared" ref="R50:R113" si="8">0.35+((Q50-5)/74)*(1-0.35)</f>
        <v>0.36756756756756753</v>
      </c>
      <c r="S50">
        <f t="shared" si="1"/>
        <v>0.44108108108108102</v>
      </c>
      <c r="T50">
        <f t="shared" si="2"/>
        <v>0.45891891891891901</v>
      </c>
      <c r="U50">
        <f t="shared" si="6"/>
        <v>49.038648648648639</v>
      </c>
      <c r="V50" s="10" t="s">
        <v>48</v>
      </c>
      <c r="W50">
        <v>733.8</v>
      </c>
      <c r="X50">
        <f t="shared" si="7"/>
        <v>6125.1000000000013</v>
      </c>
      <c r="Y50">
        <v>12.209895705112354</v>
      </c>
    </row>
    <row r="51" spans="1:26" x14ac:dyDescent="0.35">
      <c r="A51">
        <v>2920</v>
      </c>
      <c r="B51">
        <v>23610</v>
      </c>
      <c r="C51" s="1">
        <v>42996</v>
      </c>
      <c r="D51" s="1"/>
      <c r="F51" s="46"/>
      <c r="G51">
        <v>11.8</v>
      </c>
      <c r="H51">
        <v>5.9</v>
      </c>
      <c r="I51">
        <v>16.899999999999999</v>
      </c>
      <c r="J51">
        <f t="shared" si="4"/>
        <v>101.89999999999999</v>
      </c>
      <c r="K51">
        <f t="shared" si="5"/>
        <v>101.89999999999999</v>
      </c>
      <c r="L51" s="8">
        <f>MAX(I44:I122)</f>
        <v>20.8</v>
      </c>
      <c r="M51">
        <v>0.9</v>
      </c>
      <c r="N51">
        <v>1.5</v>
      </c>
      <c r="O51">
        <f t="shared" si="0"/>
        <v>-0.6</v>
      </c>
      <c r="Q51">
        <v>8</v>
      </c>
      <c r="R51">
        <f t="shared" si="8"/>
        <v>0.37635135135135134</v>
      </c>
      <c r="S51">
        <f t="shared" si="1"/>
        <v>0.56452702702702706</v>
      </c>
      <c r="T51">
        <f t="shared" si="2"/>
        <v>0.33547297297297296</v>
      </c>
      <c r="U51">
        <f t="shared" si="6"/>
        <v>49.374121621621612</v>
      </c>
      <c r="V51" s="11">
        <f>MAX(U44:U122)</f>
        <v>138.96675675675669</v>
      </c>
      <c r="W51">
        <v>1051</v>
      </c>
      <c r="X51">
        <f t="shared" si="7"/>
        <v>7176.1000000000013</v>
      </c>
      <c r="Y51">
        <v>12.149945843689196</v>
      </c>
    </row>
    <row r="52" spans="1:26" x14ac:dyDescent="0.35">
      <c r="A52">
        <v>2920</v>
      </c>
      <c r="B52">
        <v>23610</v>
      </c>
      <c r="C52" s="1">
        <v>42997</v>
      </c>
      <c r="D52" s="1"/>
      <c r="F52" s="46"/>
      <c r="G52">
        <v>13.6</v>
      </c>
      <c r="H52">
        <v>10.6</v>
      </c>
      <c r="I52">
        <v>17.3</v>
      </c>
      <c r="J52">
        <f t="shared" si="4"/>
        <v>115.49999999999999</v>
      </c>
      <c r="K52">
        <f t="shared" si="5"/>
        <v>115.49999999999999</v>
      </c>
      <c r="L52" s="7" t="s">
        <v>42</v>
      </c>
      <c r="M52">
        <v>0.1</v>
      </c>
      <c r="N52">
        <v>2.4</v>
      </c>
      <c r="O52">
        <f t="shared" si="0"/>
        <v>-2.2999999999999998</v>
      </c>
      <c r="Q52">
        <v>9</v>
      </c>
      <c r="R52">
        <f t="shared" si="8"/>
        <v>0.38513513513513509</v>
      </c>
      <c r="S52">
        <f t="shared" si="1"/>
        <v>0.92432432432432421</v>
      </c>
      <c r="T52">
        <f t="shared" si="2"/>
        <v>-0.82432432432432423</v>
      </c>
      <c r="U52">
        <f t="shared" si="6"/>
        <v>48.549797297297289</v>
      </c>
      <c r="V52" s="10" t="s">
        <v>49</v>
      </c>
      <c r="W52">
        <v>1424.5</v>
      </c>
      <c r="X52">
        <f t="shared" si="7"/>
        <v>8600.6000000000022</v>
      </c>
      <c r="Y52">
        <v>12.089975634605578</v>
      </c>
    </row>
    <row r="53" spans="1:26" x14ac:dyDescent="0.35">
      <c r="A53">
        <v>2920</v>
      </c>
      <c r="B53">
        <v>23610</v>
      </c>
      <c r="C53" s="1">
        <v>42998</v>
      </c>
      <c r="D53" s="1"/>
      <c r="F53" s="46"/>
      <c r="G53">
        <v>13</v>
      </c>
      <c r="H53">
        <v>9</v>
      </c>
      <c r="I53">
        <v>16.7</v>
      </c>
      <c r="J53">
        <f t="shared" si="4"/>
        <v>128.5</v>
      </c>
      <c r="K53">
        <f t="shared" si="5"/>
        <v>128.5</v>
      </c>
      <c r="L53" s="8">
        <v>0</v>
      </c>
      <c r="M53">
        <v>0.1</v>
      </c>
      <c r="N53">
        <v>1.5</v>
      </c>
      <c r="O53">
        <f t="shared" si="0"/>
        <v>-1.4</v>
      </c>
      <c r="Q53">
        <v>10</v>
      </c>
      <c r="R53">
        <f t="shared" si="8"/>
        <v>0.39391891891891889</v>
      </c>
      <c r="S53">
        <f t="shared" si="1"/>
        <v>0.59087837837837831</v>
      </c>
      <c r="T53">
        <f t="shared" si="2"/>
        <v>-0.49087837837837833</v>
      </c>
      <c r="U53">
        <f t="shared" si="6"/>
        <v>48.058918918918913</v>
      </c>
      <c r="V53" s="11">
        <f>AVERAGE(U44:U122)</f>
        <v>84.35570988710225</v>
      </c>
      <c r="W53">
        <v>802.7</v>
      </c>
      <c r="X53">
        <f t="shared" si="7"/>
        <v>9403.3000000000029</v>
      </c>
      <c r="Y53">
        <v>12.029993232171435</v>
      </c>
    </row>
    <row r="54" spans="1:26" x14ac:dyDescent="0.35">
      <c r="A54">
        <v>2920</v>
      </c>
      <c r="B54">
        <v>23610</v>
      </c>
      <c r="C54" s="1">
        <v>42999</v>
      </c>
      <c r="D54" s="1"/>
      <c r="F54" s="46"/>
      <c r="G54">
        <v>12.7</v>
      </c>
      <c r="H54">
        <v>8.6999999999999993</v>
      </c>
      <c r="I54">
        <v>19.399999999999999</v>
      </c>
      <c r="J54">
        <f t="shared" si="4"/>
        <v>141.19999999999999</v>
      </c>
      <c r="K54">
        <f t="shared" si="5"/>
        <v>141.19999999999999</v>
      </c>
      <c r="L54" s="7" t="s">
        <v>43</v>
      </c>
      <c r="M54">
        <v>9.5</v>
      </c>
      <c r="N54">
        <v>1.8</v>
      </c>
      <c r="O54">
        <f t="shared" si="0"/>
        <v>7.7</v>
      </c>
      <c r="Q54">
        <v>11</v>
      </c>
      <c r="R54">
        <f t="shared" si="8"/>
        <v>0.4027027027027027</v>
      </c>
      <c r="S54">
        <f t="shared" si="1"/>
        <v>0.7248648648648649</v>
      </c>
      <c r="T54">
        <f t="shared" si="2"/>
        <v>8.7751351351351357</v>
      </c>
      <c r="U54">
        <f t="shared" si="6"/>
        <v>56.83405405405405</v>
      </c>
      <c r="W54">
        <v>811.7</v>
      </c>
      <c r="X54">
        <f t="shared" si="7"/>
        <v>10215.000000000004</v>
      </c>
      <c r="Y54">
        <v>11.970006767828563</v>
      </c>
    </row>
    <row r="55" spans="1:26" x14ac:dyDescent="0.35">
      <c r="A55">
        <v>2920</v>
      </c>
      <c r="B55">
        <v>23610</v>
      </c>
      <c r="C55" s="1">
        <v>43000</v>
      </c>
      <c r="D55" s="1"/>
      <c r="F55" s="46"/>
      <c r="G55">
        <v>12.1</v>
      </c>
      <c r="H55">
        <v>6.5</v>
      </c>
      <c r="I55">
        <v>17</v>
      </c>
      <c r="J55">
        <f t="shared" si="4"/>
        <v>153.29999999999998</v>
      </c>
      <c r="K55">
        <f t="shared" si="5"/>
        <v>153.29999999999998</v>
      </c>
      <c r="L55" s="8">
        <v>16</v>
      </c>
      <c r="M55">
        <v>0.1</v>
      </c>
      <c r="N55">
        <v>2.7</v>
      </c>
      <c r="O55">
        <f t="shared" si="0"/>
        <v>-2.6</v>
      </c>
      <c r="Q55">
        <v>12</v>
      </c>
      <c r="R55">
        <f t="shared" si="8"/>
        <v>0.41148648648648645</v>
      </c>
      <c r="S55">
        <f t="shared" si="1"/>
        <v>1.1110135135135135</v>
      </c>
      <c r="T55">
        <f t="shared" si="2"/>
        <v>-1.0110135135135134</v>
      </c>
      <c r="U55">
        <f t="shared" si="6"/>
        <v>55.823040540540539</v>
      </c>
      <c r="V55" s="12">
        <f>(V53*100)/197.4</f>
        <v>42.73338900055839</v>
      </c>
      <c r="W55">
        <v>1746.3</v>
      </c>
      <c r="X55">
        <f t="shared" si="7"/>
        <v>11961.300000000003</v>
      </c>
      <c r="Y55">
        <v>11.910024365394424</v>
      </c>
    </row>
    <row r="56" spans="1:26" x14ac:dyDescent="0.35">
      <c r="A56">
        <v>2920</v>
      </c>
      <c r="B56">
        <v>23610</v>
      </c>
      <c r="C56" s="1">
        <v>43001</v>
      </c>
      <c r="D56" s="1"/>
      <c r="F56" s="46"/>
      <c r="G56">
        <v>14.5</v>
      </c>
      <c r="H56">
        <v>7.4</v>
      </c>
      <c r="I56">
        <v>19.600000000000001</v>
      </c>
      <c r="J56">
        <f t="shared" si="4"/>
        <v>167.79999999999998</v>
      </c>
      <c r="K56">
        <f t="shared" si="5"/>
        <v>167.79999999999998</v>
      </c>
      <c r="L56" s="7" t="s">
        <v>44</v>
      </c>
      <c r="M56">
        <v>0</v>
      </c>
      <c r="N56">
        <v>2.6</v>
      </c>
      <c r="O56">
        <f t="shared" si="0"/>
        <v>-2.6</v>
      </c>
      <c r="Q56">
        <v>13</v>
      </c>
      <c r="R56">
        <f t="shared" si="8"/>
        <v>0.42027027027027025</v>
      </c>
      <c r="S56">
        <f t="shared" si="1"/>
        <v>1.0927027027027028</v>
      </c>
      <c r="T56">
        <f t="shared" si="2"/>
        <v>-1.0927027027027028</v>
      </c>
      <c r="U56">
        <f t="shared" si="6"/>
        <v>54.730337837837837</v>
      </c>
      <c r="W56">
        <v>1676.1</v>
      </c>
      <c r="X56">
        <f t="shared" si="7"/>
        <v>13637.400000000003</v>
      </c>
      <c r="Y56">
        <v>11.850054156310808</v>
      </c>
    </row>
    <row r="57" spans="1:26" x14ac:dyDescent="0.35">
      <c r="A57">
        <v>2920</v>
      </c>
      <c r="B57">
        <v>23610</v>
      </c>
      <c r="C57" s="1">
        <v>43002</v>
      </c>
      <c r="D57" s="1"/>
      <c r="F57" s="46"/>
      <c r="G57">
        <v>16.399999999999999</v>
      </c>
      <c r="H57">
        <v>12</v>
      </c>
      <c r="I57">
        <v>19.8</v>
      </c>
      <c r="J57">
        <f t="shared" si="4"/>
        <v>184.2</v>
      </c>
      <c r="K57">
        <f t="shared" si="5"/>
        <v>184.2</v>
      </c>
      <c r="L57" s="8">
        <v>0</v>
      </c>
      <c r="M57">
        <v>11.3</v>
      </c>
      <c r="N57">
        <v>1.2</v>
      </c>
      <c r="O57">
        <f t="shared" si="0"/>
        <v>10.100000000000001</v>
      </c>
      <c r="Q57">
        <v>14</v>
      </c>
      <c r="R57">
        <f t="shared" si="8"/>
        <v>0.42905405405405406</v>
      </c>
      <c r="S57">
        <f t="shared" si="1"/>
        <v>0.51486486486486482</v>
      </c>
      <c r="T57">
        <f t="shared" si="2"/>
        <v>10.785135135135135</v>
      </c>
      <c r="U57">
        <f t="shared" si="6"/>
        <v>65.515472972972972</v>
      </c>
      <c r="W57">
        <v>688.7</v>
      </c>
      <c r="X57">
        <f t="shared" si="7"/>
        <v>14326.100000000004</v>
      </c>
      <c r="Y57">
        <v>11.790104294887646</v>
      </c>
    </row>
    <row r="58" spans="1:26" x14ac:dyDescent="0.35">
      <c r="A58">
        <v>2920</v>
      </c>
      <c r="B58">
        <v>23610</v>
      </c>
      <c r="C58" s="1">
        <v>43003</v>
      </c>
      <c r="D58" s="1"/>
      <c r="F58" s="46"/>
      <c r="G58">
        <v>15.8</v>
      </c>
      <c r="H58">
        <v>15.3</v>
      </c>
      <c r="I58">
        <v>18</v>
      </c>
      <c r="J58">
        <f t="shared" si="4"/>
        <v>200</v>
      </c>
      <c r="K58">
        <f t="shared" si="5"/>
        <v>200</v>
      </c>
      <c r="M58">
        <v>2.6</v>
      </c>
      <c r="N58">
        <v>0.9</v>
      </c>
      <c r="O58">
        <f t="shared" si="0"/>
        <v>1.7000000000000002</v>
      </c>
      <c r="Q58">
        <v>15</v>
      </c>
      <c r="R58">
        <f t="shared" si="8"/>
        <v>0.43783783783783781</v>
      </c>
      <c r="S58">
        <f t="shared" si="1"/>
        <v>0.39405405405405403</v>
      </c>
      <c r="T58">
        <f t="shared" si="2"/>
        <v>2.2059459459459463</v>
      </c>
      <c r="U58">
        <f t="shared" si="6"/>
        <v>67.721418918918914</v>
      </c>
      <c r="W58">
        <v>288.2</v>
      </c>
      <c r="X58">
        <f t="shared" si="7"/>
        <v>14614.300000000005</v>
      </c>
      <c r="Y58">
        <v>11.730182973532362</v>
      </c>
    </row>
    <row r="59" spans="1:26" x14ac:dyDescent="0.35">
      <c r="A59">
        <v>2920</v>
      </c>
      <c r="B59">
        <v>23610</v>
      </c>
      <c r="C59" s="1">
        <v>43004</v>
      </c>
      <c r="D59" s="1"/>
      <c r="F59" s="46"/>
      <c r="G59">
        <v>14.7</v>
      </c>
      <c r="H59">
        <v>12.2</v>
      </c>
      <c r="I59">
        <v>17.100000000000001</v>
      </c>
      <c r="J59">
        <f t="shared" si="4"/>
        <v>214.7</v>
      </c>
      <c r="K59">
        <f t="shared" si="5"/>
        <v>214.7</v>
      </c>
      <c r="M59">
        <v>0.2</v>
      </c>
      <c r="N59">
        <v>0.6</v>
      </c>
      <c r="O59">
        <f t="shared" si="0"/>
        <v>-0.39999999999999997</v>
      </c>
      <c r="Q59">
        <v>16</v>
      </c>
      <c r="R59">
        <f t="shared" si="8"/>
        <v>0.44662162162162161</v>
      </c>
      <c r="S59">
        <f t="shared" si="1"/>
        <v>0.26797297297297296</v>
      </c>
      <c r="T59">
        <f t="shared" si="2"/>
        <v>-6.7972972972972945E-2</v>
      </c>
      <c r="U59">
        <f t="shared" si="6"/>
        <v>67.653445945945947</v>
      </c>
      <c r="W59">
        <v>452.6</v>
      </c>
      <c r="X59">
        <f t="shared" si="7"/>
        <v>15066.900000000005</v>
      </c>
      <c r="Y59">
        <v>11.67029843795485</v>
      </c>
    </row>
    <row r="60" spans="1:26" x14ac:dyDescent="0.35">
      <c r="A60">
        <v>2920</v>
      </c>
      <c r="B60">
        <v>23610</v>
      </c>
      <c r="C60" s="1">
        <v>43005</v>
      </c>
      <c r="D60" s="1"/>
      <c r="F60" s="46"/>
      <c r="G60">
        <v>15.2</v>
      </c>
      <c r="H60">
        <v>10.9</v>
      </c>
      <c r="I60">
        <v>20</v>
      </c>
      <c r="J60">
        <f t="shared" si="4"/>
        <v>229.89999999999998</v>
      </c>
      <c r="K60">
        <f t="shared" si="5"/>
        <v>229.89999999999998</v>
      </c>
      <c r="M60">
        <v>4.3</v>
      </c>
      <c r="N60">
        <v>2</v>
      </c>
      <c r="O60">
        <f t="shared" si="0"/>
        <v>2.2999999999999998</v>
      </c>
      <c r="Q60">
        <v>17</v>
      </c>
      <c r="R60">
        <f t="shared" si="8"/>
        <v>0.45540540540540542</v>
      </c>
      <c r="S60">
        <f t="shared" si="1"/>
        <v>0.91081081081081083</v>
      </c>
      <c r="T60">
        <f t="shared" si="2"/>
        <v>3.3891891891891888</v>
      </c>
      <c r="U60">
        <f t="shared" si="6"/>
        <v>71.042635135135129</v>
      </c>
      <c r="W60">
        <v>1032.5</v>
      </c>
      <c r="X60">
        <f t="shared" si="7"/>
        <v>16099.400000000005</v>
      </c>
      <c r="Y60">
        <v>11.610459002338031</v>
      </c>
    </row>
    <row r="61" spans="1:26" x14ac:dyDescent="0.35">
      <c r="A61">
        <v>2920</v>
      </c>
      <c r="B61">
        <v>23610</v>
      </c>
      <c r="C61" s="1">
        <v>43006</v>
      </c>
      <c r="D61" s="1"/>
      <c r="F61" s="46"/>
      <c r="G61">
        <v>17.899999999999999</v>
      </c>
      <c r="H61">
        <v>15</v>
      </c>
      <c r="I61">
        <v>20.2</v>
      </c>
      <c r="J61">
        <f t="shared" si="4"/>
        <v>247.79999999999998</v>
      </c>
      <c r="K61">
        <f t="shared" si="5"/>
        <v>247.79999999999998</v>
      </c>
      <c r="M61">
        <v>0.2</v>
      </c>
      <c r="N61">
        <v>0.5</v>
      </c>
      <c r="O61">
        <f t="shared" si="0"/>
        <v>-0.3</v>
      </c>
      <c r="Q61">
        <v>18</v>
      </c>
      <c r="R61">
        <f t="shared" si="8"/>
        <v>0.46418918918918917</v>
      </c>
      <c r="S61">
        <f t="shared" si="1"/>
        <v>0.23209459459459458</v>
      </c>
      <c r="T61">
        <f t="shared" si="2"/>
        <v>-3.2094594594594572E-2</v>
      </c>
      <c r="U61">
        <f t="shared" si="6"/>
        <v>71.010540540540532</v>
      </c>
      <c r="W61">
        <v>420.3</v>
      </c>
      <c r="X61">
        <f t="shared" si="7"/>
        <v>16519.700000000004</v>
      </c>
      <c r="Y61">
        <v>11.550673064463327</v>
      </c>
    </row>
    <row r="62" spans="1:26" x14ac:dyDescent="0.35">
      <c r="A62">
        <v>2920</v>
      </c>
      <c r="B62">
        <v>23610</v>
      </c>
      <c r="C62" s="1">
        <v>43007</v>
      </c>
      <c r="D62" s="1"/>
      <c r="F62" s="46"/>
      <c r="G62">
        <v>16.100000000000001</v>
      </c>
      <c r="H62">
        <v>14.2</v>
      </c>
      <c r="I62">
        <v>19.600000000000001</v>
      </c>
      <c r="J62">
        <f t="shared" si="4"/>
        <v>263.89999999999998</v>
      </c>
      <c r="K62">
        <f t="shared" si="5"/>
        <v>263.89999999999998</v>
      </c>
      <c r="M62">
        <v>1.8</v>
      </c>
      <c r="N62">
        <v>1</v>
      </c>
      <c r="O62">
        <f t="shared" si="0"/>
        <v>0.8</v>
      </c>
      <c r="Q62">
        <v>19</v>
      </c>
      <c r="R62">
        <f t="shared" si="8"/>
        <v>0.47297297297297297</v>
      </c>
      <c r="S62">
        <f t="shared" si="1"/>
        <v>0.47297297297297297</v>
      </c>
      <c r="T62">
        <f t="shared" si="2"/>
        <v>1.327027027027027</v>
      </c>
      <c r="U62">
        <f t="shared" si="6"/>
        <v>72.337567567567561</v>
      </c>
      <c r="W62">
        <v>386.4</v>
      </c>
      <c r="X62">
        <f t="shared" si="7"/>
        <v>16906.100000000006</v>
      </c>
      <c r="Y62">
        <v>11.490949120780177</v>
      </c>
    </row>
    <row r="63" spans="1:26" x14ac:dyDescent="0.35">
      <c r="A63">
        <v>2920</v>
      </c>
      <c r="B63">
        <v>23610</v>
      </c>
      <c r="C63" s="1">
        <v>43008</v>
      </c>
      <c r="D63" s="1"/>
      <c r="F63" s="46"/>
      <c r="G63">
        <v>14.3</v>
      </c>
      <c r="H63">
        <v>10.3</v>
      </c>
      <c r="I63">
        <v>17.399999999999999</v>
      </c>
      <c r="J63">
        <f t="shared" si="4"/>
        <v>278.2</v>
      </c>
      <c r="K63">
        <f t="shared" si="5"/>
        <v>278.2</v>
      </c>
      <c r="M63">
        <v>0.5</v>
      </c>
      <c r="N63">
        <v>1.5</v>
      </c>
      <c r="O63">
        <f t="shared" si="0"/>
        <v>-1</v>
      </c>
      <c r="Q63">
        <v>20</v>
      </c>
      <c r="R63">
        <f t="shared" si="8"/>
        <v>0.48175675675675678</v>
      </c>
      <c r="S63">
        <f t="shared" si="1"/>
        <v>0.72263513513513522</v>
      </c>
      <c r="T63">
        <f t="shared" si="2"/>
        <v>-0.22263513513513522</v>
      </c>
      <c r="U63">
        <f t="shared" si="6"/>
        <v>72.114932432432425</v>
      </c>
      <c r="W63">
        <v>1026</v>
      </c>
      <c r="X63">
        <f t="shared" si="7"/>
        <v>17932.100000000006</v>
      </c>
      <c r="Y63">
        <v>11.431295781407767</v>
      </c>
    </row>
    <row r="64" spans="1:26" x14ac:dyDescent="0.35">
      <c r="A64">
        <v>2920</v>
      </c>
      <c r="B64">
        <v>23610</v>
      </c>
      <c r="C64" s="1">
        <v>43009</v>
      </c>
      <c r="D64" s="1"/>
      <c r="F64" s="46"/>
      <c r="G64">
        <v>16.399999999999999</v>
      </c>
      <c r="H64">
        <v>14.9</v>
      </c>
      <c r="I64">
        <v>17.3</v>
      </c>
      <c r="J64">
        <f t="shared" si="4"/>
        <v>294.59999999999997</v>
      </c>
      <c r="K64">
        <f t="shared" si="5"/>
        <v>294.59999999999997</v>
      </c>
      <c r="M64">
        <v>1.8</v>
      </c>
      <c r="N64">
        <v>0.6</v>
      </c>
      <c r="O64">
        <f t="shared" si="0"/>
        <v>1.2000000000000002</v>
      </c>
      <c r="Q64">
        <v>21</v>
      </c>
      <c r="R64">
        <f t="shared" si="8"/>
        <v>0.49054054054054053</v>
      </c>
      <c r="S64">
        <f t="shared" si="1"/>
        <v>0.29432432432432432</v>
      </c>
      <c r="T64">
        <f t="shared" si="2"/>
        <v>1.5056756756756757</v>
      </c>
      <c r="U64">
        <f t="shared" si="6"/>
        <v>73.620608108108101</v>
      </c>
      <c r="W64">
        <v>225.3</v>
      </c>
      <c r="X64">
        <f t="shared" si="7"/>
        <v>18157.400000000005</v>
      </c>
      <c r="Y64">
        <v>11.371721785056641</v>
      </c>
    </row>
    <row r="65" spans="1:25" x14ac:dyDescent="0.35">
      <c r="A65">
        <v>2920</v>
      </c>
      <c r="B65">
        <v>23610</v>
      </c>
      <c r="C65" s="1">
        <v>43010</v>
      </c>
      <c r="D65" s="1"/>
      <c r="F65" s="46"/>
      <c r="G65">
        <v>16.899999999999999</v>
      </c>
      <c r="H65">
        <v>15</v>
      </c>
      <c r="I65">
        <v>19.2</v>
      </c>
      <c r="J65">
        <f t="shared" si="4"/>
        <v>311.49999999999994</v>
      </c>
      <c r="K65">
        <f t="shared" si="5"/>
        <v>311.49999999999994</v>
      </c>
      <c r="M65">
        <v>3</v>
      </c>
      <c r="N65">
        <v>1</v>
      </c>
      <c r="O65">
        <f t="shared" si="0"/>
        <v>2</v>
      </c>
      <c r="Q65">
        <v>22</v>
      </c>
      <c r="R65">
        <f t="shared" si="8"/>
        <v>0.49932432432432428</v>
      </c>
      <c r="S65">
        <f t="shared" si="1"/>
        <v>0.49932432432432428</v>
      </c>
      <c r="T65">
        <f t="shared" si="2"/>
        <v>2.5006756756756756</v>
      </c>
      <c r="U65">
        <f t="shared" si="6"/>
        <v>76.121283783783781</v>
      </c>
      <c r="W65">
        <v>495</v>
      </c>
      <c r="X65">
        <f t="shared" si="7"/>
        <v>18652.400000000005</v>
      </c>
      <c r="Y65">
        <v>11.312236013856966</v>
      </c>
    </row>
    <row r="66" spans="1:25" x14ac:dyDescent="0.35">
      <c r="A66">
        <v>2920</v>
      </c>
      <c r="B66">
        <v>23610</v>
      </c>
      <c r="C66" s="1">
        <v>43011</v>
      </c>
      <c r="D66" s="1"/>
      <c r="F66" s="46"/>
      <c r="G66">
        <v>12.7</v>
      </c>
      <c r="H66">
        <v>10.5</v>
      </c>
      <c r="I66">
        <v>16.399999999999999</v>
      </c>
      <c r="J66">
        <f t="shared" si="4"/>
        <v>324.19999999999993</v>
      </c>
      <c r="K66">
        <f t="shared" si="5"/>
        <v>324.19999999999993</v>
      </c>
      <c r="M66">
        <v>0.1</v>
      </c>
      <c r="N66">
        <v>1.9</v>
      </c>
      <c r="O66">
        <f t="shared" si="0"/>
        <v>-1.7999999999999998</v>
      </c>
      <c r="Q66">
        <v>23</v>
      </c>
      <c r="R66">
        <f t="shared" si="8"/>
        <v>0.50810810810810814</v>
      </c>
      <c r="S66">
        <f t="shared" si="1"/>
        <v>0.96540540540540543</v>
      </c>
      <c r="T66">
        <f t="shared" si="2"/>
        <v>-0.86540540540540545</v>
      </c>
      <c r="U66">
        <f t="shared" si="6"/>
        <v>75.25587837837837</v>
      </c>
      <c r="W66">
        <v>928.9</v>
      </c>
      <c r="X66">
        <f t="shared" si="7"/>
        <v>19581.300000000007</v>
      </c>
      <c r="Y66">
        <v>11.252847508079137</v>
      </c>
    </row>
    <row r="67" spans="1:25" x14ac:dyDescent="0.35">
      <c r="A67">
        <v>2920</v>
      </c>
      <c r="B67">
        <v>23610</v>
      </c>
      <c r="C67" s="1">
        <v>43012</v>
      </c>
      <c r="D67" s="1"/>
      <c r="F67" s="46"/>
      <c r="G67">
        <v>11.2</v>
      </c>
      <c r="H67">
        <v>6.2</v>
      </c>
      <c r="I67">
        <v>16.3</v>
      </c>
      <c r="J67">
        <f t="shared" si="4"/>
        <v>335.39999999999992</v>
      </c>
      <c r="K67">
        <f t="shared" si="5"/>
        <v>335.39999999999992</v>
      </c>
      <c r="M67">
        <v>0.1</v>
      </c>
      <c r="N67">
        <v>2.5</v>
      </c>
      <c r="O67">
        <f t="shared" si="0"/>
        <v>-2.4</v>
      </c>
      <c r="Q67">
        <v>24</v>
      </c>
      <c r="R67">
        <f t="shared" si="8"/>
        <v>0.51689189189189189</v>
      </c>
      <c r="S67">
        <f t="shared" si="1"/>
        <v>1.2922297297297298</v>
      </c>
      <c r="T67">
        <f t="shared" si="2"/>
        <v>-1.1922297297297297</v>
      </c>
      <c r="U67">
        <f t="shared" si="6"/>
        <v>74.063648648648638</v>
      </c>
      <c r="W67">
        <v>1521.6</v>
      </c>
      <c r="X67">
        <f t="shared" si="7"/>
        <v>21102.900000000005</v>
      </c>
      <c r="Y67">
        <v>11.193565480731463</v>
      </c>
    </row>
    <row r="68" spans="1:25" x14ac:dyDescent="0.35">
      <c r="A68">
        <v>2920</v>
      </c>
      <c r="B68">
        <v>23610</v>
      </c>
      <c r="C68" s="1">
        <v>43013</v>
      </c>
      <c r="D68" s="1"/>
      <c r="F68" s="46"/>
      <c r="G68">
        <v>11.5</v>
      </c>
      <c r="H68">
        <v>6.7</v>
      </c>
      <c r="I68">
        <v>15.3</v>
      </c>
      <c r="J68">
        <f t="shared" si="4"/>
        <v>346.89999999999992</v>
      </c>
      <c r="K68">
        <f t="shared" si="5"/>
        <v>346.89999999999992</v>
      </c>
      <c r="M68">
        <v>0.8</v>
      </c>
      <c r="N68">
        <v>0.5</v>
      </c>
      <c r="O68">
        <f t="shared" si="0"/>
        <v>0.30000000000000004</v>
      </c>
      <c r="Q68">
        <v>25</v>
      </c>
      <c r="R68">
        <f t="shared" si="8"/>
        <v>0.52567567567567564</v>
      </c>
      <c r="S68">
        <f t="shared" si="1"/>
        <v>0.26283783783783782</v>
      </c>
      <c r="T68">
        <f t="shared" si="2"/>
        <v>0.53716216216216228</v>
      </c>
      <c r="U68">
        <f t="shared" si="6"/>
        <v>74.600810810810799</v>
      </c>
      <c r="W68">
        <v>333.2</v>
      </c>
      <c r="X68">
        <f t="shared" si="7"/>
        <v>21436.100000000006</v>
      </c>
      <c r="Y68">
        <v>11.134399332018457</v>
      </c>
    </row>
    <row r="69" spans="1:25" x14ac:dyDescent="0.35">
      <c r="A69">
        <v>2920</v>
      </c>
      <c r="B69">
        <v>23610</v>
      </c>
      <c r="C69" s="1">
        <v>43014</v>
      </c>
      <c r="D69" s="1"/>
      <c r="F69" s="46"/>
      <c r="G69">
        <v>10.8</v>
      </c>
      <c r="H69">
        <v>8.4</v>
      </c>
      <c r="I69">
        <v>15.2</v>
      </c>
      <c r="J69">
        <f t="shared" si="4"/>
        <v>357.69999999999993</v>
      </c>
      <c r="K69">
        <f t="shared" si="5"/>
        <v>357.69999999999993</v>
      </c>
      <c r="M69">
        <v>0.1</v>
      </c>
      <c r="N69">
        <v>1.6</v>
      </c>
      <c r="O69">
        <f t="shared" ref="O69:O132" si="9">M69-N69</f>
        <v>-1.5</v>
      </c>
      <c r="Q69">
        <v>26</v>
      </c>
      <c r="R69">
        <f t="shared" si="8"/>
        <v>0.53445945945945939</v>
      </c>
      <c r="S69">
        <f t="shared" ref="S69:S132" si="10">R69*N69</f>
        <v>0.85513513513513506</v>
      </c>
      <c r="T69">
        <f t="shared" ref="T69:T132" si="11">M69-S69</f>
        <v>-0.75513513513513508</v>
      </c>
      <c r="U69">
        <f t="shared" si="6"/>
        <v>73.845675675675665</v>
      </c>
      <c r="W69">
        <v>1004.5</v>
      </c>
      <c r="X69">
        <f t="shared" si="7"/>
        <v>22440.600000000006</v>
      </c>
      <c r="Y69">
        <v>11.075358663641881</v>
      </c>
    </row>
    <row r="70" spans="1:25" x14ac:dyDescent="0.35">
      <c r="A70">
        <v>2920</v>
      </c>
      <c r="B70">
        <v>23610</v>
      </c>
      <c r="C70" s="1">
        <v>43015</v>
      </c>
      <c r="D70" s="1"/>
      <c r="F70" s="46"/>
      <c r="G70">
        <v>12.2</v>
      </c>
      <c r="H70">
        <v>4.5</v>
      </c>
      <c r="I70">
        <v>17.5</v>
      </c>
      <c r="J70">
        <f t="shared" si="4"/>
        <v>369.89999999999992</v>
      </c>
      <c r="K70">
        <f t="shared" si="5"/>
        <v>369.89999999999992</v>
      </c>
      <c r="M70">
        <v>0.1</v>
      </c>
      <c r="N70">
        <v>2</v>
      </c>
      <c r="O70">
        <f t="shared" si="9"/>
        <v>-1.9</v>
      </c>
      <c r="Q70">
        <v>27</v>
      </c>
      <c r="R70">
        <f t="shared" si="8"/>
        <v>0.54324324324324325</v>
      </c>
      <c r="S70">
        <f t="shared" si="10"/>
        <v>1.0864864864864865</v>
      </c>
      <c r="T70">
        <f t="shared" si="11"/>
        <v>-0.98648648648648651</v>
      </c>
      <c r="U70">
        <f t="shared" si="6"/>
        <v>72.859189189189181</v>
      </c>
      <c r="W70">
        <v>1330.4</v>
      </c>
      <c r="X70">
        <f t="shared" si="7"/>
        <v>23771.000000000007</v>
      </c>
      <c r="Y70">
        <v>11.01645329292538</v>
      </c>
    </row>
    <row r="71" spans="1:25" x14ac:dyDescent="0.35">
      <c r="A71">
        <v>2920</v>
      </c>
      <c r="B71">
        <v>23610</v>
      </c>
      <c r="C71" s="1">
        <v>43016</v>
      </c>
      <c r="D71" s="1"/>
      <c r="F71" s="46"/>
      <c r="G71">
        <v>14.6</v>
      </c>
      <c r="H71">
        <v>13.9</v>
      </c>
      <c r="I71">
        <v>16</v>
      </c>
      <c r="J71">
        <f t="shared" si="4"/>
        <v>384.49999999999994</v>
      </c>
      <c r="K71">
        <f t="shared" si="5"/>
        <v>384.49999999999994</v>
      </c>
      <c r="M71">
        <v>1.3</v>
      </c>
      <c r="N71">
        <v>0.7</v>
      </c>
      <c r="O71">
        <f t="shared" si="9"/>
        <v>0.60000000000000009</v>
      </c>
      <c r="Q71">
        <v>28</v>
      </c>
      <c r="R71">
        <f t="shared" si="8"/>
        <v>0.552027027027027</v>
      </c>
      <c r="S71">
        <f t="shared" si="10"/>
        <v>0.38641891891891889</v>
      </c>
      <c r="T71">
        <f t="shared" si="11"/>
        <v>0.91358108108108116</v>
      </c>
      <c r="U71">
        <f t="shared" si="6"/>
        <v>73.772770270270257</v>
      </c>
      <c r="W71">
        <v>229.6</v>
      </c>
      <c r="X71">
        <f t="shared" si="7"/>
        <v>24000.600000000006</v>
      </c>
      <c r="Y71">
        <v>10.95769326674192</v>
      </c>
    </row>
    <row r="72" spans="1:25" x14ac:dyDescent="0.35">
      <c r="A72">
        <v>2920</v>
      </c>
      <c r="B72">
        <v>23610</v>
      </c>
      <c r="C72" s="1">
        <v>43017</v>
      </c>
      <c r="D72" s="1"/>
      <c r="F72" s="46"/>
      <c r="G72">
        <v>15.4</v>
      </c>
      <c r="H72">
        <v>13.5</v>
      </c>
      <c r="I72">
        <v>17.5</v>
      </c>
      <c r="J72">
        <f t="shared" si="4"/>
        <v>399.89999999999992</v>
      </c>
      <c r="K72">
        <f t="shared" si="5"/>
        <v>399.89999999999992</v>
      </c>
      <c r="M72">
        <v>0.3</v>
      </c>
      <c r="N72">
        <v>0.7</v>
      </c>
      <c r="O72">
        <f t="shared" si="9"/>
        <v>-0.39999999999999997</v>
      </c>
      <c r="Q72">
        <v>29</v>
      </c>
      <c r="R72">
        <f t="shared" si="8"/>
        <v>0.56081081081081074</v>
      </c>
      <c r="S72">
        <f t="shared" si="10"/>
        <v>0.3925675675675675</v>
      </c>
      <c r="T72">
        <f t="shared" si="11"/>
        <v>-9.256756756756751E-2</v>
      </c>
      <c r="U72">
        <f t="shared" si="6"/>
        <v>73.680202702702687</v>
      </c>
      <c r="W72">
        <v>331.6</v>
      </c>
      <c r="X72">
        <f t="shared" si="7"/>
        <v>24332.200000000004</v>
      </c>
      <c r="Y72">
        <v>10.899088875221722</v>
      </c>
    </row>
    <row r="73" spans="1:25" x14ac:dyDescent="0.35">
      <c r="A73">
        <v>2920</v>
      </c>
      <c r="B73">
        <v>23610</v>
      </c>
      <c r="C73" s="1">
        <v>43018</v>
      </c>
      <c r="D73" s="1"/>
      <c r="F73" s="46"/>
      <c r="G73">
        <v>14.7</v>
      </c>
      <c r="H73">
        <v>13.6</v>
      </c>
      <c r="I73">
        <v>16.100000000000001</v>
      </c>
      <c r="J73">
        <f t="shared" si="4"/>
        <v>414.59999999999991</v>
      </c>
      <c r="K73">
        <f t="shared" si="5"/>
        <v>414.59999999999991</v>
      </c>
      <c r="M73">
        <v>0</v>
      </c>
      <c r="N73">
        <v>0.8</v>
      </c>
      <c r="O73">
        <f t="shared" si="9"/>
        <v>-0.8</v>
      </c>
      <c r="Q73">
        <v>30</v>
      </c>
      <c r="R73">
        <f t="shared" si="8"/>
        <v>0.56959459459459461</v>
      </c>
      <c r="S73">
        <f t="shared" si="10"/>
        <v>0.45567567567567568</v>
      </c>
      <c r="T73">
        <f t="shared" si="11"/>
        <v>-0.45567567567567568</v>
      </c>
      <c r="U73">
        <f t="shared" si="6"/>
        <v>73.224527027027008</v>
      </c>
      <c r="W73">
        <v>212</v>
      </c>
      <c r="X73">
        <f t="shared" si="7"/>
        <v>24544.200000000004</v>
      </c>
      <c r="Y73">
        <v>10.840650665216574</v>
      </c>
    </row>
    <row r="74" spans="1:25" x14ac:dyDescent="0.35">
      <c r="A74">
        <v>2920</v>
      </c>
      <c r="B74">
        <v>23610</v>
      </c>
      <c r="C74" s="1">
        <v>43019</v>
      </c>
      <c r="D74" s="1"/>
      <c r="F74" s="46"/>
      <c r="G74">
        <v>15.7</v>
      </c>
      <c r="H74">
        <v>13.5</v>
      </c>
      <c r="I74">
        <v>18.600000000000001</v>
      </c>
      <c r="J74">
        <f t="shared" si="4"/>
        <v>430.2999999999999</v>
      </c>
      <c r="K74">
        <f t="shared" si="5"/>
        <v>430.2999999999999</v>
      </c>
      <c r="M74">
        <v>0.3</v>
      </c>
      <c r="N74">
        <v>1.6</v>
      </c>
      <c r="O74">
        <f t="shared" si="9"/>
        <v>-1.3</v>
      </c>
      <c r="Q74">
        <v>31</v>
      </c>
      <c r="R74">
        <f t="shared" si="8"/>
        <v>0.57837837837837835</v>
      </c>
      <c r="S74">
        <f t="shared" si="10"/>
        <v>0.92540540540540539</v>
      </c>
      <c r="T74">
        <f t="shared" si="11"/>
        <v>-0.62540540540540546</v>
      </c>
      <c r="U74">
        <f t="shared" si="6"/>
        <v>72.599121621621606</v>
      </c>
      <c r="W74">
        <v>533</v>
      </c>
      <c r="X74">
        <f t="shared" si="7"/>
        <v>25077.200000000004</v>
      </c>
      <c r="Y74">
        <v>10.782389453494581</v>
      </c>
    </row>
    <row r="75" spans="1:25" x14ac:dyDescent="0.35">
      <c r="A75">
        <v>2920</v>
      </c>
      <c r="B75">
        <v>23610</v>
      </c>
      <c r="C75" s="1">
        <v>43020</v>
      </c>
      <c r="D75" s="1"/>
      <c r="F75" s="46"/>
      <c r="G75">
        <v>16.600000000000001</v>
      </c>
      <c r="H75">
        <v>14.6</v>
      </c>
      <c r="I75">
        <v>19.399999999999999</v>
      </c>
      <c r="J75">
        <f t="shared" si="4"/>
        <v>446.89999999999992</v>
      </c>
      <c r="K75">
        <f t="shared" si="5"/>
        <v>446.89999999999992</v>
      </c>
      <c r="M75">
        <v>0</v>
      </c>
      <c r="N75">
        <v>1</v>
      </c>
      <c r="O75">
        <f t="shared" si="9"/>
        <v>-1</v>
      </c>
      <c r="Q75">
        <v>32</v>
      </c>
      <c r="R75">
        <f t="shared" si="8"/>
        <v>0.5871621621621621</v>
      </c>
      <c r="S75">
        <f t="shared" si="10"/>
        <v>0.5871621621621621</v>
      </c>
      <c r="T75">
        <f t="shared" si="11"/>
        <v>-0.5871621621621621</v>
      </c>
      <c r="U75">
        <f t="shared" si="6"/>
        <v>72.011959459459447</v>
      </c>
      <c r="W75">
        <v>413.5</v>
      </c>
      <c r="X75">
        <f t="shared" si="7"/>
        <v>25490.700000000004</v>
      </c>
      <c r="Y75">
        <v>10.724316339637516</v>
      </c>
    </row>
    <row r="76" spans="1:25" x14ac:dyDescent="0.35">
      <c r="A76">
        <v>2920</v>
      </c>
      <c r="B76">
        <v>23610</v>
      </c>
      <c r="C76" s="1">
        <v>43021</v>
      </c>
      <c r="D76" s="1"/>
      <c r="F76" s="46"/>
      <c r="G76">
        <v>15.7</v>
      </c>
      <c r="H76">
        <v>14.8</v>
      </c>
      <c r="I76">
        <v>17.8</v>
      </c>
      <c r="J76">
        <f t="shared" si="4"/>
        <v>462.59999999999991</v>
      </c>
      <c r="K76">
        <f t="shared" si="5"/>
        <v>462.59999999999991</v>
      </c>
      <c r="M76">
        <v>0.3</v>
      </c>
      <c r="N76">
        <v>0.8</v>
      </c>
      <c r="O76">
        <f t="shared" si="9"/>
        <v>-0.5</v>
      </c>
      <c r="Q76">
        <v>33</v>
      </c>
      <c r="R76">
        <f t="shared" si="8"/>
        <v>0.59594594594594597</v>
      </c>
      <c r="S76">
        <f t="shared" si="10"/>
        <v>0.47675675675675677</v>
      </c>
      <c r="T76">
        <f t="shared" si="11"/>
        <v>-0.17675675675675678</v>
      </c>
      <c r="U76">
        <f t="shared" si="6"/>
        <v>71.835202702702688</v>
      </c>
      <c r="W76">
        <v>367.3</v>
      </c>
      <c r="X76">
        <f t="shared" si="7"/>
        <v>25858.000000000004</v>
      </c>
      <c r="Y76">
        <v>10.66644271861089</v>
      </c>
    </row>
    <row r="77" spans="1:25" x14ac:dyDescent="0.35">
      <c r="A77">
        <v>2920</v>
      </c>
      <c r="B77">
        <v>23610</v>
      </c>
      <c r="C77" s="1">
        <v>43022</v>
      </c>
      <c r="D77" s="1"/>
      <c r="F77" s="46"/>
      <c r="G77">
        <v>15.7</v>
      </c>
      <c r="H77">
        <v>10</v>
      </c>
      <c r="I77">
        <v>20.8</v>
      </c>
      <c r="J77">
        <f t="shared" si="4"/>
        <v>478.2999999999999</v>
      </c>
      <c r="K77">
        <f t="shared" si="5"/>
        <v>478.2999999999999</v>
      </c>
      <c r="M77">
        <v>0.1</v>
      </c>
      <c r="N77">
        <v>2.2999999999999998</v>
      </c>
      <c r="O77">
        <f t="shared" si="9"/>
        <v>-2.1999999999999997</v>
      </c>
      <c r="Q77">
        <v>34</v>
      </c>
      <c r="R77">
        <f t="shared" si="8"/>
        <v>0.60472972972972971</v>
      </c>
      <c r="S77">
        <f t="shared" si="10"/>
        <v>1.3908783783783782</v>
      </c>
      <c r="T77">
        <f t="shared" si="11"/>
        <v>-1.2908783783783782</v>
      </c>
      <c r="U77">
        <f t="shared" si="6"/>
        <v>70.544324324324307</v>
      </c>
      <c r="W77">
        <v>1325.6</v>
      </c>
      <c r="X77">
        <f t="shared" si="7"/>
        <v>27183.600000000002</v>
      </c>
      <c r="Y77">
        <v>10.608780292974748</v>
      </c>
    </row>
    <row r="78" spans="1:25" x14ac:dyDescent="0.35">
      <c r="A78">
        <v>2920</v>
      </c>
      <c r="B78">
        <v>23610</v>
      </c>
      <c r="C78" s="1">
        <v>43023</v>
      </c>
      <c r="D78" s="1"/>
      <c r="F78" s="46"/>
      <c r="G78">
        <v>17.100000000000001</v>
      </c>
      <c r="H78">
        <v>14</v>
      </c>
      <c r="I78">
        <v>19.5</v>
      </c>
      <c r="J78">
        <f t="shared" si="4"/>
        <v>495.39999999999992</v>
      </c>
      <c r="K78">
        <f t="shared" si="5"/>
        <v>495.39999999999992</v>
      </c>
      <c r="M78">
        <v>0.2</v>
      </c>
      <c r="N78">
        <v>1.1000000000000001</v>
      </c>
      <c r="O78">
        <f t="shared" si="9"/>
        <v>-0.90000000000000013</v>
      </c>
      <c r="Q78">
        <v>35</v>
      </c>
      <c r="R78">
        <f t="shared" si="8"/>
        <v>0.61351351351351346</v>
      </c>
      <c r="S78">
        <f t="shared" si="10"/>
        <v>0.67486486486486486</v>
      </c>
      <c r="T78">
        <f t="shared" si="11"/>
        <v>-0.47486486486486484</v>
      </c>
      <c r="U78">
        <f t="shared" si="6"/>
        <v>70.069459459459438</v>
      </c>
      <c r="W78">
        <v>490</v>
      </c>
      <c r="X78">
        <f t="shared" si="7"/>
        <v>27673.600000000002</v>
      </c>
      <c r="Y78">
        <v>10.551341084701024</v>
      </c>
    </row>
    <row r="79" spans="1:25" x14ac:dyDescent="0.35">
      <c r="A79">
        <v>2920</v>
      </c>
      <c r="B79">
        <v>23610</v>
      </c>
      <c r="C79" s="1">
        <v>43024</v>
      </c>
      <c r="D79" s="1"/>
      <c r="F79" s="46"/>
      <c r="G79">
        <v>16.5</v>
      </c>
      <c r="H79">
        <v>15.5</v>
      </c>
      <c r="I79">
        <v>19.399999999999999</v>
      </c>
      <c r="J79">
        <f t="shared" si="4"/>
        <v>511.89999999999992</v>
      </c>
      <c r="K79">
        <f t="shared" si="5"/>
        <v>511.89999999999992</v>
      </c>
      <c r="M79">
        <v>0.9</v>
      </c>
      <c r="N79">
        <v>1.3</v>
      </c>
      <c r="O79">
        <f t="shared" si="9"/>
        <v>-0.4</v>
      </c>
      <c r="Q79">
        <v>36</v>
      </c>
      <c r="R79">
        <f t="shared" si="8"/>
        <v>0.62229729729729732</v>
      </c>
      <c r="S79">
        <f t="shared" si="10"/>
        <v>0.80898648648648652</v>
      </c>
      <c r="T79">
        <f t="shared" si="11"/>
        <v>9.10135135135135E-2</v>
      </c>
      <c r="U79">
        <f t="shared" si="6"/>
        <v>70.160472972972954</v>
      </c>
      <c r="W79">
        <v>487.9</v>
      </c>
      <c r="X79">
        <f t="shared" si="7"/>
        <v>28161.500000000004</v>
      </c>
      <c r="Y79">
        <v>10.494137446560973</v>
      </c>
    </row>
    <row r="80" spans="1:25" x14ac:dyDescent="0.35">
      <c r="A80">
        <v>2920</v>
      </c>
      <c r="B80">
        <v>23610</v>
      </c>
      <c r="C80" s="1">
        <v>43025</v>
      </c>
      <c r="D80" s="1"/>
      <c r="F80" s="46"/>
      <c r="G80">
        <v>15.6</v>
      </c>
      <c r="H80">
        <v>12.1</v>
      </c>
      <c r="I80">
        <v>18.5</v>
      </c>
      <c r="J80">
        <f t="shared" si="4"/>
        <v>527.49999999999989</v>
      </c>
      <c r="K80">
        <f t="shared" si="5"/>
        <v>527.49999999999989</v>
      </c>
      <c r="M80">
        <v>0.4</v>
      </c>
      <c r="N80">
        <v>1.3</v>
      </c>
      <c r="O80">
        <f t="shared" si="9"/>
        <v>-0.9</v>
      </c>
      <c r="Q80">
        <v>37</v>
      </c>
      <c r="R80">
        <f t="shared" si="8"/>
        <v>0.63108108108108107</v>
      </c>
      <c r="S80">
        <f t="shared" si="10"/>
        <v>0.82040540540540541</v>
      </c>
      <c r="T80">
        <f t="shared" si="11"/>
        <v>-0.42040540540540539</v>
      </c>
      <c r="U80">
        <f t="shared" si="6"/>
        <v>69.74006756756755</v>
      </c>
      <c r="W80">
        <v>709.1</v>
      </c>
      <c r="X80">
        <f t="shared" si="7"/>
        <v>28870.600000000002</v>
      </c>
      <c r="Y80">
        <v>10.437182073043973</v>
      </c>
    </row>
    <row r="81" spans="1:25" x14ac:dyDescent="0.35">
      <c r="A81">
        <v>2920</v>
      </c>
      <c r="B81">
        <v>23610</v>
      </c>
      <c r="C81" s="1">
        <v>43026</v>
      </c>
      <c r="D81" s="1"/>
      <c r="F81" s="46"/>
      <c r="G81">
        <v>16.2</v>
      </c>
      <c r="H81">
        <v>15.4</v>
      </c>
      <c r="I81">
        <v>17</v>
      </c>
      <c r="J81">
        <f t="shared" si="4"/>
        <v>543.69999999999993</v>
      </c>
      <c r="K81">
        <f t="shared" si="5"/>
        <v>543.69999999999993</v>
      </c>
      <c r="M81">
        <v>3.2</v>
      </c>
      <c r="N81">
        <v>0.4</v>
      </c>
      <c r="O81">
        <f t="shared" si="9"/>
        <v>2.8000000000000003</v>
      </c>
      <c r="Q81">
        <v>38</v>
      </c>
      <c r="R81">
        <f t="shared" si="8"/>
        <v>0.63986486486486482</v>
      </c>
      <c r="S81">
        <f t="shared" si="10"/>
        <v>0.25594594594594594</v>
      </c>
      <c r="T81">
        <f t="shared" si="11"/>
        <v>2.9440540540540541</v>
      </c>
      <c r="U81">
        <f t="shared" si="6"/>
        <v>72.6841216216216</v>
      </c>
      <c r="W81">
        <v>250.2</v>
      </c>
      <c r="X81">
        <f t="shared" si="7"/>
        <v>29120.800000000003</v>
      </c>
      <c r="Y81">
        <v>10.380488010766509</v>
      </c>
    </row>
    <row r="82" spans="1:25" x14ac:dyDescent="0.35">
      <c r="A82">
        <v>2920</v>
      </c>
      <c r="B82">
        <v>23610</v>
      </c>
      <c r="C82" s="1">
        <v>43027</v>
      </c>
      <c r="D82" s="1"/>
      <c r="F82" s="46"/>
      <c r="G82">
        <v>14.7</v>
      </c>
      <c r="H82">
        <v>14.3</v>
      </c>
      <c r="I82">
        <v>17.100000000000001</v>
      </c>
      <c r="J82">
        <f t="shared" si="4"/>
        <v>558.4</v>
      </c>
      <c r="K82">
        <f t="shared" si="5"/>
        <v>558.4</v>
      </c>
      <c r="M82">
        <v>10.7</v>
      </c>
      <c r="N82">
        <v>1.3</v>
      </c>
      <c r="O82">
        <f t="shared" si="9"/>
        <v>9.3999999999999986</v>
      </c>
      <c r="Q82">
        <v>39</v>
      </c>
      <c r="R82">
        <f t="shared" si="8"/>
        <v>0.64864864864864868</v>
      </c>
      <c r="S82">
        <f t="shared" si="10"/>
        <v>0.84324324324324329</v>
      </c>
      <c r="T82">
        <f t="shared" si="11"/>
        <v>9.8567567567567558</v>
      </c>
      <c r="U82">
        <f t="shared" si="6"/>
        <v>82.540878378378352</v>
      </c>
      <c r="W82">
        <v>362.6</v>
      </c>
      <c r="X82">
        <f t="shared" si="7"/>
        <v>29483.4</v>
      </c>
      <c r="Y82">
        <v>10.32406866832776</v>
      </c>
    </row>
    <row r="83" spans="1:25" x14ac:dyDescent="0.35">
      <c r="A83">
        <v>2920</v>
      </c>
      <c r="B83">
        <v>23610</v>
      </c>
      <c r="C83" s="1">
        <v>43028</v>
      </c>
      <c r="D83" s="1"/>
      <c r="F83" s="46"/>
      <c r="G83">
        <v>13.3</v>
      </c>
      <c r="H83">
        <v>9.1999999999999993</v>
      </c>
      <c r="I83">
        <v>15.8</v>
      </c>
      <c r="J83">
        <f t="shared" si="4"/>
        <v>571.69999999999993</v>
      </c>
      <c r="K83">
        <f t="shared" si="5"/>
        <v>571.69999999999993</v>
      </c>
      <c r="M83">
        <v>2.4</v>
      </c>
      <c r="N83">
        <v>1</v>
      </c>
      <c r="O83">
        <f t="shared" si="9"/>
        <v>1.4</v>
      </c>
      <c r="Q83">
        <v>40</v>
      </c>
      <c r="R83">
        <f t="shared" si="8"/>
        <v>0.65743243243243243</v>
      </c>
      <c r="S83">
        <f t="shared" si="10"/>
        <v>0.65743243243243243</v>
      </c>
      <c r="T83">
        <f t="shared" si="11"/>
        <v>1.7425675675675674</v>
      </c>
      <c r="U83">
        <f t="shared" si="6"/>
        <v>84.283445945945914</v>
      </c>
      <c r="W83">
        <v>538</v>
      </c>
      <c r="X83">
        <f t="shared" si="7"/>
        <v>30021.4</v>
      </c>
      <c r="Y83">
        <v>10.267937825565793</v>
      </c>
    </row>
    <row r="84" spans="1:25" x14ac:dyDescent="0.35">
      <c r="A84">
        <v>2920</v>
      </c>
      <c r="B84">
        <v>23610</v>
      </c>
      <c r="C84" s="1">
        <v>43029</v>
      </c>
      <c r="D84" s="1"/>
      <c r="F84" s="46"/>
      <c r="G84">
        <v>12.8</v>
      </c>
      <c r="H84">
        <v>11.5</v>
      </c>
      <c r="I84">
        <v>13.9</v>
      </c>
      <c r="J84">
        <f t="shared" si="4"/>
        <v>584.49999999999989</v>
      </c>
      <c r="K84">
        <f t="shared" si="5"/>
        <v>584.49999999999989</v>
      </c>
      <c r="M84">
        <v>2</v>
      </c>
      <c r="N84">
        <v>1.5</v>
      </c>
      <c r="O84">
        <f t="shared" si="9"/>
        <v>0.5</v>
      </c>
      <c r="Q84">
        <v>41</v>
      </c>
      <c r="R84">
        <f t="shared" si="8"/>
        <v>0.66621621621621618</v>
      </c>
      <c r="S84">
        <f t="shared" si="10"/>
        <v>0.99932432432432428</v>
      </c>
      <c r="T84">
        <f t="shared" si="11"/>
        <v>1.0006756756756756</v>
      </c>
      <c r="U84">
        <f t="shared" si="6"/>
        <v>85.284121621621594</v>
      </c>
      <c r="W84">
        <v>794.2</v>
      </c>
      <c r="X84">
        <f t="shared" si="7"/>
        <v>30815.600000000002</v>
      </c>
      <c r="Y84">
        <v>10.212109642165881</v>
      </c>
    </row>
    <row r="85" spans="1:25" x14ac:dyDescent="0.35">
      <c r="A85">
        <v>2920</v>
      </c>
      <c r="B85">
        <v>23610</v>
      </c>
      <c r="C85" s="1">
        <v>43030</v>
      </c>
      <c r="D85" s="1"/>
      <c r="F85" s="46"/>
      <c r="G85">
        <v>11.4</v>
      </c>
      <c r="H85">
        <v>8.9</v>
      </c>
      <c r="I85">
        <v>13.4</v>
      </c>
      <c r="J85">
        <f t="shared" si="4"/>
        <v>595.89999999999986</v>
      </c>
      <c r="K85">
        <f t="shared" si="5"/>
        <v>595.89999999999986</v>
      </c>
      <c r="M85">
        <v>1</v>
      </c>
      <c r="N85">
        <v>1.3</v>
      </c>
      <c r="O85">
        <f t="shared" si="9"/>
        <v>-0.30000000000000004</v>
      </c>
      <c r="Q85">
        <v>42</v>
      </c>
      <c r="R85">
        <f t="shared" si="8"/>
        <v>0.67500000000000004</v>
      </c>
      <c r="S85">
        <f t="shared" si="10"/>
        <v>0.87750000000000006</v>
      </c>
      <c r="T85">
        <f t="shared" si="11"/>
        <v>0.12249999999999994</v>
      </c>
      <c r="U85">
        <f t="shared" si="6"/>
        <v>85.406621621621596</v>
      </c>
      <c r="W85">
        <v>503.8</v>
      </c>
      <c r="X85">
        <f t="shared" si="7"/>
        <v>31319.4</v>
      </c>
      <c r="Y85">
        <v>10.156598665570007</v>
      </c>
    </row>
    <row r="86" spans="1:25" x14ac:dyDescent="0.35">
      <c r="A86">
        <v>2920</v>
      </c>
      <c r="B86">
        <v>23610</v>
      </c>
      <c r="C86" s="1">
        <v>43031</v>
      </c>
      <c r="D86" s="1"/>
      <c r="F86" s="46"/>
      <c r="G86">
        <v>13.7</v>
      </c>
      <c r="H86">
        <v>11.2</v>
      </c>
      <c r="I86">
        <v>15.5</v>
      </c>
      <c r="J86">
        <f t="shared" si="4"/>
        <v>609.59999999999991</v>
      </c>
      <c r="K86">
        <f t="shared" si="5"/>
        <v>609.59999999999991</v>
      </c>
      <c r="M86">
        <v>2.9</v>
      </c>
      <c r="N86">
        <v>0.5</v>
      </c>
      <c r="O86">
        <f t="shared" si="9"/>
        <v>2.4</v>
      </c>
      <c r="Q86">
        <v>43</v>
      </c>
      <c r="R86">
        <f t="shared" si="8"/>
        <v>0.68378378378378368</v>
      </c>
      <c r="S86">
        <f t="shared" si="10"/>
        <v>0.34189189189189184</v>
      </c>
      <c r="T86">
        <f t="shared" si="11"/>
        <v>2.5581081081081081</v>
      </c>
      <c r="U86">
        <f t="shared" si="6"/>
        <v>87.964729729729697</v>
      </c>
      <c r="W86">
        <v>127.7</v>
      </c>
      <c r="X86">
        <f t="shared" si="7"/>
        <v>31447.100000000002</v>
      </c>
      <c r="Y86">
        <v>10.101419838134126</v>
      </c>
    </row>
    <row r="87" spans="1:25" x14ac:dyDescent="0.35">
      <c r="A87">
        <v>2920</v>
      </c>
      <c r="B87">
        <v>23610</v>
      </c>
      <c r="C87" s="1">
        <v>43032</v>
      </c>
      <c r="D87" s="1"/>
      <c r="F87" s="46"/>
      <c r="G87">
        <v>14.8</v>
      </c>
      <c r="H87">
        <v>14.3</v>
      </c>
      <c r="I87">
        <v>16.3</v>
      </c>
      <c r="J87">
        <f t="shared" si="4"/>
        <v>624.39999999999986</v>
      </c>
      <c r="K87">
        <f t="shared" si="5"/>
        <v>624.39999999999986</v>
      </c>
      <c r="M87">
        <v>0.2</v>
      </c>
      <c r="N87">
        <v>0.6</v>
      </c>
      <c r="O87">
        <f t="shared" si="9"/>
        <v>-0.39999999999999997</v>
      </c>
      <c r="Q87">
        <v>44</v>
      </c>
      <c r="R87">
        <f t="shared" si="8"/>
        <v>0.69256756756756754</v>
      </c>
      <c r="S87">
        <f t="shared" si="10"/>
        <v>0.41554054054054052</v>
      </c>
      <c r="T87">
        <f t="shared" si="11"/>
        <v>-0.2155405405405405</v>
      </c>
      <c r="U87">
        <f t="shared" si="6"/>
        <v>87.749189189189153</v>
      </c>
      <c r="W87">
        <v>214.8</v>
      </c>
      <c r="X87">
        <f t="shared" si="7"/>
        <v>31661.9</v>
      </c>
      <c r="Y87">
        <v>10.046588503477551</v>
      </c>
    </row>
    <row r="88" spans="1:25" x14ac:dyDescent="0.35">
      <c r="A88">
        <v>2920</v>
      </c>
      <c r="B88">
        <v>23610</v>
      </c>
      <c r="C88" s="1">
        <v>43033</v>
      </c>
      <c r="D88" s="1"/>
      <c r="F88" s="46"/>
      <c r="G88">
        <v>11.9</v>
      </c>
      <c r="H88">
        <v>11.5</v>
      </c>
      <c r="I88">
        <v>13.9</v>
      </c>
      <c r="J88">
        <f t="shared" si="4"/>
        <v>636.29999999999984</v>
      </c>
      <c r="K88">
        <f t="shared" si="5"/>
        <v>636.29999999999984</v>
      </c>
      <c r="M88">
        <v>0.2</v>
      </c>
      <c r="N88">
        <v>0.7</v>
      </c>
      <c r="O88">
        <f t="shared" si="9"/>
        <v>-0.49999999999999994</v>
      </c>
      <c r="Q88">
        <v>45</v>
      </c>
      <c r="R88">
        <f t="shared" si="8"/>
        <v>0.7013513513513514</v>
      </c>
      <c r="S88">
        <f t="shared" si="10"/>
        <v>0.49094594594594593</v>
      </c>
      <c r="T88">
        <f t="shared" si="11"/>
        <v>-0.29094594594594592</v>
      </c>
      <c r="U88">
        <f t="shared" si="6"/>
        <v>87.458243243243203</v>
      </c>
      <c r="W88">
        <v>283.5</v>
      </c>
      <c r="X88">
        <f t="shared" si="7"/>
        <v>31945.4</v>
      </c>
      <c r="Y88">
        <v>9.9921204119662548</v>
      </c>
    </row>
    <row r="89" spans="1:25" x14ac:dyDescent="0.35">
      <c r="A89">
        <v>2920</v>
      </c>
      <c r="B89">
        <v>23610</v>
      </c>
      <c r="C89" s="1">
        <v>43034</v>
      </c>
      <c r="D89" s="1"/>
      <c r="F89" s="46"/>
      <c r="G89">
        <v>11.4</v>
      </c>
      <c r="H89">
        <v>7.8</v>
      </c>
      <c r="I89">
        <v>13.9</v>
      </c>
      <c r="J89">
        <f t="shared" si="4"/>
        <v>647.69999999999982</v>
      </c>
      <c r="K89">
        <f t="shared" si="5"/>
        <v>647.69999999999982</v>
      </c>
      <c r="M89">
        <v>0.2</v>
      </c>
      <c r="N89">
        <v>1.1000000000000001</v>
      </c>
      <c r="O89">
        <f t="shared" si="9"/>
        <v>-0.90000000000000013</v>
      </c>
      <c r="Q89">
        <v>46</v>
      </c>
      <c r="R89">
        <f t="shared" si="8"/>
        <v>0.71013513513513515</v>
      </c>
      <c r="S89">
        <f t="shared" si="10"/>
        <v>0.78114864864864875</v>
      </c>
      <c r="T89">
        <f t="shared" si="11"/>
        <v>-0.58114864864864879</v>
      </c>
      <c r="U89">
        <f t="shared" si="6"/>
        <v>86.877094594594553</v>
      </c>
      <c r="W89">
        <v>483.9</v>
      </c>
      <c r="X89">
        <f t="shared" si="7"/>
        <v>32429.300000000003</v>
      </c>
      <c r="Y89">
        <v>9.9380317252698891</v>
      </c>
    </row>
    <row r="90" spans="1:25" x14ac:dyDescent="0.35">
      <c r="A90">
        <v>2920</v>
      </c>
      <c r="B90">
        <v>23610</v>
      </c>
      <c r="C90" s="1">
        <v>43035</v>
      </c>
      <c r="D90" s="1"/>
      <c r="F90" s="46"/>
      <c r="G90">
        <v>12.7</v>
      </c>
      <c r="H90">
        <v>11.5</v>
      </c>
      <c r="I90">
        <v>16.100000000000001</v>
      </c>
      <c r="J90">
        <f t="shared" si="4"/>
        <v>660.39999999999986</v>
      </c>
      <c r="K90">
        <f t="shared" si="5"/>
        <v>660.39999999999986</v>
      </c>
      <c r="M90">
        <v>0.2</v>
      </c>
      <c r="N90">
        <v>0.8</v>
      </c>
      <c r="O90">
        <f t="shared" si="9"/>
        <v>-0.60000000000000009</v>
      </c>
      <c r="Q90">
        <v>47</v>
      </c>
      <c r="R90">
        <f t="shared" si="8"/>
        <v>0.7189189189189189</v>
      </c>
      <c r="S90">
        <f t="shared" si="10"/>
        <v>0.57513513513513514</v>
      </c>
      <c r="T90">
        <f t="shared" si="11"/>
        <v>-0.37513513513513513</v>
      </c>
      <c r="U90">
        <f t="shared" si="6"/>
        <v>86.501959459459414</v>
      </c>
      <c r="W90">
        <v>260.39999999999998</v>
      </c>
      <c r="X90">
        <f t="shared" si="7"/>
        <v>32689.700000000004</v>
      </c>
      <c r="Y90">
        <v>9.8843390199300991</v>
      </c>
    </row>
    <row r="91" spans="1:25" x14ac:dyDescent="0.35">
      <c r="A91">
        <v>2920</v>
      </c>
      <c r="B91">
        <v>23610</v>
      </c>
      <c r="C91" s="1">
        <v>43036</v>
      </c>
      <c r="D91" s="1"/>
      <c r="F91" s="46"/>
      <c r="G91">
        <v>10</v>
      </c>
      <c r="H91">
        <v>4.3</v>
      </c>
      <c r="I91">
        <v>13.6</v>
      </c>
      <c r="J91">
        <f t="shared" si="4"/>
        <v>670.39999999999986</v>
      </c>
      <c r="K91">
        <f t="shared" si="5"/>
        <v>670.39999999999986</v>
      </c>
      <c r="M91">
        <v>0.9</v>
      </c>
      <c r="N91">
        <v>1</v>
      </c>
      <c r="O91">
        <f t="shared" si="9"/>
        <v>-9.9999999999999978E-2</v>
      </c>
      <c r="Q91">
        <v>48</v>
      </c>
      <c r="R91">
        <f t="shared" si="8"/>
        <v>0.72770270270270265</v>
      </c>
      <c r="S91">
        <f t="shared" si="10"/>
        <v>0.72770270270270265</v>
      </c>
      <c r="T91">
        <f t="shared" si="11"/>
        <v>0.17229729729729737</v>
      </c>
      <c r="U91">
        <f t="shared" si="6"/>
        <v>86.674256756756705</v>
      </c>
      <c r="W91">
        <v>813.5</v>
      </c>
      <c r="X91">
        <f t="shared" si="7"/>
        <v>33503.200000000004</v>
      </c>
      <c r="Y91">
        <v>9.8310592898758404</v>
      </c>
    </row>
    <row r="92" spans="1:25" x14ac:dyDescent="0.35">
      <c r="A92">
        <v>2920</v>
      </c>
      <c r="B92">
        <v>23610</v>
      </c>
      <c r="C92" s="1">
        <v>43037</v>
      </c>
      <c r="D92" s="1"/>
      <c r="F92" s="46"/>
      <c r="G92">
        <v>12.6</v>
      </c>
      <c r="H92">
        <v>11.3</v>
      </c>
      <c r="I92">
        <v>14.1</v>
      </c>
      <c r="J92">
        <f t="shared" si="4"/>
        <v>682.99999999999989</v>
      </c>
      <c r="K92">
        <f t="shared" si="5"/>
        <v>682.99999999999989</v>
      </c>
      <c r="M92">
        <v>0.7</v>
      </c>
      <c r="N92">
        <v>0.4</v>
      </c>
      <c r="O92">
        <f t="shared" si="9"/>
        <v>0.29999999999999993</v>
      </c>
      <c r="Q92">
        <v>49</v>
      </c>
      <c r="R92">
        <f t="shared" si="8"/>
        <v>0.73648648648648651</v>
      </c>
      <c r="S92">
        <f t="shared" si="10"/>
        <v>0.29459459459459464</v>
      </c>
      <c r="T92">
        <f t="shared" si="11"/>
        <v>0.40540540540540532</v>
      </c>
      <c r="U92">
        <f t="shared" si="6"/>
        <v>87.079662162162109</v>
      </c>
      <c r="W92">
        <v>159.19999999999999</v>
      </c>
      <c r="X92">
        <f t="shared" si="7"/>
        <v>33662.400000000001</v>
      </c>
      <c r="Y92">
        <v>9.778209947819624</v>
      </c>
    </row>
    <row r="93" spans="1:25" x14ac:dyDescent="0.35">
      <c r="A93">
        <v>2920</v>
      </c>
      <c r="B93">
        <v>23610</v>
      </c>
      <c r="C93" s="1">
        <v>43038</v>
      </c>
      <c r="D93" s="1"/>
      <c r="F93" s="46"/>
      <c r="G93">
        <v>8.6</v>
      </c>
      <c r="H93">
        <v>6.7</v>
      </c>
      <c r="I93">
        <v>13</v>
      </c>
      <c r="J93">
        <f t="shared" si="4"/>
        <v>691.59999999999991</v>
      </c>
      <c r="K93">
        <f t="shared" si="5"/>
        <v>691.59999999999991</v>
      </c>
      <c r="M93">
        <v>0.2</v>
      </c>
      <c r="N93">
        <v>1</v>
      </c>
      <c r="O93">
        <f t="shared" si="9"/>
        <v>-0.8</v>
      </c>
      <c r="Q93">
        <v>50</v>
      </c>
      <c r="R93">
        <f t="shared" si="8"/>
        <v>0.74527027027027026</v>
      </c>
      <c r="S93">
        <f t="shared" si="10"/>
        <v>0.74527027027027026</v>
      </c>
      <c r="T93">
        <f t="shared" si="11"/>
        <v>-0.54527027027027031</v>
      </c>
      <c r="U93">
        <f t="shared" si="6"/>
        <v>86.534391891891843</v>
      </c>
      <c r="W93">
        <v>448.7</v>
      </c>
      <c r="X93">
        <f t="shared" si="7"/>
        <v>34111.1</v>
      </c>
      <c r="Y93">
        <v>9.7258088254671407</v>
      </c>
    </row>
    <row r="94" spans="1:25" x14ac:dyDescent="0.35">
      <c r="A94">
        <v>2920</v>
      </c>
      <c r="B94">
        <v>23610</v>
      </c>
      <c r="C94" s="1">
        <v>43039</v>
      </c>
      <c r="D94" s="1"/>
      <c r="F94" s="46"/>
      <c r="G94">
        <v>7.1</v>
      </c>
      <c r="H94">
        <v>2</v>
      </c>
      <c r="I94">
        <v>11.9</v>
      </c>
      <c r="J94">
        <f t="shared" si="4"/>
        <v>698.69999999999993</v>
      </c>
      <c r="K94">
        <f t="shared" si="5"/>
        <v>698.69999999999993</v>
      </c>
      <c r="M94">
        <v>0</v>
      </c>
      <c r="N94">
        <v>1.3</v>
      </c>
      <c r="O94">
        <f t="shared" si="9"/>
        <v>-1.3</v>
      </c>
      <c r="Q94">
        <v>51</v>
      </c>
      <c r="R94">
        <f t="shared" si="8"/>
        <v>0.75405405405405401</v>
      </c>
      <c r="S94">
        <f t="shared" si="10"/>
        <v>0.98027027027027025</v>
      </c>
      <c r="T94">
        <f t="shared" si="11"/>
        <v>-0.98027027027027025</v>
      </c>
      <c r="U94">
        <f t="shared" si="6"/>
        <v>85.554121621621576</v>
      </c>
      <c r="W94">
        <v>999.6</v>
      </c>
      <c r="X94">
        <f t="shared" si="7"/>
        <v>35110.699999999997</v>
      </c>
      <c r="Y94">
        <v>9.6738741724714572</v>
      </c>
    </row>
    <row r="95" spans="1:25" x14ac:dyDescent="0.35">
      <c r="A95">
        <v>2920</v>
      </c>
      <c r="B95">
        <v>23610</v>
      </c>
      <c r="C95" s="1">
        <v>43040</v>
      </c>
      <c r="D95" s="1"/>
      <c r="F95" s="46"/>
      <c r="G95">
        <v>8.8000000000000007</v>
      </c>
      <c r="H95">
        <v>5.5</v>
      </c>
      <c r="I95">
        <v>11.7</v>
      </c>
      <c r="J95">
        <f t="shared" si="4"/>
        <v>707.49999999999989</v>
      </c>
      <c r="K95">
        <f t="shared" si="5"/>
        <v>707.49999999999989</v>
      </c>
      <c r="M95">
        <v>0</v>
      </c>
      <c r="N95">
        <v>0.7</v>
      </c>
      <c r="O95">
        <f t="shared" si="9"/>
        <v>-0.7</v>
      </c>
      <c r="Q95">
        <v>52</v>
      </c>
      <c r="R95">
        <f t="shared" si="8"/>
        <v>0.76283783783783776</v>
      </c>
      <c r="S95">
        <f t="shared" si="10"/>
        <v>0.53398648648648639</v>
      </c>
      <c r="T95">
        <f t="shared" si="11"/>
        <v>-0.53398648648648639</v>
      </c>
      <c r="U95">
        <f t="shared" si="6"/>
        <v>85.020135135135092</v>
      </c>
      <c r="W95">
        <v>388.1</v>
      </c>
      <c r="X95">
        <f t="shared" si="7"/>
        <v>35498.799999999996</v>
      </c>
      <c r="Y95">
        <v>9.6224246540620815</v>
      </c>
    </row>
    <row r="96" spans="1:25" x14ac:dyDescent="0.35">
      <c r="A96">
        <v>2920</v>
      </c>
      <c r="B96">
        <v>23610</v>
      </c>
      <c r="C96" s="1">
        <v>43041</v>
      </c>
      <c r="D96" s="1"/>
      <c r="F96" s="46"/>
      <c r="G96">
        <v>11.6</v>
      </c>
      <c r="H96">
        <v>8.8000000000000007</v>
      </c>
      <c r="I96">
        <v>14.5</v>
      </c>
      <c r="J96">
        <f t="shared" si="4"/>
        <v>719.09999999999991</v>
      </c>
      <c r="K96">
        <f t="shared" si="5"/>
        <v>719.09999999999991</v>
      </c>
      <c r="M96">
        <v>0.2</v>
      </c>
      <c r="N96">
        <v>0.6</v>
      </c>
      <c r="O96">
        <f t="shared" si="9"/>
        <v>-0.39999999999999997</v>
      </c>
      <c r="Q96">
        <v>53</v>
      </c>
      <c r="R96">
        <f t="shared" si="8"/>
        <v>0.77162162162162162</v>
      </c>
      <c r="S96">
        <f t="shared" si="10"/>
        <v>0.46297297297297296</v>
      </c>
      <c r="T96">
        <f t="shared" si="11"/>
        <v>-0.26297297297297295</v>
      </c>
      <c r="U96">
        <f t="shared" si="6"/>
        <v>84.757162162162118</v>
      </c>
      <c r="W96">
        <v>281</v>
      </c>
      <c r="X96">
        <f t="shared" si="7"/>
        <v>35779.799999999996</v>
      </c>
      <c r="Y96">
        <v>9.5714793472785473</v>
      </c>
    </row>
    <row r="97" spans="1:25" x14ac:dyDescent="0.35">
      <c r="A97">
        <v>2920</v>
      </c>
      <c r="B97">
        <v>23610</v>
      </c>
      <c r="C97" s="1">
        <v>43042</v>
      </c>
      <c r="D97" s="1"/>
      <c r="F97" s="46"/>
      <c r="G97">
        <v>12.3</v>
      </c>
      <c r="H97">
        <v>9.6</v>
      </c>
      <c r="I97">
        <v>14.4</v>
      </c>
      <c r="J97">
        <f t="shared" si="4"/>
        <v>731.39999999999986</v>
      </c>
      <c r="K97">
        <f t="shared" si="5"/>
        <v>731.39999999999986</v>
      </c>
      <c r="M97">
        <v>3.6</v>
      </c>
      <c r="N97">
        <v>0.5</v>
      </c>
      <c r="O97">
        <f t="shared" si="9"/>
        <v>3.1</v>
      </c>
      <c r="Q97">
        <v>54</v>
      </c>
      <c r="R97">
        <f t="shared" si="8"/>
        <v>0.78040540540540548</v>
      </c>
      <c r="S97">
        <f t="shared" si="10"/>
        <v>0.39020270270270274</v>
      </c>
      <c r="T97">
        <f t="shared" si="11"/>
        <v>3.2097972972972975</v>
      </c>
      <c r="U97">
        <f t="shared" si="6"/>
        <v>87.966959459459417</v>
      </c>
      <c r="W97">
        <v>252.5</v>
      </c>
      <c r="X97">
        <f t="shared" si="7"/>
        <v>36032.299999999996</v>
      </c>
      <c r="Y97">
        <v>9.521057735738184</v>
      </c>
    </row>
    <row r="98" spans="1:25" x14ac:dyDescent="0.35">
      <c r="A98">
        <v>2920</v>
      </c>
      <c r="B98">
        <v>23610</v>
      </c>
      <c r="C98" s="1">
        <v>43043</v>
      </c>
      <c r="D98" s="1"/>
      <c r="F98" s="46"/>
      <c r="G98">
        <v>12.1</v>
      </c>
      <c r="H98">
        <v>10.5</v>
      </c>
      <c r="I98">
        <v>15</v>
      </c>
      <c r="J98">
        <f t="shared" si="4"/>
        <v>743.49999999999989</v>
      </c>
      <c r="K98">
        <f t="shared" si="5"/>
        <v>743.49999999999989</v>
      </c>
      <c r="M98">
        <v>5.5</v>
      </c>
      <c r="N98">
        <v>0.7</v>
      </c>
      <c r="O98">
        <f t="shared" si="9"/>
        <v>4.8</v>
      </c>
      <c r="Q98">
        <v>55</v>
      </c>
      <c r="R98">
        <f t="shared" si="8"/>
        <v>0.78918918918918912</v>
      </c>
      <c r="S98">
        <f t="shared" si="10"/>
        <v>0.55243243243243234</v>
      </c>
      <c r="T98">
        <f t="shared" si="11"/>
        <v>4.9475675675675674</v>
      </c>
      <c r="U98">
        <f t="shared" si="6"/>
        <v>92.914527027026992</v>
      </c>
      <c r="W98">
        <v>143.1</v>
      </c>
      <c r="X98">
        <f t="shared" si="7"/>
        <v>36175.399999999994</v>
      </c>
      <c r="Y98">
        <v>9.4711797028677687</v>
      </c>
    </row>
    <row r="99" spans="1:25" x14ac:dyDescent="0.35">
      <c r="A99">
        <v>2920</v>
      </c>
      <c r="B99">
        <v>23610</v>
      </c>
      <c r="C99" s="1">
        <v>43044</v>
      </c>
      <c r="D99" s="1"/>
      <c r="F99" s="46"/>
      <c r="G99">
        <v>6.5</v>
      </c>
      <c r="H99">
        <v>5.8</v>
      </c>
      <c r="I99">
        <v>7.1</v>
      </c>
      <c r="J99">
        <f t="shared" si="4"/>
        <v>749.99999999999989</v>
      </c>
      <c r="K99">
        <f t="shared" si="5"/>
        <v>749.99999999999989</v>
      </c>
      <c r="M99">
        <v>9.3000000000000007</v>
      </c>
      <c r="N99">
        <v>0.4</v>
      </c>
      <c r="O99">
        <f t="shared" si="9"/>
        <v>8.9</v>
      </c>
      <c r="Q99">
        <v>56</v>
      </c>
      <c r="R99">
        <f t="shared" si="8"/>
        <v>0.79797297297297298</v>
      </c>
      <c r="S99">
        <f t="shared" si="10"/>
        <v>0.3191891891891892</v>
      </c>
      <c r="T99">
        <f t="shared" si="11"/>
        <v>8.9808108108108122</v>
      </c>
      <c r="U99">
        <f t="shared" si="6"/>
        <v>101.8953378378378</v>
      </c>
      <c r="W99">
        <v>130.30000000000001</v>
      </c>
      <c r="X99">
        <f t="shared" si="7"/>
        <v>36305.699999999997</v>
      </c>
      <c r="Y99">
        <v>9.4218655235298758</v>
      </c>
    </row>
    <row r="100" spans="1:25" x14ac:dyDescent="0.35">
      <c r="A100">
        <v>2920</v>
      </c>
      <c r="B100">
        <v>23610</v>
      </c>
      <c r="C100" s="1">
        <v>43045</v>
      </c>
      <c r="D100" s="1"/>
      <c r="F100" s="46"/>
      <c r="G100">
        <v>7.5</v>
      </c>
      <c r="H100">
        <v>4.8</v>
      </c>
      <c r="I100">
        <v>11.9</v>
      </c>
      <c r="J100">
        <f t="shared" si="4"/>
        <v>757.49999999999989</v>
      </c>
      <c r="K100">
        <f t="shared" si="5"/>
        <v>757.49999999999989</v>
      </c>
      <c r="M100">
        <v>0.1</v>
      </c>
      <c r="N100">
        <v>1.3</v>
      </c>
      <c r="O100">
        <f t="shared" si="9"/>
        <v>-1.2</v>
      </c>
      <c r="Q100">
        <v>57</v>
      </c>
      <c r="R100">
        <f t="shared" si="8"/>
        <v>0.80675675675675684</v>
      </c>
      <c r="S100">
        <f t="shared" si="10"/>
        <v>1.0487837837837839</v>
      </c>
      <c r="T100">
        <f t="shared" si="11"/>
        <v>-0.94878378378378392</v>
      </c>
      <c r="U100">
        <f t="shared" si="6"/>
        <v>100.94655405405402</v>
      </c>
      <c r="W100">
        <v>924.1</v>
      </c>
      <c r="X100">
        <f t="shared" si="7"/>
        <v>37229.799999999996</v>
      </c>
      <c r="Y100">
        <v>9.3731358539758194</v>
      </c>
    </row>
    <row r="101" spans="1:25" x14ac:dyDescent="0.35">
      <c r="A101">
        <v>2920</v>
      </c>
      <c r="B101">
        <v>23610</v>
      </c>
      <c r="C101" s="1">
        <v>43046</v>
      </c>
      <c r="D101" s="1"/>
      <c r="F101" s="46"/>
      <c r="G101">
        <v>7.2</v>
      </c>
      <c r="H101">
        <v>4.3</v>
      </c>
      <c r="I101">
        <v>9.5</v>
      </c>
      <c r="J101">
        <f t="shared" si="4"/>
        <v>764.69999999999993</v>
      </c>
      <c r="K101">
        <f t="shared" si="5"/>
        <v>764.69999999999993</v>
      </c>
      <c r="M101">
        <v>12</v>
      </c>
      <c r="N101">
        <v>0.7</v>
      </c>
      <c r="O101">
        <f t="shared" si="9"/>
        <v>11.3</v>
      </c>
      <c r="Q101">
        <v>58</v>
      </c>
      <c r="R101">
        <f t="shared" si="8"/>
        <v>0.81554054054054048</v>
      </c>
      <c r="S101">
        <f t="shared" si="10"/>
        <v>0.57087837837837829</v>
      </c>
      <c r="T101">
        <f t="shared" si="11"/>
        <v>11.429121621621622</v>
      </c>
      <c r="U101">
        <f t="shared" si="6"/>
        <v>112.37567567567564</v>
      </c>
      <c r="W101">
        <v>153.80000000000001</v>
      </c>
      <c r="X101">
        <f t="shared" si="7"/>
        <v>37383.599999999999</v>
      </c>
      <c r="Y101">
        <v>9.3250117200592744</v>
      </c>
    </row>
    <row r="102" spans="1:25" x14ac:dyDescent="0.35">
      <c r="A102">
        <v>2920</v>
      </c>
      <c r="B102">
        <v>23610</v>
      </c>
      <c r="C102" s="1">
        <v>43047</v>
      </c>
      <c r="D102" s="1"/>
      <c r="F102" s="46"/>
      <c r="G102">
        <v>7.3</v>
      </c>
      <c r="H102">
        <v>5.4</v>
      </c>
      <c r="I102">
        <v>10.9</v>
      </c>
      <c r="J102">
        <f t="shared" si="4"/>
        <v>771.99999999999989</v>
      </c>
      <c r="K102">
        <f t="shared" si="5"/>
        <v>771.99999999999989</v>
      </c>
      <c r="M102">
        <v>0.1</v>
      </c>
      <c r="N102">
        <v>1.3</v>
      </c>
      <c r="O102">
        <f t="shared" si="9"/>
        <v>-1.2</v>
      </c>
      <c r="Q102">
        <v>59</v>
      </c>
      <c r="R102">
        <f t="shared" si="8"/>
        <v>0.82432432432432434</v>
      </c>
      <c r="S102">
        <f t="shared" si="10"/>
        <v>1.0716216216216217</v>
      </c>
      <c r="T102">
        <f t="shared" si="11"/>
        <v>-0.97162162162162169</v>
      </c>
      <c r="U102">
        <f t="shared" si="6"/>
        <v>111.40405405405401</v>
      </c>
      <c r="W102">
        <v>646.6</v>
      </c>
      <c r="X102">
        <f t="shared" si="7"/>
        <v>38030.199999999997</v>
      </c>
      <c r="Y102">
        <v>9.2775145036471933</v>
      </c>
    </row>
    <row r="103" spans="1:25" x14ac:dyDescent="0.35">
      <c r="A103">
        <v>2920</v>
      </c>
      <c r="B103">
        <v>23610</v>
      </c>
      <c r="C103" s="1">
        <v>43048</v>
      </c>
      <c r="D103" s="1"/>
      <c r="F103" s="46"/>
      <c r="G103">
        <v>7.4</v>
      </c>
      <c r="H103">
        <v>2.2999999999999998</v>
      </c>
      <c r="I103">
        <v>10.3</v>
      </c>
      <c r="J103">
        <f t="shared" si="4"/>
        <v>779.39999999999986</v>
      </c>
      <c r="K103">
        <f t="shared" si="5"/>
        <v>779.39999999999986</v>
      </c>
      <c r="M103">
        <v>2.1</v>
      </c>
      <c r="N103">
        <v>0.2</v>
      </c>
      <c r="O103">
        <f t="shared" si="9"/>
        <v>1.9000000000000001</v>
      </c>
      <c r="Q103">
        <v>60</v>
      </c>
      <c r="R103">
        <f t="shared" si="8"/>
        <v>0.83310810810810809</v>
      </c>
      <c r="S103">
        <f t="shared" si="10"/>
        <v>0.16662162162162164</v>
      </c>
      <c r="T103">
        <f t="shared" si="11"/>
        <v>1.9333783783783784</v>
      </c>
      <c r="U103">
        <f t="shared" si="6"/>
        <v>113.33743243243239</v>
      </c>
      <c r="W103">
        <v>290.7</v>
      </c>
      <c r="X103">
        <f t="shared" si="7"/>
        <v>38320.899999999994</v>
      </c>
      <c r="Y103">
        <v>9.2306659271680385</v>
      </c>
    </row>
    <row r="104" spans="1:25" x14ac:dyDescent="0.35">
      <c r="A104">
        <v>2920</v>
      </c>
      <c r="B104">
        <v>23610</v>
      </c>
      <c r="C104" s="1">
        <v>43049</v>
      </c>
      <c r="D104" s="1"/>
      <c r="F104" s="46"/>
      <c r="G104">
        <v>10.6</v>
      </c>
      <c r="H104">
        <v>9.1</v>
      </c>
      <c r="I104">
        <v>12.7</v>
      </c>
      <c r="J104">
        <f t="shared" si="4"/>
        <v>789.99999999999989</v>
      </c>
      <c r="K104">
        <f t="shared" si="5"/>
        <v>789.99999999999989</v>
      </c>
      <c r="M104">
        <v>0.6</v>
      </c>
      <c r="N104">
        <v>0.4</v>
      </c>
      <c r="O104">
        <f t="shared" si="9"/>
        <v>0.19999999999999996</v>
      </c>
      <c r="Q104">
        <v>61</v>
      </c>
      <c r="R104">
        <f t="shared" si="8"/>
        <v>0.84189189189189184</v>
      </c>
      <c r="S104">
        <f t="shared" si="10"/>
        <v>0.33675675675675676</v>
      </c>
      <c r="T104">
        <f t="shared" si="11"/>
        <v>0.26324324324324322</v>
      </c>
      <c r="U104">
        <f t="shared" si="6"/>
        <v>113.60067567567563</v>
      </c>
      <c r="W104">
        <v>172.1</v>
      </c>
      <c r="X104">
        <f t="shared" si="7"/>
        <v>38492.999999999993</v>
      </c>
      <c r="Y104">
        <v>9.1844880362415182</v>
      </c>
    </row>
    <row r="105" spans="1:25" x14ac:dyDescent="0.35">
      <c r="A105">
        <v>2920</v>
      </c>
      <c r="B105">
        <v>23610</v>
      </c>
      <c r="C105" s="1">
        <v>43050</v>
      </c>
      <c r="D105" s="1"/>
      <c r="F105" s="46"/>
      <c r="G105">
        <v>12.6</v>
      </c>
      <c r="H105">
        <v>10.1</v>
      </c>
      <c r="I105">
        <v>14.1</v>
      </c>
      <c r="J105">
        <f t="shared" si="4"/>
        <v>802.59999999999991</v>
      </c>
      <c r="K105">
        <f t="shared" si="5"/>
        <v>802.59999999999991</v>
      </c>
      <c r="M105">
        <v>1.9</v>
      </c>
      <c r="N105">
        <v>0.6</v>
      </c>
      <c r="O105">
        <f t="shared" si="9"/>
        <v>1.2999999999999998</v>
      </c>
      <c r="Q105">
        <v>62</v>
      </c>
      <c r="R105">
        <f t="shared" si="8"/>
        <v>0.8506756756756757</v>
      </c>
      <c r="S105">
        <f t="shared" si="10"/>
        <v>0.51040540540540535</v>
      </c>
      <c r="T105">
        <f t="shared" si="11"/>
        <v>1.3895945945945947</v>
      </c>
      <c r="U105">
        <f t="shared" si="6"/>
        <v>114.99027027027023</v>
      </c>
      <c r="W105">
        <v>134.80000000000001</v>
      </c>
      <c r="X105">
        <f t="shared" si="7"/>
        <v>38627.799999999996</v>
      </c>
      <c r="Y105">
        <v>9.1390031803389036</v>
      </c>
    </row>
    <row r="106" spans="1:25" x14ac:dyDescent="0.35">
      <c r="A106">
        <v>2920</v>
      </c>
      <c r="B106">
        <v>23610</v>
      </c>
      <c r="C106" s="1">
        <v>43051</v>
      </c>
      <c r="D106" s="1"/>
      <c r="F106" s="46"/>
      <c r="G106">
        <v>9.8000000000000007</v>
      </c>
      <c r="H106">
        <v>6.8</v>
      </c>
      <c r="I106">
        <v>12.4</v>
      </c>
      <c r="J106">
        <f t="shared" si="4"/>
        <v>812.39999999999986</v>
      </c>
      <c r="K106">
        <f t="shared" si="5"/>
        <v>812.39999999999986</v>
      </c>
      <c r="M106">
        <v>1.8</v>
      </c>
      <c r="N106">
        <v>0.7</v>
      </c>
      <c r="O106">
        <f t="shared" si="9"/>
        <v>1.1000000000000001</v>
      </c>
      <c r="Q106">
        <v>63</v>
      </c>
      <c r="R106">
        <f t="shared" si="8"/>
        <v>0.85945945945945945</v>
      </c>
      <c r="S106">
        <f t="shared" si="10"/>
        <v>0.60162162162162158</v>
      </c>
      <c r="T106">
        <f t="shared" si="11"/>
        <v>1.1983783783783784</v>
      </c>
      <c r="U106">
        <f t="shared" si="6"/>
        <v>116.18864864864861</v>
      </c>
      <c r="W106">
        <v>265.2</v>
      </c>
      <c r="X106">
        <f t="shared" si="7"/>
        <v>38892.999999999993</v>
      </c>
      <c r="Y106">
        <v>9.0942339914289434</v>
      </c>
    </row>
    <row r="107" spans="1:25" x14ac:dyDescent="0.35">
      <c r="A107">
        <v>2920</v>
      </c>
      <c r="B107">
        <v>23610</v>
      </c>
      <c r="C107" s="1">
        <v>43052</v>
      </c>
      <c r="D107" s="1"/>
      <c r="F107" s="46"/>
      <c r="G107">
        <v>5.7</v>
      </c>
      <c r="H107">
        <v>2.7</v>
      </c>
      <c r="I107">
        <v>10.199999999999999</v>
      </c>
      <c r="J107">
        <f t="shared" si="4"/>
        <v>818.09999999999991</v>
      </c>
      <c r="K107">
        <f t="shared" si="5"/>
        <v>818.09999999999991</v>
      </c>
      <c r="M107">
        <v>0</v>
      </c>
      <c r="N107">
        <v>1</v>
      </c>
      <c r="O107">
        <f t="shared" si="9"/>
        <v>-1</v>
      </c>
      <c r="Q107">
        <v>64</v>
      </c>
      <c r="R107">
        <f t="shared" si="8"/>
        <v>0.8682432432432432</v>
      </c>
      <c r="S107">
        <f t="shared" si="10"/>
        <v>0.8682432432432432</v>
      </c>
      <c r="T107">
        <f t="shared" si="11"/>
        <v>-0.8682432432432432</v>
      </c>
      <c r="U107">
        <f t="shared" si="6"/>
        <v>115.32040540540537</v>
      </c>
      <c r="W107">
        <v>667.3</v>
      </c>
      <c r="X107">
        <f t="shared" si="7"/>
        <v>39560.299999999996</v>
      </c>
      <c r="Y107">
        <v>9.0502033605709933</v>
      </c>
    </row>
    <row r="108" spans="1:25" x14ac:dyDescent="0.35">
      <c r="A108">
        <v>2920</v>
      </c>
      <c r="B108">
        <v>23610</v>
      </c>
      <c r="C108" s="1">
        <v>43053</v>
      </c>
      <c r="D108" s="1"/>
      <c r="F108" s="46"/>
      <c r="G108">
        <v>5.4</v>
      </c>
      <c r="H108">
        <v>1.1000000000000001</v>
      </c>
      <c r="I108">
        <v>9.4</v>
      </c>
      <c r="J108">
        <f t="shared" si="4"/>
        <v>823.49999999999989</v>
      </c>
      <c r="K108">
        <f t="shared" si="5"/>
        <v>823.49999999999989</v>
      </c>
      <c r="M108">
        <v>0.1</v>
      </c>
      <c r="N108">
        <v>0.4</v>
      </c>
      <c r="O108">
        <f t="shared" si="9"/>
        <v>-0.30000000000000004</v>
      </c>
      <c r="Q108">
        <v>65</v>
      </c>
      <c r="R108">
        <f t="shared" si="8"/>
        <v>0.87702702702702706</v>
      </c>
      <c r="S108">
        <f t="shared" si="10"/>
        <v>0.35081081081081084</v>
      </c>
      <c r="T108">
        <f t="shared" si="11"/>
        <v>-0.2508108108108108</v>
      </c>
      <c r="U108">
        <f t="shared" si="6"/>
        <v>115.06959459459456</v>
      </c>
      <c r="W108">
        <v>217.2</v>
      </c>
      <c r="X108">
        <f t="shared" si="7"/>
        <v>39777.499999999993</v>
      </c>
      <c r="Y108">
        <v>9.0069344124247763</v>
      </c>
    </row>
    <row r="109" spans="1:25" x14ac:dyDescent="0.35">
      <c r="A109">
        <v>2920</v>
      </c>
      <c r="B109">
        <v>23610</v>
      </c>
      <c r="C109" s="1">
        <v>43054</v>
      </c>
      <c r="D109" s="1"/>
      <c r="E109" t="s">
        <v>36</v>
      </c>
      <c r="F109" s="46"/>
      <c r="G109">
        <v>6.9</v>
      </c>
      <c r="H109">
        <v>3.4</v>
      </c>
      <c r="I109">
        <v>11.4</v>
      </c>
      <c r="J109">
        <f t="shared" si="4"/>
        <v>830.39999999999986</v>
      </c>
      <c r="K109">
        <f t="shared" si="5"/>
        <v>830.39999999999986</v>
      </c>
      <c r="M109">
        <v>0</v>
      </c>
      <c r="N109">
        <v>1.1000000000000001</v>
      </c>
      <c r="O109">
        <f t="shared" si="9"/>
        <v>-1.1000000000000001</v>
      </c>
      <c r="Q109">
        <v>66</v>
      </c>
      <c r="R109">
        <f t="shared" si="8"/>
        <v>0.88581081081081081</v>
      </c>
      <c r="S109">
        <f t="shared" si="10"/>
        <v>0.97439189189189201</v>
      </c>
      <c r="T109">
        <f t="shared" si="11"/>
        <v>-0.97439189189189201</v>
      </c>
      <c r="U109">
        <f t="shared" si="6"/>
        <v>114.09520270270266</v>
      </c>
      <c r="W109">
        <v>623</v>
      </c>
      <c r="X109">
        <f t="shared" si="7"/>
        <v>40400.499999999993</v>
      </c>
      <c r="Y109">
        <v>8.9644504776547578</v>
      </c>
    </row>
    <row r="110" spans="1:25" x14ac:dyDescent="0.35">
      <c r="A110">
        <v>2920</v>
      </c>
      <c r="B110">
        <v>23610</v>
      </c>
      <c r="C110" s="1">
        <v>43055</v>
      </c>
      <c r="D110" s="1"/>
      <c r="F110" s="46"/>
      <c r="G110">
        <v>6</v>
      </c>
      <c r="H110">
        <v>3.8</v>
      </c>
      <c r="I110">
        <v>8</v>
      </c>
      <c r="J110">
        <f t="shared" ref="J110:J173" si="12">J109+G110</f>
        <v>836.39999999999986</v>
      </c>
      <c r="K110">
        <f t="shared" ref="K110:K173" si="13">K109+G110</f>
        <v>836.39999999999986</v>
      </c>
      <c r="M110">
        <v>0</v>
      </c>
      <c r="N110">
        <v>0.4</v>
      </c>
      <c r="O110">
        <f t="shared" si="9"/>
        <v>-0.4</v>
      </c>
      <c r="Q110">
        <v>67</v>
      </c>
      <c r="R110">
        <f t="shared" si="8"/>
        <v>0.89459459459459456</v>
      </c>
      <c r="S110">
        <f t="shared" si="10"/>
        <v>0.35783783783783785</v>
      </c>
      <c r="T110">
        <f t="shared" si="11"/>
        <v>-0.35783783783783785</v>
      </c>
      <c r="U110">
        <f t="shared" ref="U110:U173" si="14">MIN(U109+T110,197.4)</f>
        <v>113.73736486486483</v>
      </c>
      <c r="W110">
        <v>189.5</v>
      </c>
      <c r="X110">
        <f t="shared" ref="X110:X173" si="15">X109+W110</f>
        <v>40589.999999999993</v>
      </c>
      <c r="Y110">
        <v>8.9227750632167773</v>
      </c>
    </row>
    <row r="111" spans="1:25" x14ac:dyDescent="0.35">
      <c r="A111">
        <v>2920</v>
      </c>
      <c r="B111">
        <v>23610</v>
      </c>
      <c r="C111" s="1">
        <v>43056</v>
      </c>
      <c r="D111" s="1"/>
      <c r="F111" s="46"/>
      <c r="G111">
        <v>6.6</v>
      </c>
      <c r="H111">
        <v>3.6</v>
      </c>
      <c r="I111">
        <v>10.5</v>
      </c>
      <c r="J111">
        <f t="shared" si="12"/>
        <v>842.99999999999989</v>
      </c>
      <c r="K111">
        <f t="shared" si="13"/>
        <v>842.99999999999989</v>
      </c>
      <c r="M111">
        <v>0.2</v>
      </c>
      <c r="N111">
        <v>0.6</v>
      </c>
      <c r="O111">
        <f t="shared" si="9"/>
        <v>-0.39999999999999997</v>
      </c>
      <c r="Q111">
        <v>68</v>
      </c>
      <c r="R111">
        <f t="shared" si="8"/>
        <v>0.90337837837837831</v>
      </c>
      <c r="S111">
        <f t="shared" si="10"/>
        <v>0.54202702702702699</v>
      </c>
      <c r="T111">
        <f t="shared" si="11"/>
        <v>-0.34202702702702698</v>
      </c>
      <c r="U111">
        <f t="shared" si="14"/>
        <v>113.3953378378378</v>
      </c>
      <c r="W111">
        <v>427.4</v>
      </c>
      <c r="X111">
        <f t="shared" si="15"/>
        <v>41017.399999999994</v>
      </c>
      <c r="Y111">
        <v>8.8819318205252102</v>
      </c>
    </row>
    <row r="112" spans="1:25" x14ac:dyDescent="0.35">
      <c r="A112">
        <v>2920</v>
      </c>
      <c r="B112">
        <v>23610</v>
      </c>
      <c r="C112" s="1">
        <v>43057</v>
      </c>
      <c r="D112" s="1"/>
      <c r="F112" s="46"/>
      <c r="G112">
        <v>5.8</v>
      </c>
      <c r="H112">
        <v>4</v>
      </c>
      <c r="I112">
        <v>7.7</v>
      </c>
      <c r="J112">
        <f t="shared" si="12"/>
        <v>848.79999999999984</v>
      </c>
      <c r="K112">
        <f t="shared" si="13"/>
        <v>848.79999999999984</v>
      </c>
      <c r="M112">
        <v>0</v>
      </c>
      <c r="N112">
        <v>0.4</v>
      </c>
      <c r="O112">
        <f t="shared" si="9"/>
        <v>-0.4</v>
      </c>
      <c r="Q112">
        <v>69</v>
      </c>
      <c r="R112">
        <f t="shared" si="8"/>
        <v>0.91216216216216217</v>
      </c>
      <c r="S112">
        <f t="shared" si="10"/>
        <v>0.36486486486486491</v>
      </c>
      <c r="T112">
        <f t="shared" si="11"/>
        <v>-0.36486486486486491</v>
      </c>
      <c r="U112">
        <f t="shared" si="14"/>
        <v>113.03047297297293</v>
      </c>
      <c r="W112">
        <v>227.4</v>
      </c>
      <c r="X112">
        <f t="shared" si="15"/>
        <v>41244.799999999996</v>
      </c>
      <c r="Y112">
        <v>8.8419445115105368</v>
      </c>
    </row>
    <row r="113" spans="1:26" x14ac:dyDescent="0.35">
      <c r="A113">
        <v>2920</v>
      </c>
      <c r="B113">
        <v>23610</v>
      </c>
      <c r="C113" s="1">
        <v>43058</v>
      </c>
      <c r="D113" s="1"/>
      <c r="F113" s="46"/>
      <c r="G113">
        <v>9.5</v>
      </c>
      <c r="H113">
        <v>5.5</v>
      </c>
      <c r="I113">
        <v>12.3</v>
      </c>
      <c r="J113">
        <f t="shared" si="12"/>
        <v>858.29999999999984</v>
      </c>
      <c r="K113">
        <f t="shared" si="13"/>
        <v>858.29999999999984</v>
      </c>
      <c r="M113">
        <v>0.2</v>
      </c>
      <c r="N113">
        <v>0.2</v>
      </c>
      <c r="O113">
        <f t="shared" si="9"/>
        <v>0</v>
      </c>
      <c r="Q113">
        <v>70</v>
      </c>
      <c r="R113">
        <f t="shared" si="8"/>
        <v>0.92094594594594592</v>
      </c>
      <c r="S113">
        <f t="shared" si="10"/>
        <v>0.1841891891891892</v>
      </c>
      <c r="T113">
        <f t="shared" si="11"/>
        <v>1.5810810810810816E-2</v>
      </c>
      <c r="U113">
        <f t="shared" si="14"/>
        <v>113.04628378378374</v>
      </c>
      <c r="W113">
        <v>185.1</v>
      </c>
      <c r="X113">
        <f t="shared" si="15"/>
        <v>41429.899999999994</v>
      </c>
      <c r="Y113">
        <v>8.802836972589775</v>
      </c>
    </row>
    <row r="114" spans="1:26" x14ac:dyDescent="0.35">
      <c r="A114">
        <v>2920</v>
      </c>
      <c r="B114">
        <v>23610</v>
      </c>
      <c r="C114" s="1">
        <v>43059</v>
      </c>
      <c r="D114" s="1"/>
      <c r="F114" s="46"/>
      <c r="G114">
        <v>10.9</v>
      </c>
      <c r="H114">
        <v>8.8000000000000007</v>
      </c>
      <c r="I114">
        <v>12.7</v>
      </c>
      <c r="J114">
        <f t="shared" si="12"/>
        <v>869.19999999999982</v>
      </c>
      <c r="K114">
        <f t="shared" si="13"/>
        <v>869.19999999999982</v>
      </c>
      <c r="M114">
        <v>0</v>
      </c>
      <c r="N114">
        <v>0.5</v>
      </c>
      <c r="O114">
        <f t="shared" si="9"/>
        <v>-0.5</v>
      </c>
      <c r="Q114">
        <v>71</v>
      </c>
      <c r="R114">
        <f t="shared" ref="R114:R122" si="16">0.35+((Q114-5)/74)*(1-0.35)</f>
        <v>0.92972972972972967</v>
      </c>
      <c r="S114">
        <f t="shared" si="10"/>
        <v>0.46486486486486484</v>
      </c>
      <c r="T114">
        <f t="shared" si="11"/>
        <v>-0.46486486486486484</v>
      </c>
      <c r="U114">
        <f t="shared" si="14"/>
        <v>112.58141891891887</v>
      </c>
      <c r="W114">
        <v>359.7</v>
      </c>
      <c r="X114">
        <f t="shared" si="15"/>
        <v>41789.599999999991</v>
      </c>
      <c r="Y114">
        <v>8.7646330765858078</v>
      </c>
    </row>
    <row r="115" spans="1:26" x14ac:dyDescent="0.35">
      <c r="A115">
        <v>2920</v>
      </c>
      <c r="B115">
        <v>23610</v>
      </c>
      <c r="C115" s="1">
        <v>43060</v>
      </c>
      <c r="D115" s="1"/>
      <c r="F115" s="46"/>
      <c r="G115">
        <v>11.7</v>
      </c>
      <c r="H115">
        <v>10</v>
      </c>
      <c r="I115">
        <v>13</v>
      </c>
      <c r="J115">
        <f t="shared" si="12"/>
        <v>880.89999999999986</v>
      </c>
      <c r="K115">
        <f t="shared" si="13"/>
        <v>880.89999999999986</v>
      </c>
      <c r="M115">
        <v>0</v>
      </c>
      <c r="N115">
        <v>0.5</v>
      </c>
      <c r="O115">
        <f t="shared" si="9"/>
        <v>-0.5</v>
      </c>
      <c r="Q115">
        <v>72</v>
      </c>
      <c r="R115">
        <f t="shared" si="16"/>
        <v>0.93851351351351353</v>
      </c>
      <c r="S115">
        <f t="shared" si="10"/>
        <v>0.46925675675675677</v>
      </c>
      <c r="T115">
        <f t="shared" si="11"/>
        <v>-0.46925675675675677</v>
      </c>
      <c r="U115">
        <f t="shared" si="14"/>
        <v>112.11216216216211</v>
      </c>
      <c r="W115">
        <v>111.5</v>
      </c>
      <c r="X115">
        <f t="shared" si="15"/>
        <v>41901.099999999991</v>
      </c>
      <c r="Y115">
        <v>8.7273566926459516</v>
      </c>
    </row>
    <row r="116" spans="1:26" x14ac:dyDescent="0.35">
      <c r="A116">
        <v>2920</v>
      </c>
      <c r="B116">
        <v>23610</v>
      </c>
      <c r="C116" s="1">
        <v>43061</v>
      </c>
      <c r="D116" s="1"/>
      <c r="F116" s="46"/>
      <c r="G116">
        <v>12.4</v>
      </c>
      <c r="H116">
        <v>9.3000000000000007</v>
      </c>
      <c r="I116">
        <v>13.8</v>
      </c>
      <c r="J116">
        <f t="shared" si="12"/>
        <v>893.29999999999984</v>
      </c>
      <c r="K116">
        <f t="shared" si="13"/>
        <v>893.29999999999984</v>
      </c>
      <c r="M116">
        <v>5.5</v>
      </c>
      <c r="N116">
        <v>1.4</v>
      </c>
      <c r="O116">
        <f t="shared" si="9"/>
        <v>4.0999999999999996</v>
      </c>
      <c r="Q116">
        <v>73</v>
      </c>
      <c r="R116">
        <f t="shared" si="16"/>
        <v>0.94729729729729728</v>
      </c>
      <c r="S116">
        <f t="shared" si="10"/>
        <v>1.3262162162162161</v>
      </c>
      <c r="T116">
        <f t="shared" si="11"/>
        <v>4.1737837837837839</v>
      </c>
      <c r="U116">
        <f t="shared" si="14"/>
        <v>116.2859459459459</v>
      </c>
      <c r="W116">
        <v>697.9</v>
      </c>
      <c r="X116">
        <f t="shared" si="15"/>
        <v>42598.999999999993</v>
      </c>
      <c r="Y116">
        <v>8.6910316442254913</v>
      </c>
    </row>
    <row r="117" spans="1:26" x14ac:dyDescent="0.35">
      <c r="A117">
        <v>2920</v>
      </c>
      <c r="B117">
        <v>23610</v>
      </c>
      <c r="C117" s="1">
        <v>43062</v>
      </c>
      <c r="D117" s="1"/>
      <c r="F117" s="46"/>
      <c r="G117">
        <v>13.5</v>
      </c>
      <c r="H117">
        <v>11.6</v>
      </c>
      <c r="I117">
        <v>14.6</v>
      </c>
      <c r="J117">
        <f t="shared" si="12"/>
        <v>906.79999999999984</v>
      </c>
      <c r="K117">
        <f t="shared" si="13"/>
        <v>906.79999999999984</v>
      </c>
      <c r="M117">
        <v>9.1999999999999993</v>
      </c>
      <c r="N117">
        <v>1</v>
      </c>
      <c r="O117">
        <f t="shared" si="9"/>
        <v>8.1999999999999993</v>
      </c>
      <c r="Q117">
        <v>74</v>
      </c>
      <c r="R117">
        <f t="shared" si="16"/>
        <v>0.95608108108108114</v>
      </c>
      <c r="S117">
        <f t="shared" si="10"/>
        <v>0.95608108108108114</v>
      </c>
      <c r="T117">
        <f t="shared" si="11"/>
        <v>8.2439189189189186</v>
      </c>
      <c r="U117">
        <f t="shared" si="14"/>
        <v>124.52986486486482</v>
      </c>
      <c r="W117">
        <v>284.7</v>
      </c>
      <c r="X117">
        <f t="shared" si="15"/>
        <v>42883.69999999999</v>
      </c>
      <c r="Y117">
        <v>8.6556816652176938</v>
      </c>
    </row>
    <row r="118" spans="1:26" x14ac:dyDescent="0.35">
      <c r="A118">
        <v>2920</v>
      </c>
      <c r="B118">
        <v>23610</v>
      </c>
      <c r="C118" s="1">
        <v>43063</v>
      </c>
      <c r="D118" s="1"/>
      <c r="F118" s="46"/>
      <c r="G118">
        <v>8.9</v>
      </c>
      <c r="H118">
        <v>7.7</v>
      </c>
      <c r="I118">
        <v>10.9</v>
      </c>
      <c r="J118">
        <f t="shared" si="12"/>
        <v>915.69999999999982</v>
      </c>
      <c r="K118">
        <f t="shared" si="13"/>
        <v>915.69999999999982</v>
      </c>
      <c r="M118">
        <v>0.9</v>
      </c>
      <c r="N118">
        <v>0.4</v>
      </c>
      <c r="O118">
        <f t="shared" si="9"/>
        <v>0.5</v>
      </c>
      <c r="Q118">
        <v>75</v>
      </c>
      <c r="R118">
        <f t="shared" si="16"/>
        <v>0.96486486486486489</v>
      </c>
      <c r="S118">
        <f t="shared" si="10"/>
        <v>0.385945945945946</v>
      </c>
      <c r="T118">
        <f t="shared" si="11"/>
        <v>0.51405405405405402</v>
      </c>
      <c r="U118">
        <f t="shared" si="14"/>
        <v>125.04391891891888</v>
      </c>
      <c r="W118">
        <v>122.5</v>
      </c>
      <c r="X118">
        <f t="shared" si="15"/>
        <v>43006.19999999999</v>
      </c>
      <c r="Y118">
        <v>8.6213303543285988</v>
      </c>
    </row>
    <row r="119" spans="1:26" x14ac:dyDescent="0.35">
      <c r="A119">
        <v>2920</v>
      </c>
      <c r="B119">
        <v>23610</v>
      </c>
      <c r="C119" s="1">
        <v>43064</v>
      </c>
      <c r="D119" s="1"/>
      <c r="E119">
        <v>1</v>
      </c>
      <c r="F119" s="46"/>
      <c r="G119">
        <v>4.7</v>
      </c>
      <c r="H119">
        <v>3.8</v>
      </c>
      <c r="I119">
        <v>6.8</v>
      </c>
      <c r="J119">
        <f t="shared" si="12"/>
        <v>920.39999999999986</v>
      </c>
      <c r="K119">
        <f t="shared" si="13"/>
        <v>920.39999999999986</v>
      </c>
      <c r="M119">
        <v>3.7</v>
      </c>
      <c r="N119">
        <v>0.5</v>
      </c>
      <c r="O119">
        <f t="shared" si="9"/>
        <v>3.2</v>
      </c>
      <c r="Q119">
        <v>76</v>
      </c>
      <c r="R119">
        <f t="shared" si="16"/>
        <v>0.97364864864864864</v>
      </c>
      <c r="S119">
        <f t="shared" si="10"/>
        <v>0.48682432432432432</v>
      </c>
      <c r="T119">
        <f t="shared" si="11"/>
        <v>3.213175675675676</v>
      </c>
      <c r="U119">
        <f t="shared" si="14"/>
        <v>128.25709459459455</v>
      </c>
      <c r="W119">
        <v>299.3</v>
      </c>
      <c r="X119">
        <f t="shared" si="15"/>
        <v>43305.499999999993</v>
      </c>
      <c r="Y119">
        <v>8.5880011278118555</v>
      </c>
    </row>
    <row r="120" spans="1:26" x14ac:dyDescent="0.35">
      <c r="A120">
        <v>2920</v>
      </c>
      <c r="B120">
        <v>23610</v>
      </c>
      <c r="C120" s="1">
        <v>43065</v>
      </c>
      <c r="D120" s="1"/>
      <c r="E120">
        <v>2</v>
      </c>
      <c r="F120" s="46"/>
      <c r="G120">
        <v>4.8</v>
      </c>
      <c r="H120">
        <v>2</v>
      </c>
      <c r="I120">
        <v>6.9</v>
      </c>
      <c r="J120">
        <f t="shared" si="12"/>
        <v>925.19999999999982</v>
      </c>
      <c r="K120">
        <f t="shared" si="13"/>
        <v>925.19999999999982</v>
      </c>
      <c r="M120">
        <v>0.4</v>
      </c>
      <c r="N120">
        <v>0.3</v>
      </c>
      <c r="O120">
        <f t="shared" si="9"/>
        <v>0.10000000000000003</v>
      </c>
      <c r="Q120">
        <v>77</v>
      </c>
      <c r="R120">
        <f t="shared" si="16"/>
        <v>0.9824324324324325</v>
      </c>
      <c r="S120">
        <f t="shared" si="10"/>
        <v>0.29472972972972972</v>
      </c>
      <c r="T120">
        <f t="shared" si="11"/>
        <v>0.10527027027027031</v>
      </c>
      <c r="U120">
        <f t="shared" si="14"/>
        <v>128.36236486486482</v>
      </c>
      <c r="W120">
        <v>213.7</v>
      </c>
      <c r="X120">
        <f t="shared" si="15"/>
        <v>43519.19999999999</v>
      </c>
      <c r="Y120">
        <v>8.5557171706963366</v>
      </c>
    </row>
    <row r="121" spans="1:26" x14ac:dyDescent="0.35">
      <c r="A121">
        <v>2920</v>
      </c>
      <c r="B121">
        <v>23610</v>
      </c>
      <c r="C121" s="1">
        <v>43066</v>
      </c>
      <c r="D121" s="1"/>
      <c r="F121" s="46"/>
      <c r="G121">
        <v>8.6</v>
      </c>
      <c r="H121">
        <v>4.5</v>
      </c>
      <c r="I121">
        <v>11.2</v>
      </c>
      <c r="J121">
        <f t="shared" si="12"/>
        <v>933.79999999999984</v>
      </c>
      <c r="K121">
        <f t="shared" si="13"/>
        <v>933.79999999999984</v>
      </c>
      <c r="M121">
        <v>9.4</v>
      </c>
      <c r="N121">
        <v>0.5</v>
      </c>
      <c r="O121">
        <f t="shared" si="9"/>
        <v>8.9</v>
      </c>
      <c r="Q121">
        <v>78</v>
      </c>
      <c r="R121">
        <f t="shared" si="16"/>
        <v>0.99121621621621625</v>
      </c>
      <c r="S121">
        <f t="shared" si="10"/>
        <v>0.49560810810810813</v>
      </c>
      <c r="T121">
        <f t="shared" si="11"/>
        <v>8.9043918918918923</v>
      </c>
      <c r="U121">
        <f t="shared" si="14"/>
        <v>137.26675675675671</v>
      </c>
      <c r="W121">
        <v>213.9</v>
      </c>
      <c r="X121">
        <f t="shared" si="15"/>
        <v>43733.099999999991</v>
      </c>
      <c r="Y121">
        <v>8.5245013866569721</v>
      </c>
    </row>
    <row r="122" spans="1:26" s="4" customFormat="1" ht="15" thickBot="1" x14ac:dyDescent="0.4">
      <c r="A122" s="4">
        <v>2920</v>
      </c>
      <c r="B122" s="4">
        <v>23610</v>
      </c>
      <c r="C122" s="5">
        <v>43067</v>
      </c>
      <c r="D122" s="5"/>
      <c r="F122" s="47"/>
      <c r="G122" s="4">
        <v>6.5</v>
      </c>
      <c r="H122" s="4">
        <v>4.9000000000000004</v>
      </c>
      <c r="I122" s="4">
        <v>8.6</v>
      </c>
      <c r="J122" s="4">
        <f t="shared" si="12"/>
        <v>940.29999999999984</v>
      </c>
      <c r="K122" s="4">
        <f t="shared" si="13"/>
        <v>940.29999999999984</v>
      </c>
      <c r="M122" s="4">
        <v>2.1</v>
      </c>
      <c r="N122" s="4">
        <v>0.4</v>
      </c>
      <c r="O122" s="4">
        <f t="shared" si="9"/>
        <v>1.7000000000000002</v>
      </c>
      <c r="Q122" s="4">
        <v>79</v>
      </c>
      <c r="R122" s="4">
        <f t="shared" si="16"/>
        <v>1</v>
      </c>
      <c r="S122" s="4">
        <f t="shared" si="10"/>
        <v>0.4</v>
      </c>
      <c r="T122" s="4">
        <f t="shared" si="11"/>
        <v>1.7000000000000002</v>
      </c>
      <c r="U122" s="6">
        <f t="shared" si="14"/>
        <v>138.96675675675669</v>
      </c>
      <c r="W122" s="4">
        <v>189.9</v>
      </c>
      <c r="X122" s="4">
        <f t="shared" si="15"/>
        <v>43922.999999999993</v>
      </c>
      <c r="Y122" s="4">
        <v>8.494376346696825</v>
      </c>
    </row>
    <row r="123" spans="1:26" x14ac:dyDescent="0.35">
      <c r="A123">
        <v>2920</v>
      </c>
      <c r="B123">
        <v>23610</v>
      </c>
      <c r="C123" s="1">
        <v>43068</v>
      </c>
      <c r="D123" s="1" t="s">
        <v>31</v>
      </c>
      <c r="E123">
        <v>3</v>
      </c>
      <c r="F123" s="48" t="s">
        <v>55</v>
      </c>
      <c r="G123">
        <v>3.3</v>
      </c>
      <c r="H123">
        <v>0.9</v>
      </c>
      <c r="I123">
        <v>6.7</v>
      </c>
      <c r="J123">
        <f t="shared" si="12"/>
        <v>943.5999999999998</v>
      </c>
      <c r="K123">
        <f>G123</f>
        <v>3.3</v>
      </c>
      <c r="L123" s="13" t="s">
        <v>38</v>
      </c>
      <c r="M123">
        <v>2.7</v>
      </c>
      <c r="N123">
        <v>0.4</v>
      </c>
      <c r="O123">
        <f t="shared" si="9"/>
        <v>2.3000000000000003</v>
      </c>
      <c r="Q123">
        <v>80</v>
      </c>
      <c r="R123">
        <v>1</v>
      </c>
      <c r="S123">
        <f t="shared" si="10"/>
        <v>0.4</v>
      </c>
      <c r="T123">
        <f t="shared" si="11"/>
        <v>2.3000000000000003</v>
      </c>
      <c r="U123">
        <f t="shared" si="14"/>
        <v>141.26675675675671</v>
      </c>
      <c r="V123" s="14" t="s">
        <v>45</v>
      </c>
      <c r="W123">
        <v>339</v>
      </c>
      <c r="X123">
        <f>W123</f>
        <v>339</v>
      </c>
      <c r="Y123">
        <v>8.4653642368258453</v>
      </c>
      <c r="Z123" s="14" t="s">
        <v>50</v>
      </c>
    </row>
    <row r="124" spans="1:26" x14ac:dyDescent="0.35">
      <c r="A124">
        <v>2920</v>
      </c>
      <c r="B124">
        <v>23610</v>
      </c>
      <c r="C124" s="1">
        <v>43069</v>
      </c>
      <c r="D124" s="1"/>
      <c r="E124">
        <v>4</v>
      </c>
      <c r="F124" s="49"/>
      <c r="G124">
        <v>2.9</v>
      </c>
      <c r="H124">
        <v>2.1</v>
      </c>
      <c r="I124">
        <v>5</v>
      </c>
      <c r="J124">
        <f t="shared" si="12"/>
        <v>946.49999999999977</v>
      </c>
      <c r="K124">
        <f t="shared" si="13"/>
        <v>6.1999999999999993</v>
      </c>
      <c r="L124" s="8">
        <v>589.70000000000005</v>
      </c>
      <c r="M124">
        <v>7.3</v>
      </c>
      <c r="N124">
        <v>0.3</v>
      </c>
      <c r="O124">
        <f t="shared" si="9"/>
        <v>7</v>
      </c>
      <c r="Q124">
        <v>81</v>
      </c>
      <c r="R124">
        <v>1</v>
      </c>
      <c r="S124">
        <f t="shared" si="10"/>
        <v>0.3</v>
      </c>
      <c r="T124">
        <f t="shared" si="11"/>
        <v>7</v>
      </c>
      <c r="U124">
        <f t="shared" si="14"/>
        <v>148.26675675675671</v>
      </c>
      <c r="V124">
        <v>0</v>
      </c>
      <c r="W124">
        <v>86.5</v>
      </c>
      <c r="X124">
        <f t="shared" si="15"/>
        <v>425.5</v>
      </c>
      <c r="Y124">
        <v>8.4374868049388372</v>
      </c>
      <c r="Z124">
        <v>33056.300000000003</v>
      </c>
    </row>
    <row r="125" spans="1:26" x14ac:dyDescent="0.35">
      <c r="A125">
        <v>2920</v>
      </c>
      <c r="B125">
        <v>23610</v>
      </c>
      <c r="C125" s="1">
        <v>43070</v>
      </c>
      <c r="D125" s="1"/>
      <c r="E125">
        <v>5</v>
      </c>
      <c r="F125" s="49"/>
      <c r="G125">
        <v>3</v>
      </c>
      <c r="H125">
        <v>-0.3</v>
      </c>
      <c r="I125">
        <v>6.5</v>
      </c>
      <c r="J125">
        <f t="shared" si="12"/>
        <v>949.49999999999977</v>
      </c>
      <c r="K125">
        <f t="shared" si="13"/>
        <v>9.1999999999999993</v>
      </c>
      <c r="L125" s="13" t="s">
        <v>39</v>
      </c>
      <c r="M125">
        <v>2.7</v>
      </c>
      <c r="N125">
        <v>0.5</v>
      </c>
      <c r="O125">
        <f t="shared" si="9"/>
        <v>2.2000000000000002</v>
      </c>
      <c r="Q125">
        <v>82</v>
      </c>
      <c r="R125">
        <v>1</v>
      </c>
      <c r="S125">
        <f t="shared" si="10"/>
        <v>0.5</v>
      </c>
      <c r="T125">
        <f t="shared" si="11"/>
        <v>2.2000000000000002</v>
      </c>
      <c r="U125">
        <f t="shared" si="14"/>
        <v>150.46675675675669</v>
      </c>
      <c r="V125" s="14" t="s">
        <v>46</v>
      </c>
      <c r="W125">
        <v>135.69999999999999</v>
      </c>
      <c r="X125">
        <f t="shared" si="15"/>
        <v>561.20000000000005</v>
      </c>
      <c r="Y125">
        <v>8.4107653071114026</v>
      </c>
      <c r="Z125" s="14" t="s">
        <v>51</v>
      </c>
    </row>
    <row r="126" spans="1:26" x14ac:dyDescent="0.35">
      <c r="A126">
        <v>2920</v>
      </c>
      <c r="B126">
        <v>23610</v>
      </c>
      <c r="C126" s="1">
        <v>43071</v>
      </c>
      <c r="D126" s="1"/>
      <c r="E126">
        <v>6</v>
      </c>
      <c r="F126" s="49"/>
      <c r="G126">
        <v>4.2</v>
      </c>
      <c r="H126">
        <v>1</v>
      </c>
      <c r="I126">
        <v>7.9</v>
      </c>
      <c r="J126">
        <f t="shared" si="12"/>
        <v>953.69999999999982</v>
      </c>
      <c r="K126">
        <f t="shared" si="13"/>
        <v>13.399999999999999</v>
      </c>
      <c r="L126" s="9">
        <f>AVERAGE(G123:G215)</f>
        <v>6.2537634408602125</v>
      </c>
      <c r="M126">
        <v>0.5</v>
      </c>
      <c r="N126">
        <v>0.5</v>
      </c>
      <c r="O126">
        <f t="shared" si="9"/>
        <v>0</v>
      </c>
      <c r="Q126">
        <v>83</v>
      </c>
      <c r="R126">
        <v>1</v>
      </c>
      <c r="S126">
        <f t="shared" si="10"/>
        <v>0.5</v>
      </c>
      <c r="T126">
        <f t="shared" si="11"/>
        <v>0</v>
      </c>
      <c r="U126">
        <f t="shared" si="14"/>
        <v>150.46675675675669</v>
      </c>
      <c r="V126">
        <v>0</v>
      </c>
      <c r="W126">
        <v>464.6</v>
      </c>
      <c r="X126">
        <f t="shared" si="15"/>
        <v>1025.8000000000002</v>
      </c>
      <c r="Y126">
        <v>8.385220453548154</v>
      </c>
      <c r="Z126">
        <f>(Z124/100)/L124</f>
        <v>0.56056130235713075</v>
      </c>
    </row>
    <row r="127" spans="1:26" x14ac:dyDescent="0.35">
      <c r="A127">
        <v>2920</v>
      </c>
      <c r="B127">
        <v>23610</v>
      </c>
      <c r="C127" s="1">
        <v>43072</v>
      </c>
      <c r="D127" s="1"/>
      <c r="F127" s="49"/>
      <c r="G127">
        <v>6.8</v>
      </c>
      <c r="H127">
        <v>3.9</v>
      </c>
      <c r="I127">
        <v>8.4</v>
      </c>
      <c r="J127">
        <f t="shared" si="12"/>
        <v>960.49999999999977</v>
      </c>
      <c r="K127">
        <f t="shared" si="13"/>
        <v>20.2</v>
      </c>
      <c r="L127" s="13" t="s">
        <v>40</v>
      </c>
      <c r="M127">
        <v>0.5</v>
      </c>
      <c r="N127">
        <v>0.1</v>
      </c>
      <c r="O127">
        <f t="shared" si="9"/>
        <v>0.4</v>
      </c>
      <c r="Q127">
        <v>84</v>
      </c>
      <c r="R127">
        <v>1</v>
      </c>
      <c r="S127">
        <f t="shared" si="10"/>
        <v>0.1</v>
      </c>
      <c r="T127">
        <f t="shared" si="11"/>
        <v>0.4</v>
      </c>
      <c r="U127">
        <f t="shared" si="14"/>
        <v>150.8667567567567</v>
      </c>
      <c r="V127" s="14" t="s">
        <v>47</v>
      </c>
      <c r="W127">
        <v>101.6</v>
      </c>
      <c r="X127">
        <f t="shared" si="15"/>
        <v>1127.4000000000001</v>
      </c>
      <c r="Y127">
        <v>8.3608723544317325</v>
      </c>
      <c r="Z127" s="14" t="s">
        <v>52</v>
      </c>
    </row>
    <row r="128" spans="1:26" x14ac:dyDescent="0.35">
      <c r="A128">
        <v>2920</v>
      </c>
      <c r="B128">
        <v>23610</v>
      </c>
      <c r="C128" s="1">
        <v>43073</v>
      </c>
      <c r="D128" s="1"/>
      <c r="F128" s="49"/>
      <c r="G128">
        <v>7.8</v>
      </c>
      <c r="H128">
        <v>6.2</v>
      </c>
      <c r="I128">
        <v>10.8</v>
      </c>
      <c r="J128">
        <f t="shared" si="12"/>
        <v>968.29999999999973</v>
      </c>
      <c r="K128">
        <f t="shared" si="13"/>
        <v>28</v>
      </c>
      <c r="L128" s="8">
        <f>MIN(H123:H215)</f>
        <v>-6.9</v>
      </c>
      <c r="M128">
        <v>0.1</v>
      </c>
      <c r="N128">
        <v>0.4</v>
      </c>
      <c r="O128">
        <f t="shared" si="9"/>
        <v>-0.30000000000000004</v>
      </c>
      <c r="Q128">
        <v>85</v>
      </c>
      <c r="R128">
        <v>1</v>
      </c>
      <c r="S128">
        <f t="shared" si="10"/>
        <v>0.4</v>
      </c>
      <c r="T128">
        <f t="shared" si="11"/>
        <v>-0.30000000000000004</v>
      </c>
      <c r="U128">
        <f t="shared" si="14"/>
        <v>150.56675675675669</v>
      </c>
      <c r="V128" s="11">
        <f>MIN(U123:U215)</f>
        <v>141.26675675675671</v>
      </c>
      <c r="W128">
        <v>185.9</v>
      </c>
      <c r="X128">
        <f t="shared" si="15"/>
        <v>1313.3000000000002</v>
      </c>
      <c r="Y128">
        <v>8.3377404659340169</v>
      </c>
      <c r="Z128">
        <v>83</v>
      </c>
    </row>
    <row r="129" spans="1:26" x14ac:dyDescent="0.35">
      <c r="A129">
        <v>2920</v>
      </c>
      <c r="B129">
        <v>23610</v>
      </c>
      <c r="C129" s="1">
        <v>43074</v>
      </c>
      <c r="D129" s="1"/>
      <c r="F129" s="49"/>
      <c r="G129">
        <v>7.6</v>
      </c>
      <c r="H129">
        <v>6.3</v>
      </c>
      <c r="I129">
        <v>8.9</v>
      </c>
      <c r="J129">
        <f t="shared" si="12"/>
        <v>975.89999999999975</v>
      </c>
      <c r="K129">
        <f t="shared" si="13"/>
        <v>35.6</v>
      </c>
      <c r="L129" s="13" t="s">
        <v>41</v>
      </c>
      <c r="M129">
        <v>0</v>
      </c>
      <c r="N129">
        <v>0.2</v>
      </c>
      <c r="O129">
        <f t="shared" si="9"/>
        <v>-0.2</v>
      </c>
      <c r="Q129">
        <v>86</v>
      </c>
      <c r="R129">
        <v>1</v>
      </c>
      <c r="S129">
        <f t="shared" si="10"/>
        <v>0.2</v>
      </c>
      <c r="T129">
        <f t="shared" si="11"/>
        <v>-0.2</v>
      </c>
      <c r="U129">
        <f t="shared" si="14"/>
        <v>150.3667567567567</v>
      </c>
      <c r="V129" s="14" t="s">
        <v>48</v>
      </c>
      <c r="W129">
        <v>81.099999999999994</v>
      </c>
      <c r="X129">
        <f t="shared" si="15"/>
        <v>1394.4</v>
      </c>
      <c r="Y129">
        <v>8.3158435366621202</v>
      </c>
      <c r="Z129" t="s">
        <v>53</v>
      </c>
    </row>
    <row r="130" spans="1:26" x14ac:dyDescent="0.35">
      <c r="A130">
        <v>2920</v>
      </c>
      <c r="B130">
        <v>23610</v>
      </c>
      <c r="C130" s="1">
        <v>43075</v>
      </c>
      <c r="D130" s="1"/>
      <c r="F130" s="49"/>
      <c r="G130">
        <v>7</v>
      </c>
      <c r="H130">
        <v>7</v>
      </c>
      <c r="I130">
        <v>8.1999999999999993</v>
      </c>
      <c r="J130">
        <f t="shared" si="12"/>
        <v>982.89999999999975</v>
      </c>
      <c r="K130">
        <f t="shared" si="13"/>
        <v>42.6</v>
      </c>
      <c r="L130" s="8">
        <f>MAX(I123:I215)</f>
        <v>14.1</v>
      </c>
      <c r="M130">
        <v>0.6</v>
      </c>
      <c r="N130">
        <v>1</v>
      </c>
      <c r="O130">
        <f t="shared" si="9"/>
        <v>-0.4</v>
      </c>
      <c r="Q130">
        <v>87</v>
      </c>
      <c r="R130">
        <v>1</v>
      </c>
      <c r="S130">
        <f t="shared" si="10"/>
        <v>1</v>
      </c>
      <c r="T130">
        <f t="shared" si="11"/>
        <v>-0.4</v>
      </c>
      <c r="U130">
        <f t="shared" si="14"/>
        <v>149.96675675675669</v>
      </c>
      <c r="V130" s="11">
        <f>MAX(U123:U215)</f>
        <v>197.4</v>
      </c>
      <c r="W130">
        <v>97.8</v>
      </c>
      <c r="X130">
        <f t="shared" si="15"/>
        <v>1492.2</v>
      </c>
      <c r="Y130">
        <v>8.2951995548210622</v>
      </c>
      <c r="Z130">
        <v>15</v>
      </c>
    </row>
    <row r="131" spans="1:26" x14ac:dyDescent="0.35">
      <c r="A131">
        <v>2920</v>
      </c>
      <c r="B131">
        <v>23610</v>
      </c>
      <c r="C131" s="1">
        <v>43076</v>
      </c>
      <c r="D131" s="1"/>
      <c r="F131" s="49"/>
      <c r="G131">
        <v>7.9</v>
      </c>
      <c r="H131">
        <v>4.0999999999999996</v>
      </c>
      <c r="I131">
        <v>11.8</v>
      </c>
      <c r="J131">
        <f t="shared" si="12"/>
        <v>990.79999999999973</v>
      </c>
      <c r="K131">
        <f t="shared" si="13"/>
        <v>50.5</v>
      </c>
      <c r="L131" s="13" t="s">
        <v>42</v>
      </c>
      <c r="M131">
        <v>4.7</v>
      </c>
      <c r="N131">
        <v>0.4</v>
      </c>
      <c r="O131">
        <f t="shared" si="9"/>
        <v>4.3</v>
      </c>
      <c r="Q131">
        <v>88</v>
      </c>
      <c r="R131">
        <v>1</v>
      </c>
      <c r="S131">
        <f t="shared" si="10"/>
        <v>0.4</v>
      </c>
      <c r="T131">
        <f t="shared" si="11"/>
        <v>4.3</v>
      </c>
      <c r="U131">
        <f t="shared" si="14"/>
        <v>154.26675675675671</v>
      </c>
      <c r="V131" s="14" t="s">
        <v>49</v>
      </c>
      <c r="W131">
        <v>79.3</v>
      </c>
      <c r="X131">
        <f t="shared" si="15"/>
        <v>1571.5</v>
      </c>
      <c r="Y131">
        <v>8.2758256963820163</v>
      </c>
    </row>
    <row r="132" spans="1:26" x14ac:dyDescent="0.35">
      <c r="A132">
        <v>2920</v>
      </c>
      <c r="B132">
        <v>23610</v>
      </c>
      <c r="C132" s="1">
        <v>43077</v>
      </c>
      <c r="D132" s="1"/>
      <c r="E132">
        <v>7</v>
      </c>
      <c r="F132" s="49"/>
      <c r="G132">
        <v>4.8</v>
      </c>
      <c r="H132">
        <v>3.7</v>
      </c>
      <c r="I132">
        <v>7.4</v>
      </c>
      <c r="J132">
        <f t="shared" si="12"/>
        <v>995.59999999999968</v>
      </c>
      <c r="K132">
        <f t="shared" si="13"/>
        <v>55.3</v>
      </c>
      <c r="L132" s="8">
        <v>0</v>
      </c>
      <c r="M132">
        <v>4.7</v>
      </c>
      <c r="N132">
        <v>0.9</v>
      </c>
      <c r="O132">
        <f t="shared" si="9"/>
        <v>3.8000000000000003</v>
      </c>
      <c r="Q132">
        <v>89</v>
      </c>
      <c r="R132">
        <v>1</v>
      </c>
      <c r="S132">
        <f t="shared" si="10"/>
        <v>0.9</v>
      </c>
      <c r="T132">
        <f t="shared" si="11"/>
        <v>3.8000000000000003</v>
      </c>
      <c r="U132">
        <f t="shared" si="14"/>
        <v>158.06675675675672</v>
      </c>
      <c r="V132" s="11">
        <f>AVERAGE(U123:U215)</f>
        <v>190.75235106073802</v>
      </c>
      <c r="W132">
        <v>463</v>
      </c>
      <c r="X132">
        <f t="shared" si="15"/>
        <v>2034.5</v>
      </c>
      <c r="Y132">
        <v>8.2577382745499577</v>
      </c>
    </row>
    <row r="133" spans="1:26" x14ac:dyDescent="0.35">
      <c r="A133">
        <v>2920</v>
      </c>
      <c r="B133">
        <v>23610</v>
      </c>
      <c r="C133" s="1">
        <v>43078</v>
      </c>
      <c r="D133" s="1"/>
      <c r="E133">
        <v>8</v>
      </c>
      <c r="F133" s="49"/>
      <c r="G133">
        <v>3.7</v>
      </c>
      <c r="H133">
        <v>1.9</v>
      </c>
      <c r="I133">
        <v>13.3</v>
      </c>
      <c r="J133">
        <f t="shared" si="12"/>
        <v>999.29999999999973</v>
      </c>
      <c r="K133">
        <f t="shared" si="13"/>
        <v>59</v>
      </c>
      <c r="L133" s="13" t="s">
        <v>43</v>
      </c>
      <c r="M133">
        <v>15.4</v>
      </c>
      <c r="N133">
        <v>1.2</v>
      </c>
      <c r="O133">
        <f t="shared" ref="O133:O196" si="17">M133-N133</f>
        <v>14.200000000000001</v>
      </c>
      <c r="Q133">
        <v>90</v>
      </c>
      <c r="R133">
        <v>1</v>
      </c>
      <c r="S133">
        <f t="shared" ref="S133:S196" si="18">R133*N133</f>
        <v>1.2</v>
      </c>
      <c r="T133">
        <f t="shared" ref="T133:T196" si="19">M133-S133</f>
        <v>14.200000000000001</v>
      </c>
      <c r="U133">
        <f t="shared" si="14"/>
        <v>172.26675675675671</v>
      </c>
      <c r="W133">
        <v>156.30000000000001</v>
      </c>
      <c r="X133">
        <f t="shared" si="15"/>
        <v>2190.8000000000002</v>
      </c>
      <c r="Y133">
        <v>8.2409526908265018</v>
      </c>
    </row>
    <row r="134" spans="1:26" x14ac:dyDescent="0.35">
      <c r="A134">
        <v>2920</v>
      </c>
      <c r="B134">
        <v>23610</v>
      </c>
      <c r="C134" s="1">
        <v>43079</v>
      </c>
      <c r="D134" s="1"/>
      <c r="F134" s="49"/>
      <c r="G134">
        <v>9.6999999999999993</v>
      </c>
      <c r="H134">
        <v>4.4000000000000004</v>
      </c>
      <c r="I134">
        <v>12.8</v>
      </c>
      <c r="J134">
        <f t="shared" si="12"/>
        <v>1008.9999999999998</v>
      </c>
      <c r="K134">
        <f t="shared" si="13"/>
        <v>68.7</v>
      </c>
      <c r="L134" s="8">
        <v>39</v>
      </c>
      <c r="M134">
        <v>14.9</v>
      </c>
      <c r="N134">
        <v>0.5</v>
      </c>
      <c r="O134">
        <f t="shared" si="17"/>
        <v>14.4</v>
      </c>
      <c r="Q134">
        <v>91</v>
      </c>
      <c r="R134">
        <v>1</v>
      </c>
      <c r="S134">
        <f t="shared" si="18"/>
        <v>0.5</v>
      </c>
      <c r="T134">
        <f t="shared" si="19"/>
        <v>14.4</v>
      </c>
      <c r="U134">
        <f t="shared" si="14"/>
        <v>186.66675675675671</v>
      </c>
      <c r="V134" s="12">
        <f>(V132*100)/197.4</f>
        <v>96.632396687303967</v>
      </c>
      <c r="W134">
        <v>150.5</v>
      </c>
      <c r="X134">
        <f t="shared" si="15"/>
        <v>2341.3000000000002</v>
      </c>
      <c r="Y134">
        <v>8.2254833879633473</v>
      </c>
    </row>
    <row r="135" spans="1:26" x14ac:dyDescent="0.35">
      <c r="A135">
        <v>2920</v>
      </c>
      <c r="B135">
        <v>23610</v>
      </c>
      <c r="C135" s="1">
        <v>43080</v>
      </c>
      <c r="D135" s="1"/>
      <c r="F135" s="49"/>
      <c r="G135">
        <v>5.7</v>
      </c>
      <c r="H135">
        <v>4.7</v>
      </c>
      <c r="I135">
        <v>7.6</v>
      </c>
      <c r="J135">
        <f t="shared" si="12"/>
        <v>1014.6999999999998</v>
      </c>
      <c r="K135">
        <f t="shared" si="13"/>
        <v>74.400000000000006</v>
      </c>
      <c r="L135" s="13" t="s">
        <v>44</v>
      </c>
      <c r="M135">
        <v>4.0999999999999996</v>
      </c>
      <c r="N135">
        <v>0.5</v>
      </c>
      <c r="O135">
        <f t="shared" si="17"/>
        <v>3.5999999999999996</v>
      </c>
      <c r="Q135">
        <v>92</v>
      </c>
      <c r="R135">
        <v>1</v>
      </c>
      <c r="S135">
        <f t="shared" si="18"/>
        <v>0.5</v>
      </c>
      <c r="T135">
        <f t="shared" si="19"/>
        <v>3.5999999999999996</v>
      </c>
      <c r="U135">
        <f t="shared" si="14"/>
        <v>190.26675675675671</v>
      </c>
      <c r="W135">
        <v>84.2</v>
      </c>
      <c r="X135">
        <f t="shared" si="15"/>
        <v>2425.5</v>
      </c>
      <c r="Y135">
        <v>8.2113438050981795</v>
      </c>
    </row>
    <row r="136" spans="1:26" x14ac:dyDescent="0.35">
      <c r="A136">
        <v>2920</v>
      </c>
      <c r="B136">
        <v>23610</v>
      </c>
      <c r="C136" s="1">
        <v>43081</v>
      </c>
      <c r="D136" s="1"/>
      <c r="E136">
        <v>9</v>
      </c>
      <c r="F136" s="49"/>
      <c r="G136">
        <v>4.3</v>
      </c>
      <c r="H136">
        <v>0.5</v>
      </c>
      <c r="I136">
        <v>9</v>
      </c>
      <c r="J136">
        <f t="shared" si="12"/>
        <v>1018.9999999999998</v>
      </c>
      <c r="K136">
        <f t="shared" si="13"/>
        <v>78.7</v>
      </c>
      <c r="L136" s="8">
        <v>16</v>
      </c>
      <c r="M136">
        <v>2.2999999999999998</v>
      </c>
      <c r="N136">
        <v>0.6</v>
      </c>
      <c r="O136">
        <f t="shared" si="17"/>
        <v>1.6999999999999997</v>
      </c>
      <c r="Q136">
        <v>93</v>
      </c>
      <c r="R136">
        <v>1</v>
      </c>
      <c r="S136">
        <f t="shared" si="18"/>
        <v>0.6</v>
      </c>
      <c r="T136">
        <f t="shared" si="19"/>
        <v>1.6999999999999997</v>
      </c>
      <c r="U136">
        <f t="shared" si="14"/>
        <v>191.96675675675669</v>
      </c>
      <c r="W136">
        <v>591</v>
      </c>
      <c r="X136">
        <f t="shared" si="15"/>
        <v>3016.5</v>
      </c>
      <c r="Y136">
        <v>8.1985463353585555</v>
      </c>
    </row>
    <row r="137" spans="1:26" x14ac:dyDescent="0.35">
      <c r="A137">
        <v>2920</v>
      </c>
      <c r="B137">
        <v>23610</v>
      </c>
      <c r="C137" s="1">
        <v>43082</v>
      </c>
      <c r="D137" s="1"/>
      <c r="F137" s="49"/>
      <c r="G137">
        <v>9.1999999999999993</v>
      </c>
      <c r="H137">
        <v>5.5</v>
      </c>
      <c r="I137">
        <v>10.199999999999999</v>
      </c>
      <c r="J137">
        <f t="shared" si="12"/>
        <v>1028.1999999999998</v>
      </c>
      <c r="K137">
        <f t="shared" si="13"/>
        <v>87.9</v>
      </c>
      <c r="M137">
        <v>1.5</v>
      </c>
      <c r="N137">
        <v>0.3</v>
      </c>
      <c r="O137">
        <f t="shared" si="17"/>
        <v>1.2</v>
      </c>
      <c r="Q137">
        <v>94</v>
      </c>
      <c r="R137">
        <v>1</v>
      </c>
      <c r="S137">
        <f t="shared" si="18"/>
        <v>0.3</v>
      </c>
      <c r="T137">
        <f t="shared" si="19"/>
        <v>1.2</v>
      </c>
      <c r="U137">
        <f t="shared" si="14"/>
        <v>193.16675675675668</v>
      </c>
      <c r="W137">
        <v>134.4</v>
      </c>
      <c r="X137">
        <f t="shared" si="15"/>
        <v>3150.9</v>
      </c>
      <c r="Y137">
        <v>8.187102286209953</v>
      </c>
    </row>
    <row r="138" spans="1:26" x14ac:dyDescent="0.35">
      <c r="A138">
        <v>2920</v>
      </c>
      <c r="B138">
        <v>23610</v>
      </c>
      <c r="C138" s="1">
        <v>43083</v>
      </c>
      <c r="D138" s="1"/>
      <c r="F138" s="49"/>
      <c r="G138">
        <v>6.5</v>
      </c>
      <c r="H138">
        <v>4.7</v>
      </c>
      <c r="I138">
        <v>8.9</v>
      </c>
      <c r="J138">
        <f t="shared" si="12"/>
        <v>1034.6999999999998</v>
      </c>
      <c r="K138">
        <f t="shared" si="13"/>
        <v>94.4</v>
      </c>
      <c r="M138">
        <v>3.2</v>
      </c>
      <c r="N138">
        <v>1.1000000000000001</v>
      </c>
      <c r="O138">
        <f t="shared" si="17"/>
        <v>2.1</v>
      </c>
      <c r="Q138">
        <v>95</v>
      </c>
      <c r="R138">
        <v>1</v>
      </c>
      <c r="S138">
        <f t="shared" si="18"/>
        <v>1.1000000000000001</v>
      </c>
      <c r="T138">
        <f t="shared" si="19"/>
        <v>2.1</v>
      </c>
      <c r="U138">
        <f t="shared" si="14"/>
        <v>195.26675675675668</v>
      </c>
      <c r="W138">
        <v>287.3</v>
      </c>
      <c r="X138">
        <f t="shared" si="15"/>
        <v>3438.2000000000003</v>
      </c>
      <c r="Y138">
        <v>8.1770218428116213</v>
      </c>
    </row>
    <row r="139" spans="1:26" x14ac:dyDescent="0.35">
      <c r="A139">
        <v>2920</v>
      </c>
      <c r="B139">
        <v>23610</v>
      </c>
      <c r="C139" s="1">
        <v>43084</v>
      </c>
      <c r="D139" s="1"/>
      <c r="F139" s="49"/>
      <c r="G139">
        <v>5.5</v>
      </c>
      <c r="H139">
        <v>4.5</v>
      </c>
      <c r="I139">
        <v>8.8000000000000007</v>
      </c>
      <c r="J139">
        <f t="shared" si="12"/>
        <v>1040.1999999999998</v>
      </c>
      <c r="K139">
        <f t="shared" si="13"/>
        <v>99.9</v>
      </c>
      <c r="M139">
        <v>0.6</v>
      </c>
      <c r="N139">
        <v>1.1000000000000001</v>
      </c>
      <c r="O139">
        <f t="shared" si="17"/>
        <v>-0.50000000000000011</v>
      </c>
      <c r="Q139">
        <v>96</v>
      </c>
      <c r="R139">
        <v>1</v>
      </c>
      <c r="S139">
        <f t="shared" si="18"/>
        <v>1.1000000000000001</v>
      </c>
      <c r="T139">
        <f t="shared" si="19"/>
        <v>-0.50000000000000011</v>
      </c>
      <c r="U139">
        <f t="shared" si="14"/>
        <v>194.76675675675668</v>
      </c>
      <c r="W139">
        <v>292.60000000000002</v>
      </c>
      <c r="X139">
        <f t="shared" si="15"/>
        <v>3730.8</v>
      </c>
      <c r="Y139">
        <v>8.1683140346286738</v>
      </c>
    </row>
    <row r="140" spans="1:26" x14ac:dyDescent="0.35">
      <c r="A140">
        <v>2920</v>
      </c>
      <c r="B140">
        <v>23610</v>
      </c>
      <c r="C140" s="1">
        <v>43085</v>
      </c>
      <c r="D140" s="1"/>
      <c r="E140">
        <v>10</v>
      </c>
      <c r="F140" s="49"/>
      <c r="G140">
        <v>4.3</v>
      </c>
      <c r="H140">
        <v>2.2000000000000002</v>
      </c>
      <c r="I140">
        <v>6.5</v>
      </c>
      <c r="J140">
        <f t="shared" si="12"/>
        <v>1044.4999999999998</v>
      </c>
      <c r="K140">
        <f t="shared" si="13"/>
        <v>104.2</v>
      </c>
      <c r="M140">
        <v>3</v>
      </c>
      <c r="N140">
        <v>0.5</v>
      </c>
      <c r="O140">
        <f t="shared" si="17"/>
        <v>2.5</v>
      </c>
      <c r="Q140">
        <v>97</v>
      </c>
      <c r="R140">
        <v>1</v>
      </c>
      <c r="S140">
        <f t="shared" si="18"/>
        <v>0.5</v>
      </c>
      <c r="T140">
        <f t="shared" si="19"/>
        <v>2.5</v>
      </c>
      <c r="U140">
        <f t="shared" si="14"/>
        <v>197.26675675675668</v>
      </c>
      <c r="W140">
        <v>102.1</v>
      </c>
      <c r="X140">
        <f t="shared" si="15"/>
        <v>3832.9</v>
      </c>
      <c r="Y140">
        <v>8.1609867055304228</v>
      </c>
    </row>
    <row r="141" spans="1:26" x14ac:dyDescent="0.35">
      <c r="A141">
        <v>2920</v>
      </c>
      <c r="B141">
        <v>23610</v>
      </c>
      <c r="C141" s="1">
        <v>43086</v>
      </c>
      <c r="D141" s="1"/>
      <c r="F141" s="49"/>
      <c r="G141">
        <v>7.7</v>
      </c>
      <c r="H141">
        <v>4.5999999999999996</v>
      </c>
      <c r="I141">
        <v>10.6</v>
      </c>
      <c r="J141">
        <f t="shared" si="12"/>
        <v>1052.1999999999998</v>
      </c>
      <c r="K141">
        <f t="shared" si="13"/>
        <v>111.9</v>
      </c>
      <c r="M141">
        <v>0.3</v>
      </c>
      <c r="N141">
        <v>0.4</v>
      </c>
      <c r="O141">
        <f t="shared" si="17"/>
        <v>-0.10000000000000003</v>
      </c>
      <c r="Q141">
        <v>98</v>
      </c>
      <c r="R141">
        <v>1</v>
      </c>
      <c r="S141">
        <f t="shared" si="18"/>
        <v>0.4</v>
      </c>
      <c r="T141">
        <f t="shared" si="19"/>
        <v>-0.10000000000000003</v>
      </c>
      <c r="U141">
        <f t="shared" si="14"/>
        <v>197.16675675675668</v>
      </c>
      <c r="W141">
        <v>314.7</v>
      </c>
      <c r="X141">
        <f t="shared" si="15"/>
        <v>4147.6000000000004</v>
      </c>
      <c r="Y141">
        <v>8.1550464875842312</v>
      </c>
    </row>
    <row r="142" spans="1:26" x14ac:dyDescent="0.35">
      <c r="A142">
        <v>2920</v>
      </c>
      <c r="B142">
        <v>23610</v>
      </c>
      <c r="C142" s="1">
        <v>43087</v>
      </c>
      <c r="D142" s="1"/>
      <c r="F142" s="49"/>
      <c r="G142">
        <v>7.7</v>
      </c>
      <c r="H142">
        <v>5.3</v>
      </c>
      <c r="I142">
        <v>10.5</v>
      </c>
      <c r="J142">
        <f t="shared" si="12"/>
        <v>1059.8999999999999</v>
      </c>
      <c r="K142">
        <f t="shared" si="13"/>
        <v>119.60000000000001</v>
      </c>
      <c r="M142">
        <v>0.2</v>
      </c>
      <c r="N142">
        <v>0.6</v>
      </c>
      <c r="O142">
        <f t="shared" si="17"/>
        <v>-0.39999999999999997</v>
      </c>
      <c r="Q142">
        <v>99</v>
      </c>
      <c r="R142">
        <v>1</v>
      </c>
      <c r="S142">
        <f t="shared" si="18"/>
        <v>0.6</v>
      </c>
      <c r="T142">
        <f t="shared" si="19"/>
        <v>-0.39999999999999997</v>
      </c>
      <c r="U142">
        <f t="shared" si="14"/>
        <v>196.76675675675668</v>
      </c>
      <c r="W142">
        <v>396.4</v>
      </c>
      <c r="X142">
        <f t="shared" si="15"/>
        <v>4544</v>
      </c>
      <c r="Y142">
        <v>8.1504987787304159</v>
      </c>
    </row>
    <row r="143" spans="1:26" x14ac:dyDescent="0.35">
      <c r="A143">
        <v>2920</v>
      </c>
      <c r="B143">
        <v>23610</v>
      </c>
      <c r="C143" s="1">
        <v>43088</v>
      </c>
      <c r="D143" s="1"/>
      <c r="E143">
        <v>11</v>
      </c>
      <c r="F143" s="49"/>
      <c r="G143">
        <v>2.2000000000000002</v>
      </c>
      <c r="H143">
        <v>-0.8</v>
      </c>
      <c r="I143">
        <v>4.8</v>
      </c>
      <c r="J143">
        <f t="shared" si="12"/>
        <v>1062.0999999999999</v>
      </c>
      <c r="K143">
        <f t="shared" si="13"/>
        <v>121.80000000000001</v>
      </c>
      <c r="M143">
        <v>0.1</v>
      </c>
      <c r="N143">
        <v>0.6</v>
      </c>
      <c r="O143">
        <f t="shared" si="17"/>
        <v>-0.5</v>
      </c>
      <c r="Q143">
        <v>100</v>
      </c>
      <c r="R143">
        <v>1</v>
      </c>
      <c r="S143">
        <f t="shared" si="18"/>
        <v>0.6</v>
      </c>
      <c r="T143">
        <f t="shared" si="19"/>
        <v>-0.5</v>
      </c>
      <c r="U143">
        <f t="shared" si="14"/>
        <v>196.26675675675668</v>
      </c>
      <c r="W143">
        <v>357</v>
      </c>
      <c r="X143">
        <f t="shared" si="15"/>
        <v>4901</v>
      </c>
      <c r="Y143">
        <v>8.1473477244981485</v>
      </c>
    </row>
    <row r="144" spans="1:26" x14ac:dyDescent="0.35">
      <c r="A144">
        <v>2920</v>
      </c>
      <c r="B144">
        <v>23610</v>
      </c>
      <c r="C144" s="1">
        <v>43089</v>
      </c>
      <c r="D144" s="1"/>
      <c r="F144" s="49"/>
      <c r="G144">
        <v>5.5</v>
      </c>
      <c r="H144">
        <v>0.6</v>
      </c>
      <c r="I144">
        <v>8.5</v>
      </c>
      <c r="J144">
        <f t="shared" si="12"/>
        <v>1067.5999999999999</v>
      </c>
      <c r="K144">
        <f t="shared" si="13"/>
        <v>127.30000000000001</v>
      </c>
      <c r="M144">
        <v>0.8</v>
      </c>
      <c r="N144">
        <v>0.2</v>
      </c>
      <c r="O144">
        <f t="shared" si="17"/>
        <v>0.60000000000000009</v>
      </c>
      <c r="Q144">
        <v>101</v>
      </c>
      <c r="R144">
        <v>1</v>
      </c>
      <c r="S144">
        <f t="shared" si="18"/>
        <v>0.2</v>
      </c>
      <c r="T144">
        <f t="shared" si="19"/>
        <v>0.60000000000000009</v>
      </c>
      <c r="U144">
        <f t="shared" si="14"/>
        <v>196.86675675675667</v>
      </c>
      <c r="W144">
        <v>92.4</v>
      </c>
      <c r="X144">
        <f t="shared" si="15"/>
        <v>4993.3999999999996</v>
      </c>
      <c r="Y144">
        <v>8.1455962038944758</v>
      </c>
    </row>
    <row r="145" spans="1:25" x14ac:dyDescent="0.35">
      <c r="A145">
        <v>2920</v>
      </c>
      <c r="B145">
        <v>23610</v>
      </c>
      <c r="C145" s="1">
        <v>43090</v>
      </c>
      <c r="D145" s="1"/>
      <c r="F145" s="49"/>
      <c r="G145">
        <v>9.1999999999999993</v>
      </c>
      <c r="H145">
        <v>8</v>
      </c>
      <c r="I145">
        <v>9.8000000000000007</v>
      </c>
      <c r="J145">
        <f t="shared" si="12"/>
        <v>1076.8</v>
      </c>
      <c r="K145">
        <f t="shared" si="13"/>
        <v>136.5</v>
      </c>
      <c r="M145">
        <v>1.3</v>
      </c>
      <c r="N145">
        <v>0.2</v>
      </c>
      <c r="O145">
        <f t="shared" si="17"/>
        <v>1.1000000000000001</v>
      </c>
      <c r="Q145">
        <v>102</v>
      </c>
      <c r="R145">
        <v>1</v>
      </c>
      <c r="S145">
        <f t="shared" si="18"/>
        <v>0.2</v>
      </c>
      <c r="T145">
        <f t="shared" si="19"/>
        <v>1.1000000000000001</v>
      </c>
      <c r="U145">
        <f t="shared" si="14"/>
        <v>197.4</v>
      </c>
      <c r="W145">
        <v>114.1</v>
      </c>
      <c r="X145">
        <f t="shared" si="15"/>
        <v>5107.5</v>
      </c>
      <c r="Y145">
        <v>8.1452458195690891</v>
      </c>
    </row>
    <row r="146" spans="1:25" x14ac:dyDescent="0.35">
      <c r="A146">
        <v>2920</v>
      </c>
      <c r="B146">
        <v>23610</v>
      </c>
      <c r="C146" s="1">
        <v>43091</v>
      </c>
      <c r="D146" s="1"/>
      <c r="F146" s="49"/>
      <c r="G146">
        <v>9.1999999999999993</v>
      </c>
      <c r="H146">
        <v>7.9</v>
      </c>
      <c r="I146">
        <v>10</v>
      </c>
      <c r="J146">
        <f t="shared" si="12"/>
        <v>1086</v>
      </c>
      <c r="K146">
        <f t="shared" si="13"/>
        <v>145.69999999999999</v>
      </c>
      <c r="M146">
        <v>1.2</v>
      </c>
      <c r="N146">
        <v>0.3</v>
      </c>
      <c r="O146">
        <f t="shared" si="17"/>
        <v>0.89999999999999991</v>
      </c>
      <c r="Q146">
        <v>103</v>
      </c>
      <c r="R146">
        <v>1</v>
      </c>
      <c r="S146">
        <f t="shared" si="18"/>
        <v>0.3</v>
      </c>
      <c r="T146">
        <f t="shared" si="19"/>
        <v>0.89999999999999991</v>
      </c>
      <c r="U146">
        <f t="shared" si="14"/>
        <v>197.4</v>
      </c>
      <c r="W146">
        <v>119.2</v>
      </c>
      <c r="X146">
        <f t="shared" si="15"/>
        <v>5226.7</v>
      </c>
      <c r="Y146">
        <v>8.1462968923268395</v>
      </c>
    </row>
    <row r="147" spans="1:25" x14ac:dyDescent="0.35">
      <c r="A147">
        <v>2920</v>
      </c>
      <c r="B147">
        <v>23610</v>
      </c>
      <c r="C147" s="1">
        <v>43092</v>
      </c>
      <c r="D147" s="1"/>
      <c r="F147" s="49"/>
      <c r="G147">
        <v>9.8000000000000007</v>
      </c>
      <c r="H147">
        <v>9</v>
      </c>
      <c r="I147">
        <v>10.9</v>
      </c>
      <c r="J147">
        <f t="shared" si="12"/>
        <v>1095.8</v>
      </c>
      <c r="K147">
        <f t="shared" si="13"/>
        <v>155.5</v>
      </c>
      <c r="M147">
        <v>0.5</v>
      </c>
      <c r="N147">
        <v>0.2</v>
      </c>
      <c r="O147">
        <f t="shared" si="17"/>
        <v>0.3</v>
      </c>
      <c r="Q147">
        <v>104</v>
      </c>
      <c r="R147">
        <v>1</v>
      </c>
      <c r="S147">
        <f t="shared" si="18"/>
        <v>0.2</v>
      </c>
      <c r="T147">
        <f t="shared" si="19"/>
        <v>0.3</v>
      </c>
      <c r="U147">
        <f t="shared" si="14"/>
        <v>197.4</v>
      </c>
      <c r="W147">
        <v>108</v>
      </c>
      <c r="X147">
        <f t="shared" si="15"/>
        <v>5334.7</v>
      </c>
      <c r="Y147">
        <v>8.148748460028191</v>
      </c>
    </row>
    <row r="148" spans="1:25" x14ac:dyDescent="0.35">
      <c r="A148">
        <v>2920</v>
      </c>
      <c r="B148">
        <v>23610</v>
      </c>
      <c r="C148" s="1">
        <v>43093</v>
      </c>
      <c r="D148" s="1"/>
      <c r="F148" s="49"/>
      <c r="G148">
        <v>9</v>
      </c>
      <c r="H148">
        <v>8.8000000000000007</v>
      </c>
      <c r="I148">
        <v>10.4</v>
      </c>
      <c r="J148">
        <f t="shared" si="12"/>
        <v>1104.8</v>
      </c>
      <c r="K148">
        <f t="shared" si="13"/>
        <v>164.5</v>
      </c>
      <c r="M148">
        <v>0.8</v>
      </c>
      <c r="N148">
        <v>0.4</v>
      </c>
      <c r="O148">
        <f t="shared" si="17"/>
        <v>0.4</v>
      </c>
      <c r="Q148">
        <v>105</v>
      </c>
      <c r="R148">
        <v>1</v>
      </c>
      <c r="S148">
        <f t="shared" si="18"/>
        <v>0.4</v>
      </c>
      <c r="T148">
        <f t="shared" si="19"/>
        <v>0.4</v>
      </c>
      <c r="U148">
        <f t="shared" si="14"/>
        <v>197.4</v>
      </c>
      <c r="W148">
        <v>95.8</v>
      </c>
      <c r="X148">
        <f t="shared" si="15"/>
        <v>5430.5</v>
      </c>
      <c r="Y148">
        <v>8.1525982808857957</v>
      </c>
    </row>
    <row r="149" spans="1:25" x14ac:dyDescent="0.35">
      <c r="A149">
        <v>2920</v>
      </c>
      <c r="B149">
        <v>23610</v>
      </c>
      <c r="C149" s="1">
        <v>43094</v>
      </c>
      <c r="D149" s="1"/>
      <c r="F149" s="49"/>
      <c r="G149">
        <v>7.1</v>
      </c>
      <c r="H149">
        <v>7</v>
      </c>
      <c r="I149">
        <v>8.1</v>
      </c>
      <c r="J149">
        <f t="shared" si="12"/>
        <v>1111.8999999999999</v>
      </c>
      <c r="K149">
        <f t="shared" si="13"/>
        <v>171.6</v>
      </c>
      <c r="M149">
        <v>5.7</v>
      </c>
      <c r="N149">
        <v>0.5</v>
      </c>
      <c r="O149">
        <f t="shared" si="17"/>
        <v>5.2</v>
      </c>
      <c r="Q149">
        <v>106</v>
      </c>
      <c r="R149">
        <v>1</v>
      </c>
      <c r="S149">
        <f t="shared" si="18"/>
        <v>0.5</v>
      </c>
      <c r="T149">
        <f t="shared" si="19"/>
        <v>5.2</v>
      </c>
      <c r="U149">
        <f t="shared" si="14"/>
        <v>197.4</v>
      </c>
      <c r="W149">
        <v>86.3</v>
      </c>
      <c r="X149">
        <f t="shared" si="15"/>
        <v>5516.8</v>
      </c>
      <c r="Y149">
        <v>8.1578428411328474</v>
      </c>
    </row>
    <row r="150" spans="1:25" x14ac:dyDescent="0.35">
      <c r="A150">
        <v>2920</v>
      </c>
      <c r="B150">
        <v>23610</v>
      </c>
      <c r="C150" s="1">
        <v>43095</v>
      </c>
      <c r="D150" s="1"/>
      <c r="F150" s="49"/>
      <c r="G150">
        <v>6.6</v>
      </c>
      <c r="H150">
        <v>4.2</v>
      </c>
      <c r="I150">
        <v>8.5</v>
      </c>
      <c r="J150">
        <f t="shared" si="12"/>
        <v>1118.4999999999998</v>
      </c>
      <c r="K150">
        <f t="shared" si="13"/>
        <v>178.2</v>
      </c>
      <c r="M150">
        <v>16.5</v>
      </c>
      <c r="N150">
        <v>0.5</v>
      </c>
      <c r="O150">
        <f t="shared" si="17"/>
        <v>16</v>
      </c>
      <c r="Q150">
        <v>107</v>
      </c>
      <c r="R150">
        <v>1</v>
      </c>
      <c r="S150">
        <f t="shared" si="18"/>
        <v>0.5</v>
      </c>
      <c r="T150">
        <f t="shared" si="19"/>
        <v>16</v>
      </c>
      <c r="U150">
        <f t="shared" si="14"/>
        <v>197.4</v>
      </c>
      <c r="W150">
        <v>418.7</v>
      </c>
      <c r="X150">
        <f t="shared" si="15"/>
        <v>5935.5</v>
      </c>
      <c r="Y150">
        <v>8.1644773670071498</v>
      </c>
    </row>
    <row r="151" spans="1:25" x14ac:dyDescent="0.35">
      <c r="A151">
        <v>2920</v>
      </c>
      <c r="B151">
        <v>23610</v>
      </c>
      <c r="C151" s="1">
        <v>43096</v>
      </c>
      <c r="D151" s="1"/>
      <c r="F151" s="49"/>
      <c r="G151">
        <v>5.3</v>
      </c>
      <c r="H151">
        <v>4.5</v>
      </c>
      <c r="I151">
        <v>7.2</v>
      </c>
      <c r="J151">
        <f t="shared" si="12"/>
        <v>1123.7999999999997</v>
      </c>
      <c r="K151">
        <f t="shared" si="13"/>
        <v>183.5</v>
      </c>
      <c r="M151">
        <v>3.9</v>
      </c>
      <c r="N151">
        <v>1.2</v>
      </c>
      <c r="O151">
        <f t="shared" si="17"/>
        <v>2.7</v>
      </c>
      <c r="Q151">
        <v>108</v>
      </c>
      <c r="R151">
        <v>1</v>
      </c>
      <c r="S151">
        <f t="shared" si="18"/>
        <v>1.2</v>
      </c>
      <c r="T151">
        <f t="shared" si="19"/>
        <v>2.7</v>
      </c>
      <c r="U151">
        <f t="shared" si="14"/>
        <v>197.4</v>
      </c>
      <c r="W151">
        <v>216.1</v>
      </c>
      <c r="X151">
        <f t="shared" si="15"/>
        <v>6151.6</v>
      </c>
      <c r="Y151">
        <v>8.1724958409633626</v>
      </c>
    </row>
    <row r="152" spans="1:25" x14ac:dyDescent="0.35">
      <c r="A152">
        <v>2920</v>
      </c>
      <c r="B152">
        <v>23610</v>
      </c>
      <c r="C152" s="1">
        <v>43097</v>
      </c>
      <c r="D152" s="1"/>
      <c r="E152">
        <v>12</v>
      </c>
      <c r="F152" s="49"/>
      <c r="G152">
        <v>3.1</v>
      </c>
      <c r="H152">
        <v>0.5</v>
      </c>
      <c r="I152">
        <v>6.6</v>
      </c>
      <c r="J152">
        <f t="shared" si="12"/>
        <v>1126.8999999999996</v>
      </c>
      <c r="K152">
        <f t="shared" si="13"/>
        <v>186.6</v>
      </c>
      <c r="M152">
        <v>1.2</v>
      </c>
      <c r="N152">
        <v>0.5</v>
      </c>
      <c r="O152">
        <f t="shared" si="17"/>
        <v>0.7</v>
      </c>
      <c r="Q152">
        <v>109</v>
      </c>
      <c r="R152">
        <v>1</v>
      </c>
      <c r="S152">
        <f t="shared" si="18"/>
        <v>0.5</v>
      </c>
      <c r="T152">
        <f t="shared" si="19"/>
        <v>0.7</v>
      </c>
      <c r="U152">
        <f t="shared" si="14"/>
        <v>197.4</v>
      </c>
      <c r="W152">
        <v>477.9</v>
      </c>
      <c r="X152">
        <f t="shared" si="15"/>
        <v>6629.5</v>
      </c>
      <c r="Y152">
        <v>8.1818910219958845</v>
      </c>
    </row>
    <row r="153" spans="1:25" x14ac:dyDescent="0.35">
      <c r="A153">
        <v>2920</v>
      </c>
      <c r="B153">
        <v>23610</v>
      </c>
      <c r="C153" s="1">
        <v>43098</v>
      </c>
      <c r="D153" s="1"/>
      <c r="F153" s="49"/>
      <c r="G153">
        <v>9.3000000000000007</v>
      </c>
      <c r="H153">
        <v>3.2</v>
      </c>
      <c r="I153">
        <v>13.2</v>
      </c>
      <c r="J153">
        <f t="shared" si="12"/>
        <v>1136.1999999999996</v>
      </c>
      <c r="K153">
        <f t="shared" si="13"/>
        <v>195.9</v>
      </c>
      <c r="M153">
        <v>6.3</v>
      </c>
      <c r="N153">
        <v>0.3</v>
      </c>
      <c r="O153">
        <f t="shared" si="17"/>
        <v>6</v>
      </c>
      <c r="Q153">
        <v>110</v>
      </c>
      <c r="R153">
        <v>1</v>
      </c>
      <c r="S153">
        <f t="shared" si="18"/>
        <v>0.3</v>
      </c>
      <c r="T153">
        <f t="shared" si="19"/>
        <v>6</v>
      </c>
      <c r="U153">
        <f t="shared" si="14"/>
        <v>197.4</v>
      </c>
      <c r="W153">
        <v>86.7</v>
      </c>
      <c r="X153">
        <f t="shared" si="15"/>
        <v>6716.2</v>
      </c>
      <c r="Y153">
        <v>8.1926544699261221</v>
      </c>
    </row>
    <row r="154" spans="1:25" x14ac:dyDescent="0.35">
      <c r="A154">
        <v>2920</v>
      </c>
      <c r="B154">
        <v>23610</v>
      </c>
      <c r="C154" s="1">
        <v>43099</v>
      </c>
      <c r="D154" s="1"/>
      <c r="F154" s="49"/>
      <c r="G154">
        <v>13.3</v>
      </c>
      <c r="H154">
        <v>10.8</v>
      </c>
      <c r="I154">
        <v>13.9</v>
      </c>
      <c r="J154">
        <f t="shared" si="12"/>
        <v>1149.4999999999995</v>
      </c>
      <c r="K154">
        <f t="shared" si="13"/>
        <v>209.20000000000002</v>
      </c>
      <c r="M154">
        <v>1.2</v>
      </c>
      <c r="N154">
        <v>0.3</v>
      </c>
      <c r="O154">
        <f t="shared" si="17"/>
        <v>0.89999999999999991</v>
      </c>
      <c r="Q154">
        <v>111</v>
      </c>
      <c r="R154">
        <v>1</v>
      </c>
      <c r="S154">
        <f t="shared" si="18"/>
        <v>0.3</v>
      </c>
      <c r="T154">
        <f t="shared" si="19"/>
        <v>0.89999999999999991</v>
      </c>
      <c r="U154">
        <f t="shared" si="14"/>
        <v>197.4</v>
      </c>
      <c r="W154">
        <v>76.2</v>
      </c>
      <c r="X154">
        <f t="shared" si="15"/>
        <v>6792.4</v>
      </c>
      <c r="Y154">
        <v>8.2047765734811406</v>
      </c>
    </row>
    <row r="155" spans="1:25" x14ac:dyDescent="0.35">
      <c r="A155">
        <v>2920</v>
      </c>
      <c r="B155">
        <v>23610</v>
      </c>
      <c r="C155" s="1">
        <v>43100</v>
      </c>
      <c r="D155" s="1"/>
      <c r="F155" s="49"/>
      <c r="G155">
        <v>11.2</v>
      </c>
      <c r="H155">
        <v>9.5</v>
      </c>
      <c r="I155">
        <v>13.3</v>
      </c>
      <c r="J155">
        <f t="shared" si="12"/>
        <v>1160.6999999999996</v>
      </c>
      <c r="K155">
        <f t="shared" si="13"/>
        <v>220.4</v>
      </c>
      <c r="M155">
        <v>6.2</v>
      </c>
      <c r="N155">
        <v>1.2</v>
      </c>
      <c r="O155">
        <f t="shared" si="17"/>
        <v>5</v>
      </c>
      <c r="Q155">
        <v>112</v>
      </c>
      <c r="R155">
        <v>1</v>
      </c>
      <c r="S155">
        <f t="shared" si="18"/>
        <v>1.2</v>
      </c>
      <c r="T155">
        <f t="shared" si="19"/>
        <v>5</v>
      </c>
      <c r="U155">
        <f t="shared" si="14"/>
        <v>197.4</v>
      </c>
      <c r="W155">
        <v>81.099999999999994</v>
      </c>
      <c r="X155">
        <f t="shared" si="15"/>
        <v>6873.5</v>
      </c>
      <c r="Y155">
        <v>8.2182465819659498</v>
      </c>
    </row>
    <row r="156" spans="1:25" x14ac:dyDescent="0.35">
      <c r="A156">
        <v>2920</v>
      </c>
      <c r="B156">
        <v>23610</v>
      </c>
      <c r="C156" s="1">
        <v>43101</v>
      </c>
      <c r="D156" s="1"/>
      <c r="F156" s="49"/>
      <c r="G156">
        <v>8.6</v>
      </c>
      <c r="H156">
        <v>8.1</v>
      </c>
      <c r="I156">
        <v>9.8000000000000007</v>
      </c>
      <c r="J156">
        <f t="shared" si="12"/>
        <v>1169.2999999999995</v>
      </c>
      <c r="K156">
        <f t="shared" si="13"/>
        <v>229</v>
      </c>
      <c r="M156">
        <v>15.2</v>
      </c>
      <c r="N156">
        <v>1.4</v>
      </c>
      <c r="O156">
        <f t="shared" si="17"/>
        <v>13.799999999999999</v>
      </c>
      <c r="Q156">
        <v>113</v>
      </c>
      <c r="R156">
        <v>1</v>
      </c>
      <c r="S156">
        <f t="shared" si="18"/>
        <v>1.4</v>
      </c>
      <c r="T156">
        <f t="shared" si="19"/>
        <v>13.799999999999999</v>
      </c>
      <c r="U156">
        <f t="shared" si="14"/>
        <v>197.4</v>
      </c>
      <c r="W156">
        <v>113.6</v>
      </c>
      <c r="X156">
        <f t="shared" si="15"/>
        <v>6987.1</v>
      </c>
      <c r="Y156">
        <v>8.2330526403095128</v>
      </c>
    </row>
    <row r="157" spans="1:25" x14ac:dyDescent="0.35">
      <c r="A157">
        <v>2920</v>
      </c>
      <c r="B157">
        <v>23610</v>
      </c>
      <c r="C157" s="1">
        <v>43102</v>
      </c>
      <c r="D157" s="1"/>
      <c r="F157" s="49"/>
      <c r="G157">
        <v>10.4</v>
      </c>
      <c r="H157">
        <v>6.5</v>
      </c>
      <c r="I157">
        <v>14.1</v>
      </c>
      <c r="J157">
        <f t="shared" si="12"/>
        <v>1179.6999999999996</v>
      </c>
      <c r="K157">
        <f t="shared" si="13"/>
        <v>239.4</v>
      </c>
      <c r="M157">
        <v>2</v>
      </c>
      <c r="N157">
        <v>0.5</v>
      </c>
      <c r="O157">
        <f t="shared" si="17"/>
        <v>1.5</v>
      </c>
      <c r="Q157">
        <v>114</v>
      </c>
      <c r="R157">
        <v>1</v>
      </c>
      <c r="S157">
        <f t="shared" si="18"/>
        <v>0.5</v>
      </c>
      <c r="T157">
        <f t="shared" si="19"/>
        <v>1.5</v>
      </c>
      <c r="U157">
        <f t="shared" si="14"/>
        <v>197.4</v>
      </c>
      <c r="W157">
        <v>88.6</v>
      </c>
      <c r="X157">
        <f t="shared" si="15"/>
        <v>7075.7000000000007</v>
      </c>
      <c r="Y157">
        <v>8.2491818272448576</v>
      </c>
    </row>
    <row r="158" spans="1:25" x14ac:dyDescent="0.35">
      <c r="A158">
        <v>2920</v>
      </c>
      <c r="B158">
        <v>23610</v>
      </c>
      <c r="C158" s="1">
        <v>43103</v>
      </c>
      <c r="D158" s="1"/>
      <c r="F158" s="49"/>
      <c r="G158">
        <v>11.5</v>
      </c>
      <c r="H158">
        <v>9.8000000000000007</v>
      </c>
      <c r="I158">
        <v>13.7</v>
      </c>
      <c r="J158">
        <f t="shared" si="12"/>
        <v>1191.1999999999996</v>
      </c>
      <c r="K158">
        <f t="shared" si="13"/>
        <v>250.9</v>
      </c>
      <c r="M158">
        <v>9.1</v>
      </c>
      <c r="N158">
        <v>1.6</v>
      </c>
      <c r="O158">
        <f t="shared" si="17"/>
        <v>7.5</v>
      </c>
      <c r="Q158">
        <v>115</v>
      </c>
      <c r="R158">
        <v>1</v>
      </c>
      <c r="S158">
        <f t="shared" si="18"/>
        <v>1.6</v>
      </c>
      <c r="T158">
        <f t="shared" si="19"/>
        <v>7.5</v>
      </c>
      <c r="U158">
        <f t="shared" si="14"/>
        <v>197.4</v>
      </c>
      <c r="W158">
        <v>371.3</v>
      </c>
      <c r="X158">
        <f t="shared" si="15"/>
        <v>7447.0000000000009</v>
      </c>
      <c r="Y158">
        <v>8.2666201963669401</v>
      </c>
    </row>
    <row r="159" spans="1:25" x14ac:dyDescent="0.35">
      <c r="A159">
        <v>2920</v>
      </c>
      <c r="B159">
        <v>23610</v>
      </c>
      <c r="C159" s="1">
        <v>43104</v>
      </c>
      <c r="D159" s="1"/>
      <c r="F159" s="49"/>
      <c r="G159">
        <v>12.6</v>
      </c>
      <c r="H159">
        <v>10.5</v>
      </c>
      <c r="I159">
        <v>13.9</v>
      </c>
      <c r="J159">
        <f t="shared" si="12"/>
        <v>1203.7999999999995</v>
      </c>
      <c r="K159">
        <f t="shared" si="13"/>
        <v>263.5</v>
      </c>
      <c r="M159">
        <v>1.9</v>
      </c>
      <c r="N159">
        <v>0.5</v>
      </c>
      <c r="O159">
        <f t="shared" si="17"/>
        <v>1.4</v>
      </c>
      <c r="Q159">
        <v>116</v>
      </c>
      <c r="R159">
        <v>1</v>
      </c>
      <c r="S159">
        <f t="shared" si="18"/>
        <v>0.5</v>
      </c>
      <c r="T159">
        <f t="shared" si="19"/>
        <v>1.4</v>
      </c>
      <c r="U159">
        <f t="shared" si="14"/>
        <v>197.4</v>
      </c>
      <c r="W159">
        <v>63.3</v>
      </c>
      <c r="X159">
        <f t="shared" si="15"/>
        <v>7510.3000000000011</v>
      </c>
      <c r="Y159">
        <v>8.2853528197978985</v>
      </c>
    </row>
    <row r="160" spans="1:25" x14ac:dyDescent="0.35">
      <c r="A160">
        <v>2920</v>
      </c>
      <c r="B160">
        <v>23610</v>
      </c>
      <c r="C160" s="1">
        <v>43105</v>
      </c>
      <c r="D160" s="1"/>
      <c r="F160" s="49"/>
      <c r="G160">
        <v>8.4</v>
      </c>
      <c r="H160">
        <v>7.1</v>
      </c>
      <c r="I160">
        <v>9.8000000000000007</v>
      </c>
      <c r="J160">
        <f t="shared" si="12"/>
        <v>1212.1999999999996</v>
      </c>
      <c r="K160">
        <f t="shared" si="13"/>
        <v>271.89999999999998</v>
      </c>
      <c r="M160">
        <v>1.5</v>
      </c>
      <c r="N160">
        <v>0.6</v>
      </c>
      <c r="O160">
        <f t="shared" si="17"/>
        <v>0.9</v>
      </c>
      <c r="Q160">
        <v>117</v>
      </c>
      <c r="R160">
        <v>1</v>
      </c>
      <c r="S160">
        <f t="shared" si="18"/>
        <v>0.6</v>
      </c>
      <c r="T160">
        <f t="shared" si="19"/>
        <v>0.9</v>
      </c>
      <c r="U160">
        <f t="shared" si="14"/>
        <v>197.4</v>
      </c>
      <c r="W160">
        <v>406</v>
      </c>
      <c r="X160">
        <f t="shared" si="15"/>
        <v>7916.3000000000011</v>
      </c>
      <c r="Y160">
        <v>8.3053638341785643</v>
      </c>
    </row>
    <row r="161" spans="1:25" x14ac:dyDescent="0.35">
      <c r="A161">
        <v>2920</v>
      </c>
      <c r="B161">
        <v>23610</v>
      </c>
      <c r="C161" s="1">
        <v>43106</v>
      </c>
      <c r="D161" s="1"/>
      <c r="F161" s="49"/>
      <c r="G161">
        <v>5.3</v>
      </c>
      <c r="H161">
        <v>3.5</v>
      </c>
      <c r="I161">
        <v>7.6</v>
      </c>
      <c r="J161">
        <f t="shared" si="12"/>
        <v>1217.4999999999995</v>
      </c>
      <c r="K161">
        <f t="shared" si="13"/>
        <v>277.2</v>
      </c>
      <c r="M161">
        <v>0.3</v>
      </c>
      <c r="N161">
        <v>0.4</v>
      </c>
      <c r="O161">
        <f t="shared" si="17"/>
        <v>-0.10000000000000003</v>
      </c>
      <c r="Q161">
        <v>118</v>
      </c>
      <c r="R161">
        <v>1</v>
      </c>
      <c r="S161">
        <f t="shared" si="18"/>
        <v>0.4</v>
      </c>
      <c r="T161">
        <f t="shared" si="19"/>
        <v>-0.10000000000000003</v>
      </c>
      <c r="U161">
        <f t="shared" si="14"/>
        <v>197.3</v>
      </c>
      <c r="W161">
        <v>356.5</v>
      </c>
      <c r="X161">
        <f t="shared" si="15"/>
        <v>8272.8000000000011</v>
      </c>
      <c r="Y161">
        <v>8.3266364886970745</v>
      </c>
    </row>
    <row r="162" spans="1:25" x14ac:dyDescent="0.35">
      <c r="A162">
        <v>2920</v>
      </c>
      <c r="B162">
        <v>23610</v>
      </c>
      <c r="C162" s="1">
        <v>43107</v>
      </c>
      <c r="D162" s="1"/>
      <c r="F162" s="49"/>
      <c r="G162">
        <v>6.1</v>
      </c>
      <c r="H162">
        <v>4.5999999999999996</v>
      </c>
      <c r="I162">
        <v>6.7</v>
      </c>
      <c r="J162">
        <f t="shared" si="12"/>
        <v>1223.5999999999995</v>
      </c>
      <c r="K162">
        <f t="shared" si="13"/>
        <v>283.3</v>
      </c>
      <c r="M162">
        <v>3.1</v>
      </c>
      <c r="N162">
        <v>0.6</v>
      </c>
      <c r="O162">
        <f t="shared" si="17"/>
        <v>2.5</v>
      </c>
      <c r="Q162">
        <v>119</v>
      </c>
      <c r="R162">
        <v>1</v>
      </c>
      <c r="S162">
        <f t="shared" si="18"/>
        <v>0.6</v>
      </c>
      <c r="T162">
        <f t="shared" si="19"/>
        <v>2.5</v>
      </c>
      <c r="U162">
        <f t="shared" si="14"/>
        <v>197.4</v>
      </c>
      <c r="W162">
        <v>81</v>
      </c>
      <c r="X162">
        <f t="shared" si="15"/>
        <v>8353.8000000000011</v>
      </c>
      <c r="Y162">
        <v>8.349153194860655</v>
      </c>
    </row>
    <row r="163" spans="1:25" x14ac:dyDescent="0.35">
      <c r="A163">
        <v>2920</v>
      </c>
      <c r="B163">
        <v>23610</v>
      </c>
      <c r="C163" s="1">
        <v>43108</v>
      </c>
      <c r="D163" s="1"/>
      <c r="F163" s="49"/>
      <c r="G163">
        <v>6.1</v>
      </c>
      <c r="H163">
        <v>5.8</v>
      </c>
      <c r="I163">
        <v>6.6</v>
      </c>
      <c r="J163">
        <f t="shared" si="12"/>
        <v>1229.6999999999994</v>
      </c>
      <c r="K163">
        <f t="shared" si="13"/>
        <v>289.40000000000003</v>
      </c>
      <c r="M163">
        <v>0</v>
      </c>
      <c r="N163">
        <v>0.6</v>
      </c>
      <c r="O163">
        <f t="shared" si="17"/>
        <v>-0.6</v>
      </c>
      <c r="Q163">
        <v>120</v>
      </c>
      <c r="R163">
        <v>1</v>
      </c>
      <c r="S163">
        <f t="shared" si="18"/>
        <v>0.6</v>
      </c>
      <c r="T163">
        <f t="shared" si="19"/>
        <v>-0.6</v>
      </c>
      <c r="U163">
        <f t="shared" si="14"/>
        <v>196.8</v>
      </c>
      <c r="W163">
        <v>148.6</v>
      </c>
      <c r="X163">
        <f t="shared" si="15"/>
        <v>8502.4000000000015</v>
      </c>
      <c r="Y163">
        <v>8.3728955777145835</v>
      </c>
    </row>
    <row r="164" spans="1:25" x14ac:dyDescent="0.35">
      <c r="A164">
        <v>2920</v>
      </c>
      <c r="B164">
        <v>23610</v>
      </c>
      <c r="C164" s="1">
        <v>43109</v>
      </c>
      <c r="D164" s="1"/>
      <c r="F164" s="49"/>
      <c r="G164">
        <v>7.7</v>
      </c>
      <c r="H164">
        <v>5.5</v>
      </c>
      <c r="I164">
        <v>9.5</v>
      </c>
      <c r="J164">
        <f t="shared" si="12"/>
        <v>1237.3999999999994</v>
      </c>
      <c r="K164">
        <f t="shared" si="13"/>
        <v>297.10000000000002</v>
      </c>
      <c r="M164">
        <v>2.5</v>
      </c>
      <c r="N164">
        <v>0.4</v>
      </c>
      <c r="O164">
        <f t="shared" si="17"/>
        <v>2.1</v>
      </c>
      <c r="Q164">
        <v>121</v>
      </c>
      <c r="R164">
        <v>1</v>
      </c>
      <c r="S164">
        <f t="shared" si="18"/>
        <v>0.4</v>
      </c>
      <c r="T164">
        <f t="shared" si="19"/>
        <v>2.1</v>
      </c>
      <c r="U164">
        <f t="shared" si="14"/>
        <v>197.4</v>
      </c>
      <c r="W164">
        <v>159.30000000000001</v>
      </c>
      <c r="X164">
        <f t="shared" si="15"/>
        <v>8661.7000000000007</v>
      </c>
      <c r="Y164">
        <v>8.3978445282131968</v>
      </c>
    </row>
    <row r="165" spans="1:25" x14ac:dyDescent="0.35">
      <c r="A165">
        <v>2920</v>
      </c>
      <c r="B165">
        <v>23610</v>
      </c>
      <c r="C165" s="1">
        <v>43110</v>
      </c>
      <c r="D165" s="1"/>
      <c r="F165" s="49"/>
      <c r="G165">
        <v>8.1999999999999993</v>
      </c>
      <c r="H165">
        <v>6.7</v>
      </c>
      <c r="I165">
        <v>10.9</v>
      </c>
      <c r="J165">
        <f t="shared" si="12"/>
        <v>1245.5999999999995</v>
      </c>
      <c r="K165">
        <f t="shared" si="13"/>
        <v>305.3</v>
      </c>
      <c r="M165">
        <v>0.4</v>
      </c>
      <c r="N165">
        <v>0.7</v>
      </c>
      <c r="O165">
        <f t="shared" si="17"/>
        <v>-0.29999999999999993</v>
      </c>
      <c r="Q165">
        <v>122</v>
      </c>
      <c r="R165">
        <v>1</v>
      </c>
      <c r="S165">
        <f t="shared" si="18"/>
        <v>0.7</v>
      </c>
      <c r="T165">
        <f t="shared" si="19"/>
        <v>-0.29999999999999993</v>
      </c>
      <c r="U165">
        <f t="shared" si="14"/>
        <v>197.1</v>
      </c>
      <c r="W165">
        <v>489.2</v>
      </c>
      <c r="X165">
        <f t="shared" si="15"/>
        <v>9150.9000000000015</v>
      </c>
      <c r="Y165">
        <v>8.423980256451312</v>
      </c>
    </row>
    <row r="166" spans="1:25" x14ac:dyDescent="0.35">
      <c r="A166">
        <v>2920</v>
      </c>
      <c r="B166">
        <v>23610</v>
      </c>
      <c r="C166" s="1">
        <v>43111</v>
      </c>
      <c r="D166" s="1"/>
      <c r="F166" s="49"/>
      <c r="G166">
        <v>7.1</v>
      </c>
      <c r="H166">
        <v>6.3</v>
      </c>
      <c r="I166">
        <v>8.4</v>
      </c>
      <c r="J166">
        <f t="shared" si="12"/>
        <v>1252.6999999999994</v>
      </c>
      <c r="K166">
        <f t="shared" si="13"/>
        <v>312.40000000000003</v>
      </c>
      <c r="M166">
        <v>0.2</v>
      </c>
      <c r="N166">
        <v>0.4</v>
      </c>
      <c r="O166">
        <f t="shared" si="17"/>
        <v>-0.2</v>
      </c>
      <c r="Q166">
        <v>123</v>
      </c>
      <c r="R166">
        <v>1</v>
      </c>
      <c r="S166">
        <f t="shared" si="18"/>
        <v>0.4</v>
      </c>
      <c r="T166">
        <f t="shared" si="19"/>
        <v>-0.2</v>
      </c>
      <c r="U166">
        <f t="shared" si="14"/>
        <v>196.9</v>
      </c>
      <c r="W166">
        <v>151.6</v>
      </c>
      <c r="X166">
        <f t="shared" si="15"/>
        <v>9302.5000000000018</v>
      </c>
      <c r="Y166">
        <v>8.451282345470295</v>
      </c>
    </row>
    <row r="167" spans="1:25" x14ac:dyDescent="0.35">
      <c r="A167">
        <v>2920</v>
      </c>
      <c r="B167">
        <v>23610</v>
      </c>
      <c r="C167" s="1">
        <v>43112</v>
      </c>
      <c r="D167" s="1"/>
      <c r="E167">
        <v>13</v>
      </c>
      <c r="F167" s="49"/>
      <c r="G167">
        <v>4.0999999999999996</v>
      </c>
      <c r="H167">
        <v>1.3</v>
      </c>
      <c r="I167">
        <v>5.0999999999999996</v>
      </c>
      <c r="J167">
        <f t="shared" si="12"/>
        <v>1256.7999999999993</v>
      </c>
      <c r="K167">
        <f t="shared" si="13"/>
        <v>316.50000000000006</v>
      </c>
      <c r="M167">
        <v>0</v>
      </c>
      <c r="N167">
        <v>0.1</v>
      </c>
      <c r="O167">
        <f t="shared" si="17"/>
        <v>-0.1</v>
      </c>
      <c r="Q167">
        <v>124</v>
      </c>
      <c r="R167">
        <v>1</v>
      </c>
      <c r="S167">
        <f t="shared" si="18"/>
        <v>0.1</v>
      </c>
      <c r="T167">
        <f t="shared" si="19"/>
        <v>-0.1</v>
      </c>
      <c r="U167">
        <f t="shared" si="14"/>
        <v>196.8</v>
      </c>
      <c r="W167">
        <v>138.6</v>
      </c>
      <c r="X167">
        <f t="shared" si="15"/>
        <v>9441.1000000000022</v>
      </c>
      <c r="Y167">
        <v>8.4797298053613801</v>
      </c>
    </row>
    <row r="168" spans="1:25" x14ac:dyDescent="0.35">
      <c r="A168">
        <v>2920</v>
      </c>
      <c r="B168">
        <v>23610</v>
      </c>
      <c r="C168" s="1">
        <v>43113</v>
      </c>
      <c r="D168" s="1"/>
      <c r="E168">
        <v>14</v>
      </c>
      <c r="F168" s="49"/>
      <c r="G168">
        <v>4.5</v>
      </c>
      <c r="H168">
        <v>3.5</v>
      </c>
      <c r="I168">
        <v>5.2</v>
      </c>
      <c r="J168">
        <f t="shared" si="12"/>
        <v>1261.2999999999993</v>
      </c>
      <c r="K168">
        <f t="shared" si="13"/>
        <v>321.00000000000006</v>
      </c>
      <c r="M168">
        <v>0.2</v>
      </c>
      <c r="N168">
        <v>0.4</v>
      </c>
      <c r="O168">
        <f t="shared" si="17"/>
        <v>-0.2</v>
      </c>
      <c r="Q168">
        <v>125</v>
      </c>
      <c r="R168">
        <v>1</v>
      </c>
      <c r="S168">
        <f t="shared" si="18"/>
        <v>0.4</v>
      </c>
      <c r="T168">
        <f t="shared" si="19"/>
        <v>-0.2</v>
      </c>
      <c r="U168">
        <f t="shared" si="14"/>
        <v>196.60000000000002</v>
      </c>
      <c r="W168">
        <v>175</v>
      </c>
      <c r="X168">
        <f t="shared" si="15"/>
        <v>9616.1000000000022</v>
      </c>
      <c r="Y168">
        <v>8.5093011273989667</v>
      </c>
    </row>
    <row r="169" spans="1:25" x14ac:dyDescent="0.35">
      <c r="A169">
        <v>2920</v>
      </c>
      <c r="B169">
        <v>23610</v>
      </c>
      <c r="C169" s="1">
        <v>43114</v>
      </c>
      <c r="D169" s="1"/>
      <c r="E169">
        <v>15</v>
      </c>
      <c r="F169" s="49"/>
      <c r="G169">
        <v>4.7</v>
      </c>
      <c r="H169">
        <v>3.3</v>
      </c>
      <c r="I169">
        <v>6.4</v>
      </c>
      <c r="J169">
        <f t="shared" si="12"/>
        <v>1265.9999999999993</v>
      </c>
      <c r="K169">
        <f t="shared" si="13"/>
        <v>325.70000000000005</v>
      </c>
      <c r="M169">
        <v>0.1</v>
      </c>
      <c r="N169">
        <v>0.3</v>
      </c>
      <c r="O169">
        <f t="shared" si="17"/>
        <v>-0.19999999999999998</v>
      </c>
      <c r="Q169">
        <v>126</v>
      </c>
      <c r="R169">
        <v>1</v>
      </c>
      <c r="S169">
        <f t="shared" si="18"/>
        <v>0.3</v>
      </c>
      <c r="T169">
        <f t="shared" si="19"/>
        <v>-0.19999999999999998</v>
      </c>
      <c r="U169">
        <f t="shared" si="14"/>
        <v>196.40000000000003</v>
      </c>
      <c r="W169">
        <v>107.9</v>
      </c>
      <c r="X169">
        <f t="shared" si="15"/>
        <v>9724.0000000000018</v>
      </c>
      <c r="Y169">
        <v>8.5399743379487294</v>
      </c>
    </row>
    <row r="170" spans="1:25" x14ac:dyDescent="0.35">
      <c r="A170">
        <v>2920</v>
      </c>
      <c r="B170">
        <v>23610</v>
      </c>
      <c r="C170" s="1">
        <v>43115</v>
      </c>
      <c r="D170" s="1"/>
      <c r="F170" s="49"/>
      <c r="G170">
        <v>8.6999999999999993</v>
      </c>
      <c r="H170">
        <v>5</v>
      </c>
      <c r="I170">
        <v>10.6</v>
      </c>
      <c r="J170">
        <f t="shared" si="12"/>
        <v>1274.6999999999994</v>
      </c>
      <c r="K170">
        <f t="shared" si="13"/>
        <v>334.40000000000003</v>
      </c>
      <c r="M170">
        <v>7.4</v>
      </c>
      <c r="N170">
        <v>0.1</v>
      </c>
      <c r="O170">
        <f t="shared" si="17"/>
        <v>7.3000000000000007</v>
      </c>
      <c r="Q170">
        <v>127</v>
      </c>
      <c r="R170">
        <v>1</v>
      </c>
      <c r="S170">
        <f t="shared" si="18"/>
        <v>0.1</v>
      </c>
      <c r="T170">
        <f t="shared" si="19"/>
        <v>7.3000000000000007</v>
      </c>
      <c r="U170">
        <f t="shared" si="14"/>
        <v>197.4</v>
      </c>
      <c r="W170">
        <v>85.2</v>
      </c>
      <c r="X170">
        <f t="shared" si="15"/>
        <v>9809.2000000000025</v>
      </c>
      <c r="Y170">
        <v>8.571727051909015</v>
      </c>
    </row>
    <row r="171" spans="1:25" x14ac:dyDescent="0.35">
      <c r="A171">
        <v>2920</v>
      </c>
      <c r="B171">
        <v>23610</v>
      </c>
      <c r="C171" s="1">
        <v>43116</v>
      </c>
      <c r="D171" s="1"/>
      <c r="F171" s="49"/>
      <c r="G171">
        <v>9.1</v>
      </c>
      <c r="H171">
        <v>8.3000000000000007</v>
      </c>
      <c r="I171">
        <v>11.5</v>
      </c>
      <c r="J171">
        <f t="shared" si="12"/>
        <v>1283.7999999999993</v>
      </c>
      <c r="K171">
        <f t="shared" si="13"/>
        <v>343.50000000000006</v>
      </c>
      <c r="M171">
        <v>2.2999999999999998</v>
      </c>
      <c r="N171">
        <v>1.7</v>
      </c>
      <c r="O171">
        <f t="shared" si="17"/>
        <v>0.59999999999999987</v>
      </c>
      <c r="Q171">
        <v>128</v>
      </c>
      <c r="R171">
        <v>1</v>
      </c>
      <c r="S171">
        <f t="shared" si="18"/>
        <v>1.7</v>
      </c>
      <c r="T171">
        <f t="shared" si="19"/>
        <v>0.59999999999999987</v>
      </c>
      <c r="U171">
        <f t="shared" si="14"/>
        <v>197.4</v>
      </c>
      <c r="W171">
        <v>244.8</v>
      </c>
      <c r="X171">
        <f t="shared" si="15"/>
        <v>10054.000000000002</v>
      </c>
      <c r="Y171">
        <v>8.6045365254588315</v>
      </c>
    </row>
    <row r="172" spans="1:25" x14ac:dyDescent="0.35">
      <c r="A172">
        <v>2920</v>
      </c>
      <c r="B172">
        <v>23610</v>
      </c>
      <c r="C172" s="1">
        <v>43117</v>
      </c>
      <c r="D172" s="1"/>
      <c r="F172" s="49"/>
      <c r="G172">
        <v>6.8</v>
      </c>
      <c r="H172">
        <v>4.5999999999999996</v>
      </c>
      <c r="I172">
        <v>10.8</v>
      </c>
      <c r="J172">
        <f t="shared" si="12"/>
        <v>1290.5999999999992</v>
      </c>
      <c r="K172">
        <f t="shared" si="13"/>
        <v>350.30000000000007</v>
      </c>
      <c r="M172">
        <v>0.2</v>
      </c>
      <c r="N172">
        <v>1.5</v>
      </c>
      <c r="O172">
        <f t="shared" si="17"/>
        <v>-1.3</v>
      </c>
      <c r="Q172">
        <v>129</v>
      </c>
      <c r="R172">
        <v>1</v>
      </c>
      <c r="S172">
        <f t="shared" si="18"/>
        <v>1.5</v>
      </c>
      <c r="T172">
        <f t="shared" si="19"/>
        <v>-1.3</v>
      </c>
      <c r="U172">
        <f t="shared" si="14"/>
        <v>196.1</v>
      </c>
      <c r="W172">
        <v>526.9</v>
      </c>
      <c r="X172">
        <f t="shared" si="15"/>
        <v>10580.900000000001</v>
      </c>
      <c r="Y172">
        <v>8.6383797079016862</v>
      </c>
    </row>
    <row r="173" spans="1:25" x14ac:dyDescent="0.35">
      <c r="A173">
        <v>2920</v>
      </c>
      <c r="B173">
        <v>23610</v>
      </c>
      <c r="C173" s="1">
        <v>43118</v>
      </c>
      <c r="D173" s="1"/>
      <c r="F173" s="49"/>
      <c r="G173">
        <v>10.1</v>
      </c>
      <c r="H173">
        <v>7.3</v>
      </c>
      <c r="I173">
        <v>12.8</v>
      </c>
      <c r="J173">
        <f t="shared" si="12"/>
        <v>1300.6999999999991</v>
      </c>
      <c r="K173">
        <f t="shared" si="13"/>
        <v>360.40000000000009</v>
      </c>
      <c r="M173">
        <v>3.2</v>
      </c>
      <c r="N173">
        <v>0.7</v>
      </c>
      <c r="O173">
        <f t="shared" si="17"/>
        <v>2.5</v>
      </c>
      <c r="Q173">
        <v>130</v>
      </c>
      <c r="R173">
        <v>1</v>
      </c>
      <c r="S173">
        <f t="shared" si="18"/>
        <v>0.7</v>
      </c>
      <c r="T173">
        <f t="shared" si="19"/>
        <v>2.5</v>
      </c>
      <c r="U173">
        <f t="shared" si="14"/>
        <v>197.4</v>
      </c>
      <c r="W173">
        <v>105.1</v>
      </c>
      <c r="X173">
        <f t="shared" si="15"/>
        <v>10686.000000000002</v>
      </c>
      <c r="Y173">
        <v>8.6732332924112434</v>
      </c>
    </row>
    <row r="174" spans="1:25" x14ac:dyDescent="0.35">
      <c r="A174">
        <v>2920</v>
      </c>
      <c r="B174">
        <v>23610</v>
      </c>
      <c r="C174" s="1">
        <v>43119</v>
      </c>
      <c r="D174" s="1"/>
      <c r="F174" s="49"/>
      <c r="G174">
        <v>6.2</v>
      </c>
      <c r="H174">
        <v>5.0999999999999996</v>
      </c>
      <c r="I174">
        <v>8.6999999999999993</v>
      </c>
      <c r="J174">
        <f t="shared" ref="J174:J237" si="20">J173+G174</f>
        <v>1306.8999999999992</v>
      </c>
      <c r="K174">
        <f t="shared" ref="K174:K237" si="21">K173+G174</f>
        <v>366.60000000000008</v>
      </c>
      <c r="M174">
        <v>11.2</v>
      </c>
      <c r="N174">
        <v>1</v>
      </c>
      <c r="O174">
        <f t="shared" si="17"/>
        <v>10.199999999999999</v>
      </c>
      <c r="Q174">
        <v>131</v>
      </c>
      <c r="R174">
        <v>1</v>
      </c>
      <c r="S174">
        <f t="shared" si="18"/>
        <v>1</v>
      </c>
      <c r="T174">
        <f t="shared" si="19"/>
        <v>10.199999999999999</v>
      </c>
      <c r="U174">
        <f t="shared" ref="U174:U237" si="22">MIN(U173+T174,197.4)</f>
        <v>197.4</v>
      </c>
      <c r="W174">
        <v>523.5</v>
      </c>
      <c r="X174">
        <f t="shared" ref="X174:X237" si="23">X173+W174</f>
        <v>11209.500000000002</v>
      </c>
      <c r="Y174">
        <v>8.7090737655019961</v>
      </c>
    </row>
    <row r="175" spans="1:25" x14ac:dyDescent="0.35">
      <c r="A175">
        <v>2920</v>
      </c>
      <c r="B175">
        <v>23610</v>
      </c>
      <c r="C175" s="1">
        <v>43120</v>
      </c>
      <c r="D175" s="1"/>
      <c r="F175" s="49"/>
      <c r="G175">
        <v>10.4</v>
      </c>
      <c r="H175">
        <v>5.3</v>
      </c>
      <c r="I175">
        <v>13.1</v>
      </c>
      <c r="J175">
        <f t="shared" si="20"/>
        <v>1317.2999999999993</v>
      </c>
      <c r="K175">
        <f t="shared" si="21"/>
        <v>377.00000000000006</v>
      </c>
      <c r="M175">
        <v>4.2</v>
      </c>
      <c r="N175">
        <v>0.2</v>
      </c>
      <c r="O175">
        <f t="shared" si="17"/>
        <v>4</v>
      </c>
      <c r="Q175">
        <v>132</v>
      </c>
      <c r="R175">
        <v>1</v>
      </c>
      <c r="S175">
        <f t="shared" si="18"/>
        <v>0.2</v>
      </c>
      <c r="T175">
        <f t="shared" si="19"/>
        <v>4</v>
      </c>
      <c r="U175">
        <f t="shared" si="22"/>
        <v>197.4</v>
      </c>
      <c r="W175">
        <v>141.6</v>
      </c>
      <c r="X175">
        <f t="shared" si="23"/>
        <v>11351.100000000002</v>
      </c>
      <c r="Y175">
        <v>8.745877455065731</v>
      </c>
    </row>
    <row r="176" spans="1:25" x14ac:dyDescent="0.35">
      <c r="A176">
        <v>2920</v>
      </c>
      <c r="B176">
        <v>23610</v>
      </c>
      <c r="C176" s="1">
        <v>43121</v>
      </c>
      <c r="D176" s="1"/>
      <c r="F176" s="49"/>
      <c r="G176">
        <v>11.5</v>
      </c>
      <c r="H176">
        <v>8.8000000000000007</v>
      </c>
      <c r="I176">
        <v>13.2</v>
      </c>
      <c r="J176">
        <f t="shared" si="20"/>
        <v>1328.7999999999993</v>
      </c>
      <c r="K176">
        <f t="shared" si="21"/>
        <v>388.50000000000006</v>
      </c>
      <c r="M176">
        <v>0.5</v>
      </c>
      <c r="N176">
        <v>0.5</v>
      </c>
      <c r="O176">
        <f t="shared" si="17"/>
        <v>0</v>
      </c>
      <c r="Q176">
        <v>133</v>
      </c>
      <c r="R176">
        <v>1</v>
      </c>
      <c r="S176">
        <f t="shared" si="18"/>
        <v>0.5</v>
      </c>
      <c r="T176">
        <f t="shared" si="19"/>
        <v>0</v>
      </c>
      <c r="U176">
        <f t="shared" si="22"/>
        <v>197.4</v>
      </c>
      <c r="W176">
        <v>116.4</v>
      </c>
      <c r="X176">
        <f t="shared" si="23"/>
        <v>11467.500000000002</v>
      </c>
      <c r="Y176">
        <v>8.7836205768322237</v>
      </c>
    </row>
    <row r="177" spans="1:25" x14ac:dyDescent="0.35">
      <c r="A177">
        <v>2920</v>
      </c>
      <c r="B177">
        <v>23610</v>
      </c>
      <c r="C177" s="1">
        <v>43122</v>
      </c>
      <c r="D177" s="1"/>
      <c r="F177" s="49"/>
      <c r="G177">
        <v>10.7</v>
      </c>
      <c r="H177">
        <v>10.199999999999999</v>
      </c>
      <c r="I177">
        <v>12.2</v>
      </c>
      <c r="J177">
        <f t="shared" si="20"/>
        <v>1339.4999999999993</v>
      </c>
      <c r="K177">
        <f t="shared" si="21"/>
        <v>399.20000000000005</v>
      </c>
      <c r="M177">
        <v>0.9</v>
      </c>
      <c r="N177">
        <v>0.8</v>
      </c>
      <c r="O177">
        <f t="shared" si="17"/>
        <v>9.9999999999999978E-2</v>
      </c>
      <c r="Q177">
        <v>134</v>
      </c>
      <c r="R177">
        <v>1</v>
      </c>
      <c r="S177">
        <f t="shared" si="18"/>
        <v>0.8</v>
      </c>
      <c r="T177">
        <f t="shared" si="19"/>
        <v>9.9999999999999978E-2</v>
      </c>
      <c r="U177">
        <f t="shared" si="22"/>
        <v>197.4</v>
      </c>
      <c r="W177">
        <v>107.9</v>
      </c>
      <c r="X177">
        <f t="shared" si="23"/>
        <v>11575.400000000001</v>
      </c>
      <c r="Y177">
        <v>8.8222792791301696</v>
      </c>
    </row>
    <row r="178" spans="1:25" x14ac:dyDescent="0.35">
      <c r="A178">
        <v>2920</v>
      </c>
      <c r="B178">
        <v>23610</v>
      </c>
      <c r="C178" s="1">
        <v>43123</v>
      </c>
      <c r="D178" s="1"/>
      <c r="F178" s="49"/>
      <c r="G178">
        <v>11.2</v>
      </c>
      <c r="H178">
        <v>7.5</v>
      </c>
      <c r="I178">
        <v>13.5</v>
      </c>
      <c r="J178">
        <f t="shared" si="20"/>
        <v>1350.6999999999994</v>
      </c>
      <c r="K178">
        <f t="shared" si="21"/>
        <v>410.40000000000003</v>
      </c>
      <c r="M178">
        <v>1.3</v>
      </c>
      <c r="N178">
        <v>0.3</v>
      </c>
      <c r="O178">
        <f t="shared" si="17"/>
        <v>1</v>
      </c>
      <c r="Q178">
        <v>135</v>
      </c>
      <c r="R178">
        <v>1</v>
      </c>
      <c r="S178">
        <f t="shared" si="18"/>
        <v>0.3</v>
      </c>
      <c r="T178">
        <f t="shared" si="19"/>
        <v>1</v>
      </c>
      <c r="U178">
        <f t="shared" si="22"/>
        <v>197.4</v>
      </c>
      <c r="W178">
        <v>188.7</v>
      </c>
      <c r="X178">
        <f t="shared" si="23"/>
        <v>11764.100000000002</v>
      </c>
      <c r="Y178">
        <v>8.8618296858416272</v>
      </c>
    </row>
    <row r="179" spans="1:25" x14ac:dyDescent="0.35">
      <c r="A179">
        <v>2920</v>
      </c>
      <c r="B179">
        <v>23610</v>
      </c>
      <c r="C179" s="1">
        <v>43124</v>
      </c>
      <c r="D179" s="1"/>
      <c r="F179" s="49"/>
      <c r="G179">
        <v>11.7</v>
      </c>
      <c r="H179">
        <v>11.4</v>
      </c>
      <c r="I179">
        <v>12.7</v>
      </c>
      <c r="J179">
        <f t="shared" si="20"/>
        <v>1362.3999999999994</v>
      </c>
      <c r="K179">
        <f t="shared" si="21"/>
        <v>422.1</v>
      </c>
      <c r="M179">
        <v>5</v>
      </c>
      <c r="N179">
        <v>0.9</v>
      </c>
      <c r="O179">
        <f t="shared" si="17"/>
        <v>4.0999999999999996</v>
      </c>
      <c r="Q179">
        <v>136</v>
      </c>
      <c r="R179">
        <v>1</v>
      </c>
      <c r="S179">
        <f t="shared" si="18"/>
        <v>0.9</v>
      </c>
      <c r="T179">
        <f t="shared" si="19"/>
        <v>4.0999999999999996</v>
      </c>
      <c r="U179">
        <f t="shared" si="22"/>
        <v>197.4</v>
      </c>
      <c r="W179">
        <v>184.1</v>
      </c>
      <c r="X179">
        <f t="shared" si="23"/>
        <v>11948.200000000003</v>
      </c>
      <c r="Y179">
        <v>8.9022479374601531</v>
      </c>
    </row>
    <row r="180" spans="1:25" x14ac:dyDescent="0.35">
      <c r="A180">
        <v>2920</v>
      </c>
      <c r="B180">
        <v>23610</v>
      </c>
      <c r="C180" s="1">
        <v>43125</v>
      </c>
      <c r="D180" s="1"/>
      <c r="F180" s="49"/>
      <c r="G180">
        <v>7.8</v>
      </c>
      <c r="H180">
        <v>7.2</v>
      </c>
      <c r="I180">
        <v>9.5</v>
      </c>
      <c r="J180">
        <f t="shared" si="20"/>
        <v>1370.1999999999994</v>
      </c>
      <c r="K180">
        <f t="shared" si="21"/>
        <v>429.90000000000003</v>
      </c>
      <c r="M180">
        <v>0.1</v>
      </c>
      <c r="N180">
        <v>0.5</v>
      </c>
      <c r="O180">
        <f t="shared" si="17"/>
        <v>-0.4</v>
      </c>
      <c r="Q180">
        <v>137</v>
      </c>
      <c r="R180">
        <v>1</v>
      </c>
      <c r="S180">
        <f t="shared" si="18"/>
        <v>0.5</v>
      </c>
      <c r="T180">
        <f t="shared" si="19"/>
        <v>-0.4</v>
      </c>
      <c r="U180">
        <f t="shared" si="22"/>
        <v>197</v>
      </c>
      <c r="W180">
        <v>128.80000000000001</v>
      </c>
      <c r="X180">
        <f t="shared" si="23"/>
        <v>12077.000000000002</v>
      </c>
      <c r="Y180">
        <v>8.9435102301791058</v>
      </c>
    </row>
    <row r="181" spans="1:25" x14ac:dyDescent="0.35">
      <c r="A181">
        <v>2920</v>
      </c>
      <c r="B181">
        <v>23610</v>
      </c>
      <c r="C181" s="1">
        <v>43126</v>
      </c>
      <c r="D181" s="1"/>
      <c r="E181" t="s">
        <v>37</v>
      </c>
      <c r="F181" s="49"/>
      <c r="G181">
        <v>6.1</v>
      </c>
      <c r="H181">
        <v>3.8</v>
      </c>
      <c r="I181">
        <v>9.1999999999999993</v>
      </c>
      <c r="J181">
        <f t="shared" si="20"/>
        <v>1376.2999999999993</v>
      </c>
      <c r="K181">
        <f t="shared" si="21"/>
        <v>436.00000000000006</v>
      </c>
      <c r="M181">
        <v>0.6</v>
      </c>
      <c r="N181">
        <v>0.6</v>
      </c>
      <c r="O181">
        <f t="shared" si="17"/>
        <v>0</v>
      </c>
      <c r="Q181">
        <v>138</v>
      </c>
      <c r="R181">
        <v>1</v>
      </c>
      <c r="S181">
        <f t="shared" si="18"/>
        <v>0.6</v>
      </c>
      <c r="T181">
        <f t="shared" si="19"/>
        <v>0</v>
      </c>
      <c r="U181">
        <f t="shared" si="22"/>
        <v>197</v>
      </c>
      <c r="W181">
        <v>330.9</v>
      </c>
      <c r="X181">
        <f t="shared" si="23"/>
        <v>12407.900000000001</v>
      </c>
      <c r="Y181">
        <v>8.9855928529521272</v>
      </c>
    </row>
    <row r="182" spans="1:25" x14ac:dyDescent="0.35">
      <c r="A182">
        <v>2920</v>
      </c>
      <c r="B182">
        <v>23610</v>
      </c>
      <c r="C182" s="1">
        <v>43127</v>
      </c>
      <c r="D182" s="1"/>
      <c r="F182" s="49"/>
      <c r="G182">
        <v>6.7</v>
      </c>
      <c r="H182">
        <v>2.2999999999999998</v>
      </c>
      <c r="I182">
        <v>10.3</v>
      </c>
      <c r="J182">
        <f t="shared" si="20"/>
        <v>1382.9999999999993</v>
      </c>
      <c r="K182">
        <f t="shared" si="21"/>
        <v>442.70000000000005</v>
      </c>
      <c r="M182">
        <v>0.3</v>
      </c>
      <c r="N182">
        <v>0.5</v>
      </c>
      <c r="O182">
        <f t="shared" si="17"/>
        <v>-0.2</v>
      </c>
      <c r="Q182">
        <v>139</v>
      </c>
      <c r="R182">
        <v>1</v>
      </c>
      <c r="S182">
        <f t="shared" si="18"/>
        <v>0.5</v>
      </c>
      <c r="T182">
        <f t="shared" si="19"/>
        <v>-0.2</v>
      </c>
      <c r="U182">
        <f t="shared" si="22"/>
        <v>196.8</v>
      </c>
      <c r="W182">
        <v>197.4</v>
      </c>
      <c r="X182">
        <f t="shared" si="23"/>
        <v>12605.300000000001</v>
      </c>
      <c r="Y182">
        <v>9.0284722224827778</v>
      </c>
    </row>
    <row r="183" spans="1:25" x14ac:dyDescent="0.35">
      <c r="A183">
        <v>2920</v>
      </c>
      <c r="B183">
        <v>23610</v>
      </c>
      <c r="C183" s="1">
        <v>43128</v>
      </c>
      <c r="D183" s="1"/>
      <c r="F183" s="49"/>
      <c r="G183">
        <v>10.7</v>
      </c>
      <c r="H183">
        <v>8.3000000000000007</v>
      </c>
      <c r="I183">
        <v>12</v>
      </c>
      <c r="J183">
        <f t="shared" si="20"/>
        <v>1393.6999999999994</v>
      </c>
      <c r="K183">
        <f t="shared" si="21"/>
        <v>453.40000000000003</v>
      </c>
      <c r="M183">
        <v>0.6</v>
      </c>
      <c r="N183">
        <v>0.2</v>
      </c>
      <c r="O183">
        <f t="shared" si="17"/>
        <v>0.39999999999999997</v>
      </c>
      <c r="Q183">
        <v>140</v>
      </c>
      <c r="R183">
        <v>1</v>
      </c>
      <c r="S183">
        <f t="shared" si="18"/>
        <v>0.2</v>
      </c>
      <c r="T183">
        <f t="shared" si="19"/>
        <v>0.39999999999999997</v>
      </c>
      <c r="U183">
        <f t="shared" si="22"/>
        <v>197.20000000000002</v>
      </c>
      <c r="W183">
        <v>111.8</v>
      </c>
      <c r="X183">
        <f t="shared" si="23"/>
        <v>12717.1</v>
      </c>
      <c r="Y183">
        <v>9.0721249161141788</v>
      </c>
    </row>
    <row r="184" spans="1:25" x14ac:dyDescent="0.35">
      <c r="A184">
        <v>2920</v>
      </c>
      <c r="B184">
        <v>23610</v>
      </c>
      <c r="C184" s="1">
        <v>43129</v>
      </c>
      <c r="D184" s="1"/>
      <c r="F184" s="49"/>
      <c r="G184">
        <v>10.1</v>
      </c>
      <c r="H184">
        <v>9.3000000000000007</v>
      </c>
      <c r="I184">
        <v>11.4</v>
      </c>
      <c r="J184">
        <f t="shared" si="20"/>
        <v>1403.7999999999993</v>
      </c>
      <c r="K184">
        <f t="shared" si="21"/>
        <v>463.50000000000006</v>
      </c>
      <c r="M184">
        <v>0.6</v>
      </c>
      <c r="N184">
        <v>0.5</v>
      </c>
      <c r="O184">
        <f t="shared" si="17"/>
        <v>9.9999999999999978E-2</v>
      </c>
      <c r="Q184">
        <v>141</v>
      </c>
      <c r="R184">
        <v>1</v>
      </c>
      <c r="S184">
        <f t="shared" si="18"/>
        <v>0.5</v>
      </c>
      <c r="T184">
        <f t="shared" si="19"/>
        <v>9.9999999999999978E-2</v>
      </c>
      <c r="U184">
        <f t="shared" si="22"/>
        <v>197.3</v>
      </c>
      <c r="W184">
        <v>150.69999999999999</v>
      </c>
      <c r="X184">
        <f t="shared" si="23"/>
        <v>12867.800000000001</v>
      </c>
      <c r="Y184">
        <v>9.1165277026025908</v>
      </c>
    </row>
    <row r="185" spans="1:25" x14ac:dyDescent="0.35">
      <c r="A185">
        <v>2920</v>
      </c>
      <c r="B185">
        <v>23610</v>
      </c>
      <c r="C185" s="1">
        <v>43130</v>
      </c>
      <c r="D185" s="1"/>
      <c r="F185" s="49"/>
      <c r="G185">
        <v>9.6999999999999993</v>
      </c>
      <c r="H185">
        <v>9.1</v>
      </c>
      <c r="I185">
        <v>10.4</v>
      </c>
      <c r="J185">
        <f t="shared" si="20"/>
        <v>1413.4999999999993</v>
      </c>
      <c r="K185">
        <f t="shared" si="21"/>
        <v>473.20000000000005</v>
      </c>
      <c r="M185">
        <v>0.7</v>
      </c>
      <c r="N185">
        <v>0.3</v>
      </c>
      <c r="O185">
        <f t="shared" si="17"/>
        <v>0.39999999999999997</v>
      </c>
      <c r="Q185">
        <v>142</v>
      </c>
      <c r="R185">
        <v>1</v>
      </c>
      <c r="S185">
        <f t="shared" si="18"/>
        <v>0.3</v>
      </c>
      <c r="T185">
        <f t="shared" si="19"/>
        <v>0.39999999999999997</v>
      </c>
      <c r="U185">
        <f t="shared" si="22"/>
        <v>197.4</v>
      </c>
      <c r="W185">
        <v>184.7</v>
      </c>
      <c r="X185">
        <f t="shared" si="23"/>
        <v>13052.500000000002</v>
      </c>
      <c r="Y185">
        <v>9.1616575707710179</v>
      </c>
    </row>
    <row r="186" spans="1:25" x14ac:dyDescent="0.35">
      <c r="A186">
        <v>2920</v>
      </c>
      <c r="B186">
        <v>23610</v>
      </c>
      <c r="C186" s="1">
        <v>43131</v>
      </c>
      <c r="D186" s="1"/>
      <c r="F186" s="49"/>
      <c r="G186">
        <v>8.5</v>
      </c>
      <c r="H186">
        <v>7.5</v>
      </c>
      <c r="I186">
        <v>11</v>
      </c>
      <c r="J186">
        <f t="shared" si="20"/>
        <v>1421.9999999999993</v>
      </c>
      <c r="K186">
        <f t="shared" si="21"/>
        <v>481.70000000000005</v>
      </c>
      <c r="M186">
        <v>8</v>
      </c>
      <c r="N186">
        <v>0.7</v>
      </c>
      <c r="O186">
        <f t="shared" si="17"/>
        <v>7.3</v>
      </c>
      <c r="Q186">
        <v>143</v>
      </c>
      <c r="R186">
        <v>1</v>
      </c>
      <c r="S186">
        <f t="shared" si="18"/>
        <v>0.7</v>
      </c>
      <c r="T186">
        <f t="shared" si="19"/>
        <v>7.3</v>
      </c>
      <c r="U186">
        <f t="shared" si="22"/>
        <v>197.4</v>
      </c>
      <c r="W186">
        <v>118.2</v>
      </c>
      <c r="X186">
        <f t="shared" si="23"/>
        <v>13170.700000000003</v>
      </c>
      <c r="Y186">
        <v>9.2074917560499596</v>
      </c>
    </row>
    <row r="187" spans="1:25" x14ac:dyDescent="0.35">
      <c r="A187">
        <v>2920</v>
      </c>
      <c r="B187">
        <v>23610</v>
      </c>
      <c r="C187" s="1">
        <v>43132</v>
      </c>
      <c r="D187" s="1"/>
      <c r="F187" s="49"/>
      <c r="G187">
        <v>4.5</v>
      </c>
      <c r="H187">
        <v>3.9</v>
      </c>
      <c r="I187">
        <v>6.2</v>
      </c>
      <c r="J187">
        <f t="shared" si="20"/>
        <v>1426.4999999999993</v>
      </c>
      <c r="K187">
        <f t="shared" si="21"/>
        <v>486.20000000000005</v>
      </c>
      <c r="M187">
        <v>6</v>
      </c>
      <c r="N187">
        <v>0.6</v>
      </c>
      <c r="O187">
        <f t="shared" si="17"/>
        <v>5.4</v>
      </c>
      <c r="Q187">
        <v>144</v>
      </c>
      <c r="R187">
        <v>1</v>
      </c>
      <c r="S187">
        <f t="shared" si="18"/>
        <v>0.6</v>
      </c>
      <c r="T187">
        <f t="shared" si="19"/>
        <v>5.4</v>
      </c>
      <c r="U187">
        <f t="shared" si="22"/>
        <v>197.4</v>
      </c>
      <c r="W187">
        <v>277.10000000000002</v>
      </c>
      <c r="X187">
        <f t="shared" si="23"/>
        <v>13447.800000000003</v>
      </c>
      <c r="Y187">
        <v>9.25400776492266</v>
      </c>
    </row>
    <row r="188" spans="1:25" x14ac:dyDescent="0.35">
      <c r="A188">
        <v>2920</v>
      </c>
      <c r="B188">
        <v>23610</v>
      </c>
      <c r="C188" s="1">
        <v>43133</v>
      </c>
      <c r="D188" s="1"/>
      <c r="F188" s="49"/>
      <c r="G188">
        <v>4.5</v>
      </c>
      <c r="H188">
        <v>2.2000000000000002</v>
      </c>
      <c r="I188">
        <v>8.1999999999999993</v>
      </c>
      <c r="J188">
        <f t="shared" si="20"/>
        <v>1430.9999999999993</v>
      </c>
      <c r="K188">
        <f t="shared" si="21"/>
        <v>490.70000000000005</v>
      </c>
      <c r="M188">
        <v>2.6</v>
      </c>
      <c r="N188">
        <v>0.8</v>
      </c>
      <c r="O188">
        <f t="shared" si="17"/>
        <v>1.8</v>
      </c>
      <c r="Q188">
        <v>145</v>
      </c>
      <c r="R188">
        <v>1</v>
      </c>
      <c r="S188">
        <f t="shared" si="18"/>
        <v>0.8</v>
      </c>
      <c r="T188">
        <f t="shared" si="19"/>
        <v>1.8</v>
      </c>
      <c r="U188">
        <f t="shared" si="22"/>
        <v>197.4</v>
      </c>
      <c r="W188">
        <v>702.4</v>
      </c>
      <c r="X188">
        <f t="shared" si="23"/>
        <v>14150.200000000003</v>
      </c>
      <c r="Y188">
        <v>9.3011833973012479</v>
      </c>
    </row>
    <row r="189" spans="1:25" x14ac:dyDescent="0.35">
      <c r="A189">
        <v>2920</v>
      </c>
      <c r="B189">
        <v>23610</v>
      </c>
      <c r="C189" s="1">
        <v>43134</v>
      </c>
      <c r="D189" s="1"/>
      <c r="F189" s="49"/>
      <c r="G189">
        <v>5.0999999999999996</v>
      </c>
      <c r="H189">
        <v>3.6</v>
      </c>
      <c r="I189">
        <v>6.1</v>
      </c>
      <c r="J189">
        <f t="shared" si="20"/>
        <v>1436.0999999999992</v>
      </c>
      <c r="K189">
        <f t="shared" si="21"/>
        <v>495.80000000000007</v>
      </c>
      <c r="M189">
        <v>6.2</v>
      </c>
      <c r="N189">
        <v>0.2</v>
      </c>
      <c r="O189">
        <f t="shared" si="17"/>
        <v>6</v>
      </c>
      <c r="Q189">
        <v>146</v>
      </c>
      <c r="R189">
        <v>1</v>
      </c>
      <c r="S189">
        <f t="shared" si="18"/>
        <v>0.2</v>
      </c>
      <c r="T189">
        <f t="shared" si="19"/>
        <v>6</v>
      </c>
      <c r="U189">
        <f t="shared" si="22"/>
        <v>197.4</v>
      </c>
      <c r="W189">
        <v>126</v>
      </c>
      <c r="X189">
        <f t="shared" si="23"/>
        <v>14276.200000000003</v>
      </c>
      <c r="Y189">
        <v>9.3489967668683942</v>
      </c>
    </row>
    <row r="190" spans="1:25" x14ac:dyDescent="0.35">
      <c r="A190">
        <v>2920</v>
      </c>
      <c r="B190">
        <v>23610</v>
      </c>
      <c r="C190" s="1">
        <v>43135</v>
      </c>
      <c r="D190" s="1"/>
      <c r="F190" s="49"/>
      <c r="G190">
        <v>3.9</v>
      </c>
      <c r="H190">
        <v>3.1</v>
      </c>
      <c r="I190">
        <v>5.3</v>
      </c>
      <c r="J190">
        <f t="shared" si="20"/>
        <v>1439.9999999999993</v>
      </c>
      <c r="K190">
        <f t="shared" si="21"/>
        <v>499.70000000000005</v>
      </c>
      <c r="M190">
        <v>0</v>
      </c>
      <c r="N190">
        <v>1.1000000000000001</v>
      </c>
      <c r="O190">
        <f t="shared" si="17"/>
        <v>-1.1000000000000001</v>
      </c>
      <c r="Q190">
        <v>147</v>
      </c>
      <c r="R190">
        <v>1</v>
      </c>
      <c r="S190">
        <f t="shared" si="18"/>
        <v>1.1000000000000001</v>
      </c>
      <c r="T190">
        <f t="shared" si="19"/>
        <v>-1.1000000000000001</v>
      </c>
      <c r="U190">
        <f t="shared" si="22"/>
        <v>196.3</v>
      </c>
      <c r="W190">
        <v>443</v>
      </c>
      <c r="X190">
        <f t="shared" si="23"/>
        <v>14719.200000000003</v>
      </c>
      <c r="Y190">
        <v>9.3974263194262733</v>
      </c>
    </row>
    <row r="191" spans="1:25" x14ac:dyDescent="0.35">
      <c r="A191">
        <v>2920</v>
      </c>
      <c r="B191">
        <v>23610</v>
      </c>
      <c r="C191" s="1">
        <v>43136</v>
      </c>
      <c r="D191" s="1"/>
      <c r="F191" s="49"/>
      <c r="G191">
        <v>0.3</v>
      </c>
      <c r="H191">
        <v>-1.8</v>
      </c>
      <c r="I191">
        <v>3.4</v>
      </c>
      <c r="J191">
        <f t="shared" si="20"/>
        <v>1440.2999999999993</v>
      </c>
      <c r="K191">
        <f t="shared" si="21"/>
        <v>500.00000000000006</v>
      </c>
      <c r="M191">
        <v>0</v>
      </c>
      <c r="N191">
        <v>1</v>
      </c>
      <c r="O191">
        <f t="shared" si="17"/>
        <v>-1</v>
      </c>
      <c r="Q191">
        <v>148</v>
      </c>
      <c r="R191">
        <v>1</v>
      </c>
      <c r="S191">
        <f t="shared" si="18"/>
        <v>1</v>
      </c>
      <c r="T191">
        <f t="shared" si="19"/>
        <v>-1</v>
      </c>
      <c r="U191">
        <f t="shared" si="22"/>
        <v>195.3</v>
      </c>
      <c r="W191">
        <v>879.8</v>
      </c>
      <c r="X191">
        <f t="shared" si="23"/>
        <v>15599.000000000002</v>
      </c>
      <c r="Y191">
        <v>9.4464508493008772</v>
      </c>
    </row>
    <row r="192" spans="1:25" x14ac:dyDescent="0.35">
      <c r="A192">
        <v>2920</v>
      </c>
      <c r="B192">
        <v>23610</v>
      </c>
      <c r="C192" s="1">
        <v>43137</v>
      </c>
      <c r="D192" s="1"/>
      <c r="F192" s="49"/>
      <c r="G192">
        <v>1.4</v>
      </c>
      <c r="H192">
        <v>-0.8</v>
      </c>
      <c r="I192">
        <v>3.1</v>
      </c>
      <c r="J192">
        <f t="shared" si="20"/>
        <v>1441.6999999999994</v>
      </c>
      <c r="K192">
        <f t="shared" si="21"/>
        <v>501.40000000000003</v>
      </c>
      <c r="M192">
        <v>0.1</v>
      </c>
      <c r="N192">
        <v>0.6</v>
      </c>
      <c r="O192">
        <f t="shared" si="17"/>
        <v>-0.5</v>
      </c>
      <c r="Q192">
        <v>149</v>
      </c>
      <c r="R192">
        <v>1</v>
      </c>
      <c r="S192">
        <f t="shared" si="18"/>
        <v>0.6</v>
      </c>
      <c r="T192">
        <f t="shared" si="19"/>
        <v>-0.5</v>
      </c>
      <c r="U192">
        <f t="shared" si="22"/>
        <v>194.8</v>
      </c>
      <c r="W192">
        <v>174.9</v>
      </c>
      <c r="X192">
        <f t="shared" si="23"/>
        <v>15773.900000000001</v>
      </c>
      <c r="Y192">
        <v>9.4960495138551924</v>
      </c>
    </row>
    <row r="193" spans="1:25" x14ac:dyDescent="0.35">
      <c r="A193">
        <v>2920</v>
      </c>
      <c r="B193">
        <v>23610</v>
      </c>
      <c r="C193" s="1">
        <v>43138</v>
      </c>
      <c r="D193" s="1"/>
      <c r="F193" s="49"/>
      <c r="G193">
        <v>2.2000000000000002</v>
      </c>
      <c r="H193">
        <v>-1.1000000000000001</v>
      </c>
      <c r="I193">
        <v>4.5</v>
      </c>
      <c r="J193">
        <f t="shared" si="20"/>
        <v>1443.8999999999994</v>
      </c>
      <c r="K193">
        <f t="shared" si="21"/>
        <v>503.6</v>
      </c>
      <c r="M193">
        <v>0.2</v>
      </c>
      <c r="N193">
        <v>0.7</v>
      </c>
      <c r="O193">
        <f t="shared" si="17"/>
        <v>-0.49999999999999994</v>
      </c>
      <c r="Q193">
        <v>150</v>
      </c>
      <c r="R193">
        <v>1</v>
      </c>
      <c r="S193">
        <f t="shared" si="18"/>
        <v>0.7</v>
      </c>
      <c r="T193">
        <f t="shared" si="19"/>
        <v>-0.49999999999999994</v>
      </c>
      <c r="U193">
        <f t="shared" si="22"/>
        <v>194.3</v>
      </c>
      <c r="W193">
        <v>317.89999999999998</v>
      </c>
      <c r="X193">
        <f t="shared" si="23"/>
        <v>16091.800000000001</v>
      </c>
      <c r="Y193">
        <v>9.5462018461692093</v>
      </c>
    </row>
    <row r="194" spans="1:25" x14ac:dyDescent="0.35">
      <c r="A194">
        <v>2920</v>
      </c>
      <c r="B194">
        <v>23610</v>
      </c>
      <c r="C194" s="1">
        <v>43139</v>
      </c>
      <c r="D194" s="1"/>
      <c r="F194" s="49"/>
      <c r="G194">
        <v>2.5</v>
      </c>
      <c r="H194">
        <v>-1.6</v>
      </c>
      <c r="I194">
        <v>6.4</v>
      </c>
      <c r="J194">
        <f t="shared" si="20"/>
        <v>1446.3999999999994</v>
      </c>
      <c r="K194">
        <f t="shared" si="21"/>
        <v>506.1</v>
      </c>
      <c r="M194">
        <v>2.5</v>
      </c>
      <c r="N194">
        <v>1.1000000000000001</v>
      </c>
      <c r="O194">
        <f t="shared" si="17"/>
        <v>1.4</v>
      </c>
      <c r="Q194">
        <v>151</v>
      </c>
      <c r="R194">
        <v>1</v>
      </c>
      <c r="S194">
        <f t="shared" si="18"/>
        <v>1.1000000000000001</v>
      </c>
      <c r="T194">
        <f t="shared" si="19"/>
        <v>1.4</v>
      </c>
      <c r="U194">
        <f t="shared" si="22"/>
        <v>195.70000000000002</v>
      </c>
      <c r="W194">
        <v>947.1</v>
      </c>
      <c r="X194">
        <f t="shared" si="23"/>
        <v>17038.900000000001</v>
      </c>
      <c r="Y194">
        <v>9.596887765948523</v>
      </c>
    </row>
    <row r="195" spans="1:25" x14ac:dyDescent="0.35">
      <c r="A195">
        <v>2920</v>
      </c>
      <c r="B195">
        <v>23610</v>
      </c>
      <c r="C195" s="1">
        <v>43140</v>
      </c>
      <c r="D195" s="1"/>
      <c r="F195" s="49"/>
      <c r="G195">
        <v>4.2</v>
      </c>
      <c r="H195">
        <v>1.7</v>
      </c>
      <c r="I195">
        <v>7.4</v>
      </c>
      <c r="J195">
        <f t="shared" si="20"/>
        <v>1450.5999999999995</v>
      </c>
      <c r="K195">
        <f t="shared" si="21"/>
        <v>510.3</v>
      </c>
      <c r="M195">
        <v>2.4</v>
      </c>
      <c r="N195">
        <v>1.2</v>
      </c>
      <c r="O195">
        <f t="shared" si="17"/>
        <v>1.2</v>
      </c>
      <c r="Q195">
        <v>152</v>
      </c>
      <c r="R195">
        <v>1</v>
      </c>
      <c r="S195">
        <f t="shared" si="18"/>
        <v>1.2</v>
      </c>
      <c r="T195">
        <f t="shared" si="19"/>
        <v>1.2</v>
      </c>
      <c r="U195">
        <f t="shared" si="22"/>
        <v>196.9</v>
      </c>
      <c r="W195">
        <v>689.1</v>
      </c>
      <c r="X195">
        <f t="shared" si="23"/>
        <v>17728</v>
      </c>
      <c r="Y195">
        <v>9.6480875887263213</v>
      </c>
    </row>
    <row r="196" spans="1:25" x14ac:dyDescent="0.35">
      <c r="A196">
        <v>2920</v>
      </c>
      <c r="B196">
        <v>23610</v>
      </c>
      <c r="C196" s="1">
        <v>43141</v>
      </c>
      <c r="D196" s="1"/>
      <c r="F196" s="49"/>
      <c r="G196">
        <v>5.4</v>
      </c>
      <c r="H196">
        <v>0.8</v>
      </c>
      <c r="I196">
        <v>10.199999999999999</v>
      </c>
      <c r="J196">
        <f t="shared" si="20"/>
        <v>1455.9999999999995</v>
      </c>
      <c r="K196">
        <f t="shared" si="21"/>
        <v>515.70000000000005</v>
      </c>
      <c r="M196">
        <v>2.4</v>
      </c>
      <c r="N196">
        <v>0.8</v>
      </c>
      <c r="O196">
        <f t="shared" si="17"/>
        <v>1.5999999999999999</v>
      </c>
      <c r="Q196">
        <v>153</v>
      </c>
      <c r="R196">
        <v>1</v>
      </c>
      <c r="S196">
        <f t="shared" si="18"/>
        <v>0.8</v>
      </c>
      <c r="T196">
        <f t="shared" si="19"/>
        <v>1.5999999999999999</v>
      </c>
      <c r="U196">
        <f t="shared" si="22"/>
        <v>197.4</v>
      </c>
      <c r="W196">
        <v>481.9</v>
      </c>
      <c r="X196">
        <f t="shared" si="23"/>
        <v>18209.900000000001</v>
      </c>
      <c r="Y196">
        <v>9.6997820334257749</v>
      </c>
    </row>
    <row r="197" spans="1:25" x14ac:dyDescent="0.35">
      <c r="A197">
        <v>2920</v>
      </c>
      <c r="B197">
        <v>23610</v>
      </c>
      <c r="C197" s="1">
        <v>43142</v>
      </c>
      <c r="D197" s="1"/>
      <c r="F197" s="49"/>
      <c r="G197">
        <v>6.2</v>
      </c>
      <c r="H197">
        <v>4.2</v>
      </c>
      <c r="I197">
        <v>8.5</v>
      </c>
      <c r="J197">
        <f t="shared" si="20"/>
        <v>1462.1999999999996</v>
      </c>
      <c r="K197">
        <f t="shared" si="21"/>
        <v>521.90000000000009</v>
      </c>
      <c r="M197">
        <v>0.6</v>
      </c>
      <c r="N197">
        <v>0.9</v>
      </c>
      <c r="O197">
        <f t="shared" ref="O197:O260" si="24">M197-N197</f>
        <v>-0.30000000000000004</v>
      </c>
      <c r="Q197">
        <v>154</v>
      </c>
      <c r="R197">
        <v>1</v>
      </c>
      <c r="S197">
        <f t="shared" ref="S197:S260" si="25">R197*N197</f>
        <v>0.9</v>
      </c>
      <c r="T197">
        <f t="shared" ref="T197:T260" si="26">M197-S197</f>
        <v>-0.30000000000000004</v>
      </c>
      <c r="U197">
        <f t="shared" si="22"/>
        <v>197.1</v>
      </c>
      <c r="W197">
        <v>751.8</v>
      </c>
      <c r="X197">
        <f t="shared" si="23"/>
        <v>18961.7</v>
      </c>
      <c r="Y197">
        <v>9.7519522283515983</v>
      </c>
    </row>
    <row r="198" spans="1:25" x14ac:dyDescent="0.35">
      <c r="A198">
        <v>2920</v>
      </c>
      <c r="B198">
        <v>23610</v>
      </c>
      <c r="C198" s="1">
        <v>43143</v>
      </c>
      <c r="D198" s="1"/>
      <c r="F198" s="49"/>
      <c r="G198">
        <v>2.9</v>
      </c>
      <c r="H198">
        <v>-0.7</v>
      </c>
      <c r="I198">
        <v>7.2</v>
      </c>
      <c r="J198">
        <f t="shared" si="20"/>
        <v>1465.0999999999997</v>
      </c>
      <c r="K198">
        <f t="shared" si="21"/>
        <v>524.80000000000007</v>
      </c>
      <c r="M198">
        <v>0.6</v>
      </c>
      <c r="N198">
        <v>1.2</v>
      </c>
      <c r="O198">
        <f t="shared" si="24"/>
        <v>-0.6</v>
      </c>
      <c r="Q198">
        <v>155</v>
      </c>
      <c r="R198">
        <v>1</v>
      </c>
      <c r="S198">
        <f t="shared" si="25"/>
        <v>1.2</v>
      </c>
      <c r="T198">
        <f t="shared" si="26"/>
        <v>-0.6</v>
      </c>
      <c r="U198">
        <f t="shared" si="22"/>
        <v>196.5</v>
      </c>
      <c r="W198">
        <v>1114.8</v>
      </c>
      <c r="X198">
        <f t="shared" si="23"/>
        <v>20076.5</v>
      </c>
      <c r="Y198">
        <v>9.8045797156805676</v>
      </c>
    </row>
    <row r="199" spans="1:25" x14ac:dyDescent="0.35">
      <c r="A199">
        <v>2920</v>
      </c>
      <c r="B199">
        <v>23610</v>
      </c>
      <c r="C199" s="1">
        <v>43144</v>
      </c>
      <c r="D199" s="1"/>
      <c r="F199" s="49"/>
      <c r="G199">
        <v>3.5</v>
      </c>
      <c r="H199">
        <v>1</v>
      </c>
      <c r="I199">
        <v>5.5</v>
      </c>
      <c r="J199">
        <f t="shared" si="20"/>
        <v>1468.5999999999997</v>
      </c>
      <c r="K199">
        <f t="shared" si="21"/>
        <v>528.30000000000007</v>
      </c>
      <c r="M199">
        <v>7.4</v>
      </c>
      <c r="N199">
        <v>0.4</v>
      </c>
      <c r="O199">
        <f t="shared" si="24"/>
        <v>7</v>
      </c>
      <c r="Q199">
        <v>156</v>
      </c>
      <c r="R199">
        <v>1</v>
      </c>
      <c r="S199">
        <f t="shared" si="25"/>
        <v>0.4</v>
      </c>
      <c r="T199">
        <f t="shared" si="26"/>
        <v>7</v>
      </c>
      <c r="U199">
        <f t="shared" si="22"/>
        <v>197.4</v>
      </c>
      <c r="W199">
        <v>212.5</v>
      </c>
      <c r="X199">
        <f t="shared" si="23"/>
        <v>20289</v>
      </c>
      <c r="Y199">
        <v>9.8576464545214026</v>
      </c>
    </row>
    <row r="200" spans="1:25" x14ac:dyDescent="0.35">
      <c r="A200">
        <v>2920</v>
      </c>
      <c r="B200">
        <v>23610</v>
      </c>
      <c r="C200" s="1">
        <v>43145</v>
      </c>
      <c r="D200" s="1"/>
      <c r="F200" s="49"/>
      <c r="G200">
        <v>5.3</v>
      </c>
      <c r="H200">
        <v>1.2</v>
      </c>
      <c r="I200">
        <v>11.7</v>
      </c>
      <c r="J200">
        <f t="shared" si="20"/>
        <v>1473.8999999999996</v>
      </c>
      <c r="K200">
        <f t="shared" si="21"/>
        <v>533.6</v>
      </c>
      <c r="M200">
        <v>7.2</v>
      </c>
      <c r="N200">
        <v>0.9</v>
      </c>
      <c r="O200">
        <f t="shared" si="24"/>
        <v>6.3</v>
      </c>
      <c r="Q200">
        <v>157</v>
      </c>
      <c r="R200">
        <v>1</v>
      </c>
      <c r="S200">
        <f t="shared" si="25"/>
        <v>0.9</v>
      </c>
      <c r="T200">
        <f t="shared" si="26"/>
        <v>6.3</v>
      </c>
      <c r="U200">
        <f t="shared" si="22"/>
        <v>197.4</v>
      </c>
      <c r="W200">
        <v>346</v>
      </c>
      <c r="X200">
        <f t="shared" si="23"/>
        <v>20635</v>
      </c>
      <c r="Y200">
        <v>9.9111348226143665</v>
      </c>
    </row>
    <row r="201" spans="1:25" x14ac:dyDescent="0.35">
      <c r="A201">
        <v>2920</v>
      </c>
      <c r="B201">
        <v>23610</v>
      </c>
      <c r="C201" s="1">
        <v>43146</v>
      </c>
      <c r="D201" s="1"/>
      <c r="F201" s="49"/>
      <c r="G201">
        <v>9.4</v>
      </c>
      <c r="H201">
        <v>8.1</v>
      </c>
      <c r="I201">
        <v>11.6</v>
      </c>
      <c r="J201">
        <f t="shared" si="20"/>
        <v>1483.2999999999997</v>
      </c>
      <c r="K201">
        <f t="shared" si="21"/>
        <v>543</v>
      </c>
      <c r="M201">
        <v>2.5</v>
      </c>
      <c r="N201">
        <v>0.3</v>
      </c>
      <c r="O201">
        <f t="shared" si="24"/>
        <v>2.2000000000000002</v>
      </c>
      <c r="Q201">
        <v>158</v>
      </c>
      <c r="R201">
        <v>1</v>
      </c>
      <c r="S201">
        <f t="shared" si="25"/>
        <v>0.3</v>
      </c>
      <c r="T201">
        <f t="shared" si="26"/>
        <v>2.2000000000000002</v>
      </c>
      <c r="U201">
        <f t="shared" si="22"/>
        <v>197.4</v>
      </c>
      <c r="W201">
        <v>146.19999999999999</v>
      </c>
      <c r="X201">
        <f t="shared" si="23"/>
        <v>20781.2</v>
      </c>
      <c r="Y201">
        <v>9.9650276167406915</v>
      </c>
    </row>
    <row r="202" spans="1:25" x14ac:dyDescent="0.35">
      <c r="A202">
        <v>2920</v>
      </c>
      <c r="B202">
        <v>23610</v>
      </c>
      <c r="C202" s="1">
        <v>43147</v>
      </c>
      <c r="D202" s="1"/>
      <c r="F202" s="49"/>
      <c r="G202">
        <v>3.8</v>
      </c>
      <c r="H202">
        <v>-0.3</v>
      </c>
      <c r="I202">
        <v>6</v>
      </c>
      <c r="J202">
        <f t="shared" si="20"/>
        <v>1487.0999999999997</v>
      </c>
      <c r="K202">
        <f t="shared" si="21"/>
        <v>546.79999999999995</v>
      </c>
      <c r="M202">
        <v>2.2000000000000002</v>
      </c>
      <c r="N202">
        <v>0.1</v>
      </c>
      <c r="O202">
        <f t="shared" si="24"/>
        <v>2.1</v>
      </c>
      <c r="Q202">
        <v>159</v>
      </c>
      <c r="R202">
        <v>1</v>
      </c>
      <c r="S202">
        <f t="shared" si="25"/>
        <v>0.1</v>
      </c>
      <c r="T202">
        <f t="shared" si="26"/>
        <v>2.1</v>
      </c>
      <c r="U202">
        <f t="shared" si="22"/>
        <v>197.4</v>
      </c>
      <c r="W202">
        <v>339.8</v>
      </c>
      <c r="X202">
        <f t="shared" si="23"/>
        <v>21121</v>
      </c>
      <c r="Y202">
        <v>10.01930805191112</v>
      </c>
    </row>
    <row r="203" spans="1:25" x14ac:dyDescent="0.35">
      <c r="A203">
        <v>2920</v>
      </c>
      <c r="B203">
        <v>23610</v>
      </c>
      <c r="C203" s="1">
        <v>43148</v>
      </c>
      <c r="D203" s="1"/>
      <c r="F203" s="49"/>
      <c r="G203">
        <v>6.8</v>
      </c>
      <c r="H203">
        <v>4.4000000000000004</v>
      </c>
      <c r="I203">
        <v>9.3000000000000007</v>
      </c>
      <c r="J203">
        <f t="shared" si="20"/>
        <v>1493.8999999999996</v>
      </c>
      <c r="K203">
        <f t="shared" si="21"/>
        <v>553.59999999999991</v>
      </c>
      <c r="M203">
        <v>6.7</v>
      </c>
      <c r="N203">
        <v>1.2</v>
      </c>
      <c r="O203">
        <f t="shared" si="24"/>
        <v>5.5</v>
      </c>
      <c r="Q203">
        <v>160</v>
      </c>
      <c r="R203">
        <v>1</v>
      </c>
      <c r="S203">
        <f t="shared" si="25"/>
        <v>1.2</v>
      </c>
      <c r="T203">
        <f t="shared" si="26"/>
        <v>5.5</v>
      </c>
      <c r="U203">
        <f t="shared" si="22"/>
        <v>197.4</v>
      </c>
      <c r="W203">
        <v>954.6</v>
      </c>
      <c r="X203">
        <f t="shared" si="23"/>
        <v>22075.599999999999</v>
      </c>
      <c r="Y203">
        <v>10.073959759401752</v>
      </c>
    </row>
    <row r="204" spans="1:25" x14ac:dyDescent="0.35">
      <c r="A204">
        <v>2920</v>
      </c>
      <c r="B204">
        <v>23610</v>
      </c>
      <c r="C204" s="1">
        <v>43149</v>
      </c>
      <c r="D204" s="1"/>
      <c r="F204" s="49"/>
      <c r="G204">
        <v>7</v>
      </c>
      <c r="H204">
        <v>5.6</v>
      </c>
      <c r="I204">
        <v>7.9</v>
      </c>
      <c r="J204">
        <f t="shared" si="20"/>
        <v>1500.8999999999996</v>
      </c>
      <c r="K204">
        <f t="shared" si="21"/>
        <v>560.59999999999991</v>
      </c>
      <c r="M204">
        <v>3.7</v>
      </c>
      <c r="N204">
        <v>0.3</v>
      </c>
      <c r="O204">
        <f t="shared" si="24"/>
        <v>3.4000000000000004</v>
      </c>
      <c r="Q204">
        <v>161</v>
      </c>
      <c r="R204">
        <v>1</v>
      </c>
      <c r="S204">
        <f t="shared" si="25"/>
        <v>0.3</v>
      </c>
      <c r="T204">
        <f t="shared" si="26"/>
        <v>3.4000000000000004</v>
      </c>
      <c r="U204">
        <f t="shared" si="22"/>
        <v>197.4</v>
      </c>
      <c r="W204">
        <v>185.4</v>
      </c>
      <c r="X204">
        <f t="shared" si="23"/>
        <v>22261</v>
      </c>
      <c r="Y204">
        <v>10.128966783704099</v>
      </c>
    </row>
    <row r="205" spans="1:25" x14ac:dyDescent="0.35">
      <c r="A205">
        <v>2920</v>
      </c>
      <c r="B205">
        <v>23610</v>
      </c>
      <c r="C205" s="1">
        <v>43150</v>
      </c>
      <c r="D205" s="1"/>
      <c r="F205" s="49"/>
      <c r="G205">
        <v>9.1</v>
      </c>
      <c r="H205">
        <v>7.5</v>
      </c>
      <c r="I205">
        <v>10.4</v>
      </c>
      <c r="J205">
        <f t="shared" si="20"/>
        <v>1509.9999999999995</v>
      </c>
      <c r="K205">
        <f t="shared" si="21"/>
        <v>569.69999999999993</v>
      </c>
      <c r="M205">
        <v>1.5</v>
      </c>
      <c r="N205">
        <v>0.4</v>
      </c>
      <c r="O205">
        <f t="shared" si="24"/>
        <v>1.1000000000000001</v>
      </c>
      <c r="Q205">
        <v>162</v>
      </c>
      <c r="R205">
        <v>1</v>
      </c>
      <c r="S205">
        <f t="shared" si="25"/>
        <v>0.4</v>
      </c>
      <c r="T205">
        <f t="shared" si="26"/>
        <v>1.1000000000000001</v>
      </c>
      <c r="U205">
        <f t="shared" si="22"/>
        <v>197.4</v>
      </c>
      <c r="W205">
        <v>162.4</v>
      </c>
      <c r="X205">
        <f t="shared" si="23"/>
        <v>22423.4</v>
      </c>
      <c r="Y205">
        <v>10.184313578454478</v>
      </c>
    </row>
    <row r="206" spans="1:25" x14ac:dyDescent="0.35">
      <c r="A206">
        <v>2920</v>
      </c>
      <c r="B206">
        <v>23610</v>
      </c>
      <c r="C206" s="1">
        <v>43151</v>
      </c>
      <c r="D206" s="1"/>
      <c r="F206" s="49"/>
      <c r="G206">
        <v>8.8000000000000007</v>
      </c>
      <c r="H206">
        <v>8.1</v>
      </c>
      <c r="I206">
        <v>10</v>
      </c>
      <c r="J206">
        <f t="shared" si="20"/>
        <v>1518.7999999999995</v>
      </c>
      <c r="K206">
        <f t="shared" si="21"/>
        <v>578.49999999999989</v>
      </c>
      <c r="M206">
        <v>0.2</v>
      </c>
      <c r="N206">
        <v>0.9</v>
      </c>
      <c r="O206">
        <f t="shared" si="24"/>
        <v>-0.7</v>
      </c>
      <c r="Q206">
        <v>163</v>
      </c>
      <c r="R206">
        <v>1</v>
      </c>
      <c r="S206">
        <f t="shared" si="25"/>
        <v>0.9</v>
      </c>
      <c r="T206">
        <f t="shared" si="26"/>
        <v>-0.7</v>
      </c>
      <c r="U206">
        <f t="shared" si="22"/>
        <v>196.70000000000002</v>
      </c>
      <c r="W206">
        <v>234.5</v>
      </c>
      <c r="X206">
        <f t="shared" si="23"/>
        <v>22657.9</v>
      </c>
      <c r="Y206">
        <v>10.239985001406184</v>
      </c>
    </row>
    <row r="207" spans="1:25" x14ac:dyDescent="0.35">
      <c r="A207">
        <v>2920</v>
      </c>
      <c r="B207">
        <v>23610</v>
      </c>
      <c r="C207" s="1">
        <v>43152</v>
      </c>
      <c r="D207" s="1"/>
      <c r="F207" s="49"/>
      <c r="G207">
        <v>5.2</v>
      </c>
      <c r="H207">
        <v>4.7</v>
      </c>
      <c r="I207">
        <v>7.6</v>
      </c>
      <c r="J207">
        <f t="shared" si="20"/>
        <v>1523.9999999999995</v>
      </c>
      <c r="K207">
        <f t="shared" si="21"/>
        <v>583.69999999999993</v>
      </c>
      <c r="M207">
        <v>0</v>
      </c>
      <c r="N207">
        <v>1.9</v>
      </c>
      <c r="O207">
        <f t="shared" si="24"/>
        <v>-1.9</v>
      </c>
      <c r="Q207">
        <v>164</v>
      </c>
      <c r="R207">
        <v>1</v>
      </c>
      <c r="S207">
        <f t="shared" si="25"/>
        <v>1.9</v>
      </c>
      <c r="T207">
        <f t="shared" si="26"/>
        <v>-1.9</v>
      </c>
      <c r="U207">
        <f t="shared" si="22"/>
        <v>194.8</v>
      </c>
      <c r="W207">
        <v>1210.4000000000001</v>
      </c>
      <c r="X207">
        <f t="shared" si="23"/>
        <v>23868.300000000003</v>
      </c>
      <c r="Y207">
        <v>10.295966308505745</v>
      </c>
    </row>
    <row r="208" spans="1:25" x14ac:dyDescent="0.35">
      <c r="A208">
        <v>2920</v>
      </c>
      <c r="B208">
        <v>23610</v>
      </c>
      <c r="C208" s="1">
        <v>43153</v>
      </c>
      <c r="D208" s="1"/>
      <c r="F208" s="49"/>
      <c r="G208">
        <v>1.8</v>
      </c>
      <c r="H208">
        <v>-1.8</v>
      </c>
      <c r="I208">
        <v>5.5</v>
      </c>
      <c r="J208">
        <f t="shared" si="20"/>
        <v>1525.7999999999995</v>
      </c>
      <c r="K208">
        <f t="shared" si="21"/>
        <v>585.49999999999989</v>
      </c>
      <c r="M208">
        <v>0</v>
      </c>
      <c r="N208">
        <v>1.4</v>
      </c>
      <c r="O208">
        <f t="shared" si="24"/>
        <v>-1.4</v>
      </c>
      <c r="Q208">
        <v>165</v>
      </c>
      <c r="R208">
        <v>1</v>
      </c>
      <c r="S208">
        <f t="shared" si="25"/>
        <v>1.4</v>
      </c>
      <c r="T208">
        <f t="shared" si="26"/>
        <v>-1.4</v>
      </c>
      <c r="U208">
        <f t="shared" si="22"/>
        <v>193.4</v>
      </c>
      <c r="W208">
        <v>1369.1</v>
      </c>
      <c r="X208">
        <f t="shared" si="23"/>
        <v>25237.4</v>
      </c>
      <c r="Y208">
        <v>10.352243147132491</v>
      </c>
    </row>
    <row r="209" spans="1:26" x14ac:dyDescent="0.35">
      <c r="A209">
        <v>2920</v>
      </c>
      <c r="B209">
        <v>23610</v>
      </c>
      <c r="C209" s="1">
        <v>43154</v>
      </c>
      <c r="D209" s="1"/>
      <c r="F209" s="49"/>
      <c r="G209">
        <v>1</v>
      </c>
      <c r="H209">
        <v>-2.2999999999999998</v>
      </c>
      <c r="I209">
        <v>4.2</v>
      </c>
      <c r="J209">
        <f t="shared" si="20"/>
        <v>1526.7999999999995</v>
      </c>
      <c r="K209">
        <f t="shared" si="21"/>
        <v>586.49999999999989</v>
      </c>
      <c r="M209">
        <v>0</v>
      </c>
      <c r="N209">
        <v>1.4</v>
      </c>
      <c r="O209">
        <f t="shared" si="24"/>
        <v>-1.4</v>
      </c>
      <c r="Q209">
        <v>166</v>
      </c>
      <c r="R209">
        <v>1</v>
      </c>
      <c r="S209">
        <f t="shared" si="25"/>
        <v>1.4</v>
      </c>
      <c r="T209">
        <f t="shared" si="26"/>
        <v>-1.4</v>
      </c>
      <c r="U209">
        <f t="shared" si="22"/>
        <v>192</v>
      </c>
      <c r="W209">
        <v>1401.3</v>
      </c>
      <c r="X209">
        <f t="shared" si="23"/>
        <v>26638.7</v>
      </c>
      <c r="Y209">
        <v>10.408801548558333</v>
      </c>
    </row>
    <row r="210" spans="1:26" x14ac:dyDescent="0.35">
      <c r="A210">
        <v>2920</v>
      </c>
      <c r="B210">
        <v>23610</v>
      </c>
      <c r="C210" s="1">
        <v>43155</v>
      </c>
      <c r="D210" s="1"/>
      <c r="F210" s="49"/>
      <c r="G210">
        <v>1.3</v>
      </c>
      <c r="H210">
        <v>-1.9</v>
      </c>
      <c r="I210">
        <v>4.0999999999999996</v>
      </c>
      <c r="J210">
        <f t="shared" si="20"/>
        <v>1528.0999999999995</v>
      </c>
      <c r="K210">
        <f t="shared" si="21"/>
        <v>587.79999999999984</v>
      </c>
      <c r="M210">
        <v>0</v>
      </c>
      <c r="N210">
        <v>1.5</v>
      </c>
      <c r="O210">
        <f t="shared" si="24"/>
        <v>-1.5</v>
      </c>
      <c r="Q210">
        <v>167</v>
      </c>
      <c r="R210">
        <v>1</v>
      </c>
      <c r="S210">
        <f t="shared" si="25"/>
        <v>1.5</v>
      </c>
      <c r="T210">
        <f t="shared" si="26"/>
        <v>-1.5</v>
      </c>
      <c r="U210">
        <f t="shared" si="22"/>
        <v>190.5</v>
      </c>
      <c r="W210">
        <v>1435.4</v>
      </c>
      <c r="X210">
        <f t="shared" si="23"/>
        <v>28074.100000000002</v>
      </c>
      <c r="Y210">
        <v>10.465627919682346</v>
      </c>
    </row>
    <row r="211" spans="1:26" x14ac:dyDescent="0.35">
      <c r="A211">
        <v>2920</v>
      </c>
      <c r="B211">
        <v>23610</v>
      </c>
      <c r="C211" s="1">
        <v>43156</v>
      </c>
      <c r="D211" s="1"/>
      <c r="F211" s="49"/>
      <c r="G211">
        <v>1.5</v>
      </c>
      <c r="H211">
        <v>-0.7</v>
      </c>
      <c r="I211">
        <v>4.3</v>
      </c>
      <c r="J211">
        <f t="shared" si="20"/>
        <v>1529.5999999999995</v>
      </c>
      <c r="K211">
        <f t="shared" si="21"/>
        <v>589.29999999999984</v>
      </c>
      <c r="M211">
        <v>0</v>
      </c>
      <c r="N211">
        <v>1.8</v>
      </c>
      <c r="O211">
        <f t="shared" si="24"/>
        <v>-1.8</v>
      </c>
      <c r="Q211">
        <v>168</v>
      </c>
      <c r="R211">
        <v>1</v>
      </c>
      <c r="S211">
        <f t="shared" si="25"/>
        <v>1.8</v>
      </c>
      <c r="T211">
        <f t="shared" si="26"/>
        <v>-1.8</v>
      </c>
      <c r="U211">
        <f t="shared" si="22"/>
        <v>188.7</v>
      </c>
      <c r="W211">
        <v>1335.1</v>
      </c>
      <c r="X211">
        <f t="shared" si="23"/>
        <v>29409.200000000001</v>
      </c>
      <c r="Y211">
        <v>10.522709034092294</v>
      </c>
    </row>
    <row r="212" spans="1:26" x14ac:dyDescent="0.35">
      <c r="A212">
        <v>2920</v>
      </c>
      <c r="B212">
        <v>23610</v>
      </c>
      <c r="C212" s="1">
        <v>43157</v>
      </c>
      <c r="D212" s="1"/>
      <c r="F212" s="49"/>
      <c r="G212">
        <v>-1.5</v>
      </c>
      <c r="H212">
        <v>-3.2</v>
      </c>
      <c r="I212">
        <v>1.1000000000000001</v>
      </c>
      <c r="J212">
        <v>1529.6</v>
      </c>
      <c r="K212">
        <v>589.29999999999995</v>
      </c>
      <c r="M212">
        <v>0</v>
      </c>
      <c r="N212">
        <v>1.9</v>
      </c>
      <c r="O212">
        <f t="shared" si="24"/>
        <v>-1.9</v>
      </c>
      <c r="Q212">
        <v>169</v>
      </c>
      <c r="R212">
        <v>1</v>
      </c>
      <c r="S212">
        <f t="shared" si="25"/>
        <v>1.9</v>
      </c>
      <c r="T212">
        <f t="shared" si="26"/>
        <v>-1.9</v>
      </c>
      <c r="U212">
        <f t="shared" si="22"/>
        <v>186.79999999999998</v>
      </c>
      <c r="W212">
        <v>1473</v>
      </c>
      <c r="X212">
        <f t="shared" si="23"/>
        <v>30882.2</v>
      </c>
      <c r="Y212">
        <v>10.580032022502831</v>
      </c>
    </row>
    <row r="213" spans="1:26" x14ac:dyDescent="0.35">
      <c r="A213">
        <v>2920</v>
      </c>
      <c r="B213">
        <v>23610</v>
      </c>
      <c r="C213" s="1">
        <v>43158</v>
      </c>
      <c r="D213" s="1"/>
      <c r="F213" s="49"/>
      <c r="G213">
        <v>-2.9</v>
      </c>
      <c r="H213">
        <v>-5.7</v>
      </c>
      <c r="I213">
        <v>0.4</v>
      </c>
      <c r="J213">
        <v>1529.6</v>
      </c>
      <c r="K213">
        <v>589.29999999999995</v>
      </c>
      <c r="M213">
        <v>0</v>
      </c>
      <c r="N213">
        <v>1.6</v>
      </c>
      <c r="O213">
        <f t="shared" si="24"/>
        <v>-1.6</v>
      </c>
      <c r="Q213">
        <v>170</v>
      </c>
      <c r="R213">
        <v>1</v>
      </c>
      <c r="S213">
        <f t="shared" si="25"/>
        <v>1.6</v>
      </c>
      <c r="T213">
        <f t="shared" si="26"/>
        <v>-1.6</v>
      </c>
      <c r="U213">
        <f t="shared" si="22"/>
        <v>185.2</v>
      </c>
      <c r="W213">
        <v>1522</v>
      </c>
      <c r="X213">
        <f t="shared" si="23"/>
        <v>32404.2</v>
      </c>
      <c r="Y213">
        <v>10.637584362617616</v>
      </c>
    </row>
    <row r="214" spans="1:26" x14ac:dyDescent="0.35">
      <c r="A214">
        <v>2920</v>
      </c>
      <c r="B214">
        <v>23610</v>
      </c>
      <c r="C214" s="1">
        <v>43159</v>
      </c>
      <c r="D214" s="1"/>
      <c r="F214" s="49"/>
      <c r="G214">
        <v>-3.7</v>
      </c>
      <c r="H214">
        <v>-6.9</v>
      </c>
      <c r="I214">
        <v>-1.6</v>
      </c>
      <c r="J214">
        <v>1529.6</v>
      </c>
      <c r="K214">
        <v>589.29999999999995</v>
      </c>
      <c r="M214">
        <v>0</v>
      </c>
      <c r="N214">
        <v>1.2</v>
      </c>
      <c r="O214">
        <f t="shared" si="24"/>
        <v>-1.2</v>
      </c>
      <c r="Q214">
        <v>171</v>
      </c>
      <c r="R214">
        <v>1</v>
      </c>
      <c r="S214">
        <f t="shared" si="25"/>
        <v>1.2</v>
      </c>
      <c r="T214">
        <f t="shared" si="26"/>
        <v>-1.2</v>
      </c>
      <c r="U214">
        <f t="shared" si="22"/>
        <v>184</v>
      </c>
      <c r="W214">
        <v>456.6</v>
      </c>
      <c r="X214">
        <f t="shared" si="23"/>
        <v>32860.800000000003</v>
      </c>
      <c r="Y214">
        <v>10.695353868460133</v>
      </c>
    </row>
    <row r="215" spans="1:26" s="4" customFormat="1" ht="15" thickBot="1" x14ac:dyDescent="0.4">
      <c r="A215" s="4">
        <v>2920</v>
      </c>
      <c r="B215" s="4">
        <v>23610</v>
      </c>
      <c r="C215" s="5">
        <v>43160</v>
      </c>
      <c r="D215" s="5" t="s">
        <v>32</v>
      </c>
      <c r="F215" s="50"/>
      <c r="G215" s="4">
        <v>0.4</v>
      </c>
      <c r="H215" s="4">
        <v>-3.6</v>
      </c>
      <c r="I215" s="4">
        <v>6.4</v>
      </c>
      <c r="J215" s="4">
        <f t="shared" si="20"/>
        <v>1530</v>
      </c>
      <c r="K215" s="4">
        <f t="shared" si="21"/>
        <v>589.69999999999993</v>
      </c>
      <c r="M215" s="4">
        <v>9.1</v>
      </c>
      <c r="N215" s="4">
        <v>0.7</v>
      </c>
      <c r="O215" s="4">
        <f t="shared" si="24"/>
        <v>8.4</v>
      </c>
      <c r="Q215" s="4">
        <v>172</v>
      </c>
      <c r="R215" s="4">
        <v>1</v>
      </c>
      <c r="S215" s="4">
        <f t="shared" si="25"/>
        <v>0.7</v>
      </c>
      <c r="T215" s="4">
        <f t="shared" si="26"/>
        <v>8.4</v>
      </c>
      <c r="U215" s="4">
        <f t="shared" si="22"/>
        <v>192.4</v>
      </c>
      <c r="W215" s="4">
        <v>195.5</v>
      </c>
      <c r="X215" s="4">
        <f t="shared" si="23"/>
        <v>33056.300000000003</v>
      </c>
      <c r="Y215" s="4">
        <v>10.753328679215574</v>
      </c>
    </row>
    <row r="216" spans="1:26" x14ac:dyDescent="0.35">
      <c r="A216">
        <v>2920</v>
      </c>
      <c r="B216">
        <v>23610</v>
      </c>
      <c r="C216" s="1">
        <v>43161</v>
      </c>
      <c r="D216" s="1"/>
      <c r="F216" s="51" t="s">
        <v>56</v>
      </c>
      <c r="G216">
        <v>6.1</v>
      </c>
      <c r="H216">
        <v>3.7</v>
      </c>
      <c r="I216">
        <v>7.8</v>
      </c>
      <c r="J216">
        <f t="shared" si="20"/>
        <v>1536.1</v>
      </c>
      <c r="K216">
        <f>G216</f>
        <v>6.1</v>
      </c>
      <c r="L216" s="15" t="s">
        <v>38</v>
      </c>
      <c r="M216">
        <v>3</v>
      </c>
      <c r="N216">
        <v>0.8</v>
      </c>
      <c r="O216">
        <f t="shared" si="24"/>
        <v>2.2000000000000002</v>
      </c>
      <c r="Q216">
        <v>173</v>
      </c>
      <c r="R216">
        <f>1+((Q216-172)/32)*(1.15-1)</f>
        <v>1.0046875</v>
      </c>
      <c r="S216">
        <f t="shared" si="25"/>
        <v>0.80374999999999996</v>
      </c>
      <c r="T216">
        <f t="shared" si="26"/>
        <v>2.19625</v>
      </c>
      <c r="U216">
        <f t="shared" si="22"/>
        <v>194.59625</v>
      </c>
      <c r="V216" s="16" t="s">
        <v>45</v>
      </c>
      <c r="W216">
        <v>275.3</v>
      </c>
      <c r="X216">
        <f>W216</f>
        <v>275.3</v>
      </c>
      <c r="Y216">
        <v>10.811497247623747</v>
      </c>
      <c r="Z216" s="16" t="s">
        <v>50</v>
      </c>
    </row>
    <row r="217" spans="1:26" x14ac:dyDescent="0.35">
      <c r="A217">
        <v>2920</v>
      </c>
      <c r="B217">
        <v>23610</v>
      </c>
      <c r="C217" s="1">
        <v>43162</v>
      </c>
      <c r="D217" s="1"/>
      <c r="F217" s="52"/>
      <c r="G217">
        <v>7.2</v>
      </c>
      <c r="H217">
        <v>4.2</v>
      </c>
      <c r="I217">
        <v>11.8</v>
      </c>
      <c r="J217">
        <f t="shared" si="20"/>
        <v>1543.3</v>
      </c>
      <c r="K217">
        <f t="shared" si="21"/>
        <v>13.3</v>
      </c>
      <c r="L217" s="8">
        <v>241.7</v>
      </c>
      <c r="M217">
        <v>1.8</v>
      </c>
      <c r="N217">
        <v>1.4</v>
      </c>
      <c r="O217">
        <f t="shared" si="24"/>
        <v>0.40000000000000013</v>
      </c>
      <c r="Q217">
        <v>174</v>
      </c>
      <c r="R217">
        <f t="shared" ref="R217:R247" si="27">1+((Q217-172)/32)*(1.15-1)</f>
        <v>1.0093749999999999</v>
      </c>
      <c r="S217">
        <f t="shared" si="25"/>
        <v>1.4131249999999997</v>
      </c>
      <c r="T217">
        <f t="shared" si="26"/>
        <v>0.3868750000000003</v>
      </c>
      <c r="U217">
        <f t="shared" si="22"/>
        <v>194.983125</v>
      </c>
      <c r="V217">
        <v>0</v>
      </c>
      <c r="W217">
        <v>529.20000000000005</v>
      </c>
      <c r="X217">
        <f>X216+W217</f>
        <v>804.5</v>
      </c>
      <c r="Y217">
        <v>10.869848327960588</v>
      </c>
      <c r="Z217">
        <v>18806.099999999999</v>
      </c>
    </row>
    <row r="218" spans="1:26" x14ac:dyDescent="0.35">
      <c r="A218">
        <v>2920</v>
      </c>
      <c r="B218">
        <v>23610</v>
      </c>
      <c r="C218" s="1">
        <v>43163</v>
      </c>
      <c r="D218" s="1"/>
      <c r="F218" s="52"/>
      <c r="G218">
        <v>7.4</v>
      </c>
      <c r="H218">
        <v>5.3</v>
      </c>
      <c r="I218">
        <v>10.199999999999999</v>
      </c>
      <c r="J218">
        <f t="shared" si="20"/>
        <v>1550.7</v>
      </c>
      <c r="K218">
        <f t="shared" si="21"/>
        <v>20.700000000000003</v>
      </c>
      <c r="L218" s="15" t="s">
        <v>39</v>
      </c>
      <c r="M218">
        <v>1.1000000000000001</v>
      </c>
      <c r="N218">
        <v>0.8</v>
      </c>
      <c r="O218">
        <f t="shared" si="24"/>
        <v>0.30000000000000004</v>
      </c>
      <c r="Q218">
        <v>175</v>
      </c>
      <c r="R218">
        <f t="shared" si="27"/>
        <v>1.0140625000000001</v>
      </c>
      <c r="S218">
        <f t="shared" si="25"/>
        <v>0.81125000000000014</v>
      </c>
      <c r="T218">
        <f t="shared" si="26"/>
        <v>0.28874999999999995</v>
      </c>
      <c r="U218">
        <f t="shared" si="22"/>
        <v>195.27187499999999</v>
      </c>
      <c r="V218" s="16" t="s">
        <v>46</v>
      </c>
      <c r="W218">
        <v>534.70000000000005</v>
      </c>
      <c r="X218">
        <f t="shared" si="23"/>
        <v>1339.2</v>
      </c>
      <c r="Y218">
        <v>10.928370963643593</v>
      </c>
      <c r="Z218" s="16" t="s">
        <v>51</v>
      </c>
    </row>
    <row r="219" spans="1:26" x14ac:dyDescent="0.35">
      <c r="A219">
        <v>2920</v>
      </c>
      <c r="B219">
        <v>23610</v>
      </c>
      <c r="C219" s="1">
        <v>43164</v>
      </c>
      <c r="D219" s="1"/>
      <c r="F219" s="52"/>
      <c r="G219">
        <v>7.6</v>
      </c>
      <c r="H219">
        <v>4.2</v>
      </c>
      <c r="I219">
        <v>12.2</v>
      </c>
      <c r="J219">
        <f t="shared" si="20"/>
        <v>1558.3</v>
      </c>
      <c r="K219">
        <f t="shared" si="21"/>
        <v>28.300000000000004</v>
      </c>
      <c r="L219" s="9">
        <f>AVERAGE(G216:G247)</f>
        <v>7.5531250000000014</v>
      </c>
      <c r="M219">
        <v>1.5</v>
      </c>
      <c r="N219">
        <v>1</v>
      </c>
      <c r="O219">
        <f t="shared" si="24"/>
        <v>0.5</v>
      </c>
      <c r="Q219">
        <v>176</v>
      </c>
      <c r="R219">
        <f t="shared" si="27"/>
        <v>1.01875</v>
      </c>
      <c r="S219">
        <f t="shared" si="25"/>
        <v>1.01875</v>
      </c>
      <c r="T219">
        <f t="shared" si="26"/>
        <v>0.48124999999999996</v>
      </c>
      <c r="U219">
        <f t="shared" si="22"/>
        <v>195.75312499999998</v>
      </c>
      <c r="V219">
        <v>0</v>
      </c>
      <c r="W219">
        <v>574.20000000000005</v>
      </c>
      <c r="X219">
        <f t="shared" si="23"/>
        <v>1913.4</v>
      </c>
      <c r="Y219">
        <v>10.987054474494258</v>
      </c>
      <c r="Z219">
        <f>(Z217/100)/L217</f>
        <v>0.7780761274306992</v>
      </c>
    </row>
    <row r="220" spans="1:26" x14ac:dyDescent="0.35">
      <c r="A220">
        <v>2920</v>
      </c>
      <c r="B220">
        <v>23610</v>
      </c>
      <c r="C220" s="1">
        <v>43165</v>
      </c>
      <c r="D220" s="1"/>
      <c r="F220" s="52"/>
      <c r="G220">
        <v>6.1</v>
      </c>
      <c r="H220">
        <v>3.2</v>
      </c>
      <c r="I220">
        <v>9.5</v>
      </c>
      <c r="J220">
        <f t="shared" si="20"/>
        <v>1564.3999999999999</v>
      </c>
      <c r="K220">
        <f t="shared" si="21"/>
        <v>34.400000000000006</v>
      </c>
      <c r="L220" s="15" t="s">
        <v>40</v>
      </c>
      <c r="M220">
        <v>10.1</v>
      </c>
      <c r="N220">
        <v>0.4</v>
      </c>
      <c r="O220">
        <f t="shared" si="24"/>
        <v>9.6999999999999993</v>
      </c>
      <c r="Q220">
        <v>177</v>
      </c>
      <c r="R220">
        <f t="shared" si="27"/>
        <v>1.0234375</v>
      </c>
      <c r="S220">
        <f t="shared" si="25"/>
        <v>0.40937500000000004</v>
      </c>
      <c r="T220">
        <f t="shared" si="26"/>
        <v>9.6906249999999989</v>
      </c>
      <c r="U220">
        <f t="shared" si="22"/>
        <v>197.4</v>
      </c>
      <c r="V220" s="16" t="s">
        <v>47</v>
      </c>
      <c r="W220">
        <v>280.3</v>
      </c>
      <c r="X220">
        <f t="shared" si="23"/>
        <v>2193.7000000000003</v>
      </c>
      <c r="Y220">
        <v>11.045888443688392</v>
      </c>
      <c r="Z220" s="16" t="s">
        <v>52</v>
      </c>
    </row>
    <row r="221" spans="1:26" x14ac:dyDescent="0.35">
      <c r="A221">
        <v>2920</v>
      </c>
      <c r="B221">
        <v>23610</v>
      </c>
      <c r="C221" s="1">
        <v>43166</v>
      </c>
      <c r="D221" s="1"/>
      <c r="F221" s="52"/>
      <c r="G221">
        <v>6.2</v>
      </c>
      <c r="H221">
        <v>1.8</v>
      </c>
      <c r="I221">
        <v>9.4</v>
      </c>
      <c r="J221">
        <f t="shared" si="20"/>
        <v>1570.6</v>
      </c>
      <c r="K221">
        <f t="shared" si="21"/>
        <v>40.600000000000009</v>
      </c>
      <c r="L221" s="8">
        <f>MIN(H216:H247)</f>
        <v>-1.9</v>
      </c>
      <c r="M221">
        <v>2.2000000000000002</v>
      </c>
      <c r="N221">
        <v>0.7</v>
      </c>
      <c r="O221">
        <f t="shared" si="24"/>
        <v>1.5000000000000002</v>
      </c>
      <c r="Q221">
        <v>178</v>
      </c>
      <c r="R221">
        <f t="shared" si="27"/>
        <v>1.028125</v>
      </c>
      <c r="S221">
        <f t="shared" si="25"/>
        <v>0.71968749999999992</v>
      </c>
      <c r="T221">
        <f t="shared" si="26"/>
        <v>1.4803125000000001</v>
      </c>
      <c r="U221">
        <f t="shared" si="22"/>
        <v>197.4</v>
      </c>
      <c r="V221" s="11">
        <f>MIN(U216:U247)</f>
        <v>194.59625</v>
      </c>
      <c r="W221">
        <v>539.6</v>
      </c>
      <c r="X221">
        <f t="shared" si="23"/>
        <v>2733.3</v>
      </c>
      <c r="Y221">
        <v>11.104862704423253</v>
      </c>
      <c r="Z221">
        <v>27</v>
      </c>
    </row>
    <row r="222" spans="1:26" x14ac:dyDescent="0.35">
      <c r="A222">
        <v>2920</v>
      </c>
      <c r="B222">
        <v>23610</v>
      </c>
      <c r="C222" s="1">
        <v>43167</v>
      </c>
      <c r="D222" s="1"/>
      <c r="F222" s="52"/>
      <c r="G222">
        <v>8</v>
      </c>
      <c r="H222">
        <v>5.9</v>
      </c>
      <c r="I222">
        <v>9</v>
      </c>
      <c r="J222">
        <f t="shared" si="20"/>
        <v>1578.6</v>
      </c>
      <c r="K222">
        <f t="shared" si="21"/>
        <v>48.600000000000009</v>
      </c>
      <c r="L222" s="15" t="s">
        <v>41</v>
      </c>
      <c r="M222">
        <v>6.4</v>
      </c>
      <c r="N222">
        <v>0.2</v>
      </c>
      <c r="O222">
        <f t="shared" si="24"/>
        <v>6.2</v>
      </c>
      <c r="Q222">
        <v>179</v>
      </c>
      <c r="R222">
        <f t="shared" si="27"/>
        <v>1.0328124999999999</v>
      </c>
      <c r="S222">
        <f t="shared" si="25"/>
        <v>0.20656249999999998</v>
      </c>
      <c r="T222">
        <f t="shared" si="26"/>
        <v>6.1934374999999999</v>
      </c>
      <c r="U222">
        <f t="shared" si="22"/>
        <v>197.4</v>
      </c>
      <c r="V222" s="16" t="s">
        <v>48</v>
      </c>
      <c r="W222">
        <v>212.7</v>
      </c>
      <c r="X222">
        <f t="shared" si="23"/>
        <v>2946</v>
      </c>
      <c r="Y222">
        <v>11.16396732632829</v>
      </c>
    </row>
    <row r="223" spans="1:26" x14ac:dyDescent="0.35">
      <c r="A223">
        <v>2920</v>
      </c>
      <c r="B223">
        <v>23610</v>
      </c>
      <c r="C223" s="1">
        <v>43168</v>
      </c>
      <c r="D223" s="1"/>
      <c r="F223" s="52"/>
      <c r="G223">
        <v>11.1</v>
      </c>
      <c r="H223">
        <v>8.1999999999999993</v>
      </c>
      <c r="I223">
        <v>13.6</v>
      </c>
      <c r="J223">
        <f t="shared" si="20"/>
        <v>1589.6999999999998</v>
      </c>
      <c r="K223">
        <f t="shared" si="21"/>
        <v>59.70000000000001</v>
      </c>
      <c r="L223" s="8">
        <f>MAX(I216:I247)</f>
        <v>15.5</v>
      </c>
      <c r="M223">
        <v>0.1</v>
      </c>
      <c r="N223">
        <v>0.6</v>
      </c>
      <c r="O223">
        <f t="shared" si="24"/>
        <v>-0.5</v>
      </c>
      <c r="Q223">
        <v>180</v>
      </c>
      <c r="R223">
        <f t="shared" si="27"/>
        <v>1.0375000000000001</v>
      </c>
      <c r="S223">
        <f t="shared" si="25"/>
        <v>0.62250000000000005</v>
      </c>
      <c r="T223">
        <f t="shared" si="26"/>
        <v>-0.52250000000000008</v>
      </c>
      <c r="U223">
        <f t="shared" si="22"/>
        <v>196.8775</v>
      </c>
      <c r="V223" s="11">
        <f>MAX(U216:U247)</f>
        <v>197.4</v>
      </c>
      <c r="W223">
        <v>279</v>
      </c>
      <c r="X223">
        <f t="shared" si="23"/>
        <v>3225</v>
      </c>
      <c r="Y223">
        <v>11.223192601644561</v>
      </c>
    </row>
    <row r="224" spans="1:26" x14ac:dyDescent="0.35">
      <c r="A224">
        <v>2920</v>
      </c>
      <c r="B224">
        <v>23610</v>
      </c>
      <c r="C224" s="1">
        <v>43169</v>
      </c>
      <c r="D224" s="1"/>
      <c r="F224" s="52"/>
      <c r="G224">
        <v>12.5</v>
      </c>
      <c r="H224">
        <v>11.5</v>
      </c>
      <c r="I224">
        <v>15.5</v>
      </c>
      <c r="J224">
        <f t="shared" si="20"/>
        <v>1602.1999999999998</v>
      </c>
      <c r="K224">
        <f t="shared" si="21"/>
        <v>72.200000000000017</v>
      </c>
      <c r="L224" s="15" t="s">
        <v>42</v>
      </c>
      <c r="M224">
        <v>0.1</v>
      </c>
      <c r="N224">
        <v>1.6</v>
      </c>
      <c r="O224">
        <f t="shared" si="24"/>
        <v>-1.5</v>
      </c>
      <c r="Q224">
        <v>181</v>
      </c>
      <c r="R224">
        <f t="shared" si="27"/>
        <v>1.0421875</v>
      </c>
      <c r="S224">
        <f t="shared" si="25"/>
        <v>1.6675000000000002</v>
      </c>
      <c r="T224">
        <f t="shared" si="26"/>
        <v>-1.5675000000000001</v>
      </c>
      <c r="U224">
        <f t="shared" si="22"/>
        <v>195.31</v>
      </c>
      <c r="V224" s="16" t="s">
        <v>49</v>
      </c>
      <c r="W224">
        <v>640.5</v>
      </c>
      <c r="X224">
        <f t="shared" si="23"/>
        <v>3865.5</v>
      </c>
      <c r="Y224">
        <v>11.282529031196002</v>
      </c>
    </row>
    <row r="225" spans="1:25" x14ac:dyDescent="0.35">
      <c r="A225">
        <v>2920</v>
      </c>
      <c r="B225">
        <v>23610</v>
      </c>
      <c r="C225" s="1">
        <v>43170</v>
      </c>
      <c r="D225" s="1"/>
      <c r="F225" s="52"/>
      <c r="G225">
        <v>10.6</v>
      </c>
      <c r="H225">
        <v>8.1</v>
      </c>
      <c r="I225">
        <v>12.7</v>
      </c>
      <c r="J225">
        <f t="shared" si="20"/>
        <v>1612.7999999999997</v>
      </c>
      <c r="K225">
        <f t="shared" si="21"/>
        <v>82.800000000000011</v>
      </c>
      <c r="L225" s="8">
        <v>0</v>
      </c>
      <c r="M225">
        <v>2.6</v>
      </c>
      <c r="N225">
        <v>0.9</v>
      </c>
      <c r="O225">
        <f t="shared" si="24"/>
        <v>1.7000000000000002</v>
      </c>
      <c r="Q225">
        <v>182</v>
      </c>
      <c r="R225">
        <f t="shared" si="27"/>
        <v>1.046875</v>
      </c>
      <c r="S225">
        <f t="shared" si="25"/>
        <v>0.94218750000000007</v>
      </c>
      <c r="T225">
        <f t="shared" si="26"/>
        <v>1.6578124999999999</v>
      </c>
      <c r="U225">
        <f t="shared" si="22"/>
        <v>196.96781250000001</v>
      </c>
      <c r="V225" s="11">
        <f>AVERAGE(U216:U247)</f>
        <v>196.63455078124997</v>
      </c>
      <c r="W225">
        <v>389.1</v>
      </c>
      <c r="X225">
        <f t="shared" si="23"/>
        <v>4254.6000000000004</v>
      </c>
      <c r="Y225">
        <v>11.341967310174089</v>
      </c>
    </row>
    <row r="226" spans="1:25" x14ac:dyDescent="0.35">
      <c r="A226">
        <v>2920</v>
      </c>
      <c r="B226">
        <v>23610</v>
      </c>
      <c r="C226" s="1">
        <v>43171</v>
      </c>
      <c r="D226" s="1"/>
      <c r="F226" s="52"/>
      <c r="G226">
        <v>9.6</v>
      </c>
      <c r="H226">
        <v>9.1999999999999993</v>
      </c>
      <c r="I226">
        <v>10.7</v>
      </c>
      <c r="J226">
        <f t="shared" si="20"/>
        <v>1622.3999999999996</v>
      </c>
      <c r="K226">
        <f t="shared" si="21"/>
        <v>92.4</v>
      </c>
      <c r="L226" s="15" t="s">
        <v>43</v>
      </c>
      <c r="M226">
        <v>2.2000000000000002</v>
      </c>
      <c r="N226">
        <v>1.2</v>
      </c>
      <c r="O226">
        <f t="shared" si="24"/>
        <v>1.0000000000000002</v>
      </c>
      <c r="Q226">
        <v>183</v>
      </c>
      <c r="R226">
        <f t="shared" si="27"/>
        <v>1.0515625</v>
      </c>
      <c r="S226">
        <f t="shared" si="25"/>
        <v>1.2618749999999999</v>
      </c>
      <c r="T226">
        <f t="shared" si="26"/>
        <v>0.93812500000000032</v>
      </c>
      <c r="U226">
        <f t="shared" si="22"/>
        <v>197.4</v>
      </c>
      <c r="W226">
        <v>207.3</v>
      </c>
      <c r="X226">
        <f t="shared" si="23"/>
        <v>4461.9000000000005</v>
      </c>
      <c r="Y226">
        <v>11.401498313755869</v>
      </c>
    </row>
    <row r="227" spans="1:25" x14ac:dyDescent="0.35">
      <c r="A227">
        <v>2920</v>
      </c>
      <c r="B227">
        <v>23610</v>
      </c>
      <c r="C227" s="1">
        <v>43172</v>
      </c>
      <c r="D227" s="1"/>
      <c r="F227" s="52"/>
      <c r="G227">
        <v>8.9</v>
      </c>
      <c r="H227">
        <v>7.5</v>
      </c>
      <c r="I227">
        <v>11.7</v>
      </c>
      <c r="J227">
        <f t="shared" si="20"/>
        <v>1631.2999999999997</v>
      </c>
      <c r="K227">
        <f t="shared" si="21"/>
        <v>101.30000000000001</v>
      </c>
      <c r="L227" s="8">
        <v>14</v>
      </c>
      <c r="M227">
        <v>0</v>
      </c>
      <c r="N227">
        <v>1.7</v>
      </c>
      <c r="O227">
        <f t="shared" si="24"/>
        <v>-1.7</v>
      </c>
      <c r="Q227">
        <v>184</v>
      </c>
      <c r="R227">
        <f t="shared" si="27"/>
        <v>1.0562499999999999</v>
      </c>
      <c r="S227">
        <f t="shared" si="25"/>
        <v>1.7956249999999998</v>
      </c>
      <c r="T227">
        <f t="shared" si="26"/>
        <v>-1.7956249999999998</v>
      </c>
      <c r="U227">
        <f t="shared" si="22"/>
        <v>195.604375</v>
      </c>
      <c r="V227" s="12">
        <f>(V225*100)/197.4</f>
        <v>99.612234438323185</v>
      </c>
      <c r="W227">
        <v>1178.2</v>
      </c>
      <c r="X227">
        <f t="shared" si="23"/>
        <v>5640.1</v>
      </c>
      <c r="Y227">
        <v>11.461113082573837</v>
      </c>
    </row>
    <row r="228" spans="1:25" x14ac:dyDescent="0.35">
      <c r="A228">
        <v>2920</v>
      </c>
      <c r="B228">
        <v>23610</v>
      </c>
      <c r="C228" s="1">
        <v>43173</v>
      </c>
      <c r="D228" s="1"/>
      <c r="F228" s="52"/>
      <c r="G228">
        <v>9.1999999999999993</v>
      </c>
      <c r="H228">
        <v>5.2</v>
      </c>
      <c r="I228">
        <v>12.7</v>
      </c>
      <c r="J228">
        <f t="shared" si="20"/>
        <v>1640.4999999999998</v>
      </c>
      <c r="K228">
        <f t="shared" si="21"/>
        <v>110.50000000000001</v>
      </c>
      <c r="L228" s="15" t="s">
        <v>44</v>
      </c>
      <c r="M228">
        <v>11.2</v>
      </c>
      <c r="N228">
        <v>1.2</v>
      </c>
      <c r="O228">
        <f t="shared" si="24"/>
        <v>10</v>
      </c>
      <c r="Q228">
        <v>185</v>
      </c>
      <c r="R228">
        <f t="shared" si="27"/>
        <v>1.0609374999999999</v>
      </c>
      <c r="S228">
        <f t="shared" si="25"/>
        <v>1.2731249999999998</v>
      </c>
      <c r="T228">
        <f t="shared" si="26"/>
        <v>9.926874999999999</v>
      </c>
      <c r="U228">
        <f t="shared" si="22"/>
        <v>197.4</v>
      </c>
      <c r="W228">
        <v>641.4</v>
      </c>
      <c r="X228">
        <f t="shared" si="23"/>
        <v>6281.5</v>
      </c>
      <c r="Y228">
        <v>11.520802808054778</v>
      </c>
    </row>
    <row r="229" spans="1:25" x14ac:dyDescent="0.35">
      <c r="A229">
        <v>2920</v>
      </c>
      <c r="B229">
        <v>23610</v>
      </c>
      <c r="C229" s="1">
        <v>43174</v>
      </c>
      <c r="D229" s="1"/>
      <c r="F229" s="52"/>
      <c r="G229">
        <v>9.6</v>
      </c>
      <c r="H229">
        <v>8.4</v>
      </c>
      <c r="I229">
        <v>12.1</v>
      </c>
      <c r="J229">
        <f t="shared" si="20"/>
        <v>1650.0999999999997</v>
      </c>
      <c r="K229">
        <f t="shared" si="21"/>
        <v>120.10000000000001</v>
      </c>
      <c r="L229" s="8">
        <v>2</v>
      </c>
      <c r="M229">
        <v>2.5</v>
      </c>
      <c r="N229">
        <v>1.2</v>
      </c>
      <c r="O229">
        <f t="shared" si="24"/>
        <v>1.3</v>
      </c>
      <c r="Q229">
        <v>186</v>
      </c>
      <c r="R229">
        <f t="shared" si="27"/>
        <v>1.065625</v>
      </c>
      <c r="S229">
        <f t="shared" si="25"/>
        <v>1.2787500000000001</v>
      </c>
      <c r="T229">
        <f t="shared" si="26"/>
        <v>1.2212499999999999</v>
      </c>
      <c r="U229">
        <f t="shared" si="22"/>
        <v>197.4</v>
      </c>
      <c r="W229">
        <v>594.20000000000005</v>
      </c>
      <c r="X229">
        <f t="shared" si="23"/>
        <v>6875.7</v>
      </c>
      <c r="Y229">
        <v>11.580558817643515</v>
      </c>
    </row>
    <row r="230" spans="1:25" x14ac:dyDescent="0.35">
      <c r="A230">
        <v>2920</v>
      </c>
      <c r="B230">
        <v>23610</v>
      </c>
      <c r="C230" s="1">
        <v>43175</v>
      </c>
      <c r="D230" s="1"/>
      <c r="F230" s="52"/>
      <c r="G230">
        <v>6.9</v>
      </c>
      <c r="H230">
        <v>4.8</v>
      </c>
      <c r="I230">
        <v>9.1</v>
      </c>
      <c r="J230">
        <f t="shared" si="20"/>
        <v>1656.9999999999998</v>
      </c>
      <c r="K230">
        <f t="shared" si="21"/>
        <v>127.00000000000001</v>
      </c>
      <c r="M230">
        <v>5</v>
      </c>
      <c r="N230">
        <v>0.6</v>
      </c>
      <c r="O230">
        <f t="shared" si="24"/>
        <v>4.4000000000000004</v>
      </c>
      <c r="Q230">
        <v>187</v>
      </c>
      <c r="R230">
        <f t="shared" si="27"/>
        <v>1.0703125</v>
      </c>
      <c r="S230">
        <f t="shared" si="25"/>
        <v>0.64218750000000002</v>
      </c>
      <c r="T230">
        <f t="shared" si="26"/>
        <v>4.3578124999999996</v>
      </c>
      <c r="U230">
        <f t="shared" si="22"/>
        <v>197.4</v>
      </c>
      <c r="W230">
        <v>576.4</v>
      </c>
      <c r="X230">
        <f t="shared" si="23"/>
        <v>7452.0999999999995</v>
      </c>
      <c r="Y230">
        <v>11.640372559926252</v>
      </c>
    </row>
    <row r="231" spans="1:25" x14ac:dyDescent="0.35">
      <c r="A231">
        <v>2920</v>
      </c>
      <c r="B231">
        <v>23610</v>
      </c>
      <c r="C231" s="1">
        <v>43176</v>
      </c>
      <c r="D231" s="1"/>
      <c r="F231" s="52"/>
      <c r="G231">
        <v>5.2</v>
      </c>
      <c r="H231">
        <v>2.7</v>
      </c>
      <c r="I231">
        <v>9.4</v>
      </c>
      <c r="J231">
        <f t="shared" si="20"/>
        <v>1662.1999999999998</v>
      </c>
      <c r="K231">
        <f t="shared" si="21"/>
        <v>132.20000000000002</v>
      </c>
      <c r="M231">
        <v>2.4</v>
      </c>
      <c r="N231">
        <v>0.8</v>
      </c>
      <c r="O231">
        <f t="shared" si="24"/>
        <v>1.5999999999999999</v>
      </c>
      <c r="Q231">
        <v>188</v>
      </c>
      <c r="R231">
        <f t="shared" si="27"/>
        <v>1.075</v>
      </c>
      <c r="S231">
        <f t="shared" si="25"/>
        <v>0.86</v>
      </c>
      <c r="T231">
        <f t="shared" si="26"/>
        <v>1.54</v>
      </c>
      <c r="U231">
        <f t="shared" si="22"/>
        <v>197.4</v>
      </c>
      <c r="W231">
        <v>444.3</v>
      </c>
      <c r="X231">
        <f t="shared" si="23"/>
        <v>7896.4</v>
      </c>
      <c r="Y231">
        <v>11.700235589667285</v>
      </c>
    </row>
    <row r="232" spans="1:25" x14ac:dyDescent="0.35">
      <c r="A232">
        <v>2920</v>
      </c>
      <c r="B232">
        <v>23610</v>
      </c>
      <c r="C232" s="1">
        <v>43177</v>
      </c>
      <c r="D232" s="1"/>
      <c r="F232" s="52"/>
      <c r="G232">
        <v>3.7</v>
      </c>
      <c r="H232">
        <v>1.9</v>
      </c>
      <c r="I232">
        <v>6</v>
      </c>
      <c r="J232">
        <f t="shared" si="20"/>
        <v>1665.8999999999999</v>
      </c>
      <c r="K232">
        <f t="shared" si="21"/>
        <v>135.9</v>
      </c>
      <c r="M232">
        <v>3.2</v>
      </c>
      <c r="N232">
        <v>0.6</v>
      </c>
      <c r="O232">
        <f t="shared" si="24"/>
        <v>2.6</v>
      </c>
      <c r="Q232">
        <v>189</v>
      </c>
      <c r="R232">
        <f t="shared" si="27"/>
        <v>1.0796874999999999</v>
      </c>
      <c r="S232">
        <f t="shared" si="25"/>
        <v>0.6478124999999999</v>
      </c>
      <c r="T232">
        <f t="shared" si="26"/>
        <v>2.5521875000000005</v>
      </c>
      <c r="U232">
        <f t="shared" si="22"/>
        <v>197.4</v>
      </c>
      <c r="W232">
        <v>419.1</v>
      </c>
      <c r="X232">
        <f t="shared" si="23"/>
        <v>8315.5</v>
      </c>
      <c r="Y232">
        <v>11.7601395527719</v>
      </c>
    </row>
    <row r="233" spans="1:25" x14ac:dyDescent="0.35">
      <c r="A233">
        <v>2920</v>
      </c>
      <c r="B233">
        <v>23610</v>
      </c>
      <c r="C233" s="1">
        <v>43178</v>
      </c>
      <c r="D233" s="1"/>
      <c r="F233" s="52"/>
      <c r="G233">
        <v>0.8</v>
      </c>
      <c r="H233">
        <v>-1.9</v>
      </c>
      <c r="I233">
        <v>3.4</v>
      </c>
      <c r="J233">
        <f t="shared" si="20"/>
        <v>1666.6999999999998</v>
      </c>
      <c r="K233">
        <f t="shared" si="21"/>
        <v>136.70000000000002</v>
      </c>
      <c r="M233">
        <v>0.3</v>
      </c>
      <c r="N233">
        <v>0.6</v>
      </c>
      <c r="O233">
        <f t="shared" si="24"/>
        <v>-0.3</v>
      </c>
      <c r="Q233">
        <v>190</v>
      </c>
      <c r="R233">
        <f t="shared" si="27"/>
        <v>1.0843749999999999</v>
      </c>
      <c r="S233">
        <f t="shared" si="25"/>
        <v>0.6506249999999999</v>
      </c>
      <c r="T233">
        <f t="shared" si="26"/>
        <v>-0.35062499999999991</v>
      </c>
      <c r="U233">
        <f t="shared" si="22"/>
        <v>197.049375</v>
      </c>
      <c r="W233">
        <v>432</v>
      </c>
      <c r="X233">
        <f t="shared" si="23"/>
        <v>8747.5</v>
      </c>
      <c r="Y233">
        <v>11.820076171187441</v>
      </c>
    </row>
    <row r="234" spans="1:25" x14ac:dyDescent="0.35">
      <c r="A234">
        <v>2920</v>
      </c>
      <c r="B234">
        <v>23610</v>
      </c>
      <c r="C234" s="1">
        <v>43179</v>
      </c>
      <c r="D234" s="1"/>
      <c r="F234" s="52"/>
      <c r="G234">
        <v>3.3</v>
      </c>
      <c r="H234">
        <v>-0.4</v>
      </c>
      <c r="I234">
        <v>7.5</v>
      </c>
      <c r="J234">
        <f t="shared" si="20"/>
        <v>1669.9999999999998</v>
      </c>
      <c r="K234">
        <f t="shared" si="21"/>
        <v>140.00000000000003</v>
      </c>
      <c r="M234">
        <v>0.2</v>
      </c>
      <c r="N234">
        <v>1.3</v>
      </c>
      <c r="O234">
        <f t="shared" si="24"/>
        <v>-1.1000000000000001</v>
      </c>
      <c r="Q234">
        <v>191</v>
      </c>
      <c r="R234">
        <f t="shared" si="27"/>
        <v>1.0890625</v>
      </c>
      <c r="S234">
        <f t="shared" si="25"/>
        <v>1.4157812500000002</v>
      </c>
      <c r="T234">
        <f t="shared" si="26"/>
        <v>-1.2157812500000003</v>
      </c>
      <c r="U234">
        <f t="shared" si="22"/>
        <v>195.83359375000001</v>
      </c>
      <c r="W234">
        <v>1062.5</v>
      </c>
      <c r="X234">
        <f t="shared" si="23"/>
        <v>9810</v>
      </c>
      <c r="Y234">
        <v>11.880037227753965</v>
      </c>
    </row>
    <row r="235" spans="1:25" x14ac:dyDescent="0.35">
      <c r="A235">
        <v>2920</v>
      </c>
      <c r="B235">
        <v>23610</v>
      </c>
      <c r="C235" s="1">
        <v>43180</v>
      </c>
      <c r="D235" s="1"/>
      <c r="F235" s="52"/>
      <c r="G235">
        <v>4</v>
      </c>
      <c r="H235">
        <v>0.7</v>
      </c>
      <c r="I235">
        <v>7.5</v>
      </c>
      <c r="J235">
        <f t="shared" si="20"/>
        <v>1673.9999999999998</v>
      </c>
      <c r="K235">
        <f t="shared" si="21"/>
        <v>144.00000000000003</v>
      </c>
      <c r="M235">
        <v>0</v>
      </c>
      <c r="N235">
        <v>0.9</v>
      </c>
      <c r="O235">
        <f t="shared" si="24"/>
        <v>-0.9</v>
      </c>
      <c r="Q235">
        <v>192</v>
      </c>
      <c r="R235">
        <f t="shared" si="27"/>
        <v>1.09375</v>
      </c>
      <c r="S235">
        <f t="shared" si="25"/>
        <v>0.984375</v>
      </c>
      <c r="T235">
        <f t="shared" si="26"/>
        <v>-0.984375</v>
      </c>
      <c r="U235">
        <f t="shared" si="22"/>
        <v>194.84921875000001</v>
      </c>
      <c r="W235">
        <v>650.4</v>
      </c>
      <c r="X235">
        <f t="shared" si="23"/>
        <v>10460.4</v>
      </c>
      <c r="Y235">
        <v>11.940014551015169</v>
      </c>
    </row>
    <row r="236" spans="1:25" x14ac:dyDescent="0.35">
      <c r="A236">
        <v>2920</v>
      </c>
      <c r="B236">
        <v>23610</v>
      </c>
      <c r="C236" s="1">
        <v>43181</v>
      </c>
      <c r="D236" s="1"/>
      <c r="F236" s="52"/>
      <c r="G236">
        <v>5.4</v>
      </c>
      <c r="H236">
        <v>0.4</v>
      </c>
      <c r="I236">
        <v>7.7</v>
      </c>
      <c r="J236">
        <f t="shared" si="20"/>
        <v>1679.3999999999999</v>
      </c>
      <c r="K236">
        <f t="shared" si="21"/>
        <v>149.40000000000003</v>
      </c>
      <c r="M236">
        <v>1.1000000000000001</v>
      </c>
      <c r="N236">
        <v>0.8</v>
      </c>
      <c r="O236">
        <f t="shared" si="24"/>
        <v>0.30000000000000004</v>
      </c>
      <c r="Q236">
        <v>193</v>
      </c>
      <c r="R236">
        <f t="shared" si="27"/>
        <v>1.0984375</v>
      </c>
      <c r="S236">
        <f t="shared" si="25"/>
        <v>0.87875000000000003</v>
      </c>
      <c r="T236">
        <f t="shared" si="26"/>
        <v>0.22125000000000006</v>
      </c>
      <c r="U236">
        <f t="shared" si="22"/>
        <v>195.07046875</v>
      </c>
      <c r="W236">
        <v>308</v>
      </c>
      <c r="X236">
        <f t="shared" si="23"/>
        <v>10768.4</v>
      </c>
      <c r="Y236">
        <v>12</v>
      </c>
    </row>
    <row r="237" spans="1:25" x14ac:dyDescent="0.35">
      <c r="A237">
        <v>2920</v>
      </c>
      <c r="B237">
        <v>23610</v>
      </c>
      <c r="C237" s="1">
        <v>43182</v>
      </c>
      <c r="D237" s="1"/>
      <c r="F237" s="52"/>
      <c r="G237">
        <v>8.9</v>
      </c>
      <c r="H237">
        <v>6.4</v>
      </c>
      <c r="I237">
        <v>11.9</v>
      </c>
      <c r="J237">
        <f t="shared" si="20"/>
        <v>1688.3</v>
      </c>
      <c r="K237">
        <f t="shared" si="21"/>
        <v>158.30000000000004</v>
      </c>
      <c r="M237">
        <v>1.2</v>
      </c>
      <c r="N237">
        <v>1.3</v>
      </c>
      <c r="O237">
        <f t="shared" si="24"/>
        <v>-0.10000000000000009</v>
      </c>
      <c r="Q237">
        <v>194</v>
      </c>
      <c r="R237">
        <f t="shared" si="27"/>
        <v>1.1031249999999999</v>
      </c>
      <c r="S237">
        <f t="shared" si="25"/>
        <v>1.4340625</v>
      </c>
      <c r="T237">
        <f t="shared" si="26"/>
        <v>-0.23406250000000006</v>
      </c>
      <c r="U237">
        <f t="shared" si="22"/>
        <v>194.83640625000001</v>
      </c>
      <c r="W237">
        <v>680.9</v>
      </c>
      <c r="X237">
        <f t="shared" si="23"/>
        <v>11449.3</v>
      </c>
      <c r="Y237">
        <v>12.059985448984829</v>
      </c>
    </row>
    <row r="238" spans="1:25" x14ac:dyDescent="0.35">
      <c r="A238">
        <v>2920</v>
      </c>
      <c r="B238">
        <v>23610</v>
      </c>
      <c r="C238" s="1">
        <v>43183</v>
      </c>
      <c r="D238" s="1"/>
      <c r="F238" s="52"/>
      <c r="G238">
        <v>8</v>
      </c>
      <c r="H238">
        <v>6.3</v>
      </c>
      <c r="I238">
        <v>9.3000000000000007</v>
      </c>
      <c r="J238">
        <f t="shared" ref="J238:J301" si="28">J237+G238</f>
        <v>1696.3</v>
      </c>
      <c r="K238">
        <f t="shared" ref="K238:K301" si="29">K237+G238</f>
        <v>166.30000000000004</v>
      </c>
      <c r="M238">
        <v>5.2</v>
      </c>
      <c r="N238">
        <v>0.4</v>
      </c>
      <c r="O238">
        <f t="shared" si="24"/>
        <v>4.8</v>
      </c>
      <c r="Q238">
        <v>195</v>
      </c>
      <c r="R238">
        <f t="shared" si="27"/>
        <v>1.1078124999999999</v>
      </c>
      <c r="S238">
        <f t="shared" si="25"/>
        <v>0.44312499999999999</v>
      </c>
      <c r="T238">
        <f t="shared" si="26"/>
        <v>4.756875</v>
      </c>
      <c r="U238">
        <f t="shared" ref="U238:U301" si="30">MIN(U237+T238,197.4)</f>
        <v>197.4</v>
      </c>
      <c r="W238">
        <v>266.8</v>
      </c>
      <c r="X238">
        <f t="shared" ref="X238:X301" si="31">X237+W238</f>
        <v>11716.099999999999</v>
      </c>
      <c r="Y238">
        <v>12.119962772246035</v>
      </c>
    </row>
    <row r="239" spans="1:25" x14ac:dyDescent="0.35">
      <c r="A239">
        <v>2920</v>
      </c>
      <c r="B239">
        <v>23610</v>
      </c>
      <c r="C239" s="1">
        <v>43184</v>
      </c>
      <c r="D239" s="1"/>
      <c r="F239" s="52"/>
      <c r="G239">
        <v>8.9</v>
      </c>
      <c r="H239">
        <v>7.8</v>
      </c>
      <c r="I239">
        <v>10.8</v>
      </c>
      <c r="J239">
        <f t="shared" si="28"/>
        <v>1705.2</v>
      </c>
      <c r="K239">
        <f t="shared" si="29"/>
        <v>175.20000000000005</v>
      </c>
      <c r="M239">
        <v>0.5</v>
      </c>
      <c r="N239">
        <v>1</v>
      </c>
      <c r="O239">
        <f t="shared" si="24"/>
        <v>-0.5</v>
      </c>
      <c r="Q239">
        <v>196</v>
      </c>
      <c r="R239">
        <f t="shared" si="27"/>
        <v>1.1124999999999998</v>
      </c>
      <c r="S239">
        <f t="shared" si="25"/>
        <v>1.1124999999999998</v>
      </c>
      <c r="T239">
        <f t="shared" si="26"/>
        <v>-0.61249999999999982</v>
      </c>
      <c r="U239">
        <f t="shared" si="30"/>
        <v>196.78749999999999</v>
      </c>
      <c r="W239">
        <v>649.79999999999995</v>
      </c>
      <c r="X239">
        <f t="shared" si="31"/>
        <v>12365.899999999998</v>
      </c>
      <c r="Y239">
        <v>12.179923828812557</v>
      </c>
    </row>
    <row r="240" spans="1:25" x14ac:dyDescent="0.35">
      <c r="A240">
        <v>2920</v>
      </c>
      <c r="B240">
        <v>23610</v>
      </c>
      <c r="C240" s="1">
        <v>43185</v>
      </c>
      <c r="D240" s="1"/>
      <c r="F240" s="52"/>
      <c r="G240">
        <v>8.9</v>
      </c>
      <c r="H240">
        <v>5.4</v>
      </c>
      <c r="I240">
        <v>11.7</v>
      </c>
      <c r="J240">
        <f t="shared" si="28"/>
        <v>1714.1000000000001</v>
      </c>
      <c r="K240">
        <f t="shared" si="29"/>
        <v>184.10000000000005</v>
      </c>
      <c r="M240">
        <v>3.1</v>
      </c>
      <c r="N240">
        <v>1.6</v>
      </c>
      <c r="O240">
        <f t="shared" si="24"/>
        <v>1.5</v>
      </c>
      <c r="Q240">
        <v>197</v>
      </c>
      <c r="R240">
        <f t="shared" si="27"/>
        <v>1.1171875</v>
      </c>
      <c r="S240">
        <f t="shared" si="25"/>
        <v>1.7875000000000001</v>
      </c>
      <c r="T240">
        <f t="shared" si="26"/>
        <v>1.3125</v>
      </c>
      <c r="U240">
        <f t="shared" si="30"/>
        <v>197.4</v>
      </c>
      <c r="W240">
        <v>1320.9</v>
      </c>
      <c r="X240">
        <f t="shared" si="31"/>
        <v>13686.799999999997</v>
      </c>
      <c r="Y240">
        <v>12.2398604472281</v>
      </c>
    </row>
    <row r="241" spans="1:26" x14ac:dyDescent="0.35">
      <c r="A241">
        <v>2920</v>
      </c>
      <c r="B241">
        <v>23610</v>
      </c>
      <c r="C241" s="1">
        <v>43186</v>
      </c>
      <c r="D241" s="1"/>
      <c r="F241" s="52"/>
      <c r="G241">
        <v>11.5</v>
      </c>
      <c r="H241">
        <v>7.7</v>
      </c>
      <c r="I241">
        <v>14.2</v>
      </c>
      <c r="J241">
        <f t="shared" si="28"/>
        <v>1725.6000000000001</v>
      </c>
      <c r="K241">
        <f t="shared" si="29"/>
        <v>195.60000000000005</v>
      </c>
      <c r="M241">
        <v>3</v>
      </c>
      <c r="N241">
        <v>0.8</v>
      </c>
      <c r="O241">
        <f t="shared" si="24"/>
        <v>2.2000000000000002</v>
      </c>
      <c r="Q241">
        <v>198</v>
      </c>
      <c r="R241">
        <f t="shared" si="27"/>
        <v>1.121875</v>
      </c>
      <c r="S241">
        <f t="shared" si="25"/>
        <v>0.89749999999999996</v>
      </c>
      <c r="T241">
        <f t="shared" si="26"/>
        <v>2.1025</v>
      </c>
      <c r="U241">
        <f t="shared" si="30"/>
        <v>197.4</v>
      </c>
      <c r="W241">
        <v>327.3</v>
      </c>
      <c r="X241">
        <f t="shared" si="31"/>
        <v>14014.099999999997</v>
      </c>
      <c r="Y241">
        <v>12.299764410332713</v>
      </c>
    </row>
    <row r="242" spans="1:26" x14ac:dyDescent="0.35">
      <c r="A242">
        <v>2920</v>
      </c>
      <c r="B242">
        <v>23610</v>
      </c>
      <c r="C242" s="1">
        <v>43187</v>
      </c>
      <c r="D242" s="1"/>
      <c r="F242" s="52"/>
      <c r="G242">
        <v>9.1999999999999993</v>
      </c>
      <c r="H242">
        <v>8.6999999999999993</v>
      </c>
      <c r="I242">
        <v>11.1</v>
      </c>
      <c r="J242">
        <f t="shared" si="28"/>
        <v>1734.8000000000002</v>
      </c>
      <c r="K242">
        <f t="shared" si="29"/>
        <v>204.80000000000004</v>
      </c>
      <c r="M242">
        <v>3.5</v>
      </c>
      <c r="N242">
        <v>1</v>
      </c>
      <c r="O242">
        <f t="shared" si="24"/>
        <v>2.5</v>
      </c>
      <c r="Q242">
        <v>199</v>
      </c>
      <c r="R242">
        <f t="shared" si="27"/>
        <v>1.1265624999999999</v>
      </c>
      <c r="S242">
        <f t="shared" si="25"/>
        <v>1.1265624999999999</v>
      </c>
      <c r="T242">
        <f t="shared" si="26"/>
        <v>2.3734375000000001</v>
      </c>
      <c r="U242">
        <f t="shared" si="30"/>
        <v>197.4</v>
      </c>
      <c r="W242">
        <v>527.1</v>
      </c>
      <c r="X242">
        <f t="shared" si="31"/>
        <v>14541.199999999997</v>
      </c>
      <c r="Y242">
        <v>12.359627440073748</v>
      </c>
    </row>
    <row r="243" spans="1:26" x14ac:dyDescent="0.35">
      <c r="A243">
        <v>2920</v>
      </c>
      <c r="B243">
        <v>23610</v>
      </c>
      <c r="C243" s="1">
        <v>43188</v>
      </c>
      <c r="D243" s="1"/>
      <c r="F243" s="52"/>
      <c r="G243">
        <v>6.3</v>
      </c>
      <c r="H243">
        <v>4</v>
      </c>
      <c r="I243">
        <v>8.5</v>
      </c>
      <c r="J243">
        <f t="shared" si="28"/>
        <v>1741.1000000000001</v>
      </c>
      <c r="K243">
        <f t="shared" si="29"/>
        <v>211.10000000000005</v>
      </c>
      <c r="M243">
        <v>16.8</v>
      </c>
      <c r="N243">
        <v>0.6</v>
      </c>
      <c r="O243">
        <f t="shared" si="24"/>
        <v>16.2</v>
      </c>
      <c r="Q243">
        <v>200</v>
      </c>
      <c r="R243">
        <f t="shared" si="27"/>
        <v>1.1312499999999999</v>
      </c>
      <c r="S243">
        <f t="shared" si="25"/>
        <v>0.67874999999999985</v>
      </c>
      <c r="T243">
        <f t="shared" si="26"/>
        <v>16.12125</v>
      </c>
      <c r="U243">
        <f t="shared" si="30"/>
        <v>197.4</v>
      </c>
      <c r="W243">
        <v>585.1</v>
      </c>
      <c r="X243">
        <f t="shared" si="31"/>
        <v>15126.299999999997</v>
      </c>
      <c r="Y243">
        <v>12.419441182356485</v>
      </c>
    </row>
    <row r="244" spans="1:26" x14ac:dyDescent="0.35">
      <c r="A244">
        <v>2920</v>
      </c>
      <c r="B244">
        <v>23610</v>
      </c>
      <c r="C244" s="1">
        <v>43189</v>
      </c>
      <c r="D244" s="1"/>
      <c r="F244" s="52"/>
      <c r="G244">
        <v>6.6</v>
      </c>
      <c r="H244">
        <v>5</v>
      </c>
      <c r="I244">
        <v>9.5</v>
      </c>
      <c r="J244">
        <f t="shared" si="28"/>
        <v>1747.7</v>
      </c>
      <c r="K244">
        <f t="shared" si="29"/>
        <v>217.70000000000005</v>
      </c>
      <c r="M244">
        <v>2.9</v>
      </c>
      <c r="N244">
        <v>1.4</v>
      </c>
      <c r="O244">
        <f t="shared" si="24"/>
        <v>1.5</v>
      </c>
      <c r="Q244">
        <v>201</v>
      </c>
      <c r="R244">
        <f t="shared" si="27"/>
        <v>1.1359374999999998</v>
      </c>
      <c r="S244">
        <f t="shared" si="25"/>
        <v>1.5903124999999996</v>
      </c>
      <c r="T244">
        <f t="shared" si="26"/>
        <v>1.3096875000000003</v>
      </c>
      <c r="U244">
        <f t="shared" si="30"/>
        <v>197.4</v>
      </c>
      <c r="W244">
        <v>1010.1</v>
      </c>
      <c r="X244">
        <f t="shared" si="31"/>
        <v>16136.399999999998</v>
      </c>
      <c r="Y244">
        <v>12.47919719194522</v>
      </c>
    </row>
    <row r="245" spans="1:26" x14ac:dyDescent="0.35">
      <c r="A245">
        <v>2920</v>
      </c>
      <c r="B245">
        <v>23610</v>
      </c>
      <c r="C245" s="1">
        <v>43190</v>
      </c>
      <c r="D245" s="1"/>
      <c r="F245" s="52"/>
      <c r="G245">
        <v>5.9</v>
      </c>
      <c r="H245">
        <v>2.4</v>
      </c>
      <c r="I245">
        <v>8.1</v>
      </c>
      <c r="J245">
        <f t="shared" si="28"/>
        <v>1753.6000000000001</v>
      </c>
      <c r="K245">
        <f t="shared" si="29"/>
        <v>223.60000000000005</v>
      </c>
      <c r="M245">
        <v>2.1</v>
      </c>
      <c r="N245">
        <v>0.7</v>
      </c>
      <c r="O245">
        <f t="shared" si="24"/>
        <v>1.4000000000000001</v>
      </c>
      <c r="Q245">
        <v>202</v>
      </c>
      <c r="R245">
        <f t="shared" si="27"/>
        <v>1.140625</v>
      </c>
      <c r="S245">
        <f t="shared" si="25"/>
        <v>0.79843749999999991</v>
      </c>
      <c r="T245">
        <f t="shared" si="26"/>
        <v>1.3015625000000002</v>
      </c>
      <c r="U245">
        <f t="shared" si="30"/>
        <v>197.4</v>
      </c>
      <c r="W245">
        <v>519.70000000000005</v>
      </c>
      <c r="X245">
        <f t="shared" si="31"/>
        <v>16656.099999999999</v>
      </c>
      <c r="Y245">
        <v>12.538886917426161</v>
      </c>
    </row>
    <row r="246" spans="1:26" x14ac:dyDescent="0.35">
      <c r="A246">
        <v>2920</v>
      </c>
      <c r="B246">
        <v>23610</v>
      </c>
      <c r="C246" s="1">
        <v>43191</v>
      </c>
      <c r="D246" s="1"/>
      <c r="F246" s="52"/>
      <c r="G246">
        <v>7</v>
      </c>
      <c r="H246">
        <v>1.9</v>
      </c>
      <c r="I246">
        <v>10.3</v>
      </c>
      <c r="J246">
        <f t="shared" si="28"/>
        <v>1760.6000000000001</v>
      </c>
      <c r="K246">
        <f t="shared" si="29"/>
        <v>230.60000000000005</v>
      </c>
      <c r="M246">
        <v>3.7</v>
      </c>
      <c r="N246">
        <v>0.8</v>
      </c>
      <c r="O246">
        <f t="shared" si="24"/>
        <v>2.9000000000000004</v>
      </c>
      <c r="Q246">
        <v>203</v>
      </c>
      <c r="R246">
        <f t="shared" si="27"/>
        <v>1.1453125</v>
      </c>
      <c r="S246">
        <f t="shared" si="25"/>
        <v>0.91625000000000001</v>
      </c>
      <c r="T246">
        <f t="shared" si="26"/>
        <v>2.7837500000000004</v>
      </c>
      <c r="U246">
        <f t="shared" si="30"/>
        <v>197.4</v>
      </c>
      <c r="W246">
        <v>711.1</v>
      </c>
      <c r="X246">
        <f t="shared" si="31"/>
        <v>17367.199999999997</v>
      </c>
      <c r="Y246">
        <v>12.598501686244129</v>
      </c>
    </row>
    <row r="247" spans="1:26" s="4" customFormat="1" ht="15" thickBot="1" x14ac:dyDescent="0.4">
      <c r="A247" s="4">
        <v>2920</v>
      </c>
      <c r="B247" s="4">
        <v>23610</v>
      </c>
      <c r="C247" s="5">
        <v>43192</v>
      </c>
      <c r="D247" s="5"/>
      <c r="F247" s="53"/>
      <c r="G247" s="4">
        <v>11.1</v>
      </c>
      <c r="H247" s="4">
        <v>8.1999999999999993</v>
      </c>
      <c r="I247" s="4">
        <v>14</v>
      </c>
      <c r="J247" s="4">
        <f t="shared" si="28"/>
        <v>1771.7</v>
      </c>
      <c r="K247" s="4">
        <f t="shared" si="29"/>
        <v>241.70000000000005</v>
      </c>
      <c r="M247" s="4">
        <v>1.5</v>
      </c>
      <c r="N247" s="4">
        <v>1.9</v>
      </c>
      <c r="O247" s="4">
        <f t="shared" si="24"/>
        <v>-0.39999999999999991</v>
      </c>
      <c r="Q247" s="4">
        <v>204</v>
      </c>
      <c r="R247" s="4">
        <f t="shared" si="27"/>
        <v>1.1499999999999999</v>
      </c>
      <c r="S247" s="4">
        <f t="shared" si="25"/>
        <v>2.1849999999999996</v>
      </c>
      <c r="T247" s="4">
        <f t="shared" si="26"/>
        <v>-0.68499999999999961</v>
      </c>
      <c r="U247" s="4">
        <f t="shared" si="30"/>
        <v>196.715</v>
      </c>
      <c r="W247" s="4">
        <v>1438.9</v>
      </c>
      <c r="X247" s="4">
        <f t="shared" si="31"/>
        <v>18806.099999999999</v>
      </c>
      <c r="Y247" s="4">
        <v>12.658032689825911</v>
      </c>
    </row>
    <row r="248" spans="1:26" x14ac:dyDescent="0.35">
      <c r="A248">
        <v>2920</v>
      </c>
      <c r="B248">
        <v>23610</v>
      </c>
      <c r="C248" s="1">
        <v>43193</v>
      </c>
      <c r="D248" s="1" t="s">
        <v>33</v>
      </c>
      <c r="F248" s="31" t="s">
        <v>57</v>
      </c>
      <c r="G248">
        <v>10.7</v>
      </c>
      <c r="H248">
        <v>10.4</v>
      </c>
      <c r="I248">
        <v>12</v>
      </c>
      <c r="J248">
        <f t="shared" si="28"/>
        <v>1782.4</v>
      </c>
      <c r="K248">
        <f>G248</f>
        <v>10.7</v>
      </c>
      <c r="L248" s="17" t="s">
        <v>38</v>
      </c>
      <c r="M248">
        <v>3.2</v>
      </c>
      <c r="N248">
        <v>1</v>
      </c>
      <c r="O248">
        <f t="shared" si="24"/>
        <v>2.2000000000000002</v>
      </c>
      <c r="Q248">
        <v>205</v>
      </c>
      <c r="R248">
        <v>1.1499999999999999</v>
      </c>
      <c r="S248">
        <f t="shared" si="25"/>
        <v>1.1499999999999999</v>
      </c>
      <c r="T248">
        <f t="shared" si="26"/>
        <v>2.0500000000000003</v>
      </c>
      <c r="U248">
        <f t="shared" si="30"/>
        <v>197.4</v>
      </c>
      <c r="V248" s="18" t="s">
        <v>45</v>
      </c>
      <c r="W248">
        <v>512.79999999999995</v>
      </c>
      <c r="X248">
        <f>W248</f>
        <v>512.79999999999995</v>
      </c>
      <c r="Y248">
        <v>12.717470968803998</v>
      </c>
      <c r="Z248" s="18" t="s">
        <v>50</v>
      </c>
    </row>
    <row r="249" spans="1:26" x14ac:dyDescent="0.35">
      <c r="A249">
        <v>2920</v>
      </c>
      <c r="B249">
        <v>23610</v>
      </c>
      <c r="C249" s="1">
        <v>43194</v>
      </c>
      <c r="D249" s="1"/>
      <c r="F249" s="32"/>
      <c r="G249">
        <v>9.9</v>
      </c>
      <c r="H249">
        <v>9</v>
      </c>
      <c r="I249">
        <v>11.2</v>
      </c>
      <c r="J249">
        <f t="shared" si="28"/>
        <v>1792.3000000000002</v>
      </c>
      <c r="K249">
        <f t="shared" si="29"/>
        <v>20.6</v>
      </c>
      <c r="L249" s="8">
        <v>273.60000000000002</v>
      </c>
      <c r="M249">
        <v>4.0999999999999996</v>
      </c>
      <c r="N249">
        <v>1.3</v>
      </c>
      <c r="O249">
        <f t="shared" si="24"/>
        <v>2.8</v>
      </c>
      <c r="Q249">
        <v>206</v>
      </c>
      <c r="R249">
        <v>1.1499999999999999</v>
      </c>
      <c r="S249">
        <f t="shared" si="25"/>
        <v>1.4949999999999999</v>
      </c>
      <c r="T249">
        <f t="shared" si="26"/>
        <v>2.6049999999999995</v>
      </c>
      <c r="U249">
        <f t="shared" si="30"/>
        <v>197.4</v>
      </c>
      <c r="V249">
        <v>0</v>
      </c>
      <c r="W249">
        <v>524.5</v>
      </c>
      <c r="X249">
        <f t="shared" si="31"/>
        <v>1037.3</v>
      </c>
      <c r="Y249">
        <v>12.776807398355439</v>
      </c>
      <c r="Z249">
        <v>26780.6</v>
      </c>
    </row>
    <row r="250" spans="1:26" x14ac:dyDescent="0.35">
      <c r="A250">
        <v>2920</v>
      </c>
      <c r="B250">
        <v>23610</v>
      </c>
      <c r="C250" s="1">
        <v>43195</v>
      </c>
      <c r="D250" s="1"/>
      <c r="F250" s="32"/>
      <c r="G250">
        <v>9.3000000000000007</v>
      </c>
      <c r="H250">
        <v>5.5</v>
      </c>
      <c r="I250">
        <v>12.3</v>
      </c>
      <c r="J250">
        <f t="shared" si="28"/>
        <v>1801.6000000000001</v>
      </c>
      <c r="K250">
        <f t="shared" si="29"/>
        <v>29.900000000000002</v>
      </c>
      <c r="L250" s="17" t="s">
        <v>39</v>
      </c>
      <c r="M250">
        <v>0</v>
      </c>
      <c r="N250">
        <v>1.5</v>
      </c>
      <c r="O250">
        <f t="shared" si="24"/>
        <v>-1.5</v>
      </c>
      <c r="Q250">
        <v>207</v>
      </c>
      <c r="R250">
        <v>1.1499999999999999</v>
      </c>
      <c r="S250">
        <f t="shared" si="25"/>
        <v>1.7249999999999999</v>
      </c>
      <c r="T250">
        <f t="shared" si="26"/>
        <v>-1.7249999999999999</v>
      </c>
      <c r="U250">
        <f t="shared" si="30"/>
        <v>195.67500000000001</v>
      </c>
      <c r="V250" s="18" t="s">
        <v>46</v>
      </c>
      <c r="W250">
        <v>987.9</v>
      </c>
      <c r="X250">
        <f t="shared" si="31"/>
        <v>2025.1999999999998</v>
      </c>
      <c r="Y250">
        <v>12.836032673671708</v>
      </c>
      <c r="Z250" s="18" t="s">
        <v>51</v>
      </c>
    </row>
    <row r="251" spans="1:26" x14ac:dyDescent="0.35">
      <c r="A251">
        <v>2920</v>
      </c>
      <c r="B251">
        <v>23610</v>
      </c>
      <c r="C251" s="1">
        <v>43196</v>
      </c>
      <c r="D251" s="1"/>
      <c r="F251" s="32"/>
      <c r="G251">
        <v>12.8</v>
      </c>
      <c r="H251">
        <v>6.3</v>
      </c>
      <c r="I251">
        <v>17.899999999999999</v>
      </c>
      <c r="J251">
        <f t="shared" si="28"/>
        <v>1814.4</v>
      </c>
      <c r="K251">
        <f t="shared" si="29"/>
        <v>42.7</v>
      </c>
      <c r="L251" s="9">
        <f>AVERAGE(G248:G268)</f>
        <v>13.028571428571432</v>
      </c>
      <c r="M251">
        <v>0</v>
      </c>
      <c r="N251">
        <v>3.1</v>
      </c>
      <c r="O251">
        <f t="shared" si="24"/>
        <v>-3.1</v>
      </c>
      <c r="Q251">
        <v>208</v>
      </c>
      <c r="R251">
        <v>1.1499999999999999</v>
      </c>
      <c r="S251">
        <f t="shared" si="25"/>
        <v>3.5649999999999999</v>
      </c>
      <c r="T251">
        <f t="shared" si="26"/>
        <v>-3.5649999999999999</v>
      </c>
      <c r="U251">
        <f t="shared" si="30"/>
        <v>192.11</v>
      </c>
      <c r="V251">
        <v>0</v>
      </c>
      <c r="W251">
        <v>2123.4</v>
      </c>
      <c r="X251">
        <f t="shared" si="31"/>
        <v>4148.6000000000004</v>
      </c>
      <c r="Y251">
        <v>12.895137295576747</v>
      </c>
      <c r="Z251" s="11">
        <f>(Z249/100)/L249</f>
        <v>0.97882309941520451</v>
      </c>
    </row>
    <row r="252" spans="1:26" x14ac:dyDescent="0.35">
      <c r="A252">
        <v>2920</v>
      </c>
      <c r="B252">
        <v>23610</v>
      </c>
      <c r="C252" s="1">
        <v>43197</v>
      </c>
      <c r="D252" s="1"/>
      <c r="F252" s="32"/>
      <c r="G252">
        <v>12.4</v>
      </c>
      <c r="H252">
        <v>11.4</v>
      </c>
      <c r="I252">
        <v>14.1</v>
      </c>
      <c r="J252">
        <f t="shared" si="28"/>
        <v>1826.8000000000002</v>
      </c>
      <c r="K252">
        <f t="shared" si="29"/>
        <v>55.1</v>
      </c>
      <c r="L252" s="17" t="s">
        <v>40</v>
      </c>
      <c r="M252">
        <v>8.1</v>
      </c>
      <c r="N252">
        <v>0.9</v>
      </c>
      <c r="O252">
        <f t="shared" si="24"/>
        <v>7.1999999999999993</v>
      </c>
      <c r="Q252">
        <v>209</v>
      </c>
      <c r="R252">
        <v>1.1499999999999999</v>
      </c>
      <c r="S252">
        <f t="shared" si="25"/>
        <v>1.0349999999999999</v>
      </c>
      <c r="T252">
        <f t="shared" si="26"/>
        <v>7.0649999999999995</v>
      </c>
      <c r="U252">
        <f t="shared" si="30"/>
        <v>197.4</v>
      </c>
      <c r="V252" s="18" t="s">
        <v>47</v>
      </c>
      <c r="W252">
        <v>377</v>
      </c>
      <c r="X252">
        <f t="shared" si="31"/>
        <v>4525.6000000000004</v>
      </c>
      <c r="Y252">
        <v>12.954111556311608</v>
      </c>
      <c r="Z252" s="18" t="s">
        <v>52</v>
      </c>
    </row>
    <row r="253" spans="1:26" x14ac:dyDescent="0.35">
      <c r="A253">
        <v>2920</v>
      </c>
      <c r="B253">
        <v>23610</v>
      </c>
      <c r="C253" s="1">
        <v>43198</v>
      </c>
      <c r="D253" s="1"/>
      <c r="F253" s="32"/>
      <c r="G253">
        <v>10.1</v>
      </c>
      <c r="H253">
        <v>8.8000000000000007</v>
      </c>
      <c r="I253">
        <v>10.9</v>
      </c>
      <c r="J253">
        <f t="shared" si="28"/>
        <v>1836.9</v>
      </c>
      <c r="K253">
        <f t="shared" si="29"/>
        <v>65.2</v>
      </c>
      <c r="L253" s="8">
        <f>MIN(H248:H268)</f>
        <v>5.5</v>
      </c>
      <c r="M253">
        <v>3.4</v>
      </c>
      <c r="N253">
        <v>0.7</v>
      </c>
      <c r="O253">
        <f t="shared" si="24"/>
        <v>2.7</v>
      </c>
      <c r="Q253">
        <v>210</v>
      </c>
      <c r="R253">
        <v>1.1499999999999999</v>
      </c>
      <c r="S253">
        <f t="shared" si="25"/>
        <v>0.80499999999999994</v>
      </c>
      <c r="T253">
        <f t="shared" si="26"/>
        <v>2.5949999999999998</v>
      </c>
      <c r="U253">
        <f t="shared" si="30"/>
        <v>197.4</v>
      </c>
      <c r="V253" s="11">
        <f>MIN(U248:U268)</f>
        <v>159.815</v>
      </c>
      <c r="W253">
        <v>428.9</v>
      </c>
      <c r="X253">
        <f t="shared" si="31"/>
        <v>4954.5</v>
      </c>
      <c r="Y253">
        <v>13.012945525505742</v>
      </c>
      <c r="Z253">
        <v>6</v>
      </c>
    </row>
    <row r="254" spans="1:26" x14ac:dyDescent="0.35">
      <c r="A254">
        <v>2920</v>
      </c>
      <c r="B254">
        <v>23610</v>
      </c>
      <c r="C254" s="1">
        <v>43199</v>
      </c>
      <c r="D254" s="1"/>
      <c r="F254" s="32"/>
      <c r="G254">
        <v>12</v>
      </c>
      <c r="H254">
        <v>10.3</v>
      </c>
      <c r="I254">
        <v>14.1</v>
      </c>
      <c r="J254">
        <f t="shared" si="28"/>
        <v>1848.9</v>
      </c>
      <c r="K254">
        <f t="shared" si="29"/>
        <v>77.2</v>
      </c>
      <c r="L254" s="17" t="s">
        <v>41</v>
      </c>
      <c r="M254">
        <v>6.9</v>
      </c>
      <c r="N254">
        <v>0.7</v>
      </c>
      <c r="O254">
        <f t="shared" si="24"/>
        <v>6.2</v>
      </c>
      <c r="Q254">
        <v>211</v>
      </c>
      <c r="R254">
        <v>1.1499999999999999</v>
      </c>
      <c r="S254">
        <f t="shared" si="25"/>
        <v>0.80499999999999994</v>
      </c>
      <c r="T254">
        <f t="shared" si="26"/>
        <v>6.0950000000000006</v>
      </c>
      <c r="U254">
        <f t="shared" si="30"/>
        <v>197.4</v>
      </c>
      <c r="V254" s="18" t="s">
        <v>48</v>
      </c>
      <c r="W254">
        <v>446.1</v>
      </c>
      <c r="X254">
        <f t="shared" si="31"/>
        <v>5400.6</v>
      </c>
      <c r="Y254">
        <v>13.071629036356406</v>
      </c>
    </row>
    <row r="255" spans="1:26" x14ac:dyDescent="0.35">
      <c r="A255">
        <v>2920</v>
      </c>
      <c r="B255">
        <v>23610</v>
      </c>
      <c r="C255" s="1">
        <v>43200</v>
      </c>
      <c r="D255" s="1"/>
      <c r="F255" s="32"/>
      <c r="G255">
        <v>10.4</v>
      </c>
      <c r="H255">
        <v>8.3000000000000007</v>
      </c>
      <c r="I255">
        <v>13.3</v>
      </c>
      <c r="J255">
        <f t="shared" si="28"/>
        <v>1859.3000000000002</v>
      </c>
      <c r="K255">
        <f t="shared" si="29"/>
        <v>87.600000000000009</v>
      </c>
      <c r="L255" s="8">
        <f>MAX(I248:I268)</f>
        <v>25.9</v>
      </c>
      <c r="M255">
        <v>0.4</v>
      </c>
      <c r="N255">
        <v>1.4</v>
      </c>
      <c r="O255">
        <f t="shared" si="24"/>
        <v>-0.99999999999999989</v>
      </c>
      <c r="Q255">
        <v>212</v>
      </c>
      <c r="R255">
        <v>1.1499999999999999</v>
      </c>
      <c r="S255">
        <f t="shared" si="25"/>
        <v>1.6099999999999999</v>
      </c>
      <c r="T255">
        <f t="shared" si="26"/>
        <v>-1.21</v>
      </c>
      <c r="U255">
        <f t="shared" si="30"/>
        <v>196.19</v>
      </c>
      <c r="V255" s="11">
        <f>MAX(U248:U268)</f>
        <v>197.4</v>
      </c>
      <c r="W255">
        <v>908.4</v>
      </c>
      <c r="X255">
        <f t="shared" si="31"/>
        <v>6309</v>
      </c>
      <c r="Y255">
        <v>13.130151672039412</v>
      </c>
    </row>
    <row r="256" spans="1:26" x14ac:dyDescent="0.35">
      <c r="A256">
        <v>2920</v>
      </c>
      <c r="B256">
        <v>23610</v>
      </c>
      <c r="C256" s="1">
        <v>43201</v>
      </c>
      <c r="D256" s="1"/>
      <c r="F256" s="32"/>
      <c r="G256">
        <v>10.9</v>
      </c>
      <c r="H256">
        <v>5.5</v>
      </c>
      <c r="I256">
        <v>14.6</v>
      </c>
      <c r="J256">
        <f t="shared" si="28"/>
        <v>1870.2000000000003</v>
      </c>
      <c r="K256">
        <f t="shared" si="29"/>
        <v>98.500000000000014</v>
      </c>
      <c r="L256" s="17" t="s">
        <v>42</v>
      </c>
      <c r="M256">
        <v>0</v>
      </c>
      <c r="N256">
        <v>1.4</v>
      </c>
      <c r="O256">
        <f t="shared" si="24"/>
        <v>-1.4</v>
      </c>
      <c r="Q256">
        <v>213</v>
      </c>
      <c r="R256">
        <v>1.1499999999999999</v>
      </c>
      <c r="S256">
        <f t="shared" si="25"/>
        <v>1.6099999999999999</v>
      </c>
      <c r="T256">
        <f t="shared" si="26"/>
        <v>-1.6099999999999999</v>
      </c>
      <c r="U256">
        <f t="shared" si="30"/>
        <v>194.57999999999998</v>
      </c>
      <c r="V256" s="18" t="s">
        <v>49</v>
      </c>
      <c r="W256">
        <v>1182.5</v>
      </c>
      <c r="X256">
        <f t="shared" si="31"/>
        <v>7491.5</v>
      </c>
      <c r="Y256">
        <v>13.188502752376252</v>
      </c>
    </row>
    <row r="257" spans="1:26" x14ac:dyDescent="0.35">
      <c r="A257">
        <v>2920</v>
      </c>
      <c r="B257">
        <v>23610</v>
      </c>
      <c r="C257" s="1">
        <v>43202</v>
      </c>
      <c r="D257" s="1"/>
      <c r="F257" s="32"/>
      <c r="G257">
        <v>13.3</v>
      </c>
      <c r="H257">
        <v>10.199999999999999</v>
      </c>
      <c r="I257">
        <v>18.3</v>
      </c>
      <c r="J257">
        <f t="shared" si="28"/>
        <v>1883.5000000000002</v>
      </c>
      <c r="K257">
        <f t="shared" si="29"/>
        <v>111.80000000000001</v>
      </c>
      <c r="L257" s="8">
        <v>1</v>
      </c>
      <c r="M257">
        <v>0.1</v>
      </c>
      <c r="N257">
        <v>2.2999999999999998</v>
      </c>
      <c r="O257">
        <f t="shared" si="24"/>
        <v>-2.1999999999999997</v>
      </c>
      <c r="Q257">
        <v>214</v>
      </c>
      <c r="R257">
        <v>1.1499999999999999</v>
      </c>
      <c r="S257">
        <f t="shared" si="25"/>
        <v>2.6449999999999996</v>
      </c>
      <c r="T257">
        <f t="shared" si="26"/>
        <v>-2.5449999999999995</v>
      </c>
      <c r="U257">
        <f t="shared" si="30"/>
        <v>192.035</v>
      </c>
      <c r="V257" s="11">
        <f>AVERAGE(U248:U268)</f>
        <v>185.53071428571431</v>
      </c>
      <c r="W257">
        <v>1441.9</v>
      </c>
      <c r="X257">
        <f t="shared" si="31"/>
        <v>8933.4</v>
      </c>
      <c r="Y257">
        <v>13.246671320784426</v>
      </c>
    </row>
    <row r="258" spans="1:26" x14ac:dyDescent="0.35">
      <c r="A258">
        <v>2920</v>
      </c>
      <c r="B258">
        <v>23610</v>
      </c>
      <c r="C258" s="1">
        <v>43203</v>
      </c>
      <c r="D258" s="1"/>
      <c r="F258" s="32"/>
      <c r="G258">
        <v>11.6</v>
      </c>
      <c r="H258">
        <v>7.4</v>
      </c>
      <c r="I258">
        <v>16</v>
      </c>
      <c r="J258">
        <f t="shared" si="28"/>
        <v>1895.1000000000001</v>
      </c>
      <c r="K258">
        <f t="shared" si="29"/>
        <v>123.4</v>
      </c>
      <c r="L258" s="17" t="s">
        <v>43</v>
      </c>
      <c r="M258">
        <v>1</v>
      </c>
      <c r="N258">
        <v>2.2000000000000002</v>
      </c>
      <c r="O258">
        <f t="shared" si="24"/>
        <v>-1.2000000000000002</v>
      </c>
      <c r="Q258">
        <v>215</v>
      </c>
      <c r="R258">
        <v>1.1499999999999999</v>
      </c>
      <c r="S258">
        <f t="shared" si="25"/>
        <v>2.5299999999999998</v>
      </c>
      <c r="T258">
        <f t="shared" si="26"/>
        <v>-1.5299999999999998</v>
      </c>
      <c r="U258">
        <f t="shared" si="30"/>
        <v>190.505</v>
      </c>
      <c r="W258">
        <v>1582.4</v>
      </c>
      <c r="X258">
        <f t="shared" si="31"/>
        <v>10515.8</v>
      </c>
      <c r="Y258">
        <v>13.304646131539867</v>
      </c>
    </row>
    <row r="259" spans="1:26" x14ac:dyDescent="0.35">
      <c r="A259">
        <v>2920</v>
      </c>
      <c r="B259">
        <v>23610</v>
      </c>
      <c r="C259" s="1">
        <v>43204</v>
      </c>
      <c r="D259" s="1"/>
      <c r="F259" s="32"/>
      <c r="G259">
        <v>11.8</v>
      </c>
      <c r="H259">
        <v>8.6</v>
      </c>
      <c r="I259">
        <v>15.7</v>
      </c>
      <c r="J259">
        <f t="shared" si="28"/>
        <v>1906.9</v>
      </c>
      <c r="K259">
        <f t="shared" si="29"/>
        <v>135.20000000000002</v>
      </c>
      <c r="L259" s="8">
        <v>0</v>
      </c>
      <c r="M259">
        <v>0.4</v>
      </c>
      <c r="N259">
        <v>1.2</v>
      </c>
      <c r="O259">
        <f t="shared" si="24"/>
        <v>-0.79999999999999993</v>
      </c>
      <c r="Q259">
        <v>216</v>
      </c>
      <c r="R259">
        <v>1.1499999999999999</v>
      </c>
      <c r="S259">
        <f t="shared" si="25"/>
        <v>1.38</v>
      </c>
      <c r="T259">
        <f t="shared" si="26"/>
        <v>-0.97999999999999987</v>
      </c>
      <c r="U259">
        <f t="shared" si="30"/>
        <v>189.52500000000001</v>
      </c>
      <c r="V259" s="12">
        <f>(V257*100)/197.4</f>
        <v>93.987190620929226</v>
      </c>
      <c r="W259">
        <v>1007.5</v>
      </c>
      <c r="X259">
        <f t="shared" si="31"/>
        <v>11523.3</v>
      </c>
      <c r="Y259">
        <v>13.362415637382384</v>
      </c>
    </row>
    <row r="260" spans="1:26" x14ac:dyDescent="0.35">
      <c r="A260">
        <v>2920</v>
      </c>
      <c r="B260">
        <v>23610</v>
      </c>
      <c r="C260" s="1">
        <v>43205</v>
      </c>
      <c r="D260" s="1"/>
      <c r="F260" s="32"/>
      <c r="G260">
        <v>11.8</v>
      </c>
      <c r="H260">
        <v>8.8000000000000007</v>
      </c>
      <c r="I260">
        <v>15.9</v>
      </c>
      <c r="J260">
        <f t="shared" si="28"/>
        <v>1918.7</v>
      </c>
      <c r="K260">
        <f t="shared" si="29"/>
        <v>147.00000000000003</v>
      </c>
      <c r="L260" s="17" t="s">
        <v>44</v>
      </c>
      <c r="M260">
        <v>1.7</v>
      </c>
      <c r="N260">
        <v>2.1</v>
      </c>
      <c r="O260">
        <f t="shared" si="24"/>
        <v>-0.40000000000000013</v>
      </c>
      <c r="Q260">
        <v>217</v>
      </c>
      <c r="R260">
        <v>1.1499999999999999</v>
      </c>
      <c r="S260">
        <f t="shared" si="25"/>
        <v>2.415</v>
      </c>
      <c r="T260">
        <f t="shared" si="26"/>
        <v>-0.71500000000000008</v>
      </c>
      <c r="U260">
        <f t="shared" si="30"/>
        <v>188.81</v>
      </c>
      <c r="W260">
        <v>1317</v>
      </c>
      <c r="X260">
        <f t="shared" si="31"/>
        <v>12840.3</v>
      </c>
      <c r="Y260">
        <v>13.419967977497169</v>
      </c>
    </row>
    <row r="261" spans="1:26" x14ac:dyDescent="0.35">
      <c r="A261">
        <v>2920</v>
      </c>
      <c r="B261">
        <v>23610</v>
      </c>
      <c r="C261" s="1">
        <v>43206</v>
      </c>
      <c r="D261" s="1"/>
      <c r="F261" s="32"/>
      <c r="G261">
        <v>10.9</v>
      </c>
      <c r="H261">
        <v>7.4</v>
      </c>
      <c r="I261">
        <v>14.2</v>
      </c>
      <c r="J261">
        <f t="shared" si="28"/>
        <v>1929.6000000000001</v>
      </c>
      <c r="K261">
        <f t="shared" si="29"/>
        <v>157.90000000000003</v>
      </c>
      <c r="L261" s="8">
        <v>0</v>
      </c>
      <c r="M261">
        <v>0.1</v>
      </c>
      <c r="N261">
        <v>1.7</v>
      </c>
      <c r="O261">
        <f t="shared" ref="O261:O324" si="32">M261-N261</f>
        <v>-1.5999999999999999</v>
      </c>
      <c r="Q261">
        <v>218</v>
      </c>
      <c r="R261">
        <v>1.1499999999999999</v>
      </c>
      <c r="S261">
        <f t="shared" ref="S261:S324" si="33">R261*N261</f>
        <v>1.9549999999999998</v>
      </c>
      <c r="T261">
        <f t="shared" ref="T261:T324" si="34">M261-S261</f>
        <v>-1.8549999999999998</v>
      </c>
      <c r="U261">
        <f t="shared" si="30"/>
        <v>186.95500000000001</v>
      </c>
      <c r="W261">
        <v>1063.3</v>
      </c>
      <c r="X261">
        <f t="shared" si="31"/>
        <v>13903.599999999999</v>
      </c>
      <c r="Y261">
        <v>13.477290965907706</v>
      </c>
    </row>
    <row r="262" spans="1:26" x14ac:dyDescent="0.35">
      <c r="A262">
        <v>2920</v>
      </c>
      <c r="B262">
        <v>23610</v>
      </c>
      <c r="C262" s="1">
        <v>43207</v>
      </c>
      <c r="D262" s="1"/>
      <c r="F262" s="32"/>
      <c r="G262">
        <v>13.9</v>
      </c>
      <c r="H262">
        <v>7.9</v>
      </c>
      <c r="I262">
        <v>19.100000000000001</v>
      </c>
      <c r="J262">
        <f t="shared" si="28"/>
        <v>1943.5000000000002</v>
      </c>
      <c r="K262">
        <f t="shared" si="29"/>
        <v>171.80000000000004</v>
      </c>
      <c r="M262">
        <v>0</v>
      </c>
      <c r="N262">
        <v>3.9</v>
      </c>
      <c r="O262">
        <f t="shared" si="32"/>
        <v>-3.9</v>
      </c>
      <c r="Q262">
        <v>219</v>
      </c>
      <c r="R262">
        <v>1.1499999999999999</v>
      </c>
      <c r="S262">
        <f t="shared" si="33"/>
        <v>4.4849999999999994</v>
      </c>
      <c r="T262">
        <f t="shared" si="34"/>
        <v>-4.4849999999999994</v>
      </c>
      <c r="U262">
        <f t="shared" si="30"/>
        <v>182.47000000000003</v>
      </c>
      <c r="W262">
        <v>2462.8000000000002</v>
      </c>
      <c r="X262">
        <f t="shared" si="31"/>
        <v>16366.399999999998</v>
      </c>
      <c r="Y262">
        <v>13.534372080317652</v>
      </c>
    </row>
    <row r="263" spans="1:26" x14ac:dyDescent="0.35">
      <c r="A263">
        <v>2920</v>
      </c>
      <c r="B263">
        <v>23610</v>
      </c>
      <c r="C263" s="1">
        <v>43208</v>
      </c>
      <c r="D263" s="1"/>
      <c r="F263" s="32"/>
      <c r="G263">
        <v>17.2</v>
      </c>
      <c r="H263">
        <v>8.1</v>
      </c>
      <c r="I263">
        <v>24.1</v>
      </c>
      <c r="J263">
        <f t="shared" si="28"/>
        <v>1960.7000000000003</v>
      </c>
      <c r="K263">
        <f t="shared" si="29"/>
        <v>189.00000000000003</v>
      </c>
      <c r="M263">
        <v>0</v>
      </c>
      <c r="N263">
        <v>4.5999999999999996</v>
      </c>
      <c r="O263">
        <f t="shared" si="32"/>
        <v>-4.5999999999999996</v>
      </c>
      <c r="Q263">
        <v>220</v>
      </c>
      <c r="R263">
        <v>1.1499999999999999</v>
      </c>
      <c r="S263">
        <f t="shared" si="33"/>
        <v>5.2899999999999991</v>
      </c>
      <c r="T263">
        <f t="shared" si="34"/>
        <v>-5.2899999999999991</v>
      </c>
      <c r="U263">
        <f t="shared" si="30"/>
        <v>177.18000000000004</v>
      </c>
      <c r="W263">
        <v>2510.4</v>
      </c>
      <c r="X263">
        <f t="shared" si="31"/>
        <v>18876.8</v>
      </c>
      <c r="Y263">
        <v>13.591198451441665</v>
      </c>
    </row>
    <row r="264" spans="1:26" x14ac:dyDescent="0.35">
      <c r="A264">
        <v>2920</v>
      </c>
      <c r="B264">
        <v>23610</v>
      </c>
      <c r="C264" s="1">
        <v>43209</v>
      </c>
      <c r="D264" s="1"/>
      <c r="F264" s="32"/>
      <c r="G264">
        <v>18.399999999999999</v>
      </c>
      <c r="H264">
        <v>11.6</v>
      </c>
      <c r="I264">
        <v>24.9</v>
      </c>
      <c r="J264">
        <f t="shared" si="28"/>
        <v>1979.1000000000004</v>
      </c>
      <c r="K264">
        <f t="shared" si="29"/>
        <v>207.40000000000003</v>
      </c>
      <c r="M264">
        <v>0</v>
      </c>
      <c r="N264">
        <v>4.8</v>
      </c>
      <c r="O264">
        <f t="shared" si="32"/>
        <v>-4.8</v>
      </c>
      <c r="Q264">
        <v>221</v>
      </c>
      <c r="R264">
        <v>1.1499999999999999</v>
      </c>
      <c r="S264">
        <f t="shared" si="33"/>
        <v>5.52</v>
      </c>
      <c r="T264">
        <f t="shared" si="34"/>
        <v>-5.52</v>
      </c>
      <c r="U264">
        <f t="shared" si="30"/>
        <v>171.66000000000003</v>
      </c>
      <c r="W264">
        <v>2489.3000000000002</v>
      </c>
      <c r="X264">
        <f t="shared" si="31"/>
        <v>21366.1</v>
      </c>
      <c r="Y264">
        <v>13.647756852867508</v>
      </c>
    </row>
    <row r="265" spans="1:26" x14ac:dyDescent="0.35">
      <c r="A265">
        <v>2920</v>
      </c>
      <c r="B265">
        <v>23610</v>
      </c>
      <c r="C265" s="1">
        <v>43210</v>
      </c>
      <c r="D265" s="1"/>
      <c r="F265" s="32"/>
      <c r="G265">
        <v>19</v>
      </c>
      <c r="H265">
        <v>10.6</v>
      </c>
      <c r="I265">
        <v>25.9</v>
      </c>
      <c r="J265">
        <f t="shared" si="28"/>
        <v>1998.1000000000004</v>
      </c>
      <c r="K265">
        <f t="shared" si="29"/>
        <v>226.40000000000003</v>
      </c>
      <c r="M265">
        <v>0</v>
      </c>
      <c r="N265">
        <v>4.5</v>
      </c>
      <c r="O265">
        <f t="shared" si="32"/>
        <v>-4.5</v>
      </c>
      <c r="Q265">
        <v>222</v>
      </c>
      <c r="R265">
        <v>1.1499999999999999</v>
      </c>
      <c r="S265">
        <f t="shared" si="33"/>
        <v>5.1749999999999998</v>
      </c>
      <c r="T265">
        <f t="shared" si="34"/>
        <v>-5.1749999999999998</v>
      </c>
      <c r="U265">
        <f t="shared" si="30"/>
        <v>166.48500000000001</v>
      </c>
      <c r="W265">
        <v>2325.6999999999998</v>
      </c>
      <c r="X265">
        <f t="shared" si="31"/>
        <v>23691.8</v>
      </c>
      <c r="Y265">
        <v>13.704033691494255</v>
      </c>
    </row>
    <row r="266" spans="1:26" x14ac:dyDescent="0.35">
      <c r="A266">
        <v>2920</v>
      </c>
      <c r="B266">
        <v>23610</v>
      </c>
      <c r="C266" s="1">
        <v>43211</v>
      </c>
      <c r="D266" s="1"/>
      <c r="F266" s="32"/>
      <c r="G266">
        <v>19.399999999999999</v>
      </c>
      <c r="H266">
        <v>15.2</v>
      </c>
      <c r="I266">
        <v>24.3</v>
      </c>
      <c r="J266">
        <f t="shared" si="28"/>
        <v>2017.5000000000005</v>
      </c>
      <c r="K266">
        <f t="shared" si="29"/>
        <v>245.80000000000004</v>
      </c>
      <c r="M266">
        <v>0</v>
      </c>
      <c r="N266">
        <v>2.4</v>
      </c>
      <c r="O266">
        <f t="shared" si="32"/>
        <v>-2.4</v>
      </c>
      <c r="Q266">
        <v>223</v>
      </c>
      <c r="R266">
        <v>1.1499999999999999</v>
      </c>
      <c r="S266">
        <f t="shared" si="33"/>
        <v>2.76</v>
      </c>
      <c r="T266">
        <f t="shared" si="34"/>
        <v>-2.76</v>
      </c>
      <c r="U266">
        <f t="shared" si="30"/>
        <v>163.72500000000002</v>
      </c>
      <c r="W266">
        <v>1255.9000000000001</v>
      </c>
      <c r="X266">
        <f t="shared" si="31"/>
        <v>24947.7</v>
      </c>
      <c r="Y266">
        <v>13.760014998593816</v>
      </c>
    </row>
    <row r="267" spans="1:26" x14ac:dyDescent="0.35">
      <c r="A267">
        <v>2920</v>
      </c>
      <c r="B267">
        <v>23610</v>
      </c>
      <c r="C267" s="1">
        <v>43212</v>
      </c>
      <c r="D267" s="1"/>
      <c r="F267" s="32"/>
      <c r="G267">
        <v>15.7</v>
      </c>
      <c r="H267">
        <v>11.5</v>
      </c>
      <c r="I267">
        <v>21</v>
      </c>
      <c r="J267">
        <f t="shared" si="28"/>
        <v>2033.2000000000005</v>
      </c>
      <c r="K267">
        <f t="shared" si="29"/>
        <v>261.50000000000006</v>
      </c>
      <c r="M267">
        <v>0</v>
      </c>
      <c r="N267">
        <v>2</v>
      </c>
      <c r="O267">
        <f t="shared" si="32"/>
        <v>-2</v>
      </c>
      <c r="Q267">
        <v>224</v>
      </c>
      <c r="R267">
        <v>1.1499999999999999</v>
      </c>
      <c r="S267">
        <f t="shared" si="33"/>
        <v>2.2999999999999998</v>
      </c>
      <c r="T267">
        <f t="shared" si="34"/>
        <v>-2.2999999999999998</v>
      </c>
      <c r="U267">
        <f t="shared" si="30"/>
        <v>161.42500000000001</v>
      </c>
      <c r="W267">
        <v>1112.4000000000001</v>
      </c>
      <c r="X267">
        <f t="shared" si="31"/>
        <v>26060.100000000002</v>
      </c>
      <c r="Y267">
        <v>13.81568642154552</v>
      </c>
    </row>
    <row r="268" spans="1:26" s="4" customFormat="1" ht="15" thickBot="1" x14ac:dyDescent="0.4">
      <c r="A268" s="4">
        <v>2920</v>
      </c>
      <c r="B268" s="4">
        <v>23610</v>
      </c>
      <c r="C268" s="5">
        <v>43213</v>
      </c>
      <c r="D268" s="5" t="s">
        <v>34</v>
      </c>
      <c r="F268" s="33"/>
      <c r="G268" s="4">
        <v>12.1</v>
      </c>
      <c r="H268" s="4">
        <v>10.5</v>
      </c>
      <c r="I268" s="4">
        <v>14.8</v>
      </c>
      <c r="J268" s="4">
        <f t="shared" si="28"/>
        <v>2045.3000000000004</v>
      </c>
      <c r="K268" s="4">
        <f t="shared" si="29"/>
        <v>273.60000000000008</v>
      </c>
      <c r="M268" s="4">
        <v>0</v>
      </c>
      <c r="N268" s="4">
        <v>1.4</v>
      </c>
      <c r="O268" s="4">
        <f t="shared" si="32"/>
        <v>-1.4</v>
      </c>
      <c r="Q268" s="4">
        <v>225</v>
      </c>
      <c r="R268" s="4">
        <v>1.1499999999999999</v>
      </c>
      <c r="S268" s="4">
        <f t="shared" si="33"/>
        <v>1.6099999999999999</v>
      </c>
      <c r="T268" s="4">
        <f t="shared" si="34"/>
        <v>-1.6099999999999999</v>
      </c>
      <c r="U268" s="4">
        <f t="shared" si="30"/>
        <v>159.815</v>
      </c>
      <c r="W268" s="4">
        <v>720.5</v>
      </c>
      <c r="X268" s="4">
        <f t="shared" si="31"/>
        <v>26780.600000000002</v>
      </c>
      <c r="Y268" s="4">
        <v>13.871033216295899</v>
      </c>
    </row>
    <row r="269" spans="1:26" x14ac:dyDescent="0.35">
      <c r="A269">
        <v>2920</v>
      </c>
      <c r="B269">
        <v>23610</v>
      </c>
      <c r="C269" s="1">
        <v>43214</v>
      </c>
      <c r="D269" s="1"/>
      <c r="F269" s="34" t="s">
        <v>58</v>
      </c>
      <c r="G269">
        <v>12.2</v>
      </c>
      <c r="H269">
        <v>6.3</v>
      </c>
      <c r="I269">
        <v>17.2</v>
      </c>
      <c r="J269">
        <f t="shared" si="28"/>
        <v>2057.5000000000005</v>
      </c>
      <c r="K269">
        <f>G269</f>
        <v>12.2</v>
      </c>
      <c r="L269" s="19" t="s">
        <v>38</v>
      </c>
      <c r="M269">
        <v>0.6</v>
      </c>
      <c r="N269">
        <v>3.3</v>
      </c>
      <c r="O269">
        <f t="shared" si="32"/>
        <v>-2.6999999999999997</v>
      </c>
      <c r="Q269">
        <v>226</v>
      </c>
      <c r="R269">
        <v>1.1499999999999999</v>
      </c>
      <c r="S269">
        <f t="shared" si="33"/>
        <v>3.7949999999999995</v>
      </c>
      <c r="T269">
        <f t="shared" si="34"/>
        <v>-3.1949999999999994</v>
      </c>
      <c r="U269">
        <f t="shared" si="30"/>
        <v>156.62</v>
      </c>
      <c r="V269" s="20" t="s">
        <v>45</v>
      </c>
      <c r="W269">
        <v>2284.3000000000002</v>
      </c>
      <c r="X269">
        <f>W269</f>
        <v>2284.3000000000002</v>
      </c>
      <c r="Y269">
        <v>13.926040240598248</v>
      </c>
      <c r="Z269" s="20" t="s">
        <v>50</v>
      </c>
    </row>
    <row r="270" spans="1:26" x14ac:dyDescent="0.35">
      <c r="A270">
        <v>2920</v>
      </c>
      <c r="B270">
        <v>23610</v>
      </c>
      <c r="C270" s="1">
        <v>43215</v>
      </c>
      <c r="D270" s="1"/>
      <c r="F270" s="35"/>
      <c r="G270">
        <v>12</v>
      </c>
      <c r="H270">
        <v>10</v>
      </c>
      <c r="I270">
        <v>15.2</v>
      </c>
      <c r="J270">
        <f t="shared" si="28"/>
        <v>2069.5000000000005</v>
      </c>
      <c r="K270">
        <f t="shared" si="29"/>
        <v>24.2</v>
      </c>
      <c r="L270" s="8">
        <v>305.3</v>
      </c>
      <c r="M270">
        <v>0.1</v>
      </c>
      <c r="N270">
        <v>1.9</v>
      </c>
      <c r="O270">
        <f t="shared" si="32"/>
        <v>-1.7999999999999998</v>
      </c>
      <c r="Q270">
        <v>227</v>
      </c>
      <c r="R270">
        <v>1.1499999999999999</v>
      </c>
      <c r="S270">
        <f t="shared" si="33"/>
        <v>2.1849999999999996</v>
      </c>
      <c r="T270">
        <f t="shared" si="34"/>
        <v>-2.0849999999999995</v>
      </c>
      <c r="U270">
        <f t="shared" si="30"/>
        <v>154.535</v>
      </c>
      <c r="V270">
        <v>0</v>
      </c>
      <c r="W270">
        <v>807.9</v>
      </c>
      <c r="X270">
        <f t="shared" si="31"/>
        <v>3092.2000000000003</v>
      </c>
      <c r="Y270">
        <v>13.98069194808888</v>
      </c>
      <c r="Z270">
        <v>45592.3</v>
      </c>
    </row>
    <row r="271" spans="1:26" x14ac:dyDescent="0.35">
      <c r="A271">
        <v>2920</v>
      </c>
      <c r="B271">
        <v>23610</v>
      </c>
      <c r="C271" s="1">
        <v>43216</v>
      </c>
      <c r="D271" s="1"/>
      <c r="F271" s="35"/>
      <c r="G271">
        <v>10.4</v>
      </c>
      <c r="H271">
        <v>6.8</v>
      </c>
      <c r="I271">
        <v>13.8</v>
      </c>
      <c r="J271">
        <f t="shared" si="28"/>
        <v>2079.9000000000005</v>
      </c>
      <c r="K271">
        <f t="shared" si="29"/>
        <v>34.6</v>
      </c>
      <c r="L271" s="19" t="s">
        <v>39</v>
      </c>
      <c r="M271">
        <v>0</v>
      </c>
      <c r="N271">
        <v>2</v>
      </c>
      <c r="O271">
        <f t="shared" si="32"/>
        <v>-2</v>
      </c>
      <c r="Q271">
        <v>228</v>
      </c>
      <c r="R271">
        <v>1.1499999999999999</v>
      </c>
      <c r="S271">
        <f t="shared" si="33"/>
        <v>2.2999999999999998</v>
      </c>
      <c r="T271">
        <f t="shared" si="34"/>
        <v>-2.2999999999999998</v>
      </c>
      <c r="U271">
        <f t="shared" si="30"/>
        <v>152.23499999999999</v>
      </c>
      <c r="V271" s="20" t="s">
        <v>46</v>
      </c>
      <c r="W271">
        <v>1400.8</v>
      </c>
      <c r="X271">
        <f t="shared" si="31"/>
        <v>4493</v>
      </c>
      <c r="Y271">
        <v>14.034972383259307</v>
      </c>
      <c r="Z271" s="20" t="s">
        <v>51</v>
      </c>
    </row>
    <row r="272" spans="1:26" x14ac:dyDescent="0.35">
      <c r="A272">
        <v>2920</v>
      </c>
      <c r="B272">
        <v>23610</v>
      </c>
      <c r="C272" s="1">
        <v>43217</v>
      </c>
      <c r="D272" s="1"/>
      <c r="F272" s="35"/>
      <c r="G272">
        <v>10.7</v>
      </c>
      <c r="H272">
        <v>7.5</v>
      </c>
      <c r="I272">
        <v>13.8</v>
      </c>
      <c r="J272">
        <f t="shared" si="28"/>
        <v>2090.6000000000004</v>
      </c>
      <c r="K272">
        <f t="shared" si="29"/>
        <v>45.3</v>
      </c>
      <c r="L272" s="9">
        <f>AVERAGE(G269:G293)</f>
        <v>12.212</v>
      </c>
      <c r="M272">
        <v>0.7</v>
      </c>
      <c r="N272">
        <v>2</v>
      </c>
      <c r="O272">
        <f t="shared" si="32"/>
        <v>-1.3</v>
      </c>
      <c r="Q272">
        <v>229</v>
      </c>
      <c r="R272">
        <v>1.1499999999999999</v>
      </c>
      <c r="S272">
        <f t="shared" si="33"/>
        <v>2.2999999999999998</v>
      </c>
      <c r="T272">
        <f t="shared" si="34"/>
        <v>-1.5999999999999999</v>
      </c>
      <c r="U272">
        <f t="shared" si="30"/>
        <v>150.63499999999999</v>
      </c>
      <c r="V272">
        <v>0</v>
      </c>
      <c r="W272">
        <v>1180.5999999999999</v>
      </c>
      <c r="X272">
        <f t="shared" si="31"/>
        <v>5673.6</v>
      </c>
      <c r="Y272">
        <v>14.088865177385633</v>
      </c>
      <c r="Z272">
        <f>(Z270/100)/L270</f>
        <v>1.4933606288896166</v>
      </c>
    </row>
    <row r="273" spans="1:26" x14ac:dyDescent="0.35">
      <c r="A273">
        <v>2920</v>
      </c>
      <c r="B273">
        <v>23610</v>
      </c>
      <c r="C273" s="1">
        <v>43218</v>
      </c>
      <c r="D273" s="1"/>
      <c r="F273" s="35"/>
      <c r="G273">
        <v>11.2</v>
      </c>
      <c r="H273">
        <v>8.4</v>
      </c>
      <c r="I273">
        <v>13.8</v>
      </c>
      <c r="J273">
        <f t="shared" si="28"/>
        <v>2101.8000000000002</v>
      </c>
      <c r="K273">
        <f t="shared" si="29"/>
        <v>56.5</v>
      </c>
      <c r="L273" s="19" t="s">
        <v>40</v>
      </c>
      <c r="M273">
        <v>0</v>
      </c>
      <c r="N273">
        <v>1.4</v>
      </c>
      <c r="O273">
        <f t="shared" si="32"/>
        <v>-1.4</v>
      </c>
      <c r="Q273">
        <v>230</v>
      </c>
      <c r="R273">
        <v>1.1499999999999999</v>
      </c>
      <c r="S273">
        <f t="shared" si="33"/>
        <v>1.6099999999999999</v>
      </c>
      <c r="T273">
        <f t="shared" si="34"/>
        <v>-1.6099999999999999</v>
      </c>
      <c r="U273">
        <f t="shared" si="30"/>
        <v>149.02499999999998</v>
      </c>
      <c r="V273" s="20" t="s">
        <v>47</v>
      </c>
      <c r="W273">
        <v>955.7</v>
      </c>
      <c r="X273">
        <f t="shared" si="31"/>
        <v>6629.3</v>
      </c>
      <c r="Y273">
        <v>14.142353545478596</v>
      </c>
      <c r="Z273" s="20" t="s">
        <v>52</v>
      </c>
    </row>
    <row r="274" spans="1:26" x14ac:dyDescent="0.35">
      <c r="A274">
        <v>2920</v>
      </c>
      <c r="B274">
        <v>23610</v>
      </c>
      <c r="C274" s="1">
        <v>43219</v>
      </c>
      <c r="D274" s="1"/>
      <c r="F274" s="35"/>
      <c r="G274">
        <v>8.4</v>
      </c>
      <c r="H274">
        <v>7.5</v>
      </c>
      <c r="I274">
        <v>9.8000000000000007</v>
      </c>
      <c r="J274">
        <f t="shared" si="28"/>
        <v>2110.2000000000003</v>
      </c>
      <c r="K274">
        <f t="shared" si="29"/>
        <v>64.900000000000006</v>
      </c>
      <c r="L274" s="8">
        <f>MIN(H269:H293)</f>
        <v>4.3</v>
      </c>
      <c r="M274">
        <v>18.600000000000001</v>
      </c>
      <c r="N274">
        <v>0.7</v>
      </c>
      <c r="O274">
        <f t="shared" si="32"/>
        <v>17.900000000000002</v>
      </c>
      <c r="Q274">
        <v>231</v>
      </c>
      <c r="R274">
        <v>1.1499999999999999</v>
      </c>
      <c r="S274">
        <f t="shared" si="33"/>
        <v>0.80499999999999994</v>
      </c>
      <c r="T274">
        <f t="shared" si="34"/>
        <v>17.795000000000002</v>
      </c>
      <c r="U274">
        <f t="shared" si="30"/>
        <v>166.82</v>
      </c>
      <c r="V274" s="11">
        <f>MIN(U269:U293)</f>
        <v>102.43499999999996</v>
      </c>
      <c r="W274">
        <v>399.4</v>
      </c>
      <c r="X274">
        <f t="shared" si="31"/>
        <v>7028.7</v>
      </c>
      <c r="Y274">
        <v>14.195420284319432</v>
      </c>
      <c r="Z274">
        <v>4</v>
      </c>
    </row>
    <row r="275" spans="1:26" x14ac:dyDescent="0.35">
      <c r="A275">
        <v>2920</v>
      </c>
      <c r="B275">
        <v>23610</v>
      </c>
      <c r="C275" s="1">
        <v>43220</v>
      </c>
      <c r="D275" s="1"/>
      <c r="F275" s="35"/>
      <c r="G275">
        <v>7.6</v>
      </c>
      <c r="H275">
        <v>6.6</v>
      </c>
      <c r="I275">
        <v>9</v>
      </c>
      <c r="J275">
        <f t="shared" si="28"/>
        <v>2117.8000000000002</v>
      </c>
      <c r="K275">
        <f t="shared" si="29"/>
        <v>72.5</v>
      </c>
      <c r="L275" s="19" t="s">
        <v>41</v>
      </c>
      <c r="M275">
        <v>0.9</v>
      </c>
      <c r="N275">
        <v>1.2</v>
      </c>
      <c r="O275">
        <f t="shared" si="32"/>
        <v>-0.29999999999999993</v>
      </c>
      <c r="Q275">
        <v>232</v>
      </c>
      <c r="R275">
        <v>1.1499999999999999</v>
      </c>
      <c r="S275">
        <f t="shared" si="33"/>
        <v>1.38</v>
      </c>
      <c r="T275">
        <f t="shared" si="34"/>
        <v>-0.47999999999999987</v>
      </c>
      <c r="U275">
        <f t="shared" si="30"/>
        <v>166.34</v>
      </c>
      <c r="V275" s="20" t="s">
        <v>48</v>
      </c>
      <c r="W275">
        <v>749.7</v>
      </c>
      <c r="X275">
        <f t="shared" si="31"/>
        <v>7778.4</v>
      </c>
      <c r="Y275">
        <v>14.248047771648402</v>
      </c>
    </row>
    <row r="276" spans="1:26" x14ac:dyDescent="0.35">
      <c r="A276">
        <v>2920</v>
      </c>
      <c r="B276">
        <v>23610</v>
      </c>
      <c r="C276" s="1">
        <v>43221</v>
      </c>
      <c r="D276" s="1"/>
      <c r="F276" s="35"/>
      <c r="G276">
        <v>8.8000000000000007</v>
      </c>
      <c r="H276">
        <v>4.3</v>
      </c>
      <c r="I276">
        <v>12.9</v>
      </c>
      <c r="J276">
        <f t="shared" si="28"/>
        <v>2126.6000000000004</v>
      </c>
      <c r="K276">
        <f t="shared" si="29"/>
        <v>81.3</v>
      </c>
      <c r="L276" s="8">
        <f>MAX(I269:I293)</f>
        <v>26.3</v>
      </c>
      <c r="M276">
        <v>0.8</v>
      </c>
      <c r="N276">
        <v>1.5</v>
      </c>
      <c r="O276">
        <f t="shared" si="32"/>
        <v>-0.7</v>
      </c>
      <c r="Q276">
        <v>233</v>
      </c>
      <c r="R276">
        <v>1.1499999999999999</v>
      </c>
      <c r="S276">
        <f t="shared" si="33"/>
        <v>1.7249999999999999</v>
      </c>
      <c r="T276">
        <f t="shared" si="34"/>
        <v>-0.92499999999999982</v>
      </c>
      <c r="U276">
        <f t="shared" si="30"/>
        <v>165.41499999999999</v>
      </c>
      <c r="V276" s="11">
        <f>MAX(U269:U293)</f>
        <v>168.17999999999998</v>
      </c>
      <c r="W276">
        <v>1124.3</v>
      </c>
      <c r="X276">
        <f t="shared" si="31"/>
        <v>8902.6999999999989</v>
      </c>
      <c r="Y276">
        <v>14.300217966574223</v>
      </c>
    </row>
    <row r="277" spans="1:26" x14ac:dyDescent="0.35">
      <c r="A277">
        <v>2920</v>
      </c>
      <c r="B277">
        <v>23610</v>
      </c>
      <c r="C277" s="1">
        <v>43222</v>
      </c>
      <c r="D277" s="1"/>
      <c r="F277" s="35"/>
      <c r="G277">
        <v>9</v>
      </c>
      <c r="H277">
        <v>7.8</v>
      </c>
      <c r="I277">
        <v>11</v>
      </c>
      <c r="J277">
        <f t="shared" si="28"/>
        <v>2135.6000000000004</v>
      </c>
      <c r="K277">
        <f t="shared" si="29"/>
        <v>90.3</v>
      </c>
      <c r="L277" s="19" t="s">
        <v>42</v>
      </c>
      <c r="M277">
        <v>3.8</v>
      </c>
      <c r="N277">
        <v>0.9</v>
      </c>
      <c r="O277">
        <f t="shared" si="32"/>
        <v>2.9</v>
      </c>
      <c r="Q277">
        <v>234</v>
      </c>
      <c r="R277">
        <v>1.1499999999999999</v>
      </c>
      <c r="S277">
        <f t="shared" si="33"/>
        <v>1.0349999999999999</v>
      </c>
      <c r="T277">
        <f t="shared" si="34"/>
        <v>2.7649999999999997</v>
      </c>
      <c r="U277">
        <f t="shared" si="30"/>
        <v>168.17999999999998</v>
      </c>
      <c r="V277" s="20" t="s">
        <v>49</v>
      </c>
      <c r="W277">
        <v>572.6</v>
      </c>
      <c r="X277">
        <f t="shared" si="31"/>
        <v>9475.2999999999993</v>
      </c>
      <c r="Y277">
        <v>14.351912411273677</v>
      </c>
    </row>
    <row r="278" spans="1:26" x14ac:dyDescent="0.35">
      <c r="A278">
        <v>2920</v>
      </c>
      <c r="B278">
        <v>23610</v>
      </c>
      <c r="C278" s="1">
        <v>43223</v>
      </c>
      <c r="D278" s="1"/>
      <c r="F278" s="35"/>
      <c r="G278">
        <v>9.6</v>
      </c>
      <c r="H278">
        <v>5.2</v>
      </c>
      <c r="I278">
        <v>14.1</v>
      </c>
      <c r="J278">
        <f t="shared" si="28"/>
        <v>2145.2000000000003</v>
      </c>
      <c r="K278">
        <f t="shared" si="29"/>
        <v>99.899999999999991</v>
      </c>
      <c r="L278" s="8">
        <v>1</v>
      </c>
      <c r="M278">
        <v>0</v>
      </c>
      <c r="N278">
        <v>2.6</v>
      </c>
      <c r="O278">
        <f t="shared" si="32"/>
        <v>-2.6</v>
      </c>
      <c r="Q278">
        <v>235</v>
      </c>
      <c r="R278">
        <v>1.1499999999999999</v>
      </c>
      <c r="S278">
        <f t="shared" si="33"/>
        <v>2.9899999999999998</v>
      </c>
      <c r="T278">
        <f t="shared" si="34"/>
        <v>-2.9899999999999998</v>
      </c>
      <c r="U278">
        <f t="shared" si="30"/>
        <v>165.18999999999997</v>
      </c>
      <c r="V278" s="11">
        <f>AVERAGE(U269:U293)</f>
        <v>143.06759999999997</v>
      </c>
      <c r="W278">
        <v>1928</v>
      </c>
      <c r="X278">
        <f t="shared" si="31"/>
        <v>11403.3</v>
      </c>
      <c r="Y278">
        <v>14.403112234051477</v>
      </c>
    </row>
    <row r="279" spans="1:26" x14ac:dyDescent="0.35">
      <c r="A279">
        <v>2920</v>
      </c>
      <c r="B279">
        <v>23610</v>
      </c>
      <c r="C279" s="1">
        <v>43224</v>
      </c>
      <c r="D279" s="1"/>
      <c r="F279" s="35"/>
      <c r="G279">
        <v>11.3</v>
      </c>
      <c r="H279">
        <v>5.7</v>
      </c>
      <c r="I279">
        <v>16.600000000000001</v>
      </c>
      <c r="J279">
        <f t="shared" si="28"/>
        <v>2156.5000000000005</v>
      </c>
      <c r="K279">
        <f t="shared" si="29"/>
        <v>111.19999999999999</v>
      </c>
      <c r="L279" s="19" t="s">
        <v>43</v>
      </c>
      <c r="M279">
        <v>0</v>
      </c>
      <c r="N279">
        <v>3.8</v>
      </c>
      <c r="O279">
        <f t="shared" si="32"/>
        <v>-3.8</v>
      </c>
      <c r="Q279">
        <v>236</v>
      </c>
      <c r="R279">
        <v>1.1499999999999999</v>
      </c>
      <c r="S279">
        <f t="shared" si="33"/>
        <v>4.3699999999999992</v>
      </c>
      <c r="T279">
        <f t="shared" si="34"/>
        <v>-4.3699999999999992</v>
      </c>
      <c r="U279">
        <f t="shared" si="30"/>
        <v>160.81999999999996</v>
      </c>
      <c r="W279">
        <v>2586.9</v>
      </c>
      <c r="X279">
        <f t="shared" si="31"/>
        <v>13990.199999999999</v>
      </c>
      <c r="Y279">
        <v>14.453798153830791</v>
      </c>
    </row>
    <row r="280" spans="1:26" x14ac:dyDescent="0.35">
      <c r="A280">
        <v>2920</v>
      </c>
      <c r="B280">
        <v>23610</v>
      </c>
      <c r="C280" s="1">
        <v>43225</v>
      </c>
      <c r="D280" s="1"/>
      <c r="F280" s="35"/>
      <c r="G280">
        <v>14.6</v>
      </c>
      <c r="H280">
        <v>7.5</v>
      </c>
      <c r="I280">
        <v>20.6</v>
      </c>
      <c r="J280">
        <f t="shared" si="28"/>
        <v>2171.1000000000004</v>
      </c>
      <c r="K280">
        <f t="shared" si="29"/>
        <v>125.79999999999998</v>
      </c>
      <c r="L280" s="8">
        <v>1</v>
      </c>
      <c r="M280">
        <v>0</v>
      </c>
      <c r="N280">
        <v>4.5</v>
      </c>
      <c r="O280">
        <f t="shared" si="32"/>
        <v>-4.5</v>
      </c>
      <c r="Q280">
        <v>237</v>
      </c>
      <c r="R280">
        <v>1.1499999999999999</v>
      </c>
      <c r="S280">
        <f t="shared" si="33"/>
        <v>5.1749999999999998</v>
      </c>
      <c r="T280">
        <f t="shared" si="34"/>
        <v>-5.1749999999999998</v>
      </c>
      <c r="U280">
        <f t="shared" si="30"/>
        <v>155.64499999999995</v>
      </c>
      <c r="V280" s="12">
        <f>(V278*100)/197.4</f>
        <v>72.475987841945269</v>
      </c>
      <c r="W280">
        <v>2820.7</v>
      </c>
      <c r="X280">
        <f t="shared" si="31"/>
        <v>16810.899999999998</v>
      </c>
      <c r="Y280">
        <v>14.503950486144806</v>
      </c>
    </row>
    <row r="281" spans="1:26" x14ac:dyDescent="0.35">
      <c r="A281">
        <v>2920</v>
      </c>
      <c r="B281">
        <v>23610</v>
      </c>
      <c r="C281" s="1">
        <v>43226</v>
      </c>
      <c r="D281" s="1"/>
      <c r="F281" s="35"/>
      <c r="G281">
        <v>17.8</v>
      </c>
      <c r="H281">
        <v>10.3</v>
      </c>
      <c r="I281">
        <v>24.3</v>
      </c>
      <c r="J281">
        <f t="shared" si="28"/>
        <v>2188.9000000000005</v>
      </c>
      <c r="K281">
        <f t="shared" si="29"/>
        <v>143.6</v>
      </c>
      <c r="L281" s="19" t="s">
        <v>44</v>
      </c>
      <c r="M281">
        <v>0</v>
      </c>
      <c r="N281">
        <v>4.2</v>
      </c>
      <c r="O281">
        <f t="shared" si="32"/>
        <v>-4.2</v>
      </c>
      <c r="Q281">
        <v>238</v>
      </c>
      <c r="R281">
        <v>1.1499999999999999</v>
      </c>
      <c r="S281">
        <f t="shared" si="33"/>
        <v>4.83</v>
      </c>
      <c r="T281">
        <f t="shared" si="34"/>
        <v>-4.83</v>
      </c>
      <c r="U281">
        <f t="shared" si="30"/>
        <v>150.81499999999994</v>
      </c>
      <c r="W281">
        <v>2475.6</v>
      </c>
      <c r="X281">
        <f t="shared" si="31"/>
        <v>19286.499999999996</v>
      </c>
      <c r="Y281">
        <v>14.553549150699121</v>
      </c>
    </row>
    <row r="282" spans="1:26" x14ac:dyDescent="0.35">
      <c r="A282">
        <v>2920</v>
      </c>
      <c r="B282">
        <v>23610</v>
      </c>
      <c r="C282" s="1">
        <v>43227</v>
      </c>
      <c r="D282" s="1"/>
      <c r="F282" s="35"/>
      <c r="G282">
        <v>19.8</v>
      </c>
      <c r="H282">
        <v>13.4</v>
      </c>
      <c r="I282">
        <v>26.3</v>
      </c>
      <c r="J282">
        <f t="shared" si="28"/>
        <v>2208.7000000000007</v>
      </c>
      <c r="K282">
        <f t="shared" si="29"/>
        <v>163.4</v>
      </c>
      <c r="L282" s="8">
        <v>0</v>
      </c>
      <c r="M282">
        <v>0</v>
      </c>
      <c r="N282">
        <v>4.4000000000000004</v>
      </c>
      <c r="O282">
        <f t="shared" si="32"/>
        <v>-4.4000000000000004</v>
      </c>
      <c r="Q282">
        <v>239</v>
      </c>
      <c r="R282">
        <v>1.1499999999999999</v>
      </c>
      <c r="S282">
        <f t="shared" si="33"/>
        <v>5.0599999999999996</v>
      </c>
      <c r="T282">
        <f t="shared" si="34"/>
        <v>-5.0599999999999996</v>
      </c>
      <c r="U282">
        <f t="shared" si="30"/>
        <v>145.75499999999994</v>
      </c>
      <c r="W282">
        <v>2345.6</v>
      </c>
      <c r="X282">
        <f t="shared" si="31"/>
        <v>21632.099999999995</v>
      </c>
      <c r="Y282">
        <v>14.602573680573725</v>
      </c>
    </row>
    <row r="283" spans="1:26" x14ac:dyDescent="0.35">
      <c r="A283">
        <v>2920</v>
      </c>
      <c r="B283">
        <v>23610</v>
      </c>
      <c r="C283" s="1">
        <v>43228</v>
      </c>
      <c r="D283" s="1"/>
      <c r="F283" s="35"/>
      <c r="G283">
        <v>14.5</v>
      </c>
      <c r="H283">
        <v>13.1</v>
      </c>
      <c r="I283">
        <v>18.8</v>
      </c>
      <c r="J283">
        <f t="shared" si="28"/>
        <v>2223.2000000000007</v>
      </c>
      <c r="K283">
        <f t="shared" si="29"/>
        <v>177.9</v>
      </c>
      <c r="M283">
        <v>0</v>
      </c>
      <c r="N283">
        <v>3.7</v>
      </c>
      <c r="O283">
        <f t="shared" si="32"/>
        <v>-3.7</v>
      </c>
      <c r="Q283">
        <v>240</v>
      </c>
      <c r="R283">
        <v>1.1499999999999999</v>
      </c>
      <c r="S283">
        <f t="shared" si="33"/>
        <v>4.2549999999999999</v>
      </c>
      <c r="T283">
        <f t="shared" si="34"/>
        <v>-4.2549999999999999</v>
      </c>
      <c r="U283">
        <f t="shared" si="30"/>
        <v>141.49999999999994</v>
      </c>
      <c r="W283">
        <v>2113.3000000000002</v>
      </c>
      <c r="X283">
        <f t="shared" si="31"/>
        <v>23745.399999999994</v>
      </c>
      <c r="Y283">
        <v>14.651003233131604</v>
      </c>
    </row>
    <row r="284" spans="1:26" x14ac:dyDescent="0.35">
      <c r="A284">
        <v>2920</v>
      </c>
      <c r="B284">
        <v>23610</v>
      </c>
      <c r="C284" s="1">
        <v>43229</v>
      </c>
      <c r="D284" s="1"/>
      <c r="F284" s="35"/>
      <c r="G284">
        <v>12.9</v>
      </c>
      <c r="H284">
        <v>9</v>
      </c>
      <c r="I284">
        <v>16.8</v>
      </c>
      <c r="J284">
        <f t="shared" si="28"/>
        <v>2236.1000000000008</v>
      </c>
      <c r="K284">
        <f t="shared" si="29"/>
        <v>190.8</v>
      </c>
      <c r="M284">
        <v>0</v>
      </c>
      <c r="N284">
        <v>3.3</v>
      </c>
      <c r="O284">
        <f t="shared" si="32"/>
        <v>-3.3</v>
      </c>
      <c r="Q284">
        <v>241</v>
      </c>
      <c r="R284">
        <v>1.1499999999999999</v>
      </c>
      <c r="S284">
        <f t="shared" si="33"/>
        <v>3.7949999999999995</v>
      </c>
      <c r="T284">
        <f t="shared" si="34"/>
        <v>-3.7949999999999995</v>
      </c>
      <c r="U284">
        <f t="shared" si="30"/>
        <v>137.70499999999996</v>
      </c>
      <c r="W284">
        <v>2154.5</v>
      </c>
      <c r="X284">
        <f t="shared" si="31"/>
        <v>25899.899999999994</v>
      </c>
      <c r="Y284">
        <v>14.69881660269875</v>
      </c>
    </row>
    <row r="285" spans="1:26" x14ac:dyDescent="0.35">
      <c r="A285">
        <v>2920</v>
      </c>
      <c r="B285">
        <v>23610</v>
      </c>
      <c r="C285" s="1">
        <v>43230</v>
      </c>
      <c r="D285" s="1"/>
      <c r="F285" s="35"/>
      <c r="G285">
        <v>11.7</v>
      </c>
      <c r="H285">
        <v>9</v>
      </c>
      <c r="I285">
        <v>14.9</v>
      </c>
      <c r="J285">
        <f t="shared" si="28"/>
        <v>2247.8000000000006</v>
      </c>
      <c r="K285">
        <f t="shared" si="29"/>
        <v>202.5</v>
      </c>
      <c r="M285">
        <v>0</v>
      </c>
      <c r="N285">
        <v>3</v>
      </c>
      <c r="O285">
        <f t="shared" si="32"/>
        <v>-3</v>
      </c>
      <c r="Q285">
        <v>242</v>
      </c>
      <c r="R285">
        <v>1.1499999999999999</v>
      </c>
      <c r="S285">
        <f t="shared" si="33"/>
        <v>3.4499999999999997</v>
      </c>
      <c r="T285">
        <f t="shared" si="34"/>
        <v>-3.4499999999999997</v>
      </c>
      <c r="U285">
        <f t="shared" si="30"/>
        <v>134.25499999999997</v>
      </c>
      <c r="W285">
        <v>1892.7</v>
      </c>
      <c r="X285">
        <f t="shared" si="31"/>
        <v>27792.599999999995</v>
      </c>
      <c r="Y285">
        <v>14.74599223507734</v>
      </c>
    </row>
    <row r="286" spans="1:26" x14ac:dyDescent="0.35">
      <c r="A286">
        <v>2920</v>
      </c>
      <c r="B286">
        <v>23610</v>
      </c>
      <c r="C286" s="1">
        <v>43231</v>
      </c>
      <c r="D286" s="1"/>
      <c r="F286" s="35"/>
      <c r="G286">
        <v>13</v>
      </c>
      <c r="H286">
        <v>6.4</v>
      </c>
      <c r="I286">
        <v>19</v>
      </c>
      <c r="J286">
        <f t="shared" si="28"/>
        <v>2260.8000000000006</v>
      </c>
      <c r="K286">
        <f t="shared" si="29"/>
        <v>215.5</v>
      </c>
      <c r="M286">
        <v>0.5</v>
      </c>
      <c r="N286">
        <v>2.5</v>
      </c>
      <c r="O286">
        <f t="shared" si="32"/>
        <v>-2</v>
      </c>
      <c r="Q286">
        <v>243</v>
      </c>
      <c r="R286">
        <v>1.1499999999999999</v>
      </c>
      <c r="S286">
        <f t="shared" si="33"/>
        <v>2.875</v>
      </c>
      <c r="T286">
        <f t="shared" si="34"/>
        <v>-2.375</v>
      </c>
      <c r="U286">
        <f t="shared" si="30"/>
        <v>131.87999999999997</v>
      </c>
      <c r="W286">
        <v>1462.7</v>
      </c>
      <c r="X286">
        <f t="shared" si="31"/>
        <v>29255.299999999996</v>
      </c>
      <c r="Y286">
        <v>14.792508243950039</v>
      </c>
    </row>
    <row r="287" spans="1:26" x14ac:dyDescent="0.35">
      <c r="A287">
        <v>2920</v>
      </c>
      <c r="B287">
        <v>23610</v>
      </c>
      <c r="C287" s="1">
        <v>43232</v>
      </c>
      <c r="D287" s="1"/>
      <c r="F287" s="35"/>
      <c r="G287">
        <v>10.3</v>
      </c>
      <c r="H287">
        <v>10.3</v>
      </c>
      <c r="I287">
        <v>12.4</v>
      </c>
      <c r="J287">
        <f t="shared" si="28"/>
        <v>2271.1000000000008</v>
      </c>
      <c r="K287">
        <f t="shared" si="29"/>
        <v>225.8</v>
      </c>
      <c r="M287">
        <v>0.7</v>
      </c>
      <c r="N287">
        <v>2.2000000000000002</v>
      </c>
      <c r="O287">
        <f t="shared" si="32"/>
        <v>-1.5000000000000002</v>
      </c>
      <c r="Q287">
        <v>244</v>
      </c>
      <c r="R287">
        <v>1.1499999999999999</v>
      </c>
      <c r="S287">
        <f t="shared" si="33"/>
        <v>2.5299999999999998</v>
      </c>
      <c r="T287">
        <f t="shared" si="34"/>
        <v>-1.8299999999999998</v>
      </c>
      <c r="U287">
        <f t="shared" si="30"/>
        <v>130.04999999999995</v>
      </c>
      <c r="W287">
        <v>1636.1</v>
      </c>
      <c r="X287">
        <f t="shared" si="31"/>
        <v>30891.399999999994</v>
      </c>
      <c r="Y287">
        <v>14.838342429228982</v>
      </c>
    </row>
    <row r="288" spans="1:26" x14ac:dyDescent="0.35">
      <c r="A288">
        <v>2920</v>
      </c>
      <c r="B288">
        <v>23610</v>
      </c>
      <c r="C288" s="1">
        <v>43233</v>
      </c>
      <c r="D288" s="1"/>
      <c r="F288" s="35"/>
      <c r="G288">
        <v>9.5</v>
      </c>
      <c r="H288">
        <v>5.3</v>
      </c>
      <c r="I288">
        <v>13.4</v>
      </c>
      <c r="J288">
        <f t="shared" si="28"/>
        <v>2280.6000000000008</v>
      </c>
      <c r="K288">
        <f t="shared" si="29"/>
        <v>235.3</v>
      </c>
      <c r="M288">
        <v>0.1</v>
      </c>
      <c r="N288">
        <v>2.4</v>
      </c>
      <c r="O288">
        <f t="shared" si="32"/>
        <v>-2.2999999999999998</v>
      </c>
      <c r="Q288">
        <v>245</v>
      </c>
      <c r="R288">
        <v>1.1499999999999999</v>
      </c>
      <c r="S288">
        <f t="shared" si="33"/>
        <v>2.76</v>
      </c>
      <c r="T288">
        <f t="shared" si="34"/>
        <v>-2.6599999999999997</v>
      </c>
      <c r="U288">
        <f t="shared" si="30"/>
        <v>127.38999999999996</v>
      </c>
      <c r="W288">
        <v>1810.7</v>
      </c>
      <c r="X288">
        <f t="shared" si="31"/>
        <v>32702.099999999995</v>
      </c>
      <c r="Y288">
        <v>14.883472297397407</v>
      </c>
    </row>
    <row r="289" spans="1:26" x14ac:dyDescent="0.35">
      <c r="A289">
        <v>2920</v>
      </c>
      <c r="B289">
        <v>23610</v>
      </c>
      <c r="C289" s="1">
        <v>43234</v>
      </c>
      <c r="D289" s="1"/>
      <c r="F289" s="35"/>
      <c r="G289">
        <v>12.3</v>
      </c>
      <c r="H289">
        <v>6.5</v>
      </c>
      <c r="I289">
        <v>17.2</v>
      </c>
      <c r="J289">
        <f t="shared" si="28"/>
        <v>2292.900000000001</v>
      </c>
      <c r="K289">
        <f t="shared" si="29"/>
        <v>247.60000000000002</v>
      </c>
      <c r="M289">
        <v>0</v>
      </c>
      <c r="N289">
        <v>3.7</v>
      </c>
      <c r="O289">
        <f t="shared" si="32"/>
        <v>-3.7</v>
      </c>
      <c r="Q289">
        <v>246</v>
      </c>
      <c r="R289">
        <v>1.1499999999999999</v>
      </c>
      <c r="S289">
        <f t="shared" si="33"/>
        <v>4.2549999999999999</v>
      </c>
      <c r="T289">
        <f t="shared" si="34"/>
        <v>-4.2549999999999999</v>
      </c>
      <c r="U289">
        <f t="shared" si="30"/>
        <v>123.13499999999996</v>
      </c>
      <c r="W289">
        <v>2489.3000000000002</v>
      </c>
      <c r="X289">
        <f t="shared" si="31"/>
        <v>35191.399999999994</v>
      </c>
      <c r="Y289">
        <v>14.927875083885819</v>
      </c>
    </row>
    <row r="290" spans="1:26" x14ac:dyDescent="0.35">
      <c r="A290">
        <v>2920</v>
      </c>
      <c r="B290">
        <v>23610</v>
      </c>
      <c r="C290" s="1">
        <v>43235</v>
      </c>
      <c r="D290" s="1"/>
      <c r="F290" s="35"/>
      <c r="G290">
        <v>14.3</v>
      </c>
      <c r="H290">
        <v>9.8000000000000007</v>
      </c>
      <c r="I290">
        <v>19.100000000000001</v>
      </c>
      <c r="J290">
        <f t="shared" si="28"/>
        <v>2307.2000000000012</v>
      </c>
      <c r="K290">
        <f t="shared" si="29"/>
        <v>261.90000000000003</v>
      </c>
      <c r="M290">
        <v>0</v>
      </c>
      <c r="N290">
        <v>4.0999999999999996</v>
      </c>
      <c r="O290">
        <f t="shared" si="32"/>
        <v>-4.0999999999999996</v>
      </c>
      <c r="Q290">
        <v>247</v>
      </c>
      <c r="R290">
        <v>1.1499999999999999</v>
      </c>
      <c r="S290">
        <f t="shared" si="33"/>
        <v>4.714999999999999</v>
      </c>
      <c r="T290">
        <f t="shared" si="34"/>
        <v>-4.714999999999999</v>
      </c>
      <c r="U290">
        <f t="shared" si="30"/>
        <v>118.41999999999996</v>
      </c>
      <c r="W290">
        <v>2408.4</v>
      </c>
      <c r="X290">
        <f t="shared" si="31"/>
        <v>37599.799999999996</v>
      </c>
      <c r="Y290">
        <v>14.97152777751722</v>
      </c>
    </row>
    <row r="291" spans="1:26" x14ac:dyDescent="0.35">
      <c r="A291">
        <v>2920</v>
      </c>
      <c r="B291">
        <v>23610</v>
      </c>
      <c r="C291" s="1">
        <v>43236</v>
      </c>
      <c r="D291" s="1"/>
      <c r="F291" s="35"/>
      <c r="G291">
        <v>15</v>
      </c>
      <c r="H291">
        <v>9.9</v>
      </c>
      <c r="I291">
        <v>21.2</v>
      </c>
      <c r="J291">
        <f t="shared" si="28"/>
        <v>2322.2000000000012</v>
      </c>
      <c r="K291">
        <f t="shared" si="29"/>
        <v>276.90000000000003</v>
      </c>
      <c r="M291">
        <v>0</v>
      </c>
      <c r="N291">
        <v>4.0999999999999996</v>
      </c>
      <c r="O291">
        <f t="shared" si="32"/>
        <v>-4.0999999999999996</v>
      </c>
      <c r="Q291">
        <v>248</v>
      </c>
      <c r="R291">
        <v>1.1499999999999999</v>
      </c>
      <c r="S291">
        <f t="shared" si="33"/>
        <v>4.714999999999999</v>
      </c>
      <c r="T291">
        <f t="shared" si="34"/>
        <v>-4.714999999999999</v>
      </c>
      <c r="U291">
        <f t="shared" si="30"/>
        <v>113.70499999999996</v>
      </c>
      <c r="W291">
        <v>2119.1999999999998</v>
      </c>
      <c r="X291">
        <f t="shared" si="31"/>
        <v>39718.999999999993</v>
      </c>
      <c r="Y291">
        <v>15.014407147047871</v>
      </c>
    </row>
    <row r="292" spans="1:26" x14ac:dyDescent="0.35">
      <c r="A292">
        <v>2920</v>
      </c>
      <c r="B292">
        <v>23610</v>
      </c>
      <c r="C292" s="1">
        <v>43237</v>
      </c>
      <c r="D292" s="1"/>
      <c r="F292" s="35"/>
      <c r="G292">
        <v>14.9</v>
      </c>
      <c r="H292">
        <v>10.1</v>
      </c>
      <c r="I292">
        <v>19.899999999999999</v>
      </c>
      <c r="J292">
        <f t="shared" si="28"/>
        <v>2337.1000000000013</v>
      </c>
      <c r="K292">
        <f t="shared" si="29"/>
        <v>291.8</v>
      </c>
      <c r="M292">
        <v>0</v>
      </c>
      <c r="N292">
        <v>4.8</v>
      </c>
      <c r="O292">
        <f t="shared" si="32"/>
        <v>-4.8</v>
      </c>
      <c r="Q292">
        <v>249</v>
      </c>
      <c r="R292">
        <v>1.1499999999999999</v>
      </c>
      <c r="S292">
        <f t="shared" si="33"/>
        <v>5.52</v>
      </c>
      <c r="T292">
        <f t="shared" si="34"/>
        <v>-5.52</v>
      </c>
      <c r="U292">
        <f t="shared" si="30"/>
        <v>108.18499999999996</v>
      </c>
      <c r="W292">
        <v>2962.2</v>
      </c>
      <c r="X292">
        <f t="shared" si="31"/>
        <v>42681.19999999999</v>
      </c>
      <c r="Y292">
        <v>15.056489769820892</v>
      </c>
    </row>
    <row r="293" spans="1:26" s="4" customFormat="1" ht="15" thickBot="1" x14ac:dyDescent="0.4">
      <c r="A293" s="4">
        <v>2920</v>
      </c>
      <c r="B293" s="4">
        <v>23610</v>
      </c>
      <c r="C293" s="5">
        <v>43238</v>
      </c>
      <c r="D293" s="4">
        <v>300</v>
      </c>
      <c r="F293" s="36"/>
      <c r="G293" s="4">
        <v>13.5</v>
      </c>
      <c r="H293" s="4">
        <v>9.1</v>
      </c>
      <c r="I293" s="4">
        <v>18.8</v>
      </c>
      <c r="J293" s="4">
        <f t="shared" si="28"/>
        <v>2350.6000000000013</v>
      </c>
      <c r="K293" s="4">
        <f t="shared" si="29"/>
        <v>305.3</v>
      </c>
      <c r="M293" s="4">
        <v>0</v>
      </c>
      <c r="N293" s="4">
        <v>5</v>
      </c>
      <c r="O293" s="4">
        <f t="shared" si="32"/>
        <v>-5</v>
      </c>
      <c r="Q293" s="4">
        <v>250</v>
      </c>
      <c r="R293" s="4">
        <v>1.1499999999999999</v>
      </c>
      <c r="S293" s="4">
        <f t="shared" si="33"/>
        <v>5.75</v>
      </c>
      <c r="T293" s="4">
        <f t="shared" si="34"/>
        <v>-5.75</v>
      </c>
      <c r="U293" s="4">
        <f t="shared" si="30"/>
        <v>102.43499999999996</v>
      </c>
      <c r="W293" s="4">
        <v>2911.1</v>
      </c>
      <c r="X293" s="4">
        <f t="shared" si="31"/>
        <v>45592.299999999988</v>
      </c>
      <c r="Y293" s="4">
        <v>15.097752062539845</v>
      </c>
    </row>
    <row r="294" spans="1:26" x14ac:dyDescent="0.35">
      <c r="A294">
        <v>2920</v>
      </c>
      <c r="B294">
        <v>23610</v>
      </c>
      <c r="C294" s="1">
        <v>43239</v>
      </c>
      <c r="D294" s="1"/>
      <c r="F294" s="37" t="s">
        <v>59</v>
      </c>
      <c r="G294">
        <v>13.7</v>
      </c>
      <c r="H294">
        <v>7.9</v>
      </c>
      <c r="I294">
        <v>19</v>
      </c>
      <c r="J294">
        <f t="shared" si="28"/>
        <v>2364.3000000000011</v>
      </c>
      <c r="K294">
        <f>G294</f>
        <v>13.7</v>
      </c>
      <c r="L294" s="21" t="s">
        <v>38</v>
      </c>
      <c r="M294">
        <v>0</v>
      </c>
      <c r="N294">
        <v>4.8</v>
      </c>
      <c r="O294">
        <f t="shared" si="32"/>
        <v>-4.8</v>
      </c>
      <c r="Q294">
        <v>251</v>
      </c>
      <c r="R294">
        <f>1.15+((Q294-250)/52)*(0.35-1.15)</f>
        <v>1.1346153846153846</v>
      </c>
      <c r="S294">
        <f t="shared" si="33"/>
        <v>5.4461538461538455</v>
      </c>
      <c r="T294">
        <f t="shared" si="34"/>
        <v>-5.4461538461538455</v>
      </c>
      <c r="U294">
        <f t="shared" si="30"/>
        <v>96.988846153846112</v>
      </c>
      <c r="V294" s="22" t="s">
        <v>45</v>
      </c>
      <c r="W294">
        <v>3054.4</v>
      </c>
      <c r="X294">
        <f>W294</f>
        <v>3054.4</v>
      </c>
      <c r="Y294">
        <v>15.138170314158373</v>
      </c>
      <c r="Z294" s="22" t="s">
        <v>50</v>
      </c>
    </row>
    <row r="295" spans="1:26" x14ac:dyDescent="0.35">
      <c r="A295">
        <v>2920</v>
      </c>
      <c r="B295">
        <v>23610</v>
      </c>
      <c r="C295" s="1">
        <v>43240</v>
      </c>
      <c r="D295" s="1"/>
      <c r="F295" s="38"/>
      <c r="G295">
        <v>15.4</v>
      </c>
      <c r="H295">
        <v>9.1999999999999993</v>
      </c>
      <c r="I295">
        <v>21.1</v>
      </c>
      <c r="J295">
        <f t="shared" si="28"/>
        <v>2379.7000000000012</v>
      </c>
      <c r="K295">
        <f t="shared" si="29"/>
        <v>29.1</v>
      </c>
      <c r="L295" s="8">
        <v>315.39999999999998</v>
      </c>
      <c r="M295">
        <v>0</v>
      </c>
      <c r="N295">
        <v>5</v>
      </c>
      <c r="O295">
        <f t="shared" si="32"/>
        <v>-5</v>
      </c>
      <c r="Q295">
        <v>252</v>
      </c>
      <c r="R295">
        <f t="shared" ref="R295:R345" si="35">1.15+((Q295-250)/52)*(0.35-1.15)</f>
        <v>1.1192307692307693</v>
      </c>
      <c r="S295">
        <f t="shared" si="33"/>
        <v>5.5961538461538467</v>
      </c>
      <c r="T295">
        <f t="shared" si="34"/>
        <v>-5.5961538461538467</v>
      </c>
      <c r="U295">
        <f t="shared" si="30"/>
        <v>91.392692307692272</v>
      </c>
      <c r="V295">
        <v>0</v>
      </c>
      <c r="W295">
        <v>2965</v>
      </c>
      <c r="X295">
        <f t="shared" si="31"/>
        <v>6019.4</v>
      </c>
      <c r="Y295">
        <v>15.177720720869829</v>
      </c>
      <c r="Z295">
        <v>28340.5</v>
      </c>
    </row>
    <row r="296" spans="1:26" x14ac:dyDescent="0.35">
      <c r="A296">
        <v>2920</v>
      </c>
      <c r="B296">
        <v>23610</v>
      </c>
      <c r="C296" s="1">
        <v>43241</v>
      </c>
      <c r="D296" s="1"/>
      <c r="F296" s="38"/>
      <c r="G296">
        <v>17.3</v>
      </c>
      <c r="H296">
        <v>11.5</v>
      </c>
      <c r="I296">
        <v>23.4</v>
      </c>
      <c r="J296">
        <f t="shared" si="28"/>
        <v>2397.0000000000014</v>
      </c>
      <c r="K296">
        <f t="shared" si="29"/>
        <v>46.400000000000006</v>
      </c>
      <c r="L296" s="21" t="s">
        <v>39</v>
      </c>
      <c r="M296">
        <v>0</v>
      </c>
      <c r="N296">
        <v>3.5</v>
      </c>
      <c r="O296">
        <f t="shared" si="32"/>
        <v>-3.5</v>
      </c>
      <c r="Q296">
        <v>253</v>
      </c>
      <c r="R296">
        <f t="shared" si="35"/>
        <v>1.1038461538461537</v>
      </c>
      <c r="S296">
        <f t="shared" si="33"/>
        <v>3.8634615384615381</v>
      </c>
      <c r="T296">
        <f t="shared" si="34"/>
        <v>-3.8634615384615381</v>
      </c>
      <c r="U296">
        <f t="shared" si="30"/>
        <v>87.529230769230736</v>
      </c>
      <c r="V296" s="22" t="s">
        <v>46</v>
      </c>
      <c r="W296">
        <v>1615.3</v>
      </c>
      <c r="X296">
        <f t="shared" si="31"/>
        <v>7634.7</v>
      </c>
      <c r="Y296">
        <v>15.216379423167773</v>
      </c>
      <c r="Z296" s="22" t="s">
        <v>51</v>
      </c>
    </row>
    <row r="297" spans="1:26" x14ac:dyDescent="0.35">
      <c r="A297">
        <v>2920</v>
      </c>
      <c r="B297">
        <v>23610</v>
      </c>
      <c r="C297" s="1">
        <v>43242</v>
      </c>
      <c r="D297" s="1"/>
      <c r="F297" s="38"/>
      <c r="G297">
        <v>17.100000000000001</v>
      </c>
      <c r="H297">
        <v>12.3</v>
      </c>
      <c r="I297">
        <v>22.4</v>
      </c>
      <c r="J297">
        <f t="shared" si="28"/>
        <v>2414.1000000000013</v>
      </c>
      <c r="K297">
        <f t="shared" si="29"/>
        <v>63.500000000000007</v>
      </c>
      <c r="L297" s="9">
        <f>AVERAGE(G294:G311)</f>
        <v>17.522222222222226</v>
      </c>
      <c r="M297">
        <v>0</v>
      </c>
      <c r="N297">
        <v>4.3</v>
      </c>
      <c r="O297">
        <f t="shared" si="32"/>
        <v>-4.3</v>
      </c>
      <c r="Q297">
        <v>254</v>
      </c>
      <c r="R297">
        <f t="shared" si="35"/>
        <v>1.0884615384615384</v>
      </c>
      <c r="S297">
        <f t="shared" si="33"/>
        <v>4.6803846153846145</v>
      </c>
      <c r="T297">
        <f t="shared" si="34"/>
        <v>-4.6803846153846145</v>
      </c>
      <c r="U297">
        <f t="shared" si="30"/>
        <v>82.848846153846125</v>
      </c>
      <c r="V297">
        <v>0</v>
      </c>
      <c r="W297">
        <v>2247</v>
      </c>
      <c r="X297">
        <f t="shared" si="31"/>
        <v>9881.7000000000007</v>
      </c>
      <c r="Y297">
        <v>15.254122544934269</v>
      </c>
      <c r="Z297">
        <f>(Z295/100)/L295</f>
        <v>0.89855738744451485</v>
      </c>
    </row>
    <row r="298" spans="1:26" x14ac:dyDescent="0.35">
      <c r="A298">
        <v>2920</v>
      </c>
      <c r="B298">
        <v>23610</v>
      </c>
      <c r="C298" s="1">
        <v>43243</v>
      </c>
      <c r="D298" s="1"/>
      <c r="F298" s="38"/>
      <c r="G298">
        <v>16.7</v>
      </c>
      <c r="H298">
        <v>12.9</v>
      </c>
      <c r="I298">
        <v>22</v>
      </c>
      <c r="J298">
        <f t="shared" si="28"/>
        <v>2430.8000000000011</v>
      </c>
      <c r="K298">
        <f t="shared" si="29"/>
        <v>80.2</v>
      </c>
      <c r="L298" s="21" t="s">
        <v>40</v>
      </c>
      <c r="M298">
        <v>0</v>
      </c>
      <c r="N298">
        <v>4.2</v>
      </c>
      <c r="O298">
        <f t="shared" si="32"/>
        <v>-4.2</v>
      </c>
      <c r="Q298">
        <v>255</v>
      </c>
      <c r="R298">
        <f t="shared" si="35"/>
        <v>1.073076923076923</v>
      </c>
      <c r="S298">
        <f t="shared" si="33"/>
        <v>4.5069230769230773</v>
      </c>
      <c r="T298">
        <f t="shared" si="34"/>
        <v>-4.5069230769230773</v>
      </c>
      <c r="U298">
        <f t="shared" si="30"/>
        <v>78.341923076923052</v>
      </c>
      <c r="V298" s="22" t="s">
        <v>47</v>
      </c>
      <c r="W298">
        <v>2153.1</v>
      </c>
      <c r="X298">
        <f t="shared" si="31"/>
        <v>12034.800000000001</v>
      </c>
      <c r="Y298">
        <v>15.290926234498</v>
      </c>
      <c r="Z298" s="22" t="s">
        <v>52</v>
      </c>
    </row>
    <row r="299" spans="1:26" x14ac:dyDescent="0.35">
      <c r="A299">
        <v>2920</v>
      </c>
      <c r="B299">
        <v>23610</v>
      </c>
      <c r="C299" s="1">
        <v>43244</v>
      </c>
      <c r="D299" s="1"/>
      <c r="F299" s="38"/>
      <c r="G299">
        <v>16.100000000000001</v>
      </c>
      <c r="H299">
        <v>11.9</v>
      </c>
      <c r="I299">
        <v>21.7</v>
      </c>
      <c r="J299">
        <f t="shared" si="28"/>
        <v>2446.900000000001</v>
      </c>
      <c r="K299">
        <f t="shared" si="29"/>
        <v>96.300000000000011</v>
      </c>
      <c r="L299" s="8">
        <f>MIN(H294:H311)</f>
        <v>7.9</v>
      </c>
      <c r="M299">
        <v>1</v>
      </c>
      <c r="N299">
        <v>3.3</v>
      </c>
      <c r="O299">
        <f t="shared" si="32"/>
        <v>-2.2999999999999998</v>
      </c>
      <c r="Q299">
        <v>256</v>
      </c>
      <c r="R299">
        <f t="shared" si="35"/>
        <v>1.0576923076923077</v>
      </c>
      <c r="S299">
        <f t="shared" si="33"/>
        <v>3.4903846153846154</v>
      </c>
      <c r="T299">
        <f t="shared" si="34"/>
        <v>-2.4903846153846154</v>
      </c>
      <c r="U299">
        <f t="shared" si="30"/>
        <v>75.851538461538439</v>
      </c>
      <c r="V299" s="11">
        <f>MIN(U294:U311)</f>
        <v>70.386538461538436</v>
      </c>
      <c r="W299">
        <v>1619.2</v>
      </c>
      <c r="X299">
        <f t="shared" si="31"/>
        <v>13654.000000000002</v>
      </c>
      <c r="Y299">
        <v>15.326766707588753</v>
      </c>
      <c r="Z299">
        <v>4</v>
      </c>
    </row>
    <row r="300" spans="1:26" x14ac:dyDescent="0.35">
      <c r="A300">
        <v>2920</v>
      </c>
      <c r="B300">
        <v>23610</v>
      </c>
      <c r="C300" s="1">
        <v>43245</v>
      </c>
      <c r="D300" s="1"/>
      <c r="F300" s="38"/>
      <c r="G300">
        <v>16.8</v>
      </c>
      <c r="H300">
        <v>12.3</v>
      </c>
      <c r="I300">
        <v>21.9</v>
      </c>
      <c r="J300">
        <f t="shared" si="28"/>
        <v>2463.7000000000012</v>
      </c>
      <c r="K300">
        <f t="shared" si="29"/>
        <v>113.10000000000001</v>
      </c>
      <c r="L300" s="21" t="s">
        <v>41</v>
      </c>
      <c r="M300">
        <v>3</v>
      </c>
      <c r="N300">
        <v>3.9</v>
      </c>
      <c r="O300">
        <f t="shared" si="32"/>
        <v>-0.89999999999999991</v>
      </c>
      <c r="Q300">
        <v>257</v>
      </c>
      <c r="R300">
        <f t="shared" si="35"/>
        <v>1.0423076923076922</v>
      </c>
      <c r="S300">
        <f t="shared" si="33"/>
        <v>4.0649999999999995</v>
      </c>
      <c r="T300">
        <f t="shared" si="34"/>
        <v>-1.0649999999999995</v>
      </c>
      <c r="U300">
        <f t="shared" si="30"/>
        <v>74.786538461538441</v>
      </c>
      <c r="V300" s="22" t="s">
        <v>48</v>
      </c>
      <c r="W300">
        <v>2115.8000000000002</v>
      </c>
      <c r="X300">
        <f t="shared" si="31"/>
        <v>15769.800000000003</v>
      </c>
      <c r="Y300">
        <v>15.361620292098312</v>
      </c>
    </row>
    <row r="301" spans="1:26" x14ac:dyDescent="0.35">
      <c r="A301">
        <v>2920</v>
      </c>
      <c r="B301">
        <v>23610</v>
      </c>
      <c r="C301" s="1">
        <v>43246</v>
      </c>
      <c r="D301" s="1"/>
      <c r="F301" s="38"/>
      <c r="G301">
        <v>18.7</v>
      </c>
      <c r="H301">
        <v>14.4</v>
      </c>
      <c r="I301">
        <v>23</v>
      </c>
      <c r="J301">
        <f t="shared" si="28"/>
        <v>2482.400000000001</v>
      </c>
      <c r="K301">
        <f t="shared" si="29"/>
        <v>131.80000000000001</v>
      </c>
      <c r="L301" s="8">
        <f>MAX(I294:I311)</f>
        <v>26.7</v>
      </c>
      <c r="M301">
        <v>1.3</v>
      </c>
      <c r="N301">
        <v>2.2999999999999998</v>
      </c>
      <c r="O301">
        <f t="shared" si="32"/>
        <v>-0.99999999999999978</v>
      </c>
      <c r="Q301">
        <v>258</v>
      </c>
      <c r="R301">
        <f t="shared" si="35"/>
        <v>1.0269230769230768</v>
      </c>
      <c r="S301">
        <f t="shared" si="33"/>
        <v>2.3619230769230763</v>
      </c>
      <c r="T301">
        <f t="shared" si="34"/>
        <v>-1.0619230769230763</v>
      </c>
      <c r="U301">
        <f t="shared" si="30"/>
        <v>73.724615384615362</v>
      </c>
      <c r="V301" s="11">
        <f>MAX(U294:U311)</f>
        <v>110.39692307692306</v>
      </c>
      <c r="W301">
        <v>1074.8</v>
      </c>
      <c r="X301">
        <f t="shared" si="31"/>
        <v>16844.600000000002</v>
      </c>
      <c r="Y301">
        <v>15.395463474541168</v>
      </c>
    </row>
    <row r="302" spans="1:26" x14ac:dyDescent="0.35">
      <c r="A302">
        <v>2920</v>
      </c>
      <c r="B302">
        <v>23610</v>
      </c>
      <c r="C302" s="1">
        <v>43247</v>
      </c>
      <c r="D302" s="1"/>
      <c r="F302" s="38"/>
      <c r="G302">
        <v>19.3</v>
      </c>
      <c r="H302">
        <v>15.5</v>
      </c>
      <c r="I302">
        <v>23.2</v>
      </c>
      <c r="J302">
        <f t="shared" ref="J302:J365" si="36">J301+G302</f>
        <v>2501.7000000000012</v>
      </c>
      <c r="K302">
        <f t="shared" ref="K302:K365" si="37">K301+G302</f>
        <v>151.10000000000002</v>
      </c>
      <c r="L302" s="21" t="s">
        <v>42</v>
      </c>
      <c r="M302">
        <v>0</v>
      </c>
      <c r="N302">
        <v>3.3</v>
      </c>
      <c r="O302">
        <f t="shared" si="32"/>
        <v>-3.3</v>
      </c>
      <c r="Q302">
        <v>259</v>
      </c>
      <c r="R302">
        <f t="shared" si="35"/>
        <v>1.0115384615384615</v>
      </c>
      <c r="S302">
        <f t="shared" si="33"/>
        <v>3.3380769230769229</v>
      </c>
      <c r="T302">
        <f t="shared" si="34"/>
        <v>-3.3380769230769229</v>
      </c>
      <c r="U302">
        <f t="shared" ref="U302:U365" si="38">MIN(U301+T302,197.4)</f>
        <v>70.386538461538436</v>
      </c>
      <c r="V302" s="22" t="s">
        <v>49</v>
      </c>
      <c r="W302">
        <v>1595.7</v>
      </c>
      <c r="X302">
        <f t="shared" ref="X302:X365" si="39">X301+W302</f>
        <v>18440.300000000003</v>
      </c>
      <c r="Y302">
        <v>15.428272948090985</v>
      </c>
    </row>
    <row r="303" spans="1:26" x14ac:dyDescent="0.35">
      <c r="A303">
        <v>2920</v>
      </c>
      <c r="B303">
        <v>23610</v>
      </c>
      <c r="C303" s="1">
        <v>43248</v>
      </c>
      <c r="D303" s="1"/>
      <c r="F303" s="38"/>
      <c r="G303">
        <v>19.100000000000001</v>
      </c>
      <c r="H303">
        <v>13.7</v>
      </c>
      <c r="I303">
        <v>25.5</v>
      </c>
      <c r="J303">
        <f t="shared" si="36"/>
        <v>2520.8000000000011</v>
      </c>
      <c r="K303">
        <f t="shared" si="37"/>
        <v>170.20000000000002</v>
      </c>
      <c r="L303" s="8">
        <v>2</v>
      </c>
      <c r="M303">
        <v>7.9</v>
      </c>
      <c r="N303">
        <v>3.1</v>
      </c>
      <c r="O303">
        <f t="shared" si="32"/>
        <v>4.8000000000000007</v>
      </c>
      <c r="Q303">
        <v>260</v>
      </c>
      <c r="R303">
        <f t="shared" si="35"/>
        <v>0.99615384615384606</v>
      </c>
      <c r="S303">
        <f t="shared" si="33"/>
        <v>3.0880769230769229</v>
      </c>
      <c r="T303">
        <f t="shared" si="34"/>
        <v>4.8119230769230779</v>
      </c>
      <c r="U303">
        <f t="shared" si="38"/>
        <v>75.198461538461515</v>
      </c>
      <c r="V303" s="11">
        <f>AVERAGE(U294:U311)</f>
        <v>82.674487179487173</v>
      </c>
      <c r="W303">
        <v>1432.4</v>
      </c>
      <c r="X303">
        <f t="shared" si="39"/>
        <v>19872.700000000004</v>
      </c>
      <c r="Y303">
        <v>15.460025662051269</v>
      </c>
    </row>
    <row r="304" spans="1:26" x14ac:dyDescent="0.35">
      <c r="A304">
        <v>2920</v>
      </c>
      <c r="B304">
        <v>23610</v>
      </c>
      <c r="C304" s="1">
        <v>43249</v>
      </c>
      <c r="D304" s="1"/>
      <c r="F304" s="38"/>
      <c r="G304">
        <v>19.3</v>
      </c>
      <c r="H304">
        <v>16.899999999999999</v>
      </c>
      <c r="I304">
        <v>21.9</v>
      </c>
      <c r="J304">
        <f t="shared" si="36"/>
        <v>2540.1000000000013</v>
      </c>
      <c r="K304">
        <f t="shared" si="37"/>
        <v>189.50000000000003</v>
      </c>
      <c r="L304" s="21" t="s">
        <v>43</v>
      </c>
      <c r="M304">
        <v>2</v>
      </c>
      <c r="N304">
        <v>2.6</v>
      </c>
      <c r="O304">
        <f t="shared" si="32"/>
        <v>-0.60000000000000009</v>
      </c>
      <c r="Q304">
        <v>261</v>
      </c>
      <c r="R304">
        <f t="shared" si="35"/>
        <v>0.98076923076923073</v>
      </c>
      <c r="S304">
        <f t="shared" si="33"/>
        <v>2.5499999999999998</v>
      </c>
      <c r="T304">
        <f t="shared" si="34"/>
        <v>-0.54999999999999982</v>
      </c>
      <c r="U304">
        <f t="shared" si="38"/>
        <v>74.648461538461518</v>
      </c>
      <c r="W304">
        <v>1256.5</v>
      </c>
      <c r="X304">
        <f t="shared" si="39"/>
        <v>21129.200000000004</v>
      </c>
      <c r="Y304">
        <v>15.490698872601032</v>
      </c>
    </row>
    <row r="305" spans="1:26" x14ac:dyDescent="0.35">
      <c r="A305">
        <v>2920</v>
      </c>
      <c r="B305">
        <v>23610</v>
      </c>
      <c r="C305" s="1">
        <v>43250</v>
      </c>
      <c r="D305" s="1"/>
      <c r="F305" s="38"/>
      <c r="G305">
        <v>18.3</v>
      </c>
      <c r="H305">
        <v>16.600000000000001</v>
      </c>
      <c r="I305">
        <v>20.5</v>
      </c>
      <c r="J305">
        <f t="shared" si="36"/>
        <v>2558.4000000000015</v>
      </c>
      <c r="K305">
        <f t="shared" si="37"/>
        <v>207.80000000000004</v>
      </c>
      <c r="L305" s="8">
        <v>0</v>
      </c>
      <c r="M305">
        <v>0</v>
      </c>
      <c r="N305">
        <v>2.2999999999999998</v>
      </c>
      <c r="O305">
        <f t="shared" si="32"/>
        <v>-2.2999999999999998</v>
      </c>
      <c r="Q305">
        <v>262</v>
      </c>
      <c r="R305">
        <f t="shared" si="35"/>
        <v>0.96538461538461529</v>
      </c>
      <c r="S305">
        <f t="shared" si="33"/>
        <v>2.220384615384615</v>
      </c>
      <c r="T305">
        <f t="shared" si="34"/>
        <v>-2.220384615384615</v>
      </c>
      <c r="U305">
        <f t="shared" si="38"/>
        <v>72.428076923076901</v>
      </c>
      <c r="V305" s="12">
        <f>(V303*100)/197.4</f>
        <v>41.881705764684483</v>
      </c>
      <c r="W305">
        <v>1158.8</v>
      </c>
      <c r="X305">
        <f t="shared" si="39"/>
        <v>22288.000000000004</v>
      </c>
      <c r="Y305">
        <v>15.520270194638618</v>
      </c>
    </row>
    <row r="306" spans="1:26" x14ac:dyDescent="0.35">
      <c r="A306">
        <v>2920</v>
      </c>
      <c r="B306">
        <v>23610</v>
      </c>
      <c r="C306" s="1">
        <v>43251</v>
      </c>
      <c r="D306" s="1"/>
      <c r="F306" s="38"/>
      <c r="G306">
        <v>16.7</v>
      </c>
      <c r="H306">
        <v>14.5</v>
      </c>
      <c r="I306">
        <v>18.7</v>
      </c>
      <c r="J306">
        <f t="shared" si="36"/>
        <v>2575.1000000000013</v>
      </c>
      <c r="K306">
        <f t="shared" si="37"/>
        <v>224.50000000000003</v>
      </c>
      <c r="L306" s="21" t="s">
        <v>44</v>
      </c>
      <c r="M306">
        <v>4</v>
      </c>
      <c r="N306">
        <v>1.3</v>
      </c>
      <c r="O306">
        <f t="shared" si="32"/>
        <v>2.7</v>
      </c>
      <c r="Q306">
        <v>263</v>
      </c>
      <c r="R306">
        <f t="shared" si="35"/>
        <v>0.95</v>
      </c>
      <c r="S306">
        <f t="shared" si="33"/>
        <v>1.2349999999999999</v>
      </c>
      <c r="T306">
        <f t="shared" si="34"/>
        <v>2.7650000000000001</v>
      </c>
      <c r="U306">
        <f t="shared" si="38"/>
        <v>75.193076923076902</v>
      </c>
      <c r="W306">
        <v>798.3</v>
      </c>
      <c r="X306">
        <f t="shared" si="39"/>
        <v>23086.300000000003</v>
      </c>
      <c r="Y306">
        <v>15.548717654529707</v>
      </c>
    </row>
    <row r="307" spans="1:26" x14ac:dyDescent="0.35">
      <c r="A307">
        <v>2920</v>
      </c>
      <c r="B307">
        <v>23610</v>
      </c>
      <c r="C307" s="1">
        <v>43252</v>
      </c>
      <c r="D307" s="1"/>
      <c r="F307" s="38"/>
      <c r="G307">
        <v>17.8</v>
      </c>
      <c r="H307">
        <v>15.2</v>
      </c>
      <c r="I307">
        <v>22.1</v>
      </c>
      <c r="J307">
        <f t="shared" si="36"/>
        <v>2592.9000000000015</v>
      </c>
      <c r="K307">
        <f t="shared" si="37"/>
        <v>242.30000000000004</v>
      </c>
      <c r="L307" s="8">
        <v>0</v>
      </c>
      <c r="M307">
        <v>0</v>
      </c>
      <c r="N307">
        <v>1.9</v>
      </c>
      <c r="O307">
        <f t="shared" si="32"/>
        <v>-1.9</v>
      </c>
      <c r="Q307">
        <v>264</v>
      </c>
      <c r="R307">
        <f t="shared" si="35"/>
        <v>0.93461538461538451</v>
      </c>
      <c r="S307">
        <f t="shared" si="33"/>
        <v>1.7757692307692305</v>
      </c>
      <c r="T307">
        <f t="shared" si="34"/>
        <v>-1.7757692307692305</v>
      </c>
      <c r="U307">
        <f t="shared" si="38"/>
        <v>73.417307692307674</v>
      </c>
      <c r="W307">
        <v>821.1</v>
      </c>
      <c r="X307">
        <f t="shared" si="39"/>
        <v>23907.4</v>
      </c>
      <c r="Y307">
        <v>15.57601974354869</v>
      </c>
    </row>
    <row r="308" spans="1:26" x14ac:dyDescent="0.35">
      <c r="A308">
        <v>2920</v>
      </c>
      <c r="B308">
        <v>23610</v>
      </c>
      <c r="C308" s="1">
        <v>43253</v>
      </c>
      <c r="D308" s="1"/>
      <c r="F308" s="38"/>
      <c r="G308">
        <v>18.7</v>
      </c>
      <c r="H308">
        <v>13.3</v>
      </c>
      <c r="I308">
        <v>22.9</v>
      </c>
      <c r="J308">
        <f t="shared" si="36"/>
        <v>2611.6000000000013</v>
      </c>
      <c r="K308">
        <f t="shared" si="37"/>
        <v>261.00000000000006</v>
      </c>
      <c r="M308">
        <v>0.1</v>
      </c>
      <c r="N308">
        <v>2.5</v>
      </c>
      <c r="O308">
        <f t="shared" si="32"/>
        <v>-2.4</v>
      </c>
      <c r="Q308">
        <v>265</v>
      </c>
      <c r="R308">
        <f t="shared" si="35"/>
        <v>0.91923076923076918</v>
      </c>
      <c r="S308">
        <f t="shared" si="33"/>
        <v>2.2980769230769229</v>
      </c>
      <c r="T308">
        <f t="shared" si="34"/>
        <v>-2.1980769230769228</v>
      </c>
      <c r="U308">
        <f t="shared" si="38"/>
        <v>71.219230769230748</v>
      </c>
      <c r="W308">
        <v>1307.5</v>
      </c>
      <c r="X308">
        <f t="shared" si="39"/>
        <v>25214.9</v>
      </c>
      <c r="Y308">
        <v>15.6021554717868</v>
      </c>
    </row>
    <row r="309" spans="1:26" x14ac:dyDescent="0.35">
      <c r="A309">
        <v>2920</v>
      </c>
      <c r="B309">
        <v>23610</v>
      </c>
      <c r="C309" s="1">
        <v>43254</v>
      </c>
      <c r="D309" s="1"/>
      <c r="F309" s="38"/>
      <c r="G309">
        <v>19.8</v>
      </c>
      <c r="H309">
        <v>17.2</v>
      </c>
      <c r="I309">
        <v>26.7</v>
      </c>
      <c r="J309">
        <f t="shared" si="36"/>
        <v>2631.4000000000015</v>
      </c>
      <c r="K309">
        <f t="shared" si="37"/>
        <v>280.80000000000007</v>
      </c>
      <c r="M309">
        <v>26.5</v>
      </c>
      <c r="N309">
        <v>4.5</v>
      </c>
      <c r="O309">
        <f t="shared" si="32"/>
        <v>22</v>
      </c>
      <c r="Q309">
        <v>266</v>
      </c>
      <c r="R309">
        <f t="shared" si="35"/>
        <v>0.90384615384615374</v>
      </c>
      <c r="S309">
        <f t="shared" si="33"/>
        <v>4.0673076923076916</v>
      </c>
      <c r="T309">
        <f t="shared" si="34"/>
        <v>22.432692307692307</v>
      </c>
      <c r="U309">
        <f t="shared" si="38"/>
        <v>93.651923076923055</v>
      </c>
      <c r="W309">
        <v>1881.2</v>
      </c>
      <c r="X309">
        <f t="shared" si="39"/>
        <v>27096.100000000002</v>
      </c>
      <c r="Y309">
        <v>15.627104422285417</v>
      </c>
    </row>
    <row r="310" spans="1:26" x14ac:dyDescent="0.35">
      <c r="A310">
        <v>2920</v>
      </c>
      <c r="B310">
        <v>23610</v>
      </c>
      <c r="C310" s="1">
        <v>43255</v>
      </c>
      <c r="D310" s="1"/>
      <c r="F310" s="38"/>
      <c r="G310">
        <v>17.399999999999999</v>
      </c>
      <c r="H310">
        <v>16</v>
      </c>
      <c r="I310">
        <v>19.600000000000001</v>
      </c>
      <c r="J310">
        <f t="shared" si="36"/>
        <v>2648.8000000000015</v>
      </c>
      <c r="K310">
        <f t="shared" si="37"/>
        <v>298.20000000000005</v>
      </c>
      <c r="M310">
        <v>17.899999999999999</v>
      </c>
      <c r="N310">
        <v>1.3</v>
      </c>
      <c r="O310">
        <f t="shared" si="32"/>
        <v>16.599999999999998</v>
      </c>
      <c r="Q310">
        <v>267</v>
      </c>
      <c r="R310">
        <f t="shared" si="35"/>
        <v>0.88846153846153841</v>
      </c>
      <c r="S310">
        <f t="shared" si="33"/>
        <v>1.155</v>
      </c>
      <c r="T310">
        <f t="shared" si="34"/>
        <v>16.744999999999997</v>
      </c>
      <c r="U310">
        <f t="shared" si="38"/>
        <v>110.39692307692306</v>
      </c>
      <c r="W310">
        <v>648.79999999999995</v>
      </c>
      <c r="X310">
        <f t="shared" si="39"/>
        <v>27744.9</v>
      </c>
      <c r="Y310">
        <v>15.650846805139345</v>
      </c>
    </row>
    <row r="311" spans="1:26" s="4" customFormat="1" ht="15" thickBot="1" x14ac:dyDescent="0.4">
      <c r="A311" s="4">
        <v>2920</v>
      </c>
      <c r="B311" s="4">
        <v>23610</v>
      </c>
      <c r="C311" s="5">
        <v>43256</v>
      </c>
      <c r="D311" s="4">
        <v>600</v>
      </c>
      <c r="F311" s="39"/>
      <c r="G311" s="4">
        <v>17.2</v>
      </c>
      <c r="H311" s="4">
        <v>16</v>
      </c>
      <c r="I311" s="4">
        <v>19.100000000000001</v>
      </c>
      <c r="J311" s="4">
        <f t="shared" si="36"/>
        <v>2666.0000000000014</v>
      </c>
      <c r="K311" s="4">
        <f t="shared" si="37"/>
        <v>315.40000000000003</v>
      </c>
      <c r="M311" s="4">
        <v>0.7</v>
      </c>
      <c r="N311" s="4">
        <v>1.1000000000000001</v>
      </c>
      <c r="O311" s="4">
        <f t="shared" si="32"/>
        <v>-0.40000000000000013</v>
      </c>
      <c r="Q311" s="4">
        <v>268</v>
      </c>
      <c r="R311" s="4">
        <f t="shared" si="35"/>
        <v>0.87307692307692308</v>
      </c>
      <c r="S311" s="4">
        <f t="shared" si="33"/>
        <v>0.9603846153846155</v>
      </c>
      <c r="T311" s="4">
        <f t="shared" si="34"/>
        <v>-0.26038461538461555</v>
      </c>
      <c r="U311" s="4">
        <f t="shared" si="38"/>
        <v>110.13653846153845</v>
      </c>
      <c r="W311" s="4">
        <v>595.6</v>
      </c>
      <c r="X311" s="4">
        <f t="shared" si="39"/>
        <v>28340.5</v>
      </c>
      <c r="Y311" s="4">
        <v>15.673363511302922</v>
      </c>
    </row>
    <row r="312" spans="1:26" x14ac:dyDescent="0.35">
      <c r="A312">
        <v>2920</v>
      </c>
      <c r="B312">
        <v>23610</v>
      </c>
      <c r="C312" s="1">
        <v>43257</v>
      </c>
      <c r="D312" s="1"/>
      <c r="F312" s="40" t="s">
        <v>60</v>
      </c>
      <c r="G312">
        <v>14.8</v>
      </c>
      <c r="H312">
        <v>13.8</v>
      </c>
      <c r="I312">
        <v>15.7</v>
      </c>
      <c r="J312">
        <f t="shared" si="36"/>
        <v>2680.8000000000015</v>
      </c>
      <c r="K312">
        <f>G312</f>
        <v>14.8</v>
      </c>
      <c r="L312" s="23" t="s">
        <v>38</v>
      </c>
      <c r="M312">
        <v>8.1999999999999993</v>
      </c>
      <c r="N312">
        <v>1</v>
      </c>
      <c r="O312">
        <f t="shared" si="32"/>
        <v>7.1999999999999993</v>
      </c>
      <c r="Q312">
        <v>269</v>
      </c>
      <c r="R312">
        <f t="shared" si="35"/>
        <v>0.85769230769230764</v>
      </c>
      <c r="S312">
        <f t="shared" si="33"/>
        <v>0.85769230769230764</v>
      </c>
      <c r="T312">
        <f t="shared" si="34"/>
        <v>7.342307692307692</v>
      </c>
      <c r="U312">
        <f t="shared" si="38"/>
        <v>117.47884615384615</v>
      </c>
      <c r="V312" s="24" t="s">
        <v>45</v>
      </c>
      <c r="W312">
        <v>493.4</v>
      </c>
      <c r="X312">
        <f>W312</f>
        <v>493.4</v>
      </c>
      <c r="Y312">
        <v>15.694636165821434</v>
      </c>
      <c r="Z312" s="24" t="s">
        <v>50</v>
      </c>
    </row>
    <row r="313" spans="1:26" x14ac:dyDescent="0.35">
      <c r="A313">
        <v>2920</v>
      </c>
      <c r="B313">
        <v>23610</v>
      </c>
      <c r="C313" s="1">
        <v>43258</v>
      </c>
      <c r="D313" s="1"/>
      <c r="F313" s="41"/>
      <c r="G313">
        <v>17.3</v>
      </c>
      <c r="H313">
        <v>14.9</v>
      </c>
      <c r="I313">
        <v>19.899999999999999</v>
      </c>
      <c r="J313">
        <f t="shared" si="36"/>
        <v>2698.1000000000017</v>
      </c>
      <c r="K313">
        <f t="shared" si="37"/>
        <v>32.1</v>
      </c>
      <c r="L313" s="8">
        <v>422.3</v>
      </c>
      <c r="M313">
        <v>0.9</v>
      </c>
      <c r="N313">
        <v>1.3</v>
      </c>
      <c r="O313">
        <f t="shared" si="32"/>
        <v>-0.4</v>
      </c>
      <c r="Q313">
        <v>270</v>
      </c>
      <c r="R313">
        <f t="shared" si="35"/>
        <v>0.8423076923076922</v>
      </c>
      <c r="S313">
        <f t="shared" si="33"/>
        <v>1.095</v>
      </c>
      <c r="T313">
        <f t="shared" si="34"/>
        <v>-0.19499999999999995</v>
      </c>
      <c r="U313">
        <f t="shared" si="38"/>
        <v>117.28384615384616</v>
      </c>
      <c r="V313">
        <v>0</v>
      </c>
      <c r="W313">
        <v>664.5</v>
      </c>
      <c r="X313">
        <f t="shared" si="39"/>
        <v>1157.9000000000001</v>
      </c>
      <c r="Y313">
        <v>15.714647180202101</v>
      </c>
      <c r="Z313">
        <v>40302.6</v>
      </c>
    </row>
    <row r="314" spans="1:26" x14ac:dyDescent="0.35">
      <c r="A314">
        <v>2920</v>
      </c>
      <c r="B314">
        <v>23610</v>
      </c>
      <c r="C314" s="1">
        <v>43259</v>
      </c>
      <c r="D314" s="1"/>
      <c r="F314" s="41"/>
      <c r="G314">
        <v>20.100000000000001</v>
      </c>
      <c r="H314">
        <v>14.6</v>
      </c>
      <c r="I314">
        <v>24.4</v>
      </c>
      <c r="J314">
        <f t="shared" si="36"/>
        <v>2718.2000000000016</v>
      </c>
      <c r="K314">
        <f t="shared" si="37"/>
        <v>52.2</v>
      </c>
      <c r="L314" s="23" t="s">
        <v>39</v>
      </c>
      <c r="M314">
        <v>0.3</v>
      </c>
      <c r="N314">
        <v>3.1</v>
      </c>
      <c r="O314">
        <f t="shared" si="32"/>
        <v>-2.8000000000000003</v>
      </c>
      <c r="Q314">
        <v>271</v>
      </c>
      <c r="R314">
        <f t="shared" si="35"/>
        <v>0.82692307692307687</v>
      </c>
      <c r="S314">
        <f t="shared" si="33"/>
        <v>2.5634615384615382</v>
      </c>
      <c r="T314">
        <f t="shared" si="34"/>
        <v>-2.2634615384615384</v>
      </c>
      <c r="U314">
        <f t="shared" si="38"/>
        <v>115.02038461538461</v>
      </c>
      <c r="V314" s="24" t="s">
        <v>46</v>
      </c>
      <c r="W314">
        <v>1705.3</v>
      </c>
      <c r="X314">
        <f t="shared" si="39"/>
        <v>2863.2</v>
      </c>
      <c r="Y314">
        <v>15.733379803633058</v>
      </c>
      <c r="Z314" s="24" t="s">
        <v>51</v>
      </c>
    </row>
    <row r="315" spans="1:26" x14ac:dyDescent="0.35">
      <c r="A315">
        <v>2920</v>
      </c>
      <c r="B315">
        <v>23610</v>
      </c>
      <c r="C315" s="1">
        <v>43260</v>
      </c>
      <c r="D315" s="1"/>
      <c r="F315" s="41"/>
      <c r="G315">
        <v>19.100000000000001</v>
      </c>
      <c r="H315">
        <v>17.7</v>
      </c>
      <c r="I315">
        <v>21.9</v>
      </c>
      <c r="J315">
        <f t="shared" si="36"/>
        <v>2737.3000000000015</v>
      </c>
      <c r="K315">
        <f t="shared" si="37"/>
        <v>71.300000000000011</v>
      </c>
      <c r="L315" s="9">
        <f>AVERAGE(G312:G334)</f>
        <v>18.360869565217389</v>
      </c>
      <c r="M315">
        <v>7.1</v>
      </c>
      <c r="N315">
        <v>1.8</v>
      </c>
      <c r="O315">
        <f t="shared" si="32"/>
        <v>5.3</v>
      </c>
      <c r="Q315">
        <v>272</v>
      </c>
      <c r="R315">
        <f t="shared" si="35"/>
        <v>0.81153846153846154</v>
      </c>
      <c r="S315">
        <f t="shared" si="33"/>
        <v>1.4607692307692308</v>
      </c>
      <c r="T315">
        <f t="shared" si="34"/>
        <v>5.6392307692307693</v>
      </c>
      <c r="U315">
        <f t="shared" si="38"/>
        <v>120.65961538461538</v>
      </c>
      <c r="V315">
        <v>0</v>
      </c>
      <c r="W315">
        <v>1023.7</v>
      </c>
      <c r="X315">
        <f t="shared" si="39"/>
        <v>3886.8999999999996</v>
      </c>
      <c r="Y315">
        <v>15.750818172755142</v>
      </c>
      <c r="Z315">
        <f>(Z313/100)/L313</f>
        <v>0.95435946009945538</v>
      </c>
    </row>
    <row r="316" spans="1:26" x14ac:dyDescent="0.35">
      <c r="A316">
        <v>2920</v>
      </c>
      <c r="B316">
        <v>23610</v>
      </c>
      <c r="C316" s="1">
        <v>43261</v>
      </c>
      <c r="D316" s="1"/>
      <c r="F316" s="41"/>
      <c r="G316">
        <v>19</v>
      </c>
      <c r="H316">
        <v>16.3</v>
      </c>
      <c r="I316">
        <v>21.4</v>
      </c>
      <c r="J316">
        <f t="shared" si="36"/>
        <v>2756.3000000000015</v>
      </c>
      <c r="K316">
        <f t="shared" si="37"/>
        <v>90.300000000000011</v>
      </c>
      <c r="L316" s="23" t="s">
        <v>40</v>
      </c>
      <c r="M316">
        <v>1.9</v>
      </c>
      <c r="N316">
        <v>1.2</v>
      </c>
      <c r="O316">
        <f t="shared" si="32"/>
        <v>0.7</v>
      </c>
      <c r="Q316">
        <v>273</v>
      </c>
      <c r="R316">
        <f t="shared" si="35"/>
        <v>0.7961538461538461</v>
      </c>
      <c r="S316">
        <f t="shared" si="33"/>
        <v>0.95538461538461528</v>
      </c>
      <c r="T316">
        <f t="shared" si="34"/>
        <v>0.94461538461538463</v>
      </c>
      <c r="U316">
        <f t="shared" si="38"/>
        <v>121.60423076923077</v>
      </c>
      <c r="V316" s="24" t="s">
        <v>47</v>
      </c>
      <c r="W316">
        <v>620.70000000000005</v>
      </c>
      <c r="X316">
        <f t="shared" si="39"/>
        <v>4507.5999999999995</v>
      </c>
      <c r="Y316">
        <v>15.766947359690485</v>
      </c>
      <c r="Z316" s="24" t="s">
        <v>52</v>
      </c>
    </row>
    <row r="317" spans="1:26" x14ac:dyDescent="0.35">
      <c r="A317">
        <v>2920</v>
      </c>
      <c r="B317">
        <v>23610</v>
      </c>
      <c r="C317" s="1">
        <v>43262</v>
      </c>
      <c r="D317" s="1"/>
      <c r="F317" s="41"/>
      <c r="G317">
        <v>17.100000000000001</v>
      </c>
      <c r="H317">
        <v>16.3</v>
      </c>
      <c r="I317">
        <v>18.399999999999999</v>
      </c>
      <c r="J317">
        <f t="shared" si="36"/>
        <v>2773.4000000000015</v>
      </c>
      <c r="K317">
        <f t="shared" si="37"/>
        <v>107.4</v>
      </c>
      <c r="L317" s="8">
        <f>MIN(H312:H334)</f>
        <v>10.7</v>
      </c>
      <c r="M317">
        <v>48</v>
      </c>
      <c r="N317">
        <v>1</v>
      </c>
      <c r="O317">
        <f t="shared" si="32"/>
        <v>47</v>
      </c>
      <c r="Q317">
        <v>274</v>
      </c>
      <c r="R317">
        <f t="shared" si="35"/>
        <v>0.78076923076923066</v>
      </c>
      <c r="S317">
        <f t="shared" si="33"/>
        <v>0.78076923076923066</v>
      </c>
      <c r="T317">
        <f t="shared" si="34"/>
        <v>47.219230769230769</v>
      </c>
      <c r="U317">
        <f t="shared" si="38"/>
        <v>168.82346153846154</v>
      </c>
      <c r="V317" s="11">
        <f>MIN(U312:U334)</f>
        <v>115.02038461538461</v>
      </c>
      <c r="W317">
        <v>370.4</v>
      </c>
      <c r="X317">
        <f t="shared" si="39"/>
        <v>4877.9999999999991</v>
      </c>
      <c r="Y317">
        <v>15.781753418034045</v>
      </c>
      <c r="Z317">
        <v>6</v>
      </c>
    </row>
    <row r="318" spans="1:26" x14ac:dyDescent="0.35">
      <c r="A318">
        <v>2920</v>
      </c>
      <c r="B318">
        <v>23610</v>
      </c>
      <c r="C318" s="1">
        <v>43263</v>
      </c>
      <c r="D318" s="1"/>
      <c r="F318" s="41"/>
      <c r="G318">
        <v>16.8</v>
      </c>
      <c r="H318">
        <v>14.9</v>
      </c>
      <c r="I318">
        <v>20.2</v>
      </c>
      <c r="J318">
        <f t="shared" si="36"/>
        <v>2790.2000000000016</v>
      </c>
      <c r="K318">
        <f t="shared" si="37"/>
        <v>124.2</v>
      </c>
      <c r="L318" s="23" t="s">
        <v>41</v>
      </c>
      <c r="M318">
        <v>0.2</v>
      </c>
      <c r="N318">
        <v>2.5</v>
      </c>
      <c r="O318">
        <f t="shared" si="32"/>
        <v>-2.2999999999999998</v>
      </c>
      <c r="Q318">
        <v>275</v>
      </c>
      <c r="R318">
        <f t="shared" si="35"/>
        <v>0.76538461538461533</v>
      </c>
      <c r="S318">
        <f t="shared" si="33"/>
        <v>1.9134615384615383</v>
      </c>
      <c r="T318">
        <f t="shared" si="34"/>
        <v>-1.7134615384615384</v>
      </c>
      <c r="U318">
        <f t="shared" si="38"/>
        <v>167.11</v>
      </c>
      <c r="V318" s="24" t="s">
        <v>48</v>
      </c>
      <c r="W318">
        <v>1253.2</v>
      </c>
      <c r="X318">
        <f t="shared" si="39"/>
        <v>6131.1999999999989</v>
      </c>
      <c r="Y318">
        <v>15.795223426518856</v>
      </c>
    </row>
    <row r="319" spans="1:26" x14ac:dyDescent="0.35">
      <c r="A319">
        <v>2920</v>
      </c>
      <c r="B319">
        <v>23610</v>
      </c>
      <c r="C319" s="1">
        <v>43264</v>
      </c>
      <c r="D319" s="1"/>
      <c r="F319" s="41"/>
      <c r="G319">
        <v>16.8</v>
      </c>
      <c r="H319">
        <v>12.6</v>
      </c>
      <c r="I319">
        <v>21.4</v>
      </c>
      <c r="J319">
        <f t="shared" si="36"/>
        <v>2807.0000000000018</v>
      </c>
      <c r="K319">
        <f t="shared" si="37"/>
        <v>141</v>
      </c>
      <c r="L319" s="8">
        <f>MAX(I312:I334)</f>
        <v>28.9</v>
      </c>
      <c r="M319">
        <v>0</v>
      </c>
      <c r="N319">
        <v>2.1</v>
      </c>
      <c r="O319">
        <f t="shared" si="32"/>
        <v>-2.1</v>
      </c>
      <c r="Q319">
        <v>276</v>
      </c>
      <c r="R319">
        <f t="shared" si="35"/>
        <v>0.75</v>
      </c>
      <c r="S319">
        <f t="shared" si="33"/>
        <v>1.5750000000000002</v>
      </c>
      <c r="T319">
        <f t="shared" si="34"/>
        <v>-1.5750000000000002</v>
      </c>
      <c r="U319">
        <f t="shared" si="38"/>
        <v>165.53500000000003</v>
      </c>
      <c r="V319" s="11">
        <f>MAX(U312:U334)</f>
        <v>168.82346153846154</v>
      </c>
      <c r="W319">
        <v>1254.4000000000001</v>
      </c>
      <c r="X319">
        <f t="shared" si="39"/>
        <v>7385.5999999999985</v>
      </c>
      <c r="Y319">
        <v>15.807345530073876</v>
      </c>
    </row>
    <row r="320" spans="1:26" x14ac:dyDescent="0.35">
      <c r="A320">
        <v>2920</v>
      </c>
      <c r="B320">
        <v>23610</v>
      </c>
      <c r="C320" s="1">
        <v>43265</v>
      </c>
      <c r="D320" s="1"/>
      <c r="F320" s="41"/>
      <c r="G320">
        <v>15.7</v>
      </c>
      <c r="H320">
        <v>13.2</v>
      </c>
      <c r="I320">
        <v>17.5</v>
      </c>
      <c r="J320">
        <f t="shared" si="36"/>
        <v>2822.7000000000016</v>
      </c>
      <c r="K320">
        <f t="shared" si="37"/>
        <v>156.69999999999999</v>
      </c>
      <c r="L320" s="23" t="s">
        <v>42</v>
      </c>
      <c r="M320">
        <v>0.5</v>
      </c>
      <c r="N320">
        <v>1</v>
      </c>
      <c r="O320">
        <f t="shared" si="32"/>
        <v>-0.5</v>
      </c>
      <c r="Q320">
        <v>277</v>
      </c>
      <c r="R320">
        <f t="shared" si="35"/>
        <v>0.73461538461538445</v>
      </c>
      <c r="S320">
        <f t="shared" si="33"/>
        <v>0.73461538461538445</v>
      </c>
      <c r="T320">
        <f t="shared" si="34"/>
        <v>-0.23461538461538445</v>
      </c>
      <c r="U320">
        <f t="shared" si="38"/>
        <v>165.30038461538464</v>
      </c>
      <c r="V320" s="24" t="s">
        <v>49</v>
      </c>
      <c r="W320">
        <v>611.5</v>
      </c>
      <c r="X320">
        <f t="shared" si="39"/>
        <v>7997.0999999999985</v>
      </c>
      <c r="Y320">
        <v>15.818108978004114</v>
      </c>
    </row>
    <row r="321" spans="1:25" x14ac:dyDescent="0.35">
      <c r="A321">
        <v>2920</v>
      </c>
      <c r="B321">
        <v>23610</v>
      </c>
      <c r="C321" s="1">
        <v>43266</v>
      </c>
      <c r="D321" s="1"/>
      <c r="F321" s="41"/>
      <c r="G321">
        <v>15.5</v>
      </c>
      <c r="H321">
        <v>13.5</v>
      </c>
      <c r="I321">
        <v>18.7</v>
      </c>
      <c r="J321">
        <f t="shared" si="36"/>
        <v>2838.2000000000016</v>
      </c>
      <c r="K321">
        <f t="shared" si="37"/>
        <v>172.2</v>
      </c>
      <c r="L321" s="8">
        <v>5</v>
      </c>
      <c r="M321">
        <v>0</v>
      </c>
      <c r="N321">
        <v>2.8</v>
      </c>
      <c r="O321">
        <f t="shared" si="32"/>
        <v>-2.8</v>
      </c>
      <c r="Q321">
        <v>278</v>
      </c>
      <c r="R321">
        <f t="shared" si="35"/>
        <v>0.71923076923076912</v>
      </c>
      <c r="S321">
        <f t="shared" si="33"/>
        <v>2.0138461538461536</v>
      </c>
      <c r="T321">
        <f t="shared" si="34"/>
        <v>-2.0138461538461536</v>
      </c>
      <c r="U321">
        <f t="shared" si="38"/>
        <v>163.2865384615385</v>
      </c>
      <c r="V321" s="11">
        <f>AVERAGE(U312:U334)</f>
        <v>144.46446488294316</v>
      </c>
      <c r="W321">
        <v>1255.5999999999999</v>
      </c>
      <c r="X321">
        <f t="shared" si="39"/>
        <v>9252.6999999999989</v>
      </c>
      <c r="Y321">
        <v>15.827504159036636</v>
      </c>
    </row>
    <row r="322" spans="1:25" x14ac:dyDescent="0.35">
      <c r="A322">
        <v>2920</v>
      </c>
      <c r="B322">
        <v>23610</v>
      </c>
      <c r="C322" s="1">
        <v>43267</v>
      </c>
      <c r="D322" s="1"/>
      <c r="F322" s="41"/>
      <c r="G322">
        <v>15.5</v>
      </c>
      <c r="H322">
        <v>10.7</v>
      </c>
      <c r="I322">
        <v>19.100000000000001</v>
      </c>
      <c r="J322">
        <f t="shared" si="36"/>
        <v>2853.7000000000016</v>
      </c>
      <c r="K322">
        <f t="shared" si="37"/>
        <v>187.7</v>
      </c>
      <c r="L322" s="23" t="s">
        <v>43</v>
      </c>
      <c r="M322">
        <v>0</v>
      </c>
      <c r="N322">
        <v>1.7</v>
      </c>
      <c r="O322">
        <f t="shared" si="32"/>
        <v>-1.7</v>
      </c>
      <c r="Q322">
        <v>279</v>
      </c>
      <c r="R322">
        <f t="shared" si="35"/>
        <v>0.70384615384615379</v>
      </c>
      <c r="S322">
        <f t="shared" si="33"/>
        <v>1.1965384615384613</v>
      </c>
      <c r="T322">
        <f t="shared" si="34"/>
        <v>-1.1965384615384613</v>
      </c>
      <c r="U322">
        <f t="shared" si="38"/>
        <v>162.09000000000003</v>
      </c>
      <c r="W322">
        <v>1082</v>
      </c>
      <c r="X322">
        <f t="shared" si="39"/>
        <v>10334.699999999999</v>
      </c>
      <c r="Y322">
        <v>15.83552263299285</v>
      </c>
    </row>
    <row r="323" spans="1:25" x14ac:dyDescent="0.35">
      <c r="A323">
        <v>2920</v>
      </c>
      <c r="B323">
        <v>23610</v>
      </c>
      <c r="C323" s="1">
        <v>43268</v>
      </c>
      <c r="D323" s="1"/>
      <c r="F323" s="41"/>
      <c r="G323">
        <v>16.399999999999999</v>
      </c>
      <c r="H323">
        <v>13.7</v>
      </c>
      <c r="I323">
        <v>19.399999999999999</v>
      </c>
      <c r="J323">
        <f t="shared" si="36"/>
        <v>2870.1000000000017</v>
      </c>
      <c r="K323">
        <f t="shared" si="37"/>
        <v>204.1</v>
      </c>
      <c r="L323" s="8">
        <v>0</v>
      </c>
      <c r="M323">
        <v>0.2</v>
      </c>
      <c r="N323">
        <v>2.5</v>
      </c>
      <c r="O323">
        <f t="shared" si="32"/>
        <v>-2.2999999999999998</v>
      </c>
      <c r="Q323">
        <v>280</v>
      </c>
      <c r="R323">
        <f t="shared" si="35"/>
        <v>0.68846153846153846</v>
      </c>
      <c r="S323">
        <f t="shared" si="33"/>
        <v>1.7211538461538463</v>
      </c>
      <c r="T323">
        <f t="shared" si="34"/>
        <v>-1.5211538461538463</v>
      </c>
      <c r="U323">
        <f t="shared" si="38"/>
        <v>160.56884615384618</v>
      </c>
      <c r="V323" s="12">
        <f>(V321*100)/197.4</f>
        <v>73.183619494905344</v>
      </c>
      <c r="W323">
        <v>1195.8</v>
      </c>
      <c r="X323">
        <f t="shared" si="39"/>
        <v>11530.499999999998</v>
      </c>
      <c r="Y323">
        <v>15.842157158867153</v>
      </c>
    </row>
    <row r="324" spans="1:25" x14ac:dyDescent="0.35">
      <c r="A324">
        <v>2920</v>
      </c>
      <c r="B324">
        <v>23610</v>
      </c>
      <c r="C324" s="1">
        <v>43269</v>
      </c>
      <c r="D324" s="1"/>
      <c r="F324" s="41"/>
      <c r="G324">
        <v>18.600000000000001</v>
      </c>
      <c r="H324">
        <v>16.3</v>
      </c>
      <c r="I324">
        <v>22.4</v>
      </c>
      <c r="J324">
        <f t="shared" si="36"/>
        <v>2888.7000000000016</v>
      </c>
      <c r="K324">
        <f t="shared" si="37"/>
        <v>222.7</v>
      </c>
      <c r="L324" s="23" t="s">
        <v>44</v>
      </c>
      <c r="M324">
        <v>0</v>
      </c>
      <c r="N324">
        <v>2</v>
      </c>
      <c r="O324">
        <f t="shared" si="32"/>
        <v>-2</v>
      </c>
      <c r="Q324">
        <v>281</v>
      </c>
      <c r="R324">
        <f t="shared" si="35"/>
        <v>0.67307692307692302</v>
      </c>
      <c r="S324">
        <f t="shared" si="33"/>
        <v>1.346153846153846</v>
      </c>
      <c r="T324">
        <f t="shared" si="34"/>
        <v>-1.346153846153846</v>
      </c>
      <c r="U324">
        <f t="shared" si="38"/>
        <v>159.22269230769234</v>
      </c>
      <c r="W324">
        <v>777.9</v>
      </c>
      <c r="X324">
        <f t="shared" si="39"/>
        <v>12308.399999999998</v>
      </c>
      <c r="Y324">
        <v>15.847401719114204</v>
      </c>
    </row>
    <row r="325" spans="1:25" x14ac:dyDescent="0.35">
      <c r="A325">
        <v>2920</v>
      </c>
      <c r="B325">
        <v>23610</v>
      </c>
      <c r="C325" s="1">
        <v>43270</v>
      </c>
      <c r="D325" s="1"/>
      <c r="F325" s="41"/>
      <c r="G325">
        <v>18.8</v>
      </c>
      <c r="H325">
        <v>16.2</v>
      </c>
      <c r="I325">
        <v>23</v>
      </c>
      <c r="J325">
        <f t="shared" si="36"/>
        <v>2907.5000000000018</v>
      </c>
      <c r="K325">
        <f t="shared" si="37"/>
        <v>241.5</v>
      </c>
      <c r="L325" s="8">
        <v>0</v>
      </c>
      <c r="M325">
        <v>0</v>
      </c>
      <c r="N325">
        <v>2.1</v>
      </c>
      <c r="O325">
        <f t="shared" ref="O325:O367" si="40">M325-N325</f>
        <v>-2.1</v>
      </c>
      <c r="Q325">
        <v>282</v>
      </c>
      <c r="R325">
        <f t="shared" si="35"/>
        <v>0.65769230769230758</v>
      </c>
      <c r="S325">
        <f t="shared" ref="S325:S367" si="41">R325*N325</f>
        <v>1.381153846153846</v>
      </c>
      <c r="T325">
        <f t="shared" ref="T325:T367" si="42">M325-S325</f>
        <v>-1.381153846153846</v>
      </c>
      <c r="U325">
        <f t="shared" si="38"/>
        <v>157.84153846153851</v>
      </c>
      <c r="W325">
        <v>916.8</v>
      </c>
      <c r="X325">
        <f t="shared" si="39"/>
        <v>13225.199999999997</v>
      </c>
      <c r="Y325">
        <v>15.851251539971809</v>
      </c>
    </row>
    <row r="326" spans="1:25" x14ac:dyDescent="0.35">
      <c r="A326">
        <v>2920</v>
      </c>
      <c r="B326">
        <v>23610</v>
      </c>
      <c r="C326" s="1">
        <v>43271</v>
      </c>
      <c r="D326" s="1"/>
      <c r="F326" s="41"/>
      <c r="G326">
        <v>20</v>
      </c>
      <c r="H326">
        <v>15.2</v>
      </c>
      <c r="I326">
        <v>25.3</v>
      </c>
      <c r="J326">
        <f t="shared" si="36"/>
        <v>2927.5000000000018</v>
      </c>
      <c r="K326">
        <f t="shared" si="37"/>
        <v>261.5</v>
      </c>
      <c r="M326">
        <v>0</v>
      </c>
      <c r="N326">
        <v>4.7</v>
      </c>
      <c r="O326">
        <f t="shared" si="40"/>
        <v>-4.7</v>
      </c>
      <c r="Q326">
        <v>283</v>
      </c>
      <c r="R326">
        <f t="shared" si="35"/>
        <v>0.64230769230769225</v>
      </c>
      <c r="S326">
        <f t="shared" si="41"/>
        <v>3.0188461538461535</v>
      </c>
      <c r="T326">
        <f t="shared" si="42"/>
        <v>-3.0188461538461535</v>
      </c>
      <c r="U326">
        <f t="shared" si="38"/>
        <v>154.82269230769236</v>
      </c>
      <c r="W326">
        <v>2439.3000000000002</v>
      </c>
      <c r="X326">
        <f t="shared" si="39"/>
        <v>15664.499999999996</v>
      </c>
      <c r="Y326">
        <v>15.85370310767316</v>
      </c>
    </row>
    <row r="327" spans="1:25" x14ac:dyDescent="0.35">
      <c r="A327">
        <v>2920</v>
      </c>
      <c r="B327">
        <v>23610</v>
      </c>
      <c r="C327" s="1">
        <v>43272</v>
      </c>
      <c r="D327" s="1"/>
      <c r="F327" s="41"/>
      <c r="G327">
        <v>16.399999999999999</v>
      </c>
      <c r="H327">
        <v>14.3</v>
      </c>
      <c r="I327">
        <v>19.8</v>
      </c>
      <c r="J327">
        <f t="shared" si="36"/>
        <v>2943.9000000000019</v>
      </c>
      <c r="K327">
        <f t="shared" si="37"/>
        <v>277.89999999999998</v>
      </c>
      <c r="M327">
        <v>0</v>
      </c>
      <c r="N327">
        <v>4.7</v>
      </c>
      <c r="O327">
        <f t="shared" si="40"/>
        <v>-4.7</v>
      </c>
      <c r="Q327">
        <v>284</v>
      </c>
      <c r="R327">
        <f t="shared" si="35"/>
        <v>0.62692307692307692</v>
      </c>
      <c r="S327">
        <f t="shared" si="41"/>
        <v>2.9465384615384616</v>
      </c>
      <c r="T327">
        <f t="shared" si="42"/>
        <v>-2.9465384615384616</v>
      </c>
      <c r="U327">
        <f t="shared" si="38"/>
        <v>151.8761538461539</v>
      </c>
      <c r="W327">
        <v>2315.6</v>
      </c>
      <c r="X327">
        <f t="shared" si="39"/>
        <v>17980.099999999995</v>
      </c>
      <c r="Y327">
        <v>15.854754180430909</v>
      </c>
    </row>
    <row r="328" spans="1:25" x14ac:dyDescent="0.35">
      <c r="A328">
        <v>2920</v>
      </c>
      <c r="B328">
        <v>23610</v>
      </c>
      <c r="C328" s="1">
        <v>43273</v>
      </c>
      <c r="D328" s="1"/>
      <c r="F328" s="41"/>
      <c r="G328">
        <v>16.2</v>
      </c>
      <c r="H328">
        <v>11.2</v>
      </c>
      <c r="I328">
        <v>20.2</v>
      </c>
      <c r="J328">
        <f t="shared" si="36"/>
        <v>2960.1000000000017</v>
      </c>
      <c r="K328">
        <f t="shared" si="37"/>
        <v>294.09999999999997</v>
      </c>
      <c r="M328">
        <v>0</v>
      </c>
      <c r="N328">
        <v>6</v>
      </c>
      <c r="O328">
        <f t="shared" si="40"/>
        <v>-6</v>
      </c>
      <c r="Q328">
        <v>285</v>
      </c>
      <c r="R328">
        <f t="shared" si="35"/>
        <v>0.61153846153846148</v>
      </c>
      <c r="S328">
        <f t="shared" si="41"/>
        <v>3.6692307692307686</v>
      </c>
      <c r="T328">
        <f t="shared" si="42"/>
        <v>-3.6692307692307686</v>
      </c>
      <c r="U328">
        <f t="shared" si="38"/>
        <v>148.20692307692312</v>
      </c>
      <c r="W328">
        <v>3318.1</v>
      </c>
      <c r="X328">
        <f t="shared" si="39"/>
        <v>21298.199999999993</v>
      </c>
      <c r="Y328">
        <v>15.854403796105522</v>
      </c>
    </row>
    <row r="329" spans="1:25" x14ac:dyDescent="0.35">
      <c r="A329">
        <v>2920</v>
      </c>
      <c r="B329">
        <v>23610</v>
      </c>
      <c r="C329" s="1">
        <v>43274</v>
      </c>
      <c r="D329" s="1"/>
      <c r="F329" s="41"/>
      <c r="G329">
        <v>18.5</v>
      </c>
      <c r="H329">
        <v>13.9</v>
      </c>
      <c r="I329">
        <v>22.8</v>
      </c>
      <c r="J329">
        <f t="shared" si="36"/>
        <v>2978.6000000000017</v>
      </c>
      <c r="K329">
        <f t="shared" si="37"/>
        <v>312.59999999999997</v>
      </c>
      <c r="M329">
        <v>0</v>
      </c>
      <c r="N329">
        <v>7.1</v>
      </c>
      <c r="O329">
        <f t="shared" si="40"/>
        <v>-7.1</v>
      </c>
      <c r="Q329">
        <v>286</v>
      </c>
      <c r="R329">
        <f t="shared" si="35"/>
        <v>0.59615384615384615</v>
      </c>
      <c r="S329">
        <f t="shared" si="41"/>
        <v>4.2326923076923073</v>
      </c>
      <c r="T329">
        <f t="shared" si="42"/>
        <v>-4.2326923076923073</v>
      </c>
      <c r="U329">
        <f t="shared" si="38"/>
        <v>143.97423076923081</v>
      </c>
      <c r="W329">
        <v>3312.2</v>
      </c>
      <c r="X329">
        <f t="shared" si="39"/>
        <v>24610.399999999994</v>
      </c>
      <c r="Y329">
        <v>15.852652275501848</v>
      </c>
    </row>
    <row r="330" spans="1:25" x14ac:dyDescent="0.35">
      <c r="A330">
        <v>2920</v>
      </c>
      <c r="B330">
        <v>23610</v>
      </c>
      <c r="C330" s="1">
        <v>43275</v>
      </c>
      <c r="D330" s="1"/>
      <c r="F330" s="41"/>
      <c r="G330">
        <v>19</v>
      </c>
      <c r="H330">
        <v>13.8</v>
      </c>
      <c r="I330">
        <v>23.8</v>
      </c>
      <c r="J330">
        <f t="shared" si="36"/>
        <v>2997.6000000000017</v>
      </c>
      <c r="K330">
        <f t="shared" si="37"/>
        <v>331.59999999999997</v>
      </c>
      <c r="M330">
        <v>0</v>
      </c>
      <c r="N330">
        <v>6.1</v>
      </c>
      <c r="O330">
        <f t="shared" si="40"/>
        <v>-6.1</v>
      </c>
      <c r="Q330">
        <v>287</v>
      </c>
      <c r="R330">
        <f t="shared" si="35"/>
        <v>0.5807692307692307</v>
      </c>
      <c r="S330">
        <f t="shared" si="41"/>
        <v>3.5426923076923069</v>
      </c>
      <c r="T330">
        <f t="shared" si="42"/>
        <v>-3.5426923076923069</v>
      </c>
      <c r="U330">
        <f t="shared" si="38"/>
        <v>140.43153846153851</v>
      </c>
      <c r="W330">
        <v>2873.2</v>
      </c>
      <c r="X330">
        <f t="shared" si="39"/>
        <v>27483.599999999995</v>
      </c>
      <c r="Y330">
        <v>15.849501221269582</v>
      </c>
    </row>
    <row r="331" spans="1:25" x14ac:dyDescent="0.35">
      <c r="A331">
        <v>2920</v>
      </c>
      <c r="B331">
        <v>23610</v>
      </c>
      <c r="C331" s="1">
        <v>43276</v>
      </c>
      <c r="D331" s="1"/>
      <c r="F331" s="41"/>
      <c r="G331">
        <v>21</v>
      </c>
      <c r="H331">
        <v>14.8</v>
      </c>
      <c r="I331">
        <v>26.3</v>
      </c>
      <c r="J331">
        <f t="shared" si="36"/>
        <v>3018.6000000000017</v>
      </c>
      <c r="K331">
        <f t="shared" si="37"/>
        <v>352.59999999999997</v>
      </c>
      <c r="M331">
        <v>0</v>
      </c>
      <c r="N331">
        <v>6.9</v>
      </c>
      <c r="O331">
        <f t="shared" si="40"/>
        <v>-6.9</v>
      </c>
      <c r="Q331">
        <v>288</v>
      </c>
      <c r="R331">
        <f t="shared" si="35"/>
        <v>0.56538461538461537</v>
      </c>
      <c r="S331">
        <f t="shared" si="41"/>
        <v>3.9011538461538464</v>
      </c>
      <c r="T331">
        <f t="shared" si="42"/>
        <v>-3.9011538461538464</v>
      </c>
      <c r="U331">
        <f t="shared" si="38"/>
        <v>136.53038461538466</v>
      </c>
      <c r="W331">
        <v>3296.6</v>
      </c>
      <c r="X331">
        <f t="shared" si="39"/>
        <v>30780.199999999993</v>
      </c>
      <c r="Y331">
        <v>15.844953512415767</v>
      </c>
    </row>
    <row r="332" spans="1:25" x14ac:dyDescent="0.35">
      <c r="A332">
        <v>2920</v>
      </c>
      <c r="B332">
        <v>23610</v>
      </c>
      <c r="C332" s="1">
        <v>43277</v>
      </c>
      <c r="D332" s="1"/>
      <c r="F332" s="41"/>
      <c r="G332">
        <v>23</v>
      </c>
      <c r="H332">
        <v>17.8</v>
      </c>
      <c r="I332">
        <v>27.9</v>
      </c>
      <c r="J332">
        <f t="shared" si="36"/>
        <v>3041.6000000000017</v>
      </c>
      <c r="K332">
        <f t="shared" si="37"/>
        <v>375.59999999999997</v>
      </c>
      <c r="M332">
        <v>0</v>
      </c>
      <c r="N332">
        <v>7.7</v>
      </c>
      <c r="O332">
        <f t="shared" si="40"/>
        <v>-7.7</v>
      </c>
      <c r="Q332">
        <v>289</v>
      </c>
      <c r="R332">
        <f t="shared" si="35"/>
        <v>0.54999999999999993</v>
      </c>
      <c r="S332">
        <f t="shared" si="41"/>
        <v>4.2349999999999994</v>
      </c>
      <c r="T332">
        <f t="shared" si="42"/>
        <v>-4.2349999999999994</v>
      </c>
      <c r="U332">
        <f t="shared" si="38"/>
        <v>132.29538461538465</v>
      </c>
      <c r="W332">
        <v>3286.4</v>
      </c>
      <c r="X332">
        <f t="shared" si="39"/>
        <v>34066.599999999991</v>
      </c>
      <c r="Y332">
        <v>15.839013294469575</v>
      </c>
    </row>
    <row r="333" spans="1:25" x14ac:dyDescent="0.35">
      <c r="A333">
        <v>2920</v>
      </c>
      <c r="B333">
        <v>23610</v>
      </c>
      <c r="C333" s="1">
        <v>43278</v>
      </c>
      <c r="D333" s="1"/>
      <c r="F333" s="41"/>
      <c r="G333">
        <v>23.8</v>
      </c>
      <c r="H333">
        <v>18.899999999999999</v>
      </c>
      <c r="I333">
        <v>28.9</v>
      </c>
      <c r="J333">
        <f t="shared" si="36"/>
        <v>3065.4000000000019</v>
      </c>
      <c r="K333">
        <f t="shared" si="37"/>
        <v>399.4</v>
      </c>
      <c r="M333">
        <v>0</v>
      </c>
      <c r="N333">
        <v>7.8</v>
      </c>
      <c r="O333">
        <f t="shared" si="40"/>
        <v>-7.8</v>
      </c>
      <c r="Q333">
        <v>290</v>
      </c>
      <c r="R333">
        <f t="shared" si="35"/>
        <v>0.53461538461538449</v>
      </c>
      <c r="S333">
        <f t="shared" si="41"/>
        <v>4.169999999999999</v>
      </c>
      <c r="T333">
        <f t="shared" si="42"/>
        <v>-4.169999999999999</v>
      </c>
      <c r="U333">
        <f t="shared" si="38"/>
        <v>128.12538461538466</v>
      </c>
      <c r="W333">
        <v>3289.9</v>
      </c>
      <c r="X333">
        <f t="shared" si="39"/>
        <v>37356.499999999993</v>
      </c>
      <c r="Y333">
        <v>15.831685965371326</v>
      </c>
    </row>
    <row r="334" spans="1:25" s="4" customFormat="1" ht="15" thickBot="1" x14ac:dyDescent="0.4">
      <c r="A334" s="4">
        <v>2920</v>
      </c>
      <c r="B334" s="4">
        <v>23610</v>
      </c>
      <c r="C334" s="5">
        <v>43279</v>
      </c>
      <c r="D334" s="4">
        <v>1000</v>
      </c>
      <c r="F334" s="42"/>
      <c r="G334" s="4">
        <v>22.9</v>
      </c>
      <c r="H334" s="4">
        <v>18.600000000000001</v>
      </c>
      <c r="I334" s="4">
        <v>27.4</v>
      </c>
      <c r="J334" s="4">
        <f t="shared" si="36"/>
        <v>3088.300000000002</v>
      </c>
      <c r="K334" s="4">
        <f t="shared" si="37"/>
        <v>422.29999999999995</v>
      </c>
      <c r="M334" s="4">
        <v>0</v>
      </c>
      <c r="N334" s="4">
        <v>6.8</v>
      </c>
      <c r="O334" s="4">
        <f t="shared" si="40"/>
        <v>-6.8</v>
      </c>
      <c r="Q334" s="4">
        <v>291</v>
      </c>
      <c r="R334" s="4">
        <f t="shared" si="35"/>
        <v>0.51923076923076916</v>
      </c>
      <c r="S334" s="4">
        <f t="shared" si="41"/>
        <v>3.5307692307692302</v>
      </c>
      <c r="T334" s="4">
        <f t="shared" si="42"/>
        <v>-3.5307692307692302</v>
      </c>
      <c r="U334" s="4">
        <f t="shared" si="38"/>
        <v>124.59461538461544</v>
      </c>
      <c r="W334" s="4">
        <v>2946.1</v>
      </c>
      <c r="X334" s="4">
        <f t="shared" si="39"/>
        <v>40302.599999999991</v>
      </c>
      <c r="Y334" s="4">
        <v>15.822978157188379</v>
      </c>
    </row>
    <row r="335" spans="1:25" x14ac:dyDescent="0.35">
      <c r="A335">
        <v>2920</v>
      </c>
      <c r="B335">
        <v>23610</v>
      </c>
      <c r="C335" s="1">
        <v>43280</v>
      </c>
      <c r="D335" s="1"/>
      <c r="F335" s="1"/>
      <c r="G335">
        <v>23.6</v>
      </c>
      <c r="H335">
        <v>18.399999999999999</v>
      </c>
      <c r="I335">
        <v>28.3</v>
      </c>
      <c r="J335">
        <f t="shared" si="36"/>
        <v>3111.9000000000019</v>
      </c>
      <c r="K335">
        <f>G335</f>
        <v>23.6</v>
      </c>
      <c r="M335">
        <v>0</v>
      </c>
      <c r="N335">
        <v>6.6</v>
      </c>
      <c r="O335">
        <f t="shared" si="40"/>
        <v>-6.6</v>
      </c>
      <c r="Q335">
        <v>292</v>
      </c>
      <c r="R335">
        <f t="shared" si="35"/>
        <v>0.50384615384615383</v>
      </c>
      <c r="S335">
        <f t="shared" si="41"/>
        <v>3.3253846153846149</v>
      </c>
      <c r="T335">
        <f t="shared" si="42"/>
        <v>-3.3253846153846149</v>
      </c>
      <c r="U335">
        <f t="shared" si="38"/>
        <v>121.26923076923082</v>
      </c>
      <c r="W335">
        <v>2594.6999999999998</v>
      </c>
      <c r="X335">
        <f>W335</f>
        <v>2594.6999999999998</v>
      </c>
      <c r="Y335">
        <v>15.812897713790049</v>
      </c>
    </row>
    <row r="336" spans="1:25" x14ac:dyDescent="0.35">
      <c r="A336">
        <v>2920</v>
      </c>
      <c r="B336">
        <v>23610</v>
      </c>
      <c r="C336" s="1">
        <v>43281</v>
      </c>
      <c r="D336" s="1"/>
      <c r="F336" s="1"/>
      <c r="G336">
        <v>25.4</v>
      </c>
      <c r="H336">
        <v>20.100000000000001</v>
      </c>
      <c r="I336">
        <v>30.1</v>
      </c>
      <c r="J336">
        <f t="shared" si="36"/>
        <v>3137.300000000002</v>
      </c>
      <c r="K336">
        <f t="shared" si="37"/>
        <v>49</v>
      </c>
      <c r="M336">
        <v>0.9</v>
      </c>
      <c r="N336">
        <v>4.5999999999999996</v>
      </c>
      <c r="O336">
        <f t="shared" si="40"/>
        <v>-3.6999999999999997</v>
      </c>
      <c r="Q336">
        <v>293</v>
      </c>
      <c r="R336">
        <f t="shared" si="35"/>
        <v>0.4884615384615385</v>
      </c>
      <c r="S336">
        <f t="shared" si="41"/>
        <v>2.246923076923077</v>
      </c>
      <c r="T336">
        <f t="shared" si="42"/>
        <v>-1.3469230769230771</v>
      </c>
      <c r="U336">
        <f t="shared" si="38"/>
        <v>119.92230769230774</v>
      </c>
      <c r="W336">
        <v>1710.1</v>
      </c>
      <c r="X336">
        <f t="shared" si="39"/>
        <v>4304.7999999999993</v>
      </c>
      <c r="Y336">
        <v>15.801453664641445</v>
      </c>
    </row>
    <row r="337" spans="1:25" x14ac:dyDescent="0.35">
      <c r="A337">
        <v>2920</v>
      </c>
      <c r="B337">
        <v>23610</v>
      </c>
      <c r="C337" s="1">
        <v>43282</v>
      </c>
      <c r="D337" s="1"/>
      <c r="F337" s="1"/>
      <c r="G337">
        <v>24.8</v>
      </c>
      <c r="H337">
        <v>20.8</v>
      </c>
      <c r="I337">
        <v>28.8</v>
      </c>
      <c r="J337">
        <f t="shared" si="36"/>
        <v>3162.1000000000022</v>
      </c>
      <c r="K337">
        <f t="shared" si="37"/>
        <v>73.8</v>
      </c>
      <c r="M337">
        <v>13.4</v>
      </c>
      <c r="N337">
        <v>4.4000000000000004</v>
      </c>
      <c r="O337">
        <f t="shared" si="40"/>
        <v>9</v>
      </c>
      <c r="Q337">
        <v>294</v>
      </c>
      <c r="R337">
        <f t="shared" si="35"/>
        <v>0.47307692307692306</v>
      </c>
      <c r="S337">
        <f t="shared" si="41"/>
        <v>2.0815384615384618</v>
      </c>
      <c r="T337">
        <f t="shared" si="42"/>
        <v>11.318461538461538</v>
      </c>
      <c r="U337">
        <f t="shared" si="38"/>
        <v>131.24076923076927</v>
      </c>
      <c r="W337">
        <v>2192.4</v>
      </c>
      <c r="X337">
        <f t="shared" si="39"/>
        <v>6497.1999999999989</v>
      </c>
      <c r="Y337">
        <v>15.788656194901822</v>
      </c>
    </row>
    <row r="338" spans="1:25" x14ac:dyDescent="0.35">
      <c r="A338">
        <v>2920</v>
      </c>
      <c r="B338">
        <v>23610</v>
      </c>
      <c r="C338" s="1">
        <v>43283</v>
      </c>
      <c r="D338" s="1"/>
      <c r="F338" s="1"/>
      <c r="G338">
        <v>21.1</v>
      </c>
      <c r="H338">
        <v>18.899999999999999</v>
      </c>
      <c r="I338">
        <v>24.7</v>
      </c>
      <c r="J338">
        <f t="shared" si="36"/>
        <v>3183.2000000000021</v>
      </c>
      <c r="K338">
        <f t="shared" si="37"/>
        <v>94.9</v>
      </c>
      <c r="M338">
        <v>4.8</v>
      </c>
      <c r="N338">
        <v>2.1</v>
      </c>
      <c r="O338">
        <f t="shared" si="40"/>
        <v>2.6999999999999997</v>
      </c>
      <c r="Q338">
        <v>295</v>
      </c>
      <c r="R338">
        <f t="shared" si="35"/>
        <v>0.45769230769230762</v>
      </c>
      <c r="S338">
        <f t="shared" si="41"/>
        <v>0.96115384615384603</v>
      </c>
      <c r="T338">
        <f t="shared" si="42"/>
        <v>3.8388461538461538</v>
      </c>
      <c r="U338">
        <f t="shared" si="38"/>
        <v>135.07961538461544</v>
      </c>
      <c r="W338">
        <v>1071.8</v>
      </c>
      <c r="X338">
        <f t="shared" si="39"/>
        <v>7568.9999999999991</v>
      </c>
      <c r="Y338">
        <v>15.774516612036651</v>
      </c>
    </row>
    <row r="339" spans="1:25" x14ac:dyDescent="0.35">
      <c r="A339">
        <v>2920</v>
      </c>
      <c r="B339">
        <v>23610</v>
      </c>
      <c r="C339" s="1">
        <v>43284</v>
      </c>
      <c r="D339" s="1"/>
      <c r="F339" s="1"/>
      <c r="G339">
        <v>20.9</v>
      </c>
      <c r="H339">
        <v>19.2</v>
      </c>
      <c r="I339">
        <v>24</v>
      </c>
      <c r="J339">
        <f t="shared" si="36"/>
        <v>3204.1000000000022</v>
      </c>
      <c r="K339">
        <f t="shared" si="37"/>
        <v>115.80000000000001</v>
      </c>
      <c r="M339">
        <v>0.1</v>
      </c>
      <c r="N339">
        <v>2.9</v>
      </c>
      <c r="O339">
        <f t="shared" si="40"/>
        <v>-2.8</v>
      </c>
      <c r="Q339">
        <v>296</v>
      </c>
      <c r="R339">
        <f t="shared" si="35"/>
        <v>0.44230769230769229</v>
      </c>
      <c r="S339">
        <f t="shared" si="41"/>
        <v>1.2826923076923076</v>
      </c>
      <c r="T339">
        <f t="shared" si="42"/>
        <v>-1.1826923076923075</v>
      </c>
      <c r="U339">
        <f t="shared" si="38"/>
        <v>133.89692307692312</v>
      </c>
      <c r="W339">
        <v>1291.7</v>
      </c>
      <c r="X339">
        <f t="shared" si="39"/>
        <v>8860.6999999999989</v>
      </c>
      <c r="Y339">
        <v>15.7590473091735</v>
      </c>
    </row>
    <row r="340" spans="1:25" x14ac:dyDescent="0.35">
      <c r="A340">
        <v>2920</v>
      </c>
      <c r="B340">
        <v>23610</v>
      </c>
      <c r="C340" s="1">
        <v>43285</v>
      </c>
      <c r="D340" s="1"/>
      <c r="F340" s="1"/>
      <c r="G340">
        <v>21</v>
      </c>
      <c r="H340">
        <v>17.399999999999999</v>
      </c>
      <c r="I340">
        <v>24.9</v>
      </c>
      <c r="J340">
        <f t="shared" si="36"/>
        <v>3225.1000000000022</v>
      </c>
      <c r="K340">
        <f t="shared" si="37"/>
        <v>136.80000000000001</v>
      </c>
      <c r="M340">
        <v>0</v>
      </c>
      <c r="N340">
        <v>4</v>
      </c>
      <c r="O340">
        <f t="shared" si="40"/>
        <v>-4</v>
      </c>
      <c r="Q340">
        <v>297</v>
      </c>
      <c r="R340">
        <f t="shared" si="35"/>
        <v>0.42692307692307685</v>
      </c>
      <c r="S340">
        <f t="shared" si="41"/>
        <v>1.7076923076923074</v>
      </c>
      <c r="T340">
        <f t="shared" si="42"/>
        <v>-1.7076923076923074</v>
      </c>
      <c r="U340">
        <f t="shared" si="38"/>
        <v>132.18923076923082</v>
      </c>
      <c r="W340">
        <v>1871</v>
      </c>
      <c r="X340">
        <f t="shared" si="39"/>
        <v>10731.699999999999</v>
      </c>
      <c r="Y340">
        <v>15.742261725450044</v>
      </c>
    </row>
    <row r="341" spans="1:25" x14ac:dyDescent="0.35">
      <c r="A341">
        <v>2920</v>
      </c>
      <c r="B341">
        <v>23610</v>
      </c>
      <c r="C341" s="1">
        <v>43286</v>
      </c>
      <c r="D341" s="1"/>
      <c r="F341" s="1"/>
      <c r="G341">
        <v>20</v>
      </c>
      <c r="H341">
        <v>16.100000000000001</v>
      </c>
      <c r="I341">
        <v>23.9</v>
      </c>
      <c r="J341">
        <f t="shared" si="36"/>
        <v>3245.1000000000022</v>
      </c>
      <c r="K341">
        <f t="shared" si="37"/>
        <v>156.80000000000001</v>
      </c>
      <c r="M341">
        <v>0</v>
      </c>
      <c r="N341">
        <v>4.2</v>
      </c>
      <c r="O341">
        <f t="shared" si="40"/>
        <v>-4.2</v>
      </c>
      <c r="Q341">
        <v>298</v>
      </c>
      <c r="R341">
        <f t="shared" si="35"/>
        <v>0.41153846153846152</v>
      </c>
      <c r="S341">
        <f t="shared" si="41"/>
        <v>1.7284615384615385</v>
      </c>
      <c r="T341">
        <f t="shared" si="42"/>
        <v>-1.7284615384615385</v>
      </c>
      <c r="U341">
        <f t="shared" si="38"/>
        <v>130.46076923076927</v>
      </c>
      <c r="W341">
        <v>2277.3000000000002</v>
      </c>
      <c r="X341">
        <f t="shared" si="39"/>
        <v>13009</v>
      </c>
      <c r="Y341">
        <v>15.724174303617984</v>
      </c>
    </row>
    <row r="342" spans="1:25" x14ac:dyDescent="0.35">
      <c r="A342">
        <v>2920</v>
      </c>
      <c r="B342">
        <v>23610</v>
      </c>
      <c r="C342" s="1">
        <v>43287</v>
      </c>
      <c r="D342" s="1"/>
      <c r="F342" s="1"/>
      <c r="G342">
        <v>19.600000000000001</v>
      </c>
      <c r="H342">
        <v>16</v>
      </c>
      <c r="I342">
        <v>25.6</v>
      </c>
      <c r="J342">
        <f t="shared" si="36"/>
        <v>3264.7000000000021</v>
      </c>
      <c r="K342">
        <f t="shared" si="37"/>
        <v>176.4</v>
      </c>
      <c r="M342">
        <v>0.5</v>
      </c>
      <c r="N342">
        <v>3.3</v>
      </c>
      <c r="O342">
        <f t="shared" si="40"/>
        <v>-2.8</v>
      </c>
      <c r="Q342">
        <v>299</v>
      </c>
      <c r="R342">
        <f t="shared" si="35"/>
        <v>0.39615384615384619</v>
      </c>
      <c r="S342">
        <f t="shared" si="41"/>
        <v>1.3073076923076923</v>
      </c>
      <c r="T342">
        <f t="shared" si="42"/>
        <v>-0.80730769230769228</v>
      </c>
      <c r="U342">
        <f t="shared" si="38"/>
        <v>129.65346153846158</v>
      </c>
      <c r="W342">
        <v>1386.7</v>
      </c>
      <c r="X342">
        <f t="shared" si="39"/>
        <v>14395.7</v>
      </c>
      <c r="Y342">
        <v>15.70480044517894</v>
      </c>
    </row>
    <row r="343" spans="1:25" x14ac:dyDescent="0.35">
      <c r="A343">
        <v>2920</v>
      </c>
      <c r="B343">
        <v>23610</v>
      </c>
      <c r="C343" s="1">
        <v>43288</v>
      </c>
      <c r="D343" s="1"/>
      <c r="F343" s="1"/>
      <c r="G343">
        <v>22.3</v>
      </c>
      <c r="H343">
        <v>15.8</v>
      </c>
      <c r="I343">
        <v>28</v>
      </c>
      <c r="J343">
        <f t="shared" si="36"/>
        <v>3287.0000000000023</v>
      </c>
      <c r="K343">
        <f t="shared" si="37"/>
        <v>198.70000000000002</v>
      </c>
      <c r="M343">
        <v>0</v>
      </c>
      <c r="N343">
        <v>4.5999999999999996</v>
      </c>
      <c r="O343">
        <f t="shared" si="40"/>
        <v>-4.5999999999999996</v>
      </c>
      <c r="Q343">
        <v>300</v>
      </c>
      <c r="R343">
        <f t="shared" si="35"/>
        <v>0.38076923076923075</v>
      </c>
      <c r="S343">
        <f t="shared" si="41"/>
        <v>1.7515384615384613</v>
      </c>
      <c r="T343">
        <f t="shared" si="42"/>
        <v>-1.7515384615384613</v>
      </c>
      <c r="U343">
        <f t="shared" si="38"/>
        <v>127.90192307692313</v>
      </c>
      <c r="W343">
        <v>2111.6</v>
      </c>
      <c r="X343">
        <f t="shared" si="39"/>
        <v>16507.3</v>
      </c>
      <c r="Y343">
        <v>15.68415646333788</v>
      </c>
    </row>
    <row r="344" spans="1:25" x14ac:dyDescent="0.35">
      <c r="A344">
        <v>2920</v>
      </c>
      <c r="B344">
        <v>23610</v>
      </c>
      <c r="C344" s="1">
        <v>43289</v>
      </c>
      <c r="D344" s="1"/>
      <c r="F344" s="1"/>
      <c r="G344">
        <v>23.7</v>
      </c>
      <c r="H344">
        <v>19.100000000000001</v>
      </c>
      <c r="I344">
        <v>29</v>
      </c>
      <c r="J344">
        <f t="shared" si="36"/>
        <v>3310.7000000000021</v>
      </c>
      <c r="K344">
        <f t="shared" si="37"/>
        <v>222.4</v>
      </c>
      <c r="M344">
        <v>0</v>
      </c>
      <c r="N344">
        <v>6.7</v>
      </c>
      <c r="O344">
        <f t="shared" si="40"/>
        <v>-6.7</v>
      </c>
      <c r="Q344">
        <v>301</v>
      </c>
      <c r="R344">
        <f t="shared" si="35"/>
        <v>0.36538461538461542</v>
      </c>
      <c r="S344">
        <f t="shared" si="41"/>
        <v>2.4480769230769233</v>
      </c>
      <c r="T344">
        <f t="shared" si="42"/>
        <v>-2.4480769230769233</v>
      </c>
      <c r="U344">
        <f t="shared" si="38"/>
        <v>125.4538461538462</v>
      </c>
      <c r="W344">
        <v>2592.6999999999998</v>
      </c>
      <c r="X344">
        <f t="shared" si="39"/>
        <v>19100</v>
      </c>
      <c r="Y344">
        <v>15.662259534065983</v>
      </c>
    </row>
    <row r="345" spans="1:25" s="4" customFormat="1" ht="15" thickBot="1" x14ac:dyDescent="0.4">
      <c r="A345" s="4">
        <v>2920</v>
      </c>
      <c r="B345" s="4">
        <v>23610</v>
      </c>
      <c r="C345" s="5">
        <v>43290</v>
      </c>
      <c r="D345" s="5" t="s">
        <v>30</v>
      </c>
      <c r="F345" s="5"/>
      <c r="G345" s="4">
        <v>23.1</v>
      </c>
      <c r="H345" s="4">
        <v>19.399999999999999</v>
      </c>
      <c r="I345" s="4">
        <v>27.3</v>
      </c>
      <c r="J345" s="6">
        <f t="shared" si="36"/>
        <v>3333.800000000002</v>
      </c>
      <c r="K345" s="6">
        <f t="shared" si="37"/>
        <v>245.5</v>
      </c>
      <c r="M345" s="4">
        <v>0</v>
      </c>
      <c r="N345" s="4">
        <v>6.6</v>
      </c>
      <c r="O345" s="4">
        <f t="shared" si="40"/>
        <v>-6.6</v>
      </c>
      <c r="Q345" s="4">
        <v>302</v>
      </c>
      <c r="R345" s="4">
        <f t="shared" si="35"/>
        <v>0.35</v>
      </c>
      <c r="S345" s="4">
        <f t="shared" si="41"/>
        <v>2.3099999999999996</v>
      </c>
      <c r="T345" s="4">
        <f t="shared" si="42"/>
        <v>-2.3099999999999996</v>
      </c>
      <c r="U345" s="6">
        <f t="shared" si="38"/>
        <v>123.1438461538462</v>
      </c>
      <c r="W345" s="4">
        <v>2557.3000000000002</v>
      </c>
      <c r="X345" s="6">
        <f t="shared" si="39"/>
        <v>21657.3</v>
      </c>
      <c r="Y345" s="4">
        <v>15.639127645568264</v>
      </c>
    </row>
    <row r="346" spans="1:25" x14ac:dyDescent="0.35">
      <c r="A346">
        <v>2920</v>
      </c>
      <c r="B346">
        <v>23610</v>
      </c>
      <c r="C346" s="1">
        <v>43291</v>
      </c>
      <c r="D346" s="1"/>
      <c r="F346" s="1"/>
      <c r="G346">
        <v>21.1</v>
      </c>
      <c r="H346">
        <v>17.100000000000001</v>
      </c>
      <c r="I346">
        <v>26.8</v>
      </c>
      <c r="J346">
        <f t="shared" si="36"/>
        <v>3354.9000000000019</v>
      </c>
      <c r="K346">
        <f t="shared" si="37"/>
        <v>266.60000000000002</v>
      </c>
      <c r="M346">
        <v>0</v>
      </c>
      <c r="N346">
        <v>5.4</v>
      </c>
      <c r="O346">
        <f t="shared" si="40"/>
        <v>-5.4</v>
      </c>
      <c r="Q346">
        <v>303</v>
      </c>
      <c r="S346">
        <f t="shared" si="41"/>
        <v>0</v>
      </c>
      <c r="T346">
        <f t="shared" si="42"/>
        <v>0</v>
      </c>
      <c r="U346">
        <f t="shared" si="38"/>
        <v>123.1438461538462</v>
      </c>
      <c r="W346">
        <v>2374.3000000000002</v>
      </c>
      <c r="X346">
        <f t="shared" si="39"/>
        <v>24031.599999999999</v>
      </c>
    </row>
    <row r="347" spans="1:25" x14ac:dyDescent="0.35">
      <c r="A347">
        <v>2920</v>
      </c>
      <c r="B347">
        <v>23610</v>
      </c>
      <c r="C347" s="1">
        <v>43292</v>
      </c>
      <c r="D347" s="1"/>
      <c r="F347" s="1"/>
      <c r="G347">
        <v>18.899999999999999</v>
      </c>
      <c r="H347">
        <v>14.3</v>
      </c>
      <c r="I347">
        <v>23.1</v>
      </c>
      <c r="J347">
        <f t="shared" si="36"/>
        <v>3373.800000000002</v>
      </c>
      <c r="K347">
        <f t="shared" si="37"/>
        <v>285.5</v>
      </c>
      <c r="M347">
        <v>0</v>
      </c>
      <c r="N347">
        <v>3.9</v>
      </c>
      <c r="O347">
        <f t="shared" si="40"/>
        <v>-3.9</v>
      </c>
      <c r="Q347">
        <v>304</v>
      </c>
      <c r="S347">
        <f t="shared" si="41"/>
        <v>0</v>
      </c>
      <c r="T347">
        <f t="shared" si="42"/>
        <v>0</v>
      </c>
      <c r="U347">
        <f t="shared" si="38"/>
        <v>123.1438461538462</v>
      </c>
      <c r="W347">
        <v>1727.4</v>
      </c>
      <c r="X347">
        <f t="shared" si="39"/>
        <v>25759</v>
      </c>
    </row>
    <row r="348" spans="1:25" x14ac:dyDescent="0.35">
      <c r="A348">
        <v>2920</v>
      </c>
      <c r="B348">
        <v>23610</v>
      </c>
      <c r="C348" s="1">
        <v>43293</v>
      </c>
      <c r="D348" s="1"/>
      <c r="F348" s="1"/>
      <c r="G348">
        <v>19.100000000000001</v>
      </c>
      <c r="H348">
        <v>15.2</v>
      </c>
      <c r="I348">
        <v>23.3</v>
      </c>
      <c r="J348">
        <f t="shared" si="36"/>
        <v>3392.9000000000019</v>
      </c>
      <c r="K348">
        <f t="shared" si="37"/>
        <v>304.60000000000002</v>
      </c>
      <c r="M348">
        <v>0</v>
      </c>
      <c r="N348">
        <v>3.8</v>
      </c>
      <c r="O348">
        <f t="shared" si="40"/>
        <v>-3.8</v>
      </c>
      <c r="Q348">
        <v>305</v>
      </c>
      <c r="S348">
        <f t="shared" si="41"/>
        <v>0</v>
      </c>
      <c r="T348">
        <f t="shared" si="42"/>
        <v>0</v>
      </c>
      <c r="U348">
        <f t="shared" si="38"/>
        <v>123.1438461538462</v>
      </c>
      <c r="W348">
        <v>1883.4</v>
      </c>
      <c r="X348">
        <f t="shared" si="39"/>
        <v>27642.400000000001</v>
      </c>
    </row>
    <row r="349" spans="1:25" x14ac:dyDescent="0.35">
      <c r="A349">
        <v>2920</v>
      </c>
      <c r="B349">
        <v>23610</v>
      </c>
      <c r="C349" s="1">
        <v>43294</v>
      </c>
      <c r="D349" s="1"/>
      <c r="F349" s="1"/>
      <c r="G349">
        <v>20.100000000000001</v>
      </c>
      <c r="H349">
        <v>15.3</v>
      </c>
      <c r="I349">
        <v>24.9</v>
      </c>
      <c r="J349">
        <f t="shared" si="36"/>
        <v>3413.0000000000018</v>
      </c>
      <c r="K349">
        <f t="shared" si="37"/>
        <v>324.70000000000005</v>
      </c>
      <c r="M349">
        <v>0</v>
      </c>
      <c r="N349">
        <v>5.2</v>
      </c>
      <c r="O349">
        <f t="shared" si="40"/>
        <v>-5.2</v>
      </c>
      <c r="Q349">
        <v>306</v>
      </c>
      <c r="S349">
        <f t="shared" si="41"/>
        <v>0</v>
      </c>
      <c r="T349">
        <f t="shared" si="42"/>
        <v>0</v>
      </c>
      <c r="U349">
        <f t="shared" si="38"/>
        <v>123.1438461538462</v>
      </c>
      <c r="W349">
        <v>2549.4</v>
      </c>
      <c r="X349">
        <f t="shared" si="39"/>
        <v>30191.800000000003</v>
      </c>
    </row>
    <row r="350" spans="1:25" x14ac:dyDescent="0.35">
      <c r="A350">
        <v>2920</v>
      </c>
      <c r="B350">
        <v>23610</v>
      </c>
      <c r="C350" s="1">
        <v>43295</v>
      </c>
      <c r="D350" s="1"/>
      <c r="F350" s="1"/>
      <c r="G350">
        <v>20.9</v>
      </c>
      <c r="H350">
        <v>15.9</v>
      </c>
      <c r="I350">
        <v>26.4</v>
      </c>
      <c r="J350">
        <f t="shared" si="36"/>
        <v>3433.9000000000019</v>
      </c>
      <c r="K350">
        <f t="shared" si="37"/>
        <v>345.6</v>
      </c>
      <c r="M350">
        <v>0</v>
      </c>
      <c r="N350">
        <v>5.6</v>
      </c>
      <c r="O350">
        <f t="shared" si="40"/>
        <v>-5.6</v>
      </c>
      <c r="Q350">
        <v>307</v>
      </c>
      <c r="S350">
        <f t="shared" si="41"/>
        <v>0</v>
      </c>
      <c r="T350">
        <f t="shared" si="42"/>
        <v>0</v>
      </c>
      <c r="U350">
        <f t="shared" si="38"/>
        <v>123.1438461538462</v>
      </c>
      <c r="W350">
        <v>2662.9</v>
      </c>
      <c r="X350">
        <f t="shared" si="39"/>
        <v>32854.700000000004</v>
      </c>
    </row>
    <row r="351" spans="1:25" x14ac:dyDescent="0.35">
      <c r="A351">
        <v>2920</v>
      </c>
      <c r="B351">
        <v>23610</v>
      </c>
      <c r="C351" s="1">
        <v>43296</v>
      </c>
      <c r="D351" s="1"/>
      <c r="F351" s="1"/>
      <c r="G351">
        <v>21.4</v>
      </c>
      <c r="H351">
        <v>15.6</v>
      </c>
      <c r="I351">
        <v>27.2</v>
      </c>
      <c r="J351">
        <f t="shared" si="36"/>
        <v>3455.300000000002</v>
      </c>
      <c r="K351">
        <f t="shared" si="37"/>
        <v>367</v>
      </c>
      <c r="M351">
        <v>0</v>
      </c>
      <c r="N351">
        <v>5.7</v>
      </c>
      <c r="O351">
        <f t="shared" si="40"/>
        <v>-5.7</v>
      </c>
      <c r="Q351">
        <v>308</v>
      </c>
      <c r="S351">
        <f t="shared" si="41"/>
        <v>0</v>
      </c>
      <c r="T351">
        <f t="shared" si="42"/>
        <v>0</v>
      </c>
      <c r="U351">
        <f t="shared" si="38"/>
        <v>123.1438461538462</v>
      </c>
      <c r="W351">
        <v>2643.7</v>
      </c>
      <c r="X351">
        <f t="shared" si="39"/>
        <v>35498.400000000001</v>
      </c>
    </row>
    <row r="352" spans="1:25" x14ac:dyDescent="0.35">
      <c r="A352">
        <v>2920</v>
      </c>
      <c r="B352">
        <v>23610</v>
      </c>
      <c r="C352" s="1">
        <v>43297</v>
      </c>
      <c r="D352" s="1"/>
      <c r="F352" s="1"/>
      <c r="G352">
        <v>21.1</v>
      </c>
      <c r="H352">
        <v>15.7</v>
      </c>
      <c r="I352">
        <v>27.7</v>
      </c>
      <c r="J352">
        <f t="shared" si="36"/>
        <v>3476.4000000000019</v>
      </c>
      <c r="K352">
        <f t="shared" si="37"/>
        <v>388.1</v>
      </c>
      <c r="M352">
        <v>0</v>
      </c>
      <c r="N352">
        <v>5.3</v>
      </c>
      <c r="O352">
        <f t="shared" si="40"/>
        <v>-5.3</v>
      </c>
      <c r="Q352">
        <v>309</v>
      </c>
      <c r="S352">
        <f t="shared" si="41"/>
        <v>0</v>
      </c>
      <c r="T352">
        <f t="shared" si="42"/>
        <v>0</v>
      </c>
      <c r="U352">
        <f t="shared" si="38"/>
        <v>123.1438461538462</v>
      </c>
      <c r="W352">
        <v>2388.1</v>
      </c>
      <c r="X352">
        <f t="shared" si="39"/>
        <v>37886.5</v>
      </c>
    </row>
    <row r="353" spans="1:24" x14ac:dyDescent="0.35">
      <c r="A353">
        <v>2920</v>
      </c>
      <c r="B353">
        <v>23610</v>
      </c>
      <c r="C353" s="1">
        <v>43298</v>
      </c>
      <c r="D353" s="1"/>
      <c r="F353" s="1"/>
      <c r="G353">
        <v>19.7</v>
      </c>
      <c r="H353">
        <v>16.8</v>
      </c>
      <c r="I353">
        <v>23.2</v>
      </c>
      <c r="J353">
        <f t="shared" si="36"/>
        <v>3496.1000000000017</v>
      </c>
      <c r="K353">
        <f t="shared" si="37"/>
        <v>407.8</v>
      </c>
      <c r="M353">
        <v>0</v>
      </c>
      <c r="N353">
        <v>2.2999999999999998</v>
      </c>
      <c r="O353">
        <f t="shared" si="40"/>
        <v>-2.2999999999999998</v>
      </c>
      <c r="Q353">
        <v>310</v>
      </c>
      <c r="S353">
        <f t="shared" si="41"/>
        <v>0</v>
      </c>
      <c r="T353">
        <f t="shared" si="42"/>
        <v>0</v>
      </c>
      <c r="U353">
        <f t="shared" si="38"/>
        <v>123.1438461538462</v>
      </c>
      <c r="W353">
        <v>793.6</v>
      </c>
      <c r="X353">
        <f t="shared" si="39"/>
        <v>38680.1</v>
      </c>
    </row>
    <row r="354" spans="1:24" x14ac:dyDescent="0.35">
      <c r="A354">
        <v>2920</v>
      </c>
      <c r="B354">
        <v>23610</v>
      </c>
      <c r="C354" s="1">
        <v>43299</v>
      </c>
      <c r="D354" s="1"/>
      <c r="F354" s="1"/>
      <c r="G354">
        <v>20.3</v>
      </c>
      <c r="H354">
        <v>15</v>
      </c>
      <c r="I354">
        <v>25.1</v>
      </c>
      <c r="J354">
        <f t="shared" si="36"/>
        <v>3516.4000000000019</v>
      </c>
      <c r="K354">
        <f t="shared" si="37"/>
        <v>428.1</v>
      </c>
      <c r="M354">
        <v>0</v>
      </c>
      <c r="N354">
        <v>3.5</v>
      </c>
      <c r="O354">
        <f t="shared" si="40"/>
        <v>-3.5</v>
      </c>
      <c r="Q354">
        <v>311</v>
      </c>
      <c r="S354">
        <f t="shared" si="41"/>
        <v>0</v>
      </c>
      <c r="T354">
        <f t="shared" si="42"/>
        <v>0</v>
      </c>
      <c r="U354">
        <f t="shared" si="38"/>
        <v>123.1438461538462</v>
      </c>
      <c r="W354">
        <v>1662.1</v>
      </c>
      <c r="X354">
        <f t="shared" si="39"/>
        <v>40342.199999999997</v>
      </c>
    </row>
    <row r="355" spans="1:24" x14ac:dyDescent="0.35">
      <c r="A355">
        <v>2920</v>
      </c>
      <c r="B355">
        <v>23610</v>
      </c>
      <c r="C355" s="1">
        <v>43300</v>
      </c>
      <c r="D355" s="1"/>
      <c r="F355" s="1"/>
      <c r="G355">
        <v>19.399999999999999</v>
      </c>
      <c r="H355">
        <v>16</v>
      </c>
      <c r="I355">
        <v>25.3</v>
      </c>
      <c r="J355">
        <f t="shared" si="36"/>
        <v>3535.800000000002</v>
      </c>
      <c r="K355">
        <f t="shared" si="37"/>
        <v>447.5</v>
      </c>
      <c r="M355">
        <v>0</v>
      </c>
      <c r="N355">
        <v>3.8</v>
      </c>
      <c r="O355">
        <f t="shared" si="40"/>
        <v>-3.8</v>
      </c>
      <c r="Q355">
        <v>312</v>
      </c>
      <c r="S355">
        <f t="shared" si="41"/>
        <v>0</v>
      </c>
      <c r="T355">
        <f t="shared" si="42"/>
        <v>0</v>
      </c>
      <c r="U355">
        <f t="shared" si="38"/>
        <v>123.1438461538462</v>
      </c>
      <c r="W355">
        <v>1741.6</v>
      </c>
      <c r="X355">
        <f t="shared" si="39"/>
        <v>42083.799999999996</v>
      </c>
    </row>
    <row r="356" spans="1:24" x14ac:dyDescent="0.35">
      <c r="A356">
        <v>2920</v>
      </c>
      <c r="B356">
        <v>23610</v>
      </c>
      <c r="C356" s="1">
        <v>43301</v>
      </c>
      <c r="D356" s="1"/>
      <c r="F356" s="1"/>
      <c r="G356">
        <v>18.3</v>
      </c>
      <c r="H356">
        <v>14.6</v>
      </c>
      <c r="I356">
        <v>22</v>
      </c>
      <c r="J356">
        <f t="shared" si="36"/>
        <v>3554.1000000000022</v>
      </c>
      <c r="K356">
        <f t="shared" si="37"/>
        <v>465.8</v>
      </c>
      <c r="M356">
        <v>0.7</v>
      </c>
      <c r="N356">
        <v>2.5</v>
      </c>
      <c r="O356">
        <f t="shared" si="40"/>
        <v>-1.8</v>
      </c>
      <c r="Q356">
        <v>313</v>
      </c>
      <c r="S356">
        <f t="shared" si="41"/>
        <v>0</v>
      </c>
      <c r="T356">
        <f t="shared" si="42"/>
        <v>0.7</v>
      </c>
      <c r="U356">
        <f t="shared" si="38"/>
        <v>123.8438461538462</v>
      </c>
      <c r="W356">
        <v>1301.2</v>
      </c>
      <c r="X356">
        <f t="shared" si="39"/>
        <v>43384.999999999993</v>
      </c>
    </row>
    <row r="357" spans="1:24" x14ac:dyDescent="0.35">
      <c r="A357">
        <v>2920</v>
      </c>
      <c r="B357">
        <v>23610</v>
      </c>
      <c r="C357" s="1">
        <v>43302</v>
      </c>
      <c r="D357" s="1"/>
      <c r="F357" s="1"/>
      <c r="G357">
        <v>18.899999999999999</v>
      </c>
      <c r="H357">
        <v>13.9</v>
      </c>
      <c r="I357">
        <v>22.8</v>
      </c>
      <c r="J357">
        <f t="shared" si="36"/>
        <v>3573.0000000000023</v>
      </c>
      <c r="K357">
        <f t="shared" si="37"/>
        <v>484.7</v>
      </c>
      <c r="M357">
        <v>0.1</v>
      </c>
      <c r="N357">
        <v>2.2999999999999998</v>
      </c>
      <c r="O357">
        <f t="shared" si="40"/>
        <v>-2.1999999999999997</v>
      </c>
      <c r="Q357">
        <v>314</v>
      </c>
      <c r="S357">
        <f t="shared" si="41"/>
        <v>0</v>
      </c>
      <c r="T357">
        <f t="shared" si="42"/>
        <v>0.1</v>
      </c>
      <c r="U357">
        <f t="shared" si="38"/>
        <v>123.9438461538462</v>
      </c>
      <c r="W357">
        <v>1215.5</v>
      </c>
      <c r="X357">
        <f t="shared" si="39"/>
        <v>44600.499999999993</v>
      </c>
    </row>
    <row r="358" spans="1:24" x14ac:dyDescent="0.35">
      <c r="A358">
        <v>2920</v>
      </c>
      <c r="B358">
        <v>23610</v>
      </c>
      <c r="C358" s="1">
        <v>43303</v>
      </c>
      <c r="D358" s="1"/>
      <c r="F358" s="1"/>
      <c r="G358">
        <v>20.7</v>
      </c>
      <c r="H358">
        <v>15.7</v>
      </c>
      <c r="I358">
        <v>25.6</v>
      </c>
      <c r="J358">
        <f t="shared" si="36"/>
        <v>3593.7000000000021</v>
      </c>
      <c r="K358">
        <f t="shared" si="37"/>
        <v>505.4</v>
      </c>
      <c r="M358">
        <v>0</v>
      </c>
      <c r="N358">
        <v>4</v>
      </c>
      <c r="O358">
        <f t="shared" si="40"/>
        <v>-4</v>
      </c>
      <c r="Q358">
        <v>315</v>
      </c>
      <c r="S358">
        <f t="shared" si="41"/>
        <v>0</v>
      </c>
      <c r="T358">
        <f t="shared" si="42"/>
        <v>0</v>
      </c>
      <c r="U358">
        <f t="shared" si="38"/>
        <v>123.9438461538462</v>
      </c>
      <c r="W358">
        <v>2045.1</v>
      </c>
      <c r="X358">
        <f t="shared" si="39"/>
        <v>46645.599999999991</v>
      </c>
    </row>
    <row r="359" spans="1:24" x14ac:dyDescent="0.35">
      <c r="A359">
        <v>2920</v>
      </c>
      <c r="B359">
        <v>23610</v>
      </c>
      <c r="C359" s="1">
        <v>43304</v>
      </c>
      <c r="D359" s="1"/>
      <c r="F359" s="1"/>
      <c r="G359">
        <v>22.3</v>
      </c>
      <c r="H359">
        <v>15.7</v>
      </c>
      <c r="I359">
        <v>27.9</v>
      </c>
      <c r="J359">
        <f t="shared" si="36"/>
        <v>3616.0000000000023</v>
      </c>
      <c r="K359">
        <f t="shared" si="37"/>
        <v>527.69999999999993</v>
      </c>
      <c r="M359">
        <v>0</v>
      </c>
      <c r="N359">
        <v>4.9000000000000004</v>
      </c>
      <c r="O359">
        <f t="shared" si="40"/>
        <v>-4.9000000000000004</v>
      </c>
      <c r="Q359">
        <v>316</v>
      </c>
      <c r="S359">
        <f t="shared" si="41"/>
        <v>0</v>
      </c>
      <c r="T359">
        <f t="shared" si="42"/>
        <v>0</v>
      </c>
      <c r="U359">
        <f t="shared" si="38"/>
        <v>123.9438461538462</v>
      </c>
      <c r="W359">
        <v>2364.1</v>
      </c>
      <c r="X359">
        <f t="shared" si="39"/>
        <v>49009.69999999999</v>
      </c>
    </row>
    <row r="360" spans="1:24" x14ac:dyDescent="0.35">
      <c r="A360">
        <v>2920</v>
      </c>
      <c r="B360">
        <v>23610</v>
      </c>
      <c r="C360" s="1">
        <v>43305</v>
      </c>
      <c r="D360" s="1"/>
      <c r="F360" s="1"/>
      <c r="G360">
        <v>22.2</v>
      </c>
      <c r="H360">
        <v>18.8</v>
      </c>
      <c r="I360">
        <v>27.8</v>
      </c>
      <c r="J360">
        <f t="shared" si="36"/>
        <v>3638.2000000000021</v>
      </c>
      <c r="K360">
        <f t="shared" si="37"/>
        <v>549.9</v>
      </c>
      <c r="M360">
        <v>0.1</v>
      </c>
      <c r="N360">
        <v>3.4</v>
      </c>
      <c r="O360">
        <f t="shared" si="40"/>
        <v>-3.3</v>
      </c>
      <c r="Q360">
        <v>317</v>
      </c>
      <c r="S360">
        <f t="shared" si="41"/>
        <v>0</v>
      </c>
      <c r="T360">
        <f t="shared" si="42"/>
        <v>0.1</v>
      </c>
      <c r="U360">
        <f t="shared" si="38"/>
        <v>124.04384615384619</v>
      </c>
      <c r="W360">
        <v>1134.5</v>
      </c>
      <c r="X360">
        <f t="shared" si="39"/>
        <v>50144.19999999999</v>
      </c>
    </row>
    <row r="361" spans="1:24" x14ac:dyDescent="0.35">
      <c r="A361">
        <v>2920</v>
      </c>
      <c r="B361">
        <v>23610</v>
      </c>
      <c r="C361" s="1">
        <v>43306</v>
      </c>
      <c r="D361" s="1"/>
      <c r="F361" s="1"/>
      <c r="G361">
        <v>21.8</v>
      </c>
      <c r="H361">
        <v>17.100000000000001</v>
      </c>
      <c r="I361">
        <v>27.1</v>
      </c>
      <c r="J361">
        <f t="shared" si="36"/>
        <v>3660.0000000000023</v>
      </c>
      <c r="K361">
        <f t="shared" si="37"/>
        <v>571.69999999999993</v>
      </c>
      <c r="M361">
        <v>0</v>
      </c>
      <c r="N361">
        <v>5.2</v>
      </c>
      <c r="O361">
        <f t="shared" si="40"/>
        <v>-5.2</v>
      </c>
      <c r="Q361">
        <v>318</v>
      </c>
      <c r="S361">
        <f t="shared" si="41"/>
        <v>0</v>
      </c>
      <c r="T361">
        <f t="shared" si="42"/>
        <v>0</v>
      </c>
      <c r="U361">
        <f t="shared" si="38"/>
        <v>124.04384615384619</v>
      </c>
      <c r="W361">
        <v>2279.4</v>
      </c>
      <c r="X361">
        <f t="shared" si="39"/>
        <v>52423.599999999991</v>
      </c>
    </row>
    <row r="362" spans="1:24" x14ac:dyDescent="0.35">
      <c r="A362">
        <v>2920</v>
      </c>
      <c r="B362">
        <v>23610</v>
      </c>
      <c r="C362" s="1">
        <v>43307</v>
      </c>
      <c r="D362" s="1"/>
      <c r="F362" s="1"/>
      <c r="G362">
        <v>22.9</v>
      </c>
      <c r="H362">
        <v>17</v>
      </c>
      <c r="I362">
        <v>30.2</v>
      </c>
      <c r="J362">
        <f t="shared" si="36"/>
        <v>3682.9000000000024</v>
      </c>
      <c r="K362">
        <f t="shared" si="37"/>
        <v>594.59999999999991</v>
      </c>
      <c r="M362">
        <v>0</v>
      </c>
      <c r="N362">
        <v>5.2</v>
      </c>
      <c r="O362">
        <f t="shared" si="40"/>
        <v>-5.2</v>
      </c>
      <c r="Q362">
        <v>319</v>
      </c>
      <c r="S362">
        <f t="shared" si="41"/>
        <v>0</v>
      </c>
      <c r="T362">
        <f t="shared" si="42"/>
        <v>0</v>
      </c>
      <c r="U362">
        <f t="shared" si="38"/>
        <v>124.04384615384619</v>
      </c>
      <c r="W362">
        <v>2212.8000000000002</v>
      </c>
      <c r="X362">
        <f t="shared" si="39"/>
        <v>54636.399999999994</v>
      </c>
    </row>
    <row r="363" spans="1:24" x14ac:dyDescent="0.35">
      <c r="A363">
        <v>2920</v>
      </c>
      <c r="B363">
        <v>23610</v>
      </c>
      <c r="C363" s="1">
        <v>43308</v>
      </c>
      <c r="D363" s="1"/>
      <c r="F363" s="1"/>
      <c r="G363">
        <v>20.8</v>
      </c>
      <c r="H363">
        <v>17.3</v>
      </c>
      <c r="I363">
        <v>24.3</v>
      </c>
      <c r="J363">
        <f t="shared" si="36"/>
        <v>3703.7000000000025</v>
      </c>
      <c r="K363">
        <f t="shared" si="37"/>
        <v>615.39999999999986</v>
      </c>
      <c r="M363">
        <v>0.7</v>
      </c>
      <c r="N363">
        <v>2.7</v>
      </c>
      <c r="O363">
        <f t="shared" si="40"/>
        <v>-2</v>
      </c>
      <c r="Q363">
        <v>320</v>
      </c>
      <c r="S363">
        <f t="shared" si="41"/>
        <v>0</v>
      </c>
      <c r="T363">
        <f t="shared" si="42"/>
        <v>0.7</v>
      </c>
      <c r="U363">
        <f t="shared" si="38"/>
        <v>124.74384615384619</v>
      </c>
      <c r="W363">
        <v>1198.9000000000001</v>
      </c>
      <c r="X363">
        <f t="shared" si="39"/>
        <v>55835.299999999996</v>
      </c>
    </row>
    <row r="364" spans="1:24" x14ac:dyDescent="0.35">
      <c r="A364">
        <v>2920</v>
      </c>
      <c r="B364">
        <v>23610</v>
      </c>
      <c r="C364" s="1">
        <v>43309</v>
      </c>
      <c r="D364" s="1"/>
      <c r="F364" s="1"/>
      <c r="G364">
        <v>18.5</v>
      </c>
      <c r="H364">
        <v>15.1</v>
      </c>
      <c r="I364">
        <v>21.8</v>
      </c>
      <c r="J364">
        <f t="shared" si="36"/>
        <v>3722.2000000000025</v>
      </c>
      <c r="K364">
        <f t="shared" si="37"/>
        <v>633.89999999999986</v>
      </c>
      <c r="M364">
        <v>0.4</v>
      </c>
      <c r="N364">
        <v>4.2</v>
      </c>
      <c r="O364">
        <f t="shared" si="40"/>
        <v>-3.8000000000000003</v>
      </c>
      <c r="Q364">
        <v>321</v>
      </c>
      <c r="S364">
        <f t="shared" si="41"/>
        <v>0</v>
      </c>
      <c r="T364">
        <f t="shared" si="42"/>
        <v>0.4</v>
      </c>
      <c r="U364">
        <f t="shared" si="38"/>
        <v>125.1438461538462</v>
      </c>
      <c r="W364">
        <v>2040.2</v>
      </c>
      <c r="X364">
        <f t="shared" si="39"/>
        <v>57875.499999999993</v>
      </c>
    </row>
    <row r="365" spans="1:24" x14ac:dyDescent="0.35">
      <c r="A365">
        <v>2920</v>
      </c>
      <c r="B365">
        <v>23610</v>
      </c>
      <c r="C365" s="1">
        <v>43310</v>
      </c>
      <c r="D365" s="1"/>
      <c r="F365" s="1"/>
      <c r="G365">
        <v>18.399999999999999</v>
      </c>
      <c r="H365">
        <v>16.8</v>
      </c>
      <c r="I365">
        <v>19.600000000000001</v>
      </c>
      <c r="J365">
        <f t="shared" si="36"/>
        <v>3740.6000000000026</v>
      </c>
      <c r="K365">
        <f t="shared" si="37"/>
        <v>652.29999999999984</v>
      </c>
      <c r="M365">
        <v>3.5</v>
      </c>
      <c r="N365">
        <v>1.5</v>
      </c>
      <c r="O365">
        <f t="shared" si="40"/>
        <v>2</v>
      </c>
      <c r="Q365">
        <v>322</v>
      </c>
      <c r="S365">
        <f t="shared" si="41"/>
        <v>0</v>
      </c>
      <c r="T365">
        <f t="shared" si="42"/>
        <v>3.5</v>
      </c>
      <c r="U365">
        <f t="shared" si="38"/>
        <v>128.6438461538462</v>
      </c>
      <c r="W365">
        <v>678.6</v>
      </c>
      <c r="X365">
        <f t="shared" si="39"/>
        <v>58554.099999999991</v>
      </c>
    </row>
    <row r="366" spans="1:24" x14ac:dyDescent="0.35">
      <c r="A366">
        <v>2920</v>
      </c>
      <c r="B366">
        <v>23610</v>
      </c>
      <c r="C366" s="1">
        <v>43311</v>
      </c>
      <c r="D366" s="1"/>
      <c r="F366" s="1"/>
      <c r="G366">
        <v>20.3</v>
      </c>
      <c r="H366">
        <v>18.8</v>
      </c>
      <c r="I366">
        <v>23.1</v>
      </c>
      <c r="J366">
        <f t="shared" ref="J366:J367" si="43">J365+G366</f>
        <v>3760.9000000000028</v>
      </c>
      <c r="K366">
        <f t="shared" ref="K366:K367" si="44">K365+G366</f>
        <v>672.5999999999998</v>
      </c>
      <c r="M366">
        <v>0.7</v>
      </c>
      <c r="N366">
        <v>2.1</v>
      </c>
      <c r="O366">
        <f t="shared" si="40"/>
        <v>-1.4000000000000001</v>
      </c>
      <c r="Q366">
        <v>323</v>
      </c>
      <c r="S366">
        <f t="shared" si="41"/>
        <v>0</v>
      </c>
      <c r="T366">
        <f t="shared" si="42"/>
        <v>0.7</v>
      </c>
      <c r="U366">
        <f t="shared" ref="U366:U367" si="45">MIN(U365+T366,197.4)</f>
        <v>129.34384615384619</v>
      </c>
      <c r="W366">
        <v>762.1</v>
      </c>
      <c r="X366">
        <f t="shared" ref="X366:X367" si="46">X365+W366</f>
        <v>59316.19999999999</v>
      </c>
    </row>
    <row r="367" spans="1:24" x14ac:dyDescent="0.35">
      <c r="A367">
        <v>2920</v>
      </c>
      <c r="B367">
        <v>23610</v>
      </c>
      <c r="C367" s="1">
        <v>43312</v>
      </c>
      <c r="D367" s="1"/>
      <c r="F367" s="1"/>
      <c r="G367">
        <v>19.7</v>
      </c>
      <c r="H367">
        <v>17</v>
      </c>
      <c r="I367">
        <v>23.3</v>
      </c>
      <c r="J367">
        <f t="shared" si="43"/>
        <v>3780.6000000000026</v>
      </c>
      <c r="K367">
        <f t="shared" si="44"/>
        <v>692.29999999999984</v>
      </c>
      <c r="M367">
        <v>0</v>
      </c>
      <c r="N367">
        <v>3.7</v>
      </c>
      <c r="O367">
        <f t="shared" si="40"/>
        <v>-3.7</v>
      </c>
      <c r="Q367">
        <v>324</v>
      </c>
      <c r="S367">
        <f t="shared" si="41"/>
        <v>0</v>
      </c>
      <c r="T367">
        <f t="shared" si="42"/>
        <v>0</v>
      </c>
      <c r="U367">
        <f t="shared" si="45"/>
        <v>129.34384615384619</v>
      </c>
      <c r="W367">
        <v>1879.7</v>
      </c>
      <c r="X367">
        <f t="shared" si="46"/>
        <v>61195.899999999987</v>
      </c>
    </row>
  </sheetData>
  <mergeCells count="10">
    <mergeCell ref="M2:V2"/>
    <mergeCell ref="W2:Z2"/>
    <mergeCell ref="F44:F122"/>
    <mergeCell ref="F123:F215"/>
    <mergeCell ref="F216:F247"/>
    <mergeCell ref="F248:F268"/>
    <mergeCell ref="F269:F293"/>
    <mergeCell ref="F294:F311"/>
    <mergeCell ref="F312:F334"/>
    <mergeCell ref="G2:L2"/>
  </mergeCells>
  <conditionalFormatting sqref="G4:I367">
    <cfRule type="cellIs" dxfId="61" priority="29" operator="lessThan">
      <formula>0</formula>
    </cfRule>
    <cfRule type="cellIs" dxfId="60" priority="30" operator="between">
      <formula>5</formula>
      <formula>0</formula>
    </cfRule>
    <cfRule type="cellIs" dxfId="59" priority="31" operator="greaterThanOrEqual">
      <formula>25</formula>
    </cfRule>
  </conditionalFormatting>
  <conditionalFormatting sqref="L45 L53 L55 L57">
    <cfRule type="cellIs" dxfId="58" priority="21" operator="lessThanOrEqual">
      <formula>0</formula>
    </cfRule>
    <cfRule type="cellIs" dxfId="57" priority="22" operator="lessThanOrEqual">
      <formula>5</formula>
    </cfRule>
  </conditionalFormatting>
  <conditionalFormatting sqref="L124 L132 L134 L136">
    <cfRule type="cellIs" dxfId="56" priority="17" operator="lessThanOrEqual">
      <formula>0</formula>
    </cfRule>
    <cfRule type="cellIs" dxfId="55" priority="18" operator="lessThanOrEqual">
      <formula>5</formula>
    </cfRule>
  </conditionalFormatting>
  <conditionalFormatting sqref="L217 L225 L227 L229">
    <cfRule type="cellIs" dxfId="54" priority="14" operator="lessThanOrEqual">
      <formula>0</formula>
    </cfRule>
    <cfRule type="cellIs" dxfId="53" priority="15" operator="lessThanOrEqual">
      <formula>5</formula>
    </cfRule>
  </conditionalFormatting>
  <conditionalFormatting sqref="L249 L257 L259 L261">
    <cfRule type="cellIs" dxfId="52" priority="11" operator="lessThanOrEqual">
      <formula>0</formula>
    </cfRule>
    <cfRule type="cellIs" dxfId="51" priority="12" operator="lessThanOrEqual">
      <formula>5</formula>
    </cfRule>
  </conditionalFormatting>
  <conditionalFormatting sqref="L270 L278 L280 L282">
    <cfRule type="cellIs" dxfId="50" priority="8" operator="lessThanOrEqual">
      <formula>0</formula>
    </cfRule>
    <cfRule type="cellIs" dxfId="49" priority="9" operator="lessThanOrEqual">
      <formula>5</formula>
    </cfRule>
  </conditionalFormatting>
  <conditionalFormatting sqref="L295 L305">
    <cfRule type="cellIs" dxfId="48" priority="5" operator="lessThanOrEqual">
      <formula>0</formula>
    </cfRule>
    <cfRule type="cellIs" dxfId="47" priority="6" operator="lessThanOrEqual">
      <formula>5</formula>
    </cfRule>
  </conditionalFormatting>
  <conditionalFormatting sqref="L313 L323">
    <cfRule type="cellIs" dxfId="46" priority="2" operator="lessThanOrEqual">
      <formula>0</formula>
    </cfRule>
    <cfRule type="cellIs" dxfId="45" priority="3" operator="lessThanOrEqual">
      <formula>5</formula>
    </cfRule>
  </conditionalFormatting>
  <conditionalFormatting sqref="O4:O367">
    <cfRule type="cellIs" dxfId="44" priority="28" operator="lessThan">
      <formula>0</formula>
    </cfRule>
  </conditionalFormatting>
  <conditionalFormatting sqref="T4:T367">
    <cfRule type="cellIs" dxfId="43" priority="27" operator="lessThan">
      <formula>0</formula>
    </cfRule>
  </conditionalFormatting>
  <conditionalFormatting sqref="U7:U367">
    <cfRule type="cellIs" dxfId="42" priority="25" operator="equal">
      <formula>0</formula>
    </cfRule>
    <cfRule type="cellIs" dxfId="41" priority="26" operator="lessThanOrEqual">
      <formula>65.8</formula>
    </cfRule>
  </conditionalFormatting>
  <conditionalFormatting sqref="V45">
    <cfRule type="cellIs" dxfId="40" priority="19" operator="equal">
      <formula>0</formula>
    </cfRule>
    <cfRule type="cellIs" dxfId="39" priority="20" operator="lessThanOrEqual">
      <formula>63.2</formula>
    </cfRule>
  </conditionalFormatting>
  <conditionalFormatting sqref="W16:W367">
    <cfRule type="cellIs" dxfId="38" priority="24" operator="lessThan">
      <formula>900</formula>
    </cfRule>
  </conditionalFormatting>
  <conditionalFormatting sqref="Y44:Y345">
    <cfRule type="cellIs" dxfId="37" priority="23" operator="lessThan">
      <formula>9</formula>
    </cfRule>
  </conditionalFormatting>
  <conditionalFormatting sqref="Z124">
    <cfRule type="cellIs" dxfId="36" priority="16" operator="lessThan">
      <formula>9</formula>
    </cfRule>
  </conditionalFormatting>
  <conditionalFormatting sqref="Z217">
    <cfRule type="cellIs" dxfId="35" priority="13" operator="lessThan">
      <formula>9</formula>
    </cfRule>
  </conditionalFormatting>
  <conditionalFormatting sqref="Z249">
    <cfRule type="cellIs" dxfId="34" priority="10" operator="lessThan">
      <formula>9</formula>
    </cfRule>
  </conditionalFormatting>
  <conditionalFormatting sqref="Z270">
    <cfRule type="cellIs" dxfId="33" priority="7" operator="lessThan">
      <formula>9</formula>
    </cfRule>
  </conditionalFormatting>
  <conditionalFormatting sqref="Z295">
    <cfRule type="cellIs" dxfId="32" priority="4" operator="lessThan">
      <formula>9</formula>
    </cfRule>
  </conditionalFormatting>
  <conditionalFormatting sqref="Z313">
    <cfRule type="cellIs" dxfId="31" priority="1" operator="lessThan">
      <formula>9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67"/>
  <sheetViews>
    <sheetView zoomScaleNormal="80" workbookViewId="0">
      <pane xSplit="6" ySplit="3" topLeftCell="G42" activePane="bottomRight" state="frozen"/>
      <selection pane="topRight" activeCell="G1" sqref="G1"/>
      <selection pane="bottomLeft" activeCell="A4" sqref="A4"/>
      <selection pane="bottomRight" activeCell="AA350" sqref="AA350"/>
    </sheetView>
  </sheetViews>
  <sheetFormatPr baseColWidth="10" defaultRowHeight="14.5" x14ac:dyDescent="0.35"/>
  <sheetData>
    <row r="1" spans="1:26" s="2" customFormat="1" x14ac:dyDescent="0.35">
      <c r="O1" s="2" t="s">
        <v>27</v>
      </c>
      <c r="P1" s="2">
        <v>197.4</v>
      </c>
      <c r="Q1" s="3" t="s">
        <v>28</v>
      </c>
      <c r="R1" s="2">
        <f>P1/3</f>
        <v>65.8</v>
      </c>
    </row>
    <row r="2" spans="1:26" s="2" customFormat="1" x14ac:dyDescent="0.35">
      <c r="G2" s="43" t="s">
        <v>24</v>
      </c>
      <c r="H2" s="43"/>
      <c r="I2" s="43"/>
      <c r="J2" s="43"/>
      <c r="K2" s="43"/>
      <c r="L2" s="43"/>
      <c r="M2" s="44" t="s">
        <v>25</v>
      </c>
      <c r="N2" s="44"/>
      <c r="O2" s="44"/>
      <c r="P2" s="44"/>
      <c r="Q2" s="44"/>
      <c r="R2" s="44"/>
      <c r="S2" s="44"/>
      <c r="T2" s="44"/>
      <c r="U2" s="44"/>
      <c r="V2" s="44"/>
      <c r="W2" s="44" t="s">
        <v>26</v>
      </c>
      <c r="X2" s="44"/>
      <c r="Y2" s="44"/>
      <c r="Z2" s="44"/>
    </row>
    <row r="3" spans="1:26" s="2" customFormat="1" x14ac:dyDescent="0.35">
      <c r="A3" s="2" t="s">
        <v>0</v>
      </c>
      <c r="B3" s="2" t="s">
        <v>1</v>
      </c>
      <c r="C3" s="2" t="s">
        <v>2</v>
      </c>
      <c r="D3" s="2" t="s">
        <v>9</v>
      </c>
      <c r="E3" s="2" t="s">
        <v>10</v>
      </c>
      <c r="F3" s="2" t="s">
        <v>11</v>
      </c>
      <c r="G3" s="2" t="s">
        <v>4</v>
      </c>
      <c r="H3" s="2" t="s">
        <v>7</v>
      </c>
      <c r="I3" s="2" t="s">
        <v>8</v>
      </c>
      <c r="J3" s="2" t="s">
        <v>13</v>
      </c>
      <c r="K3" s="2" t="s">
        <v>12</v>
      </c>
      <c r="L3" s="2" t="s">
        <v>14</v>
      </c>
      <c r="M3" s="2" t="s">
        <v>3</v>
      </c>
      <c r="N3" s="2" t="s">
        <v>6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14</v>
      </c>
      <c r="W3" s="2" t="s">
        <v>5</v>
      </c>
      <c r="X3" s="2" t="s">
        <v>22</v>
      </c>
      <c r="Y3" s="2" t="s">
        <v>23</v>
      </c>
      <c r="Z3" s="2" t="s">
        <v>14</v>
      </c>
    </row>
    <row r="4" spans="1:26" x14ac:dyDescent="0.35">
      <c r="A4">
        <v>2920</v>
      </c>
      <c r="B4">
        <v>23610</v>
      </c>
      <c r="C4" s="1">
        <v>42949</v>
      </c>
      <c r="D4" s="1"/>
      <c r="E4" s="1"/>
      <c r="F4" s="1"/>
      <c r="G4">
        <v>19.3</v>
      </c>
      <c r="H4">
        <v>14</v>
      </c>
      <c r="I4">
        <v>23.2</v>
      </c>
      <c r="M4">
        <v>2.2000000000000002</v>
      </c>
      <c r="N4">
        <v>2.6</v>
      </c>
      <c r="O4">
        <f>M4-N4</f>
        <v>-0.39999999999999991</v>
      </c>
      <c r="P4">
        <v>0</v>
      </c>
      <c r="S4">
        <f>R4*N4</f>
        <v>0</v>
      </c>
      <c r="T4">
        <f>M4-S4</f>
        <v>2.2000000000000002</v>
      </c>
      <c r="W4">
        <v>1061.2</v>
      </c>
    </row>
    <row r="5" spans="1:26" x14ac:dyDescent="0.35">
      <c r="A5">
        <v>2920</v>
      </c>
      <c r="B5">
        <v>23610</v>
      </c>
      <c r="C5" s="1">
        <v>42950</v>
      </c>
      <c r="D5" s="1"/>
      <c r="E5" s="1"/>
      <c r="F5" s="1"/>
      <c r="G5">
        <v>18.2</v>
      </c>
      <c r="H5">
        <v>16.2</v>
      </c>
      <c r="I5">
        <v>20</v>
      </c>
      <c r="M5">
        <v>0</v>
      </c>
      <c r="N5">
        <v>2.4</v>
      </c>
      <c r="O5">
        <f t="shared" ref="O5:O68" si="0">M5-N5</f>
        <v>-2.4</v>
      </c>
      <c r="P5">
        <v>0</v>
      </c>
      <c r="S5">
        <f t="shared" ref="S5:S68" si="1">R5*N5</f>
        <v>0</v>
      </c>
      <c r="T5">
        <f t="shared" ref="T5:T68" si="2">M5-S5</f>
        <v>0</v>
      </c>
      <c r="W5">
        <v>1059.5999999999999</v>
      </c>
    </row>
    <row r="6" spans="1:26" x14ac:dyDescent="0.35">
      <c r="A6">
        <v>2920</v>
      </c>
      <c r="B6">
        <v>23610</v>
      </c>
      <c r="C6" s="1">
        <v>42951</v>
      </c>
      <c r="D6" s="1"/>
      <c r="E6" s="1"/>
      <c r="F6" s="1"/>
      <c r="G6">
        <v>17</v>
      </c>
      <c r="H6">
        <v>16</v>
      </c>
      <c r="I6">
        <v>18.600000000000001</v>
      </c>
      <c r="M6">
        <v>4.8</v>
      </c>
      <c r="N6">
        <v>1.3</v>
      </c>
      <c r="O6">
        <f t="shared" si="0"/>
        <v>3.5</v>
      </c>
      <c r="P6">
        <f>P5+O6</f>
        <v>3.5</v>
      </c>
      <c r="S6">
        <f t="shared" si="1"/>
        <v>0</v>
      </c>
      <c r="T6">
        <f t="shared" si="2"/>
        <v>4.8</v>
      </c>
      <c r="W6">
        <v>637.6</v>
      </c>
    </row>
    <row r="7" spans="1:26" x14ac:dyDescent="0.35">
      <c r="A7">
        <v>2920</v>
      </c>
      <c r="B7">
        <v>23610</v>
      </c>
      <c r="C7" s="1">
        <v>42952</v>
      </c>
      <c r="D7" s="1"/>
      <c r="E7" s="1"/>
      <c r="F7" s="1"/>
      <c r="G7">
        <v>16.7</v>
      </c>
      <c r="H7">
        <v>13.9</v>
      </c>
      <c r="I7">
        <v>20.9</v>
      </c>
      <c r="M7">
        <v>0</v>
      </c>
      <c r="N7">
        <v>4.2</v>
      </c>
      <c r="O7">
        <f t="shared" si="0"/>
        <v>-4.2</v>
      </c>
      <c r="P7">
        <v>0</v>
      </c>
      <c r="S7">
        <f t="shared" si="1"/>
        <v>0</v>
      </c>
      <c r="T7">
        <f t="shared" si="2"/>
        <v>0</v>
      </c>
      <c r="W7">
        <v>2102.3000000000002</v>
      </c>
    </row>
    <row r="8" spans="1:26" x14ac:dyDescent="0.35">
      <c r="A8">
        <v>2920</v>
      </c>
      <c r="B8">
        <v>23610</v>
      </c>
      <c r="C8" s="1">
        <v>42953</v>
      </c>
      <c r="D8" s="1"/>
      <c r="E8" s="1"/>
      <c r="F8" s="1"/>
      <c r="G8">
        <v>15.6</v>
      </c>
      <c r="H8">
        <v>10.4</v>
      </c>
      <c r="I8">
        <v>20.6</v>
      </c>
      <c r="M8">
        <v>0</v>
      </c>
      <c r="N8">
        <v>3.5</v>
      </c>
      <c r="O8">
        <f t="shared" si="0"/>
        <v>-3.5</v>
      </c>
      <c r="P8">
        <v>0</v>
      </c>
      <c r="S8">
        <f t="shared" si="1"/>
        <v>0</v>
      </c>
      <c r="T8">
        <f t="shared" si="2"/>
        <v>0</v>
      </c>
      <c r="W8">
        <v>1893.4</v>
      </c>
    </row>
    <row r="9" spans="1:26" x14ac:dyDescent="0.35">
      <c r="A9">
        <v>2920</v>
      </c>
      <c r="B9">
        <v>23610</v>
      </c>
      <c r="C9" s="1">
        <v>42954</v>
      </c>
      <c r="D9" s="1"/>
      <c r="E9" s="1"/>
      <c r="F9" s="1"/>
      <c r="G9">
        <v>17.3</v>
      </c>
      <c r="H9">
        <v>10.6</v>
      </c>
      <c r="I9">
        <v>23.2</v>
      </c>
      <c r="M9">
        <v>7.6</v>
      </c>
      <c r="N9">
        <v>3.7</v>
      </c>
      <c r="O9">
        <f t="shared" si="0"/>
        <v>3.8999999999999995</v>
      </c>
      <c r="P9">
        <f t="shared" ref="P9:P43" si="3">P8+O9</f>
        <v>3.8999999999999995</v>
      </c>
      <c r="S9">
        <f t="shared" si="1"/>
        <v>0</v>
      </c>
      <c r="T9">
        <f t="shared" si="2"/>
        <v>7.6</v>
      </c>
      <c r="W9">
        <v>1765</v>
      </c>
    </row>
    <row r="10" spans="1:26" x14ac:dyDescent="0.35">
      <c r="A10">
        <v>2920</v>
      </c>
      <c r="B10">
        <v>23610</v>
      </c>
      <c r="C10" s="1">
        <v>42955</v>
      </c>
      <c r="D10" s="1"/>
      <c r="E10" s="1"/>
      <c r="F10" s="1"/>
      <c r="G10">
        <v>15.4</v>
      </c>
      <c r="H10">
        <v>13.9</v>
      </c>
      <c r="I10">
        <v>17.600000000000001</v>
      </c>
      <c r="M10">
        <v>13.4</v>
      </c>
      <c r="N10">
        <v>1.7</v>
      </c>
      <c r="O10">
        <f t="shared" si="0"/>
        <v>11.700000000000001</v>
      </c>
      <c r="P10">
        <f t="shared" si="3"/>
        <v>15.600000000000001</v>
      </c>
      <c r="S10">
        <f t="shared" si="1"/>
        <v>0</v>
      </c>
      <c r="T10">
        <f t="shared" si="2"/>
        <v>13.4</v>
      </c>
      <c r="W10">
        <v>795.5</v>
      </c>
    </row>
    <row r="11" spans="1:26" x14ac:dyDescent="0.35">
      <c r="A11">
        <v>2920</v>
      </c>
      <c r="B11">
        <v>23610</v>
      </c>
      <c r="C11" s="1">
        <v>42956</v>
      </c>
      <c r="D11" s="1"/>
      <c r="E11" s="1"/>
      <c r="F11" s="1"/>
      <c r="G11">
        <v>14.1</v>
      </c>
      <c r="H11">
        <v>10.4</v>
      </c>
      <c r="I11">
        <v>17</v>
      </c>
      <c r="M11">
        <v>7.2</v>
      </c>
      <c r="N11">
        <v>1.9</v>
      </c>
      <c r="O11">
        <f t="shared" si="0"/>
        <v>5.3000000000000007</v>
      </c>
      <c r="P11">
        <f t="shared" si="3"/>
        <v>20.900000000000002</v>
      </c>
      <c r="S11">
        <f t="shared" si="1"/>
        <v>0</v>
      </c>
      <c r="T11">
        <f t="shared" si="2"/>
        <v>7.2</v>
      </c>
      <c r="W11">
        <v>1301</v>
      </c>
    </row>
    <row r="12" spans="1:26" x14ac:dyDescent="0.35">
      <c r="A12">
        <v>2920</v>
      </c>
      <c r="B12">
        <v>23610</v>
      </c>
      <c r="C12" s="1">
        <v>42957</v>
      </c>
      <c r="D12" s="1"/>
      <c r="E12" s="1"/>
      <c r="F12" s="1"/>
      <c r="G12">
        <v>15.3</v>
      </c>
      <c r="H12">
        <v>14</v>
      </c>
      <c r="I12">
        <v>17.5</v>
      </c>
      <c r="M12">
        <v>0.6</v>
      </c>
      <c r="N12">
        <v>1.8</v>
      </c>
      <c r="O12">
        <f t="shared" si="0"/>
        <v>-1.2000000000000002</v>
      </c>
      <c r="P12">
        <f t="shared" si="3"/>
        <v>19.700000000000003</v>
      </c>
      <c r="S12">
        <f t="shared" si="1"/>
        <v>0</v>
      </c>
      <c r="T12">
        <f t="shared" si="2"/>
        <v>0.6</v>
      </c>
      <c r="W12">
        <v>715.7</v>
      </c>
    </row>
    <row r="13" spans="1:26" x14ac:dyDescent="0.35">
      <c r="A13">
        <v>2920</v>
      </c>
      <c r="B13">
        <v>23610</v>
      </c>
      <c r="C13" s="1">
        <v>42958</v>
      </c>
      <c r="D13" s="1"/>
      <c r="E13" s="1"/>
      <c r="F13" s="1"/>
      <c r="G13">
        <v>15.8</v>
      </c>
      <c r="H13">
        <v>10.8</v>
      </c>
      <c r="I13">
        <v>19.899999999999999</v>
      </c>
      <c r="M13">
        <v>0.4</v>
      </c>
      <c r="N13">
        <v>2.6</v>
      </c>
      <c r="O13">
        <f t="shared" si="0"/>
        <v>-2.2000000000000002</v>
      </c>
      <c r="P13">
        <f t="shared" si="3"/>
        <v>17.500000000000004</v>
      </c>
      <c r="S13">
        <f t="shared" si="1"/>
        <v>0</v>
      </c>
      <c r="T13">
        <f t="shared" si="2"/>
        <v>0.4</v>
      </c>
      <c r="W13">
        <v>1315.8</v>
      </c>
    </row>
    <row r="14" spans="1:26" x14ac:dyDescent="0.35">
      <c r="A14">
        <v>2920</v>
      </c>
      <c r="B14">
        <v>23610</v>
      </c>
      <c r="C14" s="1">
        <v>42959</v>
      </c>
      <c r="D14" s="1"/>
      <c r="E14" s="1"/>
      <c r="F14" s="1"/>
      <c r="G14">
        <v>16.8</v>
      </c>
      <c r="H14">
        <v>15.1</v>
      </c>
      <c r="I14">
        <v>19</v>
      </c>
      <c r="M14">
        <v>2.9</v>
      </c>
      <c r="N14">
        <v>1.1000000000000001</v>
      </c>
      <c r="O14">
        <f t="shared" si="0"/>
        <v>1.7999999999999998</v>
      </c>
      <c r="P14">
        <f t="shared" si="3"/>
        <v>19.300000000000004</v>
      </c>
      <c r="S14">
        <f t="shared" si="1"/>
        <v>0</v>
      </c>
      <c r="T14">
        <f t="shared" si="2"/>
        <v>2.9</v>
      </c>
      <c r="W14">
        <v>412.6</v>
      </c>
    </row>
    <row r="15" spans="1:26" x14ac:dyDescent="0.35">
      <c r="A15">
        <v>2920</v>
      </c>
      <c r="B15">
        <v>23610</v>
      </c>
      <c r="C15" s="1">
        <v>42960</v>
      </c>
      <c r="D15" s="1"/>
      <c r="E15" s="1"/>
      <c r="F15" s="1"/>
      <c r="G15">
        <v>17</v>
      </c>
      <c r="H15">
        <v>13.6</v>
      </c>
      <c r="I15">
        <v>20.7</v>
      </c>
      <c r="M15">
        <v>0</v>
      </c>
      <c r="N15">
        <v>3.1</v>
      </c>
      <c r="O15">
        <f t="shared" si="0"/>
        <v>-3.1</v>
      </c>
      <c r="P15">
        <f t="shared" si="3"/>
        <v>16.200000000000003</v>
      </c>
      <c r="S15">
        <f t="shared" si="1"/>
        <v>0</v>
      </c>
      <c r="T15">
        <f t="shared" si="2"/>
        <v>0</v>
      </c>
      <c r="W15">
        <v>1626.9</v>
      </c>
    </row>
    <row r="16" spans="1:26" x14ac:dyDescent="0.35">
      <c r="A16">
        <v>2920</v>
      </c>
      <c r="B16">
        <v>23610</v>
      </c>
      <c r="C16" s="1">
        <v>42961</v>
      </c>
      <c r="D16" s="1"/>
      <c r="E16" s="1"/>
      <c r="F16" s="1"/>
      <c r="G16">
        <v>19.8</v>
      </c>
      <c r="H16">
        <v>12.5</v>
      </c>
      <c r="I16">
        <v>25.5</v>
      </c>
      <c r="M16">
        <v>0</v>
      </c>
      <c r="N16">
        <v>2.9</v>
      </c>
      <c r="O16">
        <f t="shared" si="0"/>
        <v>-2.9</v>
      </c>
      <c r="P16">
        <f t="shared" si="3"/>
        <v>13.300000000000002</v>
      </c>
      <c r="S16">
        <f t="shared" si="1"/>
        <v>0</v>
      </c>
      <c r="T16">
        <f t="shared" si="2"/>
        <v>0</v>
      </c>
      <c r="W16">
        <v>1561.1</v>
      </c>
    </row>
    <row r="17" spans="1:23" x14ac:dyDescent="0.35">
      <c r="A17">
        <v>2920</v>
      </c>
      <c r="B17">
        <v>23610</v>
      </c>
      <c r="C17" s="1">
        <v>42962</v>
      </c>
      <c r="D17" s="1"/>
      <c r="E17" s="1"/>
      <c r="F17" s="1"/>
      <c r="G17">
        <v>18.8</v>
      </c>
      <c r="H17">
        <v>17.399999999999999</v>
      </c>
      <c r="I17">
        <v>20.7</v>
      </c>
      <c r="M17">
        <v>0</v>
      </c>
      <c r="N17">
        <v>1.9</v>
      </c>
      <c r="O17">
        <f t="shared" si="0"/>
        <v>-1.9</v>
      </c>
      <c r="P17">
        <f t="shared" si="3"/>
        <v>11.400000000000002</v>
      </c>
      <c r="S17">
        <f t="shared" si="1"/>
        <v>0</v>
      </c>
      <c r="T17">
        <f t="shared" si="2"/>
        <v>0</v>
      </c>
      <c r="W17">
        <v>900</v>
      </c>
    </row>
    <row r="18" spans="1:23" x14ac:dyDescent="0.35">
      <c r="A18">
        <v>2920</v>
      </c>
      <c r="B18">
        <v>23610</v>
      </c>
      <c r="C18" s="1">
        <v>42963</v>
      </c>
      <c r="D18" s="1"/>
      <c r="E18" s="1"/>
      <c r="F18" s="1"/>
      <c r="G18">
        <v>18.899999999999999</v>
      </c>
      <c r="H18">
        <v>14.5</v>
      </c>
      <c r="I18">
        <v>23.4</v>
      </c>
      <c r="M18">
        <v>0.5</v>
      </c>
      <c r="N18">
        <v>2.6</v>
      </c>
      <c r="O18">
        <f t="shared" si="0"/>
        <v>-2.1</v>
      </c>
      <c r="P18">
        <f t="shared" si="3"/>
        <v>9.3000000000000025</v>
      </c>
      <c r="S18">
        <f t="shared" si="1"/>
        <v>0</v>
      </c>
      <c r="T18">
        <f t="shared" si="2"/>
        <v>0.5</v>
      </c>
      <c r="W18">
        <v>1156.9000000000001</v>
      </c>
    </row>
    <row r="19" spans="1:23" x14ac:dyDescent="0.35">
      <c r="A19">
        <v>2920</v>
      </c>
      <c r="B19">
        <v>23610</v>
      </c>
      <c r="C19" s="1">
        <v>42964</v>
      </c>
      <c r="D19" s="1"/>
      <c r="E19" s="1"/>
      <c r="F19" s="1"/>
      <c r="G19">
        <v>20.100000000000001</v>
      </c>
      <c r="H19">
        <v>17.5</v>
      </c>
      <c r="I19">
        <v>21.9</v>
      </c>
      <c r="M19">
        <v>3.6</v>
      </c>
      <c r="N19">
        <v>1.4</v>
      </c>
      <c r="O19">
        <f t="shared" si="0"/>
        <v>2.2000000000000002</v>
      </c>
      <c r="P19">
        <f t="shared" si="3"/>
        <v>11.500000000000004</v>
      </c>
      <c r="S19">
        <f t="shared" si="1"/>
        <v>0</v>
      </c>
      <c r="T19">
        <f t="shared" si="2"/>
        <v>3.6</v>
      </c>
      <c r="W19">
        <v>514.79999999999995</v>
      </c>
    </row>
    <row r="20" spans="1:23" x14ac:dyDescent="0.35">
      <c r="A20">
        <v>2920</v>
      </c>
      <c r="B20">
        <v>23610</v>
      </c>
      <c r="C20" s="1">
        <v>42965</v>
      </c>
      <c r="D20" s="1"/>
      <c r="E20" s="1"/>
      <c r="F20" s="1"/>
      <c r="G20">
        <v>18.100000000000001</v>
      </c>
      <c r="H20">
        <v>17.399999999999999</v>
      </c>
      <c r="I20">
        <v>20.8</v>
      </c>
      <c r="M20">
        <v>0.1</v>
      </c>
      <c r="N20">
        <v>2.1</v>
      </c>
      <c r="O20">
        <f t="shared" si="0"/>
        <v>-2</v>
      </c>
      <c r="P20">
        <f t="shared" si="3"/>
        <v>9.5000000000000036</v>
      </c>
      <c r="S20">
        <f t="shared" si="1"/>
        <v>0</v>
      </c>
      <c r="T20">
        <f t="shared" si="2"/>
        <v>0.1</v>
      </c>
      <c r="W20">
        <v>850.6</v>
      </c>
    </row>
    <row r="21" spans="1:23" x14ac:dyDescent="0.35">
      <c r="A21">
        <v>2920</v>
      </c>
      <c r="B21">
        <v>23610</v>
      </c>
      <c r="C21" s="1">
        <v>42966</v>
      </c>
      <c r="D21" s="1"/>
      <c r="E21" s="1"/>
      <c r="F21" s="1"/>
      <c r="G21">
        <v>15.5</v>
      </c>
      <c r="H21">
        <v>11.3</v>
      </c>
      <c r="I21">
        <v>20</v>
      </c>
      <c r="M21">
        <v>0</v>
      </c>
      <c r="N21">
        <v>3.2</v>
      </c>
      <c r="O21">
        <f t="shared" si="0"/>
        <v>-3.2</v>
      </c>
      <c r="P21">
        <f t="shared" si="3"/>
        <v>6.3000000000000034</v>
      </c>
      <c r="S21">
        <f t="shared" si="1"/>
        <v>0</v>
      </c>
      <c r="T21">
        <f t="shared" si="2"/>
        <v>0</v>
      </c>
      <c r="W21">
        <v>1780</v>
      </c>
    </row>
    <row r="22" spans="1:23" x14ac:dyDescent="0.35">
      <c r="A22">
        <v>2920</v>
      </c>
      <c r="B22">
        <v>23610</v>
      </c>
      <c r="C22" s="1">
        <v>42967</v>
      </c>
      <c r="D22" s="1"/>
      <c r="E22" s="1"/>
      <c r="F22" s="1"/>
      <c r="G22">
        <v>16.7</v>
      </c>
      <c r="H22">
        <v>10.1</v>
      </c>
      <c r="I22">
        <v>21.5</v>
      </c>
      <c r="M22">
        <v>0</v>
      </c>
      <c r="N22">
        <v>3.5</v>
      </c>
      <c r="O22">
        <f t="shared" si="0"/>
        <v>-3.5</v>
      </c>
      <c r="P22">
        <f t="shared" si="3"/>
        <v>2.8000000000000034</v>
      </c>
      <c r="S22">
        <f t="shared" si="1"/>
        <v>0</v>
      </c>
      <c r="T22">
        <f t="shared" si="2"/>
        <v>0</v>
      </c>
      <c r="W22">
        <v>1799.7</v>
      </c>
    </row>
    <row r="23" spans="1:23" x14ac:dyDescent="0.35">
      <c r="A23">
        <v>2920</v>
      </c>
      <c r="B23">
        <v>23610</v>
      </c>
      <c r="C23" s="1">
        <v>42968</v>
      </c>
      <c r="D23" s="1"/>
      <c r="E23" s="1"/>
      <c r="F23" s="1"/>
      <c r="G23">
        <v>20.9</v>
      </c>
      <c r="H23">
        <v>16.7</v>
      </c>
      <c r="I23">
        <v>25</v>
      </c>
      <c r="M23">
        <v>0</v>
      </c>
      <c r="N23">
        <v>2.1</v>
      </c>
      <c r="O23">
        <f t="shared" si="0"/>
        <v>-2.1</v>
      </c>
      <c r="P23">
        <f t="shared" si="3"/>
        <v>0.70000000000000329</v>
      </c>
      <c r="S23">
        <f t="shared" si="1"/>
        <v>0</v>
      </c>
      <c r="T23">
        <f t="shared" si="2"/>
        <v>0</v>
      </c>
      <c r="W23">
        <v>965.3</v>
      </c>
    </row>
    <row r="24" spans="1:23" x14ac:dyDescent="0.35">
      <c r="A24">
        <v>2920</v>
      </c>
      <c r="B24">
        <v>23610</v>
      </c>
      <c r="C24" s="1">
        <v>42969</v>
      </c>
      <c r="D24" s="1"/>
      <c r="E24" s="1"/>
      <c r="F24" s="1"/>
      <c r="G24">
        <v>23.2</v>
      </c>
      <c r="H24">
        <v>17.100000000000001</v>
      </c>
      <c r="I24">
        <v>29.2</v>
      </c>
      <c r="M24">
        <v>0</v>
      </c>
      <c r="N24">
        <v>4.8</v>
      </c>
      <c r="O24">
        <f t="shared" si="0"/>
        <v>-4.8</v>
      </c>
      <c r="P24">
        <v>0</v>
      </c>
      <c r="S24">
        <f t="shared" si="1"/>
        <v>0</v>
      </c>
      <c r="T24">
        <f t="shared" si="2"/>
        <v>0</v>
      </c>
      <c r="W24">
        <v>2116.6</v>
      </c>
    </row>
    <row r="25" spans="1:23" x14ac:dyDescent="0.35">
      <c r="A25">
        <v>2920</v>
      </c>
      <c r="B25">
        <v>23610</v>
      </c>
      <c r="C25" s="1">
        <v>42970</v>
      </c>
      <c r="D25" s="1"/>
      <c r="E25" s="1"/>
      <c r="F25" s="1"/>
      <c r="G25">
        <v>19.399999999999999</v>
      </c>
      <c r="H25">
        <v>16.2</v>
      </c>
      <c r="I25">
        <v>23.3</v>
      </c>
      <c r="M25">
        <v>0</v>
      </c>
      <c r="N25">
        <v>2.8</v>
      </c>
      <c r="O25">
        <f t="shared" si="0"/>
        <v>-2.8</v>
      </c>
      <c r="P25">
        <v>0</v>
      </c>
      <c r="S25">
        <f t="shared" si="1"/>
        <v>0</v>
      </c>
      <c r="T25">
        <f t="shared" si="2"/>
        <v>0</v>
      </c>
      <c r="W25">
        <v>1318.5</v>
      </c>
    </row>
    <row r="26" spans="1:23" x14ac:dyDescent="0.35">
      <c r="A26">
        <v>2920</v>
      </c>
      <c r="B26">
        <v>23610</v>
      </c>
      <c r="C26" s="1">
        <v>42971</v>
      </c>
      <c r="D26" s="1"/>
      <c r="E26" s="1"/>
      <c r="F26" s="1"/>
      <c r="G26">
        <v>18.2</v>
      </c>
      <c r="H26">
        <v>14.1</v>
      </c>
      <c r="I26">
        <v>22.2</v>
      </c>
      <c r="M26">
        <v>0</v>
      </c>
      <c r="N26">
        <v>3.5</v>
      </c>
      <c r="O26">
        <f t="shared" si="0"/>
        <v>-3.5</v>
      </c>
      <c r="P26">
        <v>0</v>
      </c>
      <c r="S26">
        <f t="shared" si="1"/>
        <v>0</v>
      </c>
      <c r="T26">
        <f t="shared" si="2"/>
        <v>0</v>
      </c>
      <c r="W26">
        <v>1793.7</v>
      </c>
    </row>
    <row r="27" spans="1:23" x14ac:dyDescent="0.35">
      <c r="A27">
        <v>2920</v>
      </c>
      <c r="B27">
        <v>23610</v>
      </c>
      <c r="C27" s="1">
        <v>42972</v>
      </c>
      <c r="D27" s="1"/>
      <c r="E27" s="1"/>
      <c r="F27" s="1"/>
      <c r="G27">
        <v>20</v>
      </c>
      <c r="H27">
        <v>16.600000000000001</v>
      </c>
      <c r="I27">
        <v>24.3</v>
      </c>
      <c r="M27">
        <v>0</v>
      </c>
      <c r="N27">
        <v>2</v>
      </c>
      <c r="O27">
        <f t="shared" si="0"/>
        <v>-2</v>
      </c>
      <c r="P27">
        <v>0</v>
      </c>
      <c r="S27">
        <f t="shared" si="1"/>
        <v>0</v>
      </c>
      <c r="T27">
        <f t="shared" si="2"/>
        <v>0</v>
      </c>
      <c r="W27">
        <v>830</v>
      </c>
    </row>
    <row r="28" spans="1:23" x14ac:dyDescent="0.35">
      <c r="A28">
        <v>2920</v>
      </c>
      <c r="B28">
        <v>23610</v>
      </c>
      <c r="C28" s="1">
        <v>42973</v>
      </c>
      <c r="D28" s="1"/>
      <c r="E28" s="1"/>
      <c r="F28" s="1"/>
      <c r="G28">
        <v>20.5</v>
      </c>
      <c r="H28">
        <v>14.2</v>
      </c>
      <c r="I28">
        <v>25.7</v>
      </c>
      <c r="M28">
        <v>0.7</v>
      </c>
      <c r="N28">
        <v>2.9</v>
      </c>
      <c r="O28">
        <f t="shared" si="0"/>
        <v>-2.2000000000000002</v>
      </c>
      <c r="P28">
        <v>0</v>
      </c>
      <c r="S28">
        <f t="shared" si="1"/>
        <v>0</v>
      </c>
      <c r="T28">
        <f t="shared" si="2"/>
        <v>0.7</v>
      </c>
      <c r="W28">
        <v>1546.1</v>
      </c>
    </row>
    <row r="29" spans="1:23" x14ac:dyDescent="0.35">
      <c r="A29">
        <v>2920</v>
      </c>
      <c r="B29">
        <v>23610</v>
      </c>
      <c r="C29" s="1">
        <v>42974</v>
      </c>
      <c r="D29" s="1"/>
      <c r="E29" s="1"/>
      <c r="F29" s="1"/>
      <c r="G29">
        <v>22.8</v>
      </c>
      <c r="H29">
        <v>16.7</v>
      </c>
      <c r="I29">
        <v>27.8</v>
      </c>
      <c r="M29">
        <v>0</v>
      </c>
      <c r="N29">
        <v>3.6</v>
      </c>
      <c r="O29">
        <f t="shared" si="0"/>
        <v>-3.6</v>
      </c>
      <c r="P29">
        <v>0</v>
      </c>
      <c r="S29">
        <f t="shared" si="1"/>
        <v>0</v>
      </c>
      <c r="T29">
        <f t="shared" si="2"/>
        <v>0</v>
      </c>
      <c r="W29">
        <v>1758.3</v>
      </c>
    </row>
    <row r="30" spans="1:23" x14ac:dyDescent="0.35">
      <c r="A30">
        <v>2920</v>
      </c>
      <c r="B30">
        <v>23610</v>
      </c>
      <c r="C30" s="1">
        <v>42975</v>
      </c>
      <c r="D30" s="1"/>
      <c r="E30" s="1"/>
      <c r="F30" s="1"/>
      <c r="G30">
        <v>24</v>
      </c>
      <c r="H30">
        <v>19</v>
      </c>
      <c r="I30">
        <v>29.1</v>
      </c>
      <c r="M30">
        <v>1.6</v>
      </c>
      <c r="N30">
        <v>2.7</v>
      </c>
      <c r="O30">
        <f t="shared" si="0"/>
        <v>-1.1000000000000001</v>
      </c>
      <c r="P30">
        <v>0</v>
      </c>
      <c r="S30">
        <f t="shared" si="1"/>
        <v>0</v>
      </c>
      <c r="T30">
        <f t="shared" si="2"/>
        <v>1.6</v>
      </c>
      <c r="W30">
        <v>981.7</v>
      </c>
    </row>
    <row r="31" spans="1:23" x14ac:dyDescent="0.35">
      <c r="A31">
        <v>2920</v>
      </c>
      <c r="B31">
        <v>23610</v>
      </c>
      <c r="C31" s="1">
        <v>42976</v>
      </c>
      <c r="D31" s="1"/>
      <c r="E31" s="1"/>
      <c r="F31" s="1"/>
      <c r="G31">
        <v>21.7</v>
      </c>
      <c r="H31">
        <v>18.100000000000001</v>
      </c>
      <c r="I31">
        <v>29.7</v>
      </c>
      <c r="M31">
        <v>0</v>
      </c>
      <c r="N31">
        <v>3.2</v>
      </c>
      <c r="O31">
        <f t="shared" si="0"/>
        <v>-3.2</v>
      </c>
      <c r="P31">
        <v>0</v>
      </c>
      <c r="S31">
        <f t="shared" si="1"/>
        <v>0</v>
      </c>
      <c r="T31">
        <f t="shared" si="2"/>
        <v>0</v>
      </c>
      <c r="W31">
        <v>823.7</v>
      </c>
    </row>
    <row r="32" spans="1:23" x14ac:dyDescent="0.35">
      <c r="A32">
        <v>2920</v>
      </c>
      <c r="B32">
        <v>23610</v>
      </c>
      <c r="C32" s="1">
        <v>42977</v>
      </c>
      <c r="D32" s="1"/>
      <c r="E32" s="1"/>
      <c r="F32" s="1"/>
      <c r="G32">
        <v>14.5</v>
      </c>
      <c r="H32">
        <v>13.3</v>
      </c>
      <c r="I32">
        <v>15.7</v>
      </c>
      <c r="M32">
        <v>3.1</v>
      </c>
      <c r="N32">
        <v>1.8</v>
      </c>
      <c r="O32">
        <f t="shared" si="0"/>
        <v>1.3</v>
      </c>
      <c r="P32">
        <f t="shared" si="3"/>
        <v>1.3</v>
      </c>
      <c r="S32">
        <f t="shared" si="1"/>
        <v>0</v>
      </c>
      <c r="T32">
        <f t="shared" si="2"/>
        <v>3.1</v>
      </c>
      <c r="W32">
        <v>1030.3</v>
      </c>
    </row>
    <row r="33" spans="1:26" x14ac:dyDescent="0.35">
      <c r="A33">
        <v>2920</v>
      </c>
      <c r="B33">
        <v>23610</v>
      </c>
      <c r="C33" s="1">
        <v>42978</v>
      </c>
      <c r="D33" s="1"/>
      <c r="E33" s="1"/>
      <c r="F33" s="1"/>
      <c r="G33">
        <v>14.2</v>
      </c>
      <c r="H33">
        <v>9.6</v>
      </c>
      <c r="I33">
        <v>19.7</v>
      </c>
      <c r="M33">
        <v>6</v>
      </c>
      <c r="N33">
        <v>1.8</v>
      </c>
      <c r="O33">
        <f t="shared" si="0"/>
        <v>4.2</v>
      </c>
      <c r="P33">
        <f t="shared" si="3"/>
        <v>5.5</v>
      </c>
      <c r="S33">
        <f t="shared" si="1"/>
        <v>0</v>
      </c>
      <c r="T33">
        <f t="shared" si="2"/>
        <v>6</v>
      </c>
      <c r="W33">
        <v>918</v>
      </c>
    </row>
    <row r="34" spans="1:26" x14ac:dyDescent="0.35">
      <c r="A34">
        <v>2920</v>
      </c>
      <c r="B34">
        <v>23610</v>
      </c>
      <c r="C34" s="1">
        <v>42979</v>
      </c>
      <c r="D34" s="1"/>
      <c r="E34" s="1"/>
      <c r="F34" s="1"/>
      <c r="G34">
        <v>14.2</v>
      </c>
      <c r="H34">
        <v>12.1</v>
      </c>
      <c r="I34">
        <v>16.600000000000001</v>
      </c>
      <c r="M34">
        <v>7.6</v>
      </c>
      <c r="N34">
        <v>2.2000000000000002</v>
      </c>
      <c r="O34">
        <f t="shared" si="0"/>
        <v>5.3999999999999995</v>
      </c>
      <c r="P34">
        <f t="shared" si="3"/>
        <v>10.899999999999999</v>
      </c>
      <c r="S34">
        <f t="shared" si="1"/>
        <v>0</v>
      </c>
      <c r="T34">
        <f t="shared" si="2"/>
        <v>7.6</v>
      </c>
      <c r="W34">
        <v>1367.9</v>
      </c>
    </row>
    <row r="35" spans="1:26" x14ac:dyDescent="0.35">
      <c r="A35">
        <v>2920</v>
      </c>
      <c r="B35">
        <v>23610</v>
      </c>
      <c r="C35" s="1">
        <v>42980</v>
      </c>
      <c r="D35" s="1"/>
      <c r="E35" s="1"/>
      <c r="F35" s="1"/>
      <c r="G35">
        <v>15.3</v>
      </c>
      <c r="H35">
        <v>10.3</v>
      </c>
      <c r="I35">
        <v>20</v>
      </c>
      <c r="M35">
        <v>0.1</v>
      </c>
      <c r="N35">
        <v>3.4</v>
      </c>
      <c r="O35">
        <f t="shared" si="0"/>
        <v>-3.3</v>
      </c>
      <c r="P35">
        <f t="shared" si="3"/>
        <v>7.5999999999999988</v>
      </c>
      <c r="S35">
        <f t="shared" si="1"/>
        <v>0</v>
      </c>
      <c r="T35">
        <f t="shared" si="2"/>
        <v>0.1</v>
      </c>
      <c r="W35">
        <v>1943.8</v>
      </c>
    </row>
    <row r="36" spans="1:26" x14ac:dyDescent="0.35">
      <c r="A36">
        <v>2920</v>
      </c>
      <c r="B36">
        <v>23610</v>
      </c>
      <c r="C36" s="1">
        <v>42981</v>
      </c>
      <c r="D36" s="1"/>
      <c r="E36" s="1"/>
      <c r="F36" s="1"/>
      <c r="G36">
        <v>14.2</v>
      </c>
      <c r="H36">
        <v>13.1</v>
      </c>
      <c r="I36">
        <v>15.7</v>
      </c>
      <c r="M36">
        <v>8.1999999999999993</v>
      </c>
      <c r="N36">
        <v>1</v>
      </c>
      <c r="O36">
        <f t="shared" si="0"/>
        <v>7.1999999999999993</v>
      </c>
      <c r="P36">
        <f t="shared" si="3"/>
        <v>14.799999999999997</v>
      </c>
      <c r="S36">
        <f t="shared" si="1"/>
        <v>0</v>
      </c>
      <c r="T36">
        <f t="shared" si="2"/>
        <v>8.1999999999999993</v>
      </c>
      <c r="W36">
        <v>327.9</v>
      </c>
    </row>
    <row r="37" spans="1:26" x14ac:dyDescent="0.35">
      <c r="A37">
        <v>2920</v>
      </c>
      <c r="B37">
        <v>23610</v>
      </c>
      <c r="C37" s="1">
        <v>42982</v>
      </c>
      <c r="D37" s="1"/>
      <c r="E37" s="1"/>
      <c r="F37" s="1"/>
      <c r="G37">
        <v>18.2</v>
      </c>
      <c r="H37">
        <v>14.8</v>
      </c>
      <c r="I37">
        <v>21.3</v>
      </c>
      <c r="M37">
        <v>0.2</v>
      </c>
      <c r="N37">
        <v>0.5</v>
      </c>
      <c r="O37">
        <f t="shared" si="0"/>
        <v>-0.3</v>
      </c>
      <c r="P37">
        <f t="shared" si="3"/>
        <v>14.499999999999996</v>
      </c>
      <c r="S37">
        <f t="shared" si="1"/>
        <v>0</v>
      </c>
      <c r="T37">
        <f t="shared" si="2"/>
        <v>0.2</v>
      </c>
      <c r="W37">
        <v>340.4</v>
      </c>
    </row>
    <row r="38" spans="1:26" x14ac:dyDescent="0.35">
      <c r="A38">
        <v>2920</v>
      </c>
      <c r="B38">
        <v>23610</v>
      </c>
      <c r="C38" s="1">
        <v>42983</v>
      </c>
      <c r="D38" s="1"/>
      <c r="E38" s="1"/>
      <c r="F38" s="1"/>
      <c r="G38">
        <v>17.7</v>
      </c>
      <c r="H38">
        <v>16.100000000000001</v>
      </c>
      <c r="I38">
        <v>21.1</v>
      </c>
      <c r="M38">
        <v>0.2</v>
      </c>
      <c r="N38">
        <v>1.7</v>
      </c>
      <c r="O38">
        <f t="shared" si="0"/>
        <v>-1.5</v>
      </c>
      <c r="P38">
        <f t="shared" si="3"/>
        <v>12.999999999999996</v>
      </c>
      <c r="S38">
        <f t="shared" si="1"/>
        <v>0</v>
      </c>
      <c r="T38">
        <f t="shared" si="2"/>
        <v>0.2</v>
      </c>
      <c r="W38">
        <v>343.9</v>
      </c>
    </row>
    <row r="39" spans="1:26" x14ac:dyDescent="0.35">
      <c r="A39">
        <v>2920</v>
      </c>
      <c r="B39">
        <v>23610</v>
      </c>
      <c r="C39" s="1">
        <v>42984</v>
      </c>
      <c r="D39" s="1"/>
      <c r="E39" s="1"/>
      <c r="F39" s="1"/>
      <c r="G39">
        <v>15.7</v>
      </c>
      <c r="H39">
        <v>12.3</v>
      </c>
      <c r="I39">
        <v>19</v>
      </c>
      <c r="M39">
        <v>0</v>
      </c>
      <c r="N39">
        <v>1.9</v>
      </c>
      <c r="O39">
        <f t="shared" si="0"/>
        <v>-1.9</v>
      </c>
      <c r="P39">
        <f t="shared" si="3"/>
        <v>11.099999999999996</v>
      </c>
      <c r="S39">
        <f t="shared" si="1"/>
        <v>0</v>
      </c>
      <c r="T39">
        <f t="shared" si="2"/>
        <v>0</v>
      </c>
      <c r="W39">
        <v>793.2</v>
      </c>
    </row>
    <row r="40" spans="1:26" x14ac:dyDescent="0.35">
      <c r="A40">
        <v>2920</v>
      </c>
      <c r="B40">
        <v>23610</v>
      </c>
      <c r="C40" s="1">
        <v>42985</v>
      </c>
      <c r="D40" s="1"/>
      <c r="E40" s="1"/>
      <c r="F40" s="1"/>
      <c r="G40">
        <v>15.2</v>
      </c>
      <c r="H40">
        <v>12.4</v>
      </c>
      <c r="I40">
        <v>17.899999999999999</v>
      </c>
      <c r="M40">
        <v>0.8</v>
      </c>
      <c r="N40">
        <v>1.1000000000000001</v>
      </c>
      <c r="O40">
        <f t="shared" si="0"/>
        <v>-0.30000000000000004</v>
      </c>
      <c r="P40">
        <f t="shared" si="3"/>
        <v>10.799999999999995</v>
      </c>
      <c r="S40">
        <f t="shared" si="1"/>
        <v>0</v>
      </c>
      <c r="T40">
        <f t="shared" si="2"/>
        <v>0.8</v>
      </c>
      <c r="W40">
        <v>414.7</v>
      </c>
    </row>
    <row r="41" spans="1:26" x14ac:dyDescent="0.35">
      <c r="A41">
        <v>2920</v>
      </c>
      <c r="B41">
        <v>23610</v>
      </c>
      <c r="C41" s="1">
        <v>42986</v>
      </c>
      <c r="D41" s="1"/>
      <c r="E41" s="1"/>
      <c r="F41" s="1"/>
      <c r="G41">
        <v>15.6</v>
      </c>
      <c r="H41">
        <v>15.2</v>
      </c>
      <c r="I41">
        <v>17.3</v>
      </c>
      <c r="M41">
        <v>18.100000000000001</v>
      </c>
      <c r="N41">
        <v>1.2</v>
      </c>
      <c r="O41">
        <f t="shared" si="0"/>
        <v>16.900000000000002</v>
      </c>
      <c r="P41">
        <f t="shared" si="3"/>
        <v>27.699999999999996</v>
      </c>
      <c r="S41">
        <f t="shared" si="1"/>
        <v>0</v>
      </c>
      <c r="T41">
        <f t="shared" si="2"/>
        <v>18.100000000000001</v>
      </c>
      <c r="W41">
        <v>432.2</v>
      </c>
    </row>
    <row r="42" spans="1:26" x14ac:dyDescent="0.35">
      <c r="A42">
        <v>2920</v>
      </c>
      <c r="B42">
        <v>23610</v>
      </c>
      <c r="C42" s="1">
        <v>42987</v>
      </c>
      <c r="D42" s="1"/>
      <c r="E42" s="1"/>
      <c r="F42" s="1"/>
      <c r="G42">
        <v>14.2</v>
      </c>
      <c r="H42">
        <v>11.1</v>
      </c>
      <c r="I42">
        <v>16.899999999999999</v>
      </c>
      <c r="M42">
        <v>2.9</v>
      </c>
      <c r="N42">
        <v>1.9</v>
      </c>
      <c r="O42">
        <f t="shared" si="0"/>
        <v>1</v>
      </c>
      <c r="P42">
        <f t="shared" si="3"/>
        <v>28.699999999999996</v>
      </c>
      <c r="S42">
        <f t="shared" si="1"/>
        <v>0</v>
      </c>
      <c r="T42">
        <f t="shared" si="2"/>
        <v>2.9</v>
      </c>
      <c r="W42">
        <v>1086.2</v>
      </c>
    </row>
    <row r="43" spans="1:26" s="4" customFormat="1" ht="15" thickBot="1" x14ac:dyDescent="0.4">
      <c r="A43" s="4">
        <v>2920</v>
      </c>
      <c r="B43" s="4">
        <v>23610</v>
      </c>
      <c r="C43" s="5">
        <v>42988</v>
      </c>
      <c r="D43" s="5"/>
      <c r="E43" s="5"/>
      <c r="F43" s="5"/>
      <c r="G43" s="4">
        <v>14.4</v>
      </c>
      <c r="H43" s="4">
        <v>11.7</v>
      </c>
      <c r="I43" s="4">
        <v>17.100000000000001</v>
      </c>
      <c r="M43" s="4">
        <v>0.6</v>
      </c>
      <c r="N43" s="4">
        <v>1.5</v>
      </c>
      <c r="O43" s="4">
        <f t="shared" si="0"/>
        <v>-0.9</v>
      </c>
      <c r="P43" s="4">
        <f t="shared" si="3"/>
        <v>27.799999999999997</v>
      </c>
      <c r="S43" s="4">
        <f t="shared" si="1"/>
        <v>0</v>
      </c>
      <c r="T43" s="4">
        <f t="shared" si="2"/>
        <v>0.6</v>
      </c>
      <c r="W43" s="4">
        <v>512.79999999999995</v>
      </c>
    </row>
    <row r="44" spans="1:26" x14ac:dyDescent="0.35">
      <c r="A44">
        <v>2920</v>
      </c>
      <c r="B44">
        <v>23610</v>
      </c>
      <c r="C44" s="1">
        <v>42989</v>
      </c>
      <c r="D44" s="1" t="s">
        <v>29</v>
      </c>
      <c r="E44" s="1"/>
      <c r="F44" s="45" t="s">
        <v>54</v>
      </c>
      <c r="G44">
        <v>14</v>
      </c>
      <c r="H44">
        <v>12</v>
      </c>
      <c r="I44">
        <v>16.899999999999999</v>
      </c>
      <c r="J44">
        <f>G44</f>
        <v>14</v>
      </c>
      <c r="K44">
        <f>G44</f>
        <v>14</v>
      </c>
      <c r="L44" s="7" t="s">
        <v>38</v>
      </c>
      <c r="M44">
        <v>1</v>
      </c>
      <c r="N44">
        <v>2.1</v>
      </c>
      <c r="O44">
        <f t="shared" si="0"/>
        <v>-1.1000000000000001</v>
      </c>
      <c r="Q44">
        <v>1</v>
      </c>
      <c r="R44">
        <v>0.35</v>
      </c>
      <c r="S44">
        <f t="shared" si="1"/>
        <v>0.73499999999999999</v>
      </c>
      <c r="T44">
        <f t="shared" si="2"/>
        <v>0.26500000000000001</v>
      </c>
      <c r="U44">
        <f>P43+T44</f>
        <v>28.064999999999998</v>
      </c>
      <c r="V44" s="10" t="s">
        <v>45</v>
      </c>
      <c r="W44">
        <v>914.6</v>
      </c>
      <c r="X44">
        <f>W44</f>
        <v>914.6</v>
      </c>
      <c r="Y44">
        <v>12.568704218592236</v>
      </c>
      <c r="Z44" s="10" t="s">
        <v>50</v>
      </c>
    </row>
    <row r="45" spans="1:26" x14ac:dyDescent="0.35">
      <c r="A45">
        <v>2920</v>
      </c>
      <c r="B45">
        <v>23610</v>
      </c>
      <c r="C45" s="1">
        <v>42990</v>
      </c>
      <c r="D45" s="1"/>
      <c r="E45" s="1"/>
      <c r="F45" s="46"/>
      <c r="G45">
        <v>14.6</v>
      </c>
      <c r="H45">
        <v>10.7</v>
      </c>
      <c r="I45">
        <v>17.600000000000001</v>
      </c>
      <c r="J45">
        <f>J44+G45</f>
        <v>28.6</v>
      </c>
      <c r="K45">
        <f>K44+G45</f>
        <v>28.6</v>
      </c>
      <c r="L45" s="8">
        <v>940.3</v>
      </c>
      <c r="M45">
        <v>0.6</v>
      </c>
      <c r="N45">
        <v>2.2000000000000002</v>
      </c>
      <c r="O45">
        <f t="shared" si="0"/>
        <v>-1.6</v>
      </c>
      <c r="Q45">
        <v>2</v>
      </c>
      <c r="R45">
        <v>0.35</v>
      </c>
      <c r="S45">
        <f t="shared" si="1"/>
        <v>0.77</v>
      </c>
      <c r="T45">
        <f t="shared" si="2"/>
        <v>-0.17000000000000004</v>
      </c>
      <c r="U45">
        <f>MIN(U44+T45,197.4)</f>
        <v>27.894999999999996</v>
      </c>
      <c r="V45">
        <v>0</v>
      </c>
      <c r="W45">
        <v>1135.7</v>
      </c>
      <c r="X45">
        <f>X44+W45</f>
        <v>2050.3000000000002</v>
      </c>
      <c r="Y45">
        <v>12.509050879219823</v>
      </c>
      <c r="Z45">
        <v>43923</v>
      </c>
    </row>
    <row r="46" spans="1:26" x14ac:dyDescent="0.35">
      <c r="A46">
        <v>2920</v>
      </c>
      <c r="B46">
        <v>23610</v>
      </c>
      <c r="C46" s="1">
        <v>42991</v>
      </c>
      <c r="D46" s="1"/>
      <c r="E46" s="1"/>
      <c r="F46" s="46"/>
      <c r="G46">
        <v>15.3</v>
      </c>
      <c r="H46">
        <v>13.8</v>
      </c>
      <c r="I46">
        <v>17.100000000000001</v>
      </c>
      <c r="J46">
        <f t="shared" ref="J46:J109" si="4">J45+G46</f>
        <v>43.900000000000006</v>
      </c>
      <c r="K46">
        <f t="shared" ref="K46:K109" si="5">K45+G46</f>
        <v>43.900000000000006</v>
      </c>
      <c r="L46" s="7" t="s">
        <v>39</v>
      </c>
      <c r="M46">
        <v>13.3</v>
      </c>
      <c r="N46">
        <v>0.7</v>
      </c>
      <c r="O46">
        <f t="shared" si="0"/>
        <v>12.600000000000001</v>
      </c>
      <c r="Q46">
        <v>3</v>
      </c>
      <c r="R46">
        <v>0.35</v>
      </c>
      <c r="S46">
        <f t="shared" si="1"/>
        <v>0.24499999999999997</v>
      </c>
      <c r="T46">
        <f t="shared" si="2"/>
        <v>13.055000000000001</v>
      </c>
      <c r="U46">
        <f t="shared" ref="U46:U109" si="6">MIN(U45+T46,197.4)</f>
        <v>40.949999999999996</v>
      </c>
      <c r="V46" s="10" t="s">
        <v>46</v>
      </c>
      <c r="W46">
        <v>313.89999999999998</v>
      </c>
      <c r="X46">
        <f t="shared" ref="X46:X109" si="7">X45+W46</f>
        <v>2364.2000000000003</v>
      </c>
      <c r="Y46">
        <v>12.449326935536673</v>
      </c>
      <c r="Z46" s="10" t="s">
        <v>51</v>
      </c>
    </row>
    <row r="47" spans="1:26" x14ac:dyDescent="0.35">
      <c r="A47">
        <v>2920</v>
      </c>
      <c r="B47">
        <v>23610</v>
      </c>
      <c r="C47" s="1">
        <v>42992</v>
      </c>
      <c r="D47" s="1"/>
      <c r="E47" s="1"/>
      <c r="F47" s="46"/>
      <c r="G47">
        <v>12.8</v>
      </c>
      <c r="H47">
        <v>9.8000000000000007</v>
      </c>
      <c r="I47">
        <v>15.9</v>
      </c>
      <c r="J47">
        <f t="shared" si="4"/>
        <v>56.7</v>
      </c>
      <c r="K47">
        <f t="shared" si="5"/>
        <v>56.7</v>
      </c>
      <c r="L47" s="9">
        <f>AVERAGE(G44:G122)</f>
        <v>11.902531645569619</v>
      </c>
      <c r="M47">
        <v>0.4</v>
      </c>
      <c r="N47">
        <v>2.1</v>
      </c>
      <c r="O47">
        <f t="shared" si="0"/>
        <v>-1.7000000000000002</v>
      </c>
      <c r="Q47">
        <v>4</v>
      </c>
      <c r="R47">
        <v>0.35</v>
      </c>
      <c r="S47">
        <f t="shared" si="1"/>
        <v>0.73499999999999999</v>
      </c>
      <c r="T47">
        <f t="shared" si="2"/>
        <v>-0.33499999999999996</v>
      </c>
      <c r="U47">
        <f t="shared" si="6"/>
        <v>40.614999999999995</v>
      </c>
      <c r="V47">
        <v>14</v>
      </c>
      <c r="W47">
        <v>1494.2</v>
      </c>
      <c r="X47">
        <f t="shared" si="7"/>
        <v>3858.4000000000005</v>
      </c>
      <c r="Y47">
        <v>12.389540997661971</v>
      </c>
      <c r="Z47">
        <f>(Z45/100)/L45</f>
        <v>0.46711687759225784</v>
      </c>
    </row>
    <row r="48" spans="1:26" x14ac:dyDescent="0.35">
      <c r="A48">
        <v>2920</v>
      </c>
      <c r="B48">
        <v>23610</v>
      </c>
      <c r="C48" s="1">
        <v>42993</v>
      </c>
      <c r="D48" s="1"/>
      <c r="E48" s="1"/>
      <c r="F48" s="46"/>
      <c r="G48">
        <v>11.1</v>
      </c>
      <c r="H48">
        <v>7.7</v>
      </c>
      <c r="I48">
        <v>15</v>
      </c>
      <c r="J48">
        <f t="shared" si="4"/>
        <v>67.8</v>
      </c>
      <c r="K48">
        <f t="shared" si="5"/>
        <v>67.8</v>
      </c>
      <c r="L48" s="7" t="s">
        <v>40</v>
      </c>
      <c r="M48">
        <v>0.9</v>
      </c>
      <c r="N48">
        <v>1.2</v>
      </c>
      <c r="O48">
        <f t="shared" si="0"/>
        <v>-0.29999999999999993</v>
      </c>
      <c r="Q48">
        <v>5</v>
      </c>
      <c r="R48">
        <v>0.35</v>
      </c>
      <c r="S48">
        <f t="shared" si="1"/>
        <v>0.42</v>
      </c>
      <c r="T48">
        <f t="shared" si="2"/>
        <v>0.48000000000000004</v>
      </c>
      <c r="U48">
        <f t="shared" si="6"/>
        <v>41.094999999999992</v>
      </c>
      <c r="V48" s="10" t="s">
        <v>47</v>
      </c>
      <c r="W48">
        <v>833.1</v>
      </c>
      <c r="X48">
        <f t="shared" si="7"/>
        <v>4691.5000000000009</v>
      </c>
      <c r="Y48">
        <v>12.329701562045148</v>
      </c>
      <c r="Z48" s="10" t="s">
        <v>52</v>
      </c>
    </row>
    <row r="49" spans="1:26" x14ac:dyDescent="0.35">
      <c r="A49">
        <v>2920</v>
      </c>
      <c r="B49">
        <v>23610</v>
      </c>
      <c r="C49" s="1">
        <v>42994</v>
      </c>
      <c r="D49" s="1"/>
      <c r="E49" s="1"/>
      <c r="F49" s="46"/>
      <c r="G49">
        <v>10.3</v>
      </c>
      <c r="H49">
        <v>6.3</v>
      </c>
      <c r="I49">
        <v>13.9</v>
      </c>
      <c r="J49">
        <f t="shared" si="4"/>
        <v>78.099999999999994</v>
      </c>
      <c r="K49">
        <f t="shared" si="5"/>
        <v>78.099999999999994</v>
      </c>
      <c r="L49" s="8">
        <f>MIN(H44:H122)</f>
        <v>1.1000000000000001</v>
      </c>
      <c r="M49">
        <v>7.7</v>
      </c>
      <c r="N49">
        <v>0.6</v>
      </c>
      <c r="O49">
        <f t="shared" si="0"/>
        <v>7.1000000000000005</v>
      </c>
      <c r="Q49">
        <v>6</v>
      </c>
      <c r="R49">
        <f>0.35+((Q49-5)/74)*(1-0.35)</f>
        <v>0.35878378378378378</v>
      </c>
      <c r="S49">
        <f t="shared" si="1"/>
        <v>0.21527027027027026</v>
      </c>
      <c r="T49">
        <f t="shared" si="2"/>
        <v>7.4847297297297297</v>
      </c>
      <c r="U49">
        <f t="shared" si="6"/>
        <v>48.579729729729721</v>
      </c>
      <c r="V49" s="11">
        <f>MIN(U44:U122)</f>
        <v>27.894999999999996</v>
      </c>
      <c r="W49">
        <v>699.8</v>
      </c>
      <c r="X49">
        <f t="shared" si="7"/>
        <v>5391.3000000000011</v>
      </c>
      <c r="Y49">
        <v>12.26981702646764</v>
      </c>
      <c r="Z49">
        <v>63</v>
      </c>
    </row>
    <row r="50" spans="1:26" x14ac:dyDescent="0.35">
      <c r="A50">
        <v>2920</v>
      </c>
      <c r="B50">
        <v>23610</v>
      </c>
      <c r="C50" s="1">
        <v>42995</v>
      </c>
      <c r="D50" s="1"/>
      <c r="E50" s="1"/>
      <c r="F50" s="46"/>
      <c r="G50">
        <v>12</v>
      </c>
      <c r="H50">
        <v>9.6</v>
      </c>
      <c r="I50">
        <v>15.9</v>
      </c>
      <c r="J50">
        <f t="shared" si="4"/>
        <v>90.1</v>
      </c>
      <c r="K50">
        <f t="shared" si="5"/>
        <v>90.1</v>
      </c>
      <c r="L50" s="7" t="s">
        <v>41</v>
      </c>
      <c r="M50">
        <v>0.9</v>
      </c>
      <c r="N50">
        <v>1.2</v>
      </c>
      <c r="O50">
        <f t="shared" si="0"/>
        <v>-0.29999999999999993</v>
      </c>
      <c r="Q50">
        <v>7</v>
      </c>
      <c r="R50">
        <f t="shared" ref="R50:R113" si="8">0.35+((Q50-5)/74)*(1-0.35)</f>
        <v>0.36756756756756753</v>
      </c>
      <c r="S50">
        <f t="shared" si="1"/>
        <v>0.44108108108108102</v>
      </c>
      <c r="T50">
        <f t="shared" si="2"/>
        <v>0.45891891891891901</v>
      </c>
      <c r="U50">
        <f t="shared" si="6"/>
        <v>49.038648648648639</v>
      </c>
      <c r="V50" s="10" t="s">
        <v>48</v>
      </c>
      <c r="W50">
        <v>733.8</v>
      </c>
      <c r="X50">
        <f t="shared" si="7"/>
        <v>6125.1000000000013</v>
      </c>
      <c r="Y50">
        <v>12.209895705112354</v>
      </c>
    </row>
    <row r="51" spans="1:26" x14ac:dyDescent="0.35">
      <c r="A51">
        <v>2920</v>
      </c>
      <c r="B51">
        <v>23610</v>
      </c>
      <c r="C51" s="1">
        <v>42996</v>
      </c>
      <c r="D51" s="1"/>
      <c r="E51" s="1"/>
      <c r="F51" s="46"/>
      <c r="G51">
        <v>11.8</v>
      </c>
      <c r="H51">
        <v>5.9</v>
      </c>
      <c r="I51">
        <v>16.899999999999999</v>
      </c>
      <c r="J51">
        <f t="shared" si="4"/>
        <v>101.89999999999999</v>
      </c>
      <c r="K51">
        <f t="shared" si="5"/>
        <v>101.89999999999999</v>
      </c>
      <c r="L51" s="8">
        <f>MAX(I44:I122)</f>
        <v>20.8</v>
      </c>
      <c r="M51">
        <v>0.9</v>
      </c>
      <c r="N51">
        <v>1.5</v>
      </c>
      <c r="O51">
        <f t="shared" si="0"/>
        <v>-0.6</v>
      </c>
      <c r="Q51">
        <v>8</v>
      </c>
      <c r="R51">
        <f t="shared" si="8"/>
        <v>0.37635135135135134</v>
      </c>
      <c r="S51">
        <f t="shared" si="1"/>
        <v>0.56452702702702706</v>
      </c>
      <c r="T51">
        <f t="shared" si="2"/>
        <v>0.33547297297297296</v>
      </c>
      <c r="U51">
        <f t="shared" si="6"/>
        <v>49.374121621621612</v>
      </c>
      <c r="V51" s="11">
        <f>MAX(U44:U122)</f>
        <v>138.96675675675669</v>
      </c>
      <c r="W51">
        <v>1051</v>
      </c>
      <c r="X51">
        <f t="shared" si="7"/>
        <v>7176.1000000000013</v>
      </c>
      <c r="Y51">
        <v>12.149945843689196</v>
      </c>
    </row>
    <row r="52" spans="1:26" x14ac:dyDescent="0.35">
      <c r="A52">
        <v>2920</v>
      </c>
      <c r="B52">
        <v>23610</v>
      </c>
      <c r="C52" s="1">
        <v>42997</v>
      </c>
      <c r="D52" s="1"/>
      <c r="E52" s="1"/>
      <c r="F52" s="46"/>
      <c r="G52">
        <v>13.6</v>
      </c>
      <c r="H52">
        <v>10.6</v>
      </c>
      <c r="I52">
        <v>17.3</v>
      </c>
      <c r="J52">
        <f t="shared" si="4"/>
        <v>115.49999999999999</v>
      </c>
      <c r="K52">
        <f t="shared" si="5"/>
        <v>115.49999999999999</v>
      </c>
      <c r="L52" s="7" t="s">
        <v>42</v>
      </c>
      <c r="M52">
        <v>0.1</v>
      </c>
      <c r="N52">
        <v>2.4</v>
      </c>
      <c r="O52">
        <f t="shared" si="0"/>
        <v>-2.2999999999999998</v>
      </c>
      <c r="Q52">
        <v>9</v>
      </c>
      <c r="R52">
        <f t="shared" si="8"/>
        <v>0.38513513513513509</v>
      </c>
      <c r="S52">
        <f t="shared" si="1"/>
        <v>0.92432432432432421</v>
      </c>
      <c r="T52">
        <f t="shared" si="2"/>
        <v>-0.82432432432432423</v>
      </c>
      <c r="U52">
        <f t="shared" si="6"/>
        <v>48.549797297297289</v>
      </c>
      <c r="V52" s="10" t="s">
        <v>49</v>
      </c>
      <c r="W52">
        <v>1424.5</v>
      </c>
      <c r="X52">
        <f t="shared" si="7"/>
        <v>8600.6000000000022</v>
      </c>
      <c r="Y52">
        <v>12.089975634605578</v>
      </c>
    </row>
    <row r="53" spans="1:26" x14ac:dyDescent="0.35">
      <c r="A53">
        <v>2920</v>
      </c>
      <c r="B53">
        <v>23610</v>
      </c>
      <c r="C53" s="1">
        <v>42998</v>
      </c>
      <c r="D53" s="1"/>
      <c r="E53" s="1"/>
      <c r="F53" s="46"/>
      <c r="G53">
        <v>13</v>
      </c>
      <c r="H53">
        <v>9</v>
      </c>
      <c r="I53">
        <v>16.7</v>
      </c>
      <c r="J53">
        <f t="shared" si="4"/>
        <v>128.5</v>
      </c>
      <c r="K53">
        <f t="shared" si="5"/>
        <v>128.5</v>
      </c>
      <c r="L53" s="8">
        <v>0</v>
      </c>
      <c r="M53">
        <v>0.1</v>
      </c>
      <c r="N53">
        <v>1.5</v>
      </c>
      <c r="O53">
        <f t="shared" si="0"/>
        <v>-1.4</v>
      </c>
      <c r="Q53">
        <v>10</v>
      </c>
      <c r="R53">
        <f t="shared" si="8"/>
        <v>0.39391891891891889</v>
      </c>
      <c r="S53">
        <f t="shared" si="1"/>
        <v>0.59087837837837831</v>
      </c>
      <c r="T53">
        <f t="shared" si="2"/>
        <v>-0.49087837837837833</v>
      </c>
      <c r="U53">
        <f t="shared" si="6"/>
        <v>48.058918918918913</v>
      </c>
      <c r="V53" s="11">
        <f>AVERAGE(U44:U122)</f>
        <v>84.35570988710225</v>
      </c>
      <c r="W53">
        <v>802.7</v>
      </c>
      <c r="X53">
        <f t="shared" si="7"/>
        <v>9403.3000000000029</v>
      </c>
      <c r="Y53">
        <v>12.029993232171435</v>
      </c>
    </row>
    <row r="54" spans="1:26" x14ac:dyDescent="0.35">
      <c r="A54">
        <v>2920</v>
      </c>
      <c r="B54">
        <v>23610</v>
      </c>
      <c r="C54" s="1">
        <v>42999</v>
      </c>
      <c r="D54" s="1"/>
      <c r="E54" s="1"/>
      <c r="F54" s="46"/>
      <c r="G54">
        <v>12.7</v>
      </c>
      <c r="H54">
        <v>8.6999999999999993</v>
      </c>
      <c r="I54">
        <v>19.399999999999999</v>
      </c>
      <c r="J54">
        <f t="shared" si="4"/>
        <v>141.19999999999999</v>
      </c>
      <c r="K54">
        <f t="shared" si="5"/>
        <v>141.19999999999999</v>
      </c>
      <c r="L54" s="7" t="s">
        <v>43</v>
      </c>
      <c r="M54">
        <v>9.5</v>
      </c>
      <c r="N54">
        <v>1.8</v>
      </c>
      <c r="O54">
        <f t="shared" si="0"/>
        <v>7.7</v>
      </c>
      <c r="Q54">
        <v>11</v>
      </c>
      <c r="R54">
        <f t="shared" si="8"/>
        <v>0.4027027027027027</v>
      </c>
      <c r="S54">
        <f t="shared" si="1"/>
        <v>0.7248648648648649</v>
      </c>
      <c r="T54">
        <f t="shared" si="2"/>
        <v>8.7751351351351357</v>
      </c>
      <c r="U54">
        <f t="shared" si="6"/>
        <v>56.83405405405405</v>
      </c>
      <c r="W54">
        <v>811.7</v>
      </c>
      <c r="X54">
        <f t="shared" si="7"/>
        <v>10215.000000000004</v>
      </c>
      <c r="Y54">
        <v>11.970006767828563</v>
      </c>
    </row>
    <row r="55" spans="1:26" x14ac:dyDescent="0.35">
      <c r="A55">
        <v>2920</v>
      </c>
      <c r="B55">
        <v>23610</v>
      </c>
      <c r="C55" s="1">
        <v>43000</v>
      </c>
      <c r="D55" s="1"/>
      <c r="E55" s="1"/>
      <c r="F55" s="46"/>
      <c r="G55">
        <v>12.1</v>
      </c>
      <c r="H55">
        <v>6.5</v>
      </c>
      <c r="I55">
        <v>17</v>
      </c>
      <c r="J55">
        <f t="shared" si="4"/>
        <v>153.29999999999998</v>
      </c>
      <c r="K55">
        <f t="shared" si="5"/>
        <v>153.29999999999998</v>
      </c>
      <c r="L55" s="8">
        <v>16</v>
      </c>
      <c r="M55">
        <v>0.1</v>
      </c>
      <c r="N55">
        <v>2.7</v>
      </c>
      <c r="O55">
        <f t="shared" si="0"/>
        <v>-2.6</v>
      </c>
      <c r="Q55">
        <v>12</v>
      </c>
      <c r="R55">
        <f t="shared" si="8"/>
        <v>0.41148648648648645</v>
      </c>
      <c r="S55">
        <f t="shared" si="1"/>
        <v>1.1110135135135135</v>
      </c>
      <c r="T55">
        <f t="shared" si="2"/>
        <v>-1.0110135135135134</v>
      </c>
      <c r="U55">
        <f t="shared" si="6"/>
        <v>55.823040540540539</v>
      </c>
      <c r="V55" s="12">
        <f>(V53*100)/197.4</f>
        <v>42.73338900055839</v>
      </c>
      <c r="W55">
        <v>1746.3</v>
      </c>
      <c r="X55">
        <f t="shared" si="7"/>
        <v>11961.300000000003</v>
      </c>
      <c r="Y55">
        <v>11.910024365394424</v>
      </c>
    </row>
    <row r="56" spans="1:26" x14ac:dyDescent="0.35">
      <c r="A56">
        <v>2920</v>
      </c>
      <c r="B56">
        <v>23610</v>
      </c>
      <c r="C56" s="1">
        <v>43001</v>
      </c>
      <c r="D56" s="1"/>
      <c r="E56" s="1"/>
      <c r="F56" s="46"/>
      <c r="G56">
        <v>14.5</v>
      </c>
      <c r="H56">
        <v>7.4</v>
      </c>
      <c r="I56">
        <v>19.600000000000001</v>
      </c>
      <c r="J56">
        <f t="shared" si="4"/>
        <v>167.79999999999998</v>
      </c>
      <c r="K56">
        <f t="shared" si="5"/>
        <v>167.79999999999998</v>
      </c>
      <c r="L56" s="7" t="s">
        <v>44</v>
      </c>
      <c r="M56">
        <v>0</v>
      </c>
      <c r="N56">
        <v>2.6</v>
      </c>
      <c r="O56">
        <f t="shared" si="0"/>
        <v>-2.6</v>
      </c>
      <c r="Q56">
        <v>13</v>
      </c>
      <c r="R56">
        <f t="shared" si="8"/>
        <v>0.42027027027027025</v>
      </c>
      <c r="S56">
        <f t="shared" si="1"/>
        <v>1.0927027027027028</v>
      </c>
      <c r="T56">
        <f t="shared" si="2"/>
        <v>-1.0927027027027028</v>
      </c>
      <c r="U56">
        <f t="shared" si="6"/>
        <v>54.730337837837837</v>
      </c>
      <c r="W56">
        <v>1676.1</v>
      </c>
      <c r="X56">
        <f t="shared" si="7"/>
        <v>13637.400000000003</v>
      </c>
      <c r="Y56">
        <v>11.850054156310808</v>
      </c>
    </row>
    <row r="57" spans="1:26" x14ac:dyDescent="0.35">
      <c r="A57">
        <v>2920</v>
      </c>
      <c r="B57">
        <v>23610</v>
      </c>
      <c r="C57" s="1">
        <v>43002</v>
      </c>
      <c r="D57" s="1"/>
      <c r="E57" s="1"/>
      <c r="F57" s="46"/>
      <c r="G57">
        <v>16.399999999999999</v>
      </c>
      <c r="H57">
        <v>12</v>
      </c>
      <c r="I57">
        <v>19.8</v>
      </c>
      <c r="J57">
        <f t="shared" si="4"/>
        <v>184.2</v>
      </c>
      <c r="K57">
        <f t="shared" si="5"/>
        <v>184.2</v>
      </c>
      <c r="L57" s="8">
        <v>0</v>
      </c>
      <c r="M57">
        <v>11.3</v>
      </c>
      <c r="N57">
        <v>1.2</v>
      </c>
      <c r="O57">
        <f t="shared" si="0"/>
        <v>10.100000000000001</v>
      </c>
      <c r="Q57">
        <v>14</v>
      </c>
      <c r="R57">
        <f t="shared" si="8"/>
        <v>0.42905405405405406</v>
      </c>
      <c r="S57">
        <f t="shared" si="1"/>
        <v>0.51486486486486482</v>
      </c>
      <c r="T57">
        <f t="shared" si="2"/>
        <v>10.785135135135135</v>
      </c>
      <c r="U57">
        <f t="shared" si="6"/>
        <v>65.515472972972972</v>
      </c>
      <c r="W57">
        <v>688.7</v>
      </c>
      <c r="X57">
        <f t="shared" si="7"/>
        <v>14326.100000000004</v>
      </c>
      <c r="Y57">
        <v>11.790104294887646</v>
      </c>
    </row>
    <row r="58" spans="1:26" x14ac:dyDescent="0.35">
      <c r="A58">
        <v>2920</v>
      </c>
      <c r="B58">
        <v>23610</v>
      </c>
      <c r="C58" s="1">
        <v>43003</v>
      </c>
      <c r="D58" s="1"/>
      <c r="E58" s="1"/>
      <c r="F58" s="46"/>
      <c r="G58">
        <v>15.8</v>
      </c>
      <c r="H58">
        <v>15.3</v>
      </c>
      <c r="I58">
        <v>18</v>
      </c>
      <c r="J58">
        <f t="shared" si="4"/>
        <v>200</v>
      </c>
      <c r="K58">
        <f t="shared" si="5"/>
        <v>200</v>
      </c>
      <c r="M58">
        <v>2.6</v>
      </c>
      <c r="N58">
        <v>0.9</v>
      </c>
      <c r="O58">
        <f t="shared" si="0"/>
        <v>1.7000000000000002</v>
      </c>
      <c r="Q58">
        <v>15</v>
      </c>
      <c r="R58">
        <f t="shared" si="8"/>
        <v>0.43783783783783781</v>
      </c>
      <c r="S58">
        <f t="shared" si="1"/>
        <v>0.39405405405405403</v>
      </c>
      <c r="T58">
        <f t="shared" si="2"/>
        <v>2.2059459459459463</v>
      </c>
      <c r="U58">
        <f t="shared" si="6"/>
        <v>67.721418918918914</v>
      </c>
      <c r="W58">
        <v>288.2</v>
      </c>
      <c r="X58">
        <f t="shared" si="7"/>
        <v>14614.300000000005</v>
      </c>
      <c r="Y58">
        <v>11.730182973532362</v>
      </c>
    </row>
    <row r="59" spans="1:26" x14ac:dyDescent="0.35">
      <c r="A59">
        <v>2920</v>
      </c>
      <c r="B59">
        <v>23610</v>
      </c>
      <c r="C59" s="1">
        <v>43004</v>
      </c>
      <c r="D59" s="1"/>
      <c r="E59" s="1"/>
      <c r="F59" s="46"/>
      <c r="G59">
        <v>14.7</v>
      </c>
      <c r="H59">
        <v>12.2</v>
      </c>
      <c r="I59">
        <v>17.100000000000001</v>
      </c>
      <c r="J59">
        <f t="shared" si="4"/>
        <v>214.7</v>
      </c>
      <c r="K59">
        <f t="shared" si="5"/>
        <v>214.7</v>
      </c>
      <c r="M59">
        <v>0.2</v>
      </c>
      <c r="N59">
        <v>0.6</v>
      </c>
      <c r="O59">
        <f t="shared" si="0"/>
        <v>-0.39999999999999997</v>
      </c>
      <c r="Q59">
        <v>16</v>
      </c>
      <c r="R59">
        <f t="shared" si="8"/>
        <v>0.44662162162162161</v>
      </c>
      <c r="S59">
        <f t="shared" si="1"/>
        <v>0.26797297297297296</v>
      </c>
      <c r="T59">
        <f t="shared" si="2"/>
        <v>-6.7972972972972945E-2</v>
      </c>
      <c r="U59">
        <f t="shared" si="6"/>
        <v>67.653445945945947</v>
      </c>
      <c r="W59">
        <v>452.6</v>
      </c>
      <c r="X59">
        <f t="shared" si="7"/>
        <v>15066.900000000005</v>
      </c>
      <c r="Y59">
        <v>11.67029843795485</v>
      </c>
    </row>
    <row r="60" spans="1:26" x14ac:dyDescent="0.35">
      <c r="A60">
        <v>2920</v>
      </c>
      <c r="B60">
        <v>23610</v>
      </c>
      <c r="C60" s="1">
        <v>43005</v>
      </c>
      <c r="D60" s="1"/>
      <c r="E60" s="1"/>
      <c r="F60" s="46"/>
      <c r="G60">
        <v>15.2</v>
      </c>
      <c r="H60">
        <v>10.9</v>
      </c>
      <c r="I60">
        <v>20</v>
      </c>
      <c r="J60">
        <f t="shared" si="4"/>
        <v>229.89999999999998</v>
      </c>
      <c r="K60">
        <f t="shared" si="5"/>
        <v>229.89999999999998</v>
      </c>
      <c r="M60">
        <v>4.3</v>
      </c>
      <c r="N60">
        <v>2</v>
      </c>
      <c r="O60">
        <f t="shared" si="0"/>
        <v>2.2999999999999998</v>
      </c>
      <c r="Q60">
        <v>17</v>
      </c>
      <c r="R60">
        <f t="shared" si="8"/>
        <v>0.45540540540540542</v>
      </c>
      <c r="S60">
        <f t="shared" si="1"/>
        <v>0.91081081081081083</v>
      </c>
      <c r="T60">
        <f t="shared" si="2"/>
        <v>3.3891891891891888</v>
      </c>
      <c r="U60">
        <f t="shared" si="6"/>
        <v>71.042635135135129</v>
      </c>
      <c r="W60">
        <v>1032.5</v>
      </c>
      <c r="X60">
        <f t="shared" si="7"/>
        <v>16099.400000000005</v>
      </c>
      <c r="Y60">
        <v>11.610459002338031</v>
      </c>
    </row>
    <row r="61" spans="1:26" x14ac:dyDescent="0.35">
      <c r="A61">
        <v>2920</v>
      </c>
      <c r="B61">
        <v>23610</v>
      </c>
      <c r="C61" s="1">
        <v>43006</v>
      </c>
      <c r="D61" s="1"/>
      <c r="E61" s="1"/>
      <c r="F61" s="46"/>
      <c r="G61">
        <v>17.899999999999999</v>
      </c>
      <c r="H61">
        <v>15</v>
      </c>
      <c r="I61">
        <v>20.2</v>
      </c>
      <c r="J61">
        <f t="shared" si="4"/>
        <v>247.79999999999998</v>
      </c>
      <c r="K61">
        <f t="shared" si="5"/>
        <v>247.79999999999998</v>
      </c>
      <c r="M61">
        <v>0.2</v>
      </c>
      <c r="N61">
        <v>0.5</v>
      </c>
      <c r="O61">
        <f t="shared" si="0"/>
        <v>-0.3</v>
      </c>
      <c r="Q61">
        <v>18</v>
      </c>
      <c r="R61">
        <f t="shared" si="8"/>
        <v>0.46418918918918917</v>
      </c>
      <c r="S61">
        <f t="shared" si="1"/>
        <v>0.23209459459459458</v>
      </c>
      <c r="T61">
        <f t="shared" si="2"/>
        <v>-3.2094594594594572E-2</v>
      </c>
      <c r="U61">
        <f t="shared" si="6"/>
        <v>71.010540540540532</v>
      </c>
      <c r="W61">
        <v>420.3</v>
      </c>
      <c r="X61">
        <f t="shared" si="7"/>
        <v>16519.700000000004</v>
      </c>
      <c r="Y61">
        <v>11.550673064463327</v>
      </c>
    </row>
    <row r="62" spans="1:26" x14ac:dyDescent="0.35">
      <c r="A62">
        <v>2920</v>
      </c>
      <c r="B62">
        <v>23610</v>
      </c>
      <c r="C62" s="1">
        <v>43007</v>
      </c>
      <c r="D62" s="1"/>
      <c r="E62" s="1"/>
      <c r="F62" s="46"/>
      <c r="G62">
        <v>16.100000000000001</v>
      </c>
      <c r="H62">
        <v>14.2</v>
      </c>
      <c r="I62">
        <v>19.600000000000001</v>
      </c>
      <c r="J62">
        <f t="shared" si="4"/>
        <v>263.89999999999998</v>
      </c>
      <c r="K62">
        <f t="shared" si="5"/>
        <v>263.89999999999998</v>
      </c>
      <c r="M62">
        <v>1.8</v>
      </c>
      <c r="N62">
        <v>1</v>
      </c>
      <c r="O62">
        <f t="shared" si="0"/>
        <v>0.8</v>
      </c>
      <c r="Q62">
        <v>19</v>
      </c>
      <c r="R62">
        <f t="shared" si="8"/>
        <v>0.47297297297297297</v>
      </c>
      <c r="S62">
        <f t="shared" si="1"/>
        <v>0.47297297297297297</v>
      </c>
      <c r="T62">
        <f t="shared" si="2"/>
        <v>1.327027027027027</v>
      </c>
      <c r="U62">
        <f t="shared" si="6"/>
        <v>72.337567567567561</v>
      </c>
      <c r="W62">
        <v>386.4</v>
      </c>
      <c r="X62">
        <f t="shared" si="7"/>
        <v>16906.100000000006</v>
      </c>
      <c r="Y62">
        <v>11.490949120780177</v>
      </c>
    </row>
    <row r="63" spans="1:26" x14ac:dyDescent="0.35">
      <c r="A63">
        <v>2920</v>
      </c>
      <c r="B63">
        <v>23610</v>
      </c>
      <c r="C63" s="1">
        <v>43008</v>
      </c>
      <c r="D63" s="1"/>
      <c r="E63" s="1"/>
      <c r="F63" s="46"/>
      <c r="G63">
        <v>14.3</v>
      </c>
      <c r="H63">
        <v>10.3</v>
      </c>
      <c r="I63">
        <v>17.399999999999999</v>
      </c>
      <c r="J63">
        <f t="shared" si="4"/>
        <v>278.2</v>
      </c>
      <c r="K63">
        <f t="shared" si="5"/>
        <v>278.2</v>
      </c>
      <c r="M63">
        <v>0.5</v>
      </c>
      <c r="N63">
        <v>1.5</v>
      </c>
      <c r="O63">
        <f t="shared" si="0"/>
        <v>-1</v>
      </c>
      <c r="Q63">
        <v>20</v>
      </c>
      <c r="R63">
        <f t="shared" si="8"/>
        <v>0.48175675675675678</v>
      </c>
      <c r="S63">
        <f t="shared" si="1"/>
        <v>0.72263513513513522</v>
      </c>
      <c r="T63">
        <f t="shared" si="2"/>
        <v>-0.22263513513513522</v>
      </c>
      <c r="U63">
        <f t="shared" si="6"/>
        <v>72.114932432432425</v>
      </c>
      <c r="W63">
        <v>1026</v>
      </c>
      <c r="X63">
        <f t="shared" si="7"/>
        <v>17932.100000000006</v>
      </c>
      <c r="Y63">
        <v>11.431295781407767</v>
      </c>
    </row>
    <row r="64" spans="1:26" x14ac:dyDescent="0.35">
      <c r="A64">
        <v>2920</v>
      </c>
      <c r="B64">
        <v>23610</v>
      </c>
      <c r="C64" s="1">
        <v>43009</v>
      </c>
      <c r="D64" s="1"/>
      <c r="E64" s="1"/>
      <c r="F64" s="46"/>
      <c r="G64">
        <v>16.399999999999999</v>
      </c>
      <c r="H64">
        <v>14.9</v>
      </c>
      <c r="I64">
        <v>17.3</v>
      </c>
      <c r="J64">
        <f t="shared" si="4"/>
        <v>294.59999999999997</v>
      </c>
      <c r="K64">
        <f t="shared" si="5"/>
        <v>294.59999999999997</v>
      </c>
      <c r="M64">
        <v>1.8</v>
      </c>
      <c r="N64">
        <v>0.6</v>
      </c>
      <c r="O64">
        <f t="shared" si="0"/>
        <v>1.2000000000000002</v>
      </c>
      <c r="Q64">
        <v>21</v>
      </c>
      <c r="R64">
        <f t="shared" si="8"/>
        <v>0.49054054054054053</v>
      </c>
      <c r="S64">
        <f t="shared" si="1"/>
        <v>0.29432432432432432</v>
      </c>
      <c r="T64">
        <f t="shared" si="2"/>
        <v>1.5056756756756757</v>
      </c>
      <c r="U64">
        <f t="shared" si="6"/>
        <v>73.620608108108101</v>
      </c>
      <c r="W64">
        <v>225.3</v>
      </c>
      <c r="X64">
        <f t="shared" si="7"/>
        <v>18157.400000000005</v>
      </c>
      <c r="Y64">
        <v>11.371721785056641</v>
      </c>
    </row>
    <row r="65" spans="1:25" x14ac:dyDescent="0.35">
      <c r="A65">
        <v>2920</v>
      </c>
      <c r="B65">
        <v>23610</v>
      </c>
      <c r="C65" s="1">
        <v>43010</v>
      </c>
      <c r="D65" s="1"/>
      <c r="E65" s="1"/>
      <c r="F65" s="46"/>
      <c r="G65">
        <v>16.899999999999999</v>
      </c>
      <c r="H65">
        <v>15</v>
      </c>
      <c r="I65">
        <v>19.2</v>
      </c>
      <c r="J65">
        <f t="shared" si="4"/>
        <v>311.49999999999994</v>
      </c>
      <c r="K65">
        <f t="shared" si="5"/>
        <v>311.49999999999994</v>
      </c>
      <c r="M65">
        <v>3</v>
      </c>
      <c r="N65">
        <v>1</v>
      </c>
      <c r="O65">
        <f t="shared" si="0"/>
        <v>2</v>
      </c>
      <c r="Q65">
        <v>22</v>
      </c>
      <c r="R65">
        <f t="shared" si="8"/>
        <v>0.49932432432432428</v>
      </c>
      <c r="S65">
        <f t="shared" si="1"/>
        <v>0.49932432432432428</v>
      </c>
      <c r="T65">
        <f t="shared" si="2"/>
        <v>2.5006756756756756</v>
      </c>
      <c r="U65">
        <f t="shared" si="6"/>
        <v>76.121283783783781</v>
      </c>
      <c r="W65">
        <v>495</v>
      </c>
      <c r="X65">
        <f t="shared" si="7"/>
        <v>18652.400000000005</v>
      </c>
      <c r="Y65">
        <v>11.312236013856966</v>
      </c>
    </row>
    <row r="66" spans="1:25" x14ac:dyDescent="0.35">
      <c r="A66">
        <v>2920</v>
      </c>
      <c r="B66">
        <v>23610</v>
      </c>
      <c r="C66" s="1">
        <v>43011</v>
      </c>
      <c r="D66" s="1"/>
      <c r="E66" s="1"/>
      <c r="F66" s="46"/>
      <c r="G66">
        <v>12.7</v>
      </c>
      <c r="H66">
        <v>10.5</v>
      </c>
      <c r="I66">
        <v>16.399999999999999</v>
      </c>
      <c r="J66">
        <f t="shared" si="4"/>
        <v>324.19999999999993</v>
      </c>
      <c r="K66">
        <f t="shared" si="5"/>
        <v>324.19999999999993</v>
      </c>
      <c r="M66">
        <v>0.1</v>
      </c>
      <c r="N66">
        <v>1.9</v>
      </c>
      <c r="O66">
        <f t="shared" si="0"/>
        <v>-1.7999999999999998</v>
      </c>
      <c r="Q66">
        <v>23</v>
      </c>
      <c r="R66">
        <f t="shared" si="8"/>
        <v>0.50810810810810814</v>
      </c>
      <c r="S66">
        <f t="shared" si="1"/>
        <v>0.96540540540540543</v>
      </c>
      <c r="T66">
        <f t="shared" si="2"/>
        <v>-0.86540540540540545</v>
      </c>
      <c r="U66">
        <f t="shared" si="6"/>
        <v>75.25587837837837</v>
      </c>
      <c r="W66">
        <v>928.9</v>
      </c>
      <c r="X66">
        <f t="shared" si="7"/>
        <v>19581.300000000007</v>
      </c>
      <c r="Y66">
        <v>11.252847508079137</v>
      </c>
    </row>
    <row r="67" spans="1:25" x14ac:dyDescent="0.35">
      <c r="A67">
        <v>2920</v>
      </c>
      <c r="B67">
        <v>23610</v>
      </c>
      <c r="C67" s="1">
        <v>43012</v>
      </c>
      <c r="D67" s="1"/>
      <c r="E67" s="1"/>
      <c r="F67" s="46"/>
      <c r="G67">
        <v>11.2</v>
      </c>
      <c r="H67">
        <v>6.2</v>
      </c>
      <c r="I67">
        <v>16.3</v>
      </c>
      <c r="J67">
        <f t="shared" si="4"/>
        <v>335.39999999999992</v>
      </c>
      <c r="K67">
        <f t="shared" si="5"/>
        <v>335.39999999999992</v>
      </c>
      <c r="M67">
        <v>0.1</v>
      </c>
      <c r="N67">
        <v>2.5</v>
      </c>
      <c r="O67">
        <f t="shared" si="0"/>
        <v>-2.4</v>
      </c>
      <c r="Q67">
        <v>24</v>
      </c>
      <c r="R67">
        <f t="shared" si="8"/>
        <v>0.51689189189189189</v>
      </c>
      <c r="S67">
        <f t="shared" si="1"/>
        <v>1.2922297297297298</v>
      </c>
      <c r="T67">
        <f t="shared" si="2"/>
        <v>-1.1922297297297297</v>
      </c>
      <c r="U67">
        <f t="shared" si="6"/>
        <v>74.063648648648638</v>
      </c>
      <c r="W67">
        <v>1521.6</v>
      </c>
      <c r="X67">
        <f t="shared" si="7"/>
        <v>21102.900000000005</v>
      </c>
      <c r="Y67">
        <v>11.193565480731463</v>
      </c>
    </row>
    <row r="68" spans="1:25" x14ac:dyDescent="0.35">
      <c r="A68">
        <v>2920</v>
      </c>
      <c r="B68">
        <v>23610</v>
      </c>
      <c r="C68" s="1">
        <v>43013</v>
      </c>
      <c r="D68" s="1"/>
      <c r="E68" s="1"/>
      <c r="F68" s="46"/>
      <c r="G68">
        <v>11.5</v>
      </c>
      <c r="H68">
        <v>6.7</v>
      </c>
      <c r="I68">
        <v>15.3</v>
      </c>
      <c r="J68">
        <f t="shared" si="4"/>
        <v>346.89999999999992</v>
      </c>
      <c r="K68">
        <f t="shared" si="5"/>
        <v>346.89999999999992</v>
      </c>
      <c r="M68">
        <v>0.8</v>
      </c>
      <c r="N68">
        <v>0.5</v>
      </c>
      <c r="O68">
        <f t="shared" si="0"/>
        <v>0.30000000000000004</v>
      </c>
      <c r="Q68">
        <v>25</v>
      </c>
      <c r="R68">
        <f t="shared" si="8"/>
        <v>0.52567567567567564</v>
      </c>
      <c r="S68">
        <f t="shared" si="1"/>
        <v>0.26283783783783782</v>
      </c>
      <c r="T68">
        <f t="shared" si="2"/>
        <v>0.53716216216216228</v>
      </c>
      <c r="U68">
        <f t="shared" si="6"/>
        <v>74.600810810810799</v>
      </c>
      <c r="W68">
        <v>333.2</v>
      </c>
      <c r="X68">
        <f t="shared" si="7"/>
        <v>21436.100000000006</v>
      </c>
      <c r="Y68">
        <v>11.134399332018457</v>
      </c>
    </row>
    <row r="69" spans="1:25" x14ac:dyDescent="0.35">
      <c r="A69">
        <v>2920</v>
      </c>
      <c r="B69">
        <v>23610</v>
      </c>
      <c r="C69" s="1">
        <v>43014</v>
      </c>
      <c r="D69" s="1"/>
      <c r="E69" s="1"/>
      <c r="F69" s="46"/>
      <c r="G69">
        <v>10.8</v>
      </c>
      <c r="H69">
        <v>8.4</v>
      </c>
      <c r="I69">
        <v>15.2</v>
      </c>
      <c r="J69">
        <f t="shared" si="4"/>
        <v>357.69999999999993</v>
      </c>
      <c r="K69">
        <f t="shared" si="5"/>
        <v>357.69999999999993</v>
      </c>
      <c r="M69">
        <v>0.1</v>
      </c>
      <c r="N69">
        <v>1.6</v>
      </c>
      <c r="O69">
        <f t="shared" ref="O69:O132" si="9">M69-N69</f>
        <v>-1.5</v>
      </c>
      <c r="Q69">
        <v>26</v>
      </c>
      <c r="R69">
        <f t="shared" si="8"/>
        <v>0.53445945945945939</v>
      </c>
      <c r="S69">
        <f t="shared" ref="S69:S132" si="10">R69*N69</f>
        <v>0.85513513513513506</v>
      </c>
      <c r="T69">
        <f t="shared" ref="T69:T132" si="11">M69-S69</f>
        <v>-0.75513513513513508</v>
      </c>
      <c r="U69">
        <f t="shared" si="6"/>
        <v>73.845675675675665</v>
      </c>
      <c r="W69">
        <v>1004.5</v>
      </c>
      <c r="X69">
        <f t="shared" si="7"/>
        <v>22440.600000000006</v>
      </c>
      <c r="Y69">
        <v>11.075358663641881</v>
      </c>
    </row>
    <row r="70" spans="1:25" x14ac:dyDescent="0.35">
      <c r="A70">
        <v>2920</v>
      </c>
      <c r="B70">
        <v>23610</v>
      </c>
      <c r="C70" s="1">
        <v>43015</v>
      </c>
      <c r="D70" s="1"/>
      <c r="E70" s="1"/>
      <c r="F70" s="46"/>
      <c r="G70">
        <v>12.2</v>
      </c>
      <c r="H70">
        <v>4.5</v>
      </c>
      <c r="I70">
        <v>17.5</v>
      </c>
      <c r="J70">
        <f t="shared" si="4"/>
        <v>369.89999999999992</v>
      </c>
      <c r="K70">
        <f t="shared" si="5"/>
        <v>369.89999999999992</v>
      </c>
      <c r="M70">
        <v>0.1</v>
      </c>
      <c r="N70">
        <v>2</v>
      </c>
      <c r="O70">
        <f t="shared" si="9"/>
        <v>-1.9</v>
      </c>
      <c r="Q70">
        <v>27</v>
      </c>
      <c r="R70">
        <f t="shared" si="8"/>
        <v>0.54324324324324325</v>
      </c>
      <c r="S70">
        <f t="shared" si="10"/>
        <v>1.0864864864864865</v>
      </c>
      <c r="T70">
        <f t="shared" si="11"/>
        <v>-0.98648648648648651</v>
      </c>
      <c r="U70">
        <f t="shared" si="6"/>
        <v>72.859189189189181</v>
      </c>
      <c r="W70">
        <v>1330.4</v>
      </c>
      <c r="X70">
        <f t="shared" si="7"/>
        <v>23771.000000000007</v>
      </c>
      <c r="Y70">
        <v>11.01645329292538</v>
      </c>
    </row>
    <row r="71" spans="1:25" x14ac:dyDescent="0.35">
      <c r="A71">
        <v>2920</v>
      </c>
      <c r="B71">
        <v>23610</v>
      </c>
      <c r="C71" s="1">
        <v>43016</v>
      </c>
      <c r="D71" s="1"/>
      <c r="E71" s="1"/>
      <c r="F71" s="46"/>
      <c r="G71">
        <v>14.6</v>
      </c>
      <c r="H71">
        <v>13.9</v>
      </c>
      <c r="I71">
        <v>16</v>
      </c>
      <c r="J71">
        <f t="shared" si="4"/>
        <v>384.49999999999994</v>
      </c>
      <c r="K71">
        <f t="shared" si="5"/>
        <v>384.49999999999994</v>
      </c>
      <c r="M71">
        <v>1.3</v>
      </c>
      <c r="N71">
        <v>0.7</v>
      </c>
      <c r="O71">
        <f t="shared" si="9"/>
        <v>0.60000000000000009</v>
      </c>
      <c r="Q71">
        <v>28</v>
      </c>
      <c r="R71">
        <f t="shared" si="8"/>
        <v>0.552027027027027</v>
      </c>
      <c r="S71">
        <f t="shared" si="10"/>
        <v>0.38641891891891889</v>
      </c>
      <c r="T71">
        <f t="shared" si="11"/>
        <v>0.91358108108108116</v>
      </c>
      <c r="U71">
        <f t="shared" si="6"/>
        <v>73.772770270270257</v>
      </c>
      <c r="W71">
        <v>229.6</v>
      </c>
      <c r="X71">
        <f t="shared" si="7"/>
        <v>24000.600000000006</v>
      </c>
      <c r="Y71">
        <v>10.95769326674192</v>
      </c>
    </row>
    <row r="72" spans="1:25" x14ac:dyDescent="0.35">
      <c r="A72">
        <v>2920</v>
      </c>
      <c r="B72">
        <v>23610</v>
      </c>
      <c r="C72" s="1">
        <v>43017</v>
      </c>
      <c r="D72" s="1"/>
      <c r="E72" s="1"/>
      <c r="F72" s="46"/>
      <c r="G72">
        <v>15.4</v>
      </c>
      <c r="H72">
        <v>13.5</v>
      </c>
      <c r="I72">
        <v>17.5</v>
      </c>
      <c r="J72">
        <f t="shared" si="4"/>
        <v>399.89999999999992</v>
      </c>
      <c r="K72">
        <f t="shared" si="5"/>
        <v>399.89999999999992</v>
      </c>
      <c r="M72">
        <v>0.3</v>
      </c>
      <c r="N72">
        <v>0.7</v>
      </c>
      <c r="O72">
        <f t="shared" si="9"/>
        <v>-0.39999999999999997</v>
      </c>
      <c r="Q72">
        <v>29</v>
      </c>
      <c r="R72">
        <f t="shared" si="8"/>
        <v>0.56081081081081074</v>
      </c>
      <c r="S72">
        <f t="shared" si="10"/>
        <v>0.3925675675675675</v>
      </c>
      <c r="T72">
        <f t="shared" si="11"/>
        <v>-9.256756756756751E-2</v>
      </c>
      <c r="U72">
        <f t="shared" si="6"/>
        <v>73.680202702702687</v>
      </c>
      <c r="W72">
        <v>331.6</v>
      </c>
      <c r="X72">
        <f t="shared" si="7"/>
        <v>24332.200000000004</v>
      </c>
      <c r="Y72">
        <v>10.899088875221722</v>
      </c>
    </row>
    <row r="73" spans="1:25" x14ac:dyDescent="0.35">
      <c r="A73">
        <v>2920</v>
      </c>
      <c r="B73">
        <v>23610</v>
      </c>
      <c r="C73" s="1">
        <v>43018</v>
      </c>
      <c r="D73" s="1"/>
      <c r="E73" s="1"/>
      <c r="F73" s="46"/>
      <c r="G73">
        <v>14.7</v>
      </c>
      <c r="H73">
        <v>13.6</v>
      </c>
      <c r="I73">
        <v>16.100000000000001</v>
      </c>
      <c r="J73">
        <f t="shared" si="4"/>
        <v>414.59999999999991</v>
      </c>
      <c r="K73">
        <f t="shared" si="5"/>
        <v>414.59999999999991</v>
      </c>
      <c r="M73">
        <v>0</v>
      </c>
      <c r="N73">
        <v>0.8</v>
      </c>
      <c r="O73">
        <f t="shared" si="9"/>
        <v>-0.8</v>
      </c>
      <c r="Q73">
        <v>30</v>
      </c>
      <c r="R73">
        <f t="shared" si="8"/>
        <v>0.56959459459459461</v>
      </c>
      <c r="S73">
        <f t="shared" si="10"/>
        <v>0.45567567567567568</v>
      </c>
      <c r="T73">
        <f t="shared" si="11"/>
        <v>-0.45567567567567568</v>
      </c>
      <c r="U73">
        <f t="shared" si="6"/>
        <v>73.224527027027008</v>
      </c>
      <c r="W73">
        <v>212</v>
      </c>
      <c r="X73">
        <f t="shared" si="7"/>
        <v>24544.200000000004</v>
      </c>
      <c r="Y73">
        <v>10.840650665216574</v>
      </c>
    </row>
    <row r="74" spans="1:25" x14ac:dyDescent="0.35">
      <c r="A74">
        <v>2920</v>
      </c>
      <c r="B74">
        <v>23610</v>
      </c>
      <c r="C74" s="1">
        <v>43019</v>
      </c>
      <c r="D74" s="1"/>
      <c r="E74" s="1"/>
      <c r="F74" s="46"/>
      <c r="G74">
        <v>15.7</v>
      </c>
      <c r="H74">
        <v>13.5</v>
      </c>
      <c r="I74">
        <v>18.600000000000001</v>
      </c>
      <c r="J74">
        <f t="shared" si="4"/>
        <v>430.2999999999999</v>
      </c>
      <c r="K74">
        <f t="shared" si="5"/>
        <v>430.2999999999999</v>
      </c>
      <c r="M74">
        <v>0.3</v>
      </c>
      <c r="N74">
        <v>1.6</v>
      </c>
      <c r="O74">
        <f t="shared" si="9"/>
        <v>-1.3</v>
      </c>
      <c r="Q74">
        <v>31</v>
      </c>
      <c r="R74">
        <f t="shared" si="8"/>
        <v>0.57837837837837835</v>
      </c>
      <c r="S74">
        <f t="shared" si="10"/>
        <v>0.92540540540540539</v>
      </c>
      <c r="T74">
        <f t="shared" si="11"/>
        <v>-0.62540540540540546</v>
      </c>
      <c r="U74">
        <f t="shared" si="6"/>
        <v>72.599121621621606</v>
      </c>
      <c r="W74">
        <v>533</v>
      </c>
      <c r="X74">
        <f t="shared" si="7"/>
        <v>25077.200000000004</v>
      </c>
      <c r="Y74">
        <v>10.782389453494581</v>
      </c>
    </row>
    <row r="75" spans="1:25" x14ac:dyDescent="0.35">
      <c r="A75">
        <v>2920</v>
      </c>
      <c r="B75">
        <v>23610</v>
      </c>
      <c r="C75" s="1">
        <v>43020</v>
      </c>
      <c r="D75" s="1"/>
      <c r="E75" s="1"/>
      <c r="F75" s="46"/>
      <c r="G75">
        <v>16.600000000000001</v>
      </c>
      <c r="H75">
        <v>14.6</v>
      </c>
      <c r="I75">
        <v>19.399999999999999</v>
      </c>
      <c r="J75">
        <f t="shared" si="4"/>
        <v>446.89999999999992</v>
      </c>
      <c r="K75">
        <f t="shared" si="5"/>
        <v>446.89999999999992</v>
      </c>
      <c r="M75">
        <v>0</v>
      </c>
      <c r="N75">
        <v>1</v>
      </c>
      <c r="O75">
        <f t="shared" si="9"/>
        <v>-1</v>
      </c>
      <c r="Q75">
        <v>32</v>
      </c>
      <c r="R75">
        <f t="shared" si="8"/>
        <v>0.5871621621621621</v>
      </c>
      <c r="S75">
        <f t="shared" si="10"/>
        <v>0.5871621621621621</v>
      </c>
      <c r="T75">
        <f t="shared" si="11"/>
        <v>-0.5871621621621621</v>
      </c>
      <c r="U75">
        <f t="shared" si="6"/>
        <v>72.011959459459447</v>
      </c>
      <c r="W75">
        <v>413.5</v>
      </c>
      <c r="X75">
        <f t="shared" si="7"/>
        <v>25490.700000000004</v>
      </c>
      <c r="Y75">
        <v>10.724316339637516</v>
      </c>
    </row>
    <row r="76" spans="1:25" x14ac:dyDescent="0.35">
      <c r="A76">
        <v>2920</v>
      </c>
      <c r="B76">
        <v>23610</v>
      </c>
      <c r="C76" s="1">
        <v>43021</v>
      </c>
      <c r="D76" s="1"/>
      <c r="E76" s="1"/>
      <c r="F76" s="46"/>
      <c r="G76">
        <v>15.7</v>
      </c>
      <c r="H76">
        <v>14.8</v>
      </c>
      <c r="I76">
        <v>17.8</v>
      </c>
      <c r="J76">
        <f t="shared" si="4"/>
        <v>462.59999999999991</v>
      </c>
      <c r="K76">
        <f t="shared" si="5"/>
        <v>462.59999999999991</v>
      </c>
      <c r="M76">
        <v>0.3</v>
      </c>
      <c r="N76">
        <v>0.8</v>
      </c>
      <c r="O76">
        <f t="shared" si="9"/>
        <v>-0.5</v>
      </c>
      <c r="Q76">
        <v>33</v>
      </c>
      <c r="R76">
        <f t="shared" si="8"/>
        <v>0.59594594594594597</v>
      </c>
      <c r="S76">
        <f t="shared" si="10"/>
        <v>0.47675675675675677</v>
      </c>
      <c r="T76">
        <f t="shared" si="11"/>
        <v>-0.17675675675675678</v>
      </c>
      <c r="U76">
        <f t="shared" si="6"/>
        <v>71.835202702702688</v>
      </c>
      <c r="W76">
        <v>367.3</v>
      </c>
      <c r="X76">
        <f t="shared" si="7"/>
        <v>25858.000000000004</v>
      </c>
      <c r="Y76">
        <v>10.66644271861089</v>
      </c>
    </row>
    <row r="77" spans="1:25" x14ac:dyDescent="0.35">
      <c r="A77">
        <v>2920</v>
      </c>
      <c r="B77">
        <v>23610</v>
      </c>
      <c r="C77" s="1">
        <v>43022</v>
      </c>
      <c r="D77" s="1"/>
      <c r="E77" s="1"/>
      <c r="F77" s="46"/>
      <c r="G77">
        <v>15.7</v>
      </c>
      <c r="H77">
        <v>10</v>
      </c>
      <c r="I77">
        <v>20.8</v>
      </c>
      <c r="J77">
        <f t="shared" si="4"/>
        <v>478.2999999999999</v>
      </c>
      <c r="K77">
        <f t="shared" si="5"/>
        <v>478.2999999999999</v>
      </c>
      <c r="M77">
        <v>0.1</v>
      </c>
      <c r="N77">
        <v>2.2999999999999998</v>
      </c>
      <c r="O77">
        <f t="shared" si="9"/>
        <v>-2.1999999999999997</v>
      </c>
      <c r="Q77">
        <v>34</v>
      </c>
      <c r="R77">
        <f t="shared" si="8"/>
        <v>0.60472972972972971</v>
      </c>
      <c r="S77">
        <f t="shared" si="10"/>
        <v>1.3908783783783782</v>
      </c>
      <c r="T77">
        <f t="shared" si="11"/>
        <v>-1.2908783783783782</v>
      </c>
      <c r="U77">
        <f t="shared" si="6"/>
        <v>70.544324324324307</v>
      </c>
      <c r="W77">
        <v>1325.6</v>
      </c>
      <c r="X77">
        <f t="shared" si="7"/>
        <v>27183.600000000002</v>
      </c>
      <c r="Y77">
        <v>10.608780292974748</v>
      </c>
    </row>
    <row r="78" spans="1:25" x14ac:dyDescent="0.35">
      <c r="A78">
        <v>2920</v>
      </c>
      <c r="B78">
        <v>23610</v>
      </c>
      <c r="C78" s="1">
        <v>43023</v>
      </c>
      <c r="D78" s="1"/>
      <c r="E78" s="1"/>
      <c r="F78" s="46"/>
      <c r="G78">
        <v>17.100000000000001</v>
      </c>
      <c r="H78">
        <v>14</v>
      </c>
      <c r="I78">
        <v>19.5</v>
      </c>
      <c r="J78">
        <f t="shared" si="4"/>
        <v>495.39999999999992</v>
      </c>
      <c r="K78">
        <f t="shared" si="5"/>
        <v>495.39999999999992</v>
      </c>
      <c r="M78">
        <v>0.2</v>
      </c>
      <c r="N78">
        <v>1.1000000000000001</v>
      </c>
      <c r="O78">
        <f t="shared" si="9"/>
        <v>-0.90000000000000013</v>
      </c>
      <c r="Q78">
        <v>35</v>
      </c>
      <c r="R78">
        <f t="shared" si="8"/>
        <v>0.61351351351351346</v>
      </c>
      <c r="S78">
        <f t="shared" si="10"/>
        <v>0.67486486486486486</v>
      </c>
      <c r="T78">
        <f t="shared" si="11"/>
        <v>-0.47486486486486484</v>
      </c>
      <c r="U78">
        <f t="shared" si="6"/>
        <v>70.069459459459438</v>
      </c>
      <c r="W78">
        <v>490</v>
      </c>
      <c r="X78">
        <f t="shared" si="7"/>
        <v>27673.600000000002</v>
      </c>
      <c r="Y78">
        <v>10.551341084701024</v>
      </c>
    </row>
    <row r="79" spans="1:25" x14ac:dyDescent="0.35">
      <c r="A79">
        <v>2920</v>
      </c>
      <c r="B79">
        <v>23610</v>
      </c>
      <c r="C79" s="1">
        <v>43024</v>
      </c>
      <c r="D79" s="1"/>
      <c r="E79" s="1"/>
      <c r="F79" s="46"/>
      <c r="G79">
        <v>16.5</v>
      </c>
      <c r="H79">
        <v>15.5</v>
      </c>
      <c r="I79">
        <v>19.399999999999999</v>
      </c>
      <c r="J79">
        <f t="shared" si="4"/>
        <v>511.89999999999992</v>
      </c>
      <c r="K79">
        <f t="shared" si="5"/>
        <v>511.89999999999992</v>
      </c>
      <c r="M79">
        <v>0.9</v>
      </c>
      <c r="N79">
        <v>1.3</v>
      </c>
      <c r="O79">
        <f t="shared" si="9"/>
        <v>-0.4</v>
      </c>
      <c r="Q79">
        <v>36</v>
      </c>
      <c r="R79">
        <f t="shared" si="8"/>
        <v>0.62229729729729732</v>
      </c>
      <c r="S79">
        <f t="shared" si="10"/>
        <v>0.80898648648648652</v>
      </c>
      <c r="T79">
        <f t="shared" si="11"/>
        <v>9.10135135135135E-2</v>
      </c>
      <c r="U79">
        <f t="shared" si="6"/>
        <v>70.160472972972954</v>
      </c>
      <c r="W79">
        <v>487.9</v>
      </c>
      <c r="X79">
        <f t="shared" si="7"/>
        <v>28161.500000000004</v>
      </c>
      <c r="Y79">
        <v>10.494137446560973</v>
      </c>
    </row>
    <row r="80" spans="1:25" x14ac:dyDescent="0.35">
      <c r="A80">
        <v>2920</v>
      </c>
      <c r="B80">
        <v>23610</v>
      </c>
      <c r="C80" s="1">
        <v>43025</v>
      </c>
      <c r="D80" s="1"/>
      <c r="E80" s="1"/>
      <c r="F80" s="46"/>
      <c r="G80">
        <v>15.6</v>
      </c>
      <c r="H80">
        <v>12.1</v>
      </c>
      <c r="I80">
        <v>18.5</v>
      </c>
      <c r="J80">
        <f t="shared" si="4"/>
        <v>527.49999999999989</v>
      </c>
      <c r="K80">
        <f t="shared" si="5"/>
        <v>527.49999999999989</v>
      </c>
      <c r="M80">
        <v>0.4</v>
      </c>
      <c r="N80">
        <v>1.3</v>
      </c>
      <c r="O80">
        <f t="shared" si="9"/>
        <v>-0.9</v>
      </c>
      <c r="Q80">
        <v>37</v>
      </c>
      <c r="R80">
        <f t="shared" si="8"/>
        <v>0.63108108108108107</v>
      </c>
      <c r="S80">
        <f t="shared" si="10"/>
        <v>0.82040540540540541</v>
      </c>
      <c r="T80">
        <f t="shared" si="11"/>
        <v>-0.42040540540540539</v>
      </c>
      <c r="U80">
        <f t="shared" si="6"/>
        <v>69.74006756756755</v>
      </c>
      <c r="W80">
        <v>709.1</v>
      </c>
      <c r="X80">
        <f t="shared" si="7"/>
        <v>28870.600000000002</v>
      </c>
      <c r="Y80">
        <v>10.437182073043973</v>
      </c>
    </row>
    <row r="81" spans="1:25" x14ac:dyDescent="0.35">
      <c r="A81">
        <v>2920</v>
      </c>
      <c r="B81">
        <v>23610</v>
      </c>
      <c r="C81" s="1">
        <v>43026</v>
      </c>
      <c r="D81" s="1"/>
      <c r="E81" s="1"/>
      <c r="F81" s="46"/>
      <c r="G81">
        <v>16.2</v>
      </c>
      <c r="H81">
        <v>15.4</v>
      </c>
      <c r="I81">
        <v>17</v>
      </c>
      <c r="J81">
        <f t="shared" si="4"/>
        <v>543.69999999999993</v>
      </c>
      <c r="K81">
        <f t="shared" si="5"/>
        <v>543.69999999999993</v>
      </c>
      <c r="M81">
        <v>3.2</v>
      </c>
      <c r="N81">
        <v>0.4</v>
      </c>
      <c r="O81">
        <f t="shared" si="9"/>
        <v>2.8000000000000003</v>
      </c>
      <c r="Q81">
        <v>38</v>
      </c>
      <c r="R81">
        <f t="shared" si="8"/>
        <v>0.63986486486486482</v>
      </c>
      <c r="S81">
        <f t="shared" si="10"/>
        <v>0.25594594594594594</v>
      </c>
      <c r="T81">
        <f t="shared" si="11"/>
        <v>2.9440540540540541</v>
      </c>
      <c r="U81">
        <f t="shared" si="6"/>
        <v>72.6841216216216</v>
      </c>
      <c r="W81">
        <v>250.2</v>
      </c>
      <c r="X81">
        <f t="shared" si="7"/>
        <v>29120.800000000003</v>
      </c>
      <c r="Y81">
        <v>10.380488010766509</v>
      </c>
    </row>
    <row r="82" spans="1:25" x14ac:dyDescent="0.35">
      <c r="A82">
        <v>2920</v>
      </c>
      <c r="B82">
        <v>23610</v>
      </c>
      <c r="C82" s="1">
        <v>43027</v>
      </c>
      <c r="D82" s="1"/>
      <c r="E82" s="1"/>
      <c r="F82" s="46"/>
      <c r="G82">
        <v>14.7</v>
      </c>
      <c r="H82">
        <v>14.3</v>
      </c>
      <c r="I82">
        <v>17.100000000000001</v>
      </c>
      <c r="J82">
        <f t="shared" si="4"/>
        <v>558.4</v>
      </c>
      <c r="K82">
        <f t="shared" si="5"/>
        <v>558.4</v>
      </c>
      <c r="M82">
        <v>10.7</v>
      </c>
      <c r="N82">
        <v>1.3</v>
      </c>
      <c r="O82">
        <f t="shared" si="9"/>
        <v>9.3999999999999986</v>
      </c>
      <c r="Q82">
        <v>39</v>
      </c>
      <c r="R82">
        <f t="shared" si="8"/>
        <v>0.64864864864864868</v>
      </c>
      <c r="S82">
        <f t="shared" si="10"/>
        <v>0.84324324324324329</v>
      </c>
      <c r="T82">
        <f t="shared" si="11"/>
        <v>9.8567567567567558</v>
      </c>
      <c r="U82">
        <f t="shared" si="6"/>
        <v>82.540878378378352</v>
      </c>
      <c r="W82">
        <v>362.6</v>
      </c>
      <c r="X82">
        <f t="shared" si="7"/>
        <v>29483.4</v>
      </c>
      <c r="Y82">
        <v>10.32406866832776</v>
      </c>
    </row>
    <row r="83" spans="1:25" x14ac:dyDescent="0.35">
      <c r="A83">
        <v>2920</v>
      </c>
      <c r="B83">
        <v>23610</v>
      </c>
      <c r="C83" s="1">
        <v>43028</v>
      </c>
      <c r="D83" s="1"/>
      <c r="E83" s="1"/>
      <c r="F83" s="46"/>
      <c r="G83">
        <v>13.3</v>
      </c>
      <c r="H83">
        <v>9.1999999999999993</v>
      </c>
      <c r="I83">
        <v>15.8</v>
      </c>
      <c r="J83">
        <f t="shared" si="4"/>
        <v>571.69999999999993</v>
      </c>
      <c r="K83">
        <f t="shared" si="5"/>
        <v>571.69999999999993</v>
      </c>
      <c r="M83">
        <v>2.4</v>
      </c>
      <c r="N83">
        <v>1</v>
      </c>
      <c r="O83">
        <f t="shared" si="9"/>
        <v>1.4</v>
      </c>
      <c r="Q83">
        <v>40</v>
      </c>
      <c r="R83">
        <f t="shared" si="8"/>
        <v>0.65743243243243243</v>
      </c>
      <c r="S83">
        <f t="shared" si="10"/>
        <v>0.65743243243243243</v>
      </c>
      <c r="T83">
        <f t="shared" si="11"/>
        <v>1.7425675675675674</v>
      </c>
      <c r="U83">
        <f t="shared" si="6"/>
        <v>84.283445945945914</v>
      </c>
      <c r="W83">
        <v>538</v>
      </c>
      <c r="X83">
        <f t="shared" si="7"/>
        <v>30021.4</v>
      </c>
      <c r="Y83">
        <v>10.267937825565793</v>
      </c>
    </row>
    <row r="84" spans="1:25" x14ac:dyDescent="0.35">
      <c r="A84">
        <v>2920</v>
      </c>
      <c r="B84">
        <v>23610</v>
      </c>
      <c r="C84" s="1">
        <v>43029</v>
      </c>
      <c r="D84" s="1"/>
      <c r="E84" s="1"/>
      <c r="F84" s="46"/>
      <c r="G84">
        <v>12.8</v>
      </c>
      <c r="H84">
        <v>11.5</v>
      </c>
      <c r="I84">
        <v>13.9</v>
      </c>
      <c r="J84">
        <f t="shared" si="4"/>
        <v>584.49999999999989</v>
      </c>
      <c r="K84">
        <f t="shared" si="5"/>
        <v>584.49999999999989</v>
      </c>
      <c r="M84">
        <v>2</v>
      </c>
      <c r="N84">
        <v>1.5</v>
      </c>
      <c r="O84">
        <f t="shared" si="9"/>
        <v>0.5</v>
      </c>
      <c r="Q84">
        <v>41</v>
      </c>
      <c r="R84">
        <f t="shared" si="8"/>
        <v>0.66621621621621618</v>
      </c>
      <c r="S84">
        <f t="shared" si="10"/>
        <v>0.99932432432432428</v>
      </c>
      <c r="T84">
        <f t="shared" si="11"/>
        <v>1.0006756756756756</v>
      </c>
      <c r="U84">
        <f t="shared" si="6"/>
        <v>85.284121621621594</v>
      </c>
      <c r="W84">
        <v>794.2</v>
      </c>
      <c r="X84">
        <f t="shared" si="7"/>
        <v>30815.600000000002</v>
      </c>
      <c r="Y84">
        <v>10.212109642165881</v>
      </c>
    </row>
    <row r="85" spans="1:25" x14ac:dyDescent="0.35">
      <c r="A85">
        <v>2920</v>
      </c>
      <c r="B85">
        <v>23610</v>
      </c>
      <c r="C85" s="1">
        <v>43030</v>
      </c>
      <c r="D85" s="1"/>
      <c r="E85" s="1"/>
      <c r="F85" s="46"/>
      <c r="G85">
        <v>11.4</v>
      </c>
      <c r="H85">
        <v>8.9</v>
      </c>
      <c r="I85">
        <v>13.4</v>
      </c>
      <c r="J85">
        <f t="shared" si="4"/>
        <v>595.89999999999986</v>
      </c>
      <c r="K85">
        <f t="shared" si="5"/>
        <v>595.89999999999986</v>
      </c>
      <c r="M85">
        <v>1</v>
      </c>
      <c r="N85">
        <v>1.3</v>
      </c>
      <c r="O85">
        <f t="shared" si="9"/>
        <v>-0.30000000000000004</v>
      </c>
      <c r="Q85">
        <v>42</v>
      </c>
      <c r="R85">
        <f t="shared" si="8"/>
        <v>0.67500000000000004</v>
      </c>
      <c r="S85">
        <f t="shared" si="10"/>
        <v>0.87750000000000006</v>
      </c>
      <c r="T85">
        <f t="shared" si="11"/>
        <v>0.12249999999999994</v>
      </c>
      <c r="U85">
        <f t="shared" si="6"/>
        <v>85.406621621621596</v>
      </c>
      <c r="W85">
        <v>503.8</v>
      </c>
      <c r="X85">
        <f t="shared" si="7"/>
        <v>31319.4</v>
      </c>
      <c r="Y85">
        <v>10.156598665570007</v>
      </c>
    </row>
    <row r="86" spans="1:25" x14ac:dyDescent="0.35">
      <c r="A86">
        <v>2920</v>
      </c>
      <c r="B86">
        <v>23610</v>
      </c>
      <c r="C86" s="1">
        <v>43031</v>
      </c>
      <c r="D86" s="1"/>
      <c r="E86" s="1"/>
      <c r="F86" s="46"/>
      <c r="G86">
        <v>13.7</v>
      </c>
      <c r="H86">
        <v>11.2</v>
      </c>
      <c r="I86">
        <v>15.5</v>
      </c>
      <c r="J86">
        <f t="shared" si="4"/>
        <v>609.59999999999991</v>
      </c>
      <c r="K86">
        <f t="shared" si="5"/>
        <v>609.59999999999991</v>
      </c>
      <c r="M86">
        <v>2.9</v>
      </c>
      <c r="N86">
        <v>0.5</v>
      </c>
      <c r="O86">
        <f t="shared" si="9"/>
        <v>2.4</v>
      </c>
      <c r="Q86">
        <v>43</v>
      </c>
      <c r="R86">
        <f t="shared" si="8"/>
        <v>0.68378378378378368</v>
      </c>
      <c r="S86">
        <f t="shared" si="10"/>
        <v>0.34189189189189184</v>
      </c>
      <c r="T86">
        <f t="shared" si="11"/>
        <v>2.5581081081081081</v>
      </c>
      <c r="U86">
        <f t="shared" si="6"/>
        <v>87.964729729729697</v>
      </c>
      <c r="W86">
        <v>127.7</v>
      </c>
      <c r="X86">
        <f t="shared" si="7"/>
        <v>31447.100000000002</v>
      </c>
      <c r="Y86">
        <v>10.101419838134126</v>
      </c>
    </row>
    <row r="87" spans="1:25" x14ac:dyDescent="0.35">
      <c r="A87">
        <v>2920</v>
      </c>
      <c r="B87">
        <v>23610</v>
      </c>
      <c r="C87" s="1">
        <v>43032</v>
      </c>
      <c r="D87" s="1"/>
      <c r="E87" s="1"/>
      <c r="F87" s="46"/>
      <c r="G87">
        <v>14.8</v>
      </c>
      <c r="H87">
        <v>14.3</v>
      </c>
      <c r="I87">
        <v>16.3</v>
      </c>
      <c r="J87">
        <f t="shared" si="4"/>
        <v>624.39999999999986</v>
      </c>
      <c r="K87">
        <f t="shared" si="5"/>
        <v>624.39999999999986</v>
      </c>
      <c r="M87">
        <v>0.2</v>
      </c>
      <c r="N87">
        <v>0.6</v>
      </c>
      <c r="O87">
        <f t="shared" si="9"/>
        <v>-0.39999999999999997</v>
      </c>
      <c r="Q87">
        <v>44</v>
      </c>
      <c r="R87">
        <f t="shared" si="8"/>
        <v>0.69256756756756754</v>
      </c>
      <c r="S87">
        <f t="shared" si="10"/>
        <v>0.41554054054054052</v>
      </c>
      <c r="T87">
        <f t="shared" si="11"/>
        <v>-0.2155405405405405</v>
      </c>
      <c r="U87">
        <f t="shared" si="6"/>
        <v>87.749189189189153</v>
      </c>
      <c r="W87">
        <v>214.8</v>
      </c>
      <c r="X87">
        <f t="shared" si="7"/>
        <v>31661.9</v>
      </c>
      <c r="Y87">
        <v>10.046588503477551</v>
      </c>
    </row>
    <row r="88" spans="1:25" x14ac:dyDescent="0.35">
      <c r="A88">
        <v>2920</v>
      </c>
      <c r="B88">
        <v>23610</v>
      </c>
      <c r="C88" s="1">
        <v>43033</v>
      </c>
      <c r="D88" s="1"/>
      <c r="E88" s="1"/>
      <c r="F88" s="46"/>
      <c r="G88">
        <v>11.9</v>
      </c>
      <c r="H88">
        <v>11.5</v>
      </c>
      <c r="I88">
        <v>13.9</v>
      </c>
      <c r="J88">
        <f t="shared" si="4"/>
        <v>636.29999999999984</v>
      </c>
      <c r="K88">
        <f t="shared" si="5"/>
        <v>636.29999999999984</v>
      </c>
      <c r="M88">
        <v>0.2</v>
      </c>
      <c r="N88">
        <v>0.7</v>
      </c>
      <c r="O88">
        <f t="shared" si="9"/>
        <v>-0.49999999999999994</v>
      </c>
      <c r="Q88">
        <v>45</v>
      </c>
      <c r="R88">
        <f t="shared" si="8"/>
        <v>0.7013513513513514</v>
      </c>
      <c r="S88">
        <f t="shared" si="10"/>
        <v>0.49094594594594593</v>
      </c>
      <c r="T88">
        <f t="shared" si="11"/>
        <v>-0.29094594594594592</v>
      </c>
      <c r="U88">
        <f t="shared" si="6"/>
        <v>87.458243243243203</v>
      </c>
      <c r="W88">
        <v>283.5</v>
      </c>
      <c r="X88">
        <f t="shared" si="7"/>
        <v>31945.4</v>
      </c>
      <c r="Y88">
        <v>9.9921204119662548</v>
      </c>
    </row>
    <row r="89" spans="1:25" x14ac:dyDescent="0.35">
      <c r="A89">
        <v>2920</v>
      </c>
      <c r="B89">
        <v>23610</v>
      </c>
      <c r="C89" s="1">
        <v>43034</v>
      </c>
      <c r="D89" s="1"/>
      <c r="E89" s="1"/>
      <c r="F89" s="46"/>
      <c r="G89">
        <v>11.4</v>
      </c>
      <c r="H89">
        <v>7.8</v>
      </c>
      <c r="I89">
        <v>13.9</v>
      </c>
      <c r="J89">
        <f t="shared" si="4"/>
        <v>647.69999999999982</v>
      </c>
      <c r="K89">
        <f t="shared" si="5"/>
        <v>647.69999999999982</v>
      </c>
      <c r="M89">
        <v>0.2</v>
      </c>
      <c r="N89">
        <v>1.1000000000000001</v>
      </c>
      <c r="O89">
        <f t="shared" si="9"/>
        <v>-0.90000000000000013</v>
      </c>
      <c r="Q89">
        <v>46</v>
      </c>
      <c r="R89">
        <f t="shared" si="8"/>
        <v>0.71013513513513515</v>
      </c>
      <c r="S89">
        <f t="shared" si="10"/>
        <v>0.78114864864864875</v>
      </c>
      <c r="T89">
        <f t="shared" si="11"/>
        <v>-0.58114864864864879</v>
      </c>
      <c r="U89">
        <f t="shared" si="6"/>
        <v>86.877094594594553</v>
      </c>
      <c r="W89">
        <v>483.9</v>
      </c>
      <c r="X89">
        <f t="shared" si="7"/>
        <v>32429.300000000003</v>
      </c>
      <c r="Y89">
        <v>9.9380317252698891</v>
      </c>
    </row>
    <row r="90" spans="1:25" x14ac:dyDescent="0.35">
      <c r="A90">
        <v>2920</v>
      </c>
      <c r="B90">
        <v>23610</v>
      </c>
      <c r="C90" s="1">
        <v>43035</v>
      </c>
      <c r="D90" s="1"/>
      <c r="E90" s="1"/>
      <c r="F90" s="46"/>
      <c r="G90">
        <v>12.7</v>
      </c>
      <c r="H90">
        <v>11.5</v>
      </c>
      <c r="I90">
        <v>16.100000000000001</v>
      </c>
      <c r="J90">
        <f t="shared" si="4"/>
        <v>660.39999999999986</v>
      </c>
      <c r="K90">
        <f t="shared" si="5"/>
        <v>660.39999999999986</v>
      </c>
      <c r="M90">
        <v>0.2</v>
      </c>
      <c r="N90">
        <v>0.8</v>
      </c>
      <c r="O90">
        <f t="shared" si="9"/>
        <v>-0.60000000000000009</v>
      </c>
      <c r="Q90">
        <v>47</v>
      </c>
      <c r="R90">
        <f t="shared" si="8"/>
        <v>0.7189189189189189</v>
      </c>
      <c r="S90">
        <f t="shared" si="10"/>
        <v>0.57513513513513514</v>
      </c>
      <c r="T90">
        <f t="shared" si="11"/>
        <v>-0.37513513513513513</v>
      </c>
      <c r="U90">
        <f t="shared" si="6"/>
        <v>86.501959459459414</v>
      </c>
      <c r="W90">
        <v>260.39999999999998</v>
      </c>
      <c r="X90">
        <f t="shared" si="7"/>
        <v>32689.700000000004</v>
      </c>
      <c r="Y90">
        <v>9.8843390199300991</v>
      </c>
    </row>
    <row r="91" spans="1:25" x14ac:dyDescent="0.35">
      <c r="A91">
        <v>2920</v>
      </c>
      <c r="B91">
        <v>23610</v>
      </c>
      <c r="C91" s="1">
        <v>43036</v>
      </c>
      <c r="D91" s="1"/>
      <c r="E91" s="1"/>
      <c r="F91" s="46"/>
      <c r="G91">
        <v>10</v>
      </c>
      <c r="H91">
        <v>4.3</v>
      </c>
      <c r="I91">
        <v>13.6</v>
      </c>
      <c r="J91">
        <f t="shared" si="4"/>
        <v>670.39999999999986</v>
      </c>
      <c r="K91">
        <f t="shared" si="5"/>
        <v>670.39999999999986</v>
      </c>
      <c r="M91">
        <v>0.9</v>
      </c>
      <c r="N91">
        <v>1</v>
      </c>
      <c r="O91">
        <f t="shared" si="9"/>
        <v>-9.9999999999999978E-2</v>
      </c>
      <c r="Q91">
        <v>48</v>
      </c>
      <c r="R91">
        <f t="shared" si="8"/>
        <v>0.72770270270270265</v>
      </c>
      <c r="S91">
        <f t="shared" si="10"/>
        <v>0.72770270270270265</v>
      </c>
      <c r="T91">
        <f t="shared" si="11"/>
        <v>0.17229729729729737</v>
      </c>
      <c r="U91">
        <f t="shared" si="6"/>
        <v>86.674256756756705</v>
      </c>
      <c r="W91">
        <v>813.5</v>
      </c>
      <c r="X91">
        <f t="shared" si="7"/>
        <v>33503.200000000004</v>
      </c>
      <c r="Y91">
        <v>9.8310592898758404</v>
      </c>
    </row>
    <row r="92" spans="1:25" x14ac:dyDescent="0.35">
      <c r="A92">
        <v>2920</v>
      </c>
      <c r="B92">
        <v>23610</v>
      </c>
      <c r="C92" s="1">
        <v>43037</v>
      </c>
      <c r="D92" s="1"/>
      <c r="E92" s="1"/>
      <c r="F92" s="46"/>
      <c r="G92">
        <v>12.6</v>
      </c>
      <c r="H92">
        <v>11.3</v>
      </c>
      <c r="I92">
        <v>14.1</v>
      </c>
      <c r="J92">
        <f t="shared" si="4"/>
        <v>682.99999999999989</v>
      </c>
      <c r="K92">
        <f t="shared" si="5"/>
        <v>682.99999999999989</v>
      </c>
      <c r="M92">
        <v>0.7</v>
      </c>
      <c r="N92">
        <v>0.4</v>
      </c>
      <c r="O92">
        <f t="shared" si="9"/>
        <v>0.29999999999999993</v>
      </c>
      <c r="Q92">
        <v>49</v>
      </c>
      <c r="R92">
        <f t="shared" si="8"/>
        <v>0.73648648648648651</v>
      </c>
      <c r="S92">
        <f t="shared" si="10"/>
        <v>0.29459459459459464</v>
      </c>
      <c r="T92">
        <f t="shared" si="11"/>
        <v>0.40540540540540532</v>
      </c>
      <c r="U92">
        <f t="shared" si="6"/>
        <v>87.079662162162109</v>
      </c>
      <c r="W92">
        <v>159.19999999999999</v>
      </c>
      <c r="X92">
        <f t="shared" si="7"/>
        <v>33662.400000000001</v>
      </c>
      <c r="Y92">
        <v>9.778209947819624</v>
      </c>
    </row>
    <row r="93" spans="1:25" x14ac:dyDescent="0.35">
      <c r="A93">
        <v>2920</v>
      </c>
      <c r="B93">
        <v>23610</v>
      </c>
      <c r="C93" s="1">
        <v>43038</v>
      </c>
      <c r="D93" s="1"/>
      <c r="E93" s="1"/>
      <c r="F93" s="46"/>
      <c r="G93">
        <v>8.6</v>
      </c>
      <c r="H93">
        <v>6.7</v>
      </c>
      <c r="I93">
        <v>13</v>
      </c>
      <c r="J93">
        <f t="shared" si="4"/>
        <v>691.59999999999991</v>
      </c>
      <c r="K93">
        <f t="shared" si="5"/>
        <v>691.59999999999991</v>
      </c>
      <c r="M93">
        <v>0.2</v>
      </c>
      <c r="N93">
        <v>1</v>
      </c>
      <c r="O93">
        <f t="shared" si="9"/>
        <v>-0.8</v>
      </c>
      <c r="Q93">
        <v>50</v>
      </c>
      <c r="R93">
        <f t="shared" si="8"/>
        <v>0.74527027027027026</v>
      </c>
      <c r="S93">
        <f t="shared" si="10"/>
        <v>0.74527027027027026</v>
      </c>
      <c r="T93">
        <f t="shared" si="11"/>
        <v>-0.54527027027027031</v>
      </c>
      <c r="U93">
        <f t="shared" si="6"/>
        <v>86.534391891891843</v>
      </c>
      <c r="W93">
        <v>448.7</v>
      </c>
      <c r="X93">
        <f t="shared" si="7"/>
        <v>34111.1</v>
      </c>
      <c r="Y93">
        <v>9.7258088254671407</v>
      </c>
    </row>
    <row r="94" spans="1:25" x14ac:dyDescent="0.35">
      <c r="A94">
        <v>2920</v>
      </c>
      <c r="B94">
        <v>23610</v>
      </c>
      <c r="C94" s="1">
        <v>43039</v>
      </c>
      <c r="D94" s="1"/>
      <c r="E94" s="1"/>
      <c r="F94" s="46"/>
      <c r="G94">
        <v>7.1</v>
      </c>
      <c r="H94">
        <v>2</v>
      </c>
      <c r="I94">
        <v>11.9</v>
      </c>
      <c r="J94">
        <f t="shared" si="4"/>
        <v>698.69999999999993</v>
      </c>
      <c r="K94">
        <f t="shared" si="5"/>
        <v>698.69999999999993</v>
      </c>
      <c r="M94">
        <v>0</v>
      </c>
      <c r="N94">
        <v>1.3</v>
      </c>
      <c r="O94">
        <f t="shared" si="9"/>
        <v>-1.3</v>
      </c>
      <c r="Q94">
        <v>51</v>
      </c>
      <c r="R94">
        <f t="shared" si="8"/>
        <v>0.75405405405405401</v>
      </c>
      <c r="S94">
        <f t="shared" si="10"/>
        <v>0.98027027027027025</v>
      </c>
      <c r="T94">
        <f t="shared" si="11"/>
        <v>-0.98027027027027025</v>
      </c>
      <c r="U94">
        <f t="shared" si="6"/>
        <v>85.554121621621576</v>
      </c>
      <c r="W94">
        <v>999.6</v>
      </c>
      <c r="X94">
        <f t="shared" si="7"/>
        <v>35110.699999999997</v>
      </c>
      <c r="Y94">
        <v>9.6738741724714572</v>
      </c>
    </row>
    <row r="95" spans="1:25" x14ac:dyDescent="0.35">
      <c r="A95">
        <v>2920</v>
      </c>
      <c r="B95">
        <v>23610</v>
      </c>
      <c r="C95" s="1">
        <v>43040</v>
      </c>
      <c r="D95" s="1"/>
      <c r="E95" s="1"/>
      <c r="F95" s="46"/>
      <c r="G95">
        <v>8.8000000000000007</v>
      </c>
      <c r="H95">
        <v>5.5</v>
      </c>
      <c r="I95">
        <v>11.7</v>
      </c>
      <c r="J95">
        <f t="shared" si="4"/>
        <v>707.49999999999989</v>
      </c>
      <c r="K95">
        <f t="shared" si="5"/>
        <v>707.49999999999989</v>
      </c>
      <c r="M95">
        <v>0</v>
      </c>
      <c r="N95">
        <v>0.7</v>
      </c>
      <c r="O95">
        <f t="shared" si="9"/>
        <v>-0.7</v>
      </c>
      <c r="Q95">
        <v>52</v>
      </c>
      <c r="R95">
        <f t="shared" si="8"/>
        <v>0.76283783783783776</v>
      </c>
      <c r="S95">
        <f t="shared" si="10"/>
        <v>0.53398648648648639</v>
      </c>
      <c r="T95">
        <f t="shared" si="11"/>
        <v>-0.53398648648648639</v>
      </c>
      <c r="U95">
        <f t="shared" si="6"/>
        <v>85.020135135135092</v>
      </c>
      <c r="W95">
        <v>388.1</v>
      </c>
      <c r="X95">
        <f t="shared" si="7"/>
        <v>35498.799999999996</v>
      </c>
      <c r="Y95">
        <v>9.6224246540620815</v>
      </c>
    </row>
    <row r="96" spans="1:25" x14ac:dyDescent="0.35">
      <c r="A96">
        <v>2920</v>
      </c>
      <c r="B96">
        <v>23610</v>
      </c>
      <c r="C96" s="1">
        <v>43041</v>
      </c>
      <c r="D96" s="1"/>
      <c r="E96" s="1"/>
      <c r="F96" s="46"/>
      <c r="G96">
        <v>11.6</v>
      </c>
      <c r="H96">
        <v>8.8000000000000007</v>
      </c>
      <c r="I96">
        <v>14.5</v>
      </c>
      <c r="J96">
        <f t="shared" si="4"/>
        <v>719.09999999999991</v>
      </c>
      <c r="K96">
        <f t="shared" si="5"/>
        <v>719.09999999999991</v>
      </c>
      <c r="M96">
        <v>0.2</v>
      </c>
      <c r="N96">
        <v>0.6</v>
      </c>
      <c r="O96">
        <f t="shared" si="9"/>
        <v>-0.39999999999999997</v>
      </c>
      <c r="Q96">
        <v>53</v>
      </c>
      <c r="R96">
        <f t="shared" si="8"/>
        <v>0.77162162162162162</v>
      </c>
      <c r="S96">
        <f t="shared" si="10"/>
        <v>0.46297297297297296</v>
      </c>
      <c r="T96">
        <f t="shared" si="11"/>
        <v>-0.26297297297297295</v>
      </c>
      <c r="U96">
        <f t="shared" si="6"/>
        <v>84.757162162162118</v>
      </c>
      <c r="W96">
        <v>281</v>
      </c>
      <c r="X96">
        <f t="shared" si="7"/>
        <v>35779.799999999996</v>
      </c>
      <c r="Y96">
        <v>9.5714793472785473</v>
      </c>
    </row>
    <row r="97" spans="1:25" x14ac:dyDescent="0.35">
      <c r="A97">
        <v>2920</v>
      </c>
      <c r="B97">
        <v>23610</v>
      </c>
      <c r="C97" s="1">
        <v>43042</v>
      </c>
      <c r="D97" s="1"/>
      <c r="E97" s="1"/>
      <c r="F97" s="46"/>
      <c r="G97">
        <v>12.3</v>
      </c>
      <c r="H97">
        <v>9.6</v>
      </c>
      <c r="I97">
        <v>14.4</v>
      </c>
      <c r="J97">
        <f t="shared" si="4"/>
        <v>731.39999999999986</v>
      </c>
      <c r="K97">
        <f t="shared" si="5"/>
        <v>731.39999999999986</v>
      </c>
      <c r="M97">
        <v>3.6</v>
      </c>
      <c r="N97">
        <v>0.5</v>
      </c>
      <c r="O97">
        <f t="shared" si="9"/>
        <v>3.1</v>
      </c>
      <c r="Q97">
        <v>54</v>
      </c>
      <c r="R97">
        <f t="shared" si="8"/>
        <v>0.78040540540540548</v>
      </c>
      <c r="S97">
        <f t="shared" si="10"/>
        <v>0.39020270270270274</v>
      </c>
      <c r="T97">
        <f t="shared" si="11"/>
        <v>3.2097972972972975</v>
      </c>
      <c r="U97">
        <f t="shared" si="6"/>
        <v>87.966959459459417</v>
      </c>
      <c r="W97">
        <v>252.5</v>
      </c>
      <c r="X97">
        <f t="shared" si="7"/>
        <v>36032.299999999996</v>
      </c>
      <c r="Y97">
        <v>9.521057735738184</v>
      </c>
    </row>
    <row r="98" spans="1:25" x14ac:dyDescent="0.35">
      <c r="A98">
        <v>2920</v>
      </c>
      <c r="B98">
        <v>23610</v>
      </c>
      <c r="C98" s="1">
        <v>43043</v>
      </c>
      <c r="D98" s="1"/>
      <c r="E98" s="1"/>
      <c r="F98" s="46"/>
      <c r="G98">
        <v>12.1</v>
      </c>
      <c r="H98">
        <v>10.5</v>
      </c>
      <c r="I98">
        <v>15</v>
      </c>
      <c r="J98">
        <f t="shared" si="4"/>
        <v>743.49999999999989</v>
      </c>
      <c r="K98">
        <f t="shared" si="5"/>
        <v>743.49999999999989</v>
      </c>
      <c r="M98">
        <v>5.5</v>
      </c>
      <c r="N98">
        <v>0.7</v>
      </c>
      <c r="O98">
        <f t="shared" si="9"/>
        <v>4.8</v>
      </c>
      <c r="Q98">
        <v>55</v>
      </c>
      <c r="R98">
        <f t="shared" si="8"/>
        <v>0.78918918918918912</v>
      </c>
      <c r="S98">
        <f t="shared" si="10"/>
        <v>0.55243243243243234</v>
      </c>
      <c r="T98">
        <f t="shared" si="11"/>
        <v>4.9475675675675674</v>
      </c>
      <c r="U98">
        <f t="shared" si="6"/>
        <v>92.914527027026992</v>
      </c>
      <c r="W98">
        <v>143.1</v>
      </c>
      <c r="X98">
        <f t="shared" si="7"/>
        <v>36175.399999999994</v>
      </c>
      <c r="Y98">
        <v>9.4711797028677687</v>
      </c>
    </row>
    <row r="99" spans="1:25" x14ac:dyDescent="0.35">
      <c r="A99">
        <v>2920</v>
      </c>
      <c r="B99">
        <v>23610</v>
      </c>
      <c r="C99" s="1">
        <v>43044</v>
      </c>
      <c r="D99" s="1"/>
      <c r="E99" s="1"/>
      <c r="F99" s="46"/>
      <c r="G99">
        <v>6.5</v>
      </c>
      <c r="H99">
        <v>5.8</v>
      </c>
      <c r="I99">
        <v>7.1</v>
      </c>
      <c r="J99">
        <f t="shared" si="4"/>
        <v>749.99999999999989</v>
      </c>
      <c r="K99">
        <f t="shared" si="5"/>
        <v>749.99999999999989</v>
      </c>
      <c r="M99">
        <v>9.3000000000000007</v>
      </c>
      <c r="N99">
        <v>0.4</v>
      </c>
      <c r="O99">
        <f t="shared" si="9"/>
        <v>8.9</v>
      </c>
      <c r="Q99">
        <v>56</v>
      </c>
      <c r="R99">
        <f t="shared" si="8"/>
        <v>0.79797297297297298</v>
      </c>
      <c r="S99">
        <f t="shared" si="10"/>
        <v>0.3191891891891892</v>
      </c>
      <c r="T99">
        <f t="shared" si="11"/>
        <v>8.9808108108108122</v>
      </c>
      <c r="U99">
        <f t="shared" si="6"/>
        <v>101.8953378378378</v>
      </c>
      <c r="W99">
        <v>130.30000000000001</v>
      </c>
      <c r="X99">
        <f t="shared" si="7"/>
        <v>36305.699999999997</v>
      </c>
      <c r="Y99">
        <v>9.4218655235298758</v>
      </c>
    </row>
    <row r="100" spans="1:25" x14ac:dyDescent="0.35">
      <c r="A100">
        <v>2920</v>
      </c>
      <c r="B100">
        <v>23610</v>
      </c>
      <c r="C100" s="1">
        <v>43045</v>
      </c>
      <c r="D100" s="1"/>
      <c r="E100" s="1"/>
      <c r="F100" s="46"/>
      <c r="G100">
        <v>7.5</v>
      </c>
      <c r="H100">
        <v>4.8</v>
      </c>
      <c r="I100">
        <v>11.9</v>
      </c>
      <c r="J100">
        <f t="shared" si="4"/>
        <v>757.49999999999989</v>
      </c>
      <c r="K100">
        <f t="shared" si="5"/>
        <v>757.49999999999989</v>
      </c>
      <c r="M100">
        <v>0.1</v>
      </c>
      <c r="N100">
        <v>1.3</v>
      </c>
      <c r="O100">
        <f t="shared" si="9"/>
        <v>-1.2</v>
      </c>
      <c r="Q100">
        <v>57</v>
      </c>
      <c r="R100">
        <f t="shared" si="8"/>
        <v>0.80675675675675684</v>
      </c>
      <c r="S100">
        <f t="shared" si="10"/>
        <v>1.0487837837837839</v>
      </c>
      <c r="T100">
        <f t="shared" si="11"/>
        <v>-0.94878378378378392</v>
      </c>
      <c r="U100">
        <f t="shared" si="6"/>
        <v>100.94655405405402</v>
      </c>
      <c r="W100">
        <v>924.1</v>
      </c>
      <c r="X100">
        <f t="shared" si="7"/>
        <v>37229.799999999996</v>
      </c>
      <c r="Y100">
        <v>9.3731358539758194</v>
      </c>
    </row>
    <row r="101" spans="1:25" x14ac:dyDescent="0.35">
      <c r="A101">
        <v>2920</v>
      </c>
      <c r="B101">
        <v>23610</v>
      </c>
      <c r="C101" s="1">
        <v>43046</v>
      </c>
      <c r="D101" s="1"/>
      <c r="E101" s="1"/>
      <c r="F101" s="46"/>
      <c r="G101">
        <v>7.2</v>
      </c>
      <c r="H101">
        <v>4.3</v>
      </c>
      <c r="I101">
        <v>9.5</v>
      </c>
      <c r="J101">
        <f t="shared" si="4"/>
        <v>764.69999999999993</v>
      </c>
      <c r="K101">
        <f t="shared" si="5"/>
        <v>764.69999999999993</v>
      </c>
      <c r="M101">
        <v>12</v>
      </c>
      <c r="N101">
        <v>0.7</v>
      </c>
      <c r="O101">
        <f t="shared" si="9"/>
        <v>11.3</v>
      </c>
      <c r="Q101">
        <v>58</v>
      </c>
      <c r="R101">
        <f t="shared" si="8"/>
        <v>0.81554054054054048</v>
      </c>
      <c r="S101">
        <f t="shared" si="10"/>
        <v>0.57087837837837829</v>
      </c>
      <c r="T101">
        <f t="shared" si="11"/>
        <v>11.429121621621622</v>
      </c>
      <c r="U101">
        <f t="shared" si="6"/>
        <v>112.37567567567564</v>
      </c>
      <c r="W101">
        <v>153.80000000000001</v>
      </c>
      <c r="X101">
        <f t="shared" si="7"/>
        <v>37383.599999999999</v>
      </c>
      <c r="Y101">
        <v>9.3250117200592744</v>
      </c>
    </row>
    <row r="102" spans="1:25" x14ac:dyDescent="0.35">
      <c r="A102">
        <v>2920</v>
      </c>
      <c r="B102">
        <v>23610</v>
      </c>
      <c r="C102" s="1">
        <v>43047</v>
      </c>
      <c r="D102" s="1"/>
      <c r="E102" s="1"/>
      <c r="F102" s="46"/>
      <c r="G102">
        <v>7.3</v>
      </c>
      <c r="H102">
        <v>5.4</v>
      </c>
      <c r="I102">
        <v>10.9</v>
      </c>
      <c r="J102">
        <f t="shared" si="4"/>
        <v>771.99999999999989</v>
      </c>
      <c r="K102">
        <f t="shared" si="5"/>
        <v>771.99999999999989</v>
      </c>
      <c r="M102">
        <v>0.1</v>
      </c>
      <c r="N102">
        <v>1.3</v>
      </c>
      <c r="O102">
        <f t="shared" si="9"/>
        <v>-1.2</v>
      </c>
      <c r="Q102">
        <v>59</v>
      </c>
      <c r="R102">
        <f t="shared" si="8"/>
        <v>0.82432432432432434</v>
      </c>
      <c r="S102">
        <f t="shared" si="10"/>
        <v>1.0716216216216217</v>
      </c>
      <c r="T102">
        <f t="shared" si="11"/>
        <v>-0.97162162162162169</v>
      </c>
      <c r="U102">
        <f t="shared" si="6"/>
        <v>111.40405405405401</v>
      </c>
      <c r="W102">
        <v>646.6</v>
      </c>
      <c r="X102">
        <f t="shared" si="7"/>
        <v>38030.199999999997</v>
      </c>
      <c r="Y102">
        <v>9.2775145036471933</v>
      </c>
    </row>
    <row r="103" spans="1:25" x14ac:dyDescent="0.35">
      <c r="A103">
        <v>2920</v>
      </c>
      <c r="B103">
        <v>23610</v>
      </c>
      <c r="C103" s="1">
        <v>43048</v>
      </c>
      <c r="D103" s="1"/>
      <c r="E103" s="1"/>
      <c r="F103" s="46"/>
      <c r="G103">
        <v>7.4</v>
      </c>
      <c r="H103">
        <v>2.2999999999999998</v>
      </c>
      <c r="I103">
        <v>10.3</v>
      </c>
      <c r="J103">
        <f t="shared" si="4"/>
        <v>779.39999999999986</v>
      </c>
      <c r="K103">
        <f t="shared" si="5"/>
        <v>779.39999999999986</v>
      </c>
      <c r="M103">
        <v>2.1</v>
      </c>
      <c r="N103">
        <v>0.2</v>
      </c>
      <c r="O103">
        <f t="shared" si="9"/>
        <v>1.9000000000000001</v>
      </c>
      <c r="Q103">
        <v>60</v>
      </c>
      <c r="R103">
        <f t="shared" si="8"/>
        <v>0.83310810810810809</v>
      </c>
      <c r="S103">
        <f t="shared" si="10"/>
        <v>0.16662162162162164</v>
      </c>
      <c r="T103">
        <f t="shared" si="11"/>
        <v>1.9333783783783784</v>
      </c>
      <c r="U103">
        <f t="shared" si="6"/>
        <v>113.33743243243239</v>
      </c>
      <c r="W103">
        <v>290.7</v>
      </c>
      <c r="X103">
        <f t="shared" si="7"/>
        <v>38320.899999999994</v>
      </c>
      <c r="Y103">
        <v>9.2306659271680385</v>
      </c>
    </row>
    <row r="104" spans="1:25" x14ac:dyDescent="0.35">
      <c r="A104">
        <v>2920</v>
      </c>
      <c r="B104">
        <v>23610</v>
      </c>
      <c r="C104" s="1">
        <v>43049</v>
      </c>
      <c r="D104" s="1"/>
      <c r="E104" s="1"/>
      <c r="F104" s="46"/>
      <c r="G104">
        <v>10.6</v>
      </c>
      <c r="H104">
        <v>9.1</v>
      </c>
      <c r="I104">
        <v>12.7</v>
      </c>
      <c r="J104">
        <f t="shared" si="4"/>
        <v>789.99999999999989</v>
      </c>
      <c r="K104">
        <f t="shared" si="5"/>
        <v>789.99999999999989</v>
      </c>
      <c r="M104">
        <v>0.6</v>
      </c>
      <c r="N104">
        <v>0.4</v>
      </c>
      <c r="O104">
        <f t="shared" si="9"/>
        <v>0.19999999999999996</v>
      </c>
      <c r="Q104">
        <v>61</v>
      </c>
      <c r="R104">
        <f t="shared" si="8"/>
        <v>0.84189189189189184</v>
      </c>
      <c r="S104">
        <f t="shared" si="10"/>
        <v>0.33675675675675676</v>
      </c>
      <c r="T104">
        <f t="shared" si="11"/>
        <v>0.26324324324324322</v>
      </c>
      <c r="U104">
        <f t="shared" si="6"/>
        <v>113.60067567567563</v>
      </c>
      <c r="W104">
        <v>172.1</v>
      </c>
      <c r="X104">
        <f t="shared" si="7"/>
        <v>38492.999999999993</v>
      </c>
      <c r="Y104">
        <v>9.1844880362415182</v>
      </c>
    </row>
    <row r="105" spans="1:25" x14ac:dyDescent="0.35">
      <c r="A105">
        <v>2920</v>
      </c>
      <c r="B105">
        <v>23610</v>
      </c>
      <c r="C105" s="1">
        <v>43050</v>
      </c>
      <c r="D105" s="1"/>
      <c r="E105" s="1"/>
      <c r="F105" s="46"/>
      <c r="G105">
        <v>12.6</v>
      </c>
      <c r="H105">
        <v>10.1</v>
      </c>
      <c r="I105">
        <v>14.1</v>
      </c>
      <c r="J105">
        <f t="shared" si="4"/>
        <v>802.59999999999991</v>
      </c>
      <c r="K105">
        <f t="shared" si="5"/>
        <v>802.59999999999991</v>
      </c>
      <c r="M105">
        <v>1.9</v>
      </c>
      <c r="N105">
        <v>0.6</v>
      </c>
      <c r="O105">
        <f t="shared" si="9"/>
        <v>1.2999999999999998</v>
      </c>
      <c r="Q105">
        <v>62</v>
      </c>
      <c r="R105">
        <f t="shared" si="8"/>
        <v>0.8506756756756757</v>
      </c>
      <c r="S105">
        <f t="shared" si="10"/>
        <v>0.51040540540540535</v>
      </c>
      <c r="T105">
        <f t="shared" si="11"/>
        <v>1.3895945945945947</v>
      </c>
      <c r="U105">
        <f t="shared" si="6"/>
        <v>114.99027027027023</v>
      </c>
      <c r="W105">
        <v>134.80000000000001</v>
      </c>
      <c r="X105">
        <f t="shared" si="7"/>
        <v>38627.799999999996</v>
      </c>
      <c r="Y105">
        <v>9.1390031803389036</v>
      </c>
    </row>
    <row r="106" spans="1:25" x14ac:dyDescent="0.35">
      <c r="A106">
        <v>2920</v>
      </c>
      <c r="B106">
        <v>23610</v>
      </c>
      <c r="C106" s="1">
        <v>43051</v>
      </c>
      <c r="D106" s="1"/>
      <c r="E106" s="1"/>
      <c r="F106" s="46"/>
      <c r="G106">
        <v>9.8000000000000007</v>
      </c>
      <c r="H106">
        <v>6.8</v>
      </c>
      <c r="I106">
        <v>12.4</v>
      </c>
      <c r="J106">
        <f t="shared" si="4"/>
        <v>812.39999999999986</v>
      </c>
      <c r="K106">
        <f t="shared" si="5"/>
        <v>812.39999999999986</v>
      </c>
      <c r="M106">
        <v>1.8</v>
      </c>
      <c r="N106">
        <v>0.7</v>
      </c>
      <c r="O106">
        <f t="shared" si="9"/>
        <v>1.1000000000000001</v>
      </c>
      <c r="Q106">
        <v>63</v>
      </c>
      <c r="R106">
        <f t="shared" si="8"/>
        <v>0.85945945945945945</v>
      </c>
      <c r="S106">
        <f t="shared" si="10"/>
        <v>0.60162162162162158</v>
      </c>
      <c r="T106">
        <f t="shared" si="11"/>
        <v>1.1983783783783784</v>
      </c>
      <c r="U106">
        <f t="shared" si="6"/>
        <v>116.18864864864861</v>
      </c>
      <c r="W106">
        <v>265.2</v>
      </c>
      <c r="X106">
        <f t="shared" si="7"/>
        <v>38892.999999999993</v>
      </c>
      <c r="Y106">
        <v>9.0942339914289434</v>
      </c>
    </row>
    <row r="107" spans="1:25" x14ac:dyDescent="0.35">
      <c r="A107">
        <v>2920</v>
      </c>
      <c r="B107">
        <v>23610</v>
      </c>
      <c r="C107" s="1">
        <v>43052</v>
      </c>
      <c r="D107" s="1"/>
      <c r="E107" s="1"/>
      <c r="F107" s="46"/>
      <c r="G107">
        <v>5.7</v>
      </c>
      <c r="H107">
        <v>2.7</v>
      </c>
      <c r="I107">
        <v>10.199999999999999</v>
      </c>
      <c r="J107">
        <f t="shared" si="4"/>
        <v>818.09999999999991</v>
      </c>
      <c r="K107">
        <f t="shared" si="5"/>
        <v>818.09999999999991</v>
      </c>
      <c r="M107">
        <v>0</v>
      </c>
      <c r="N107">
        <v>1</v>
      </c>
      <c r="O107">
        <f t="shared" si="9"/>
        <v>-1</v>
      </c>
      <c r="Q107">
        <v>64</v>
      </c>
      <c r="R107">
        <f t="shared" si="8"/>
        <v>0.8682432432432432</v>
      </c>
      <c r="S107">
        <f t="shared" si="10"/>
        <v>0.8682432432432432</v>
      </c>
      <c r="T107">
        <f t="shared" si="11"/>
        <v>-0.8682432432432432</v>
      </c>
      <c r="U107">
        <f t="shared" si="6"/>
        <v>115.32040540540537</v>
      </c>
      <c r="W107">
        <v>667.3</v>
      </c>
      <c r="X107">
        <f t="shared" si="7"/>
        <v>39560.299999999996</v>
      </c>
      <c r="Y107">
        <v>9.0502033605709933</v>
      </c>
    </row>
    <row r="108" spans="1:25" x14ac:dyDescent="0.35">
      <c r="A108">
        <v>2920</v>
      </c>
      <c r="B108">
        <v>23610</v>
      </c>
      <c r="C108" s="1">
        <v>43053</v>
      </c>
      <c r="D108" s="1"/>
      <c r="E108" s="1"/>
      <c r="F108" s="46"/>
      <c r="G108">
        <v>5.4</v>
      </c>
      <c r="H108">
        <v>1.1000000000000001</v>
      </c>
      <c r="I108">
        <v>9.4</v>
      </c>
      <c r="J108">
        <f t="shared" si="4"/>
        <v>823.49999999999989</v>
      </c>
      <c r="K108">
        <f t="shared" si="5"/>
        <v>823.49999999999989</v>
      </c>
      <c r="M108">
        <v>0.1</v>
      </c>
      <c r="N108">
        <v>0.4</v>
      </c>
      <c r="O108">
        <f t="shared" si="9"/>
        <v>-0.30000000000000004</v>
      </c>
      <c r="Q108">
        <v>65</v>
      </c>
      <c r="R108">
        <f t="shared" si="8"/>
        <v>0.87702702702702706</v>
      </c>
      <c r="S108">
        <f t="shared" si="10"/>
        <v>0.35081081081081084</v>
      </c>
      <c r="T108">
        <f t="shared" si="11"/>
        <v>-0.2508108108108108</v>
      </c>
      <c r="U108">
        <f t="shared" si="6"/>
        <v>115.06959459459456</v>
      </c>
      <c r="W108">
        <v>217.2</v>
      </c>
      <c r="X108">
        <f t="shared" si="7"/>
        <v>39777.499999999993</v>
      </c>
      <c r="Y108">
        <v>9.0069344124247763</v>
      </c>
    </row>
    <row r="109" spans="1:25" x14ac:dyDescent="0.35">
      <c r="A109">
        <v>2920</v>
      </c>
      <c r="B109">
        <v>23610</v>
      </c>
      <c r="C109" s="1">
        <v>43054</v>
      </c>
      <c r="D109" s="1"/>
      <c r="E109" s="1" t="s">
        <v>36</v>
      </c>
      <c r="F109" s="46"/>
      <c r="G109">
        <v>6.9</v>
      </c>
      <c r="H109">
        <v>3.4</v>
      </c>
      <c r="I109">
        <v>11.4</v>
      </c>
      <c r="J109">
        <f t="shared" si="4"/>
        <v>830.39999999999986</v>
      </c>
      <c r="K109">
        <f t="shared" si="5"/>
        <v>830.39999999999986</v>
      </c>
      <c r="M109">
        <v>0</v>
      </c>
      <c r="N109">
        <v>1.1000000000000001</v>
      </c>
      <c r="O109">
        <f t="shared" si="9"/>
        <v>-1.1000000000000001</v>
      </c>
      <c r="Q109">
        <v>66</v>
      </c>
      <c r="R109">
        <f t="shared" si="8"/>
        <v>0.88581081081081081</v>
      </c>
      <c r="S109">
        <f t="shared" si="10"/>
        <v>0.97439189189189201</v>
      </c>
      <c r="T109">
        <f t="shared" si="11"/>
        <v>-0.97439189189189201</v>
      </c>
      <c r="U109">
        <f t="shared" si="6"/>
        <v>114.09520270270266</v>
      </c>
      <c r="W109">
        <v>623</v>
      </c>
      <c r="X109">
        <f t="shared" si="7"/>
        <v>40400.499999999993</v>
      </c>
      <c r="Y109">
        <v>8.9644504776547578</v>
      </c>
    </row>
    <row r="110" spans="1:25" x14ac:dyDescent="0.35">
      <c r="A110">
        <v>2920</v>
      </c>
      <c r="B110">
        <v>23610</v>
      </c>
      <c r="C110" s="1">
        <v>43055</v>
      </c>
      <c r="D110" s="1"/>
      <c r="E110" s="1"/>
      <c r="F110" s="46"/>
      <c r="G110">
        <v>6</v>
      </c>
      <c r="H110">
        <v>3.8</v>
      </c>
      <c r="I110">
        <v>8</v>
      </c>
      <c r="J110">
        <f t="shared" ref="J110:J173" si="12">J109+G110</f>
        <v>836.39999999999986</v>
      </c>
      <c r="K110">
        <f t="shared" ref="K110:K173" si="13">K109+G110</f>
        <v>836.39999999999986</v>
      </c>
      <c r="M110">
        <v>0</v>
      </c>
      <c r="N110">
        <v>0.4</v>
      </c>
      <c r="O110">
        <f t="shared" si="9"/>
        <v>-0.4</v>
      </c>
      <c r="Q110">
        <v>67</v>
      </c>
      <c r="R110">
        <f t="shared" si="8"/>
        <v>0.89459459459459456</v>
      </c>
      <c r="S110">
        <f t="shared" si="10"/>
        <v>0.35783783783783785</v>
      </c>
      <c r="T110">
        <f t="shared" si="11"/>
        <v>-0.35783783783783785</v>
      </c>
      <c r="U110">
        <f t="shared" ref="U110:U173" si="14">MIN(U109+T110,197.4)</f>
        <v>113.73736486486483</v>
      </c>
      <c r="W110">
        <v>189.5</v>
      </c>
      <c r="X110">
        <f t="shared" ref="X110:X173" si="15">X109+W110</f>
        <v>40589.999999999993</v>
      </c>
      <c r="Y110">
        <v>8.9227750632167773</v>
      </c>
    </row>
    <row r="111" spans="1:25" x14ac:dyDescent="0.35">
      <c r="A111">
        <v>2920</v>
      </c>
      <c r="B111">
        <v>23610</v>
      </c>
      <c r="C111" s="1">
        <v>43056</v>
      </c>
      <c r="D111" s="1"/>
      <c r="E111" s="1"/>
      <c r="F111" s="46"/>
      <c r="G111">
        <v>6.6</v>
      </c>
      <c r="H111">
        <v>3.6</v>
      </c>
      <c r="I111">
        <v>10.5</v>
      </c>
      <c r="J111">
        <f t="shared" si="12"/>
        <v>842.99999999999989</v>
      </c>
      <c r="K111">
        <f t="shared" si="13"/>
        <v>842.99999999999989</v>
      </c>
      <c r="M111">
        <v>0.2</v>
      </c>
      <c r="N111">
        <v>0.6</v>
      </c>
      <c r="O111">
        <f t="shared" si="9"/>
        <v>-0.39999999999999997</v>
      </c>
      <c r="Q111">
        <v>68</v>
      </c>
      <c r="R111">
        <f t="shared" si="8"/>
        <v>0.90337837837837831</v>
      </c>
      <c r="S111">
        <f t="shared" si="10"/>
        <v>0.54202702702702699</v>
      </c>
      <c r="T111">
        <f t="shared" si="11"/>
        <v>-0.34202702702702698</v>
      </c>
      <c r="U111">
        <f t="shared" si="14"/>
        <v>113.3953378378378</v>
      </c>
      <c r="W111">
        <v>427.4</v>
      </c>
      <c r="X111">
        <f t="shared" si="15"/>
        <v>41017.399999999994</v>
      </c>
      <c r="Y111">
        <v>8.8819318205252102</v>
      </c>
    </row>
    <row r="112" spans="1:25" x14ac:dyDescent="0.35">
      <c r="A112">
        <v>2920</v>
      </c>
      <c r="B112">
        <v>23610</v>
      </c>
      <c r="C112" s="1">
        <v>43057</v>
      </c>
      <c r="D112" s="1"/>
      <c r="E112" s="1"/>
      <c r="F112" s="46"/>
      <c r="G112">
        <v>5.8</v>
      </c>
      <c r="H112">
        <v>4</v>
      </c>
      <c r="I112">
        <v>7.7</v>
      </c>
      <c r="J112">
        <f t="shared" si="12"/>
        <v>848.79999999999984</v>
      </c>
      <c r="K112">
        <f t="shared" si="13"/>
        <v>848.79999999999984</v>
      </c>
      <c r="M112">
        <v>0</v>
      </c>
      <c r="N112">
        <v>0.4</v>
      </c>
      <c r="O112">
        <f t="shared" si="9"/>
        <v>-0.4</v>
      </c>
      <c r="Q112">
        <v>69</v>
      </c>
      <c r="R112">
        <f t="shared" si="8"/>
        <v>0.91216216216216217</v>
      </c>
      <c r="S112">
        <f t="shared" si="10"/>
        <v>0.36486486486486491</v>
      </c>
      <c r="T112">
        <f t="shared" si="11"/>
        <v>-0.36486486486486491</v>
      </c>
      <c r="U112">
        <f t="shared" si="14"/>
        <v>113.03047297297293</v>
      </c>
      <c r="W112">
        <v>227.4</v>
      </c>
      <c r="X112">
        <f t="shared" si="15"/>
        <v>41244.799999999996</v>
      </c>
      <c r="Y112">
        <v>8.8419445115105368</v>
      </c>
    </row>
    <row r="113" spans="1:26" x14ac:dyDescent="0.35">
      <c r="A113">
        <v>2920</v>
      </c>
      <c r="B113">
        <v>23610</v>
      </c>
      <c r="C113" s="1">
        <v>43058</v>
      </c>
      <c r="D113" s="1"/>
      <c r="E113" s="1"/>
      <c r="F113" s="46"/>
      <c r="G113">
        <v>9.5</v>
      </c>
      <c r="H113">
        <v>5.5</v>
      </c>
      <c r="I113">
        <v>12.3</v>
      </c>
      <c r="J113">
        <f t="shared" si="12"/>
        <v>858.29999999999984</v>
      </c>
      <c r="K113">
        <f t="shared" si="13"/>
        <v>858.29999999999984</v>
      </c>
      <c r="M113">
        <v>0.2</v>
      </c>
      <c r="N113">
        <v>0.2</v>
      </c>
      <c r="O113">
        <f t="shared" si="9"/>
        <v>0</v>
      </c>
      <c r="Q113">
        <v>70</v>
      </c>
      <c r="R113">
        <f t="shared" si="8"/>
        <v>0.92094594594594592</v>
      </c>
      <c r="S113">
        <f t="shared" si="10"/>
        <v>0.1841891891891892</v>
      </c>
      <c r="T113">
        <f t="shared" si="11"/>
        <v>1.5810810810810816E-2</v>
      </c>
      <c r="U113">
        <f t="shared" si="14"/>
        <v>113.04628378378374</v>
      </c>
      <c r="W113">
        <v>185.1</v>
      </c>
      <c r="X113">
        <f t="shared" si="15"/>
        <v>41429.899999999994</v>
      </c>
      <c r="Y113">
        <v>8.802836972589775</v>
      </c>
    </row>
    <row r="114" spans="1:26" x14ac:dyDescent="0.35">
      <c r="A114">
        <v>2920</v>
      </c>
      <c r="B114">
        <v>23610</v>
      </c>
      <c r="C114" s="1">
        <v>43059</v>
      </c>
      <c r="D114" s="1"/>
      <c r="E114" s="1"/>
      <c r="F114" s="46"/>
      <c r="G114">
        <v>10.9</v>
      </c>
      <c r="H114">
        <v>8.8000000000000007</v>
      </c>
      <c r="I114">
        <v>12.7</v>
      </c>
      <c r="J114">
        <f t="shared" si="12"/>
        <v>869.19999999999982</v>
      </c>
      <c r="K114">
        <f t="shared" si="13"/>
        <v>869.19999999999982</v>
      </c>
      <c r="M114">
        <v>0</v>
      </c>
      <c r="N114">
        <v>0.5</v>
      </c>
      <c r="O114">
        <f t="shared" si="9"/>
        <v>-0.5</v>
      </c>
      <c r="Q114">
        <v>71</v>
      </c>
      <c r="R114">
        <f t="shared" ref="R114:R122" si="16">0.35+((Q114-5)/74)*(1-0.35)</f>
        <v>0.92972972972972967</v>
      </c>
      <c r="S114">
        <f t="shared" si="10"/>
        <v>0.46486486486486484</v>
      </c>
      <c r="T114">
        <f t="shared" si="11"/>
        <v>-0.46486486486486484</v>
      </c>
      <c r="U114">
        <f t="shared" si="14"/>
        <v>112.58141891891887</v>
      </c>
      <c r="W114">
        <v>359.7</v>
      </c>
      <c r="X114">
        <f t="shared" si="15"/>
        <v>41789.599999999991</v>
      </c>
      <c r="Y114">
        <v>8.7646330765858078</v>
      </c>
    </row>
    <row r="115" spans="1:26" x14ac:dyDescent="0.35">
      <c r="A115">
        <v>2920</v>
      </c>
      <c r="B115">
        <v>23610</v>
      </c>
      <c r="C115" s="1">
        <v>43060</v>
      </c>
      <c r="D115" s="1"/>
      <c r="E115" s="1"/>
      <c r="F115" s="46"/>
      <c r="G115">
        <v>11.7</v>
      </c>
      <c r="H115">
        <v>10</v>
      </c>
      <c r="I115">
        <v>13</v>
      </c>
      <c r="J115">
        <f t="shared" si="12"/>
        <v>880.89999999999986</v>
      </c>
      <c r="K115">
        <f t="shared" si="13"/>
        <v>880.89999999999986</v>
      </c>
      <c r="M115">
        <v>0</v>
      </c>
      <c r="N115">
        <v>0.5</v>
      </c>
      <c r="O115">
        <f t="shared" si="9"/>
        <v>-0.5</v>
      </c>
      <c r="Q115">
        <v>72</v>
      </c>
      <c r="R115">
        <f t="shared" si="16"/>
        <v>0.93851351351351353</v>
      </c>
      <c r="S115">
        <f t="shared" si="10"/>
        <v>0.46925675675675677</v>
      </c>
      <c r="T115">
        <f t="shared" si="11"/>
        <v>-0.46925675675675677</v>
      </c>
      <c r="U115">
        <f t="shared" si="14"/>
        <v>112.11216216216211</v>
      </c>
      <c r="W115">
        <v>111.5</v>
      </c>
      <c r="X115">
        <f t="shared" si="15"/>
        <v>41901.099999999991</v>
      </c>
      <c r="Y115">
        <v>8.7273566926459516</v>
      </c>
    </row>
    <row r="116" spans="1:26" x14ac:dyDescent="0.35">
      <c r="A116">
        <v>2920</v>
      </c>
      <c r="B116">
        <v>23610</v>
      </c>
      <c r="C116" s="1">
        <v>43061</v>
      </c>
      <c r="D116" s="1"/>
      <c r="E116" s="1"/>
      <c r="F116" s="46"/>
      <c r="G116">
        <v>12.4</v>
      </c>
      <c r="H116">
        <v>9.3000000000000007</v>
      </c>
      <c r="I116">
        <v>13.8</v>
      </c>
      <c r="J116">
        <f t="shared" si="12"/>
        <v>893.29999999999984</v>
      </c>
      <c r="K116">
        <f t="shared" si="13"/>
        <v>893.29999999999984</v>
      </c>
      <c r="M116">
        <v>5.5</v>
      </c>
      <c r="N116">
        <v>1.4</v>
      </c>
      <c r="O116">
        <f t="shared" si="9"/>
        <v>4.0999999999999996</v>
      </c>
      <c r="Q116">
        <v>73</v>
      </c>
      <c r="R116">
        <f t="shared" si="16"/>
        <v>0.94729729729729728</v>
      </c>
      <c r="S116">
        <f t="shared" si="10"/>
        <v>1.3262162162162161</v>
      </c>
      <c r="T116">
        <f t="shared" si="11"/>
        <v>4.1737837837837839</v>
      </c>
      <c r="U116">
        <f t="shared" si="14"/>
        <v>116.2859459459459</v>
      </c>
      <c r="W116">
        <v>697.9</v>
      </c>
      <c r="X116">
        <f t="shared" si="15"/>
        <v>42598.999999999993</v>
      </c>
      <c r="Y116">
        <v>8.6910316442254913</v>
      </c>
    </row>
    <row r="117" spans="1:26" x14ac:dyDescent="0.35">
      <c r="A117">
        <v>2920</v>
      </c>
      <c r="B117">
        <v>23610</v>
      </c>
      <c r="C117" s="1">
        <v>43062</v>
      </c>
      <c r="D117" s="1"/>
      <c r="E117" s="1"/>
      <c r="F117" s="46"/>
      <c r="G117">
        <v>13.5</v>
      </c>
      <c r="H117">
        <v>11.6</v>
      </c>
      <c r="I117">
        <v>14.6</v>
      </c>
      <c r="J117">
        <f t="shared" si="12"/>
        <v>906.79999999999984</v>
      </c>
      <c r="K117">
        <f t="shared" si="13"/>
        <v>906.79999999999984</v>
      </c>
      <c r="M117">
        <v>9.1999999999999993</v>
      </c>
      <c r="N117">
        <v>1</v>
      </c>
      <c r="O117">
        <f t="shared" si="9"/>
        <v>8.1999999999999993</v>
      </c>
      <c r="Q117">
        <v>74</v>
      </c>
      <c r="R117">
        <f t="shared" si="16"/>
        <v>0.95608108108108114</v>
      </c>
      <c r="S117">
        <f t="shared" si="10"/>
        <v>0.95608108108108114</v>
      </c>
      <c r="T117">
        <f t="shared" si="11"/>
        <v>8.2439189189189186</v>
      </c>
      <c r="U117">
        <f t="shared" si="14"/>
        <v>124.52986486486482</v>
      </c>
      <c r="W117">
        <v>284.7</v>
      </c>
      <c r="X117">
        <f t="shared" si="15"/>
        <v>42883.69999999999</v>
      </c>
      <c r="Y117">
        <v>8.6556816652176938</v>
      </c>
    </row>
    <row r="118" spans="1:26" x14ac:dyDescent="0.35">
      <c r="A118">
        <v>2920</v>
      </c>
      <c r="B118">
        <v>23610</v>
      </c>
      <c r="C118" s="1">
        <v>43063</v>
      </c>
      <c r="D118" s="1"/>
      <c r="F118" s="46"/>
      <c r="G118">
        <v>8.9</v>
      </c>
      <c r="H118">
        <v>7.7</v>
      </c>
      <c r="I118">
        <v>10.9</v>
      </c>
      <c r="J118">
        <f t="shared" si="12"/>
        <v>915.69999999999982</v>
      </c>
      <c r="K118">
        <f t="shared" si="13"/>
        <v>915.69999999999982</v>
      </c>
      <c r="M118">
        <v>0.9</v>
      </c>
      <c r="N118">
        <v>0.4</v>
      </c>
      <c r="O118">
        <f t="shared" si="9"/>
        <v>0.5</v>
      </c>
      <c r="Q118">
        <v>75</v>
      </c>
      <c r="R118">
        <f t="shared" si="16"/>
        <v>0.96486486486486489</v>
      </c>
      <c r="S118">
        <f t="shared" si="10"/>
        <v>0.385945945945946</v>
      </c>
      <c r="T118">
        <f t="shared" si="11"/>
        <v>0.51405405405405402</v>
      </c>
      <c r="U118">
        <f t="shared" si="14"/>
        <v>125.04391891891888</v>
      </c>
      <c r="W118">
        <v>122.5</v>
      </c>
      <c r="X118">
        <f t="shared" si="15"/>
        <v>43006.19999999999</v>
      </c>
      <c r="Y118">
        <v>8.6213303543285988</v>
      </c>
    </row>
    <row r="119" spans="1:26" x14ac:dyDescent="0.35">
      <c r="A119">
        <v>2920</v>
      </c>
      <c r="B119">
        <v>23610</v>
      </c>
      <c r="C119" s="1">
        <v>43064</v>
      </c>
      <c r="D119" s="1"/>
      <c r="E119">
        <v>1</v>
      </c>
      <c r="F119" s="46"/>
      <c r="G119">
        <v>4.7</v>
      </c>
      <c r="H119">
        <v>3.8</v>
      </c>
      <c r="I119">
        <v>6.8</v>
      </c>
      <c r="J119">
        <f t="shared" si="12"/>
        <v>920.39999999999986</v>
      </c>
      <c r="K119">
        <f t="shared" si="13"/>
        <v>920.39999999999986</v>
      </c>
      <c r="M119">
        <v>3.7</v>
      </c>
      <c r="N119">
        <v>0.5</v>
      </c>
      <c r="O119">
        <f t="shared" si="9"/>
        <v>3.2</v>
      </c>
      <c r="Q119">
        <v>76</v>
      </c>
      <c r="R119">
        <f t="shared" si="16"/>
        <v>0.97364864864864864</v>
      </c>
      <c r="S119">
        <f t="shared" si="10"/>
        <v>0.48682432432432432</v>
      </c>
      <c r="T119">
        <f t="shared" si="11"/>
        <v>3.213175675675676</v>
      </c>
      <c r="U119">
        <f t="shared" si="14"/>
        <v>128.25709459459455</v>
      </c>
      <c r="W119">
        <v>299.3</v>
      </c>
      <c r="X119">
        <f t="shared" si="15"/>
        <v>43305.499999999993</v>
      </c>
      <c r="Y119">
        <v>8.5880011278118555</v>
      </c>
    </row>
    <row r="120" spans="1:26" x14ac:dyDescent="0.35">
      <c r="A120">
        <v>2920</v>
      </c>
      <c r="B120">
        <v>23610</v>
      </c>
      <c r="C120" s="1">
        <v>43065</v>
      </c>
      <c r="D120" s="1"/>
      <c r="E120">
        <v>2</v>
      </c>
      <c r="F120" s="46"/>
      <c r="G120">
        <v>4.8</v>
      </c>
      <c r="H120">
        <v>2</v>
      </c>
      <c r="I120">
        <v>6.9</v>
      </c>
      <c r="J120">
        <f t="shared" si="12"/>
        <v>925.19999999999982</v>
      </c>
      <c r="K120">
        <f t="shared" si="13"/>
        <v>925.19999999999982</v>
      </c>
      <c r="M120">
        <v>0.4</v>
      </c>
      <c r="N120">
        <v>0.3</v>
      </c>
      <c r="O120">
        <f t="shared" si="9"/>
        <v>0.10000000000000003</v>
      </c>
      <c r="Q120">
        <v>77</v>
      </c>
      <c r="R120">
        <f t="shared" si="16"/>
        <v>0.9824324324324325</v>
      </c>
      <c r="S120">
        <f t="shared" si="10"/>
        <v>0.29472972972972972</v>
      </c>
      <c r="T120">
        <f t="shared" si="11"/>
        <v>0.10527027027027031</v>
      </c>
      <c r="U120">
        <f t="shared" si="14"/>
        <v>128.36236486486482</v>
      </c>
      <c r="W120">
        <v>213.7</v>
      </c>
      <c r="X120">
        <f t="shared" si="15"/>
        <v>43519.19999999999</v>
      </c>
      <c r="Y120">
        <v>8.5557171706963366</v>
      </c>
    </row>
    <row r="121" spans="1:26" x14ac:dyDescent="0.35">
      <c r="A121">
        <v>2920</v>
      </c>
      <c r="B121">
        <v>23610</v>
      </c>
      <c r="C121" s="1">
        <v>43066</v>
      </c>
      <c r="D121" s="1"/>
      <c r="F121" s="46"/>
      <c r="G121">
        <v>8.6</v>
      </c>
      <c r="H121">
        <v>4.5</v>
      </c>
      <c r="I121">
        <v>11.2</v>
      </c>
      <c r="J121">
        <f t="shared" si="12"/>
        <v>933.79999999999984</v>
      </c>
      <c r="K121">
        <f t="shared" si="13"/>
        <v>933.79999999999984</v>
      </c>
      <c r="M121">
        <v>9.4</v>
      </c>
      <c r="N121">
        <v>0.5</v>
      </c>
      <c r="O121">
        <f t="shared" si="9"/>
        <v>8.9</v>
      </c>
      <c r="Q121">
        <v>78</v>
      </c>
      <c r="R121">
        <f t="shared" si="16"/>
        <v>0.99121621621621625</v>
      </c>
      <c r="S121">
        <f t="shared" si="10"/>
        <v>0.49560810810810813</v>
      </c>
      <c r="T121">
        <f t="shared" si="11"/>
        <v>8.9043918918918923</v>
      </c>
      <c r="U121">
        <f t="shared" si="14"/>
        <v>137.26675675675671</v>
      </c>
      <c r="W121">
        <v>213.9</v>
      </c>
      <c r="X121">
        <f t="shared" si="15"/>
        <v>43733.099999999991</v>
      </c>
      <c r="Y121">
        <v>8.5245013866569721</v>
      </c>
    </row>
    <row r="122" spans="1:26" s="4" customFormat="1" ht="15" thickBot="1" x14ac:dyDescent="0.4">
      <c r="A122" s="4">
        <v>2920</v>
      </c>
      <c r="B122" s="4">
        <v>23610</v>
      </c>
      <c r="C122" s="5">
        <v>43067</v>
      </c>
      <c r="D122" s="5"/>
      <c r="F122" s="47"/>
      <c r="G122" s="4">
        <v>6.5</v>
      </c>
      <c r="H122" s="4">
        <v>4.9000000000000004</v>
      </c>
      <c r="I122" s="4">
        <v>8.6</v>
      </c>
      <c r="J122" s="4">
        <f t="shared" si="12"/>
        <v>940.29999999999984</v>
      </c>
      <c r="K122" s="4">
        <f t="shared" si="13"/>
        <v>940.29999999999984</v>
      </c>
      <c r="M122" s="4">
        <v>2.1</v>
      </c>
      <c r="N122" s="4">
        <v>0.4</v>
      </c>
      <c r="O122" s="4">
        <f t="shared" si="9"/>
        <v>1.7000000000000002</v>
      </c>
      <c r="Q122" s="4">
        <v>79</v>
      </c>
      <c r="R122" s="4">
        <f t="shared" si="16"/>
        <v>1</v>
      </c>
      <c r="S122" s="4">
        <f t="shared" si="10"/>
        <v>0.4</v>
      </c>
      <c r="T122" s="4">
        <f t="shared" si="11"/>
        <v>1.7000000000000002</v>
      </c>
      <c r="U122" s="6">
        <f t="shared" si="14"/>
        <v>138.96675675675669</v>
      </c>
      <c r="W122" s="4">
        <v>189.9</v>
      </c>
      <c r="X122" s="4">
        <f t="shared" si="15"/>
        <v>43922.999999999993</v>
      </c>
      <c r="Y122" s="4">
        <v>8.494376346696825</v>
      </c>
    </row>
    <row r="123" spans="1:26" x14ac:dyDescent="0.35">
      <c r="A123">
        <v>2920</v>
      </c>
      <c r="B123">
        <v>23610</v>
      </c>
      <c r="C123" s="1">
        <v>43068</v>
      </c>
      <c r="D123" s="1" t="s">
        <v>31</v>
      </c>
      <c r="E123">
        <v>3</v>
      </c>
      <c r="F123" s="48" t="s">
        <v>55</v>
      </c>
      <c r="G123">
        <v>3.3</v>
      </c>
      <c r="H123">
        <v>0.9</v>
      </c>
      <c r="I123">
        <v>6.7</v>
      </c>
      <c r="J123">
        <f t="shared" si="12"/>
        <v>943.5999999999998</v>
      </c>
      <c r="K123">
        <f>G123</f>
        <v>3.3</v>
      </c>
      <c r="L123" s="13" t="s">
        <v>38</v>
      </c>
      <c r="M123">
        <v>2.7</v>
      </c>
      <c r="N123">
        <v>0.4</v>
      </c>
      <c r="O123">
        <f t="shared" si="9"/>
        <v>2.3000000000000003</v>
      </c>
      <c r="Q123">
        <v>80</v>
      </c>
      <c r="R123">
        <v>1</v>
      </c>
      <c r="S123">
        <f t="shared" si="10"/>
        <v>0.4</v>
      </c>
      <c r="T123">
        <f t="shared" si="11"/>
        <v>2.3000000000000003</v>
      </c>
      <c r="U123">
        <f t="shared" si="14"/>
        <v>141.26675675675671</v>
      </c>
      <c r="V123" s="14" t="s">
        <v>45</v>
      </c>
      <c r="W123">
        <v>339</v>
      </c>
      <c r="X123">
        <f>W123</f>
        <v>339</v>
      </c>
      <c r="Y123">
        <v>8.4653642368258453</v>
      </c>
      <c r="Z123" s="14" t="s">
        <v>50</v>
      </c>
    </row>
    <row r="124" spans="1:26" x14ac:dyDescent="0.35">
      <c r="A124">
        <v>2920</v>
      </c>
      <c r="B124">
        <v>23610</v>
      </c>
      <c r="C124" s="1">
        <v>43069</v>
      </c>
      <c r="D124" s="1"/>
      <c r="E124">
        <v>4</v>
      </c>
      <c r="F124" s="49"/>
      <c r="G124">
        <v>2.9</v>
      </c>
      <c r="H124">
        <v>2.1</v>
      </c>
      <c r="I124">
        <v>5</v>
      </c>
      <c r="J124">
        <f t="shared" si="12"/>
        <v>946.49999999999977</v>
      </c>
      <c r="K124">
        <f t="shared" si="13"/>
        <v>6.1999999999999993</v>
      </c>
      <c r="L124" s="8">
        <v>589.70000000000005</v>
      </c>
      <c r="M124">
        <v>7.3</v>
      </c>
      <c r="N124">
        <v>0.3</v>
      </c>
      <c r="O124">
        <f t="shared" si="9"/>
        <v>7</v>
      </c>
      <c r="Q124">
        <v>81</v>
      </c>
      <c r="R124">
        <v>1</v>
      </c>
      <c r="S124">
        <f t="shared" si="10"/>
        <v>0.3</v>
      </c>
      <c r="T124">
        <f t="shared" si="11"/>
        <v>7</v>
      </c>
      <c r="U124">
        <f t="shared" si="14"/>
        <v>148.26675675675671</v>
      </c>
      <c r="V124">
        <v>0</v>
      </c>
      <c r="W124">
        <v>86.5</v>
      </c>
      <c r="X124">
        <f t="shared" si="15"/>
        <v>425.5</v>
      </c>
      <c r="Y124">
        <v>8.4374868049388372</v>
      </c>
      <c r="Z124">
        <v>33056.300000000003</v>
      </c>
    </row>
    <row r="125" spans="1:26" x14ac:dyDescent="0.35">
      <c r="A125">
        <v>2920</v>
      </c>
      <c r="B125">
        <v>23610</v>
      </c>
      <c r="C125" s="1">
        <v>43070</v>
      </c>
      <c r="D125" s="1"/>
      <c r="E125">
        <v>5</v>
      </c>
      <c r="F125" s="49"/>
      <c r="G125">
        <v>3</v>
      </c>
      <c r="H125">
        <v>-0.3</v>
      </c>
      <c r="I125">
        <v>6.5</v>
      </c>
      <c r="J125">
        <f t="shared" si="12"/>
        <v>949.49999999999977</v>
      </c>
      <c r="K125">
        <f t="shared" si="13"/>
        <v>9.1999999999999993</v>
      </c>
      <c r="L125" s="13" t="s">
        <v>39</v>
      </c>
      <c r="M125">
        <v>2.7</v>
      </c>
      <c r="N125">
        <v>0.5</v>
      </c>
      <c r="O125">
        <f t="shared" si="9"/>
        <v>2.2000000000000002</v>
      </c>
      <c r="Q125">
        <v>82</v>
      </c>
      <c r="R125">
        <v>1</v>
      </c>
      <c r="S125">
        <f t="shared" si="10"/>
        <v>0.5</v>
      </c>
      <c r="T125">
        <f t="shared" si="11"/>
        <v>2.2000000000000002</v>
      </c>
      <c r="U125">
        <f t="shared" si="14"/>
        <v>150.46675675675669</v>
      </c>
      <c r="V125" s="14" t="s">
        <v>46</v>
      </c>
      <c r="W125">
        <v>135.69999999999999</v>
      </c>
      <c r="X125">
        <f t="shared" si="15"/>
        <v>561.20000000000005</v>
      </c>
      <c r="Y125">
        <v>8.4107653071114026</v>
      </c>
      <c r="Z125" s="14" t="s">
        <v>51</v>
      </c>
    </row>
    <row r="126" spans="1:26" x14ac:dyDescent="0.35">
      <c r="A126">
        <v>2920</v>
      </c>
      <c r="B126">
        <v>23610</v>
      </c>
      <c r="C126" s="1">
        <v>43071</v>
      </c>
      <c r="D126" s="1"/>
      <c r="E126">
        <v>6</v>
      </c>
      <c r="F126" s="49"/>
      <c r="G126">
        <v>4.2</v>
      </c>
      <c r="H126">
        <v>1</v>
      </c>
      <c r="I126">
        <v>7.9</v>
      </c>
      <c r="J126">
        <f t="shared" si="12"/>
        <v>953.69999999999982</v>
      </c>
      <c r="K126">
        <f t="shared" si="13"/>
        <v>13.399999999999999</v>
      </c>
      <c r="L126" s="9">
        <f>AVERAGE(G123:G215)</f>
        <v>6.2537634408602125</v>
      </c>
      <c r="M126">
        <v>0.5</v>
      </c>
      <c r="N126">
        <v>0.5</v>
      </c>
      <c r="O126">
        <f t="shared" si="9"/>
        <v>0</v>
      </c>
      <c r="Q126">
        <v>83</v>
      </c>
      <c r="R126">
        <v>1</v>
      </c>
      <c r="S126">
        <f t="shared" si="10"/>
        <v>0.5</v>
      </c>
      <c r="T126">
        <f t="shared" si="11"/>
        <v>0</v>
      </c>
      <c r="U126">
        <f t="shared" si="14"/>
        <v>150.46675675675669</v>
      </c>
      <c r="V126">
        <v>0</v>
      </c>
      <c r="W126">
        <v>464.6</v>
      </c>
      <c r="X126">
        <f t="shared" si="15"/>
        <v>1025.8000000000002</v>
      </c>
      <c r="Y126">
        <v>8.385220453548154</v>
      </c>
      <c r="Z126">
        <f>(Z124/100)/L124</f>
        <v>0.56056130235713075</v>
      </c>
    </row>
    <row r="127" spans="1:26" x14ac:dyDescent="0.35">
      <c r="A127">
        <v>2920</v>
      </c>
      <c r="B127">
        <v>23610</v>
      </c>
      <c r="C127" s="1">
        <v>43072</v>
      </c>
      <c r="D127" s="1"/>
      <c r="F127" s="49"/>
      <c r="G127">
        <v>6.8</v>
      </c>
      <c r="H127">
        <v>3.9</v>
      </c>
      <c r="I127">
        <v>8.4</v>
      </c>
      <c r="J127">
        <f t="shared" si="12"/>
        <v>960.49999999999977</v>
      </c>
      <c r="K127">
        <f t="shared" si="13"/>
        <v>20.2</v>
      </c>
      <c r="L127" s="13" t="s">
        <v>40</v>
      </c>
      <c r="M127">
        <v>0.5</v>
      </c>
      <c r="N127">
        <v>0.1</v>
      </c>
      <c r="O127">
        <f t="shared" si="9"/>
        <v>0.4</v>
      </c>
      <c r="Q127">
        <v>84</v>
      </c>
      <c r="R127">
        <v>1</v>
      </c>
      <c r="S127">
        <f t="shared" si="10"/>
        <v>0.1</v>
      </c>
      <c r="T127">
        <f t="shared" si="11"/>
        <v>0.4</v>
      </c>
      <c r="U127">
        <f t="shared" si="14"/>
        <v>150.8667567567567</v>
      </c>
      <c r="V127" s="14" t="s">
        <v>47</v>
      </c>
      <c r="W127">
        <v>101.6</v>
      </c>
      <c r="X127">
        <f t="shared" si="15"/>
        <v>1127.4000000000001</v>
      </c>
      <c r="Y127">
        <v>8.3608723544317325</v>
      </c>
      <c r="Z127" s="14" t="s">
        <v>52</v>
      </c>
    </row>
    <row r="128" spans="1:26" x14ac:dyDescent="0.35">
      <c r="A128">
        <v>2920</v>
      </c>
      <c r="B128">
        <v>23610</v>
      </c>
      <c r="C128" s="1">
        <v>43073</v>
      </c>
      <c r="D128" s="1"/>
      <c r="F128" s="49"/>
      <c r="G128">
        <v>7.8</v>
      </c>
      <c r="H128">
        <v>6.2</v>
      </c>
      <c r="I128">
        <v>10.8</v>
      </c>
      <c r="J128">
        <f t="shared" si="12"/>
        <v>968.29999999999973</v>
      </c>
      <c r="K128">
        <f t="shared" si="13"/>
        <v>28</v>
      </c>
      <c r="L128" s="8">
        <f>MIN(H123:H215)</f>
        <v>-6.9</v>
      </c>
      <c r="M128">
        <v>0.1</v>
      </c>
      <c r="N128">
        <v>0.4</v>
      </c>
      <c r="O128">
        <f t="shared" si="9"/>
        <v>-0.30000000000000004</v>
      </c>
      <c r="Q128">
        <v>85</v>
      </c>
      <c r="R128">
        <v>1</v>
      </c>
      <c r="S128">
        <f t="shared" si="10"/>
        <v>0.4</v>
      </c>
      <c r="T128">
        <f t="shared" si="11"/>
        <v>-0.30000000000000004</v>
      </c>
      <c r="U128">
        <f t="shared" si="14"/>
        <v>150.56675675675669</v>
      </c>
      <c r="V128" s="11">
        <f>MIN(U123:U215)</f>
        <v>141.26675675675671</v>
      </c>
      <c r="W128">
        <v>185.9</v>
      </c>
      <c r="X128">
        <f t="shared" si="15"/>
        <v>1313.3000000000002</v>
      </c>
      <c r="Y128">
        <v>8.3377404659340169</v>
      </c>
      <c r="Z128">
        <v>83</v>
      </c>
    </row>
    <row r="129" spans="1:26" x14ac:dyDescent="0.35">
      <c r="A129">
        <v>2920</v>
      </c>
      <c r="B129">
        <v>23610</v>
      </c>
      <c r="C129" s="1">
        <v>43074</v>
      </c>
      <c r="D129" s="1"/>
      <c r="F129" s="49"/>
      <c r="G129">
        <v>7.6</v>
      </c>
      <c r="H129">
        <v>6.3</v>
      </c>
      <c r="I129">
        <v>8.9</v>
      </c>
      <c r="J129">
        <f t="shared" si="12"/>
        <v>975.89999999999975</v>
      </c>
      <c r="K129">
        <f t="shared" si="13"/>
        <v>35.6</v>
      </c>
      <c r="L129" s="13" t="s">
        <v>41</v>
      </c>
      <c r="M129">
        <v>0</v>
      </c>
      <c r="N129">
        <v>0.2</v>
      </c>
      <c r="O129">
        <f t="shared" si="9"/>
        <v>-0.2</v>
      </c>
      <c r="Q129">
        <v>86</v>
      </c>
      <c r="R129">
        <v>1</v>
      </c>
      <c r="S129">
        <f t="shared" si="10"/>
        <v>0.2</v>
      </c>
      <c r="T129">
        <f t="shared" si="11"/>
        <v>-0.2</v>
      </c>
      <c r="U129">
        <f t="shared" si="14"/>
        <v>150.3667567567567</v>
      </c>
      <c r="V129" s="14" t="s">
        <v>48</v>
      </c>
      <c r="W129">
        <v>81.099999999999994</v>
      </c>
      <c r="X129">
        <f t="shared" si="15"/>
        <v>1394.4</v>
      </c>
      <c r="Y129">
        <v>8.3158435366621202</v>
      </c>
      <c r="Z129" t="s">
        <v>53</v>
      </c>
    </row>
    <row r="130" spans="1:26" x14ac:dyDescent="0.35">
      <c r="A130">
        <v>2920</v>
      </c>
      <c r="B130">
        <v>23610</v>
      </c>
      <c r="C130" s="1">
        <v>43075</v>
      </c>
      <c r="D130" s="1"/>
      <c r="F130" s="49"/>
      <c r="G130">
        <v>7</v>
      </c>
      <c r="H130">
        <v>7</v>
      </c>
      <c r="I130">
        <v>8.1999999999999993</v>
      </c>
      <c r="J130">
        <f t="shared" si="12"/>
        <v>982.89999999999975</v>
      </c>
      <c r="K130">
        <f t="shared" si="13"/>
        <v>42.6</v>
      </c>
      <c r="L130" s="8">
        <f>MAX(I123:I215)</f>
        <v>14.1</v>
      </c>
      <c r="M130">
        <v>0.6</v>
      </c>
      <c r="N130">
        <v>1</v>
      </c>
      <c r="O130">
        <f t="shared" si="9"/>
        <v>-0.4</v>
      </c>
      <c r="Q130">
        <v>87</v>
      </c>
      <c r="R130">
        <v>1</v>
      </c>
      <c r="S130">
        <f t="shared" si="10"/>
        <v>1</v>
      </c>
      <c r="T130">
        <f t="shared" si="11"/>
        <v>-0.4</v>
      </c>
      <c r="U130">
        <f t="shared" si="14"/>
        <v>149.96675675675669</v>
      </c>
      <c r="V130" s="11">
        <f>MAX(U123:U215)</f>
        <v>197.4</v>
      </c>
      <c r="W130">
        <v>97.8</v>
      </c>
      <c r="X130">
        <f t="shared" si="15"/>
        <v>1492.2</v>
      </c>
      <c r="Y130">
        <v>8.2951995548210622</v>
      </c>
      <c r="Z130">
        <v>15</v>
      </c>
    </row>
    <row r="131" spans="1:26" x14ac:dyDescent="0.35">
      <c r="A131">
        <v>2920</v>
      </c>
      <c r="B131">
        <v>23610</v>
      </c>
      <c r="C131" s="1">
        <v>43076</v>
      </c>
      <c r="D131" s="1"/>
      <c r="F131" s="49"/>
      <c r="G131">
        <v>7.9</v>
      </c>
      <c r="H131">
        <v>4.0999999999999996</v>
      </c>
      <c r="I131">
        <v>11.8</v>
      </c>
      <c r="J131">
        <f t="shared" si="12"/>
        <v>990.79999999999973</v>
      </c>
      <c r="K131">
        <f t="shared" si="13"/>
        <v>50.5</v>
      </c>
      <c r="L131" s="13" t="s">
        <v>42</v>
      </c>
      <c r="M131">
        <v>4.7</v>
      </c>
      <c r="N131">
        <v>0.4</v>
      </c>
      <c r="O131">
        <f t="shared" si="9"/>
        <v>4.3</v>
      </c>
      <c r="Q131">
        <v>88</v>
      </c>
      <c r="R131">
        <v>1</v>
      </c>
      <c r="S131">
        <f t="shared" si="10"/>
        <v>0.4</v>
      </c>
      <c r="T131">
        <f t="shared" si="11"/>
        <v>4.3</v>
      </c>
      <c r="U131">
        <f t="shared" si="14"/>
        <v>154.26675675675671</v>
      </c>
      <c r="V131" s="14" t="s">
        <v>49</v>
      </c>
      <c r="W131">
        <v>79.3</v>
      </c>
      <c r="X131">
        <f t="shared" si="15"/>
        <v>1571.5</v>
      </c>
      <c r="Y131">
        <v>8.2758256963820163</v>
      </c>
    </row>
    <row r="132" spans="1:26" x14ac:dyDescent="0.35">
      <c r="A132">
        <v>2920</v>
      </c>
      <c r="B132">
        <v>23610</v>
      </c>
      <c r="C132" s="1">
        <v>43077</v>
      </c>
      <c r="D132" s="1"/>
      <c r="E132">
        <v>7</v>
      </c>
      <c r="F132" s="49"/>
      <c r="G132">
        <v>4.8</v>
      </c>
      <c r="H132">
        <v>3.7</v>
      </c>
      <c r="I132">
        <v>7.4</v>
      </c>
      <c r="J132">
        <f t="shared" si="12"/>
        <v>995.59999999999968</v>
      </c>
      <c r="K132">
        <f t="shared" si="13"/>
        <v>55.3</v>
      </c>
      <c r="L132" s="8">
        <v>0</v>
      </c>
      <c r="M132">
        <v>4.7</v>
      </c>
      <c r="N132">
        <v>0.9</v>
      </c>
      <c r="O132">
        <f t="shared" si="9"/>
        <v>3.8000000000000003</v>
      </c>
      <c r="Q132">
        <v>89</v>
      </c>
      <c r="R132">
        <v>1</v>
      </c>
      <c r="S132">
        <f t="shared" si="10"/>
        <v>0.9</v>
      </c>
      <c r="T132">
        <f t="shared" si="11"/>
        <v>3.8000000000000003</v>
      </c>
      <c r="U132">
        <f t="shared" si="14"/>
        <v>158.06675675675672</v>
      </c>
      <c r="V132" s="11">
        <f>AVERAGE(U123:U215)</f>
        <v>190.75235106073802</v>
      </c>
      <c r="W132">
        <v>463</v>
      </c>
      <c r="X132">
        <f t="shared" si="15"/>
        <v>2034.5</v>
      </c>
      <c r="Y132">
        <v>8.2577382745499577</v>
      </c>
    </row>
    <row r="133" spans="1:26" x14ac:dyDescent="0.35">
      <c r="A133">
        <v>2920</v>
      </c>
      <c r="B133">
        <v>23610</v>
      </c>
      <c r="C133" s="1">
        <v>43078</v>
      </c>
      <c r="D133" s="1"/>
      <c r="E133">
        <v>8</v>
      </c>
      <c r="F133" s="49"/>
      <c r="G133">
        <v>3.7</v>
      </c>
      <c r="H133">
        <v>1.9</v>
      </c>
      <c r="I133">
        <v>13.3</v>
      </c>
      <c r="J133">
        <f t="shared" si="12"/>
        <v>999.29999999999973</v>
      </c>
      <c r="K133">
        <f t="shared" si="13"/>
        <v>59</v>
      </c>
      <c r="L133" s="13" t="s">
        <v>43</v>
      </c>
      <c r="M133">
        <v>15.4</v>
      </c>
      <c r="N133">
        <v>1.2</v>
      </c>
      <c r="O133">
        <f t="shared" ref="O133:O196" si="17">M133-N133</f>
        <v>14.200000000000001</v>
      </c>
      <c r="Q133">
        <v>90</v>
      </c>
      <c r="R133">
        <v>1</v>
      </c>
      <c r="S133">
        <f t="shared" ref="S133:S196" si="18">R133*N133</f>
        <v>1.2</v>
      </c>
      <c r="T133">
        <f t="shared" ref="T133:T196" si="19">M133-S133</f>
        <v>14.200000000000001</v>
      </c>
      <c r="U133">
        <f t="shared" si="14"/>
        <v>172.26675675675671</v>
      </c>
      <c r="W133">
        <v>156.30000000000001</v>
      </c>
      <c r="X133">
        <f t="shared" si="15"/>
        <v>2190.8000000000002</v>
      </c>
      <c r="Y133">
        <v>8.2409526908265018</v>
      </c>
    </row>
    <row r="134" spans="1:26" x14ac:dyDescent="0.35">
      <c r="A134">
        <v>2920</v>
      </c>
      <c r="B134">
        <v>23610</v>
      </c>
      <c r="C134" s="1">
        <v>43079</v>
      </c>
      <c r="D134" s="1"/>
      <c r="F134" s="49"/>
      <c r="G134">
        <v>9.6999999999999993</v>
      </c>
      <c r="H134">
        <v>4.4000000000000004</v>
      </c>
      <c r="I134">
        <v>12.8</v>
      </c>
      <c r="J134">
        <f t="shared" si="12"/>
        <v>1008.9999999999998</v>
      </c>
      <c r="K134">
        <f t="shared" si="13"/>
        <v>68.7</v>
      </c>
      <c r="L134" s="8">
        <v>39</v>
      </c>
      <c r="M134">
        <v>14.9</v>
      </c>
      <c r="N134">
        <v>0.5</v>
      </c>
      <c r="O134">
        <f t="shared" si="17"/>
        <v>14.4</v>
      </c>
      <c r="Q134">
        <v>91</v>
      </c>
      <c r="R134">
        <v>1</v>
      </c>
      <c r="S134">
        <f t="shared" si="18"/>
        <v>0.5</v>
      </c>
      <c r="T134">
        <f t="shared" si="19"/>
        <v>14.4</v>
      </c>
      <c r="U134">
        <f t="shared" si="14"/>
        <v>186.66675675675671</v>
      </c>
      <c r="V134" s="12">
        <f>(V132*100)/197.4</f>
        <v>96.632396687303967</v>
      </c>
      <c r="W134">
        <v>150.5</v>
      </c>
      <c r="X134">
        <f t="shared" si="15"/>
        <v>2341.3000000000002</v>
      </c>
      <c r="Y134">
        <v>8.2254833879633473</v>
      </c>
    </row>
    <row r="135" spans="1:26" x14ac:dyDescent="0.35">
      <c r="A135">
        <v>2920</v>
      </c>
      <c r="B135">
        <v>23610</v>
      </c>
      <c r="C135" s="1">
        <v>43080</v>
      </c>
      <c r="D135" s="1"/>
      <c r="F135" s="49"/>
      <c r="G135">
        <v>5.7</v>
      </c>
      <c r="H135">
        <v>4.7</v>
      </c>
      <c r="I135">
        <v>7.6</v>
      </c>
      <c r="J135">
        <f t="shared" si="12"/>
        <v>1014.6999999999998</v>
      </c>
      <c r="K135">
        <f t="shared" si="13"/>
        <v>74.400000000000006</v>
      </c>
      <c r="L135" s="13" t="s">
        <v>44</v>
      </c>
      <c r="M135">
        <v>4.0999999999999996</v>
      </c>
      <c r="N135">
        <v>0.5</v>
      </c>
      <c r="O135">
        <f t="shared" si="17"/>
        <v>3.5999999999999996</v>
      </c>
      <c r="Q135">
        <v>92</v>
      </c>
      <c r="R135">
        <v>1</v>
      </c>
      <c r="S135">
        <f t="shared" si="18"/>
        <v>0.5</v>
      </c>
      <c r="T135">
        <f t="shared" si="19"/>
        <v>3.5999999999999996</v>
      </c>
      <c r="U135">
        <f t="shared" si="14"/>
        <v>190.26675675675671</v>
      </c>
      <c r="W135">
        <v>84.2</v>
      </c>
      <c r="X135">
        <f t="shared" si="15"/>
        <v>2425.5</v>
      </c>
      <c r="Y135">
        <v>8.2113438050981795</v>
      </c>
    </row>
    <row r="136" spans="1:26" x14ac:dyDescent="0.35">
      <c r="A136">
        <v>2920</v>
      </c>
      <c r="B136">
        <v>23610</v>
      </c>
      <c r="C136" s="1">
        <v>43081</v>
      </c>
      <c r="D136" s="1"/>
      <c r="E136">
        <v>9</v>
      </c>
      <c r="F136" s="49"/>
      <c r="G136">
        <v>4.3</v>
      </c>
      <c r="H136">
        <v>0.5</v>
      </c>
      <c r="I136">
        <v>9</v>
      </c>
      <c r="J136">
        <f t="shared" si="12"/>
        <v>1018.9999999999998</v>
      </c>
      <c r="K136">
        <f t="shared" si="13"/>
        <v>78.7</v>
      </c>
      <c r="L136" s="8">
        <v>16</v>
      </c>
      <c r="M136">
        <v>2.2999999999999998</v>
      </c>
      <c r="N136">
        <v>0.6</v>
      </c>
      <c r="O136">
        <f t="shared" si="17"/>
        <v>1.6999999999999997</v>
      </c>
      <c r="Q136">
        <v>93</v>
      </c>
      <c r="R136">
        <v>1</v>
      </c>
      <c r="S136">
        <f t="shared" si="18"/>
        <v>0.6</v>
      </c>
      <c r="T136">
        <f t="shared" si="19"/>
        <v>1.6999999999999997</v>
      </c>
      <c r="U136">
        <f t="shared" si="14"/>
        <v>191.96675675675669</v>
      </c>
      <c r="W136">
        <v>591</v>
      </c>
      <c r="X136">
        <f t="shared" si="15"/>
        <v>3016.5</v>
      </c>
      <c r="Y136">
        <v>8.1985463353585555</v>
      </c>
    </row>
    <row r="137" spans="1:26" x14ac:dyDescent="0.35">
      <c r="A137">
        <v>2920</v>
      </c>
      <c r="B137">
        <v>23610</v>
      </c>
      <c r="C137" s="1">
        <v>43082</v>
      </c>
      <c r="D137" s="1"/>
      <c r="F137" s="49"/>
      <c r="G137">
        <v>9.1999999999999993</v>
      </c>
      <c r="H137">
        <v>5.5</v>
      </c>
      <c r="I137">
        <v>10.199999999999999</v>
      </c>
      <c r="J137">
        <f t="shared" si="12"/>
        <v>1028.1999999999998</v>
      </c>
      <c r="K137">
        <f t="shared" si="13"/>
        <v>87.9</v>
      </c>
      <c r="M137">
        <v>1.5</v>
      </c>
      <c r="N137">
        <v>0.3</v>
      </c>
      <c r="O137">
        <f t="shared" si="17"/>
        <v>1.2</v>
      </c>
      <c r="Q137">
        <v>94</v>
      </c>
      <c r="R137">
        <v>1</v>
      </c>
      <c r="S137">
        <f t="shared" si="18"/>
        <v>0.3</v>
      </c>
      <c r="T137">
        <f t="shared" si="19"/>
        <v>1.2</v>
      </c>
      <c r="U137">
        <f t="shared" si="14"/>
        <v>193.16675675675668</v>
      </c>
      <c r="W137">
        <v>134.4</v>
      </c>
      <c r="X137">
        <f t="shared" si="15"/>
        <v>3150.9</v>
      </c>
      <c r="Y137">
        <v>8.187102286209953</v>
      </c>
    </row>
    <row r="138" spans="1:26" x14ac:dyDescent="0.35">
      <c r="A138">
        <v>2920</v>
      </c>
      <c r="B138">
        <v>23610</v>
      </c>
      <c r="C138" s="1">
        <v>43083</v>
      </c>
      <c r="D138" s="1"/>
      <c r="F138" s="49"/>
      <c r="G138">
        <v>6.5</v>
      </c>
      <c r="H138">
        <v>4.7</v>
      </c>
      <c r="I138">
        <v>8.9</v>
      </c>
      <c r="J138">
        <f t="shared" si="12"/>
        <v>1034.6999999999998</v>
      </c>
      <c r="K138">
        <f t="shared" si="13"/>
        <v>94.4</v>
      </c>
      <c r="M138">
        <v>3.2</v>
      </c>
      <c r="N138">
        <v>1.1000000000000001</v>
      </c>
      <c r="O138">
        <f t="shared" si="17"/>
        <v>2.1</v>
      </c>
      <c r="Q138">
        <v>95</v>
      </c>
      <c r="R138">
        <v>1</v>
      </c>
      <c r="S138">
        <f t="shared" si="18"/>
        <v>1.1000000000000001</v>
      </c>
      <c r="T138">
        <f t="shared" si="19"/>
        <v>2.1</v>
      </c>
      <c r="U138">
        <f t="shared" si="14"/>
        <v>195.26675675675668</v>
      </c>
      <c r="W138">
        <v>287.3</v>
      </c>
      <c r="X138">
        <f t="shared" si="15"/>
        <v>3438.2000000000003</v>
      </c>
      <c r="Y138">
        <v>8.1770218428116213</v>
      </c>
    </row>
    <row r="139" spans="1:26" x14ac:dyDescent="0.35">
      <c r="A139">
        <v>2920</v>
      </c>
      <c r="B139">
        <v>23610</v>
      </c>
      <c r="C139" s="1">
        <v>43084</v>
      </c>
      <c r="D139" s="1"/>
      <c r="F139" s="49"/>
      <c r="G139">
        <v>5.5</v>
      </c>
      <c r="H139">
        <v>4.5</v>
      </c>
      <c r="I139">
        <v>8.8000000000000007</v>
      </c>
      <c r="J139">
        <f t="shared" si="12"/>
        <v>1040.1999999999998</v>
      </c>
      <c r="K139">
        <f t="shared" si="13"/>
        <v>99.9</v>
      </c>
      <c r="M139">
        <v>0.6</v>
      </c>
      <c r="N139">
        <v>1.1000000000000001</v>
      </c>
      <c r="O139">
        <f t="shared" si="17"/>
        <v>-0.50000000000000011</v>
      </c>
      <c r="Q139">
        <v>96</v>
      </c>
      <c r="R139">
        <v>1</v>
      </c>
      <c r="S139">
        <f t="shared" si="18"/>
        <v>1.1000000000000001</v>
      </c>
      <c r="T139">
        <f t="shared" si="19"/>
        <v>-0.50000000000000011</v>
      </c>
      <c r="U139">
        <f t="shared" si="14"/>
        <v>194.76675675675668</v>
      </c>
      <c r="W139">
        <v>292.60000000000002</v>
      </c>
      <c r="X139">
        <f t="shared" si="15"/>
        <v>3730.8</v>
      </c>
      <c r="Y139">
        <v>8.1683140346286738</v>
      </c>
    </row>
    <row r="140" spans="1:26" x14ac:dyDescent="0.35">
      <c r="A140">
        <v>2920</v>
      </c>
      <c r="B140">
        <v>23610</v>
      </c>
      <c r="C140" s="1">
        <v>43085</v>
      </c>
      <c r="D140" s="1"/>
      <c r="E140">
        <v>10</v>
      </c>
      <c r="F140" s="49"/>
      <c r="G140">
        <v>4.3</v>
      </c>
      <c r="H140">
        <v>2.2000000000000002</v>
      </c>
      <c r="I140">
        <v>6.5</v>
      </c>
      <c r="J140">
        <f t="shared" si="12"/>
        <v>1044.4999999999998</v>
      </c>
      <c r="K140">
        <f t="shared" si="13"/>
        <v>104.2</v>
      </c>
      <c r="M140">
        <v>3</v>
      </c>
      <c r="N140">
        <v>0.5</v>
      </c>
      <c r="O140">
        <f t="shared" si="17"/>
        <v>2.5</v>
      </c>
      <c r="Q140">
        <v>97</v>
      </c>
      <c r="R140">
        <v>1</v>
      </c>
      <c r="S140">
        <f t="shared" si="18"/>
        <v>0.5</v>
      </c>
      <c r="T140">
        <f t="shared" si="19"/>
        <v>2.5</v>
      </c>
      <c r="U140">
        <f t="shared" si="14"/>
        <v>197.26675675675668</v>
      </c>
      <c r="W140">
        <v>102.1</v>
      </c>
      <c r="X140">
        <f t="shared" si="15"/>
        <v>3832.9</v>
      </c>
      <c r="Y140">
        <v>8.1609867055304228</v>
      </c>
    </row>
    <row r="141" spans="1:26" x14ac:dyDescent="0.35">
      <c r="A141">
        <v>2920</v>
      </c>
      <c r="B141">
        <v>23610</v>
      </c>
      <c r="C141" s="1">
        <v>43086</v>
      </c>
      <c r="D141" s="1"/>
      <c r="F141" s="49"/>
      <c r="G141">
        <v>7.7</v>
      </c>
      <c r="H141">
        <v>4.5999999999999996</v>
      </c>
      <c r="I141">
        <v>10.6</v>
      </c>
      <c r="J141">
        <f t="shared" si="12"/>
        <v>1052.1999999999998</v>
      </c>
      <c r="K141">
        <f t="shared" si="13"/>
        <v>111.9</v>
      </c>
      <c r="M141">
        <v>0.3</v>
      </c>
      <c r="N141">
        <v>0.4</v>
      </c>
      <c r="O141">
        <f t="shared" si="17"/>
        <v>-0.10000000000000003</v>
      </c>
      <c r="Q141">
        <v>98</v>
      </c>
      <c r="R141">
        <v>1</v>
      </c>
      <c r="S141">
        <f t="shared" si="18"/>
        <v>0.4</v>
      </c>
      <c r="T141">
        <f t="shared" si="19"/>
        <v>-0.10000000000000003</v>
      </c>
      <c r="U141">
        <f t="shared" si="14"/>
        <v>197.16675675675668</v>
      </c>
      <c r="W141">
        <v>314.7</v>
      </c>
      <c r="X141">
        <f t="shared" si="15"/>
        <v>4147.6000000000004</v>
      </c>
      <c r="Y141">
        <v>8.1550464875842312</v>
      </c>
    </row>
    <row r="142" spans="1:26" x14ac:dyDescent="0.35">
      <c r="A142">
        <v>2920</v>
      </c>
      <c r="B142">
        <v>23610</v>
      </c>
      <c r="C142" s="1">
        <v>43087</v>
      </c>
      <c r="D142" s="1"/>
      <c r="F142" s="49"/>
      <c r="G142">
        <v>7.7</v>
      </c>
      <c r="H142">
        <v>5.3</v>
      </c>
      <c r="I142">
        <v>10.5</v>
      </c>
      <c r="J142">
        <f t="shared" si="12"/>
        <v>1059.8999999999999</v>
      </c>
      <c r="K142">
        <f t="shared" si="13"/>
        <v>119.60000000000001</v>
      </c>
      <c r="M142">
        <v>0.2</v>
      </c>
      <c r="N142">
        <v>0.6</v>
      </c>
      <c r="O142">
        <f t="shared" si="17"/>
        <v>-0.39999999999999997</v>
      </c>
      <c r="Q142">
        <v>99</v>
      </c>
      <c r="R142">
        <v>1</v>
      </c>
      <c r="S142">
        <f t="shared" si="18"/>
        <v>0.6</v>
      </c>
      <c r="T142">
        <f t="shared" si="19"/>
        <v>-0.39999999999999997</v>
      </c>
      <c r="U142">
        <f t="shared" si="14"/>
        <v>196.76675675675668</v>
      </c>
      <c r="W142">
        <v>396.4</v>
      </c>
      <c r="X142">
        <f t="shared" si="15"/>
        <v>4544</v>
      </c>
      <c r="Y142">
        <v>8.1504987787304159</v>
      </c>
    </row>
    <row r="143" spans="1:26" x14ac:dyDescent="0.35">
      <c r="A143">
        <v>2920</v>
      </c>
      <c r="B143">
        <v>23610</v>
      </c>
      <c r="C143" s="1">
        <v>43088</v>
      </c>
      <c r="D143" s="1"/>
      <c r="E143">
        <v>11</v>
      </c>
      <c r="F143" s="49"/>
      <c r="G143">
        <v>2.2000000000000002</v>
      </c>
      <c r="H143">
        <v>-0.8</v>
      </c>
      <c r="I143">
        <v>4.8</v>
      </c>
      <c r="J143">
        <f t="shared" si="12"/>
        <v>1062.0999999999999</v>
      </c>
      <c r="K143">
        <f t="shared" si="13"/>
        <v>121.80000000000001</v>
      </c>
      <c r="M143">
        <v>0.1</v>
      </c>
      <c r="N143">
        <v>0.6</v>
      </c>
      <c r="O143">
        <f t="shared" si="17"/>
        <v>-0.5</v>
      </c>
      <c r="Q143">
        <v>100</v>
      </c>
      <c r="R143">
        <v>1</v>
      </c>
      <c r="S143">
        <f t="shared" si="18"/>
        <v>0.6</v>
      </c>
      <c r="T143">
        <f t="shared" si="19"/>
        <v>-0.5</v>
      </c>
      <c r="U143">
        <f t="shared" si="14"/>
        <v>196.26675675675668</v>
      </c>
      <c r="W143">
        <v>357</v>
      </c>
      <c r="X143">
        <f t="shared" si="15"/>
        <v>4901</v>
      </c>
      <c r="Y143">
        <v>8.1473477244981485</v>
      </c>
    </row>
    <row r="144" spans="1:26" x14ac:dyDescent="0.35">
      <c r="A144">
        <v>2920</v>
      </c>
      <c r="B144">
        <v>23610</v>
      </c>
      <c r="C144" s="1">
        <v>43089</v>
      </c>
      <c r="D144" s="1"/>
      <c r="F144" s="49"/>
      <c r="G144">
        <v>5.5</v>
      </c>
      <c r="H144">
        <v>0.6</v>
      </c>
      <c r="I144">
        <v>8.5</v>
      </c>
      <c r="J144">
        <f t="shared" si="12"/>
        <v>1067.5999999999999</v>
      </c>
      <c r="K144">
        <f t="shared" si="13"/>
        <v>127.30000000000001</v>
      </c>
      <c r="M144">
        <v>0.8</v>
      </c>
      <c r="N144">
        <v>0.2</v>
      </c>
      <c r="O144">
        <f t="shared" si="17"/>
        <v>0.60000000000000009</v>
      </c>
      <c r="Q144">
        <v>101</v>
      </c>
      <c r="R144">
        <v>1</v>
      </c>
      <c r="S144">
        <f t="shared" si="18"/>
        <v>0.2</v>
      </c>
      <c r="T144">
        <f t="shared" si="19"/>
        <v>0.60000000000000009</v>
      </c>
      <c r="U144">
        <f t="shared" si="14"/>
        <v>196.86675675675667</v>
      </c>
      <c r="W144">
        <v>92.4</v>
      </c>
      <c r="X144">
        <f t="shared" si="15"/>
        <v>4993.3999999999996</v>
      </c>
      <c r="Y144">
        <v>8.1455962038944758</v>
      </c>
    </row>
    <row r="145" spans="1:25" x14ac:dyDescent="0.35">
      <c r="A145">
        <v>2920</v>
      </c>
      <c r="B145">
        <v>23610</v>
      </c>
      <c r="C145" s="1">
        <v>43090</v>
      </c>
      <c r="D145" s="1"/>
      <c r="F145" s="49"/>
      <c r="G145">
        <v>9.1999999999999993</v>
      </c>
      <c r="H145">
        <v>8</v>
      </c>
      <c r="I145">
        <v>9.8000000000000007</v>
      </c>
      <c r="J145">
        <f t="shared" si="12"/>
        <v>1076.8</v>
      </c>
      <c r="K145">
        <f t="shared" si="13"/>
        <v>136.5</v>
      </c>
      <c r="M145">
        <v>1.3</v>
      </c>
      <c r="N145">
        <v>0.2</v>
      </c>
      <c r="O145">
        <f t="shared" si="17"/>
        <v>1.1000000000000001</v>
      </c>
      <c r="Q145">
        <v>102</v>
      </c>
      <c r="R145">
        <v>1</v>
      </c>
      <c r="S145">
        <f t="shared" si="18"/>
        <v>0.2</v>
      </c>
      <c r="T145">
        <f t="shared" si="19"/>
        <v>1.1000000000000001</v>
      </c>
      <c r="U145">
        <f t="shared" si="14"/>
        <v>197.4</v>
      </c>
      <c r="W145">
        <v>114.1</v>
      </c>
      <c r="X145">
        <f t="shared" si="15"/>
        <v>5107.5</v>
      </c>
      <c r="Y145">
        <v>8.1452458195690891</v>
      </c>
    </row>
    <row r="146" spans="1:25" x14ac:dyDescent="0.35">
      <c r="A146">
        <v>2920</v>
      </c>
      <c r="B146">
        <v>23610</v>
      </c>
      <c r="C146" s="1">
        <v>43091</v>
      </c>
      <c r="D146" s="1"/>
      <c r="F146" s="49"/>
      <c r="G146">
        <v>9.1999999999999993</v>
      </c>
      <c r="H146">
        <v>7.9</v>
      </c>
      <c r="I146">
        <v>10</v>
      </c>
      <c r="J146">
        <f t="shared" si="12"/>
        <v>1086</v>
      </c>
      <c r="K146">
        <f t="shared" si="13"/>
        <v>145.69999999999999</v>
      </c>
      <c r="M146">
        <v>1.2</v>
      </c>
      <c r="N146">
        <v>0.3</v>
      </c>
      <c r="O146">
        <f t="shared" si="17"/>
        <v>0.89999999999999991</v>
      </c>
      <c r="Q146">
        <v>103</v>
      </c>
      <c r="R146">
        <v>1</v>
      </c>
      <c r="S146">
        <f t="shared" si="18"/>
        <v>0.3</v>
      </c>
      <c r="T146">
        <f t="shared" si="19"/>
        <v>0.89999999999999991</v>
      </c>
      <c r="U146">
        <f t="shared" si="14"/>
        <v>197.4</v>
      </c>
      <c r="W146">
        <v>119.2</v>
      </c>
      <c r="X146">
        <f t="shared" si="15"/>
        <v>5226.7</v>
      </c>
      <c r="Y146">
        <v>8.1462968923268395</v>
      </c>
    </row>
    <row r="147" spans="1:25" x14ac:dyDescent="0.35">
      <c r="A147">
        <v>2920</v>
      </c>
      <c r="B147">
        <v>23610</v>
      </c>
      <c r="C147" s="1">
        <v>43092</v>
      </c>
      <c r="D147" s="1"/>
      <c r="F147" s="49"/>
      <c r="G147">
        <v>9.8000000000000007</v>
      </c>
      <c r="H147">
        <v>9</v>
      </c>
      <c r="I147">
        <v>10.9</v>
      </c>
      <c r="J147">
        <f t="shared" si="12"/>
        <v>1095.8</v>
      </c>
      <c r="K147">
        <f t="shared" si="13"/>
        <v>155.5</v>
      </c>
      <c r="M147">
        <v>0.5</v>
      </c>
      <c r="N147">
        <v>0.2</v>
      </c>
      <c r="O147">
        <f t="shared" si="17"/>
        <v>0.3</v>
      </c>
      <c r="Q147">
        <v>104</v>
      </c>
      <c r="R147">
        <v>1</v>
      </c>
      <c r="S147">
        <f t="shared" si="18"/>
        <v>0.2</v>
      </c>
      <c r="T147">
        <f t="shared" si="19"/>
        <v>0.3</v>
      </c>
      <c r="U147">
        <f t="shared" si="14"/>
        <v>197.4</v>
      </c>
      <c r="W147">
        <v>108</v>
      </c>
      <c r="X147">
        <f t="shared" si="15"/>
        <v>5334.7</v>
      </c>
      <c r="Y147">
        <v>8.148748460028191</v>
      </c>
    </row>
    <row r="148" spans="1:25" x14ac:dyDescent="0.35">
      <c r="A148">
        <v>2920</v>
      </c>
      <c r="B148">
        <v>23610</v>
      </c>
      <c r="C148" s="1">
        <v>43093</v>
      </c>
      <c r="D148" s="1"/>
      <c r="F148" s="49"/>
      <c r="G148">
        <v>9</v>
      </c>
      <c r="H148">
        <v>8.8000000000000007</v>
      </c>
      <c r="I148">
        <v>10.4</v>
      </c>
      <c r="J148">
        <f t="shared" si="12"/>
        <v>1104.8</v>
      </c>
      <c r="K148">
        <f t="shared" si="13"/>
        <v>164.5</v>
      </c>
      <c r="M148">
        <v>0.8</v>
      </c>
      <c r="N148">
        <v>0.4</v>
      </c>
      <c r="O148">
        <f t="shared" si="17"/>
        <v>0.4</v>
      </c>
      <c r="Q148">
        <v>105</v>
      </c>
      <c r="R148">
        <v>1</v>
      </c>
      <c r="S148">
        <f t="shared" si="18"/>
        <v>0.4</v>
      </c>
      <c r="T148">
        <f t="shared" si="19"/>
        <v>0.4</v>
      </c>
      <c r="U148">
        <f t="shared" si="14"/>
        <v>197.4</v>
      </c>
      <c r="W148">
        <v>95.8</v>
      </c>
      <c r="X148">
        <f t="shared" si="15"/>
        <v>5430.5</v>
      </c>
      <c r="Y148">
        <v>8.1525982808857957</v>
      </c>
    </row>
    <row r="149" spans="1:25" x14ac:dyDescent="0.35">
      <c r="A149">
        <v>2920</v>
      </c>
      <c r="B149">
        <v>23610</v>
      </c>
      <c r="C149" s="1">
        <v>43094</v>
      </c>
      <c r="D149" s="1"/>
      <c r="F149" s="49"/>
      <c r="G149">
        <v>7.1</v>
      </c>
      <c r="H149">
        <v>7</v>
      </c>
      <c r="I149">
        <v>8.1</v>
      </c>
      <c r="J149">
        <f t="shared" si="12"/>
        <v>1111.8999999999999</v>
      </c>
      <c r="K149">
        <f t="shared" si="13"/>
        <v>171.6</v>
      </c>
      <c r="M149">
        <v>5.7</v>
      </c>
      <c r="N149">
        <v>0.5</v>
      </c>
      <c r="O149">
        <f t="shared" si="17"/>
        <v>5.2</v>
      </c>
      <c r="Q149">
        <v>106</v>
      </c>
      <c r="R149">
        <v>1</v>
      </c>
      <c r="S149">
        <f t="shared" si="18"/>
        <v>0.5</v>
      </c>
      <c r="T149">
        <f t="shared" si="19"/>
        <v>5.2</v>
      </c>
      <c r="U149">
        <f t="shared" si="14"/>
        <v>197.4</v>
      </c>
      <c r="W149">
        <v>86.3</v>
      </c>
      <c r="X149">
        <f t="shared" si="15"/>
        <v>5516.8</v>
      </c>
      <c r="Y149">
        <v>8.1578428411328474</v>
      </c>
    </row>
    <row r="150" spans="1:25" x14ac:dyDescent="0.35">
      <c r="A150">
        <v>2920</v>
      </c>
      <c r="B150">
        <v>23610</v>
      </c>
      <c r="C150" s="1">
        <v>43095</v>
      </c>
      <c r="D150" s="1"/>
      <c r="F150" s="49"/>
      <c r="G150">
        <v>6.6</v>
      </c>
      <c r="H150">
        <v>4.2</v>
      </c>
      <c r="I150">
        <v>8.5</v>
      </c>
      <c r="J150">
        <f t="shared" si="12"/>
        <v>1118.4999999999998</v>
      </c>
      <c r="K150">
        <f t="shared" si="13"/>
        <v>178.2</v>
      </c>
      <c r="M150">
        <v>16.5</v>
      </c>
      <c r="N150">
        <v>0.5</v>
      </c>
      <c r="O150">
        <f t="shared" si="17"/>
        <v>16</v>
      </c>
      <c r="Q150">
        <v>107</v>
      </c>
      <c r="R150">
        <v>1</v>
      </c>
      <c r="S150">
        <f t="shared" si="18"/>
        <v>0.5</v>
      </c>
      <c r="T150">
        <f t="shared" si="19"/>
        <v>16</v>
      </c>
      <c r="U150">
        <f t="shared" si="14"/>
        <v>197.4</v>
      </c>
      <c r="W150">
        <v>418.7</v>
      </c>
      <c r="X150">
        <f t="shared" si="15"/>
        <v>5935.5</v>
      </c>
      <c r="Y150">
        <v>8.1644773670071498</v>
      </c>
    </row>
    <row r="151" spans="1:25" x14ac:dyDescent="0.35">
      <c r="A151">
        <v>2920</v>
      </c>
      <c r="B151">
        <v>23610</v>
      </c>
      <c r="C151" s="1">
        <v>43096</v>
      </c>
      <c r="D151" s="1"/>
      <c r="F151" s="49"/>
      <c r="G151">
        <v>5.3</v>
      </c>
      <c r="H151">
        <v>4.5</v>
      </c>
      <c r="I151">
        <v>7.2</v>
      </c>
      <c r="J151">
        <f t="shared" si="12"/>
        <v>1123.7999999999997</v>
      </c>
      <c r="K151">
        <f t="shared" si="13"/>
        <v>183.5</v>
      </c>
      <c r="M151">
        <v>3.9</v>
      </c>
      <c r="N151">
        <v>1.2</v>
      </c>
      <c r="O151">
        <f t="shared" si="17"/>
        <v>2.7</v>
      </c>
      <c r="Q151">
        <v>108</v>
      </c>
      <c r="R151">
        <v>1</v>
      </c>
      <c r="S151">
        <f t="shared" si="18"/>
        <v>1.2</v>
      </c>
      <c r="T151">
        <f t="shared" si="19"/>
        <v>2.7</v>
      </c>
      <c r="U151">
        <f t="shared" si="14"/>
        <v>197.4</v>
      </c>
      <c r="W151">
        <v>216.1</v>
      </c>
      <c r="X151">
        <f t="shared" si="15"/>
        <v>6151.6</v>
      </c>
      <c r="Y151">
        <v>8.1724958409633626</v>
      </c>
    </row>
    <row r="152" spans="1:25" x14ac:dyDescent="0.35">
      <c r="A152">
        <v>2920</v>
      </c>
      <c r="B152">
        <v>23610</v>
      </c>
      <c r="C152" s="1">
        <v>43097</v>
      </c>
      <c r="D152" s="1"/>
      <c r="E152">
        <v>12</v>
      </c>
      <c r="F152" s="49"/>
      <c r="G152">
        <v>3.1</v>
      </c>
      <c r="H152">
        <v>0.5</v>
      </c>
      <c r="I152">
        <v>6.6</v>
      </c>
      <c r="J152">
        <f t="shared" si="12"/>
        <v>1126.8999999999996</v>
      </c>
      <c r="K152">
        <f t="shared" si="13"/>
        <v>186.6</v>
      </c>
      <c r="M152">
        <v>1.2</v>
      </c>
      <c r="N152">
        <v>0.5</v>
      </c>
      <c r="O152">
        <f t="shared" si="17"/>
        <v>0.7</v>
      </c>
      <c r="Q152">
        <v>109</v>
      </c>
      <c r="R152">
        <v>1</v>
      </c>
      <c r="S152">
        <f t="shared" si="18"/>
        <v>0.5</v>
      </c>
      <c r="T152">
        <f t="shared" si="19"/>
        <v>0.7</v>
      </c>
      <c r="U152">
        <f t="shared" si="14"/>
        <v>197.4</v>
      </c>
      <c r="W152">
        <v>477.9</v>
      </c>
      <c r="X152">
        <f t="shared" si="15"/>
        <v>6629.5</v>
      </c>
      <c r="Y152">
        <v>8.1818910219958845</v>
      </c>
    </row>
    <row r="153" spans="1:25" x14ac:dyDescent="0.35">
      <c r="A153">
        <v>2920</v>
      </c>
      <c r="B153">
        <v>23610</v>
      </c>
      <c r="C153" s="1">
        <v>43098</v>
      </c>
      <c r="D153" s="1"/>
      <c r="F153" s="49"/>
      <c r="G153">
        <v>9.3000000000000007</v>
      </c>
      <c r="H153">
        <v>3.2</v>
      </c>
      <c r="I153">
        <v>13.2</v>
      </c>
      <c r="J153">
        <f t="shared" si="12"/>
        <v>1136.1999999999996</v>
      </c>
      <c r="K153">
        <f t="shared" si="13"/>
        <v>195.9</v>
      </c>
      <c r="M153">
        <v>6.3</v>
      </c>
      <c r="N153">
        <v>0.3</v>
      </c>
      <c r="O153">
        <f t="shared" si="17"/>
        <v>6</v>
      </c>
      <c r="Q153">
        <v>110</v>
      </c>
      <c r="R153">
        <v>1</v>
      </c>
      <c r="S153">
        <f t="shared" si="18"/>
        <v>0.3</v>
      </c>
      <c r="T153">
        <f t="shared" si="19"/>
        <v>6</v>
      </c>
      <c r="U153">
        <f t="shared" si="14"/>
        <v>197.4</v>
      </c>
      <c r="W153">
        <v>86.7</v>
      </c>
      <c r="X153">
        <f t="shared" si="15"/>
        <v>6716.2</v>
      </c>
      <c r="Y153">
        <v>8.1926544699261221</v>
      </c>
    </row>
    <row r="154" spans="1:25" x14ac:dyDescent="0.35">
      <c r="A154">
        <v>2920</v>
      </c>
      <c r="B154">
        <v>23610</v>
      </c>
      <c r="C154" s="1">
        <v>43099</v>
      </c>
      <c r="D154" s="1"/>
      <c r="F154" s="49"/>
      <c r="G154">
        <v>13.3</v>
      </c>
      <c r="H154">
        <v>10.8</v>
      </c>
      <c r="I154">
        <v>13.9</v>
      </c>
      <c r="J154">
        <f t="shared" si="12"/>
        <v>1149.4999999999995</v>
      </c>
      <c r="K154">
        <f t="shared" si="13"/>
        <v>209.20000000000002</v>
      </c>
      <c r="M154">
        <v>1.2</v>
      </c>
      <c r="N154">
        <v>0.3</v>
      </c>
      <c r="O154">
        <f t="shared" si="17"/>
        <v>0.89999999999999991</v>
      </c>
      <c r="Q154">
        <v>111</v>
      </c>
      <c r="R154">
        <v>1</v>
      </c>
      <c r="S154">
        <f t="shared" si="18"/>
        <v>0.3</v>
      </c>
      <c r="T154">
        <f t="shared" si="19"/>
        <v>0.89999999999999991</v>
      </c>
      <c r="U154">
        <f t="shared" si="14"/>
        <v>197.4</v>
      </c>
      <c r="W154">
        <v>76.2</v>
      </c>
      <c r="X154">
        <f t="shared" si="15"/>
        <v>6792.4</v>
      </c>
      <c r="Y154">
        <v>8.2047765734811406</v>
      </c>
    </row>
    <row r="155" spans="1:25" x14ac:dyDescent="0.35">
      <c r="A155">
        <v>2920</v>
      </c>
      <c r="B155">
        <v>23610</v>
      </c>
      <c r="C155" s="1">
        <v>43100</v>
      </c>
      <c r="D155" s="1"/>
      <c r="F155" s="49"/>
      <c r="G155">
        <v>11.2</v>
      </c>
      <c r="H155">
        <v>9.5</v>
      </c>
      <c r="I155">
        <v>13.3</v>
      </c>
      <c r="J155">
        <f t="shared" si="12"/>
        <v>1160.6999999999996</v>
      </c>
      <c r="K155">
        <f t="shared" si="13"/>
        <v>220.4</v>
      </c>
      <c r="M155">
        <v>6.2</v>
      </c>
      <c r="N155">
        <v>1.2</v>
      </c>
      <c r="O155">
        <f t="shared" si="17"/>
        <v>5</v>
      </c>
      <c r="Q155">
        <v>112</v>
      </c>
      <c r="R155">
        <v>1</v>
      </c>
      <c r="S155">
        <f t="shared" si="18"/>
        <v>1.2</v>
      </c>
      <c r="T155">
        <f t="shared" si="19"/>
        <v>5</v>
      </c>
      <c r="U155">
        <f t="shared" si="14"/>
        <v>197.4</v>
      </c>
      <c r="W155">
        <v>81.099999999999994</v>
      </c>
      <c r="X155">
        <f t="shared" si="15"/>
        <v>6873.5</v>
      </c>
      <c r="Y155">
        <v>8.2182465819659498</v>
      </c>
    </row>
    <row r="156" spans="1:25" x14ac:dyDescent="0.35">
      <c r="A156">
        <v>2920</v>
      </c>
      <c r="B156">
        <v>23610</v>
      </c>
      <c r="C156" s="1">
        <v>43101</v>
      </c>
      <c r="D156" s="1"/>
      <c r="F156" s="49"/>
      <c r="G156">
        <v>8.6</v>
      </c>
      <c r="H156">
        <v>8.1</v>
      </c>
      <c r="I156">
        <v>9.8000000000000007</v>
      </c>
      <c r="J156">
        <f t="shared" si="12"/>
        <v>1169.2999999999995</v>
      </c>
      <c r="K156">
        <f t="shared" si="13"/>
        <v>229</v>
      </c>
      <c r="M156">
        <v>15.2</v>
      </c>
      <c r="N156">
        <v>1.4</v>
      </c>
      <c r="O156">
        <f t="shared" si="17"/>
        <v>13.799999999999999</v>
      </c>
      <c r="Q156">
        <v>113</v>
      </c>
      <c r="R156">
        <v>1</v>
      </c>
      <c r="S156">
        <f t="shared" si="18"/>
        <v>1.4</v>
      </c>
      <c r="T156">
        <f t="shared" si="19"/>
        <v>13.799999999999999</v>
      </c>
      <c r="U156">
        <f t="shared" si="14"/>
        <v>197.4</v>
      </c>
      <c r="W156">
        <v>113.6</v>
      </c>
      <c r="X156">
        <f t="shared" si="15"/>
        <v>6987.1</v>
      </c>
      <c r="Y156">
        <v>8.2330526403095128</v>
      </c>
    </row>
    <row r="157" spans="1:25" x14ac:dyDescent="0.35">
      <c r="A157">
        <v>2920</v>
      </c>
      <c r="B157">
        <v>23610</v>
      </c>
      <c r="C157" s="1">
        <v>43102</v>
      </c>
      <c r="D157" s="1"/>
      <c r="F157" s="49"/>
      <c r="G157">
        <v>10.4</v>
      </c>
      <c r="H157">
        <v>6.5</v>
      </c>
      <c r="I157">
        <v>14.1</v>
      </c>
      <c r="J157">
        <f t="shared" si="12"/>
        <v>1179.6999999999996</v>
      </c>
      <c r="K157">
        <f t="shared" si="13"/>
        <v>239.4</v>
      </c>
      <c r="M157">
        <v>2</v>
      </c>
      <c r="N157">
        <v>0.5</v>
      </c>
      <c r="O157">
        <f t="shared" si="17"/>
        <v>1.5</v>
      </c>
      <c r="Q157">
        <v>114</v>
      </c>
      <c r="R157">
        <v>1</v>
      </c>
      <c r="S157">
        <f t="shared" si="18"/>
        <v>0.5</v>
      </c>
      <c r="T157">
        <f t="shared" si="19"/>
        <v>1.5</v>
      </c>
      <c r="U157">
        <f t="shared" si="14"/>
        <v>197.4</v>
      </c>
      <c r="W157">
        <v>88.6</v>
      </c>
      <c r="X157">
        <f t="shared" si="15"/>
        <v>7075.7000000000007</v>
      </c>
      <c r="Y157">
        <v>8.2491818272448576</v>
      </c>
    </row>
    <row r="158" spans="1:25" x14ac:dyDescent="0.35">
      <c r="A158">
        <v>2920</v>
      </c>
      <c r="B158">
        <v>23610</v>
      </c>
      <c r="C158" s="1">
        <v>43103</v>
      </c>
      <c r="D158" s="1"/>
      <c r="F158" s="49"/>
      <c r="G158">
        <v>11.5</v>
      </c>
      <c r="H158">
        <v>9.8000000000000007</v>
      </c>
      <c r="I158">
        <v>13.7</v>
      </c>
      <c r="J158">
        <f t="shared" si="12"/>
        <v>1191.1999999999996</v>
      </c>
      <c r="K158">
        <f t="shared" si="13"/>
        <v>250.9</v>
      </c>
      <c r="M158">
        <v>9.1</v>
      </c>
      <c r="N158">
        <v>1.6</v>
      </c>
      <c r="O158">
        <f t="shared" si="17"/>
        <v>7.5</v>
      </c>
      <c r="Q158">
        <v>115</v>
      </c>
      <c r="R158">
        <v>1</v>
      </c>
      <c r="S158">
        <f t="shared" si="18"/>
        <v>1.6</v>
      </c>
      <c r="T158">
        <f t="shared" si="19"/>
        <v>7.5</v>
      </c>
      <c r="U158">
        <f t="shared" si="14"/>
        <v>197.4</v>
      </c>
      <c r="W158">
        <v>371.3</v>
      </c>
      <c r="X158">
        <f t="shared" si="15"/>
        <v>7447.0000000000009</v>
      </c>
      <c r="Y158">
        <v>8.2666201963669401</v>
      </c>
    </row>
    <row r="159" spans="1:25" x14ac:dyDescent="0.35">
      <c r="A159">
        <v>2920</v>
      </c>
      <c r="B159">
        <v>23610</v>
      </c>
      <c r="C159" s="1">
        <v>43104</v>
      </c>
      <c r="D159" s="1"/>
      <c r="F159" s="49"/>
      <c r="G159">
        <v>12.6</v>
      </c>
      <c r="H159">
        <v>10.5</v>
      </c>
      <c r="I159">
        <v>13.9</v>
      </c>
      <c r="J159">
        <f t="shared" si="12"/>
        <v>1203.7999999999995</v>
      </c>
      <c r="K159">
        <f t="shared" si="13"/>
        <v>263.5</v>
      </c>
      <c r="M159">
        <v>1.9</v>
      </c>
      <c r="N159">
        <v>0.5</v>
      </c>
      <c r="O159">
        <f t="shared" si="17"/>
        <v>1.4</v>
      </c>
      <c r="Q159">
        <v>116</v>
      </c>
      <c r="R159">
        <v>1</v>
      </c>
      <c r="S159">
        <f t="shared" si="18"/>
        <v>0.5</v>
      </c>
      <c r="T159">
        <f t="shared" si="19"/>
        <v>1.4</v>
      </c>
      <c r="U159">
        <f t="shared" si="14"/>
        <v>197.4</v>
      </c>
      <c r="W159">
        <v>63.3</v>
      </c>
      <c r="X159">
        <f t="shared" si="15"/>
        <v>7510.3000000000011</v>
      </c>
      <c r="Y159">
        <v>8.2853528197978985</v>
      </c>
    </row>
    <row r="160" spans="1:25" x14ac:dyDescent="0.35">
      <c r="A160">
        <v>2920</v>
      </c>
      <c r="B160">
        <v>23610</v>
      </c>
      <c r="C160" s="1">
        <v>43105</v>
      </c>
      <c r="D160" s="1"/>
      <c r="F160" s="49"/>
      <c r="G160">
        <v>8.4</v>
      </c>
      <c r="H160">
        <v>7.1</v>
      </c>
      <c r="I160">
        <v>9.8000000000000007</v>
      </c>
      <c r="J160">
        <f t="shared" si="12"/>
        <v>1212.1999999999996</v>
      </c>
      <c r="K160">
        <f t="shared" si="13"/>
        <v>271.89999999999998</v>
      </c>
      <c r="M160">
        <v>1.5</v>
      </c>
      <c r="N160">
        <v>0.6</v>
      </c>
      <c r="O160">
        <f t="shared" si="17"/>
        <v>0.9</v>
      </c>
      <c r="Q160">
        <v>117</v>
      </c>
      <c r="R160">
        <v>1</v>
      </c>
      <c r="S160">
        <f t="shared" si="18"/>
        <v>0.6</v>
      </c>
      <c r="T160">
        <f t="shared" si="19"/>
        <v>0.9</v>
      </c>
      <c r="U160">
        <f t="shared" si="14"/>
        <v>197.4</v>
      </c>
      <c r="W160">
        <v>406</v>
      </c>
      <c r="X160">
        <f t="shared" si="15"/>
        <v>7916.3000000000011</v>
      </c>
      <c r="Y160">
        <v>8.3053638341785643</v>
      </c>
    </row>
    <row r="161" spans="1:25" x14ac:dyDescent="0.35">
      <c r="A161">
        <v>2920</v>
      </c>
      <c r="B161">
        <v>23610</v>
      </c>
      <c r="C161" s="1">
        <v>43106</v>
      </c>
      <c r="D161" s="1"/>
      <c r="F161" s="49"/>
      <c r="G161">
        <v>5.3</v>
      </c>
      <c r="H161">
        <v>3.5</v>
      </c>
      <c r="I161">
        <v>7.6</v>
      </c>
      <c r="J161">
        <f t="shared" si="12"/>
        <v>1217.4999999999995</v>
      </c>
      <c r="K161">
        <f t="shared" si="13"/>
        <v>277.2</v>
      </c>
      <c r="M161">
        <v>0.3</v>
      </c>
      <c r="N161">
        <v>0.4</v>
      </c>
      <c r="O161">
        <f t="shared" si="17"/>
        <v>-0.10000000000000003</v>
      </c>
      <c r="Q161">
        <v>118</v>
      </c>
      <c r="R161">
        <v>1</v>
      </c>
      <c r="S161">
        <f t="shared" si="18"/>
        <v>0.4</v>
      </c>
      <c r="T161">
        <f t="shared" si="19"/>
        <v>-0.10000000000000003</v>
      </c>
      <c r="U161">
        <f t="shared" si="14"/>
        <v>197.3</v>
      </c>
      <c r="W161">
        <v>356.5</v>
      </c>
      <c r="X161">
        <f t="shared" si="15"/>
        <v>8272.8000000000011</v>
      </c>
      <c r="Y161">
        <v>8.3266364886970745</v>
      </c>
    </row>
    <row r="162" spans="1:25" x14ac:dyDescent="0.35">
      <c r="A162">
        <v>2920</v>
      </c>
      <c r="B162">
        <v>23610</v>
      </c>
      <c r="C162" s="1">
        <v>43107</v>
      </c>
      <c r="D162" s="1"/>
      <c r="F162" s="49"/>
      <c r="G162">
        <v>6.1</v>
      </c>
      <c r="H162">
        <v>4.5999999999999996</v>
      </c>
      <c r="I162">
        <v>6.7</v>
      </c>
      <c r="J162">
        <f t="shared" si="12"/>
        <v>1223.5999999999995</v>
      </c>
      <c r="K162">
        <f t="shared" si="13"/>
        <v>283.3</v>
      </c>
      <c r="M162">
        <v>3.1</v>
      </c>
      <c r="N162">
        <v>0.6</v>
      </c>
      <c r="O162">
        <f t="shared" si="17"/>
        <v>2.5</v>
      </c>
      <c r="Q162">
        <v>119</v>
      </c>
      <c r="R162">
        <v>1</v>
      </c>
      <c r="S162">
        <f t="shared" si="18"/>
        <v>0.6</v>
      </c>
      <c r="T162">
        <f t="shared" si="19"/>
        <v>2.5</v>
      </c>
      <c r="U162">
        <f t="shared" si="14"/>
        <v>197.4</v>
      </c>
      <c r="W162">
        <v>81</v>
      </c>
      <c r="X162">
        <f t="shared" si="15"/>
        <v>8353.8000000000011</v>
      </c>
      <c r="Y162">
        <v>8.349153194860655</v>
      </c>
    </row>
    <row r="163" spans="1:25" x14ac:dyDescent="0.35">
      <c r="A163">
        <v>2920</v>
      </c>
      <c r="B163">
        <v>23610</v>
      </c>
      <c r="C163" s="1">
        <v>43108</v>
      </c>
      <c r="D163" s="1"/>
      <c r="F163" s="49"/>
      <c r="G163">
        <v>6.1</v>
      </c>
      <c r="H163">
        <v>5.8</v>
      </c>
      <c r="I163">
        <v>6.6</v>
      </c>
      <c r="J163">
        <f t="shared" si="12"/>
        <v>1229.6999999999994</v>
      </c>
      <c r="K163">
        <f t="shared" si="13"/>
        <v>289.40000000000003</v>
      </c>
      <c r="M163">
        <v>0</v>
      </c>
      <c r="N163">
        <v>0.6</v>
      </c>
      <c r="O163">
        <f t="shared" si="17"/>
        <v>-0.6</v>
      </c>
      <c r="Q163">
        <v>120</v>
      </c>
      <c r="R163">
        <v>1</v>
      </c>
      <c r="S163">
        <f t="shared" si="18"/>
        <v>0.6</v>
      </c>
      <c r="T163">
        <f t="shared" si="19"/>
        <v>-0.6</v>
      </c>
      <c r="U163">
        <f t="shared" si="14"/>
        <v>196.8</v>
      </c>
      <c r="W163">
        <v>148.6</v>
      </c>
      <c r="X163">
        <f t="shared" si="15"/>
        <v>8502.4000000000015</v>
      </c>
      <c r="Y163">
        <v>8.3728955777145835</v>
      </c>
    </row>
    <row r="164" spans="1:25" x14ac:dyDescent="0.35">
      <c r="A164">
        <v>2920</v>
      </c>
      <c r="B164">
        <v>23610</v>
      </c>
      <c r="C164" s="1">
        <v>43109</v>
      </c>
      <c r="D164" s="1"/>
      <c r="F164" s="49"/>
      <c r="G164">
        <v>7.7</v>
      </c>
      <c r="H164">
        <v>5.5</v>
      </c>
      <c r="I164">
        <v>9.5</v>
      </c>
      <c r="J164">
        <f t="shared" si="12"/>
        <v>1237.3999999999994</v>
      </c>
      <c r="K164">
        <f t="shared" si="13"/>
        <v>297.10000000000002</v>
      </c>
      <c r="M164">
        <v>2.5</v>
      </c>
      <c r="N164">
        <v>0.4</v>
      </c>
      <c r="O164">
        <f t="shared" si="17"/>
        <v>2.1</v>
      </c>
      <c r="Q164">
        <v>121</v>
      </c>
      <c r="R164">
        <v>1</v>
      </c>
      <c r="S164">
        <f t="shared" si="18"/>
        <v>0.4</v>
      </c>
      <c r="T164">
        <f t="shared" si="19"/>
        <v>2.1</v>
      </c>
      <c r="U164">
        <f t="shared" si="14"/>
        <v>197.4</v>
      </c>
      <c r="W164">
        <v>159.30000000000001</v>
      </c>
      <c r="X164">
        <f t="shared" si="15"/>
        <v>8661.7000000000007</v>
      </c>
      <c r="Y164">
        <v>8.3978445282131968</v>
      </c>
    </row>
    <row r="165" spans="1:25" x14ac:dyDescent="0.35">
      <c r="A165">
        <v>2920</v>
      </c>
      <c r="B165">
        <v>23610</v>
      </c>
      <c r="C165" s="1">
        <v>43110</v>
      </c>
      <c r="D165" s="1"/>
      <c r="F165" s="49"/>
      <c r="G165">
        <v>8.1999999999999993</v>
      </c>
      <c r="H165">
        <v>6.7</v>
      </c>
      <c r="I165">
        <v>10.9</v>
      </c>
      <c r="J165">
        <f t="shared" si="12"/>
        <v>1245.5999999999995</v>
      </c>
      <c r="K165">
        <f t="shared" si="13"/>
        <v>305.3</v>
      </c>
      <c r="M165">
        <v>0.4</v>
      </c>
      <c r="N165">
        <v>0.7</v>
      </c>
      <c r="O165">
        <f t="shared" si="17"/>
        <v>-0.29999999999999993</v>
      </c>
      <c r="Q165">
        <v>122</v>
      </c>
      <c r="R165">
        <v>1</v>
      </c>
      <c r="S165">
        <f t="shared" si="18"/>
        <v>0.7</v>
      </c>
      <c r="T165">
        <f t="shared" si="19"/>
        <v>-0.29999999999999993</v>
      </c>
      <c r="U165">
        <f t="shared" si="14"/>
        <v>197.1</v>
      </c>
      <c r="W165">
        <v>489.2</v>
      </c>
      <c r="X165">
        <f t="shared" si="15"/>
        <v>9150.9000000000015</v>
      </c>
      <c r="Y165">
        <v>8.423980256451312</v>
      </c>
    </row>
    <row r="166" spans="1:25" x14ac:dyDescent="0.35">
      <c r="A166">
        <v>2920</v>
      </c>
      <c r="B166">
        <v>23610</v>
      </c>
      <c r="C166" s="1">
        <v>43111</v>
      </c>
      <c r="D166" s="1"/>
      <c r="F166" s="49"/>
      <c r="G166">
        <v>7.1</v>
      </c>
      <c r="H166">
        <v>6.3</v>
      </c>
      <c r="I166">
        <v>8.4</v>
      </c>
      <c r="J166">
        <f t="shared" si="12"/>
        <v>1252.6999999999994</v>
      </c>
      <c r="K166">
        <f t="shared" si="13"/>
        <v>312.40000000000003</v>
      </c>
      <c r="M166">
        <v>0.2</v>
      </c>
      <c r="N166">
        <v>0.4</v>
      </c>
      <c r="O166">
        <f t="shared" si="17"/>
        <v>-0.2</v>
      </c>
      <c r="Q166">
        <v>123</v>
      </c>
      <c r="R166">
        <v>1</v>
      </c>
      <c r="S166">
        <f t="shared" si="18"/>
        <v>0.4</v>
      </c>
      <c r="T166">
        <f t="shared" si="19"/>
        <v>-0.2</v>
      </c>
      <c r="U166">
        <f t="shared" si="14"/>
        <v>196.9</v>
      </c>
      <c r="W166">
        <v>151.6</v>
      </c>
      <c r="X166">
        <f t="shared" si="15"/>
        <v>9302.5000000000018</v>
      </c>
      <c r="Y166">
        <v>8.451282345470295</v>
      </c>
    </row>
    <row r="167" spans="1:25" x14ac:dyDescent="0.35">
      <c r="A167">
        <v>2920</v>
      </c>
      <c r="B167">
        <v>23610</v>
      </c>
      <c r="C167" s="1">
        <v>43112</v>
      </c>
      <c r="D167" s="1"/>
      <c r="E167">
        <v>13</v>
      </c>
      <c r="F167" s="49"/>
      <c r="G167">
        <v>4.0999999999999996</v>
      </c>
      <c r="H167">
        <v>1.3</v>
      </c>
      <c r="I167">
        <v>5.0999999999999996</v>
      </c>
      <c r="J167">
        <f t="shared" si="12"/>
        <v>1256.7999999999993</v>
      </c>
      <c r="K167">
        <f t="shared" si="13"/>
        <v>316.50000000000006</v>
      </c>
      <c r="M167">
        <v>0</v>
      </c>
      <c r="N167">
        <v>0.1</v>
      </c>
      <c r="O167">
        <f t="shared" si="17"/>
        <v>-0.1</v>
      </c>
      <c r="Q167">
        <v>124</v>
      </c>
      <c r="R167">
        <v>1</v>
      </c>
      <c r="S167">
        <f t="shared" si="18"/>
        <v>0.1</v>
      </c>
      <c r="T167">
        <f t="shared" si="19"/>
        <v>-0.1</v>
      </c>
      <c r="U167">
        <f t="shared" si="14"/>
        <v>196.8</v>
      </c>
      <c r="W167">
        <v>138.6</v>
      </c>
      <c r="X167">
        <f t="shared" si="15"/>
        <v>9441.1000000000022</v>
      </c>
      <c r="Y167">
        <v>8.4797298053613801</v>
      </c>
    </row>
    <row r="168" spans="1:25" x14ac:dyDescent="0.35">
      <c r="A168">
        <v>2920</v>
      </c>
      <c r="B168">
        <v>23610</v>
      </c>
      <c r="C168" s="1">
        <v>43113</v>
      </c>
      <c r="D168" s="1"/>
      <c r="E168">
        <v>14</v>
      </c>
      <c r="F168" s="49"/>
      <c r="G168">
        <v>4.5</v>
      </c>
      <c r="H168">
        <v>3.5</v>
      </c>
      <c r="I168">
        <v>5.2</v>
      </c>
      <c r="J168">
        <f t="shared" si="12"/>
        <v>1261.2999999999993</v>
      </c>
      <c r="K168">
        <f t="shared" si="13"/>
        <v>321.00000000000006</v>
      </c>
      <c r="M168">
        <v>0.2</v>
      </c>
      <c r="N168">
        <v>0.4</v>
      </c>
      <c r="O168">
        <f t="shared" si="17"/>
        <v>-0.2</v>
      </c>
      <c r="Q168">
        <v>125</v>
      </c>
      <c r="R168">
        <v>1</v>
      </c>
      <c r="S168">
        <f t="shared" si="18"/>
        <v>0.4</v>
      </c>
      <c r="T168">
        <f t="shared" si="19"/>
        <v>-0.2</v>
      </c>
      <c r="U168">
        <f t="shared" si="14"/>
        <v>196.60000000000002</v>
      </c>
      <c r="W168">
        <v>175</v>
      </c>
      <c r="X168">
        <f t="shared" si="15"/>
        <v>9616.1000000000022</v>
      </c>
      <c r="Y168">
        <v>8.5093011273989667</v>
      </c>
    </row>
    <row r="169" spans="1:25" x14ac:dyDescent="0.35">
      <c r="A169">
        <v>2920</v>
      </c>
      <c r="B169">
        <v>23610</v>
      </c>
      <c r="C169" s="1">
        <v>43114</v>
      </c>
      <c r="D169" s="1"/>
      <c r="E169">
        <v>15</v>
      </c>
      <c r="F169" s="49"/>
      <c r="G169">
        <v>4.7</v>
      </c>
      <c r="H169">
        <v>3.3</v>
      </c>
      <c r="I169">
        <v>6.4</v>
      </c>
      <c r="J169">
        <f t="shared" si="12"/>
        <v>1265.9999999999993</v>
      </c>
      <c r="K169">
        <f t="shared" si="13"/>
        <v>325.70000000000005</v>
      </c>
      <c r="M169">
        <v>0.1</v>
      </c>
      <c r="N169">
        <v>0.3</v>
      </c>
      <c r="O169">
        <f t="shared" si="17"/>
        <v>-0.19999999999999998</v>
      </c>
      <c r="Q169">
        <v>126</v>
      </c>
      <c r="R169">
        <v>1</v>
      </c>
      <c r="S169">
        <f t="shared" si="18"/>
        <v>0.3</v>
      </c>
      <c r="T169">
        <f t="shared" si="19"/>
        <v>-0.19999999999999998</v>
      </c>
      <c r="U169">
        <f t="shared" si="14"/>
        <v>196.40000000000003</v>
      </c>
      <c r="W169">
        <v>107.9</v>
      </c>
      <c r="X169">
        <f t="shared" si="15"/>
        <v>9724.0000000000018</v>
      </c>
      <c r="Y169">
        <v>8.5399743379487294</v>
      </c>
    </row>
    <row r="170" spans="1:25" x14ac:dyDescent="0.35">
      <c r="A170">
        <v>2920</v>
      </c>
      <c r="B170">
        <v>23610</v>
      </c>
      <c r="C170" s="1">
        <v>43115</v>
      </c>
      <c r="D170" s="1"/>
      <c r="F170" s="49"/>
      <c r="G170">
        <v>8.6999999999999993</v>
      </c>
      <c r="H170">
        <v>5</v>
      </c>
      <c r="I170">
        <v>10.6</v>
      </c>
      <c r="J170">
        <f t="shared" si="12"/>
        <v>1274.6999999999994</v>
      </c>
      <c r="K170">
        <f t="shared" si="13"/>
        <v>334.40000000000003</v>
      </c>
      <c r="M170">
        <v>7.4</v>
      </c>
      <c r="N170">
        <v>0.1</v>
      </c>
      <c r="O170">
        <f t="shared" si="17"/>
        <v>7.3000000000000007</v>
      </c>
      <c r="Q170">
        <v>127</v>
      </c>
      <c r="R170">
        <v>1</v>
      </c>
      <c r="S170">
        <f t="shared" si="18"/>
        <v>0.1</v>
      </c>
      <c r="T170">
        <f t="shared" si="19"/>
        <v>7.3000000000000007</v>
      </c>
      <c r="U170">
        <f t="shared" si="14"/>
        <v>197.4</v>
      </c>
      <c r="W170">
        <v>85.2</v>
      </c>
      <c r="X170">
        <f t="shared" si="15"/>
        <v>9809.2000000000025</v>
      </c>
      <c r="Y170">
        <v>8.571727051909015</v>
      </c>
    </row>
    <row r="171" spans="1:25" x14ac:dyDescent="0.35">
      <c r="A171">
        <v>2920</v>
      </c>
      <c r="B171">
        <v>23610</v>
      </c>
      <c r="C171" s="1">
        <v>43116</v>
      </c>
      <c r="D171" s="1"/>
      <c r="F171" s="49"/>
      <c r="G171">
        <v>9.1</v>
      </c>
      <c r="H171">
        <v>8.3000000000000007</v>
      </c>
      <c r="I171">
        <v>11.5</v>
      </c>
      <c r="J171">
        <f t="shared" si="12"/>
        <v>1283.7999999999993</v>
      </c>
      <c r="K171">
        <f t="shared" si="13"/>
        <v>343.50000000000006</v>
      </c>
      <c r="M171">
        <v>2.2999999999999998</v>
      </c>
      <c r="N171">
        <v>1.7</v>
      </c>
      <c r="O171">
        <f t="shared" si="17"/>
        <v>0.59999999999999987</v>
      </c>
      <c r="Q171">
        <v>128</v>
      </c>
      <c r="R171">
        <v>1</v>
      </c>
      <c r="S171">
        <f t="shared" si="18"/>
        <v>1.7</v>
      </c>
      <c r="T171">
        <f t="shared" si="19"/>
        <v>0.59999999999999987</v>
      </c>
      <c r="U171">
        <f t="shared" si="14"/>
        <v>197.4</v>
      </c>
      <c r="W171">
        <v>244.8</v>
      </c>
      <c r="X171">
        <f t="shared" si="15"/>
        <v>10054.000000000002</v>
      </c>
      <c r="Y171">
        <v>8.6045365254588315</v>
      </c>
    </row>
    <row r="172" spans="1:25" x14ac:dyDescent="0.35">
      <c r="A172">
        <v>2920</v>
      </c>
      <c r="B172">
        <v>23610</v>
      </c>
      <c r="C172" s="1">
        <v>43117</v>
      </c>
      <c r="D172" s="1"/>
      <c r="F172" s="49"/>
      <c r="G172">
        <v>6.8</v>
      </c>
      <c r="H172">
        <v>4.5999999999999996</v>
      </c>
      <c r="I172">
        <v>10.8</v>
      </c>
      <c r="J172">
        <f t="shared" si="12"/>
        <v>1290.5999999999992</v>
      </c>
      <c r="K172">
        <f t="shared" si="13"/>
        <v>350.30000000000007</v>
      </c>
      <c r="M172">
        <v>0.2</v>
      </c>
      <c r="N172">
        <v>1.5</v>
      </c>
      <c r="O172">
        <f t="shared" si="17"/>
        <v>-1.3</v>
      </c>
      <c r="Q172">
        <v>129</v>
      </c>
      <c r="R172">
        <v>1</v>
      </c>
      <c r="S172">
        <f t="shared" si="18"/>
        <v>1.5</v>
      </c>
      <c r="T172">
        <f t="shared" si="19"/>
        <v>-1.3</v>
      </c>
      <c r="U172">
        <f t="shared" si="14"/>
        <v>196.1</v>
      </c>
      <c r="W172">
        <v>526.9</v>
      </c>
      <c r="X172">
        <f t="shared" si="15"/>
        <v>10580.900000000001</v>
      </c>
      <c r="Y172">
        <v>8.6383797079016862</v>
      </c>
    </row>
    <row r="173" spans="1:25" x14ac:dyDescent="0.35">
      <c r="A173">
        <v>2920</v>
      </c>
      <c r="B173">
        <v>23610</v>
      </c>
      <c r="C173" s="1">
        <v>43118</v>
      </c>
      <c r="D173" s="1"/>
      <c r="F173" s="49"/>
      <c r="G173">
        <v>10.1</v>
      </c>
      <c r="H173">
        <v>7.3</v>
      </c>
      <c r="I173">
        <v>12.8</v>
      </c>
      <c r="J173">
        <f t="shared" si="12"/>
        <v>1300.6999999999991</v>
      </c>
      <c r="K173">
        <f t="shared" si="13"/>
        <v>360.40000000000009</v>
      </c>
      <c r="M173">
        <v>3.2</v>
      </c>
      <c r="N173">
        <v>0.7</v>
      </c>
      <c r="O173">
        <f t="shared" si="17"/>
        <v>2.5</v>
      </c>
      <c r="Q173">
        <v>130</v>
      </c>
      <c r="R173">
        <v>1</v>
      </c>
      <c r="S173">
        <f t="shared" si="18"/>
        <v>0.7</v>
      </c>
      <c r="T173">
        <f t="shared" si="19"/>
        <v>2.5</v>
      </c>
      <c r="U173">
        <f t="shared" si="14"/>
        <v>197.4</v>
      </c>
      <c r="W173">
        <v>105.1</v>
      </c>
      <c r="X173">
        <f t="shared" si="15"/>
        <v>10686.000000000002</v>
      </c>
      <c r="Y173">
        <v>8.6732332924112434</v>
      </c>
    </row>
    <row r="174" spans="1:25" x14ac:dyDescent="0.35">
      <c r="A174">
        <v>2920</v>
      </c>
      <c r="B174">
        <v>23610</v>
      </c>
      <c r="C174" s="1">
        <v>43119</v>
      </c>
      <c r="D174" s="1"/>
      <c r="F174" s="49"/>
      <c r="G174">
        <v>6.2</v>
      </c>
      <c r="H174">
        <v>5.0999999999999996</v>
      </c>
      <c r="I174">
        <v>8.6999999999999993</v>
      </c>
      <c r="J174">
        <f t="shared" ref="J174:J237" si="20">J173+G174</f>
        <v>1306.8999999999992</v>
      </c>
      <c r="K174">
        <f t="shared" ref="K174:K237" si="21">K173+G174</f>
        <v>366.60000000000008</v>
      </c>
      <c r="M174">
        <v>11.2</v>
      </c>
      <c r="N174">
        <v>1</v>
      </c>
      <c r="O174">
        <f t="shared" si="17"/>
        <v>10.199999999999999</v>
      </c>
      <c r="Q174">
        <v>131</v>
      </c>
      <c r="R174">
        <v>1</v>
      </c>
      <c r="S174">
        <f t="shared" si="18"/>
        <v>1</v>
      </c>
      <c r="T174">
        <f t="shared" si="19"/>
        <v>10.199999999999999</v>
      </c>
      <c r="U174">
        <f t="shared" ref="U174:U237" si="22">MIN(U173+T174,197.4)</f>
        <v>197.4</v>
      </c>
      <c r="W174">
        <v>523.5</v>
      </c>
      <c r="X174">
        <f t="shared" ref="X174:X237" si="23">X173+W174</f>
        <v>11209.500000000002</v>
      </c>
      <c r="Y174">
        <v>8.7090737655019961</v>
      </c>
    </row>
    <row r="175" spans="1:25" x14ac:dyDescent="0.35">
      <c r="A175">
        <v>2920</v>
      </c>
      <c r="B175">
        <v>23610</v>
      </c>
      <c r="C175" s="1">
        <v>43120</v>
      </c>
      <c r="D175" s="1"/>
      <c r="F175" s="49"/>
      <c r="G175">
        <v>10.4</v>
      </c>
      <c r="H175">
        <v>5.3</v>
      </c>
      <c r="I175">
        <v>13.1</v>
      </c>
      <c r="J175">
        <f t="shared" si="20"/>
        <v>1317.2999999999993</v>
      </c>
      <c r="K175">
        <f t="shared" si="21"/>
        <v>377.00000000000006</v>
      </c>
      <c r="M175">
        <v>4.2</v>
      </c>
      <c r="N175">
        <v>0.2</v>
      </c>
      <c r="O175">
        <f t="shared" si="17"/>
        <v>4</v>
      </c>
      <c r="Q175">
        <v>132</v>
      </c>
      <c r="R175">
        <v>1</v>
      </c>
      <c r="S175">
        <f t="shared" si="18"/>
        <v>0.2</v>
      </c>
      <c r="T175">
        <f t="shared" si="19"/>
        <v>4</v>
      </c>
      <c r="U175">
        <f t="shared" si="22"/>
        <v>197.4</v>
      </c>
      <c r="W175">
        <v>141.6</v>
      </c>
      <c r="X175">
        <f t="shared" si="23"/>
        <v>11351.100000000002</v>
      </c>
      <c r="Y175">
        <v>8.745877455065731</v>
      </c>
    </row>
    <row r="176" spans="1:25" x14ac:dyDescent="0.35">
      <c r="A176">
        <v>2920</v>
      </c>
      <c r="B176">
        <v>23610</v>
      </c>
      <c r="C176" s="1">
        <v>43121</v>
      </c>
      <c r="D176" s="1"/>
      <c r="F176" s="49"/>
      <c r="G176">
        <v>11.5</v>
      </c>
      <c r="H176">
        <v>8.8000000000000007</v>
      </c>
      <c r="I176">
        <v>13.2</v>
      </c>
      <c r="J176">
        <f t="shared" si="20"/>
        <v>1328.7999999999993</v>
      </c>
      <c r="K176">
        <f t="shared" si="21"/>
        <v>388.50000000000006</v>
      </c>
      <c r="M176">
        <v>0.5</v>
      </c>
      <c r="N176">
        <v>0.5</v>
      </c>
      <c r="O176">
        <f t="shared" si="17"/>
        <v>0</v>
      </c>
      <c r="Q176">
        <v>133</v>
      </c>
      <c r="R176">
        <v>1</v>
      </c>
      <c r="S176">
        <f t="shared" si="18"/>
        <v>0.5</v>
      </c>
      <c r="T176">
        <f t="shared" si="19"/>
        <v>0</v>
      </c>
      <c r="U176">
        <f t="shared" si="22"/>
        <v>197.4</v>
      </c>
      <c r="W176">
        <v>116.4</v>
      </c>
      <c r="X176">
        <f t="shared" si="23"/>
        <v>11467.500000000002</v>
      </c>
      <c r="Y176">
        <v>8.7836205768322237</v>
      </c>
    </row>
    <row r="177" spans="1:25" x14ac:dyDescent="0.35">
      <c r="A177">
        <v>2920</v>
      </c>
      <c r="B177">
        <v>23610</v>
      </c>
      <c r="C177" s="1">
        <v>43122</v>
      </c>
      <c r="D177" s="1"/>
      <c r="F177" s="49"/>
      <c r="G177">
        <v>10.7</v>
      </c>
      <c r="H177">
        <v>10.199999999999999</v>
      </c>
      <c r="I177">
        <v>12.2</v>
      </c>
      <c r="J177">
        <f t="shared" si="20"/>
        <v>1339.4999999999993</v>
      </c>
      <c r="K177">
        <f t="shared" si="21"/>
        <v>399.20000000000005</v>
      </c>
      <c r="M177">
        <v>0.9</v>
      </c>
      <c r="N177">
        <v>0.8</v>
      </c>
      <c r="O177">
        <f t="shared" si="17"/>
        <v>9.9999999999999978E-2</v>
      </c>
      <c r="Q177">
        <v>134</v>
      </c>
      <c r="R177">
        <v>1</v>
      </c>
      <c r="S177">
        <f t="shared" si="18"/>
        <v>0.8</v>
      </c>
      <c r="T177">
        <f t="shared" si="19"/>
        <v>9.9999999999999978E-2</v>
      </c>
      <c r="U177">
        <f t="shared" si="22"/>
        <v>197.4</v>
      </c>
      <c r="W177">
        <v>107.9</v>
      </c>
      <c r="X177">
        <f t="shared" si="23"/>
        <v>11575.400000000001</v>
      </c>
      <c r="Y177">
        <v>8.8222792791301696</v>
      </c>
    </row>
    <row r="178" spans="1:25" x14ac:dyDescent="0.35">
      <c r="A178">
        <v>2920</v>
      </c>
      <c r="B178">
        <v>23610</v>
      </c>
      <c r="C178" s="1">
        <v>43123</v>
      </c>
      <c r="D178" s="1"/>
      <c r="F178" s="49"/>
      <c r="G178">
        <v>11.2</v>
      </c>
      <c r="H178">
        <v>7.5</v>
      </c>
      <c r="I178">
        <v>13.5</v>
      </c>
      <c r="J178">
        <f t="shared" si="20"/>
        <v>1350.6999999999994</v>
      </c>
      <c r="K178">
        <f t="shared" si="21"/>
        <v>410.40000000000003</v>
      </c>
      <c r="M178">
        <v>1.3</v>
      </c>
      <c r="N178">
        <v>0.3</v>
      </c>
      <c r="O178">
        <f t="shared" si="17"/>
        <v>1</v>
      </c>
      <c r="Q178">
        <v>135</v>
      </c>
      <c r="R178">
        <v>1</v>
      </c>
      <c r="S178">
        <f t="shared" si="18"/>
        <v>0.3</v>
      </c>
      <c r="T178">
        <f t="shared" si="19"/>
        <v>1</v>
      </c>
      <c r="U178">
        <f t="shared" si="22"/>
        <v>197.4</v>
      </c>
      <c r="W178">
        <v>188.7</v>
      </c>
      <c r="X178">
        <f t="shared" si="23"/>
        <v>11764.100000000002</v>
      </c>
      <c r="Y178">
        <v>8.8618296858416272</v>
      </c>
    </row>
    <row r="179" spans="1:25" x14ac:dyDescent="0.35">
      <c r="A179">
        <v>2920</v>
      </c>
      <c r="B179">
        <v>23610</v>
      </c>
      <c r="C179" s="1">
        <v>43124</v>
      </c>
      <c r="D179" s="1"/>
      <c r="F179" s="49"/>
      <c r="G179">
        <v>11.7</v>
      </c>
      <c r="H179">
        <v>11.4</v>
      </c>
      <c r="I179">
        <v>12.7</v>
      </c>
      <c r="J179">
        <f t="shared" si="20"/>
        <v>1362.3999999999994</v>
      </c>
      <c r="K179">
        <f t="shared" si="21"/>
        <v>422.1</v>
      </c>
      <c r="M179">
        <v>5</v>
      </c>
      <c r="N179">
        <v>0.9</v>
      </c>
      <c r="O179">
        <f t="shared" si="17"/>
        <v>4.0999999999999996</v>
      </c>
      <c r="Q179">
        <v>136</v>
      </c>
      <c r="R179">
        <v>1</v>
      </c>
      <c r="S179">
        <f t="shared" si="18"/>
        <v>0.9</v>
      </c>
      <c r="T179">
        <f t="shared" si="19"/>
        <v>4.0999999999999996</v>
      </c>
      <c r="U179">
        <f t="shared" si="22"/>
        <v>197.4</v>
      </c>
      <c r="W179">
        <v>184.1</v>
      </c>
      <c r="X179">
        <f t="shared" si="23"/>
        <v>11948.200000000003</v>
      </c>
      <c r="Y179">
        <v>8.9022479374601531</v>
      </c>
    </row>
    <row r="180" spans="1:25" x14ac:dyDescent="0.35">
      <c r="A180">
        <v>2920</v>
      </c>
      <c r="B180">
        <v>23610</v>
      </c>
      <c r="C180" s="1">
        <v>43125</v>
      </c>
      <c r="D180" s="1"/>
      <c r="F180" s="49"/>
      <c r="G180">
        <v>7.8</v>
      </c>
      <c r="H180">
        <v>7.2</v>
      </c>
      <c r="I180">
        <v>9.5</v>
      </c>
      <c r="J180">
        <f t="shared" si="20"/>
        <v>1370.1999999999994</v>
      </c>
      <c r="K180">
        <f t="shared" si="21"/>
        <v>429.90000000000003</v>
      </c>
      <c r="M180">
        <v>0.1</v>
      </c>
      <c r="N180">
        <v>0.5</v>
      </c>
      <c r="O180">
        <f t="shared" si="17"/>
        <v>-0.4</v>
      </c>
      <c r="Q180">
        <v>137</v>
      </c>
      <c r="R180">
        <v>1</v>
      </c>
      <c r="S180">
        <f t="shared" si="18"/>
        <v>0.5</v>
      </c>
      <c r="T180">
        <f t="shared" si="19"/>
        <v>-0.4</v>
      </c>
      <c r="U180">
        <f t="shared" si="22"/>
        <v>197</v>
      </c>
      <c r="W180">
        <v>128.80000000000001</v>
      </c>
      <c r="X180">
        <f t="shared" si="23"/>
        <v>12077.000000000002</v>
      </c>
      <c r="Y180">
        <v>8.9435102301791058</v>
      </c>
    </row>
    <row r="181" spans="1:25" x14ac:dyDescent="0.35">
      <c r="A181">
        <v>2920</v>
      </c>
      <c r="B181">
        <v>23610</v>
      </c>
      <c r="C181" s="1">
        <v>43126</v>
      </c>
      <c r="D181" s="1"/>
      <c r="E181" t="s">
        <v>37</v>
      </c>
      <c r="F181" s="49"/>
      <c r="G181">
        <v>6.1</v>
      </c>
      <c r="H181">
        <v>3.8</v>
      </c>
      <c r="I181">
        <v>9.1999999999999993</v>
      </c>
      <c r="J181">
        <f t="shared" si="20"/>
        <v>1376.2999999999993</v>
      </c>
      <c r="K181">
        <f t="shared" si="21"/>
        <v>436.00000000000006</v>
      </c>
      <c r="M181">
        <v>0.6</v>
      </c>
      <c r="N181">
        <v>0.6</v>
      </c>
      <c r="O181">
        <f t="shared" si="17"/>
        <v>0</v>
      </c>
      <c r="Q181">
        <v>138</v>
      </c>
      <c r="R181">
        <v>1</v>
      </c>
      <c r="S181">
        <f t="shared" si="18"/>
        <v>0.6</v>
      </c>
      <c r="T181">
        <f t="shared" si="19"/>
        <v>0</v>
      </c>
      <c r="U181">
        <f t="shared" si="22"/>
        <v>197</v>
      </c>
      <c r="W181">
        <v>330.9</v>
      </c>
      <c r="X181">
        <f t="shared" si="23"/>
        <v>12407.900000000001</v>
      </c>
      <c r="Y181">
        <v>8.9855928529521272</v>
      </c>
    </row>
    <row r="182" spans="1:25" x14ac:dyDescent="0.35">
      <c r="A182">
        <v>2920</v>
      </c>
      <c r="B182">
        <v>23610</v>
      </c>
      <c r="C182" s="1">
        <v>43127</v>
      </c>
      <c r="D182" s="1"/>
      <c r="E182" s="1"/>
      <c r="F182" s="49"/>
      <c r="G182">
        <v>6.7</v>
      </c>
      <c r="H182">
        <v>2.2999999999999998</v>
      </c>
      <c r="I182">
        <v>10.3</v>
      </c>
      <c r="J182">
        <f t="shared" si="20"/>
        <v>1382.9999999999993</v>
      </c>
      <c r="K182">
        <f t="shared" si="21"/>
        <v>442.70000000000005</v>
      </c>
      <c r="M182">
        <v>0.3</v>
      </c>
      <c r="N182">
        <v>0.5</v>
      </c>
      <c r="O182">
        <f t="shared" si="17"/>
        <v>-0.2</v>
      </c>
      <c r="Q182">
        <v>139</v>
      </c>
      <c r="R182">
        <v>1</v>
      </c>
      <c r="S182">
        <f t="shared" si="18"/>
        <v>0.5</v>
      </c>
      <c r="T182">
        <f t="shared" si="19"/>
        <v>-0.2</v>
      </c>
      <c r="U182">
        <f t="shared" si="22"/>
        <v>196.8</v>
      </c>
      <c r="W182">
        <v>197.4</v>
      </c>
      <c r="X182">
        <f t="shared" si="23"/>
        <v>12605.300000000001</v>
      </c>
      <c r="Y182">
        <v>9.0284722224827778</v>
      </c>
    </row>
    <row r="183" spans="1:25" x14ac:dyDescent="0.35">
      <c r="A183">
        <v>2920</v>
      </c>
      <c r="B183">
        <v>23610</v>
      </c>
      <c r="C183" s="1">
        <v>43128</v>
      </c>
      <c r="D183" s="1"/>
      <c r="E183" s="1"/>
      <c r="F183" s="49"/>
      <c r="G183">
        <v>10.7</v>
      </c>
      <c r="H183">
        <v>8.3000000000000007</v>
      </c>
      <c r="I183">
        <v>12</v>
      </c>
      <c r="J183">
        <f t="shared" si="20"/>
        <v>1393.6999999999994</v>
      </c>
      <c r="K183">
        <f t="shared" si="21"/>
        <v>453.40000000000003</v>
      </c>
      <c r="M183">
        <v>0.6</v>
      </c>
      <c r="N183">
        <v>0.2</v>
      </c>
      <c r="O183">
        <f t="shared" si="17"/>
        <v>0.39999999999999997</v>
      </c>
      <c r="Q183">
        <v>140</v>
      </c>
      <c r="R183">
        <v>1</v>
      </c>
      <c r="S183">
        <f t="shared" si="18"/>
        <v>0.2</v>
      </c>
      <c r="T183">
        <f t="shared" si="19"/>
        <v>0.39999999999999997</v>
      </c>
      <c r="U183">
        <f t="shared" si="22"/>
        <v>197.20000000000002</v>
      </c>
      <c r="W183">
        <v>111.8</v>
      </c>
      <c r="X183">
        <f t="shared" si="23"/>
        <v>12717.1</v>
      </c>
      <c r="Y183">
        <v>9.0721249161141788</v>
      </c>
    </row>
    <row r="184" spans="1:25" x14ac:dyDescent="0.35">
      <c r="A184">
        <v>2920</v>
      </c>
      <c r="B184">
        <v>23610</v>
      </c>
      <c r="C184" s="1">
        <v>43129</v>
      </c>
      <c r="D184" s="1"/>
      <c r="E184" s="1"/>
      <c r="F184" s="49"/>
      <c r="G184">
        <v>10.1</v>
      </c>
      <c r="H184">
        <v>9.3000000000000007</v>
      </c>
      <c r="I184">
        <v>11.4</v>
      </c>
      <c r="J184">
        <f t="shared" si="20"/>
        <v>1403.7999999999993</v>
      </c>
      <c r="K184">
        <f t="shared" si="21"/>
        <v>463.50000000000006</v>
      </c>
      <c r="M184">
        <v>0.6</v>
      </c>
      <c r="N184">
        <v>0.5</v>
      </c>
      <c r="O184">
        <f t="shared" si="17"/>
        <v>9.9999999999999978E-2</v>
      </c>
      <c r="Q184">
        <v>141</v>
      </c>
      <c r="R184">
        <v>1</v>
      </c>
      <c r="S184">
        <f t="shared" si="18"/>
        <v>0.5</v>
      </c>
      <c r="T184">
        <f t="shared" si="19"/>
        <v>9.9999999999999978E-2</v>
      </c>
      <c r="U184">
        <f t="shared" si="22"/>
        <v>197.3</v>
      </c>
      <c r="W184">
        <v>150.69999999999999</v>
      </c>
      <c r="X184">
        <f t="shared" si="23"/>
        <v>12867.800000000001</v>
      </c>
      <c r="Y184">
        <v>9.1165277026025908</v>
      </c>
    </row>
    <row r="185" spans="1:25" x14ac:dyDescent="0.35">
      <c r="A185">
        <v>2920</v>
      </c>
      <c r="B185">
        <v>23610</v>
      </c>
      <c r="C185" s="1">
        <v>43130</v>
      </c>
      <c r="D185" s="1"/>
      <c r="E185" s="1"/>
      <c r="F185" s="49"/>
      <c r="G185">
        <v>9.6999999999999993</v>
      </c>
      <c r="H185">
        <v>9.1</v>
      </c>
      <c r="I185">
        <v>10.4</v>
      </c>
      <c r="J185">
        <f t="shared" si="20"/>
        <v>1413.4999999999993</v>
      </c>
      <c r="K185">
        <f t="shared" si="21"/>
        <v>473.20000000000005</v>
      </c>
      <c r="M185">
        <v>0.7</v>
      </c>
      <c r="N185">
        <v>0.3</v>
      </c>
      <c r="O185">
        <f t="shared" si="17"/>
        <v>0.39999999999999997</v>
      </c>
      <c r="Q185">
        <v>142</v>
      </c>
      <c r="R185">
        <v>1</v>
      </c>
      <c r="S185">
        <f t="shared" si="18"/>
        <v>0.3</v>
      </c>
      <c r="T185">
        <f t="shared" si="19"/>
        <v>0.39999999999999997</v>
      </c>
      <c r="U185">
        <f t="shared" si="22"/>
        <v>197.4</v>
      </c>
      <c r="W185">
        <v>184.7</v>
      </c>
      <c r="X185">
        <f t="shared" si="23"/>
        <v>13052.500000000002</v>
      </c>
      <c r="Y185">
        <v>9.1616575707710179</v>
      </c>
    </row>
    <row r="186" spans="1:25" x14ac:dyDescent="0.35">
      <c r="A186">
        <v>2920</v>
      </c>
      <c r="B186">
        <v>23610</v>
      </c>
      <c r="C186" s="1">
        <v>43131</v>
      </c>
      <c r="D186" s="1"/>
      <c r="E186" s="1"/>
      <c r="F186" s="49"/>
      <c r="G186">
        <v>8.5</v>
      </c>
      <c r="H186">
        <v>7.5</v>
      </c>
      <c r="I186">
        <v>11</v>
      </c>
      <c r="J186">
        <f t="shared" si="20"/>
        <v>1421.9999999999993</v>
      </c>
      <c r="K186">
        <f t="shared" si="21"/>
        <v>481.70000000000005</v>
      </c>
      <c r="M186">
        <v>8</v>
      </c>
      <c r="N186">
        <v>0.7</v>
      </c>
      <c r="O186">
        <f t="shared" si="17"/>
        <v>7.3</v>
      </c>
      <c r="Q186">
        <v>143</v>
      </c>
      <c r="R186">
        <v>1</v>
      </c>
      <c r="S186">
        <f t="shared" si="18"/>
        <v>0.7</v>
      </c>
      <c r="T186">
        <f t="shared" si="19"/>
        <v>7.3</v>
      </c>
      <c r="U186">
        <f t="shared" si="22"/>
        <v>197.4</v>
      </c>
      <c r="W186">
        <v>118.2</v>
      </c>
      <c r="X186">
        <f t="shared" si="23"/>
        <v>13170.700000000003</v>
      </c>
      <c r="Y186">
        <v>9.2074917560499596</v>
      </c>
    </row>
    <row r="187" spans="1:25" x14ac:dyDescent="0.35">
      <c r="A187">
        <v>2920</v>
      </c>
      <c r="B187">
        <v>23610</v>
      </c>
      <c r="C187" s="1">
        <v>43132</v>
      </c>
      <c r="D187" s="1"/>
      <c r="E187" s="1"/>
      <c r="F187" s="49"/>
      <c r="G187">
        <v>4.5</v>
      </c>
      <c r="H187">
        <v>3.9</v>
      </c>
      <c r="I187">
        <v>6.2</v>
      </c>
      <c r="J187">
        <f t="shared" si="20"/>
        <v>1426.4999999999993</v>
      </c>
      <c r="K187">
        <f t="shared" si="21"/>
        <v>486.20000000000005</v>
      </c>
      <c r="M187">
        <v>6</v>
      </c>
      <c r="N187">
        <v>0.6</v>
      </c>
      <c r="O187">
        <f t="shared" si="17"/>
        <v>5.4</v>
      </c>
      <c r="Q187">
        <v>144</v>
      </c>
      <c r="R187">
        <v>1</v>
      </c>
      <c r="S187">
        <f t="shared" si="18"/>
        <v>0.6</v>
      </c>
      <c r="T187">
        <f t="shared" si="19"/>
        <v>5.4</v>
      </c>
      <c r="U187">
        <f t="shared" si="22"/>
        <v>197.4</v>
      </c>
      <c r="W187">
        <v>277.10000000000002</v>
      </c>
      <c r="X187">
        <f t="shared" si="23"/>
        <v>13447.800000000003</v>
      </c>
      <c r="Y187">
        <v>9.25400776492266</v>
      </c>
    </row>
    <row r="188" spans="1:25" x14ac:dyDescent="0.35">
      <c r="A188">
        <v>2920</v>
      </c>
      <c r="B188">
        <v>23610</v>
      </c>
      <c r="C188" s="1">
        <v>43133</v>
      </c>
      <c r="D188" s="1"/>
      <c r="E188" s="1"/>
      <c r="F188" s="49"/>
      <c r="G188">
        <v>4.5</v>
      </c>
      <c r="H188">
        <v>2.2000000000000002</v>
      </c>
      <c r="I188">
        <v>8.1999999999999993</v>
      </c>
      <c r="J188">
        <f t="shared" si="20"/>
        <v>1430.9999999999993</v>
      </c>
      <c r="K188">
        <f t="shared" si="21"/>
        <v>490.70000000000005</v>
      </c>
      <c r="M188">
        <v>2.6</v>
      </c>
      <c r="N188">
        <v>0.8</v>
      </c>
      <c r="O188">
        <f t="shared" si="17"/>
        <v>1.8</v>
      </c>
      <c r="Q188">
        <v>145</v>
      </c>
      <c r="R188">
        <v>1</v>
      </c>
      <c r="S188">
        <f t="shared" si="18"/>
        <v>0.8</v>
      </c>
      <c r="T188">
        <f t="shared" si="19"/>
        <v>1.8</v>
      </c>
      <c r="U188">
        <f t="shared" si="22"/>
        <v>197.4</v>
      </c>
      <c r="W188">
        <v>702.4</v>
      </c>
      <c r="X188">
        <f t="shared" si="23"/>
        <v>14150.200000000003</v>
      </c>
      <c r="Y188">
        <v>9.3011833973012479</v>
      </c>
    </row>
    <row r="189" spans="1:25" x14ac:dyDescent="0.35">
      <c r="A189">
        <v>2920</v>
      </c>
      <c r="B189">
        <v>23610</v>
      </c>
      <c r="C189" s="1">
        <v>43134</v>
      </c>
      <c r="D189" s="1"/>
      <c r="E189" s="1"/>
      <c r="F189" s="49"/>
      <c r="G189">
        <v>5.0999999999999996</v>
      </c>
      <c r="H189">
        <v>3.6</v>
      </c>
      <c r="I189">
        <v>6.1</v>
      </c>
      <c r="J189">
        <f t="shared" si="20"/>
        <v>1436.0999999999992</v>
      </c>
      <c r="K189">
        <f t="shared" si="21"/>
        <v>495.80000000000007</v>
      </c>
      <c r="M189">
        <v>6.2</v>
      </c>
      <c r="N189">
        <v>0.2</v>
      </c>
      <c r="O189">
        <f t="shared" si="17"/>
        <v>6</v>
      </c>
      <c r="Q189">
        <v>146</v>
      </c>
      <c r="R189">
        <v>1</v>
      </c>
      <c r="S189">
        <f t="shared" si="18"/>
        <v>0.2</v>
      </c>
      <c r="T189">
        <f t="shared" si="19"/>
        <v>6</v>
      </c>
      <c r="U189">
        <f t="shared" si="22"/>
        <v>197.4</v>
      </c>
      <c r="W189">
        <v>126</v>
      </c>
      <c r="X189">
        <f t="shared" si="23"/>
        <v>14276.200000000003</v>
      </c>
      <c r="Y189">
        <v>9.3489967668683942</v>
      </c>
    </row>
    <row r="190" spans="1:25" x14ac:dyDescent="0.35">
      <c r="A190">
        <v>2920</v>
      </c>
      <c r="B190">
        <v>23610</v>
      </c>
      <c r="C190" s="1">
        <v>43135</v>
      </c>
      <c r="D190" s="1"/>
      <c r="E190" s="1"/>
      <c r="F190" s="49"/>
      <c r="G190">
        <v>3.9</v>
      </c>
      <c r="H190">
        <v>3.1</v>
      </c>
      <c r="I190">
        <v>5.3</v>
      </c>
      <c r="J190">
        <f t="shared" si="20"/>
        <v>1439.9999999999993</v>
      </c>
      <c r="K190">
        <f t="shared" si="21"/>
        <v>499.70000000000005</v>
      </c>
      <c r="M190">
        <v>0</v>
      </c>
      <c r="N190">
        <v>1.1000000000000001</v>
      </c>
      <c r="O190">
        <f t="shared" si="17"/>
        <v>-1.1000000000000001</v>
      </c>
      <c r="Q190">
        <v>147</v>
      </c>
      <c r="R190">
        <v>1</v>
      </c>
      <c r="S190">
        <f t="shared" si="18"/>
        <v>1.1000000000000001</v>
      </c>
      <c r="T190">
        <f t="shared" si="19"/>
        <v>-1.1000000000000001</v>
      </c>
      <c r="U190">
        <f t="shared" si="22"/>
        <v>196.3</v>
      </c>
      <c r="W190">
        <v>443</v>
      </c>
      <c r="X190">
        <f t="shared" si="23"/>
        <v>14719.200000000003</v>
      </c>
      <c r="Y190">
        <v>9.3974263194262733</v>
      </c>
    </row>
    <row r="191" spans="1:25" x14ac:dyDescent="0.35">
      <c r="A191">
        <v>2920</v>
      </c>
      <c r="B191">
        <v>23610</v>
      </c>
      <c r="C191" s="1">
        <v>43136</v>
      </c>
      <c r="D191" s="1"/>
      <c r="E191" s="1"/>
      <c r="F191" s="49"/>
      <c r="G191">
        <v>0.3</v>
      </c>
      <c r="H191">
        <v>-1.8</v>
      </c>
      <c r="I191">
        <v>3.4</v>
      </c>
      <c r="J191">
        <f t="shared" si="20"/>
        <v>1440.2999999999993</v>
      </c>
      <c r="K191">
        <f t="shared" si="21"/>
        <v>500.00000000000006</v>
      </c>
      <c r="M191">
        <v>0</v>
      </c>
      <c r="N191">
        <v>1</v>
      </c>
      <c r="O191">
        <f t="shared" si="17"/>
        <v>-1</v>
      </c>
      <c r="Q191">
        <v>148</v>
      </c>
      <c r="R191">
        <v>1</v>
      </c>
      <c r="S191">
        <f t="shared" si="18"/>
        <v>1</v>
      </c>
      <c r="T191">
        <f t="shared" si="19"/>
        <v>-1</v>
      </c>
      <c r="U191">
        <f t="shared" si="22"/>
        <v>195.3</v>
      </c>
      <c r="W191">
        <v>879.8</v>
      </c>
      <c r="X191">
        <f t="shared" si="23"/>
        <v>15599.000000000002</v>
      </c>
      <c r="Y191">
        <v>9.4464508493008772</v>
      </c>
    </row>
    <row r="192" spans="1:25" x14ac:dyDescent="0.35">
      <c r="A192">
        <v>2920</v>
      </c>
      <c r="B192">
        <v>23610</v>
      </c>
      <c r="C192" s="1">
        <v>43137</v>
      </c>
      <c r="D192" s="1"/>
      <c r="E192" s="1"/>
      <c r="F192" s="49"/>
      <c r="G192">
        <v>1.4</v>
      </c>
      <c r="H192">
        <v>-0.8</v>
      </c>
      <c r="I192">
        <v>3.1</v>
      </c>
      <c r="J192">
        <f t="shared" si="20"/>
        <v>1441.6999999999994</v>
      </c>
      <c r="K192">
        <f t="shared" si="21"/>
        <v>501.40000000000003</v>
      </c>
      <c r="M192">
        <v>0.1</v>
      </c>
      <c r="N192">
        <v>0.6</v>
      </c>
      <c r="O192">
        <f t="shared" si="17"/>
        <v>-0.5</v>
      </c>
      <c r="Q192">
        <v>149</v>
      </c>
      <c r="R192">
        <v>1</v>
      </c>
      <c r="S192">
        <f t="shared" si="18"/>
        <v>0.6</v>
      </c>
      <c r="T192">
        <f t="shared" si="19"/>
        <v>-0.5</v>
      </c>
      <c r="U192">
        <f t="shared" si="22"/>
        <v>194.8</v>
      </c>
      <c r="W192">
        <v>174.9</v>
      </c>
      <c r="X192">
        <f t="shared" si="23"/>
        <v>15773.900000000001</v>
      </c>
      <c r="Y192">
        <v>9.4960495138551924</v>
      </c>
    </row>
    <row r="193" spans="1:25" x14ac:dyDescent="0.35">
      <c r="A193">
        <v>2920</v>
      </c>
      <c r="B193">
        <v>23610</v>
      </c>
      <c r="C193" s="1">
        <v>43138</v>
      </c>
      <c r="D193" s="1"/>
      <c r="E193" s="1"/>
      <c r="F193" s="49"/>
      <c r="G193">
        <v>2.2000000000000002</v>
      </c>
      <c r="H193">
        <v>-1.1000000000000001</v>
      </c>
      <c r="I193">
        <v>4.5</v>
      </c>
      <c r="J193">
        <f t="shared" si="20"/>
        <v>1443.8999999999994</v>
      </c>
      <c r="K193">
        <f t="shared" si="21"/>
        <v>503.6</v>
      </c>
      <c r="M193">
        <v>0.2</v>
      </c>
      <c r="N193">
        <v>0.7</v>
      </c>
      <c r="O193">
        <f t="shared" si="17"/>
        <v>-0.49999999999999994</v>
      </c>
      <c r="Q193">
        <v>150</v>
      </c>
      <c r="R193">
        <v>1</v>
      </c>
      <c r="S193">
        <f t="shared" si="18"/>
        <v>0.7</v>
      </c>
      <c r="T193">
        <f t="shared" si="19"/>
        <v>-0.49999999999999994</v>
      </c>
      <c r="U193">
        <f t="shared" si="22"/>
        <v>194.3</v>
      </c>
      <c r="W193">
        <v>317.89999999999998</v>
      </c>
      <c r="X193">
        <f t="shared" si="23"/>
        <v>16091.800000000001</v>
      </c>
      <c r="Y193">
        <v>9.5462018461692093</v>
      </c>
    </row>
    <row r="194" spans="1:25" x14ac:dyDescent="0.35">
      <c r="A194">
        <v>2920</v>
      </c>
      <c r="B194">
        <v>23610</v>
      </c>
      <c r="C194" s="1">
        <v>43139</v>
      </c>
      <c r="D194" s="1"/>
      <c r="E194" s="1"/>
      <c r="F194" s="49"/>
      <c r="G194">
        <v>2.5</v>
      </c>
      <c r="H194">
        <v>-1.6</v>
      </c>
      <c r="I194">
        <v>6.4</v>
      </c>
      <c r="J194">
        <f t="shared" si="20"/>
        <v>1446.3999999999994</v>
      </c>
      <c r="K194">
        <f t="shared" si="21"/>
        <v>506.1</v>
      </c>
      <c r="M194">
        <v>2.5</v>
      </c>
      <c r="N194">
        <v>1.1000000000000001</v>
      </c>
      <c r="O194">
        <f t="shared" si="17"/>
        <v>1.4</v>
      </c>
      <c r="Q194">
        <v>151</v>
      </c>
      <c r="R194">
        <v>1</v>
      </c>
      <c r="S194">
        <f t="shared" si="18"/>
        <v>1.1000000000000001</v>
      </c>
      <c r="T194">
        <f t="shared" si="19"/>
        <v>1.4</v>
      </c>
      <c r="U194">
        <f t="shared" si="22"/>
        <v>195.70000000000002</v>
      </c>
      <c r="W194">
        <v>947.1</v>
      </c>
      <c r="X194">
        <f t="shared" si="23"/>
        <v>17038.900000000001</v>
      </c>
      <c r="Y194">
        <v>9.596887765948523</v>
      </c>
    </row>
    <row r="195" spans="1:25" x14ac:dyDescent="0.35">
      <c r="A195">
        <v>2920</v>
      </c>
      <c r="B195">
        <v>23610</v>
      </c>
      <c r="C195" s="1">
        <v>43140</v>
      </c>
      <c r="D195" s="1"/>
      <c r="E195" s="1"/>
      <c r="F195" s="49"/>
      <c r="G195">
        <v>4.2</v>
      </c>
      <c r="H195">
        <v>1.7</v>
      </c>
      <c r="I195">
        <v>7.4</v>
      </c>
      <c r="J195">
        <f t="shared" si="20"/>
        <v>1450.5999999999995</v>
      </c>
      <c r="K195">
        <f t="shared" si="21"/>
        <v>510.3</v>
      </c>
      <c r="M195">
        <v>2.4</v>
      </c>
      <c r="N195">
        <v>1.2</v>
      </c>
      <c r="O195">
        <f t="shared" si="17"/>
        <v>1.2</v>
      </c>
      <c r="Q195">
        <v>152</v>
      </c>
      <c r="R195">
        <v>1</v>
      </c>
      <c r="S195">
        <f t="shared" si="18"/>
        <v>1.2</v>
      </c>
      <c r="T195">
        <f t="shared" si="19"/>
        <v>1.2</v>
      </c>
      <c r="U195">
        <f t="shared" si="22"/>
        <v>196.9</v>
      </c>
      <c r="W195">
        <v>689.1</v>
      </c>
      <c r="X195">
        <f t="shared" si="23"/>
        <v>17728</v>
      </c>
      <c r="Y195">
        <v>9.6480875887263213</v>
      </c>
    </row>
    <row r="196" spans="1:25" x14ac:dyDescent="0.35">
      <c r="A196">
        <v>2920</v>
      </c>
      <c r="B196">
        <v>23610</v>
      </c>
      <c r="C196" s="1">
        <v>43141</v>
      </c>
      <c r="D196" s="1"/>
      <c r="E196" s="1"/>
      <c r="F196" s="49"/>
      <c r="G196">
        <v>5.4</v>
      </c>
      <c r="H196">
        <v>0.8</v>
      </c>
      <c r="I196">
        <v>10.199999999999999</v>
      </c>
      <c r="J196">
        <f t="shared" si="20"/>
        <v>1455.9999999999995</v>
      </c>
      <c r="K196">
        <f t="shared" si="21"/>
        <v>515.70000000000005</v>
      </c>
      <c r="M196">
        <v>2.4</v>
      </c>
      <c r="N196">
        <v>0.8</v>
      </c>
      <c r="O196">
        <f t="shared" si="17"/>
        <v>1.5999999999999999</v>
      </c>
      <c r="Q196">
        <v>153</v>
      </c>
      <c r="R196">
        <v>1</v>
      </c>
      <c r="S196">
        <f t="shared" si="18"/>
        <v>0.8</v>
      </c>
      <c r="T196">
        <f t="shared" si="19"/>
        <v>1.5999999999999999</v>
      </c>
      <c r="U196">
        <f t="shared" si="22"/>
        <v>197.4</v>
      </c>
      <c r="W196">
        <v>481.9</v>
      </c>
      <c r="X196">
        <f t="shared" si="23"/>
        <v>18209.900000000001</v>
      </c>
      <c r="Y196">
        <v>9.6997820334257749</v>
      </c>
    </row>
    <row r="197" spans="1:25" x14ac:dyDescent="0.35">
      <c r="A197">
        <v>2920</v>
      </c>
      <c r="B197">
        <v>23610</v>
      </c>
      <c r="C197" s="1">
        <v>43142</v>
      </c>
      <c r="D197" s="1"/>
      <c r="E197" s="1"/>
      <c r="F197" s="49"/>
      <c r="G197">
        <v>6.2</v>
      </c>
      <c r="H197">
        <v>4.2</v>
      </c>
      <c r="I197">
        <v>8.5</v>
      </c>
      <c r="J197">
        <f t="shared" si="20"/>
        <v>1462.1999999999996</v>
      </c>
      <c r="K197">
        <f t="shared" si="21"/>
        <v>521.90000000000009</v>
      </c>
      <c r="M197">
        <v>0.6</v>
      </c>
      <c r="N197">
        <v>0.9</v>
      </c>
      <c r="O197">
        <f t="shared" ref="O197:O260" si="24">M197-N197</f>
        <v>-0.30000000000000004</v>
      </c>
      <c r="Q197">
        <v>154</v>
      </c>
      <c r="R197">
        <v>1</v>
      </c>
      <c r="S197">
        <f t="shared" ref="S197:S260" si="25">R197*N197</f>
        <v>0.9</v>
      </c>
      <c r="T197">
        <f t="shared" ref="T197:T260" si="26">M197-S197</f>
        <v>-0.30000000000000004</v>
      </c>
      <c r="U197">
        <f t="shared" si="22"/>
        <v>197.1</v>
      </c>
      <c r="W197">
        <v>751.8</v>
      </c>
      <c r="X197">
        <f t="shared" si="23"/>
        <v>18961.7</v>
      </c>
      <c r="Y197">
        <v>9.7519522283515983</v>
      </c>
    </row>
    <row r="198" spans="1:25" x14ac:dyDescent="0.35">
      <c r="A198">
        <v>2920</v>
      </c>
      <c r="B198">
        <v>23610</v>
      </c>
      <c r="C198" s="1">
        <v>43143</v>
      </c>
      <c r="D198" s="1"/>
      <c r="E198" s="1"/>
      <c r="F198" s="49"/>
      <c r="G198">
        <v>2.9</v>
      </c>
      <c r="H198">
        <v>-0.7</v>
      </c>
      <c r="I198">
        <v>7.2</v>
      </c>
      <c r="J198">
        <f t="shared" si="20"/>
        <v>1465.0999999999997</v>
      </c>
      <c r="K198">
        <f t="shared" si="21"/>
        <v>524.80000000000007</v>
      </c>
      <c r="M198">
        <v>0.6</v>
      </c>
      <c r="N198">
        <v>1.2</v>
      </c>
      <c r="O198">
        <f t="shared" si="24"/>
        <v>-0.6</v>
      </c>
      <c r="Q198">
        <v>155</v>
      </c>
      <c r="R198">
        <v>1</v>
      </c>
      <c r="S198">
        <f t="shared" si="25"/>
        <v>1.2</v>
      </c>
      <c r="T198">
        <f t="shared" si="26"/>
        <v>-0.6</v>
      </c>
      <c r="U198">
        <f t="shared" si="22"/>
        <v>196.5</v>
      </c>
      <c r="W198">
        <v>1114.8</v>
      </c>
      <c r="X198">
        <f t="shared" si="23"/>
        <v>20076.5</v>
      </c>
      <c r="Y198">
        <v>9.8045797156805676</v>
      </c>
    </row>
    <row r="199" spans="1:25" x14ac:dyDescent="0.35">
      <c r="A199">
        <v>2920</v>
      </c>
      <c r="B199">
        <v>23610</v>
      </c>
      <c r="C199" s="1">
        <v>43144</v>
      </c>
      <c r="D199" s="1"/>
      <c r="E199" s="1"/>
      <c r="F199" s="49"/>
      <c r="G199">
        <v>3.5</v>
      </c>
      <c r="H199">
        <v>1</v>
      </c>
      <c r="I199">
        <v>5.5</v>
      </c>
      <c r="J199">
        <f t="shared" si="20"/>
        <v>1468.5999999999997</v>
      </c>
      <c r="K199">
        <f t="shared" si="21"/>
        <v>528.30000000000007</v>
      </c>
      <c r="M199">
        <v>7.4</v>
      </c>
      <c r="N199">
        <v>0.4</v>
      </c>
      <c r="O199">
        <f t="shared" si="24"/>
        <v>7</v>
      </c>
      <c r="Q199">
        <v>156</v>
      </c>
      <c r="R199">
        <v>1</v>
      </c>
      <c r="S199">
        <f t="shared" si="25"/>
        <v>0.4</v>
      </c>
      <c r="T199">
        <f t="shared" si="26"/>
        <v>7</v>
      </c>
      <c r="U199">
        <f t="shared" si="22"/>
        <v>197.4</v>
      </c>
      <c r="W199">
        <v>212.5</v>
      </c>
      <c r="X199">
        <f t="shared" si="23"/>
        <v>20289</v>
      </c>
      <c r="Y199">
        <v>9.8576464545214026</v>
      </c>
    </row>
    <row r="200" spans="1:25" x14ac:dyDescent="0.35">
      <c r="A200">
        <v>2920</v>
      </c>
      <c r="B200">
        <v>23610</v>
      </c>
      <c r="C200" s="1">
        <v>43145</v>
      </c>
      <c r="D200" s="1"/>
      <c r="E200" s="1"/>
      <c r="F200" s="49"/>
      <c r="G200">
        <v>5.3</v>
      </c>
      <c r="H200">
        <v>1.2</v>
      </c>
      <c r="I200">
        <v>11.7</v>
      </c>
      <c r="J200">
        <f t="shared" si="20"/>
        <v>1473.8999999999996</v>
      </c>
      <c r="K200">
        <f t="shared" si="21"/>
        <v>533.6</v>
      </c>
      <c r="M200">
        <v>7.2</v>
      </c>
      <c r="N200">
        <v>0.9</v>
      </c>
      <c r="O200">
        <f t="shared" si="24"/>
        <v>6.3</v>
      </c>
      <c r="Q200">
        <v>157</v>
      </c>
      <c r="R200">
        <v>1</v>
      </c>
      <c r="S200">
        <f t="shared" si="25"/>
        <v>0.9</v>
      </c>
      <c r="T200">
        <f t="shared" si="26"/>
        <v>6.3</v>
      </c>
      <c r="U200">
        <f t="shared" si="22"/>
        <v>197.4</v>
      </c>
      <c r="W200">
        <v>346</v>
      </c>
      <c r="X200">
        <f t="shared" si="23"/>
        <v>20635</v>
      </c>
      <c r="Y200">
        <v>9.9111348226143665</v>
      </c>
    </row>
    <row r="201" spans="1:25" x14ac:dyDescent="0.35">
      <c r="A201">
        <v>2920</v>
      </c>
      <c r="B201">
        <v>23610</v>
      </c>
      <c r="C201" s="1">
        <v>43146</v>
      </c>
      <c r="D201" s="1"/>
      <c r="E201" s="1"/>
      <c r="F201" s="49"/>
      <c r="G201">
        <v>9.4</v>
      </c>
      <c r="H201">
        <v>8.1</v>
      </c>
      <c r="I201">
        <v>11.6</v>
      </c>
      <c r="J201">
        <f t="shared" si="20"/>
        <v>1483.2999999999997</v>
      </c>
      <c r="K201">
        <f t="shared" si="21"/>
        <v>543</v>
      </c>
      <c r="M201">
        <v>2.5</v>
      </c>
      <c r="N201">
        <v>0.3</v>
      </c>
      <c r="O201">
        <f t="shared" si="24"/>
        <v>2.2000000000000002</v>
      </c>
      <c r="Q201">
        <v>158</v>
      </c>
      <c r="R201">
        <v>1</v>
      </c>
      <c r="S201">
        <f t="shared" si="25"/>
        <v>0.3</v>
      </c>
      <c r="T201">
        <f t="shared" si="26"/>
        <v>2.2000000000000002</v>
      </c>
      <c r="U201">
        <f t="shared" si="22"/>
        <v>197.4</v>
      </c>
      <c r="W201">
        <v>146.19999999999999</v>
      </c>
      <c r="X201">
        <f t="shared" si="23"/>
        <v>20781.2</v>
      </c>
      <c r="Y201">
        <v>9.9650276167406915</v>
      </c>
    </row>
    <row r="202" spans="1:25" x14ac:dyDescent="0.35">
      <c r="A202">
        <v>2920</v>
      </c>
      <c r="B202">
        <v>23610</v>
      </c>
      <c r="C202" s="1">
        <v>43147</v>
      </c>
      <c r="D202" s="1"/>
      <c r="E202" s="1"/>
      <c r="F202" s="49"/>
      <c r="G202">
        <v>3.8</v>
      </c>
      <c r="H202">
        <v>-0.3</v>
      </c>
      <c r="I202">
        <v>6</v>
      </c>
      <c r="J202">
        <f t="shared" si="20"/>
        <v>1487.0999999999997</v>
      </c>
      <c r="K202">
        <f t="shared" si="21"/>
        <v>546.79999999999995</v>
      </c>
      <c r="M202">
        <v>2.2000000000000002</v>
      </c>
      <c r="N202">
        <v>0.1</v>
      </c>
      <c r="O202">
        <f t="shared" si="24"/>
        <v>2.1</v>
      </c>
      <c r="Q202">
        <v>159</v>
      </c>
      <c r="R202">
        <v>1</v>
      </c>
      <c r="S202">
        <f t="shared" si="25"/>
        <v>0.1</v>
      </c>
      <c r="T202">
        <f t="shared" si="26"/>
        <v>2.1</v>
      </c>
      <c r="U202">
        <f t="shared" si="22"/>
        <v>197.4</v>
      </c>
      <c r="W202">
        <v>339.8</v>
      </c>
      <c r="X202">
        <f t="shared" si="23"/>
        <v>21121</v>
      </c>
      <c r="Y202">
        <v>10.01930805191112</v>
      </c>
    </row>
    <row r="203" spans="1:25" x14ac:dyDescent="0.35">
      <c r="A203">
        <v>2920</v>
      </c>
      <c r="B203">
        <v>23610</v>
      </c>
      <c r="C203" s="1">
        <v>43148</v>
      </c>
      <c r="D203" s="1"/>
      <c r="E203" s="1"/>
      <c r="F203" s="49"/>
      <c r="G203">
        <v>6.8</v>
      </c>
      <c r="H203">
        <v>4.4000000000000004</v>
      </c>
      <c r="I203">
        <v>9.3000000000000007</v>
      </c>
      <c r="J203">
        <f t="shared" si="20"/>
        <v>1493.8999999999996</v>
      </c>
      <c r="K203">
        <f t="shared" si="21"/>
        <v>553.59999999999991</v>
      </c>
      <c r="M203">
        <v>6.7</v>
      </c>
      <c r="N203">
        <v>1.2</v>
      </c>
      <c r="O203">
        <f t="shared" si="24"/>
        <v>5.5</v>
      </c>
      <c r="Q203">
        <v>160</v>
      </c>
      <c r="R203">
        <v>1</v>
      </c>
      <c r="S203">
        <f t="shared" si="25"/>
        <v>1.2</v>
      </c>
      <c r="T203">
        <f t="shared" si="26"/>
        <v>5.5</v>
      </c>
      <c r="U203">
        <f t="shared" si="22"/>
        <v>197.4</v>
      </c>
      <c r="W203">
        <v>954.6</v>
      </c>
      <c r="X203">
        <f t="shared" si="23"/>
        <v>22075.599999999999</v>
      </c>
      <c r="Y203">
        <v>10.073959759401752</v>
      </c>
    </row>
    <row r="204" spans="1:25" x14ac:dyDescent="0.35">
      <c r="A204">
        <v>2920</v>
      </c>
      <c r="B204">
        <v>23610</v>
      </c>
      <c r="C204" s="1">
        <v>43149</v>
      </c>
      <c r="D204" s="1"/>
      <c r="E204" s="1"/>
      <c r="F204" s="49"/>
      <c r="G204">
        <v>7</v>
      </c>
      <c r="H204">
        <v>5.6</v>
      </c>
      <c r="I204">
        <v>7.9</v>
      </c>
      <c r="J204">
        <f t="shared" si="20"/>
        <v>1500.8999999999996</v>
      </c>
      <c r="K204">
        <f t="shared" si="21"/>
        <v>560.59999999999991</v>
      </c>
      <c r="M204">
        <v>3.7</v>
      </c>
      <c r="N204">
        <v>0.3</v>
      </c>
      <c r="O204">
        <f t="shared" si="24"/>
        <v>3.4000000000000004</v>
      </c>
      <c r="Q204">
        <v>161</v>
      </c>
      <c r="R204">
        <v>1</v>
      </c>
      <c r="S204">
        <f t="shared" si="25"/>
        <v>0.3</v>
      </c>
      <c r="T204">
        <f t="shared" si="26"/>
        <v>3.4000000000000004</v>
      </c>
      <c r="U204">
        <f t="shared" si="22"/>
        <v>197.4</v>
      </c>
      <c r="W204">
        <v>185.4</v>
      </c>
      <c r="X204">
        <f t="shared" si="23"/>
        <v>22261</v>
      </c>
      <c r="Y204">
        <v>10.128966783704099</v>
      </c>
    </row>
    <row r="205" spans="1:25" x14ac:dyDescent="0.35">
      <c r="A205">
        <v>2920</v>
      </c>
      <c r="B205">
        <v>23610</v>
      </c>
      <c r="C205" s="1">
        <v>43150</v>
      </c>
      <c r="D205" s="1"/>
      <c r="E205" s="1"/>
      <c r="F205" s="49"/>
      <c r="G205">
        <v>9.1</v>
      </c>
      <c r="H205">
        <v>7.5</v>
      </c>
      <c r="I205">
        <v>10.4</v>
      </c>
      <c r="J205">
        <f t="shared" si="20"/>
        <v>1509.9999999999995</v>
      </c>
      <c r="K205">
        <f t="shared" si="21"/>
        <v>569.69999999999993</v>
      </c>
      <c r="M205">
        <v>1.5</v>
      </c>
      <c r="N205">
        <v>0.4</v>
      </c>
      <c r="O205">
        <f t="shared" si="24"/>
        <v>1.1000000000000001</v>
      </c>
      <c r="Q205">
        <v>162</v>
      </c>
      <c r="R205">
        <v>1</v>
      </c>
      <c r="S205">
        <f t="shared" si="25"/>
        <v>0.4</v>
      </c>
      <c r="T205">
        <f t="shared" si="26"/>
        <v>1.1000000000000001</v>
      </c>
      <c r="U205">
        <f t="shared" si="22"/>
        <v>197.4</v>
      </c>
      <c r="W205">
        <v>162.4</v>
      </c>
      <c r="X205">
        <f t="shared" si="23"/>
        <v>22423.4</v>
      </c>
      <c r="Y205">
        <v>10.184313578454478</v>
      </c>
    </row>
    <row r="206" spans="1:25" x14ac:dyDescent="0.35">
      <c r="A206">
        <v>2920</v>
      </c>
      <c r="B206">
        <v>23610</v>
      </c>
      <c r="C206" s="1">
        <v>43151</v>
      </c>
      <c r="D206" s="1"/>
      <c r="E206" s="1"/>
      <c r="F206" s="49"/>
      <c r="G206">
        <v>8.8000000000000007</v>
      </c>
      <c r="H206">
        <v>8.1</v>
      </c>
      <c r="I206">
        <v>10</v>
      </c>
      <c r="J206">
        <f t="shared" si="20"/>
        <v>1518.7999999999995</v>
      </c>
      <c r="K206">
        <f t="shared" si="21"/>
        <v>578.49999999999989</v>
      </c>
      <c r="M206">
        <v>0.2</v>
      </c>
      <c r="N206">
        <v>0.9</v>
      </c>
      <c r="O206">
        <f t="shared" si="24"/>
        <v>-0.7</v>
      </c>
      <c r="Q206">
        <v>163</v>
      </c>
      <c r="R206">
        <v>1</v>
      </c>
      <c r="S206">
        <f t="shared" si="25"/>
        <v>0.9</v>
      </c>
      <c r="T206">
        <f t="shared" si="26"/>
        <v>-0.7</v>
      </c>
      <c r="U206">
        <f t="shared" si="22"/>
        <v>196.70000000000002</v>
      </c>
      <c r="W206">
        <v>234.5</v>
      </c>
      <c r="X206">
        <f t="shared" si="23"/>
        <v>22657.9</v>
      </c>
      <c r="Y206">
        <v>10.239985001406184</v>
      </c>
    </row>
    <row r="207" spans="1:25" x14ac:dyDescent="0.35">
      <c r="A207">
        <v>2920</v>
      </c>
      <c r="B207">
        <v>23610</v>
      </c>
      <c r="C207" s="1">
        <v>43152</v>
      </c>
      <c r="D207" s="1"/>
      <c r="E207" s="1"/>
      <c r="F207" s="49"/>
      <c r="G207">
        <v>5.2</v>
      </c>
      <c r="H207">
        <v>4.7</v>
      </c>
      <c r="I207">
        <v>7.6</v>
      </c>
      <c r="J207">
        <f t="shared" si="20"/>
        <v>1523.9999999999995</v>
      </c>
      <c r="K207">
        <f t="shared" si="21"/>
        <v>583.69999999999993</v>
      </c>
      <c r="M207">
        <v>0</v>
      </c>
      <c r="N207">
        <v>1.9</v>
      </c>
      <c r="O207">
        <f t="shared" si="24"/>
        <v>-1.9</v>
      </c>
      <c r="Q207">
        <v>164</v>
      </c>
      <c r="R207">
        <v>1</v>
      </c>
      <c r="S207">
        <f t="shared" si="25"/>
        <v>1.9</v>
      </c>
      <c r="T207">
        <f t="shared" si="26"/>
        <v>-1.9</v>
      </c>
      <c r="U207">
        <f t="shared" si="22"/>
        <v>194.8</v>
      </c>
      <c r="W207">
        <v>1210.4000000000001</v>
      </c>
      <c r="X207">
        <f t="shared" si="23"/>
        <v>23868.300000000003</v>
      </c>
      <c r="Y207">
        <v>10.295966308505745</v>
      </c>
    </row>
    <row r="208" spans="1:25" x14ac:dyDescent="0.35">
      <c r="A208">
        <v>2920</v>
      </c>
      <c r="B208">
        <v>23610</v>
      </c>
      <c r="C208" s="1">
        <v>43153</v>
      </c>
      <c r="D208" s="1"/>
      <c r="E208" s="1"/>
      <c r="F208" s="49"/>
      <c r="G208">
        <v>1.8</v>
      </c>
      <c r="H208">
        <v>-1.8</v>
      </c>
      <c r="I208">
        <v>5.5</v>
      </c>
      <c r="J208">
        <f t="shared" si="20"/>
        <v>1525.7999999999995</v>
      </c>
      <c r="K208">
        <f t="shared" si="21"/>
        <v>585.49999999999989</v>
      </c>
      <c r="M208">
        <v>0</v>
      </c>
      <c r="N208">
        <v>1.4</v>
      </c>
      <c r="O208">
        <f t="shared" si="24"/>
        <v>-1.4</v>
      </c>
      <c r="Q208">
        <v>165</v>
      </c>
      <c r="R208">
        <v>1</v>
      </c>
      <c r="S208">
        <f t="shared" si="25"/>
        <v>1.4</v>
      </c>
      <c r="T208">
        <f t="shared" si="26"/>
        <v>-1.4</v>
      </c>
      <c r="U208">
        <f t="shared" si="22"/>
        <v>193.4</v>
      </c>
      <c r="W208">
        <v>1369.1</v>
      </c>
      <c r="X208">
        <f t="shared" si="23"/>
        <v>25237.4</v>
      </c>
      <c r="Y208">
        <v>10.352243147132491</v>
      </c>
    </row>
    <row r="209" spans="1:27" x14ac:dyDescent="0.35">
      <c r="A209">
        <v>2920</v>
      </c>
      <c r="B209">
        <v>23610</v>
      </c>
      <c r="C209" s="1">
        <v>43154</v>
      </c>
      <c r="D209" s="1"/>
      <c r="E209" s="1"/>
      <c r="F209" s="49"/>
      <c r="G209">
        <v>1</v>
      </c>
      <c r="H209">
        <v>-2.2999999999999998</v>
      </c>
      <c r="I209">
        <v>4.2</v>
      </c>
      <c r="J209">
        <f t="shared" si="20"/>
        <v>1526.7999999999995</v>
      </c>
      <c r="K209">
        <f t="shared" si="21"/>
        <v>586.49999999999989</v>
      </c>
      <c r="M209" s="28">
        <v>0</v>
      </c>
      <c r="N209">
        <v>1.4</v>
      </c>
      <c r="O209">
        <f t="shared" si="24"/>
        <v>-1.4</v>
      </c>
      <c r="Q209">
        <v>166</v>
      </c>
      <c r="R209">
        <v>1</v>
      </c>
      <c r="S209">
        <f t="shared" si="25"/>
        <v>1.4</v>
      </c>
      <c r="T209">
        <f t="shared" si="26"/>
        <v>-1.4</v>
      </c>
      <c r="U209">
        <f t="shared" si="22"/>
        <v>192</v>
      </c>
      <c r="W209">
        <v>1401.3</v>
      </c>
      <c r="X209">
        <f t="shared" si="23"/>
        <v>26638.7</v>
      </c>
      <c r="Y209">
        <v>10.408801548558333</v>
      </c>
      <c r="AA209" t="s">
        <v>66</v>
      </c>
    </row>
    <row r="210" spans="1:27" x14ac:dyDescent="0.35">
      <c r="A210">
        <v>2920</v>
      </c>
      <c r="B210">
        <v>23610</v>
      </c>
      <c r="C210" s="1">
        <v>43155</v>
      </c>
      <c r="D210" s="1"/>
      <c r="E210" s="1"/>
      <c r="F210" s="49"/>
      <c r="G210">
        <v>1.3</v>
      </c>
      <c r="H210">
        <v>-1.9</v>
      </c>
      <c r="I210">
        <v>4.0999999999999996</v>
      </c>
      <c r="J210">
        <f t="shared" si="20"/>
        <v>1528.0999999999995</v>
      </c>
      <c r="K210">
        <f t="shared" si="21"/>
        <v>587.79999999999984</v>
      </c>
      <c r="M210" s="28">
        <v>0</v>
      </c>
      <c r="N210">
        <v>1.5</v>
      </c>
      <c r="O210">
        <f t="shared" si="24"/>
        <v>-1.5</v>
      </c>
      <c r="Q210">
        <v>167</v>
      </c>
      <c r="R210">
        <v>1</v>
      </c>
      <c r="S210">
        <f t="shared" si="25"/>
        <v>1.5</v>
      </c>
      <c r="T210">
        <f t="shared" si="26"/>
        <v>-1.5</v>
      </c>
      <c r="U210">
        <f t="shared" si="22"/>
        <v>190.5</v>
      </c>
      <c r="W210">
        <v>1435.4</v>
      </c>
      <c r="X210">
        <f t="shared" si="23"/>
        <v>28074.100000000002</v>
      </c>
      <c r="Y210">
        <v>10.465627919682346</v>
      </c>
      <c r="AA210" s="11">
        <f>AVERAGE(U216:U229)</f>
        <v>196.41438775510207</v>
      </c>
    </row>
    <row r="211" spans="1:27" x14ac:dyDescent="0.35">
      <c r="A211">
        <v>2920</v>
      </c>
      <c r="B211">
        <v>23610</v>
      </c>
      <c r="C211" s="1">
        <v>43156</v>
      </c>
      <c r="D211" s="1"/>
      <c r="E211" s="1"/>
      <c r="F211" s="49"/>
      <c r="G211">
        <v>1.5</v>
      </c>
      <c r="H211">
        <v>-0.7</v>
      </c>
      <c r="I211">
        <v>4.3</v>
      </c>
      <c r="J211">
        <f t="shared" si="20"/>
        <v>1529.5999999999995</v>
      </c>
      <c r="K211">
        <f t="shared" si="21"/>
        <v>589.29999999999984</v>
      </c>
      <c r="M211" s="28">
        <v>0</v>
      </c>
      <c r="N211">
        <v>1.8</v>
      </c>
      <c r="O211">
        <f t="shared" si="24"/>
        <v>-1.8</v>
      </c>
      <c r="Q211">
        <v>168</v>
      </c>
      <c r="R211">
        <v>1</v>
      </c>
      <c r="S211">
        <f t="shared" si="25"/>
        <v>1.8</v>
      </c>
      <c r="T211">
        <f t="shared" si="26"/>
        <v>-1.8</v>
      </c>
      <c r="U211">
        <f t="shared" si="22"/>
        <v>188.7</v>
      </c>
      <c r="W211">
        <v>1335.1</v>
      </c>
      <c r="X211">
        <f t="shared" si="23"/>
        <v>29409.200000000001</v>
      </c>
      <c r="Y211">
        <v>10.522709034092294</v>
      </c>
      <c r="AA211" t="s">
        <v>65</v>
      </c>
    </row>
    <row r="212" spans="1:27" x14ac:dyDescent="0.35">
      <c r="A212">
        <v>2920</v>
      </c>
      <c r="B212">
        <v>23610</v>
      </c>
      <c r="C212" s="1">
        <v>43157</v>
      </c>
      <c r="D212" s="1"/>
      <c r="E212" s="1"/>
      <c r="F212" s="49"/>
      <c r="G212">
        <v>-1.5</v>
      </c>
      <c r="H212">
        <v>-3.2</v>
      </c>
      <c r="I212">
        <v>1.1000000000000001</v>
      </c>
      <c r="J212">
        <v>1529.6</v>
      </c>
      <c r="K212">
        <v>589.29999999999995</v>
      </c>
      <c r="M212" s="28">
        <v>0</v>
      </c>
      <c r="N212">
        <v>1.9</v>
      </c>
      <c r="O212">
        <f t="shared" si="24"/>
        <v>-1.9</v>
      </c>
      <c r="Q212">
        <v>169</v>
      </c>
      <c r="R212">
        <v>1</v>
      </c>
      <c r="S212">
        <f t="shared" si="25"/>
        <v>1.9</v>
      </c>
      <c r="T212">
        <f t="shared" si="26"/>
        <v>-1.9</v>
      </c>
      <c r="U212">
        <f t="shared" si="22"/>
        <v>186.79999999999998</v>
      </c>
      <c r="W212">
        <v>1473</v>
      </c>
      <c r="X212">
        <f t="shared" si="23"/>
        <v>30882.2</v>
      </c>
      <c r="Y212">
        <v>10.580032022502831</v>
      </c>
      <c r="AA212">
        <v>6</v>
      </c>
    </row>
    <row r="213" spans="1:27" x14ac:dyDescent="0.35">
      <c r="A213">
        <v>2920</v>
      </c>
      <c r="B213">
        <v>23610</v>
      </c>
      <c r="C213" s="1">
        <v>43158</v>
      </c>
      <c r="D213" s="1"/>
      <c r="E213" s="1"/>
      <c r="F213" s="49"/>
      <c r="G213">
        <v>-2.9</v>
      </c>
      <c r="H213">
        <v>-5.7</v>
      </c>
      <c r="I213">
        <v>0.4</v>
      </c>
      <c r="J213">
        <v>1529.6</v>
      </c>
      <c r="K213">
        <v>589.29999999999995</v>
      </c>
      <c r="M213" s="28">
        <v>0</v>
      </c>
      <c r="N213">
        <v>1.6</v>
      </c>
      <c r="O213">
        <f t="shared" si="24"/>
        <v>-1.6</v>
      </c>
      <c r="Q213">
        <v>170</v>
      </c>
      <c r="R213">
        <v>1</v>
      </c>
      <c r="S213">
        <f t="shared" si="25"/>
        <v>1.6</v>
      </c>
      <c r="T213">
        <f t="shared" si="26"/>
        <v>-1.6</v>
      </c>
      <c r="U213">
        <f t="shared" si="22"/>
        <v>185.2</v>
      </c>
      <c r="W213">
        <v>1522</v>
      </c>
      <c r="X213">
        <f t="shared" si="23"/>
        <v>32404.2</v>
      </c>
      <c r="Y213">
        <v>10.637584362617616</v>
      </c>
      <c r="AA213" t="s">
        <v>64</v>
      </c>
    </row>
    <row r="214" spans="1:27" x14ac:dyDescent="0.35">
      <c r="A214">
        <v>2920</v>
      </c>
      <c r="B214">
        <v>23610</v>
      </c>
      <c r="C214" s="1">
        <v>43159</v>
      </c>
      <c r="D214" s="1"/>
      <c r="E214" s="1"/>
      <c r="F214" s="49"/>
      <c r="G214">
        <v>-3.7</v>
      </c>
      <c r="H214">
        <v>-6.9</v>
      </c>
      <c r="I214">
        <v>-1.6</v>
      </c>
      <c r="J214">
        <v>1529.6</v>
      </c>
      <c r="K214">
        <v>589.29999999999995</v>
      </c>
      <c r="M214" s="28">
        <v>0</v>
      </c>
      <c r="N214">
        <v>1.2</v>
      </c>
      <c r="O214">
        <f t="shared" si="24"/>
        <v>-1.2</v>
      </c>
      <c r="Q214">
        <v>171</v>
      </c>
      <c r="R214">
        <v>1</v>
      </c>
      <c r="S214">
        <f t="shared" si="25"/>
        <v>1.2</v>
      </c>
      <c r="T214">
        <f t="shared" si="26"/>
        <v>-1.2</v>
      </c>
      <c r="U214">
        <f t="shared" si="22"/>
        <v>184</v>
      </c>
      <c r="W214">
        <v>456.6</v>
      </c>
      <c r="X214">
        <f t="shared" si="23"/>
        <v>32860.800000000003</v>
      </c>
      <c r="Y214">
        <v>10.695353868460133</v>
      </c>
      <c r="AA214">
        <v>1</v>
      </c>
    </row>
    <row r="215" spans="1:27" s="4" customFormat="1" ht="15" thickBot="1" x14ac:dyDescent="0.4">
      <c r="A215" s="4">
        <v>2920</v>
      </c>
      <c r="B215" s="4">
        <v>23610</v>
      </c>
      <c r="C215" s="5">
        <v>43160</v>
      </c>
      <c r="D215" s="5" t="s">
        <v>32</v>
      </c>
      <c r="E215" s="5"/>
      <c r="F215" s="50"/>
      <c r="G215" s="4">
        <v>0.4</v>
      </c>
      <c r="H215" s="4">
        <v>-3.6</v>
      </c>
      <c r="I215" s="4">
        <v>6.4</v>
      </c>
      <c r="J215" s="4">
        <f t="shared" si="20"/>
        <v>1530</v>
      </c>
      <c r="K215" s="4">
        <f t="shared" si="21"/>
        <v>589.69999999999993</v>
      </c>
      <c r="M215" s="29">
        <v>9.1</v>
      </c>
      <c r="N215" s="4">
        <v>0.7</v>
      </c>
      <c r="O215" s="4">
        <f t="shared" si="24"/>
        <v>8.4</v>
      </c>
      <c r="Q215" s="4">
        <v>172</v>
      </c>
      <c r="R215" s="4">
        <v>1</v>
      </c>
      <c r="S215" s="4">
        <f t="shared" si="25"/>
        <v>0.7</v>
      </c>
      <c r="T215" s="4">
        <f t="shared" si="26"/>
        <v>8.4</v>
      </c>
      <c r="U215" s="4">
        <f t="shared" si="22"/>
        <v>192.4</v>
      </c>
      <c r="W215" s="4">
        <v>195.5</v>
      </c>
      <c r="X215" s="4">
        <f t="shared" si="23"/>
        <v>33056.300000000003</v>
      </c>
      <c r="Y215" s="4">
        <v>10.753328679215574</v>
      </c>
      <c r="AA215" s="4" t="s">
        <v>63</v>
      </c>
    </row>
    <row r="216" spans="1:27" x14ac:dyDescent="0.35">
      <c r="A216">
        <v>2920</v>
      </c>
      <c r="B216">
        <v>23610</v>
      </c>
      <c r="C216" s="1">
        <v>43161</v>
      </c>
      <c r="D216" s="1"/>
      <c r="E216" s="1"/>
      <c r="F216" s="51" t="s">
        <v>56</v>
      </c>
      <c r="G216">
        <v>6.1</v>
      </c>
      <c r="H216">
        <v>3.7</v>
      </c>
      <c r="I216">
        <v>7.8</v>
      </c>
      <c r="J216">
        <f t="shared" si="20"/>
        <v>1536.1</v>
      </c>
      <c r="K216">
        <f>G216</f>
        <v>6.1</v>
      </c>
      <c r="L216" s="15" t="s">
        <v>38</v>
      </c>
      <c r="M216" s="28">
        <v>3</v>
      </c>
      <c r="N216">
        <v>0.8</v>
      </c>
      <c r="O216">
        <f t="shared" si="24"/>
        <v>2.2000000000000002</v>
      </c>
      <c r="Q216">
        <v>173</v>
      </c>
      <c r="R216">
        <f>1+((Q216-172)/35)*(1.15-1)</f>
        <v>1.0042857142857142</v>
      </c>
      <c r="S216">
        <f t="shared" si="25"/>
        <v>0.80342857142857138</v>
      </c>
      <c r="T216">
        <f t="shared" si="26"/>
        <v>2.1965714285714286</v>
      </c>
      <c r="U216" s="28">
        <f t="shared" si="22"/>
        <v>194.59657142857142</v>
      </c>
      <c r="V216" s="16" t="s">
        <v>45</v>
      </c>
      <c r="W216">
        <v>275.3</v>
      </c>
      <c r="X216">
        <f>W216</f>
        <v>275.3</v>
      </c>
      <c r="Y216">
        <v>10.811497247623747</v>
      </c>
      <c r="Z216" s="16" t="s">
        <v>50</v>
      </c>
      <c r="AA216">
        <v>6</v>
      </c>
    </row>
    <row r="217" spans="1:27" x14ac:dyDescent="0.35">
      <c r="A217">
        <v>2920</v>
      </c>
      <c r="B217">
        <v>23610</v>
      </c>
      <c r="C217" s="1">
        <v>43162</v>
      </c>
      <c r="D217" s="1"/>
      <c r="E217" s="1"/>
      <c r="F217" s="52"/>
      <c r="G217">
        <v>7.2</v>
      </c>
      <c r="H217">
        <v>4.2</v>
      </c>
      <c r="I217">
        <v>11.8</v>
      </c>
      <c r="J217">
        <f t="shared" si="20"/>
        <v>1543.3</v>
      </c>
      <c r="K217">
        <f t="shared" si="21"/>
        <v>13.3</v>
      </c>
      <c r="L217" s="8">
        <v>271.60000000000002</v>
      </c>
      <c r="M217" s="28">
        <v>1.8</v>
      </c>
      <c r="N217">
        <v>1.4</v>
      </c>
      <c r="O217">
        <f t="shared" si="24"/>
        <v>0.40000000000000013</v>
      </c>
      <c r="Q217">
        <v>174</v>
      </c>
      <c r="R217">
        <f t="shared" ref="R217:R250" si="27">1+((Q217-172)/35)*(1.15-1)</f>
        <v>1.0085714285714287</v>
      </c>
      <c r="S217">
        <f t="shared" si="25"/>
        <v>1.4120000000000001</v>
      </c>
      <c r="T217">
        <f t="shared" si="26"/>
        <v>0.3879999999999999</v>
      </c>
      <c r="U217" s="28">
        <f t="shared" si="22"/>
        <v>194.98457142857143</v>
      </c>
      <c r="V217">
        <v>0</v>
      </c>
      <c r="W217">
        <v>529.20000000000005</v>
      </c>
      <c r="X217">
        <f>X216+W217</f>
        <v>804.5</v>
      </c>
      <c r="Y217">
        <v>10.869848327960588</v>
      </c>
      <c r="Z217">
        <v>20831.3</v>
      </c>
      <c r="AA217" t="s">
        <v>62</v>
      </c>
    </row>
    <row r="218" spans="1:27" x14ac:dyDescent="0.35">
      <c r="A218">
        <v>2920</v>
      </c>
      <c r="B218">
        <v>23610</v>
      </c>
      <c r="C218" s="1">
        <v>43163</v>
      </c>
      <c r="D218" s="1"/>
      <c r="E218" s="1"/>
      <c r="F218" s="52"/>
      <c r="G218">
        <v>7.4</v>
      </c>
      <c r="H218">
        <v>5.3</v>
      </c>
      <c r="I218">
        <v>10.199999999999999</v>
      </c>
      <c r="J218">
        <f t="shared" si="20"/>
        <v>1550.7</v>
      </c>
      <c r="K218">
        <f t="shared" si="21"/>
        <v>20.700000000000003</v>
      </c>
      <c r="L218" s="15" t="s">
        <v>39</v>
      </c>
      <c r="M218" s="28">
        <v>1.1000000000000001</v>
      </c>
      <c r="N218">
        <v>0.8</v>
      </c>
      <c r="O218">
        <f t="shared" si="24"/>
        <v>0.30000000000000004</v>
      </c>
      <c r="Q218">
        <v>175</v>
      </c>
      <c r="R218">
        <f t="shared" si="27"/>
        <v>1.0128571428571429</v>
      </c>
      <c r="S218">
        <f t="shared" si="25"/>
        <v>0.81028571428571439</v>
      </c>
      <c r="T218">
        <f t="shared" si="26"/>
        <v>0.2897142857142857</v>
      </c>
      <c r="U218" s="28">
        <f t="shared" si="22"/>
        <v>195.27428571428572</v>
      </c>
      <c r="V218" s="16" t="s">
        <v>46</v>
      </c>
      <c r="W218">
        <v>534.70000000000005</v>
      </c>
      <c r="X218">
        <f t="shared" si="23"/>
        <v>1339.2</v>
      </c>
      <c r="Y218">
        <v>10.928370963643593</v>
      </c>
      <c r="Z218" s="16" t="s">
        <v>51</v>
      </c>
      <c r="AA218">
        <f>SUM(M220:M229)</f>
        <v>37.400000000000006</v>
      </c>
    </row>
    <row r="219" spans="1:27" s="25" customFormat="1" x14ac:dyDescent="0.35">
      <c r="A219" s="25">
        <v>2920</v>
      </c>
      <c r="B219" s="25">
        <v>23610</v>
      </c>
      <c r="C219" s="26">
        <v>43164</v>
      </c>
      <c r="D219" s="26" t="s">
        <v>61</v>
      </c>
      <c r="E219" s="26"/>
      <c r="F219" s="52"/>
      <c r="G219" s="25">
        <v>7.6</v>
      </c>
      <c r="H219" s="25">
        <v>4.2</v>
      </c>
      <c r="I219" s="25">
        <v>12.2</v>
      </c>
      <c r="J219" s="25">
        <f t="shared" si="20"/>
        <v>1558.3</v>
      </c>
      <c r="K219" s="25">
        <f t="shared" si="21"/>
        <v>28.300000000000004</v>
      </c>
      <c r="L219" s="27">
        <f>AVERAGE(G216:G250)</f>
        <v>7.7600000000000007</v>
      </c>
      <c r="M219" s="25">
        <v>1.5</v>
      </c>
      <c r="N219" s="25">
        <v>1</v>
      </c>
      <c r="O219" s="25">
        <f t="shared" si="24"/>
        <v>0.5</v>
      </c>
      <c r="Q219" s="25">
        <v>176</v>
      </c>
      <c r="R219" s="25">
        <f t="shared" si="27"/>
        <v>1.0171428571428571</v>
      </c>
      <c r="S219" s="25">
        <f t="shared" si="25"/>
        <v>1.0171428571428571</v>
      </c>
      <c r="T219" s="25">
        <f t="shared" si="26"/>
        <v>0.48285714285714287</v>
      </c>
      <c r="U219" s="25">
        <f t="shared" si="22"/>
        <v>195.75714285714287</v>
      </c>
      <c r="V219" s="25">
        <v>0</v>
      </c>
      <c r="W219" s="25">
        <v>574.20000000000005</v>
      </c>
      <c r="X219" s="25">
        <f t="shared" si="23"/>
        <v>1913.4</v>
      </c>
      <c r="Y219" s="25">
        <v>10.987054474494258</v>
      </c>
      <c r="Z219" s="25">
        <f>(Z217/100)/L217</f>
        <v>0.76698453608247408</v>
      </c>
    </row>
    <row r="220" spans="1:27" x14ac:dyDescent="0.35">
      <c r="A220">
        <v>2920</v>
      </c>
      <c r="B220">
        <v>23610</v>
      </c>
      <c r="C220" s="1">
        <v>43165</v>
      </c>
      <c r="D220" s="1"/>
      <c r="E220" s="1"/>
      <c r="F220" s="52"/>
      <c r="G220">
        <v>6.1</v>
      </c>
      <c r="H220">
        <v>3.2</v>
      </c>
      <c r="I220">
        <v>9.5</v>
      </c>
      <c r="J220">
        <f t="shared" si="20"/>
        <v>1564.3999999999999</v>
      </c>
      <c r="K220">
        <f t="shared" si="21"/>
        <v>34.400000000000006</v>
      </c>
      <c r="L220" s="15" t="s">
        <v>40</v>
      </c>
      <c r="M220" s="28">
        <v>10.1</v>
      </c>
      <c r="N220">
        <v>0.4</v>
      </c>
      <c r="O220">
        <f t="shared" si="24"/>
        <v>9.6999999999999993</v>
      </c>
      <c r="Q220">
        <v>177</v>
      </c>
      <c r="R220">
        <f t="shared" si="27"/>
        <v>1.0214285714285714</v>
      </c>
      <c r="S220">
        <f t="shared" si="25"/>
        <v>0.40857142857142859</v>
      </c>
      <c r="T220">
        <f t="shared" si="26"/>
        <v>9.6914285714285704</v>
      </c>
      <c r="U220" s="28">
        <f t="shared" si="22"/>
        <v>197.4</v>
      </c>
      <c r="V220" s="16" t="s">
        <v>47</v>
      </c>
      <c r="W220">
        <v>280.3</v>
      </c>
      <c r="X220">
        <f t="shared" si="23"/>
        <v>2193.7000000000003</v>
      </c>
      <c r="Y220">
        <v>11.045888443688392</v>
      </c>
      <c r="Z220" s="16" t="s">
        <v>52</v>
      </c>
    </row>
    <row r="221" spans="1:27" x14ac:dyDescent="0.35">
      <c r="A221">
        <v>2920</v>
      </c>
      <c r="B221">
        <v>23610</v>
      </c>
      <c r="C221" s="1">
        <v>43166</v>
      </c>
      <c r="D221" s="1"/>
      <c r="E221" s="1"/>
      <c r="F221" s="52"/>
      <c r="G221">
        <v>6.2</v>
      </c>
      <c r="H221">
        <v>1.8</v>
      </c>
      <c r="I221">
        <v>9.4</v>
      </c>
      <c r="J221">
        <f t="shared" si="20"/>
        <v>1570.6</v>
      </c>
      <c r="K221">
        <f t="shared" si="21"/>
        <v>40.600000000000009</v>
      </c>
      <c r="L221" s="8">
        <f>MIN(H216:H250)</f>
        <v>-1.9</v>
      </c>
      <c r="M221" s="28">
        <v>2.2000000000000002</v>
      </c>
      <c r="N221">
        <v>0.7</v>
      </c>
      <c r="O221">
        <f t="shared" si="24"/>
        <v>1.5000000000000002</v>
      </c>
      <c r="Q221">
        <v>178</v>
      </c>
      <c r="R221">
        <f t="shared" si="27"/>
        <v>1.0257142857142858</v>
      </c>
      <c r="S221">
        <f t="shared" si="25"/>
        <v>0.71799999999999997</v>
      </c>
      <c r="T221">
        <f t="shared" si="26"/>
        <v>1.4820000000000002</v>
      </c>
      <c r="U221" s="28">
        <f t="shared" si="22"/>
        <v>197.4</v>
      </c>
      <c r="V221" s="11">
        <f>MIN(U216:U250)</f>
        <v>194.59657142857142</v>
      </c>
      <c r="W221">
        <v>539.6</v>
      </c>
      <c r="X221">
        <f t="shared" si="23"/>
        <v>2733.3</v>
      </c>
      <c r="Y221">
        <v>11.104862704423253</v>
      </c>
      <c r="Z221">
        <v>29</v>
      </c>
    </row>
    <row r="222" spans="1:27" x14ac:dyDescent="0.35">
      <c r="A222">
        <v>2920</v>
      </c>
      <c r="B222">
        <v>23610</v>
      </c>
      <c r="C222" s="1">
        <v>43167</v>
      </c>
      <c r="D222" s="1"/>
      <c r="E222" s="1"/>
      <c r="F222" s="52"/>
      <c r="G222">
        <v>8</v>
      </c>
      <c r="H222">
        <v>5.9</v>
      </c>
      <c r="I222">
        <v>9</v>
      </c>
      <c r="J222">
        <f t="shared" si="20"/>
        <v>1578.6</v>
      </c>
      <c r="K222">
        <f t="shared" si="21"/>
        <v>48.600000000000009</v>
      </c>
      <c r="L222" s="15" t="s">
        <v>41</v>
      </c>
      <c r="M222" s="28">
        <v>6.4</v>
      </c>
      <c r="N222">
        <v>0.2</v>
      </c>
      <c r="O222">
        <f t="shared" si="24"/>
        <v>6.2</v>
      </c>
      <c r="Q222">
        <v>179</v>
      </c>
      <c r="R222">
        <f t="shared" si="27"/>
        <v>1.03</v>
      </c>
      <c r="S222">
        <f t="shared" si="25"/>
        <v>0.20600000000000002</v>
      </c>
      <c r="T222">
        <f t="shared" si="26"/>
        <v>6.194</v>
      </c>
      <c r="U222" s="28">
        <f t="shared" si="22"/>
        <v>197.4</v>
      </c>
      <c r="V222" s="16" t="s">
        <v>48</v>
      </c>
      <c r="W222">
        <v>212.7</v>
      </c>
      <c r="X222">
        <f t="shared" si="23"/>
        <v>2946</v>
      </c>
      <c r="Y222">
        <v>11.16396732632829</v>
      </c>
    </row>
    <row r="223" spans="1:27" x14ac:dyDescent="0.35">
      <c r="A223">
        <v>2920</v>
      </c>
      <c r="B223">
        <v>23610</v>
      </c>
      <c r="C223" s="1">
        <v>43168</v>
      </c>
      <c r="D223" s="1"/>
      <c r="E223" s="1"/>
      <c r="F223" s="52"/>
      <c r="G223">
        <v>11.1</v>
      </c>
      <c r="H223">
        <v>8.1999999999999993</v>
      </c>
      <c r="I223">
        <v>13.6</v>
      </c>
      <c r="J223">
        <f t="shared" si="20"/>
        <v>1589.6999999999998</v>
      </c>
      <c r="K223">
        <f t="shared" si="21"/>
        <v>59.70000000000001</v>
      </c>
      <c r="L223" s="8">
        <f>MAX(I216:I250)</f>
        <v>15.5</v>
      </c>
      <c r="M223" s="28">
        <v>0.1</v>
      </c>
      <c r="N223">
        <v>0.6</v>
      </c>
      <c r="O223">
        <f t="shared" si="24"/>
        <v>-0.5</v>
      </c>
      <c r="Q223">
        <v>180</v>
      </c>
      <c r="R223">
        <f t="shared" si="27"/>
        <v>1.0342857142857143</v>
      </c>
      <c r="S223">
        <f t="shared" si="25"/>
        <v>0.62057142857142855</v>
      </c>
      <c r="T223">
        <f t="shared" si="26"/>
        <v>-0.52057142857142857</v>
      </c>
      <c r="U223" s="28">
        <f t="shared" si="22"/>
        <v>196.87942857142858</v>
      </c>
      <c r="V223" s="11">
        <f>MAX(U216:U250)</f>
        <v>197.4</v>
      </c>
      <c r="W223">
        <v>279</v>
      </c>
      <c r="X223">
        <f t="shared" si="23"/>
        <v>3225</v>
      </c>
      <c r="Y223">
        <v>11.223192601644561</v>
      </c>
    </row>
    <row r="224" spans="1:27" x14ac:dyDescent="0.35">
      <c r="A224">
        <v>2920</v>
      </c>
      <c r="B224">
        <v>23610</v>
      </c>
      <c r="C224" s="1">
        <v>43169</v>
      </c>
      <c r="D224" s="1"/>
      <c r="E224" s="1"/>
      <c r="F224" s="52"/>
      <c r="G224">
        <v>12.5</v>
      </c>
      <c r="H224">
        <v>11.5</v>
      </c>
      <c r="I224">
        <v>15.5</v>
      </c>
      <c r="J224">
        <f t="shared" si="20"/>
        <v>1602.1999999999998</v>
      </c>
      <c r="K224">
        <f t="shared" si="21"/>
        <v>72.200000000000017</v>
      </c>
      <c r="L224" s="15" t="s">
        <v>42</v>
      </c>
      <c r="M224" s="28">
        <v>0.1</v>
      </c>
      <c r="N224">
        <v>1.6</v>
      </c>
      <c r="O224">
        <f t="shared" si="24"/>
        <v>-1.5</v>
      </c>
      <c r="Q224">
        <v>181</v>
      </c>
      <c r="R224">
        <f t="shared" si="27"/>
        <v>1.0385714285714285</v>
      </c>
      <c r="S224">
        <f t="shared" si="25"/>
        <v>1.6617142857142857</v>
      </c>
      <c r="T224">
        <f t="shared" si="26"/>
        <v>-1.5617142857142856</v>
      </c>
      <c r="U224" s="28">
        <f t="shared" si="22"/>
        <v>195.31771428571429</v>
      </c>
      <c r="V224" s="16" t="s">
        <v>49</v>
      </c>
      <c r="W224">
        <v>640.5</v>
      </c>
      <c r="X224">
        <f t="shared" si="23"/>
        <v>3865.5</v>
      </c>
      <c r="Y224">
        <v>11.282529031196002</v>
      </c>
    </row>
    <row r="225" spans="1:25" x14ac:dyDescent="0.35">
      <c r="A225">
        <v>2920</v>
      </c>
      <c r="B225">
        <v>23610</v>
      </c>
      <c r="C225" s="1">
        <v>43170</v>
      </c>
      <c r="D225" s="1"/>
      <c r="E225" s="1"/>
      <c r="F225" s="52"/>
      <c r="G225">
        <v>10.6</v>
      </c>
      <c r="H225">
        <v>8.1</v>
      </c>
      <c r="I225">
        <v>12.7</v>
      </c>
      <c r="J225">
        <f t="shared" si="20"/>
        <v>1612.7999999999997</v>
      </c>
      <c r="K225">
        <f t="shared" si="21"/>
        <v>82.800000000000011</v>
      </c>
      <c r="L225" s="8">
        <v>0</v>
      </c>
      <c r="M225" s="28">
        <v>2.6</v>
      </c>
      <c r="N225">
        <v>0.9</v>
      </c>
      <c r="O225">
        <f t="shared" si="24"/>
        <v>1.7000000000000002</v>
      </c>
      <c r="Q225">
        <v>182</v>
      </c>
      <c r="R225">
        <f t="shared" si="27"/>
        <v>1.0428571428571429</v>
      </c>
      <c r="S225">
        <f t="shared" si="25"/>
        <v>0.93857142857142861</v>
      </c>
      <c r="T225">
        <f t="shared" si="26"/>
        <v>1.6614285714285715</v>
      </c>
      <c r="U225" s="28">
        <f t="shared" si="22"/>
        <v>196.97914285714285</v>
      </c>
      <c r="V225" s="11">
        <f>AVERAGE(U216:U250)</f>
        <v>196.65600408163255</v>
      </c>
      <c r="W225">
        <v>389.1</v>
      </c>
      <c r="X225">
        <f t="shared" si="23"/>
        <v>4254.6000000000004</v>
      </c>
      <c r="Y225">
        <v>11.341967310174089</v>
      </c>
    </row>
    <row r="226" spans="1:25" x14ac:dyDescent="0.35">
      <c r="A226">
        <v>2920</v>
      </c>
      <c r="B226">
        <v>23610</v>
      </c>
      <c r="C226" s="1">
        <v>43171</v>
      </c>
      <c r="D226" s="1"/>
      <c r="E226" s="1"/>
      <c r="F226" s="52"/>
      <c r="G226">
        <v>9.6</v>
      </c>
      <c r="H226">
        <v>9.1999999999999993</v>
      </c>
      <c r="I226">
        <v>10.7</v>
      </c>
      <c r="J226">
        <f t="shared" si="20"/>
        <v>1622.3999999999996</v>
      </c>
      <c r="K226">
        <f t="shared" si="21"/>
        <v>92.4</v>
      </c>
      <c r="L226" s="15" t="s">
        <v>43</v>
      </c>
      <c r="M226" s="28">
        <v>2.2000000000000002</v>
      </c>
      <c r="N226">
        <v>1.2</v>
      </c>
      <c r="O226">
        <f t="shared" si="24"/>
        <v>1.0000000000000002</v>
      </c>
      <c r="Q226">
        <v>183</v>
      </c>
      <c r="R226">
        <f t="shared" si="27"/>
        <v>1.0471428571428572</v>
      </c>
      <c r="S226">
        <f t="shared" si="25"/>
        <v>1.2565714285714285</v>
      </c>
      <c r="T226">
        <f t="shared" si="26"/>
        <v>0.94342857142857173</v>
      </c>
      <c r="U226" s="28">
        <f t="shared" si="22"/>
        <v>197.4</v>
      </c>
      <c r="W226">
        <v>207.3</v>
      </c>
      <c r="X226">
        <f t="shared" si="23"/>
        <v>4461.9000000000005</v>
      </c>
      <c r="Y226">
        <v>11.401498313755869</v>
      </c>
    </row>
    <row r="227" spans="1:25" x14ac:dyDescent="0.35">
      <c r="A227">
        <v>2920</v>
      </c>
      <c r="B227">
        <v>23610</v>
      </c>
      <c r="C227" s="1">
        <v>43172</v>
      </c>
      <c r="D227" s="1"/>
      <c r="E227" s="1"/>
      <c r="F227" s="52"/>
      <c r="G227">
        <v>8.9</v>
      </c>
      <c r="H227">
        <v>7.5</v>
      </c>
      <c r="I227">
        <v>11.7</v>
      </c>
      <c r="J227">
        <f t="shared" si="20"/>
        <v>1631.2999999999997</v>
      </c>
      <c r="K227">
        <f t="shared" si="21"/>
        <v>101.30000000000001</v>
      </c>
      <c r="L227" s="8">
        <v>14</v>
      </c>
      <c r="M227" s="28">
        <v>0</v>
      </c>
      <c r="N227">
        <v>1.7</v>
      </c>
      <c r="O227">
        <f t="shared" si="24"/>
        <v>-1.7</v>
      </c>
      <c r="Q227">
        <v>184</v>
      </c>
      <c r="R227">
        <f t="shared" si="27"/>
        <v>1.0514285714285714</v>
      </c>
      <c r="S227">
        <f t="shared" si="25"/>
        <v>1.7874285714285714</v>
      </c>
      <c r="T227">
        <f t="shared" si="26"/>
        <v>-1.7874285714285714</v>
      </c>
      <c r="U227" s="28">
        <f t="shared" si="22"/>
        <v>195.61257142857144</v>
      </c>
      <c r="V227" s="12">
        <f>(V225*100)/197.4</f>
        <v>99.623102371647704</v>
      </c>
      <c r="W227">
        <v>1178.2</v>
      </c>
      <c r="X227">
        <f t="shared" si="23"/>
        <v>5640.1</v>
      </c>
      <c r="Y227">
        <v>11.461113082573837</v>
      </c>
    </row>
    <row r="228" spans="1:25" x14ac:dyDescent="0.35">
      <c r="A228">
        <v>2920</v>
      </c>
      <c r="B228">
        <v>23610</v>
      </c>
      <c r="C228" s="1">
        <v>43173</v>
      </c>
      <c r="D228" s="1"/>
      <c r="E228" s="1"/>
      <c r="F228" s="52"/>
      <c r="G228">
        <v>9.1999999999999993</v>
      </c>
      <c r="H228">
        <v>5.2</v>
      </c>
      <c r="I228">
        <v>12.7</v>
      </c>
      <c r="J228">
        <f t="shared" si="20"/>
        <v>1640.4999999999998</v>
      </c>
      <c r="K228">
        <f t="shared" si="21"/>
        <v>110.50000000000001</v>
      </c>
      <c r="L228" s="15" t="s">
        <v>44</v>
      </c>
      <c r="M228" s="28">
        <v>11.2</v>
      </c>
      <c r="N228">
        <v>1.2</v>
      </c>
      <c r="O228">
        <f t="shared" si="24"/>
        <v>10</v>
      </c>
      <c r="Q228">
        <v>185</v>
      </c>
      <c r="R228">
        <f t="shared" si="27"/>
        <v>1.0557142857142856</v>
      </c>
      <c r="S228">
        <f t="shared" si="25"/>
        <v>1.2668571428571427</v>
      </c>
      <c r="T228">
        <f t="shared" si="26"/>
        <v>9.9331428571428564</v>
      </c>
      <c r="U228" s="28">
        <f t="shared" si="22"/>
        <v>197.4</v>
      </c>
      <c r="W228">
        <v>641.4</v>
      </c>
      <c r="X228">
        <f t="shared" si="23"/>
        <v>6281.5</v>
      </c>
      <c r="Y228">
        <v>11.520802808054778</v>
      </c>
    </row>
    <row r="229" spans="1:25" x14ac:dyDescent="0.35">
      <c r="A229">
        <v>2920</v>
      </c>
      <c r="B229">
        <v>23610</v>
      </c>
      <c r="C229" s="1">
        <v>43174</v>
      </c>
      <c r="D229" s="1"/>
      <c r="E229" s="1"/>
      <c r="F229" s="52"/>
      <c r="G229">
        <v>9.6</v>
      </c>
      <c r="H229">
        <v>8.4</v>
      </c>
      <c r="I229">
        <v>12.1</v>
      </c>
      <c r="J229">
        <f t="shared" si="20"/>
        <v>1650.0999999999997</v>
      </c>
      <c r="K229">
        <f t="shared" si="21"/>
        <v>120.10000000000001</v>
      </c>
      <c r="L229" s="8">
        <v>2</v>
      </c>
      <c r="M229" s="28">
        <v>2.5</v>
      </c>
      <c r="N229">
        <v>1.2</v>
      </c>
      <c r="O229">
        <f t="shared" si="24"/>
        <v>1.3</v>
      </c>
      <c r="Q229">
        <v>186</v>
      </c>
      <c r="R229">
        <f t="shared" si="27"/>
        <v>1.06</v>
      </c>
      <c r="S229">
        <f t="shared" si="25"/>
        <v>1.272</v>
      </c>
      <c r="T229">
        <f t="shared" si="26"/>
        <v>1.228</v>
      </c>
      <c r="U229" s="28">
        <f t="shared" si="22"/>
        <v>197.4</v>
      </c>
      <c r="W229">
        <v>594.20000000000005</v>
      </c>
      <c r="X229">
        <f t="shared" si="23"/>
        <v>6875.7</v>
      </c>
      <c r="Y229">
        <v>11.580558817643515</v>
      </c>
    </row>
    <row r="230" spans="1:25" x14ac:dyDescent="0.35">
      <c r="A230">
        <v>2920</v>
      </c>
      <c r="B230">
        <v>23610</v>
      </c>
      <c r="C230" s="1">
        <v>43175</v>
      </c>
      <c r="D230" s="1"/>
      <c r="E230" s="1"/>
      <c r="F230" s="52"/>
      <c r="G230">
        <v>6.9</v>
      </c>
      <c r="H230">
        <v>4.8</v>
      </c>
      <c r="I230">
        <v>9.1</v>
      </c>
      <c r="J230">
        <f t="shared" si="20"/>
        <v>1656.9999999999998</v>
      </c>
      <c r="K230">
        <f t="shared" si="21"/>
        <v>127.00000000000001</v>
      </c>
      <c r="M230">
        <v>5</v>
      </c>
      <c r="N230">
        <v>0.6</v>
      </c>
      <c r="O230">
        <f t="shared" si="24"/>
        <v>4.4000000000000004</v>
      </c>
      <c r="Q230">
        <v>187</v>
      </c>
      <c r="R230">
        <f t="shared" si="27"/>
        <v>1.0642857142857143</v>
      </c>
      <c r="S230">
        <f t="shared" si="25"/>
        <v>0.63857142857142857</v>
      </c>
      <c r="T230">
        <f t="shared" si="26"/>
        <v>4.3614285714285712</v>
      </c>
      <c r="U230">
        <f t="shared" si="22"/>
        <v>197.4</v>
      </c>
      <c r="W230">
        <v>576.4</v>
      </c>
      <c r="X230">
        <f t="shared" si="23"/>
        <v>7452.0999999999995</v>
      </c>
      <c r="Y230">
        <v>11.640372559926252</v>
      </c>
    </row>
    <row r="231" spans="1:25" x14ac:dyDescent="0.35">
      <c r="A231">
        <v>2920</v>
      </c>
      <c r="B231">
        <v>23610</v>
      </c>
      <c r="C231" s="1">
        <v>43176</v>
      </c>
      <c r="D231" s="1"/>
      <c r="E231" s="1"/>
      <c r="F231" s="52"/>
      <c r="G231">
        <v>5.2</v>
      </c>
      <c r="H231">
        <v>2.7</v>
      </c>
      <c r="I231">
        <v>9.4</v>
      </c>
      <c r="J231">
        <f t="shared" si="20"/>
        <v>1662.1999999999998</v>
      </c>
      <c r="K231">
        <f t="shared" si="21"/>
        <v>132.20000000000002</v>
      </c>
      <c r="M231">
        <v>2.4</v>
      </c>
      <c r="N231">
        <v>0.8</v>
      </c>
      <c r="O231">
        <f t="shared" si="24"/>
        <v>1.5999999999999999</v>
      </c>
      <c r="Q231">
        <v>188</v>
      </c>
      <c r="R231">
        <f t="shared" si="27"/>
        <v>1.0685714285714285</v>
      </c>
      <c r="S231">
        <f t="shared" si="25"/>
        <v>0.85485714285714287</v>
      </c>
      <c r="T231">
        <f t="shared" si="26"/>
        <v>1.5451428571428569</v>
      </c>
      <c r="U231">
        <f t="shared" si="22"/>
        <v>197.4</v>
      </c>
      <c r="W231">
        <v>444.3</v>
      </c>
      <c r="X231">
        <f t="shared" si="23"/>
        <v>7896.4</v>
      </c>
      <c r="Y231">
        <v>11.700235589667285</v>
      </c>
    </row>
    <row r="232" spans="1:25" x14ac:dyDescent="0.35">
      <c r="A232">
        <v>2920</v>
      </c>
      <c r="B232">
        <v>23610</v>
      </c>
      <c r="C232" s="1">
        <v>43177</v>
      </c>
      <c r="D232" s="1"/>
      <c r="E232" s="1"/>
      <c r="F232" s="52"/>
      <c r="G232">
        <v>3.7</v>
      </c>
      <c r="H232">
        <v>1.9</v>
      </c>
      <c r="I232">
        <v>6</v>
      </c>
      <c r="J232">
        <f t="shared" si="20"/>
        <v>1665.8999999999999</v>
      </c>
      <c r="K232">
        <f t="shared" si="21"/>
        <v>135.9</v>
      </c>
      <c r="M232">
        <v>3.2</v>
      </c>
      <c r="N232">
        <v>0.6</v>
      </c>
      <c r="O232">
        <f t="shared" si="24"/>
        <v>2.6</v>
      </c>
      <c r="Q232">
        <v>189</v>
      </c>
      <c r="R232">
        <f t="shared" si="27"/>
        <v>1.0728571428571427</v>
      </c>
      <c r="S232">
        <f t="shared" si="25"/>
        <v>0.64371428571428557</v>
      </c>
      <c r="T232">
        <f t="shared" si="26"/>
        <v>2.5562857142857145</v>
      </c>
      <c r="U232">
        <f t="shared" si="22"/>
        <v>197.4</v>
      </c>
      <c r="W232">
        <v>419.1</v>
      </c>
      <c r="X232">
        <f t="shared" si="23"/>
        <v>8315.5</v>
      </c>
      <c r="Y232">
        <v>11.7601395527719</v>
      </c>
    </row>
    <row r="233" spans="1:25" x14ac:dyDescent="0.35">
      <c r="A233">
        <v>2920</v>
      </c>
      <c r="B233">
        <v>23610</v>
      </c>
      <c r="C233" s="1">
        <v>43178</v>
      </c>
      <c r="D233" s="1"/>
      <c r="E233" s="1"/>
      <c r="F233" s="52"/>
      <c r="G233">
        <v>0.8</v>
      </c>
      <c r="H233">
        <v>-1.9</v>
      </c>
      <c r="I233">
        <v>3.4</v>
      </c>
      <c r="J233">
        <f t="shared" si="20"/>
        <v>1666.6999999999998</v>
      </c>
      <c r="K233">
        <f t="shared" si="21"/>
        <v>136.70000000000002</v>
      </c>
      <c r="M233">
        <v>0.3</v>
      </c>
      <c r="N233">
        <v>0.6</v>
      </c>
      <c r="O233">
        <f t="shared" si="24"/>
        <v>-0.3</v>
      </c>
      <c r="Q233">
        <v>190</v>
      </c>
      <c r="R233">
        <f t="shared" si="27"/>
        <v>1.0771428571428572</v>
      </c>
      <c r="S233">
        <f t="shared" si="25"/>
        <v>0.64628571428571424</v>
      </c>
      <c r="T233">
        <f t="shared" si="26"/>
        <v>-0.34628571428571425</v>
      </c>
      <c r="U233">
        <f t="shared" si="22"/>
        <v>197.05371428571428</v>
      </c>
      <c r="W233">
        <v>432</v>
      </c>
      <c r="X233">
        <f t="shared" si="23"/>
        <v>8747.5</v>
      </c>
      <c r="Y233">
        <v>11.820076171187441</v>
      </c>
    </row>
    <row r="234" spans="1:25" x14ac:dyDescent="0.35">
      <c r="A234">
        <v>2920</v>
      </c>
      <c r="B234">
        <v>23610</v>
      </c>
      <c r="C234" s="1">
        <v>43179</v>
      </c>
      <c r="D234" s="1"/>
      <c r="E234" s="1"/>
      <c r="F234" s="52"/>
      <c r="G234">
        <v>3.3</v>
      </c>
      <c r="H234">
        <v>-0.4</v>
      </c>
      <c r="I234">
        <v>7.5</v>
      </c>
      <c r="J234">
        <f t="shared" si="20"/>
        <v>1669.9999999999998</v>
      </c>
      <c r="K234">
        <f t="shared" si="21"/>
        <v>140.00000000000003</v>
      </c>
      <c r="M234">
        <v>0.2</v>
      </c>
      <c r="N234">
        <v>1.3</v>
      </c>
      <c r="O234">
        <f t="shared" si="24"/>
        <v>-1.1000000000000001</v>
      </c>
      <c r="Q234">
        <v>191</v>
      </c>
      <c r="R234">
        <f t="shared" si="27"/>
        <v>1.0814285714285714</v>
      </c>
      <c r="S234">
        <f t="shared" si="25"/>
        <v>1.4058571428571429</v>
      </c>
      <c r="T234">
        <f t="shared" si="26"/>
        <v>-1.205857142857143</v>
      </c>
      <c r="U234">
        <f t="shared" si="22"/>
        <v>195.84785714285712</v>
      </c>
      <c r="W234">
        <v>1062.5</v>
      </c>
      <c r="X234">
        <f t="shared" si="23"/>
        <v>9810</v>
      </c>
      <c r="Y234">
        <v>11.880037227753965</v>
      </c>
    </row>
    <row r="235" spans="1:25" x14ac:dyDescent="0.35">
      <c r="A235">
        <v>2920</v>
      </c>
      <c r="B235">
        <v>23610</v>
      </c>
      <c r="C235" s="1">
        <v>43180</v>
      </c>
      <c r="D235" s="1"/>
      <c r="E235" s="1"/>
      <c r="F235" s="52"/>
      <c r="G235">
        <v>4</v>
      </c>
      <c r="H235">
        <v>0.7</v>
      </c>
      <c r="I235">
        <v>7.5</v>
      </c>
      <c r="J235">
        <f t="shared" si="20"/>
        <v>1673.9999999999998</v>
      </c>
      <c r="K235">
        <f t="shared" si="21"/>
        <v>144.00000000000003</v>
      </c>
      <c r="M235">
        <v>0</v>
      </c>
      <c r="N235">
        <v>0.9</v>
      </c>
      <c r="O235">
        <f t="shared" si="24"/>
        <v>-0.9</v>
      </c>
      <c r="Q235">
        <v>192</v>
      </c>
      <c r="R235">
        <f t="shared" si="27"/>
        <v>1.0857142857142856</v>
      </c>
      <c r="S235">
        <f t="shared" si="25"/>
        <v>0.97714285714285709</v>
      </c>
      <c r="T235">
        <f t="shared" si="26"/>
        <v>-0.97714285714285709</v>
      </c>
      <c r="U235">
        <f t="shared" si="22"/>
        <v>194.87071428571426</v>
      </c>
      <c r="W235">
        <v>650.4</v>
      </c>
      <c r="X235">
        <f t="shared" si="23"/>
        <v>10460.4</v>
      </c>
      <c r="Y235">
        <v>11.940014551015169</v>
      </c>
    </row>
    <row r="236" spans="1:25" x14ac:dyDescent="0.35">
      <c r="A236">
        <v>2920</v>
      </c>
      <c r="B236">
        <v>23610</v>
      </c>
      <c r="C236" s="1">
        <v>43181</v>
      </c>
      <c r="D236" s="1"/>
      <c r="E236" s="1"/>
      <c r="F236" s="52"/>
      <c r="G236">
        <v>5.4</v>
      </c>
      <c r="H236">
        <v>0.4</v>
      </c>
      <c r="I236">
        <v>7.7</v>
      </c>
      <c r="J236">
        <f t="shared" si="20"/>
        <v>1679.3999999999999</v>
      </c>
      <c r="K236">
        <f t="shared" si="21"/>
        <v>149.40000000000003</v>
      </c>
      <c r="M236">
        <v>1.1000000000000001</v>
      </c>
      <c r="N236">
        <v>0.8</v>
      </c>
      <c r="O236">
        <f t="shared" si="24"/>
        <v>0.30000000000000004</v>
      </c>
      <c r="Q236">
        <v>193</v>
      </c>
      <c r="R236">
        <f t="shared" si="27"/>
        <v>1.0899999999999999</v>
      </c>
      <c r="S236">
        <f t="shared" si="25"/>
        <v>0.87199999999999989</v>
      </c>
      <c r="T236">
        <f t="shared" si="26"/>
        <v>0.2280000000000002</v>
      </c>
      <c r="U236">
        <f t="shared" si="22"/>
        <v>195.09871428571427</v>
      </c>
      <c r="W236">
        <v>308</v>
      </c>
      <c r="X236">
        <f t="shared" si="23"/>
        <v>10768.4</v>
      </c>
      <c r="Y236">
        <v>12</v>
      </c>
    </row>
    <row r="237" spans="1:25" x14ac:dyDescent="0.35">
      <c r="A237">
        <v>2920</v>
      </c>
      <c r="B237">
        <v>23610</v>
      </c>
      <c r="C237" s="1">
        <v>43182</v>
      </c>
      <c r="D237" s="1"/>
      <c r="E237" s="1"/>
      <c r="F237" s="52"/>
      <c r="G237">
        <v>8.9</v>
      </c>
      <c r="H237">
        <v>6.4</v>
      </c>
      <c r="I237">
        <v>11.9</v>
      </c>
      <c r="J237">
        <f t="shared" si="20"/>
        <v>1688.3</v>
      </c>
      <c r="K237">
        <f t="shared" si="21"/>
        <v>158.30000000000004</v>
      </c>
      <c r="M237">
        <v>1.2</v>
      </c>
      <c r="N237">
        <v>1.3</v>
      </c>
      <c r="O237">
        <f t="shared" si="24"/>
        <v>-0.10000000000000009</v>
      </c>
      <c r="Q237">
        <v>194</v>
      </c>
      <c r="R237">
        <f t="shared" si="27"/>
        <v>1.0942857142857143</v>
      </c>
      <c r="S237">
        <f t="shared" si="25"/>
        <v>1.4225714285714286</v>
      </c>
      <c r="T237">
        <f t="shared" si="26"/>
        <v>-0.22257142857142864</v>
      </c>
      <c r="U237">
        <f t="shared" si="22"/>
        <v>194.87614285714284</v>
      </c>
      <c r="W237">
        <v>680.9</v>
      </c>
      <c r="X237">
        <f t="shared" si="23"/>
        <v>11449.3</v>
      </c>
      <c r="Y237">
        <v>12.059985448984829</v>
      </c>
    </row>
    <row r="238" spans="1:25" x14ac:dyDescent="0.35">
      <c r="A238">
        <v>2920</v>
      </c>
      <c r="B238">
        <v>23610</v>
      </c>
      <c r="C238" s="1">
        <v>43183</v>
      </c>
      <c r="D238" s="1"/>
      <c r="E238" s="1"/>
      <c r="F238" s="52"/>
      <c r="G238">
        <v>8</v>
      </c>
      <c r="H238">
        <v>6.3</v>
      </c>
      <c r="I238">
        <v>9.3000000000000007</v>
      </c>
      <c r="J238">
        <f t="shared" ref="J238:J301" si="28">J237+G238</f>
        <v>1696.3</v>
      </c>
      <c r="K238">
        <f t="shared" ref="K238:K301" si="29">K237+G238</f>
        <v>166.30000000000004</v>
      </c>
      <c r="M238">
        <v>5.2</v>
      </c>
      <c r="N238">
        <v>0.4</v>
      </c>
      <c r="O238">
        <f t="shared" si="24"/>
        <v>4.8</v>
      </c>
      <c r="Q238">
        <v>195</v>
      </c>
      <c r="R238">
        <f t="shared" si="27"/>
        <v>1.0985714285714285</v>
      </c>
      <c r="S238">
        <f t="shared" si="25"/>
        <v>0.43942857142857145</v>
      </c>
      <c r="T238">
        <f t="shared" si="26"/>
        <v>4.7605714285714287</v>
      </c>
      <c r="U238">
        <f t="shared" ref="U238:U301" si="30">MIN(U237+T238,197.4)</f>
        <v>197.4</v>
      </c>
      <c r="W238">
        <v>266.8</v>
      </c>
      <c r="X238">
        <f t="shared" ref="X238:X301" si="31">X237+W238</f>
        <v>11716.099999999999</v>
      </c>
      <c r="Y238">
        <v>12.119962772246035</v>
      </c>
    </row>
    <row r="239" spans="1:25" x14ac:dyDescent="0.35">
      <c r="A239">
        <v>2920</v>
      </c>
      <c r="B239">
        <v>23610</v>
      </c>
      <c r="C239" s="1">
        <v>43184</v>
      </c>
      <c r="D239" s="1"/>
      <c r="E239" s="1"/>
      <c r="F239" s="52"/>
      <c r="G239">
        <v>8.9</v>
      </c>
      <c r="H239">
        <v>7.8</v>
      </c>
      <c r="I239">
        <v>10.8</v>
      </c>
      <c r="J239">
        <f t="shared" si="28"/>
        <v>1705.2</v>
      </c>
      <c r="K239">
        <f t="shared" si="29"/>
        <v>175.20000000000005</v>
      </c>
      <c r="M239">
        <v>0.5</v>
      </c>
      <c r="N239">
        <v>1</v>
      </c>
      <c r="O239">
        <f t="shared" si="24"/>
        <v>-0.5</v>
      </c>
      <c r="Q239">
        <v>196</v>
      </c>
      <c r="R239">
        <f t="shared" si="27"/>
        <v>1.1028571428571428</v>
      </c>
      <c r="S239">
        <f t="shared" si="25"/>
        <v>1.1028571428571428</v>
      </c>
      <c r="T239">
        <f t="shared" si="26"/>
        <v>-0.60285714285714276</v>
      </c>
      <c r="U239">
        <f t="shared" si="30"/>
        <v>196.79714285714286</v>
      </c>
      <c r="W239">
        <v>649.79999999999995</v>
      </c>
      <c r="X239">
        <f t="shared" si="31"/>
        <v>12365.899999999998</v>
      </c>
      <c r="Y239">
        <v>12.179923828812557</v>
      </c>
    </row>
    <row r="240" spans="1:25" x14ac:dyDescent="0.35">
      <c r="A240">
        <v>2920</v>
      </c>
      <c r="B240">
        <v>23610</v>
      </c>
      <c r="C240" s="1">
        <v>43185</v>
      </c>
      <c r="D240" s="1"/>
      <c r="E240" s="1"/>
      <c r="F240" s="52"/>
      <c r="G240">
        <v>8.9</v>
      </c>
      <c r="H240">
        <v>5.4</v>
      </c>
      <c r="I240">
        <v>11.7</v>
      </c>
      <c r="J240">
        <f t="shared" si="28"/>
        <v>1714.1000000000001</v>
      </c>
      <c r="K240">
        <f t="shared" si="29"/>
        <v>184.10000000000005</v>
      </c>
      <c r="M240">
        <v>3.1</v>
      </c>
      <c r="N240">
        <v>1.6</v>
      </c>
      <c r="O240">
        <f t="shared" si="24"/>
        <v>1.5</v>
      </c>
      <c r="Q240">
        <v>197</v>
      </c>
      <c r="R240">
        <f t="shared" si="27"/>
        <v>1.107142857142857</v>
      </c>
      <c r="S240">
        <f t="shared" si="25"/>
        <v>1.7714285714285714</v>
      </c>
      <c r="T240">
        <f t="shared" si="26"/>
        <v>1.3285714285714287</v>
      </c>
      <c r="U240">
        <f t="shared" si="30"/>
        <v>197.4</v>
      </c>
      <c r="W240">
        <v>1320.9</v>
      </c>
      <c r="X240">
        <f t="shared" si="31"/>
        <v>13686.799999999997</v>
      </c>
      <c r="Y240">
        <v>12.2398604472281</v>
      </c>
    </row>
    <row r="241" spans="1:26" x14ac:dyDescent="0.35">
      <c r="A241">
        <v>2920</v>
      </c>
      <c r="B241">
        <v>23610</v>
      </c>
      <c r="C241" s="1">
        <v>43186</v>
      </c>
      <c r="D241" s="1"/>
      <c r="E241" s="1"/>
      <c r="F241" s="52"/>
      <c r="G241">
        <v>11.5</v>
      </c>
      <c r="H241">
        <v>7.7</v>
      </c>
      <c r="I241">
        <v>14.2</v>
      </c>
      <c r="J241">
        <f t="shared" si="28"/>
        <v>1725.6000000000001</v>
      </c>
      <c r="K241">
        <f t="shared" si="29"/>
        <v>195.60000000000005</v>
      </c>
      <c r="M241">
        <v>3</v>
      </c>
      <c r="N241">
        <v>0.8</v>
      </c>
      <c r="O241">
        <f t="shared" si="24"/>
        <v>2.2000000000000002</v>
      </c>
      <c r="Q241">
        <v>198</v>
      </c>
      <c r="R241">
        <f t="shared" si="27"/>
        <v>1.1114285714285714</v>
      </c>
      <c r="S241">
        <f t="shared" si="25"/>
        <v>0.88914285714285723</v>
      </c>
      <c r="T241">
        <f t="shared" si="26"/>
        <v>2.1108571428571428</v>
      </c>
      <c r="U241">
        <f t="shared" si="30"/>
        <v>197.4</v>
      </c>
      <c r="W241">
        <v>327.3</v>
      </c>
      <c r="X241">
        <f t="shared" si="31"/>
        <v>14014.099999999997</v>
      </c>
      <c r="Y241">
        <v>12.299764410332713</v>
      </c>
    </row>
    <row r="242" spans="1:26" x14ac:dyDescent="0.35">
      <c r="A242">
        <v>2920</v>
      </c>
      <c r="B242">
        <v>23610</v>
      </c>
      <c r="C242" s="1">
        <v>43187</v>
      </c>
      <c r="D242" s="1"/>
      <c r="E242" s="1"/>
      <c r="F242" s="52"/>
      <c r="G242">
        <v>9.1999999999999993</v>
      </c>
      <c r="H242">
        <v>8.6999999999999993</v>
      </c>
      <c r="I242">
        <v>11.1</v>
      </c>
      <c r="J242">
        <f t="shared" si="28"/>
        <v>1734.8000000000002</v>
      </c>
      <c r="K242">
        <f t="shared" si="29"/>
        <v>204.80000000000004</v>
      </c>
      <c r="M242">
        <v>3.5</v>
      </c>
      <c r="N242">
        <v>1</v>
      </c>
      <c r="O242">
        <f t="shared" si="24"/>
        <v>2.5</v>
      </c>
      <c r="Q242">
        <v>199</v>
      </c>
      <c r="R242">
        <f t="shared" si="27"/>
        <v>1.1157142857142857</v>
      </c>
      <c r="S242">
        <f t="shared" si="25"/>
        <v>1.1157142857142857</v>
      </c>
      <c r="T242">
        <f t="shared" si="26"/>
        <v>2.3842857142857143</v>
      </c>
      <c r="U242">
        <f t="shared" si="30"/>
        <v>197.4</v>
      </c>
      <c r="W242">
        <v>527.1</v>
      </c>
      <c r="X242">
        <f t="shared" si="31"/>
        <v>14541.199999999997</v>
      </c>
      <c r="Y242">
        <v>12.359627440073748</v>
      </c>
    </row>
    <row r="243" spans="1:26" x14ac:dyDescent="0.35">
      <c r="A243">
        <v>2920</v>
      </c>
      <c r="B243">
        <v>23610</v>
      </c>
      <c r="C243" s="1">
        <v>43188</v>
      </c>
      <c r="D243" s="1"/>
      <c r="E243" s="1"/>
      <c r="F243" s="52"/>
      <c r="G243">
        <v>6.3</v>
      </c>
      <c r="H243">
        <v>4</v>
      </c>
      <c r="I243">
        <v>8.5</v>
      </c>
      <c r="J243">
        <f t="shared" si="28"/>
        <v>1741.1000000000001</v>
      </c>
      <c r="K243">
        <f t="shared" si="29"/>
        <v>211.10000000000005</v>
      </c>
      <c r="M243">
        <v>16.8</v>
      </c>
      <c r="N243">
        <v>0.6</v>
      </c>
      <c r="O243">
        <f t="shared" si="24"/>
        <v>16.2</v>
      </c>
      <c r="Q243">
        <v>200</v>
      </c>
      <c r="R243">
        <f t="shared" si="27"/>
        <v>1.1199999999999999</v>
      </c>
      <c r="S243">
        <f t="shared" si="25"/>
        <v>0.67199999999999993</v>
      </c>
      <c r="T243">
        <f t="shared" si="26"/>
        <v>16.128</v>
      </c>
      <c r="U243">
        <f t="shared" si="30"/>
        <v>197.4</v>
      </c>
      <c r="W243">
        <v>585.1</v>
      </c>
      <c r="X243">
        <f t="shared" si="31"/>
        <v>15126.299999999997</v>
      </c>
      <c r="Y243">
        <v>12.419441182356485</v>
      </c>
    </row>
    <row r="244" spans="1:26" x14ac:dyDescent="0.35">
      <c r="A244">
        <v>2920</v>
      </c>
      <c r="B244">
        <v>23610</v>
      </c>
      <c r="C244" s="1">
        <v>43189</v>
      </c>
      <c r="D244" s="1"/>
      <c r="E244" s="1"/>
      <c r="F244" s="52"/>
      <c r="G244">
        <v>6.6</v>
      </c>
      <c r="H244">
        <v>5</v>
      </c>
      <c r="I244">
        <v>9.5</v>
      </c>
      <c r="J244">
        <f t="shared" si="28"/>
        <v>1747.7</v>
      </c>
      <c r="K244">
        <f t="shared" si="29"/>
        <v>217.70000000000005</v>
      </c>
      <c r="M244">
        <v>2.9</v>
      </c>
      <c r="N244">
        <v>1.4</v>
      </c>
      <c r="O244">
        <f t="shared" si="24"/>
        <v>1.5</v>
      </c>
      <c r="Q244">
        <v>201</v>
      </c>
      <c r="R244">
        <f t="shared" si="27"/>
        <v>1.1242857142857141</v>
      </c>
      <c r="S244">
        <f t="shared" si="25"/>
        <v>1.5739999999999996</v>
      </c>
      <c r="T244">
        <f t="shared" si="26"/>
        <v>1.3260000000000003</v>
      </c>
      <c r="U244">
        <f t="shared" si="30"/>
        <v>197.4</v>
      </c>
      <c r="W244">
        <v>1010.1</v>
      </c>
      <c r="X244">
        <f t="shared" si="31"/>
        <v>16136.399999999998</v>
      </c>
      <c r="Y244">
        <v>12.47919719194522</v>
      </c>
    </row>
    <row r="245" spans="1:26" x14ac:dyDescent="0.35">
      <c r="A245">
        <v>2920</v>
      </c>
      <c r="B245">
        <v>23610</v>
      </c>
      <c r="C245" s="1">
        <v>43190</v>
      </c>
      <c r="D245" s="1"/>
      <c r="E245" s="1"/>
      <c r="F245" s="52"/>
      <c r="G245">
        <v>5.9</v>
      </c>
      <c r="H245">
        <v>2.4</v>
      </c>
      <c r="I245">
        <v>8.1</v>
      </c>
      <c r="J245">
        <f t="shared" si="28"/>
        <v>1753.6000000000001</v>
      </c>
      <c r="K245">
        <f t="shared" si="29"/>
        <v>223.60000000000005</v>
      </c>
      <c r="M245">
        <v>2.1</v>
      </c>
      <c r="N245">
        <v>0.7</v>
      </c>
      <c r="O245">
        <f t="shared" si="24"/>
        <v>1.4000000000000001</v>
      </c>
      <c r="Q245">
        <v>202</v>
      </c>
      <c r="R245">
        <f t="shared" si="27"/>
        <v>1.1285714285714286</v>
      </c>
      <c r="S245">
        <f t="shared" si="25"/>
        <v>0.78999999999999992</v>
      </c>
      <c r="T245">
        <f t="shared" si="26"/>
        <v>1.31</v>
      </c>
      <c r="U245">
        <f t="shared" si="30"/>
        <v>197.4</v>
      </c>
      <c r="W245">
        <v>519.70000000000005</v>
      </c>
      <c r="X245">
        <f t="shared" si="31"/>
        <v>16656.099999999999</v>
      </c>
      <c r="Y245">
        <v>12.538886917426161</v>
      </c>
    </row>
    <row r="246" spans="1:26" x14ac:dyDescent="0.35">
      <c r="A246">
        <v>2920</v>
      </c>
      <c r="B246">
        <v>23610</v>
      </c>
      <c r="C246" s="1">
        <v>43191</v>
      </c>
      <c r="D246" s="1"/>
      <c r="E246" s="1"/>
      <c r="F246" s="52"/>
      <c r="G246">
        <v>7</v>
      </c>
      <c r="H246">
        <v>1.9</v>
      </c>
      <c r="I246">
        <v>10.3</v>
      </c>
      <c r="J246">
        <f t="shared" si="28"/>
        <v>1760.6000000000001</v>
      </c>
      <c r="K246">
        <f t="shared" si="29"/>
        <v>230.60000000000005</v>
      </c>
      <c r="M246">
        <v>3.7</v>
      </c>
      <c r="N246">
        <v>0.8</v>
      </c>
      <c r="O246">
        <f t="shared" si="24"/>
        <v>2.9000000000000004</v>
      </c>
      <c r="Q246">
        <v>203</v>
      </c>
      <c r="R246">
        <f t="shared" si="27"/>
        <v>1.1328571428571428</v>
      </c>
      <c r="S246">
        <f t="shared" si="25"/>
        <v>0.90628571428571425</v>
      </c>
      <c r="T246">
        <f t="shared" si="26"/>
        <v>2.793714285714286</v>
      </c>
      <c r="U246">
        <f t="shared" si="30"/>
        <v>197.4</v>
      </c>
      <c r="W246">
        <v>711.1</v>
      </c>
      <c r="X246">
        <f t="shared" si="31"/>
        <v>17367.199999999997</v>
      </c>
      <c r="Y246">
        <v>12.598501686244129</v>
      </c>
    </row>
    <row r="247" spans="1:26" ht="15" thickBot="1" x14ac:dyDescent="0.4">
      <c r="A247">
        <v>2920</v>
      </c>
      <c r="B247">
        <v>23610</v>
      </c>
      <c r="C247" s="1">
        <v>43192</v>
      </c>
      <c r="D247" s="1"/>
      <c r="E247" s="1"/>
      <c r="F247" s="52"/>
      <c r="G247">
        <v>11.1</v>
      </c>
      <c r="H247">
        <v>8.1999999999999993</v>
      </c>
      <c r="I247">
        <v>14</v>
      </c>
      <c r="J247">
        <f t="shared" si="28"/>
        <v>1771.7</v>
      </c>
      <c r="K247">
        <f t="shared" si="29"/>
        <v>241.70000000000005</v>
      </c>
      <c r="M247">
        <v>1.5</v>
      </c>
      <c r="N247">
        <v>1.9</v>
      </c>
      <c r="O247">
        <f t="shared" si="24"/>
        <v>-0.39999999999999991</v>
      </c>
      <c r="Q247">
        <v>204</v>
      </c>
      <c r="R247">
        <f t="shared" si="27"/>
        <v>1.137142857142857</v>
      </c>
      <c r="S247">
        <f t="shared" si="25"/>
        <v>2.1605714285714281</v>
      </c>
      <c r="T247">
        <f t="shared" si="26"/>
        <v>-0.66057142857142814</v>
      </c>
      <c r="U247">
        <f t="shared" si="30"/>
        <v>196.73942857142859</v>
      </c>
      <c r="W247">
        <v>1438.9</v>
      </c>
      <c r="X247">
        <f t="shared" si="31"/>
        <v>18806.099999999999</v>
      </c>
      <c r="Y247" s="4">
        <v>12.658032689825911</v>
      </c>
    </row>
    <row r="248" spans="1:26" x14ac:dyDescent="0.35">
      <c r="A248">
        <v>2920</v>
      </c>
      <c r="B248">
        <v>23610</v>
      </c>
      <c r="C248" s="1">
        <v>43193</v>
      </c>
      <c r="D248" s="1"/>
      <c r="E248" s="1"/>
      <c r="F248" s="52"/>
      <c r="G248">
        <v>10.7</v>
      </c>
      <c r="H248">
        <v>10.4</v>
      </c>
      <c r="I248">
        <v>12</v>
      </c>
      <c r="J248">
        <f t="shared" si="28"/>
        <v>1782.4</v>
      </c>
      <c r="K248">
        <f t="shared" si="29"/>
        <v>252.40000000000003</v>
      </c>
      <c r="M248">
        <v>3.2</v>
      </c>
      <c r="N248">
        <v>1</v>
      </c>
      <c r="O248">
        <f t="shared" si="24"/>
        <v>2.2000000000000002</v>
      </c>
      <c r="Q248">
        <v>205</v>
      </c>
      <c r="R248">
        <f t="shared" si="27"/>
        <v>1.1414285714285715</v>
      </c>
      <c r="S248">
        <f t="shared" si="25"/>
        <v>1.1414285714285715</v>
      </c>
      <c r="T248">
        <f t="shared" si="26"/>
        <v>2.0585714285714287</v>
      </c>
      <c r="U248">
        <f t="shared" si="30"/>
        <v>197.4</v>
      </c>
      <c r="W248">
        <v>512.79999999999995</v>
      </c>
      <c r="X248">
        <f t="shared" si="31"/>
        <v>19318.899999999998</v>
      </c>
      <c r="Y248">
        <v>12.717470968803998</v>
      </c>
    </row>
    <row r="249" spans="1:26" x14ac:dyDescent="0.35">
      <c r="A249">
        <v>2920</v>
      </c>
      <c r="B249">
        <v>23610</v>
      </c>
      <c r="C249" s="1">
        <v>43194</v>
      </c>
      <c r="D249" s="1"/>
      <c r="E249" s="1"/>
      <c r="F249" s="52"/>
      <c r="G249">
        <v>9.9</v>
      </c>
      <c r="H249">
        <v>9</v>
      </c>
      <c r="I249">
        <v>11.2</v>
      </c>
      <c r="J249">
        <f t="shared" si="28"/>
        <v>1792.3000000000002</v>
      </c>
      <c r="K249">
        <f t="shared" si="29"/>
        <v>262.3</v>
      </c>
      <c r="M249">
        <v>4.0999999999999996</v>
      </c>
      <c r="N249">
        <v>1.3</v>
      </c>
      <c r="O249">
        <f t="shared" si="24"/>
        <v>2.8</v>
      </c>
      <c r="Q249">
        <v>206</v>
      </c>
      <c r="R249">
        <f t="shared" si="27"/>
        <v>1.1457142857142857</v>
      </c>
      <c r="S249">
        <f t="shared" si="25"/>
        <v>1.4894285714285715</v>
      </c>
      <c r="T249">
        <f t="shared" si="26"/>
        <v>2.6105714285714283</v>
      </c>
      <c r="U249">
        <f t="shared" si="30"/>
        <v>197.4</v>
      </c>
      <c r="W249">
        <v>524.5</v>
      </c>
      <c r="X249">
        <f t="shared" si="31"/>
        <v>19843.399999999998</v>
      </c>
      <c r="Y249">
        <v>12.776807398355439</v>
      </c>
    </row>
    <row r="250" spans="1:26" s="4" customFormat="1" ht="15" thickBot="1" x14ac:dyDescent="0.4">
      <c r="A250" s="4">
        <v>2920</v>
      </c>
      <c r="B250" s="4">
        <v>23610</v>
      </c>
      <c r="C250" s="5">
        <v>43195</v>
      </c>
      <c r="D250" s="5"/>
      <c r="E250" s="5"/>
      <c r="F250" s="53"/>
      <c r="G250" s="4">
        <v>9.3000000000000007</v>
      </c>
      <c r="H250" s="4">
        <v>5.5</v>
      </c>
      <c r="I250" s="4">
        <v>12.3</v>
      </c>
      <c r="J250" s="4">
        <f t="shared" si="28"/>
        <v>1801.6000000000001</v>
      </c>
      <c r="K250" s="4">
        <f t="shared" si="29"/>
        <v>271.60000000000002</v>
      </c>
      <c r="M250" s="4">
        <v>0</v>
      </c>
      <c r="N250" s="4">
        <v>1.5</v>
      </c>
      <c r="O250" s="4">
        <f t="shared" si="24"/>
        <v>-1.5</v>
      </c>
      <c r="Q250" s="4">
        <v>207</v>
      </c>
      <c r="R250" s="4">
        <f t="shared" si="27"/>
        <v>1.1499999999999999</v>
      </c>
      <c r="S250" s="4">
        <f t="shared" si="25"/>
        <v>1.7249999999999999</v>
      </c>
      <c r="T250" s="4">
        <f t="shared" si="26"/>
        <v>-1.7249999999999999</v>
      </c>
      <c r="U250" s="4">
        <f t="shared" si="30"/>
        <v>195.67500000000001</v>
      </c>
      <c r="W250" s="4">
        <v>987.9</v>
      </c>
      <c r="X250" s="4">
        <f t="shared" si="31"/>
        <v>20831.3</v>
      </c>
      <c r="Y250" s="4">
        <v>12.836032673671708</v>
      </c>
    </row>
    <row r="251" spans="1:26" x14ac:dyDescent="0.35">
      <c r="A251">
        <v>2920</v>
      </c>
      <c r="B251">
        <v>23610</v>
      </c>
      <c r="C251" s="1">
        <v>43196</v>
      </c>
      <c r="D251" s="1" t="s">
        <v>33</v>
      </c>
      <c r="E251" s="1"/>
      <c r="F251" s="31" t="s">
        <v>57</v>
      </c>
      <c r="G251">
        <v>12.8</v>
      </c>
      <c r="H251">
        <v>6.3</v>
      </c>
      <c r="I251">
        <v>17.899999999999999</v>
      </c>
      <c r="J251">
        <f t="shared" si="28"/>
        <v>1814.4</v>
      </c>
      <c r="K251">
        <f>G251</f>
        <v>12.8</v>
      </c>
      <c r="L251" s="17" t="s">
        <v>38</v>
      </c>
      <c r="M251">
        <v>0</v>
      </c>
      <c r="N251">
        <v>3.1</v>
      </c>
      <c r="O251">
        <f t="shared" si="24"/>
        <v>-3.1</v>
      </c>
      <c r="Q251">
        <v>208</v>
      </c>
      <c r="R251">
        <v>1.1499999999999999</v>
      </c>
      <c r="S251">
        <f t="shared" si="25"/>
        <v>3.5649999999999999</v>
      </c>
      <c r="T251">
        <f t="shared" si="26"/>
        <v>-3.5649999999999999</v>
      </c>
      <c r="U251">
        <f t="shared" si="30"/>
        <v>192.11</v>
      </c>
      <c r="V251" s="18" t="s">
        <v>45</v>
      </c>
      <c r="W251">
        <v>2123.4</v>
      </c>
      <c r="X251">
        <f>W251</f>
        <v>2123.4</v>
      </c>
      <c r="Y251">
        <v>12.895137295576747</v>
      </c>
      <c r="Z251" s="18" t="s">
        <v>50</v>
      </c>
    </row>
    <row r="252" spans="1:26" x14ac:dyDescent="0.35">
      <c r="A252">
        <v>2920</v>
      </c>
      <c r="B252">
        <v>23610</v>
      </c>
      <c r="C252" s="1">
        <v>43197</v>
      </c>
      <c r="D252" s="1"/>
      <c r="E252" s="1"/>
      <c r="F252" s="32"/>
      <c r="G252">
        <v>12.4</v>
      </c>
      <c r="H252">
        <v>11.4</v>
      </c>
      <c r="I252">
        <v>14.1</v>
      </c>
      <c r="J252">
        <f t="shared" si="28"/>
        <v>1826.8000000000002</v>
      </c>
      <c r="K252">
        <f t="shared" si="29"/>
        <v>25.200000000000003</v>
      </c>
      <c r="L252" s="8">
        <v>278.3</v>
      </c>
      <c r="M252">
        <v>8.1</v>
      </c>
      <c r="N252">
        <v>0.9</v>
      </c>
      <c r="O252">
        <f t="shared" si="24"/>
        <v>7.1999999999999993</v>
      </c>
      <c r="Q252">
        <v>209</v>
      </c>
      <c r="R252">
        <v>1.1499999999999999</v>
      </c>
      <c r="S252">
        <f t="shared" si="25"/>
        <v>1.0349999999999999</v>
      </c>
      <c r="T252">
        <f t="shared" si="26"/>
        <v>7.0649999999999995</v>
      </c>
      <c r="U252">
        <f t="shared" si="30"/>
        <v>197.4</v>
      </c>
      <c r="V252">
        <v>0</v>
      </c>
      <c r="W252">
        <v>377</v>
      </c>
      <c r="X252">
        <f t="shared" si="31"/>
        <v>2500.4</v>
      </c>
      <c r="Y252">
        <v>12.954111556311608</v>
      </c>
      <c r="Z252">
        <v>29248.400000000001</v>
      </c>
    </row>
    <row r="253" spans="1:26" x14ac:dyDescent="0.35">
      <c r="A253">
        <v>2920</v>
      </c>
      <c r="B253">
        <v>23610</v>
      </c>
      <c r="C253" s="1">
        <v>43198</v>
      </c>
      <c r="D253" s="1"/>
      <c r="E253" s="1"/>
      <c r="F253" s="32"/>
      <c r="G253">
        <v>10.1</v>
      </c>
      <c r="H253">
        <v>8.8000000000000007</v>
      </c>
      <c r="I253">
        <v>10.9</v>
      </c>
      <c r="J253">
        <f t="shared" si="28"/>
        <v>1836.9</v>
      </c>
      <c r="K253">
        <f t="shared" si="29"/>
        <v>35.300000000000004</v>
      </c>
      <c r="L253" s="17" t="s">
        <v>39</v>
      </c>
      <c r="M253">
        <v>3.4</v>
      </c>
      <c r="N253">
        <v>0.7</v>
      </c>
      <c r="O253">
        <f t="shared" si="24"/>
        <v>2.7</v>
      </c>
      <c r="Q253">
        <v>210</v>
      </c>
      <c r="R253">
        <v>1.1499999999999999</v>
      </c>
      <c r="S253">
        <f t="shared" si="25"/>
        <v>0.80499999999999994</v>
      </c>
      <c r="T253">
        <f t="shared" si="26"/>
        <v>2.5949999999999998</v>
      </c>
      <c r="U253">
        <f t="shared" si="30"/>
        <v>197.4</v>
      </c>
      <c r="V253" s="18" t="s">
        <v>46</v>
      </c>
      <c r="W253">
        <v>428.9</v>
      </c>
      <c r="X253">
        <f t="shared" si="31"/>
        <v>2929.3</v>
      </c>
      <c r="Y253">
        <v>13.012945525505742</v>
      </c>
      <c r="Z253" s="18" t="s">
        <v>51</v>
      </c>
    </row>
    <row r="254" spans="1:26" x14ac:dyDescent="0.35">
      <c r="A254">
        <v>2920</v>
      </c>
      <c r="B254">
        <v>23610</v>
      </c>
      <c r="C254" s="1">
        <v>43199</v>
      </c>
      <c r="D254" s="1"/>
      <c r="E254" s="1"/>
      <c r="F254" s="32"/>
      <c r="G254">
        <v>12</v>
      </c>
      <c r="H254">
        <v>10.3</v>
      </c>
      <c r="I254">
        <v>14.1</v>
      </c>
      <c r="J254">
        <f t="shared" si="28"/>
        <v>1848.9</v>
      </c>
      <c r="K254">
        <f t="shared" si="29"/>
        <v>47.300000000000004</v>
      </c>
      <c r="L254" s="9">
        <f>AVERAGE(G251:G271)</f>
        <v>13.25238095238095</v>
      </c>
      <c r="M254">
        <v>6.9</v>
      </c>
      <c r="N254">
        <v>0.7</v>
      </c>
      <c r="O254">
        <f t="shared" si="24"/>
        <v>6.2</v>
      </c>
      <c r="Q254">
        <v>211</v>
      </c>
      <c r="R254">
        <v>1.1499999999999999</v>
      </c>
      <c r="S254">
        <f t="shared" si="25"/>
        <v>0.80499999999999994</v>
      </c>
      <c r="T254">
        <f t="shared" si="26"/>
        <v>6.0950000000000006</v>
      </c>
      <c r="U254">
        <f t="shared" si="30"/>
        <v>197.4</v>
      </c>
      <c r="V254">
        <v>0</v>
      </c>
      <c r="W254">
        <v>446.1</v>
      </c>
      <c r="X254">
        <f t="shared" si="31"/>
        <v>3375.4</v>
      </c>
      <c r="Y254">
        <v>13.071629036356406</v>
      </c>
      <c r="Z254" s="11">
        <f>(Z252/100)/L252</f>
        <v>1.0509665828242905</v>
      </c>
    </row>
    <row r="255" spans="1:26" x14ac:dyDescent="0.35">
      <c r="A255">
        <v>2920</v>
      </c>
      <c r="B255">
        <v>23610</v>
      </c>
      <c r="C255" s="1">
        <v>43200</v>
      </c>
      <c r="D255" s="1"/>
      <c r="E255" s="1"/>
      <c r="F255" s="32"/>
      <c r="G255">
        <v>10.4</v>
      </c>
      <c r="H255">
        <v>8.3000000000000007</v>
      </c>
      <c r="I255">
        <v>13.3</v>
      </c>
      <c r="J255">
        <f t="shared" si="28"/>
        <v>1859.3000000000002</v>
      </c>
      <c r="K255">
        <f t="shared" si="29"/>
        <v>57.7</v>
      </c>
      <c r="L255" s="17" t="s">
        <v>40</v>
      </c>
      <c r="M255">
        <v>0.4</v>
      </c>
      <c r="N255">
        <v>1.4</v>
      </c>
      <c r="O255">
        <f t="shared" si="24"/>
        <v>-0.99999999999999989</v>
      </c>
      <c r="Q255">
        <v>212</v>
      </c>
      <c r="R255">
        <v>1.1499999999999999</v>
      </c>
      <c r="S255">
        <f t="shared" si="25"/>
        <v>1.6099999999999999</v>
      </c>
      <c r="T255">
        <f t="shared" si="26"/>
        <v>-1.21</v>
      </c>
      <c r="U255">
        <f t="shared" si="30"/>
        <v>196.19</v>
      </c>
      <c r="V255" s="18" t="s">
        <v>47</v>
      </c>
      <c r="W255">
        <v>908.4</v>
      </c>
      <c r="X255">
        <f t="shared" si="31"/>
        <v>4283.8</v>
      </c>
      <c r="Y255">
        <v>13.130151672039412</v>
      </c>
      <c r="Z255" s="18" t="s">
        <v>52</v>
      </c>
    </row>
    <row r="256" spans="1:26" x14ac:dyDescent="0.35">
      <c r="A256">
        <v>2920</v>
      </c>
      <c r="B256">
        <v>23610</v>
      </c>
      <c r="C256" s="1">
        <v>43201</v>
      </c>
      <c r="D256" s="1"/>
      <c r="E256" s="1"/>
      <c r="F256" s="32"/>
      <c r="G256">
        <v>10.9</v>
      </c>
      <c r="H256">
        <v>5.5</v>
      </c>
      <c r="I256">
        <v>14.6</v>
      </c>
      <c r="J256">
        <f t="shared" si="28"/>
        <v>1870.2000000000003</v>
      </c>
      <c r="K256">
        <f t="shared" si="29"/>
        <v>68.600000000000009</v>
      </c>
      <c r="L256" s="8">
        <f>MIN(H251:H271)</f>
        <v>5.5</v>
      </c>
      <c r="M256">
        <v>0</v>
      </c>
      <c r="N256">
        <v>1.4</v>
      </c>
      <c r="O256">
        <f t="shared" si="24"/>
        <v>-1.4</v>
      </c>
      <c r="Q256">
        <v>213</v>
      </c>
      <c r="R256">
        <v>1.1499999999999999</v>
      </c>
      <c r="S256">
        <f t="shared" si="25"/>
        <v>1.6099999999999999</v>
      </c>
      <c r="T256">
        <f t="shared" si="26"/>
        <v>-1.6099999999999999</v>
      </c>
      <c r="U256">
        <f t="shared" si="30"/>
        <v>194.57999999999998</v>
      </c>
      <c r="V256" s="11">
        <f>MIN(U251:U271)</f>
        <v>152.23499999999999</v>
      </c>
      <c r="W256">
        <v>1182.5</v>
      </c>
      <c r="X256">
        <f t="shared" si="31"/>
        <v>5466.3</v>
      </c>
      <c r="Y256">
        <v>13.188502752376252</v>
      </c>
      <c r="Z256">
        <v>5</v>
      </c>
    </row>
    <row r="257" spans="1:26" x14ac:dyDescent="0.35">
      <c r="A257">
        <v>2920</v>
      </c>
      <c r="B257">
        <v>23610</v>
      </c>
      <c r="C257" s="1">
        <v>43202</v>
      </c>
      <c r="D257" s="1"/>
      <c r="E257" s="1"/>
      <c r="F257" s="32"/>
      <c r="G257">
        <v>13.3</v>
      </c>
      <c r="H257">
        <v>10.199999999999999</v>
      </c>
      <c r="I257">
        <v>18.3</v>
      </c>
      <c r="J257">
        <f t="shared" si="28"/>
        <v>1883.5000000000002</v>
      </c>
      <c r="K257">
        <f t="shared" si="29"/>
        <v>81.900000000000006</v>
      </c>
      <c r="L257" s="17" t="s">
        <v>41</v>
      </c>
      <c r="M257">
        <v>0.1</v>
      </c>
      <c r="N257">
        <v>2.2999999999999998</v>
      </c>
      <c r="O257">
        <f t="shared" si="24"/>
        <v>-2.1999999999999997</v>
      </c>
      <c r="Q257">
        <v>214</v>
      </c>
      <c r="R257">
        <v>1.1499999999999999</v>
      </c>
      <c r="S257">
        <f t="shared" si="25"/>
        <v>2.6449999999999996</v>
      </c>
      <c r="T257">
        <f t="shared" si="26"/>
        <v>-2.5449999999999995</v>
      </c>
      <c r="U257">
        <f t="shared" si="30"/>
        <v>192.035</v>
      </c>
      <c r="V257" s="18" t="s">
        <v>48</v>
      </c>
      <c r="W257">
        <v>1441.9</v>
      </c>
      <c r="X257">
        <f t="shared" si="31"/>
        <v>6908.2000000000007</v>
      </c>
      <c r="Y257">
        <v>13.246671320784426</v>
      </c>
    </row>
    <row r="258" spans="1:26" x14ac:dyDescent="0.35">
      <c r="A258">
        <v>2920</v>
      </c>
      <c r="B258">
        <v>23610</v>
      </c>
      <c r="C258" s="1">
        <v>43203</v>
      </c>
      <c r="D258" s="1"/>
      <c r="E258" s="1"/>
      <c r="F258" s="32"/>
      <c r="G258">
        <v>11.6</v>
      </c>
      <c r="H258">
        <v>7.4</v>
      </c>
      <c r="I258">
        <v>16</v>
      </c>
      <c r="J258">
        <f t="shared" si="28"/>
        <v>1895.1000000000001</v>
      </c>
      <c r="K258">
        <f t="shared" si="29"/>
        <v>93.5</v>
      </c>
      <c r="L258" s="8">
        <f>MAX(I251:I271)</f>
        <v>25.9</v>
      </c>
      <c r="M258">
        <v>1</v>
      </c>
      <c r="N258">
        <v>2.2000000000000002</v>
      </c>
      <c r="O258">
        <f t="shared" si="24"/>
        <v>-1.2000000000000002</v>
      </c>
      <c r="Q258">
        <v>215</v>
      </c>
      <c r="R258">
        <v>1.1499999999999999</v>
      </c>
      <c r="S258">
        <f t="shared" si="25"/>
        <v>2.5299999999999998</v>
      </c>
      <c r="T258">
        <f t="shared" si="26"/>
        <v>-1.5299999999999998</v>
      </c>
      <c r="U258">
        <f t="shared" si="30"/>
        <v>190.505</v>
      </c>
      <c r="V258" s="11">
        <f>MAX(U251:U271)</f>
        <v>197.4</v>
      </c>
      <c r="W258">
        <v>1582.4</v>
      </c>
      <c r="X258">
        <f t="shared" si="31"/>
        <v>8490.6</v>
      </c>
      <c r="Y258">
        <v>13.304646131539867</v>
      </c>
    </row>
    <row r="259" spans="1:26" x14ac:dyDescent="0.35">
      <c r="A259">
        <v>2920</v>
      </c>
      <c r="B259">
        <v>23610</v>
      </c>
      <c r="C259" s="1">
        <v>43204</v>
      </c>
      <c r="D259" s="1"/>
      <c r="E259" s="1"/>
      <c r="F259" s="32"/>
      <c r="G259">
        <v>11.8</v>
      </c>
      <c r="H259">
        <v>8.6</v>
      </c>
      <c r="I259">
        <v>15.7</v>
      </c>
      <c r="J259">
        <f t="shared" si="28"/>
        <v>1906.9</v>
      </c>
      <c r="K259">
        <f t="shared" si="29"/>
        <v>105.3</v>
      </c>
      <c r="L259" s="17" t="s">
        <v>42</v>
      </c>
      <c r="M259">
        <v>0.4</v>
      </c>
      <c r="N259">
        <v>1.2</v>
      </c>
      <c r="O259">
        <f t="shared" si="24"/>
        <v>-0.79999999999999993</v>
      </c>
      <c r="Q259">
        <v>216</v>
      </c>
      <c r="R259">
        <v>1.1499999999999999</v>
      </c>
      <c r="S259">
        <f t="shared" si="25"/>
        <v>1.38</v>
      </c>
      <c r="T259">
        <f t="shared" si="26"/>
        <v>-0.97999999999999987</v>
      </c>
      <c r="U259">
        <f t="shared" si="30"/>
        <v>189.52500000000001</v>
      </c>
      <c r="V259" s="18" t="s">
        <v>49</v>
      </c>
      <c r="W259">
        <v>1007.5</v>
      </c>
      <c r="X259">
        <f t="shared" si="31"/>
        <v>9498.1</v>
      </c>
      <c r="Y259">
        <v>13.362415637382384</v>
      </c>
    </row>
    <row r="260" spans="1:26" x14ac:dyDescent="0.35">
      <c r="A260">
        <v>2920</v>
      </c>
      <c r="B260">
        <v>23610</v>
      </c>
      <c r="C260" s="1">
        <v>43205</v>
      </c>
      <c r="D260" s="1"/>
      <c r="E260" s="1"/>
      <c r="F260" s="32"/>
      <c r="G260">
        <v>11.8</v>
      </c>
      <c r="H260">
        <v>8.8000000000000007</v>
      </c>
      <c r="I260">
        <v>15.9</v>
      </c>
      <c r="J260">
        <f t="shared" si="28"/>
        <v>1918.7</v>
      </c>
      <c r="K260">
        <f t="shared" si="29"/>
        <v>117.1</v>
      </c>
      <c r="L260" s="8">
        <v>1</v>
      </c>
      <c r="M260">
        <v>1.7</v>
      </c>
      <c r="N260">
        <v>2.1</v>
      </c>
      <c r="O260">
        <f t="shared" si="24"/>
        <v>-0.40000000000000013</v>
      </c>
      <c r="Q260">
        <v>217</v>
      </c>
      <c r="R260">
        <v>1.1499999999999999</v>
      </c>
      <c r="S260">
        <f t="shared" si="25"/>
        <v>2.415</v>
      </c>
      <c r="T260">
        <f t="shared" si="26"/>
        <v>-0.71500000000000008</v>
      </c>
      <c r="U260">
        <f t="shared" si="30"/>
        <v>188.81</v>
      </c>
      <c r="V260" s="11">
        <f>AVERAGE(U251:U271)</f>
        <v>179.47904761904761</v>
      </c>
      <c r="W260">
        <v>1317</v>
      </c>
      <c r="X260">
        <f t="shared" si="31"/>
        <v>10815.1</v>
      </c>
      <c r="Y260">
        <v>13.419967977497169</v>
      </c>
    </row>
    <row r="261" spans="1:26" x14ac:dyDescent="0.35">
      <c r="A261">
        <v>2920</v>
      </c>
      <c r="B261">
        <v>23610</v>
      </c>
      <c r="C261" s="1">
        <v>43206</v>
      </c>
      <c r="D261" s="1"/>
      <c r="E261" s="1"/>
      <c r="F261" s="32"/>
      <c r="G261">
        <v>10.9</v>
      </c>
      <c r="H261">
        <v>7.4</v>
      </c>
      <c r="I261">
        <v>14.2</v>
      </c>
      <c r="J261">
        <f t="shared" si="28"/>
        <v>1929.6000000000001</v>
      </c>
      <c r="K261">
        <f t="shared" si="29"/>
        <v>128</v>
      </c>
      <c r="L261" s="17" t="s">
        <v>43</v>
      </c>
      <c r="M261">
        <v>0.1</v>
      </c>
      <c r="N261">
        <v>1.7</v>
      </c>
      <c r="O261">
        <f t="shared" ref="O261:O324" si="32">M261-N261</f>
        <v>-1.5999999999999999</v>
      </c>
      <c r="Q261">
        <v>218</v>
      </c>
      <c r="R261">
        <v>1.1499999999999999</v>
      </c>
      <c r="S261">
        <f t="shared" ref="S261:S324" si="33">R261*N261</f>
        <v>1.9549999999999998</v>
      </c>
      <c r="T261">
        <f t="shared" ref="T261:T324" si="34">M261-S261</f>
        <v>-1.8549999999999998</v>
      </c>
      <c r="U261">
        <f t="shared" si="30"/>
        <v>186.95500000000001</v>
      </c>
      <c r="W261">
        <v>1063.3</v>
      </c>
      <c r="X261">
        <f t="shared" si="31"/>
        <v>11878.4</v>
      </c>
      <c r="Y261">
        <v>13.477290965907706</v>
      </c>
    </row>
    <row r="262" spans="1:26" x14ac:dyDescent="0.35">
      <c r="A262">
        <v>2920</v>
      </c>
      <c r="B262">
        <v>23610</v>
      </c>
      <c r="C262" s="1">
        <v>43207</v>
      </c>
      <c r="D262" s="1"/>
      <c r="E262" s="1"/>
      <c r="F262" s="32"/>
      <c r="G262">
        <v>13.9</v>
      </c>
      <c r="H262">
        <v>7.9</v>
      </c>
      <c r="I262">
        <v>19.100000000000001</v>
      </c>
      <c r="J262">
        <f t="shared" si="28"/>
        <v>1943.5000000000002</v>
      </c>
      <c r="K262">
        <f t="shared" si="29"/>
        <v>141.9</v>
      </c>
      <c r="L262" s="8">
        <v>0</v>
      </c>
      <c r="M262">
        <v>0</v>
      </c>
      <c r="N262">
        <v>3.9</v>
      </c>
      <c r="O262">
        <f t="shared" si="32"/>
        <v>-3.9</v>
      </c>
      <c r="Q262">
        <v>219</v>
      </c>
      <c r="R262">
        <v>1.1499999999999999</v>
      </c>
      <c r="S262">
        <f t="shared" si="33"/>
        <v>4.4849999999999994</v>
      </c>
      <c r="T262">
        <f t="shared" si="34"/>
        <v>-4.4849999999999994</v>
      </c>
      <c r="U262">
        <f t="shared" si="30"/>
        <v>182.47000000000003</v>
      </c>
      <c r="V262" s="12">
        <f>(V260*100)/197.4</f>
        <v>90.921503353114275</v>
      </c>
      <c r="W262">
        <v>2462.8000000000002</v>
      </c>
      <c r="X262">
        <f t="shared" si="31"/>
        <v>14341.2</v>
      </c>
      <c r="Y262">
        <v>13.534372080317652</v>
      </c>
    </row>
    <row r="263" spans="1:26" x14ac:dyDescent="0.35">
      <c r="A263">
        <v>2920</v>
      </c>
      <c r="B263">
        <v>23610</v>
      </c>
      <c r="C263" s="1">
        <v>43208</v>
      </c>
      <c r="D263" s="1"/>
      <c r="E263" s="1"/>
      <c r="F263" s="32"/>
      <c r="G263">
        <v>17.2</v>
      </c>
      <c r="H263">
        <v>8.1</v>
      </c>
      <c r="I263">
        <v>24.1</v>
      </c>
      <c r="J263">
        <f t="shared" si="28"/>
        <v>1960.7000000000003</v>
      </c>
      <c r="K263">
        <f t="shared" si="29"/>
        <v>159.1</v>
      </c>
      <c r="L263" s="17" t="s">
        <v>44</v>
      </c>
      <c r="M263">
        <v>0</v>
      </c>
      <c r="N263">
        <v>4.5999999999999996</v>
      </c>
      <c r="O263">
        <f t="shared" si="32"/>
        <v>-4.5999999999999996</v>
      </c>
      <c r="Q263">
        <v>220</v>
      </c>
      <c r="R263">
        <v>1.1499999999999999</v>
      </c>
      <c r="S263">
        <f t="shared" si="33"/>
        <v>5.2899999999999991</v>
      </c>
      <c r="T263">
        <f t="shared" si="34"/>
        <v>-5.2899999999999991</v>
      </c>
      <c r="U263">
        <f t="shared" si="30"/>
        <v>177.18000000000004</v>
      </c>
      <c r="W263">
        <v>2510.4</v>
      </c>
      <c r="X263">
        <f t="shared" si="31"/>
        <v>16851.600000000002</v>
      </c>
      <c r="Y263">
        <v>13.591198451441665</v>
      </c>
    </row>
    <row r="264" spans="1:26" x14ac:dyDescent="0.35">
      <c r="A264">
        <v>2920</v>
      </c>
      <c r="B264">
        <v>23610</v>
      </c>
      <c r="C264" s="1">
        <v>43209</v>
      </c>
      <c r="D264" s="1"/>
      <c r="E264" s="1"/>
      <c r="F264" s="32"/>
      <c r="G264">
        <v>18.399999999999999</v>
      </c>
      <c r="H264">
        <v>11.6</v>
      </c>
      <c r="I264">
        <v>24.9</v>
      </c>
      <c r="J264">
        <f t="shared" si="28"/>
        <v>1979.1000000000004</v>
      </c>
      <c r="K264">
        <f t="shared" si="29"/>
        <v>177.5</v>
      </c>
      <c r="L264" s="8">
        <v>0</v>
      </c>
      <c r="M264">
        <v>0</v>
      </c>
      <c r="N264">
        <v>4.8</v>
      </c>
      <c r="O264">
        <f t="shared" si="32"/>
        <v>-4.8</v>
      </c>
      <c r="Q264">
        <v>221</v>
      </c>
      <c r="R264">
        <v>1.1499999999999999</v>
      </c>
      <c r="S264">
        <f t="shared" si="33"/>
        <v>5.52</v>
      </c>
      <c r="T264">
        <f t="shared" si="34"/>
        <v>-5.52</v>
      </c>
      <c r="U264">
        <f t="shared" si="30"/>
        <v>171.66000000000003</v>
      </c>
      <c r="W264">
        <v>2489.3000000000002</v>
      </c>
      <c r="X264">
        <f t="shared" si="31"/>
        <v>19340.900000000001</v>
      </c>
      <c r="Y264">
        <v>13.647756852867508</v>
      </c>
    </row>
    <row r="265" spans="1:26" x14ac:dyDescent="0.35">
      <c r="A265">
        <v>2920</v>
      </c>
      <c r="B265">
        <v>23610</v>
      </c>
      <c r="C265" s="1">
        <v>43210</v>
      </c>
      <c r="D265" s="1"/>
      <c r="E265" s="1"/>
      <c r="F265" s="32"/>
      <c r="G265">
        <v>19</v>
      </c>
      <c r="H265">
        <v>10.6</v>
      </c>
      <c r="I265">
        <v>25.9</v>
      </c>
      <c r="J265">
        <f t="shared" si="28"/>
        <v>1998.1000000000004</v>
      </c>
      <c r="K265">
        <f t="shared" si="29"/>
        <v>196.5</v>
      </c>
      <c r="M265">
        <v>0</v>
      </c>
      <c r="N265">
        <v>4.5</v>
      </c>
      <c r="O265">
        <f t="shared" si="32"/>
        <v>-4.5</v>
      </c>
      <c r="Q265">
        <v>222</v>
      </c>
      <c r="R265">
        <v>1.1499999999999999</v>
      </c>
      <c r="S265">
        <f t="shared" si="33"/>
        <v>5.1749999999999998</v>
      </c>
      <c r="T265">
        <f t="shared" si="34"/>
        <v>-5.1749999999999998</v>
      </c>
      <c r="U265">
        <f t="shared" si="30"/>
        <v>166.48500000000001</v>
      </c>
      <c r="W265">
        <v>2325.6999999999998</v>
      </c>
      <c r="X265">
        <f t="shared" si="31"/>
        <v>21666.600000000002</v>
      </c>
      <c r="Y265">
        <v>13.704033691494255</v>
      </c>
    </row>
    <row r="266" spans="1:26" x14ac:dyDescent="0.35">
      <c r="A266">
        <v>2920</v>
      </c>
      <c r="B266">
        <v>23610</v>
      </c>
      <c r="C266" s="1">
        <v>43211</v>
      </c>
      <c r="D266" s="1"/>
      <c r="E266" s="1"/>
      <c r="F266" s="32"/>
      <c r="G266">
        <v>19.399999999999999</v>
      </c>
      <c r="H266">
        <v>15.2</v>
      </c>
      <c r="I266">
        <v>24.3</v>
      </c>
      <c r="J266">
        <f t="shared" si="28"/>
        <v>2017.5000000000005</v>
      </c>
      <c r="K266">
        <f t="shared" si="29"/>
        <v>215.9</v>
      </c>
      <c r="M266">
        <v>0</v>
      </c>
      <c r="N266">
        <v>2.4</v>
      </c>
      <c r="O266">
        <f t="shared" si="32"/>
        <v>-2.4</v>
      </c>
      <c r="Q266">
        <v>223</v>
      </c>
      <c r="R266">
        <v>1.1499999999999999</v>
      </c>
      <c r="S266">
        <f t="shared" si="33"/>
        <v>2.76</v>
      </c>
      <c r="T266">
        <f t="shared" si="34"/>
        <v>-2.76</v>
      </c>
      <c r="U266">
        <f t="shared" si="30"/>
        <v>163.72500000000002</v>
      </c>
      <c r="W266">
        <v>1255.9000000000001</v>
      </c>
      <c r="X266">
        <f t="shared" si="31"/>
        <v>22922.500000000004</v>
      </c>
      <c r="Y266">
        <v>13.760014998593816</v>
      </c>
    </row>
    <row r="267" spans="1:26" x14ac:dyDescent="0.35">
      <c r="A267">
        <v>2920</v>
      </c>
      <c r="B267">
        <v>23610</v>
      </c>
      <c r="C267" s="1">
        <v>43212</v>
      </c>
      <c r="D267" s="1"/>
      <c r="E267" s="1"/>
      <c r="F267" s="32"/>
      <c r="G267">
        <v>15.7</v>
      </c>
      <c r="H267">
        <v>11.5</v>
      </c>
      <c r="I267">
        <v>21</v>
      </c>
      <c r="J267">
        <f t="shared" si="28"/>
        <v>2033.2000000000005</v>
      </c>
      <c r="K267">
        <f t="shared" si="29"/>
        <v>231.6</v>
      </c>
      <c r="M267">
        <v>0</v>
      </c>
      <c r="N267">
        <v>2</v>
      </c>
      <c r="O267">
        <f t="shared" si="32"/>
        <v>-2</v>
      </c>
      <c r="Q267">
        <v>224</v>
      </c>
      <c r="R267">
        <v>1.1499999999999999</v>
      </c>
      <c r="S267">
        <f t="shared" si="33"/>
        <v>2.2999999999999998</v>
      </c>
      <c r="T267">
        <f t="shared" si="34"/>
        <v>-2.2999999999999998</v>
      </c>
      <c r="U267">
        <f t="shared" si="30"/>
        <v>161.42500000000001</v>
      </c>
      <c r="W267">
        <v>1112.4000000000001</v>
      </c>
      <c r="X267">
        <f t="shared" si="31"/>
        <v>24034.900000000005</v>
      </c>
      <c r="Y267">
        <v>13.81568642154552</v>
      </c>
    </row>
    <row r="268" spans="1:26" ht="15" thickBot="1" x14ac:dyDescent="0.4">
      <c r="A268">
        <v>2920</v>
      </c>
      <c r="B268">
        <v>23610</v>
      </c>
      <c r="C268" s="1">
        <v>43213</v>
      </c>
      <c r="D268" s="1"/>
      <c r="E268" s="1"/>
      <c r="F268" s="32"/>
      <c r="G268">
        <v>12.1</v>
      </c>
      <c r="H268">
        <v>10.5</v>
      </c>
      <c r="I268">
        <v>14.8</v>
      </c>
      <c r="J268">
        <f t="shared" si="28"/>
        <v>2045.3000000000004</v>
      </c>
      <c r="K268">
        <f t="shared" si="29"/>
        <v>243.7</v>
      </c>
      <c r="M268">
        <v>0</v>
      </c>
      <c r="N268">
        <v>1.4</v>
      </c>
      <c r="O268">
        <f t="shared" si="32"/>
        <v>-1.4</v>
      </c>
      <c r="Q268">
        <v>225</v>
      </c>
      <c r="R268">
        <v>1.1499999999999999</v>
      </c>
      <c r="S268">
        <f t="shared" si="33"/>
        <v>1.6099999999999999</v>
      </c>
      <c r="T268">
        <f t="shared" si="34"/>
        <v>-1.6099999999999999</v>
      </c>
      <c r="U268">
        <f t="shared" si="30"/>
        <v>159.815</v>
      </c>
      <c r="W268">
        <v>720.5</v>
      </c>
      <c r="X268">
        <f t="shared" si="31"/>
        <v>24755.400000000005</v>
      </c>
      <c r="Y268" s="4">
        <v>13.871033216295899</v>
      </c>
    </row>
    <row r="269" spans="1:26" x14ac:dyDescent="0.35">
      <c r="A269">
        <v>2920</v>
      </c>
      <c r="B269">
        <v>23610</v>
      </c>
      <c r="C269" s="1">
        <v>43214</v>
      </c>
      <c r="D269" s="1"/>
      <c r="E269" s="1"/>
      <c r="F269" s="32"/>
      <c r="G269">
        <v>12.2</v>
      </c>
      <c r="H269">
        <v>6.3</v>
      </c>
      <c r="I269">
        <v>17.2</v>
      </c>
      <c r="J269">
        <f t="shared" si="28"/>
        <v>2057.5000000000005</v>
      </c>
      <c r="K269">
        <f t="shared" si="29"/>
        <v>255.89999999999998</v>
      </c>
      <c r="M269">
        <v>0.6</v>
      </c>
      <c r="N269">
        <v>3.3</v>
      </c>
      <c r="O269">
        <f t="shared" si="32"/>
        <v>-2.6999999999999997</v>
      </c>
      <c r="Q269">
        <v>226</v>
      </c>
      <c r="R269">
        <v>1.1499999999999999</v>
      </c>
      <c r="S269">
        <f t="shared" si="33"/>
        <v>3.7949999999999995</v>
      </c>
      <c r="T269">
        <f t="shared" si="34"/>
        <v>-3.1949999999999994</v>
      </c>
      <c r="U269">
        <f t="shared" si="30"/>
        <v>156.62</v>
      </c>
      <c r="W269">
        <v>2284.3000000000002</v>
      </c>
      <c r="X269">
        <f t="shared" si="31"/>
        <v>27039.700000000004</v>
      </c>
      <c r="Y269">
        <v>13.926040240598248</v>
      </c>
    </row>
    <row r="270" spans="1:26" x14ac:dyDescent="0.35">
      <c r="A270">
        <v>2920</v>
      </c>
      <c r="B270">
        <v>23610</v>
      </c>
      <c r="C270" s="1">
        <v>43215</v>
      </c>
      <c r="D270" s="1"/>
      <c r="E270" s="1"/>
      <c r="F270" s="32"/>
      <c r="G270">
        <v>12</v>
      </c>
      <c r="H270">
        <v>10</v>
      </c>
      <c r="I270">
        <v>15.2</v>
      </c>
      <c r="J270">
        <f t="shared" si="28"/>
        <v>2069.5000000000005</v>
      </c>
      <c r="K270">
        <f t="shared" si="29"/>
        <v>267.89999999999998</v>
      </c>
      <c r="M270">
        <v>0.1</v>
      </c>
      <c r="N270">
        <v>1.9</v>
      </c>
      <c r="O270">
        <f t="shared" si="32"/>
        <v>-1.7999999999999998</v>
      </c>
      <c r="Q270">
        <v>227</v>
      </c>
      <c r="R270">
        <v>1.1499999999999999</v>
      </c>
      <c r="S270">
        <f t="shared" si="33"/>
        <v>2.1849999999999996</v>
      </c>
      <c r="T270">
        <f t="shared" si="34"/>
        <v>-2.0849999999999995</v>
      </c>
      <c r="U270">
        <f t="shared" si="30"/>
        <v>154.535</v>
      </c>
      <c r="W270">
        <v>807.9</v>
      </c>
      <c r="X270">
        <f t="shared" si="31"/>
        <v>27847.600000000006</v>
      </c>
      <c r="Y270">
        <v>13.98069194808888</v>
      </c>
    </row>
    <row r="271" spans="1:26" s="4" customFormat="1" ht="15" thickBot="1" x14ac:dyDescent="0.4">
      <c r="A271" s="4">
        <v>2920</v>
      </c>
      <c r="B271" s="4">
        <v>23610</v>
      </c>
      <c r="C271" s="5">
        <v>43216</v>
      </c>
      <c r="D271" s="5" t="s">
        <v>35</v>
      </c>
      <c r="E271" s="5"/>
      <c r="F271" s="33"/>
      <c r="G271" s="4">
        <v>10.4</v>
      </c>
      <c r="H271" s="4">
        <v>6.8</v>
      </c>
      <c r="I271" s="4">
        <v>13.8</v>
      </c>
      <c r="J271" s="4">
        <f t="shared" si="28"/>
        <v>2079.9000000000005</v>
      </c>
      <c r="K271" s="4">
        <f t="shared" si="29"/>
        <v>278.29999999999995</v>
      </c>
      <c r="M271" s="4">
        <v>0</v>
      </c>
      <c r="N271" s="4">
        <v>2</v>
      </c>
      <c r="O271" s="4">
        <f t="shared" si="32"/>
        <v>-2</v>
      </c>
      <c r="Q271" s="4">
        <v>228</v>
      </c>
      <c r="R271" s="4">
        <v>1.1499999999999999</v>
      </c>
      <c r="S271" s="4">
        <f t="shared" si="33"/>
        <v>2.2999999999999998</v>
      </c>
      <c r="T271" s="4">
        <f t="shared" si="34"/>
        <v>-2.2999999999999998</v>
      </c>
      <c r="U271" s="4">
        <f t="shared" si="30"/>
        <v>152.23499999999999</v>
      </c>
      <c r="W271" s="4">
        <v>1400.8</v>
      </c>
      <c r="X271" s="4">
        <f t="shared" si="31"/>
        <v>29248.400000000005</v>
      </c>
      <c r="Y271" s="4">
        <v>14.034972383259307</v>
      </c>
    </row>
    <row r="272" spans="1:26" x14ac:dyDescent="0.35">
      <c r="A272">
        <v>2920</v>
      </c>
      <c r="B272">
        <v>23610</v>
      </c>
      <c r="C272" s="1">
        <v>43217</v>
      </c>
      <c r="D272" s="1"/>
      <c r="E272" s="1"/>
      <c r="F272" s="34" t="s">
        <v>58</v>
      </c>
      <c r="G272">
        <v>10.7</v>
      </c>
      <c r="H272">
        <v>7.5</v>
      </c>
      <c r="I272">
        <v>13.8</v>
      </c>
      <c r="J272">
        <f t="shared" si="28"/>
        <v>2090.6000000000004</v>
      </c>
      <c r="K272">
        <f>G272</f>
        <v>10.7</v>
      </c>
      <c r="L272" s="19" t="s">
        <v>38</v>
      </c>
      <c r="M272">
        <v>0.7</v>
      </c>
      <c r="N272">
        <v>2</v>
      </c>
      <c r="O272">
        <f t="shared" si="32"/>
        <v>-1.3</v>
      </c>
      <c r="Q272">
        <v>229</v>
      </c>
      <c r="R272">
        <v>1.1499999999999999</v>
      </c>
      <c r="S272">
        <f t="shared" si="33"/>
        <v>2.2999999999999998</v>
      </c>
      <c r="T272">
        <f t="shared" si="34"/>
        <v>-1.5999999999999999</v>
      </c>
      <c r="U272">
        <f t="shared" si="30"/>
        <v>150.63499999999999</v>
      </c>
      <c r="V272" s="20" t="s">
        <v>45</v>
      </c>
      <c r="W272">
        <v>1180.5999999999999</v>
      </c>
      <c r="X272">
        <f>W272</f>
        <v>1180.5999999999999</v>
      </c>
      <c r="Y272">
        <v>14.088865177385633</v>
      </c>
      <c r="Z272" s="20" t="s">
        <v>50</v>
      </c>
    </row>
    <row r="273" spans="1:26" x14ac:dyDescent="0.35">
      <c r="A273">
        <v>2920</v>
      </c>
      <c r="B273">
        <v>23610</v>
      </c>
      <c r="C273" s="1">
        <v>43218</v>
      </c>
      <c r="D273" s="1"/>
      <c r="E273" s="1"/>
      <c r="F273" s="35"/>
      <c r="G273">
        <v>11.2</v>
      </c>
      <c r="H273">
        <v>8.4</v>
      </c>
      <c r="I273">
        <v>13.8</v>
      </c>
      <c r="J273">
        <f t="shared" si="28"/>
        <v>2101.8000000000002</v>
      </c>
      <c r="K273">
        <f t="shared" si="29"/>
        <v>21.9</v>
      </c>
      <c r="L273" s="8">
        <v>317.10000000000002</v>
      </c>
      <c r="M273">
        <v>0</v>
      </c>
      <c r="N273">
        <v>1.4</v>
      </c>
      <c r="O273">
        <f t="shared" si="32"/>
        <v>-1.4</v>
      </c>
      <c r="Q273">
        <v>230</v>
      </c>
      <c r="R273">
        <v>1.1499999999999999</v>
      </c>
      <c r="S273">
        <f t="shared" si="33"/>
        <v>1.6099999999999999</v>
      </c>
      <c r="T273">
        <f t="shared" si="34"/>
        <v>-1.6099999999999999</v>
      </c>
      <c r="U273">
        <f t="shared" si="30"/>
        <v>149.02499999999998</v>
      </c>
      <c r="V273">
        <v>0</v>
      </c>
      <c r="W273">
        <v>955.7</v>
      </c>
      <c r="X273">
        <f t="shared" si="31"/>
        <v>2136.3000000000002</v>
      </c>
      <c r="Y273">
        <v>14.142353545478596</v>
      </c>
      <c r="Z273">
        <v>48734</v>
      </c>
    </row>
    <row r="274" spans="1:26" x14ac:dyDescent="0.35">
      <c r="A274">
        <v>2920</v>
      </c>
      <c r="B274">
        <v>23610</v>
      </c>
      <c r="C274" s="1">
        <v>43219</v>
      </c>
      <c r="D274" s="1"/>
      <c r="E274" s="1"/>
      <c r="F274" s="35"/>
      <c r="G274">
        <v>8.4</v>
      </c>
      <c r="H274">
        <v>7.5</v>
      </c>
      <c r="I274">
        <v>9.8000000000000007</v>
      </c>
      <c r="J274">
        <f t="shared" si="28"/>
        <v>2110.2000000000003</v>
      </c>
      <c r="K274">
        <f t="shared" si="29"/>
        <v>30.299999999999997</v>
      </c>
      <c r="L274" s="19" t="s">
        <v>39</v>
      </c>
      <c r="M274">
        <v>18.600000000000001</v>
      </c>
      <c r="N274">
        <v>0.7</v>
      </c>
      <c r="O274">
        <f t="shared" si="32"/>
        <v>17.900000000000002</v>
      </c>
      <c r="Q274">
        <v>231</v>
      </c>
      <c r="R274">
        <v>1.1499999999999999</v>
      </c>
      <c r="S274">
        <f t="shared" si="33"/>
        <v>0.80499999999999994</v>
      </c>
      <c r="T274">
        <f t="shared" si="34"/>
        <v>17.795000000000002</v>
      </c>
      <c r="U274">
        <f t="shared" si="30"/>
        <v>166.82</v>
      </c>
      <c r="V274" s="20" t="s">
        <v>46</v>
      </c>
      <c r="W274">
        <v>399.4</v>
      </c>
      <c r="X274">
        <f t="shared" si="31"/>
        <v>2535.7000000000003</v>
      </c>
      <c r="Y274">
        <v>14.195420284319432</v>
      </c>
      <c r="Z274" s="20" t="s">
        <v>51</v>
      </c>
    </row>
    <row r="275" spans="1:26" x14ac:dyDescent="0.35">
      <c r="A275">
        <v>2920</v>
      </c>
      <c r="B275">
        <v>23610</v>
      </c>
      <c r="C275" s="1">
        <v>43220</v>
      </c>
      <c r="D275" s="1"/>
      <c r="E275" s="1"/>
      <c r="F275" s="35"/>
      <c r="G275">
        <v>7.6</v>
      </c>
      <c r="H275">
        <v>6.6</v>
      </c>
      <c r="I275">
        <v>9</v>
      </c>
      <c r="J275">
        <f t="shared" si="28"/>
        <v>2117.8000000000002</v>
      </c>
      <c r="K275">
        <f t="shared" si="29"/>
        <v>37.9</v>
      </c>
      <c r="L275" s="9">
        <f>AVERAGE(G272:G296)</f>
        <v>12.683999999999999</v>
      </c>
      <c r="M275">
        <v>0.9</v>
      </c>
      <c r="N275">
        <v>1.2</v>
      </c>
      <c r="O275">
        <f t="shared" si="32"/>
        <v>-0.29999999999999993</v>
      </c>
      <c r="Q275">
        <v>232</v>
      </c>
      <c r="R275">
        <v>1.1499999999999999</v>
      </c>
      <c r="S275">
        <f t="shared" si="33"/>
        <v>1.38</v>
      </c>
      <c r="T275">
        <f t="shared" si="34"/>
        <v>-0.47999999999999987</v>
      </c>
      <c r="U275">
        <f t="shared" si="30"/>
        <v>166.34</v>
      </c>
      <c r="V275">
        <v>0</v>
      </c>
      <c r="W275">
        <v>749.7</v>
      </c>
      <c r="X275">
        <f t="shared" si="31"/>
        <v>3285.4000000000005</v>
      </c>
      <c r="Y275">
        <v>14.248047771648402</v>
      </c>
      <c r="Z275">
        <f>(Z273/100)/L273</f>
        <v>1.5368653421633551</v>
      </c>
    </row>
    <row r="276" spans="1:26" x14ac:dyDescent="0.35">
      <c r="A276">
        <v>2920</v>
      </c>
      <c r="B276">
        <v>23610</v>
      </c>
      <c r="C276" s="1">
        <v>43221</v>
      </c>
      <c r="D276" s="1"/>
      <c r="E276" s="1"/>
      <c r="F276" s="35"/>
      <c r="G276">
        <v>8.8000000000000007</v>
      </c>
      <c r="H276">
        <v>4.3</v>
      </c>
      <c r="I276">
        <v>12.9</v>
      </c>
      <c r="J276">
        <f t="shared" si="28"/>
        <v>2126.6000000000004</v>
      </c>
      <c r="K276">
        <f t="shared" si="29"/>
        <v>46.7</v>
      </c>
      <c r="L276" s="19" t="s">
        <v>40</v>
      </c>
      <c r="M276">
        <v>0.8</v>
      </c>
      <c r="N276">
        <v>1.5</v>
      </c>
      <c r="O276">
        <f t="shared" si="32"/>
        <v>-0.7</v>
      </c>
      <c r="Q276">
        <v>233</v>
      </c>
      <c r="R276">
        <v>1.1499999999999999</v>
      </c>
      <c r="S276">
        <f t="shared" si="33"/>
        <v>1.7249999999999999</v>
      </c>
      <c r="T276">
        <f t="shared" si="34"/>
        <v>-0.92499999999999982</v>
      </c>
      <c r="U276">
        <f t="shared" si="30"/>
        <v>165.41499999999999</v>
      </c>
      <c r="V276" s="20" t="s">
        <v>47</v>
      </c>
      <c r="W276">
        <v>1124.3</v>
      </c>
      <c r="X276">
        <f t="shared" si="31"/>
        <v>4409.7000000000007</v>
      </c>
      <c r="Y276">
        <v>14.300217966574223</v>
      </c>
      <c r="Z276" s="20" t="s">
        <v>52</v>
      </c>
    </row>
    <row r="277" spans="1:26" x14ac:dyDescent="0.35">
      <c r="A277">
        <v>2920</v>
      </c>
      <c r="B277">
        <v>23610</v>
      </c>
      <c r="C277" s="1">
        <v>43222</v>
      </c>
      <c r="D277" s="1"/>
      <c r="E277" s="1"/>
      <c r="F277" s="35"/>
      <c r="G277">
        <v>9</v>
      </c>
      <c r="H277">
        <v>7.8</v>
      </c>
      <c r="I277">
        <v>11</v>
      </c>
      <c r="J277">
        <f t="shared" si="28"/>
        <v>2135.6000000000004</v>
      </c>
      <c r="K277">
        <f t="shared" si="29"/>
        <v>55.7</v>
      </c>
      <c r="L277" s="8">
        <f>MIN(H272:H296)</f>
        <v>4.3</v>
      </c>
      <c r="M277">
        <v>3.8</v>
      </c>
      <c r="N277">
        <v>0.9</v>
      </c>
      <c r="O277">
        <f t="shared" si="32"/>
        <v>2.9</v>
      </c>
      <c r="Q277">
        <v>234</v>
      </c>
      <c r="R277">
        <v>1.1499999999999999</v>
      </c>
      <c r="S277">
        <f t="shared" si="33"/>
        <v>1.0349999999999999</v>
      </c>
      <c r="T277">
        <f t="shared" si="34"/>
        <v>2.7649999999999997</v>
      </c>
      <c r="U277">
        <f t="shared" si="30"/>
        <v>168.17999999999998</v>
      </c>
      <c r="V277" s="11">
        <f>MIN(U272:U296)</f>
        <v>87.139999999999958</v>
      </c>
      <c r="W277">
        <v>572.6</v>
      </c>
      <c r="X277">
        <f t="shared" si="31"/>
        <v>4982.3000000000011</v>
      </c>
      <c r="Y277">
        <v>14.351912411273677</v>
      </c>
      <c r="Z277">
        <v>3</v>
      </c>
    </row>
    <row r="278" spans="1:26" x14ac:dyDescent="0.35">
      <c r="A278">
        <v>2920</v>
      </c>
      <c r="B278">
        <v>23610</v>
      </c>
      <c r="C278" s="1">
        <v>43223</v>
      </c>
      <c r="D278" s="1"/>
      <c r="E278" s="1"/>
      <c r="F278" s="35"/>
      <c r="G278">
        <v>9.6</v>
      </c>
      <c r="H278">
        <v>5.2</v>
      </c>
      <c r="I278">
        <v>14.1</v>
      </c>
      <c r="J278">
        <f t="shared" si="28"/>
        <v>2145.2000000000003</v>
      </c>
      <c r="K278">
        <f t="shared" si="29"/>
        <v>65.3</v>
      </c>
      <c r="L278" s="19" t="s">
        <v>41</v>
      </c>
      <c r="M278">
        <v>0</v>
      </c>
      <c r="N278">
        <v>2.6</v>
      </c>
      <c r="O278">
        <f t="shared" si="32"/>
        <v>-2.6</v>
      </c>
      <c r="Q278">
        <v>235</v>
      </c>
      <c r="R278">
        <v>1.1499999999999999</v>
      </c>
      <c r="S278">
        <f t="shared" si="33"/>
        <v>2.9899999999999998</v>
      </c>
      <c r="T278">
        <f t="shared" si="34"/>
        <v>-2.9899999999999998</v>
      </c>
      <c r="U278">
        <f t="shared" si="30"/>
        <v>165.18999999999997</v>
      </c>
      <c r="V278" s="20" t="s">
        <v>48</v>
      </c>
      <c r="W278">
        <v>1928</v>
      </c>
      <c r="X278">
        <f t="shared" si="31"/>
        <v>6910.3000000000011</v>
      </c>
      <c r="Y278">
        <v>14.403112234051477</v>
      </c>
    </row>
    <row r="279" spans="1:26" x14ac:dyDescent="0.35">
      <c r="A279">
        <v>2920</v>
      </c>
      <c r="B279">
        <v>23610</v>
      </c>
      <c r="C279" s="1">
        <v>43224</v>
      </c>
      <c r="D279" s="1"/>
      <c r="E279" s="1"/>
      <c r="F279" s="35"/>
      <c r="G279">
        <v>11.3</v>
      </c>
      <c r="H279">
        <v>5.7</v>
      </c>
      <c r="I279">
        <v>16.600000000000001</v>
      </c>
      <c r="J279">
        <f t="shared" si="28"/>
        <v>2156.5000000000005</v>
      </c>
      <c r="K279">
        <f t="shared" si="29"/>
        <v>76.599999999999994</v>
      </c>
      <c r="L279" s="8">
        <f>MAX(I272:I296)</f>
        <v>26.3</v>
      </c>
      <c r="M279">
        <v>0</v>
      </c>
      <c r="N279">
        <v>3.8</v>
      </c>
      <c r="O279">
        <f t="shared" si="32"/>
        <v>-3.8</v>
      </c>
      <c r="Q279">
        <v>236</v>
      </c>
      <c r="R279">
        <v>1.1499999999999999</v>
      </c>
      <c r="S279">
        <f t="shared" si="33"/>
        <v>4.3699999999999992</v>
      </c>
      <c r="T279">
        <f t="shared" si="34"/>
        <v>-4.3699999999999992</v>
      </c>
      <c r="U279">
        <f t="shared" si="30"/>
        <v>160.81999999999996</v>
      </c>
      <c r="V279" s="11">
        <f>MAX(U272:U296)</f>
        <v>168.17999999999998</v>
      </c>
      <c r="W279">
        <v>2586.9</v>
      </c>
      <c r="X279">
        <f t="shared" si="31"/>
        <v>9497.2000000000007</v>
      </c>
      <c r="Y279">
        <v>14.453798153830791</v>
      </c>
    </row>
    <row r="280" spans="1:26" x14ac:dyDescent="0.35">
      <c r="A280">
        <v>2920</v>
      </c>
      <c r="B280">
        <v>23610</v>
      </c>
      <c r="C280" s="1">
        <v>43225</v>
      </c>
      <c r="D280" s="1"/>
      <c r="E280" s="1"/>
      <c r="F280" s="35"/>
      <c r="G280">
        <v>14.6</v>
      </c>
      <c r="H280">
        <v>7.5</v>
      </c>
      <c r="I280">
        <v>20.6</v>
      </c>
      <c r="J280">
        <f t="shared" si="28"/>
        <v>2171.1000000000004</v>
      </c>
      <c r="K280">
        <f t="shared" si="29"/>
        <v>91.199999999999989</v>
      </c>
      <c r="L280" s="19" t="s">
        <v>42</v>
      </c>
      <c r="M280">
        <v>0</v>
      </c>
      <c r="N280">
        <v>4.5</v>
      </c>
      <c r="O280">
        <f t="shared" si="32"/>
        <v>-4.5</v>
      </c>
      <c r="Q280">
        <v>237</v>
      </c>
      <c r="R280">
        <v>1.1499999999999999</v>
      </c>
      <c r="S280">
        <f t="shared" si="33"/>
        <v>5.1749999999999998</v>
      </c>
      <c r="T280">
        <f t="shared" si="34"/>
        <v>-5.1749999999999998</v>
      </c>
      <c r="U280">
        <f t="shared" si="30"/>
        <v>155.64499999999995</v>
      </c>
      <c r="V280" s="20" t="s">
        <v>49</v>
      </c>
      <c r="W280">
        <v>2820.7</v>
      </c>
      <c r="X280">
        <f t="shared" si="31"/>
        <v>12317.900000000001</v>
      </c>
      <c r="Y280">
        <v>14.503950486144806</v>
      </c>
    </row>
    <row r="281" spans="1:26" x14ac:dyDescent="0.35">
      <c r="A281">
        <v>2920</v>
      </c>
      <c r="B281">
        <v>23610</v>
      </c>
      <c r="C281" s="1">
        <v>43226</v>
      </c>
      <c r="D281" s="1"/>
      <c r="E281" s="1"/>
      <c r="F281" s="35"/>
      <c r="G281">
        <v>17.8</v>
      </c>
      <c r="H281">
        <v>10.3</v>
      </c>
      <c r="I281">
        <v>24.3</v>
      </c>
      <c r="J281">
        <f t="shared" si="28"/>
        <v>2188.9000000000005</v>
      </c>
      <c r="K281">
        <f t="shared" si="29"/>
        <v>108.99999999999999</v>
      </c>
      <c r="L281" s="8">
        <v>1</v>
      </c>
      <c r="M281">
        <v>0</v>
      </c>
      <c r="N281">
        <v>4.2</v>
      </c>
      <c r="O281">
        <f t="shared" si="32"/>
        <v>-4.2</v>
      </c>
      <c r="Q281">
        <v>238</v>
      </c>
      <c r="R281">
        <v>1.1499999999999999</v>
      </c>
      <c r="S281">
        <f t="shared" si="33"/>
        <v>4.83</v>
      </c>
      <c r="T281">
        <f t="shared" si="34"/>
        <v>-4.83</v>
      </c>
      <c r="U281">
        <f t="shared" si="30"/>
        <v>150.81499999999994</v>
      </c>
      <c r="V281" s="11">
        <f>AVERAGE(U272:U296)</f>
        <v>135.54079999999996</v>
      </c>
      <c r="W281">
        <v>2475.6</v>
      </c>
      <c r="X281">
        <f t="shared" si="31"/>
        <v>14793.500000000002</v>
      </c>
      <c r="Y281">
        <v>14.553549150699121</v>
      </c>
    </row>
    <row r="282" spans="1:26" x14ac:dyDescent="0.35">
      <c r="A282">
        <v>2920</v>
      </c>
      <c r="B282">
        <v>23610</v>
      </c>
      <c r="C282" s="1">
        <v>43227</v>
      </c>
      <c r="D282" s="1"/>
      <c r="E282" s="1"/>
      <c r="F282" s="35"/>
      <c r="G282">
        <v>19.8</v>
      </c>
      <c r="H282">
        <v>13.4</v>
      </c>
      <c r="I282">
        <v>26.3</v>
      </c>
      <c r="J282">
        <f t="shared" si="28"/>
        <v>2208.7000000000007</v>
      </c>
      <c r="K282">
        <f t="shared" si="29"/>
        <v>128.79999999999998</v>
      </c>
      <c r="L282" s="19" t="s">
        <v>43</v>
      </c>
      <c r="M282">
        <v>0</v>
      </c>
      <c r="N282">
        <v>4.4000000000000004</v>
      </c>
      <c r="O282">
        <f t="shared" si="32"/>
        <v>-4.4000000000000004</v>
      </c>
      <c r="Q282">
        <v>239</v>
      </c>
      <c r="R282">
        <v>1.1499999999999999</v>
      </c>
      <c r="S282">
        <f t="shared" si="33"/>
        <v>5.0599999999999996</v>
      </c>
      <c r="T282">
        <f t="shared" si="34"/>
        <v>-5.0599999999999996</v>
      </c>
      <c r="U282">
        <f t="shared" si="30"/>
        <v>145.75499999999994</v>
      </c>
      <c r="W282">
        <v>2345.6</v>
      </c>
      <c r="X282">
        <f t="shared" si="31"/>
        <v>17139.100000000002</v>
      </c>
      <c r="Y282">
        <v>14.602573680573725</v>
      </c>
    </row>
    <row r="283" spans="1:26" x14ac:dyDescent="0.35">
      <c r="A283">
        <v>2920</v>
      </c>
      <c r="B283">
        <v>23610</v>
      </c>
      <c r="C283" s="1">
        <v>43228</v>
      </c>
      <c r="D283" s="1"/>
      <c r="E283" s="1"/>
      <c r="F283" s="35"/>
      <c r="G283">
        <v>14.5</v>
      </c>
      <c r="H283">
        <v>13.1</v>
      </c>
      <c r="I283">
        <v>18.8</v>
      </c>
      <c r="J283">
        <f t="shared" si="28"/>
        <v>2223.2000000000007</v>
      </c>
      <c r="K283">
        <f t="shared" si="29"/>
        <v>143.29999999999998</v>
      </c>
      <c r="L283" s="8">
        <v>1</v>
      </c>
      <c r="M283">
        <v>0</v>
      </c>
      <c r="N283">
        <v>3.7</v>
      </c>
      <c r="O283">
        <f t="shared" si="32"/>
        <v>-3.7</v>
      </c>
      <c r="Q283">
        <v>240</v>
      </c>
      <c r="R283">
        <v>1.1499999999999999</v>
      </c>
      <c r="S283">
        <f t="shared" si="33"/>
        <v>4.2549999999999999</v>
      </c>
      <c r="T283">
        <f t="shared" si="34"/>
        <v>-4.2549999999999999</v>
      </c>
      <c r="U283">
        <f t="shared" si="30"/>
        <v>141.49999999999994</v>
      </c>
      <c r="V283" s="12">
        <f>(V281*100)/197.4</f>
        <v>68.663019250253271</v>
      </c>
      <c r="W283">
        <v>2113.3000000000002</v>
      </c>
      <c r="X283">
        <f t="shared" si="31"/>
        <v>19252.400000000001</v>
      </c>
      <c r="Y283">
        <v>14.651003233131604</v>
      </c>
    </row>
    <row r="284" spans="1:26" x14ac:dyDescent="0.35">
      <c r="A284">
        <v>2920</v>
      </c>
      <c r="B284">
        <v>23610</v>
      </c>
      <c r="C284" s="1">
        <v>43229</v>
      </c>
      <c r="D284" s="1"/>
      <c r="E284" s="1"/>
      <c r="F284" s="35"/>
      <c r="G284">
        <v>12.9</v>
      </c>
      <c r="H284">
        <v>9</v>
      </c>
      <c r="I284">
        <v>16.8</v>
      </c>
      <c r="J284">
        <f t="shared" si="28"/>
        <v>2236.1000000000008</v>
      </c>
      <c r="K284">
        <f t="shared" si="29"/>
        <v>156.19999999999999</v>
      </c>
      <c r="L284" s="19" t="s">
        <v>44</v>
      </c>
      <c r="M284">
        <v>0</v>
      </c>
      <c r="N284">
        <v>3.3</v>
      </c>
      <c r="O284">
        <f t="shared" si="32"/>
        <v>-3.3</v>
      </c>
      <c r="Q284">
        <v>241</v>
      </c>
      <c r="R284">
        <v>1.1499999999999999</v>
      </c>
      <c r="S284">
        <f t="shared" si="33"/>
        <v>3.7949999999999995</v>
      </c>
      <c r="T284">
        <f t="shared" si="34"/>
        <v>-3.7949999999999995</v>
      </c>
      <c r="U284">
        <f t="shared" si="30"/>
        <v>137.70499999999996</v>
      </c>
      <c r="W284">
        <v>2154.5</v>
      </c>
      <c r="X284">
        <f t="shared" si="31"/>
        <v>21406.9</v>
      </c>
      <c r="Y284">
        <v>14.69881660269875</v>
      </c>
    </row>
    <row r="285" spans="1:26" x14ac:dyDescent="0.35">
      <c r="A285">
        <v>2920</v>
      </c>
      <c r="B285">
        <v>23610</v>
      </c>
      <c r="C285" s="1">
        <v>43230</v>
      </c>
      <c r="D285" s="1"/>
      <c r="E285" s="1"/>
      <c r="F285" s="35"/>
      <c r="G285">
        <v>11.7</v>
      </c>
      <c r="H285">
        <v>9</v>
      </c>
      <c r="I285">
        <v>14.9</v>
      </c>
      <c r="J285">
        <f t="shared" si="28"/>
        <v>2247.8000000000006</v>
      </c>
      <c r="K285">
        <f t="shared" si="29"/>
        <v>167.89999999999998</v>
      </c>
      <c r="L285" s="8">
        <v>0</v>
      </c>
      <c r="M285">
        <v>0</v>
      </c>
      <c r="N285">
        <v>3</v>
      </c>
      <c r="O285">
        <f t="shared" si="32"/>
        <v>-3</v>
      </c>
      <c r="Q285">
        <v>242</v>
      </c>
      <c r="R285">
        <v>1.1499999999999999</v>
      </c>
      <c r="S285">
        <f t="shared" si="33"/>
        <v>3.4499999999999997</v>
      </c>
      <c r="T285">
        <f t="shared" si="34"/>
        <v>-3.4499999999999997</v>
      </c>
      <c r="U285">
        <f t="shared" si="30"/>
        <v>134.25499999999997</v>
      </c>
      <c r="W285">
        <v>1892.7</v>
      </c>
      <c r="X285">
        <f t="shared" si="31"/>
        <v>23299.600000000002</v>
      </c>
      <c r="Y285">
        <v>14.74599223507734</v>
      </c>
    </row>
    <row r="286" spans="1:26" x14ac:dyDescent="0.35">
      <c r="A286">
        <v>2920</v>
      </c>
      <c r="B286">
        <v>23610</v>
      </c>
      <c r="C286" s="1">
        <v>43231</v>
      </c>
      <c r="D286" s="1"/>
      <c r="E286" s="1"/>
      <c r="F286" s="35"/>
      <c r="G286">
        <v>13</v>
      </c>
      <c r="H286">
        <v>6.4</v>
      </c>
      <c r="I286">
        <v>19</v>
      </c>
      <c r="J286">
        <f t="shared" si="28"/>
        <v>2260.8000000000006</v>
      </c>
      <c r="K286">
        <f t="shared" si="29"/>
        <v>180.89999999999998</v>
      </c>
      <c r="M286">
        <v>0.5</v>
      </c>
      <c r="N286">
        <v>2.5</v>
      </c>
      <c r="O286">
        <f t="shared" si="32"/>
        <v>-2</v>
      </c>
      <c r="Q286">
        <v>243</v>
      </c>
      <c r="R286">
        <v>1.1499999999999999</v>
      </c>
      <c r="S286">
        <f t="shared" si="33"/>
        <v>2.875</v>
      </c>
      <c r="T286">
        <f t="shared" si="34"/>
        <v>-2.375</v>
      </c>
      <c r="U286">
        <f t="shared" si="30"/>
        <v>131.87999999999997</v>
      </c>
      <c r="W286">
        <v>1462.7</v>
      </c>
      <c r="X286">
        <f t="shared" si="31"/>
        <v>24762.300000000003</v>
      </c>
      <c r="Y286">
        <v>14.792508243950039</v>
      </c>
    </row>
    <row r="287" spans="1:26" x14ac:dyDescent="0.35">
      <c r="A287">
        <v>2920</v>
      </c>
      <c r="B287">
        <v>23610</v>
      </c>
      <c r="C287" s="1">
        <v>43232</v>
      </c>
      <c r="D287" s="1"/>
      <c r="E287" s="1"/>
      <c r="F287" s="35"/>
      <c r="G287">
        <v>10.3</v>
      </c>
      <c r="H287">
        <v>10.3</v>
      </c>
      <c r="I287">
        <v>12.4</v>
      </c>
      <c r="J287">
        <f t="shared" si="28"/>
        <v>2271.1000000000008</v>
      </c>
      <c r="K287">
        <f t="shared" si="29"/>
        <v>191.2</v>
      </c>
      <c r="M287">
        <v>0.7</v>
      </c>
      <c r="N287">
        <v>2.2000000000000002</v>
      </c>
      <c r="O287">
        <f t="shared" si="32"/>
        <v>-1.5000000000000002</v>
      </c>
      <c r="Q287">
        <v>244</v>
      </c>
      <c r="R287">
        <v>1.1499999999999999</v>
      </c>
      <c r="S287">
        <f t="shared" si="33"/>
        <v>2.5299999999999998</v>
      </c>
      <c r="T287">
        <f t="shared" si="34"/>
        <v>-1.8299999999999998</v>
      </c>
      <c r="U287">
        <f t="shared" si="30"/>
        <v>130.04999999999995</v>
      </c>
      <c r="W287">
        <v>1636.1</v>
      </c>
      <c r="X287">
        <f t="shared" si="31"/>
        <v>26398.400000000001</v>
      </c>
      <c r="Y287">
        <v>14.838342429228982</v>
      </c>
    </row>
    <row r="288" spans="1:26" x14ac:dyDescent="0.35">
      <c r="A288">
        <v>2920</v>
      </c>
      <c r="B288">
        <v>23610</v>
      </c>
      <c r="C288" s="1">
        <v>43233</v>
      </c>
      <c r="D288" s="1"/>
      <c r="E288" s="1"/>
      <c r="F288" s="35"/>
      <c r="G288">
        <v>9.5</v>
      </c>
      <c r="H288">
        <v>5.3</v>
      </c>
      <c r="I288">
        <v>13.4</v>
      </c>
      <c r="J288">
        <f t="shared" si="28"/>
        <v>2280.6000000000008</v>
      </c>
      <c r="K288">
        <f t="shared" si="29"/>
        <v>200.7</v>
      </c>
      <c r="M288">
        <v>0.1</v>
      </c>
      <c r="N288">
        <v>2.4</v>
      </c>
      <c r="O288">
        <f t="shared" si="32"/>
        <v>-2.2999999999999998</v>
      </c>
      <c r="Q288">
        <v>245</v>
      </c>
      <c r="R288">
        <v>1.1499999999999999</v>
      </c>
      <c r="S288">
        <f t="shared" si="33"/>
        <v>2.76</v>
      </c>
      <c r="T288">
        <f t="shared" si="34"/>
        <v>-2.6599999999999997</v>
      </c>
      <c r="U288">
        <f t="shared" si="30"/>
        <v>127.38999999999996</v>
      </c>
      <c r="W288">
        <v>1810.7</v>
      </c>
      <c r="X288">
        <f t="shared" si="31"/>
        <v>28209.100000000002</v>
      </c>
      <c r="Y288">
        <v>14.883472297397407</v>
      </c>
    </row>
    <row r="289" spans="1:26" x14ac:dyDescent="0.35">
      <c r="A289">
        <v>2920</v>
      </c>
      <c r="B289">
        <v>23610</v>
      </c>
      <c r="C289" s="1">
        <v>43234</v>
      </c>
      <c r="D289" s="1"/>
      <c r="E289" s="1"/>
      <c r="F289" s="35"/>
      <c r="G289">
        <v>12.3</v>
      </c>
      <c r="H289">
        <v>6.5</v>
      </c>
      <c r="I289">
        <v>17.2</v>
      </c>
      <c r="J289">
        <f t="shared" si="28"/>
        <v>2292.900000000001</v>
      </c>
      <c r="K289">
        <f t="shared" si="29"/>
        <v>213</v>
      </c>
      <c r="M289">
        <v>0</v>
      </c>
      <c r="N289">
        <v>3.7</v>
      </c>
      <c r="O289">
        <f t="shared" si="32"/>
        <v>-3.7</v>
      </c>
      <c r="Q289">
        <v>246</v>
      </c>
      <c r="R289">
        <v>1.1499999999999999</v>
      </c>
      <c r="S289">
        <f t="shared" si="33"/>
        <v>4.2549999999999999</v>
      </c>
      <c r="T289">
        <f t="shared" si="34"/>
        <v>-4.2549999999999999</v>
      </c>
      <c r="U289">
        <f t="shared" si="30"/>
        <v>123.13499999999996</v>
      </c>
      <c r="W289">
        <v>2489.3000000000002</v>
      </c>
      <c r="X289">
        <f t="shared" si="31"/>
        <v>30698.400000000001</v>
      </c>
      <c r="Y289">
        <v>14.927875083885819</v>
      </c>
    </row>
    <row r="290" spans="1:26" x14ac:dyDescent="0.35">
      <c r="A290">
        <v>2920</v>
      </c>
      <c r="B290">
        <v>23610</v>
      </c>
      <c r="C290" s="1">
        <v>43235</v>
      </c>
      <c r="D290" s="1"/>
      <c r="E290" s="1"/>
      <c r="F290" s="35"/>
      <c r="G290">
        <v>14.3</v>
      </c>
      <c r="H290">
        <v>9.8000000000000007</v>
      </c>
      <c r="I290">
        <v>19.100000000000001</v>
      </c>
      <c r="J290">
        <f t="shared" si="28"/>
        <v>2307.2000000000012</v>
      </c>
      <c r="K290">
        <f t="shared" si="29"/>
        <v>227.3</v>
      </c>
      <c r="M290">
        <v>0</v>
      </c>
      <c r="N290">
        <v>4.0999999999999996</v>
      </c>
      <c r="O290">
        <f t="shared" si="32"/>
        <v>-4.0999999999999996</v>
      </c>
      <c r="Q290">
        <v>247</v>
      </c>
      <c r="R290">
        <v>1.1499999999999999</v>
      </c>
      <c r="S290">
        <f t="shared" si="33"/>
        <v>4.714999999999999</v>
      </c>
      <c r="T290">
        <f t="shared" si="34"/>
        <v>-4.714999999999999</v>
      </c>
      <c r="U290">
        <f t="shared" si="30"/>
        <v>118.41999999999996</v>
      </c>
      <c r="W290">
        <v>2408.4</v>
      </c>
      <c r="X290">
        <f t="shared" si="31"/>
        <v>33106.800000000003</v>
      </c>
      <c r="Y290">
        <v>14.97152777751722</v>
      </c>
    </row>
    <row r="291" spans="1:26" x14ac:dyDescent="0.35">
      <c r="A291">
        <v>2920</v>
      </c>
      <c r="B291">
        <v>23610</v>
      </c>
      <c r="C291" s="1">
        <v>43236</v>
      </c>
      <c r="D291" s="1"/>
      <c r="E291" s="1"/>
      <c r="F291" s="35"/>
      <c r="G291">
        <v>15</v>
      </c>
      <c r="H291">
        <v>9.9</v>
      </c>
      <c r="I291">
        <v>21.2</v>
      </c>
      <c r="J291">
        <f t="shared" si="28"/>
        <v>2322.2000000000012</v>
      </c>
      <c r="K291">
        <f t="shared" si="29"/>
        <v>242.3</v>
      </c>
      <c r="M291">
        <v>0</v>
      </c>
      <c r="N291">
        <v>4.0999999999999996</v>
      </c>
      <c r="O291">
        <f t="shared" si="32"/>
        <v>-4.0999999999999996</v>
      </c>
      <c r="Q291">
        <v>248</v>
      </c>
      <c r="R291">
        <v>1.1499999999999999</v>
      </c>
      <c r="S291">
        <f t="shared" si="33"/>
        <v>4.714999999999999</v>
      </c>
      <c r="T291">
        <f t="shared" si="34"/>
        <v>-4.714999999999999</v>
      </c>
      <c r="U291">
        <f t="shared" si="30"/>
        <v>113.70499999999996</v>
      </c>
      <c r="W291">
        <v>2119.1999999999998</v>
      </c>
      <c r="X291">
        <f t="shared" si="31"/>
        <v>35226</v>
      </c>
      <c r="Y291">
        <v>15.014407147047871</v>
      </c>
    </row>
    <row r="292" spans="1:26" x14ac:dyDescent="0.35">
      <c r="A292">
        <v>2920</v>
      </c>
      <c r="B292">
        <v>23610</v>
      </c>
      <c r="C292" s="1">
        <v>43237</v>
      </c>
      <c r="D292" s="1"/>
      <c r="E292" s="1"/>
      <c r="F292" s="35"/>
      <c r="G292">
        <v>14.9</v>
      </c>
      <c r="H292">
        <v>10.1</v>
      </c>
      <c r="I292">
        <v>19.899999999999999</v>
      </c>
      <c r="J292">
        <f t="shared" si="28"/>
        <v>2337.1000000000013</v>
      </c>
      <c r="K292">
        <f t="shared" si="29"/>
        <v>257.2</v>
      </c>
      <c r="M292">
        <v>0</v>
      </c>
      <c r="N292">
        <v>4.8</v>
      </c>
      <c r="O292">
        <f t="shared" si="32"/>
        <v>-4.8</v>
      </c>
      <c r="Q292">
        <v>249</v>
      </c>
      <c r="R292">
        <v>1.1499999999999999</v>
      </c>
      <c r="S292">
        <f t="shared" si="33"/>
        <v>5.52</v>
      </c>
      <c r="T292">
        <f t="shared" si="34"/>
        <v>-5.52</v>
      </c>
      <c r="U292">
        <f t="shared" si="30"/>
        <v>108.18499999999996</v>
      </c>
      <c r="W292">
        <v>2962.2</v>
      </c>
      <c r="X292">
        <f t="shared" si="31"/>
        <v>38188.199999999997</v>
      </c>
      <c r="Y292">
        <v>15.056489769820892</v>
      </c>
    </row>
    <row r="293" spans="1:26" ht="15" thickBot="1" x14ac:dyDescent="0.4">
      <c r="A293">
        <v>2920</v>
      </c>
      <c r="B293">
        <v>23610</v>
      </c>
      <c r="C293" s="1">
        <v>43238</v>
      </c>
      <c r="D293" s="1"/>
      <c r="E293" s="1"/>
      <c r="F293" s="35"/>
      <c r="G293">
        <v>13.5</v>
      </c>
      <c r="H293">
        <v>9.1</v>
      </c>
      <c r="I293">
        <v>18.8</v>
      </c>
      <c r="J293">
        <f t="shared" si="28"/>
        <v>2350.6000000000013</v>
      </c>
      <c r="K293">
        <f t="shared" si="29"/>
        <v>270.7</v>
      </c>
      <c r="M293">
        <v>0</v>
      </c>
      <c r="N293">
        <v>5</v>
      </c>
      <c r="O293">
        <f t="shared" si="32"/>
        <v>-5</v>
      </c>
      <c r="Q293">
        <v>250</v>
      </c>
      <c r="R293">
        <v>1.1499999999999999</v>
      </c>
      <c r="S293">
        <f t="shared" si="33"/>
        <v>5.75</v>
      </c>
      <c r="T293">
        <f t="shared" si="34"/>
        <v>-5.75</v>
      </c>
      <c r="U293">
        <f t="shared" si="30"/>
        <v>102.43499999999996</v>
      </c>
      <c r="W293">
        <v>2911.1</v>
      </c>
      <c r="X293">
        <f t="shared" si="31"/>
        <v>41099.299999999996</v>
      </c>
      <c r="Y293" s="4">
        <v>15.097752062539845</v>
      </c>
    </row>
    <row r="294" spans="1:26" x14ac:dyDescent="0.35">
      <c r="A294">
        <v>2920</v>
      </c>
      <c r="B294">
        <v>23610</v>
      </c>
      <c r="C294" s="1">
        <v>43239</v>
      </c>
      <c r="D294" s="1"/>
      <c r="E294" s="1"/>
      <c r="F294" s="35"/>
      <c r="G294">
        <v>13.7</v>
      </c>
      <c r="H294">
        <v>7.9</v>
      </c>
      <c r="I294">
        <v>19</v>
      </c>
      <c r="J294">
        <f t="shared" si="28"/>
        <v>2364.3000000000011</v>
      </c>
      <c r="K294">
        <f t="shared" si="29"/>
        <v>284.39999999999998</v>
      </c>
      <c r="M294">
        <v>0</v>
      </c>
      <c r="N294">
        <v>4.8</v>
      </c>
      <c r="O294">
        <f t="shared" si="32"/>
        <v>-4.8</v>
      </c>
      <c r="Q294">
        <v>251</v>
      </c>
      <c r="R294">
        <v>1.1499999999999999</v>
      </c>
      <c r="S294">
        <f t="shared" si="33"/>
        <v>5.52</v>
      </c>
      <c r="T294">
        <f t="shared" si="34"/>
        <v>-5.52</v>
      </c>
      <c r="U294">
        <f t="shared" si="30"/>
        <v>96.914999999999964</v>
      </c>
      <c r="W294">
        <v>3054.4</v>
      </c>
      <c r="X294">
        <f t="shared" si="31"/>
        <v>44153.7</v>
      </c>
      <c r="Y294">
        <v>15.138170314158373</v>
      </c>
    </row>
    <row r="295" spans="1:26" x14ac:dyDescent="0.35">
      <c r="A295">
        <v>2920</v>
      </c>
      <c r="B295">
        <v>23610</v>
      </c>
      <c r="C295" s="1">
        <v>43240</v>
      </c>
      <c r="D295" s="1"/>
      <c r="E295" s="1"/>
      <c r="F295" s="35"/>
      <c r="G295">
        <v>15.4</v>
      </c>
      <c r="H295">
        <v>9.1999999999999993</v>
      </c>
      <c r="I295">
        <v>21.1</v>
      </c>
      <c r="J295">
        <f t="shared" si="28"/>
        <v>2379.7000000000012</v>
      </c>
      <c r="K295">
        <f t="shared" si="29"/>
        <v>299.79999999999995</v>
      </c>
      <c r="M295">
        <v>0</v>
      </c>
      <c r="N295">
        <v>5</v>
      </c>
      <c r="O295">
        <f t="shared" si="32"/>
        <v>-5</v>
      </c>
      <c r="Q295">
        <v>252</v>
      </c>
      <c r="R295">
        <v>1.1499999999999999</v>
      </c>
      <c r="S295">
        <f t="shared" si="33"/>
        <v>5.75</v>
      </c>
      <c r="T295">
        <f t="shared" si="34"/>
        <v>-5.75</v>
      </c>
      <c r="U295">
        <f t="shared" si="30"/>
        <v>91.164999999999964</v>
      </c>
      <c r="W295">
        <v>2965</v>
      </c>
      <c r="X295">
        <f t="shared" si="31"/>
        <v>47118.7</v>
      </c>
      <c r="Y295">
        <v>15.177720720869829</v>
      </c>
    </row>
    <row r="296" spans="1:26" s="4" customFormat="1" ht="15" thickBot="1" x14ac:dyDescent="0.4">
      <c r="A296" s="4">
        <v>2920</v>
      </c>
      <c r="B296" s="4">
        <v>23610</v>
      </c>
      <c r="C296" s="5">
        <v>43241</v>
      </c>
      <c r="D296" s="4">
        <v>300</v>
      </c>
      <c r="E296" s="5"/>
      <c r="F296" s="36"/>
      <c r="G296" s="4">
        <v>17.3</v>
      </c>
      <c r="H296" s="4">
        <v>11.5</v>
      </c>
      <c r="I296" s="4">
        <v>23.4</v>
      </c>
      <c r="J296" s="4">
        <f t="shared" si="28"/>
        <v>2397.0000000000014</v>
      </c>
      <c r="K296" s="4">
        <f t="shared" si="29"/>
        <v>317.09999999999997</v>
      </c>
      <c r="M296" s="4">
        <v>0</v>
      </c>
      <c r="N296" s="4">
        <v>3.5</v>
      </c>
      <c r="O296" s="4">
        <f t="shared" si="32"/>
        <v>-3.5</v>
      </c>
      <c r="Q296" s="4">
        <v>253</v>
      </c>
      <c r="R296" s="4">
        <v>1.1499999999999999</v>
      </c>
      <c r="S296" s="4">
        <f t="shared" si="33"/>
        <v>4.0249999999999995</v>
      </c>
      <c r="T296" s="4">
        <f t="shared" si="34"/>
        <v>-4.0249999999999995</v>
      </c>
      <c r="U296" s="4">
        <f t="shared" si="30"/>
        <v>87.139999999999958</v>
      </c>
      <c r="W296" s="4">
        <v>1615.3</v>
      </c>
      <c r="X296" s="4">
        <f t="shared" si="31"/>
        <v>48734</v>
      </c>
      <c r="Y296" s="4">
        <v>15.216379423167773</v>
      </c>
    </row>
    <row r="297" spans="1:26" x14ac:dyDescent="0.35">
      <c r="A297">
        <v>2920</v>
      </c>
      <c r="B297">
        <v>23610</v>
      </c>
      <c r="C297" s="1">
        <v>43242</v>
      </c>
      <c r="D297" s="1"/>
      <c r="E297" s="1"/>
      <c r="F297" s="37" t="s">
        <v>59</v>
      </c>
      <c r="G297">
        <v>17.100000000000001</v>
      </c>
      <c r="H297">
        <v>12.3</v>
      </c>
      <c r="I297">
        <v>22.4</v>
      </c>
      <c r="J297">
        <f t="shared" si="28"/>
        <v>2414.1000000000013</v>
      </c>
      <c r="K297">
        <f>G297</f>
        <v>17.100000000000001</v>
      </c>
      <c r="L297" s="21" t="s">
        <v>38</v>
      </c>
      <c r="M297">
        <v>0</v>
      </c>
      <c r="N297">
        <v>4.3</v>
      </c>
      <c r="O297">
        <f t="shared" si="32"/>
        <v>-4.3</v>
      </c>
      <c r="Q297">
        <v>254</v>
      </c>
      <c r="R297">
        <f>1.15+((Q297-253)/49)*(0.35-1.15)</f>
        <v>1.133673469387755</v>
      </c>
      <c r="S297">
        <f t="shared" si="33"/>
        <v>4.8747959183673464</v>
      </c>
      <c r="T297">
        <f t="shared" si="34"/>
        <v>-4.8747959183673464</v>
      </c>
      <c r="U297">
        <f t="shared" si="30"/>
        <v>82.265204081632618</v>
      </c>
      <c r="V297" s="22" t="s">
        <v>45</v>
      </c>
      <c r="W297">
        <v>2247</v>
      </c>
      <c r="X297">
        <f>W297</f>
        <v>2247</v>
      </c>
      <c r="Y297">
        <v>15.254122544934269</v>
      </c>
      <c r="Z297" s="22" t="s">
        <v>50</v>
      </c>
    </row>
    <row r="298" spans="1:26" x14ac:dyDescent="0.35">
      <c r="A298">
        <v>2920</v>
      </c>
      <c r="B298">
        <v>23610</v>
      </c>
      <c r="C298" s="1">
        <v>43243</v>
      </c>
      <c r="D298" s="1"/>
      <c r="E298" s="1"/>
      <c r="F298" s="38"/>
      <c r="G298">
        <v>16.7</v>
      </c>
      <c r="H298">
        <v>12.9</v>
      </c>
      <c r="I298">
        <v>22</v>
      </c>
      <c r="J298">
        <f t="shared" si="28"/>
        <v>2430.8000000000011</v>
      </c>
      <c r="K298">
        <f t="shared" si="29"/>
        <v>33.799999999999997</v>
      </c>
      <c r="L298" s="8">
        <v>301.10000000000002</v>
      </c>
      <c r="M298">
        <v>0</v>
      </c>
      <c r="N298">
        <v>4.2</v>
      </c>
      <c r="O298">
        <f t="shared" si="32"/>
        <v>-4.2</v>
      </c>
      <c r="Q298">
        <v>255</v>
      </c>
      <c r="R298">
        <f t="shared" ref="R298:R345" si="35">1.15+((Q298-253)/49)*(0.35-1.15)</f>
        <v>1.1173469387755102</v>
      </c>
      <c r="S298">
        <f t="shared" si="33"/>
        <v>4.6928571428571431</v>
      </c>
      <c r="T298">
        <f t="shared" si="34"/>
        <v>-4.6928571428571431</v>
      </c>
      <c r="U298">
        <f t="shared" si="30"/>
        <v>77.572346938775468</v>
      </c>
      <c r="V298">
        <v>0</v>
      </c>
      <c r="W298">
        <v>2153.1</v>
      </c>
      <c r="X298">
        <f t="shared" si="31"/>
        <v>4400.1000000000004</v>
      </c>
      <c r="Y298">
        <v>15.290926234498</v>
      </c>
      <c r="Z298">
        <v>21863.7</v>
      </c>
    </row>
    <row r="299" spans="1:26" x14ac:dyDescent="0.35">
      <c r="A299">
        <v>2920</v>
      </c>
      <c r="B299">
        <v>23610</v>
      </c>
      <c r="C299" s="1">
        <v>43244</v>
      </c>
      <c r="D299" s="1"/>
      <c r="E299" s="1"/>
      <c r="F299" s="38"/>
      <c r="G299">
        <v>16.100000000000001</v>
      </c>
      <c r="H299">
        <v>11.9</v>
      </c>
      <c r="I299">
        <v>21.7</v>
      </c>
      <c r="J299">
        <f t="shared" si="28"/>
        <v>2446.900000000001</v>
      </c>
      <c r="K299">
        <f t="shared" si="29"/>
        <v>49.9</v>
      </c>
      <c r="L299" s="21" t="s">
        <v>39</v>
      </c>
      <c r="M299">
        <v>1</v>
      </c>
      <c r="N299">
        <v>3.3</v>
      </c>
      <c r="O299">
        <f t="shared" si="32"/>
        <v>-2.2999999999999998</v>
      </c>
      <c r="Q299">
        <v>256</v>
      </c>
      <c r="R299">
        <f t="shared" si="35"/>
        <v>1.1010204081632653</v>
      </c>
      <c r="S299">
        <f t="shared" si="33"/>
        <v>3.6333673469387753</v>
      </c>
      <c r="T299">
        <f t="shared" si="34"/>
        <v>-2.6333673469387753</v>
      </c>
      <c r="U299">
        <f t="shared" si="30"/>
        <v>74.938979591836699</v>
      </c>
      <c r="V299" s="22" t="s">
        <v>46</v>
      </c>
      <c r="W299">
        <v>1619.2</v>
      </c>
      <c r="X299">
        <f t="shared" si="31"/>
        <v>6019.3</v>
      </c>
      <c r="Y299">
        <v>15.326766707588753</v>
      </c>
      <c r="Z299" s="22" t="s">
        <v>51</v>
      </c>
    </row>
    <row r="300" spans="1:26" x14ac:dyDescent="0.35">
      <c r="A300">
        <v>2920</v>
      </c>
      <c r="B300">
        <v>23610</v>
      </c>
      <c r="C300" s="1">
        <v>43245</v>
      </c>
      <c r="D300" s="1"/>
      <c r="E300" s="1"/>
      <c r="F300" s="38"/>
      <c r="G300">
        <v>16.8</v>
      </c>
      <c r="H300">
        <v>12.3</v>
      </c>
      <c r="I300">
        <v>21.9</v>
      </c>
      <c r="J300">
        <f t="shared" si="28"/>
        <v>2463.7000000000012</v>
      </c>
      <c r="K300">
        <f t="shared" si="29"/>
        <v>66.7</v>
      </c>
      <c r="L300" s="9">
        <f>AVERAGE(G297:G313)</f>
        <v>17.711764705882359</v>
      </c>
      <c r="M300">
        <v>3</v>
      </c>
      <c r="N300">
        <v>3.9</v>
      </c>
      <c r="O300">
        <f t="shared" si="32"/>
        <v>-0.89999999999999991</v>
      </c>
      <c r="Q300">
        <v>257</v>
      </c>
      <c r="R300">
        <f t="shared" si="35"/>
        <v>1.0846938775510204</v>
      </c>
      <c r="S300">
        <f t="shared" si="33"/>
        <v>4.2303061224489795</v>
      </c>
      <c r="T300">
        <f t="shared" si="34"/>
        <v>-1.2303061224489795</v>
      </c>
      <c r="U300">
        <f t="shared" si="30"/>
        <v>73.708673469387719</v>
      </c>
      <c r="V300">
        <v>0</v>
      </c>
      <c r="W300">
        <v>2115.8000000000002</v>
      </c>
      <c r="X300">
        <f t="shared" si="31"/>
        <v>8135.1</v>
      </c>
      <c r="Y300">
        <v>15.361620292098312</v>
      </c>
      <c r="Z300">
        <f>(Z298/100)/L298</f>
        <v>0.72612753238126859</v>
      </c>
    </row>
    <row r="301" spans="1:26" x14ac:dyDescent="0.35">
      <c r="A301">
        <v>2920</v>
      </c>
      <c r="B301">
        <v>23610</v>
      </c>
      <c r="C301" s="1">
        <v>43246</v>
      </c>
      <c r="D301" s="1"/>
      <c r="E301" s="1"/>
      <c r="F301" s="38"/>
      <c r="G301">
        <v>18.7</v>
      </c>
      <c r="H301">
        <v>14.4</v>
      </c>
      <c r="I301">
        <v>23</v>
      </c>
      <c r="J301">
        <f t="shared" si="28"/>
        <v>2482.400000000001</v>
      </c>
      <c r="K301">
        <f t="shared" si="29"/>
        <v>85.4</v>
      </c>
      <c r="L301" s="21" t="s">
        <v>40</v>
      </c>
      <c r="M301">
        <v>1.3</v>
      </c>
      <c r="N301">
        <v>2.2999999999999998</v>
      </c>
      <c r="O301">
        <f t="shared" si="32"/>
        <v>-0.99999999999999978</v>
      </c>
      <c r="Q301">
        <v>258</v>
      </c>
      <c r="R301">
        <f t="shared" si="35"/>
        <v>1.0683673469387753</v>
      </c>
      <c r="S301">
        <f t="shared" si="33"/>
        <v>2.4572448979591832</v>
      </c>
      <c r="T301">
        <f t="shared" si="34"/>
        <v>-1.1572448979591832</v>
      </c>
      <c r="U301">
        <f t="shared" si="30"/>
        <v>72.551428571428531</v>
      </c>
      <c r="V301" s="22" t="s">
        <v>47</v>
      </c>
      <c r="W301">
        <v>1074.8</v>
      </c>
      <c r="X301">
        <f t="shared" si="31"/>
        <v>9209.9</v>
      </c>
      <c r="Y301">
        <v>15.395463474541168</v>
      </c>
      <c r="Z301" s="22" t="s">
        <v>52</v>
      </c>
    </row>
    <row r="302" spans="1:26" x14ac:dyDescent="0.35">
      <c r="A302">
        <v>2920</v>
      </c>
      <c r="B302">
        <v>23610</v>
      </c>
      <c r="C302" s="1">
        <v>43247</v>
      </c>
      <c r="D302" s="1"/>
      <c r="E302" s="1"/>
      <c r="F302" s="38"/>
      <c r="G302">
        <v>19.3</v>
      </c>
      <c r="H302">
        <v>15.5</v>
      </c>
      <c r="I302">
        <v>23.2</v>
      </c>
      <c r="J302">
        <f t="shared" ref="J302:J365" si="36">J301+G302</f>
        <v>2501.7000000000012</v>
      </c>
      <c r="K302">
        <f t="shared" ref="K302:K365" si="37">K301+G302</f>
        <v>104.7</v>
      </c>
      <c r="L302" s="8">
        <f>MIN(H297:H313)</f>
        <v>11.9</v>
      </c>
      <c r="M302">
        <v>0</v>
      </c>
      <c r="N302">
        <v>3.3</v>
      </c>
      <c r="O302">
        <f t="shared" si="32"/>
        <v>-3.3</v>
      </c>
      <c r="Q302">
        <v>259</v>
      </c>
      <c r="R302">
        <f t="shared" si="35"/>
        <v>1.0520408163265305</v>
      </c>
      <c r="S302">
        <f t="shared" si="33"/>
        <v>3.4717346938775502</v>
      </c>
      <c r="T302">
        <f t="shared" si="34"/>
        <v>-3.4717346938775502</v>
      </c>
      <c r="U302">
        <f t="shared" ref="U302:U365" si="38">MIN(U301+T302,197.4)</f>
        <v>69.07969387755098</v>
      </c>
      <c r="V302" s="11">
        <f>MIN(U297:U313)</f>
        <v>69.07969387755098</v>
      </c>
      <c r="W302">
        <v>1595.7</v>
      </c>
      <c r="X302">
        <f t="shared" ref="X302:X365" si="39">X301+W302</f>
        <v>10805.6</v>
      </c>
      <c r="Y302">
        <v>15.428272948090985</v>
      </c>
      <c r="Z302">
        <v>6</v>
      </c>
    </row>
    <row r="303" spans="1:26" x14ac:dyDescent="0.35">
      <c r="A303">
        <v>2920</v>
      </c>
      <c r="B303">
        <v>23610</v>
      </c>
      <c r="C303" s="1">
        <v>43248</v>
      </c>
      <c r="D303" s="1"/>
      <c r="E303" s="1"/>
      <c r="F303" s="38"/>
      <c r="G303">
        <v>19.100000000000001</v>
      </c>
      <c r="H303">
        <v>13.7</v>
      </c>
      <c r="I303">
        <v>25.5</v>
      </c>
      <c r="J303">
        <f t="shared" si="36"/>
        <v>2520.8000000000011</v>
      </c>
      <c r="K303">
        <f t="shared" si="37"/>
        <v>123.80000000000001</v>
      </c>
      <c r="L303" s="21" t="s">
        <v>41</v>
      </c>
      <c r="M303">
        <v>7.9</v>
      </c>
      <c r="N303">
        <v>3.1</v>
      </c>
      <c r="O303">
        <f t="shared" si="32"/>
        <v>4.8000000000000007</v>
      </c>
      <c r="Q303">
        <v>260</v>
      </c>
      <c r="R303">
        <f t="shared" si="35"/>
        <v>1.0357142857142856</v>
      </c>
      <c r="S303">
        <f t="shared" si="33"/>
        <v>3.2107142857142854</v>
      </c>
      <c r="T303">
        <f t="shared" si="34"/>
        <v>4.6892857142857149</v>
      </c>
      <c r="U303">
        <f t="shared" si="38"/>
        <v>73.768979591836697</v>
      </c>
      <c r="V303" s="22" t="s">
        <v>48</v>
      </c>
      <c r="W303">
        <v>1432.4</v>
      </c>
      <c r="X303">
        <f t="shared" si="39"/>
        <v>12238</v>
      </c>
      <c r="Y303">
        <v>15.460025662051269</v>
      </c>
    </row>
    <row r="304" spans="1:26" x14ac:dyDescent="0.35">
      <c r="A304">
        <v>2920</v>
      </c>
      <c r="B304">
        <v>23610</v>
      </c>
      <c r="C304" s="1">
        <v>43249</v>
      </c>
      <c r="D304" s="1"/>
      <c r="E304" s="1"/>
      <c r="F304" s="38"/>
      <c r="G304">
        <v>19.3</v>
      </c>
      <c r="H304">
        <v>16.899999999999999</v>
      </c>
      <c r="I304">
        <v>21.9</v>
      </c>
      <c r="J304">
        <f t="shared" si="36"/>
        <v>2540.1000000000013</v>
      </c>
      <c r="K304">
        <f t="shared" si="37"/>
        <v>143.10000000000002</v>
      </c>
      <c r="L304" s="8">
        <f>MAX(I297:I313)</f>
        <v>26.7</v>
      </c>
      <c r="M304">
        <v>2</v>
      </c>
      <c r="N304">
        <v>2.6</v>
      </c>
      <c r="O304">
        <f t="shared" si="32"/>
        <v>-0.60000000000000009</v>
      </c>
      <c r="Q304">
        <v>261</v>
      </c>
      <c r="R304">
        <f t="shared" si="35"/>
        <v>1.0193877551020407</v>
      </c>
      <c r="S304">
        <f t="shared" si="33"/>
        <v>2.6504081632653058</v>
      </c>
      <c r="T304">
        <f t="shared" si="34"/>
        <v>-0.65040816326530582</v>
      </c>
      <c r="U304">
        <f t="shared" si="38"/>
        <v>73.118571428571386</v>
      </c>
      <c r="V304" s="11">
        <f>MAX(U297:U313)</f>
        <v>115.39765306122446</v>
      </c>
      <c r="W304">
        <v>1256.5</v>
      </c>
      <c r="X304">
        <f t="shared" si="39"/>
        <v>13494.5</v>
      </c>
      <c r="Y304">
        <v>15.490698872601032</v>
      </c>
    </row>
    <row r="305" spans="1:26" x14ac:dyDescent="0.35">
      <c r="A305">
        <v>2920</v>
      </c>
      <c r="B305">
        <v>23610</v>
      </c>
      <c r="C305" s="1">
        <v>43250</v>
      </c>
      <c r="D305" s="1"/>
      <c r="E305" s="1"/>
      <c r="F305" s="38"/>
      <c r="G305">
        <v>18.3</v>
      </c>
      <c r="H305">
        <v>16.600000000000001</v>
      </c>
      <c r="I305">
        <v>20.5</v>
      </c>
      <c r="J305">
        <f t="shared" si="36"/>
        <v>2558.4000000000015</v>
      </c>
      <c r="K305">
        <f t="shared" si="37"/>
        <v>161.40000000000003</v>
      </c>
      <c r="L305" s="21" t="s">
        <v>42</v>
      </c>
      <c r="M305">
        <v>0</v>
      </c>
      <c r="N305">
        <v>2.2999999999999998</v>
      </c>
      <c r="O305">
        <f t="shared" si="32"/>
        <v>-2.2999999999999998</v>
      </c>
      <c r="Q305">
        <v>262</v>
      </c>
      <c r="R305">
        <f t="shared" si="35"/>
        <v>1.0030612244897958</v>
      </c>
      <c r="S305">
        <f t="shared" si="33"/>
        <v>2.3070408163265301</v>
      </c>
      <c r="T305">
        <f t="shared" si="34"/>
        <v>-2.3070408163265301</v>
      </c>
      <c r="U305">
        <f t="shared" si="38"/>
        <v>70.811530612244852</v>
      </c>
      <c r="V305" s="22" t="s">
        <v>49</v>
      </c>
      <c r="W305">
        <v>1158.8</v>
      </c>
      <c r="X305">
        <f t="shared" si="39"/>
        <v>14653.3</v>
      </c>
      <c r="Y305">
        <v>15.520270194638618</v>
      </c>
    </row>
    <row r="306" spans="1:26" x14ac:dyDescent="0.35">
      <c r="A306">
        <v>2920</v>
      </c>
      <c r="B306">
        <v>23610</v>
      </c>
      <c r="C306" s="1">
        <v>43251</v>
      </c>
      <c r="D306" s="1"/>
      <c r="E306" s="1"/>
      <c r="F306" s="38"/>
      <c r="G306">
        <v>16.7</v>
      </c>
      <c r="H306">
        <v>14.5</v>
      </c>
      <c r="I306">
        <v>18.7</v>
      </c>
      <c r="J306">
        <f t="shared" si="36"/>
        <v>2575.1000000000013</v>
      </c>
      <c r="K306">
        <f t="shared" si="37"/>
        <v>178.10000000000002</v>
      </c>
      <c r="L306" s="8">
        <v>2</v>
      </c>
      <c r="M306">
        <v>4</v>
      </c>
      <c r="N306">
        <v>1.3</v>
      </c>
      <c r="O306">
        <f t="shared" si="32"/>
        <v>2.7</v>
      </c>
      <c r="Q306">
        <v>263</v>
      </c>
      <c r="R306">
        <f t="shared" si="35"/>
        <v>0.98673469387755097</v>
      </c>
      <c r="S306">
        <f t="shared" si="33"/>
        <v>1.2827551020408163</v>
      </c>
      <c r="T306">
        <f t="shared" si="34"/>
        <v>2.7172448979591834</v>
      </c>
      <c r="U306">
        <f t="shared" si="38"/>
        <v>73.528775510204042</v>
      </c>
      <c r="V306" s="11">
        <f>AVERAGE(U297:U313)</f>
        <v>83.59638055222085</v>
      </c>
      <c r="W306">
        <v>798.3</v>
      </c>
      <c r="X306">
        <f t="shared" si="39"/>
        <v>15451.599999999999</v>
      </c>
      <c r="Y306">
        <v>15.548717654529707</v>
      </c>
    </row>
    <row r="307" spans="1:26" x14ac:dyDescent="0.35">
      <c r="A307">
        <v>2920</v>
      </c>
      <c r="B307">
        <v>23610</v>
      </c>
      <c r="C307" s="1">
        <v>43252</v>
      </c>
      <c r="D307" s="1"/>
      <c r="E307" s="1"/>
      <c r="F307" s="38"/>
      <c r="G307">
        <v>17.8</v>
      </c>
      <c r="H307">
        <v>15.2</v>
      </c>
      <c r="I307">
        <v>22.1</v>
      </c>
      <c r="J307">
        <f t="shared" si="36"/>
        <v>2592.9000000000015</v>
      </c>
      <c r="K307">
        <f t="shared" si="37"/>
        <v>195.90000000000003</v>
      </c>
      <c r="L307" s="21" t="s">
        <v>43</v>
      </c>
      <c r="M307">
        <v>0</v>
      </c>
      <c r="N307">
        <v>1.9</v>
      </c>
      <c r="O307">
        <f t="shared" si="32"/>
        <v>-1.9</v>
      </c>
      <c r="Q307">
        <v>264</v>
      </c>
      <c r="R307">
        <f t="shared" si="35"/>
        <v>0.9704081632653061</v>
      </c>
      <c r="S307">
        <f t="shared" si="33"/>
        <v>1.8437755102040816</v>
      </c>
      <c r="T307">
        <f t="shared" si="34"/>
        <v>-1.8437755102040816</v>
      </c>
      <c r="U307">
        <f t="shared" si="38"/>
        <v>71.68499999999996</v>
      </c>
      <c r="W307">
        <v>821.1</v>
      </c>
      <c r="X307">
        <f t="shared" si="39"/>
        <v>16272.699999999999</v>
      </c>
      <c r="Y307">
        <v>15.57601974354869</v>
      </c>
    </row>
    <row r="308" spans="1:26" x14ac:dyDescent="0.35">
      <c r="A308">
        <v>2920</v>
      </c>
      <c r="B308">
        <v>23610</v>
      </c>
      <c r="C308" s="1">
        <v>43253</v>
      </c>
      <c r="D308" s="1"/>
      <c r="E308" s="1"/>
      <c r="F308" s="38"/>
      <c r="G308">
        <v>18.7</v>
      </c>
      <c r="H308">
        <v>13.3</v>
      </c>
      <c r="I308">
        <v>22.9</v>
      </c>
      <c r="J308">
        <f t="shared" si="36"/>
        <v>2611.6000000000013</v>
      </c>
      <c r="K308">
        <f t="shared" si="37"/>
        <v>214.60000000000002</v>
      </c>
      <c r="L308" s="8">
        <v>0</v>
      </c>
      <c r="M308">
        <v>0.1</v>
      </c>
      <c r="N308">
        <v>2.5</v>
      </c>
      <c r="O308">
        <f t="shared" si="32"/>
        <v>-2.4</v>
      </c>
      <c r="Q308">
        <v>265</v>
      </c>
      <c r="R308">
        <f t="shared" si="35"/>
        <v>0.95408163265306112</v>
      </c>
      <c r="S308">
        <f t="shared" si="33"/>
        <v>2.385204081632653</v>
      </c>
      <c r="T308">
        <f t="shared" si="34"/>
        <v>-2.2852040816326529</v>
      </c>
      <c r="U308">
        <f t="shared" si="38"/>
        <v>69.399795918367303</v>
      </c>
      <c r="V308" s="12">
        <f>(V306*100)/197.4</f>
        <v>42.348723684002458</v>
      </c>
      <c r="W308">
        <v>1307.5</v>
      </c>
      <c r="X308">
        <f t="shared" si="39"/>
        <v>17580.199999999997</v>
      </c>
      <c r="Y308">
        <v>15.6021554717868</v>
      </c>
    </row>
    <row r="309" spans="1:26" x14ac:dyDescent="0.35">
      <c r="A309">
        <v>2920</v>
      </c>
      <c r="B309">
        <v>23610</v>
      </c>
      <c r="C309" s="1">
        <v>43254</v>
      </c>
      <c r="D309" s="1"/>
      <c r="E309" s="1"/>
      <c r="F309" s="38"/>
      <c r="G309">
        <v>19.8</v>
      </c>
      <c r="H309">
        <v>17.2</v>
      </c>
      <c r="I309">
        <v>26.7</v>
      </c>
      <c r="J309">
        <f t="shared" si="36"/>
        <v>2631.4000000000015</v>
      </c>
      <c r="K309">
        <f t="shared" si="37"/>
        <v>234.40000000000003</v>
      </c>
      <c r="L309" s="21" t="s">
        <v>44</v>
      </c>
      <c r="M309">
        <v>26.5</v>
      </c>
      <c r="N309">
        <v>4.5</v>
      </c>
      <c r="O309">
        <f t="shared" si="32"/>
        <v>22</v>
      </c>
      <c r="Q309">
        <v>266</v>
      </c>
      <c r="R309">
        <f t="shared" si="35"/>
        <v>0.93775510204081625</v>
      </c>
      <c r="S309">
        <f t="shared" si="33"/>
        <v>4.2198979591836734</v>
      </c>
      <c r="T309">
        <f t="shared" si="34"/>
        <v>22.280102040816328</v>
      </c>
      <c r="U309">
        <f t="shared" si="38"/>
        <v>91.679897959183634</v>
      </c>
      <c r="W309">
        <v>1881.2</v>
      </c>
      <c r="X309">
        <f t="shared" si="39"/>
        <v>19461.399999999998</v>
      </c>
      <c r="Y309">
        <v>15.627104422285417</v>
      </c>
    </row>
    <row r="310" spans="1:26" x14ac:dyDescent="0.35">
      <c r="A310">
        <v>2920</v>
      </c>
      <c r="B310">
        <v>23610</v>
      </c>
      <c r="C310" s="1">
        <v>43255</v>
      </c>
      <c r="D310" s="1"/>
      <c r="E310" s="1"/>
      <c r="F310" s="38"/>
      <c r="G310">
        <v>17.399999999999999</v>
      </c>
      <c r="H310">
        <v>16</v>
      </c>
      <c r="I310">
        <v>19.600000000000001</v>
      </c>
      <c r="J310">
        <f t="shared" si="36"/>
        <v>2648.8000000000015</v>
      </c>
      <c r="K310">
        <f t="shared" si="37"/>
        <v>251.80000000000004</v>
      </c>
      <c r="L310" s="8">
        <v>0</v>
      </c>
      <c r="M310">
        <v>17.899999999999999</v>
      </c>
      <c r="N310">
        <v>1.3</v>
      </c>
      <c r="O310">
        <f t="shared" si="32"/>
        <v>16.599999999999998</v>
      </c>
      <c r="Q310">
        <v>267</v>
      </c>
      <c r="R310">
        <f t="shared" si="35"/>
        <v>0.92142857142857137</v>
      </c>
      <c r="S310">
        <f t="shared" si="33"/>
        <v>1.1978571428571427</v>
      </c>
      <c r="T310">
        <f t="shared" si="34"/>
        <v>16.702142857142857</v>
      </c>
      <c r="U310">
        <f t="shared" si="38"/>
        <v>108.38204081632649</v>
      </c>
      <c r="W310">
        <v>648.79999999999995</v>
      </c>
      <c r="X310">
        <f t="shared" si="39"/>
        <v>20110.199999999997</v>
      </c>
      <c r="Y310">
        <v>15.650846805139345</v>
      </c>
    </row>
    <row r="311" spans="1:26" ht="15" thickBot="1" x14ac:dyDescent="0.4">
      <c r="A311">
        <v>2920</v>
      </c>
      <c r="B311">
        <v>23610</v>
      </c>
      <c r="C311" s="1">
        <v>43256</v>
      </c>
      <c r="D311" s="1"/>
      <c r="E311" s="1"/>
      <c r="F311" s="38"/>
      <c r="G311">
        <v>17.2</v>
      </c>
      <c r="H311">
        <v>16</v>
      </c>
      <c r="I311">
        <v>19.100000000000001</v>
      </c>
      <c r="J311">
        <f t="shared" si="36"/>
        <v>2666.0000000000014</v>
      </c>
      <c r="K311">
        <f t="shared" si="37"/>
        <v>269.00000000000006</v>
      </c>
      <c r="M311">
        <v>0.7</v>
      </c>
      <c r="N311">
        <v>1.1000000000000001</v>
      </c>
      <c r="O311">
        <f t="shared" si="32"/>
        <v>-0.40000000000000013</v>
      </c>
      <c r="Q311">
        <v>268</v>
      </c>
      <c r="R311">
        <f t="shared" si="35"/>
        <v>0.90510204081632639</v>
      </c>
      <c r="S311">
        <f t="shared" si="33"/>
        <v>0.99561224489795908</v>
      </c>
      <c r="T311">
        <f t="shared" si="34"/>
        <v>-0.29561224489795912</v>
      </c>
      <c r="U311">
        <f t="shared" si="38"/>
        <v>108.08642857142854</v>
      </c>
      <c r="W311">
        <v>595.6</v>
      </c>
      <c r="X311">
        <f t="shared" si="39"/>
        <v>20705.799999999996</v>
      </c>
      <c r="Y311" s="4">
        <v>15.673363511302922</v>
      </c>
    </row>
    <row r="312" spans="1:26" x14ac:dyDescent="0.35">
      <c r="A312">
        <v>2920</v>
      </c>
      <c r="B312">
        <v>23610</v>
      </c>
      <c r="C312" s="1">
        <v>43257</v>
      </c>
      <c r="D312" s="1"/>
      <c r="E312" s="1"/>
      <c r="F312" s="38"/>
      <c r="G312">
        <v>14.8</v>
      </c>
      <c r="H312">
        <v>13.8</v>
      </c>
      <c r="I312">
        <v>15.7</v>
      </c>
      <c r="J312">
        <f t="shared" si="36"/>
        <v>2680.8000000000015</v>
      </c>
      <c r="K312">
        <f t="shared" si="37"/>
        <v>283.80000000000007</v>
      </c>
      <c r="M312">
        <v>8.1999999999999993</v>
      </c>
      <c r="N312">
        <v>1</v>
      </c>
      <c r="O312">
        <f t="shared" si="32"/>
        <v>7.1999999999999993</v>
      </c>
      <c r="Q312">
        <v>269</v>
      </c>
      <c r="R312">
        <f t="shared" si="35"/>
        <v>0.88877551020408152</v>
      </c>
      <c r="S312">
        <f t="shared" si="33"/>
        <v>0.88877551020408152</v>
      </c>
      <c r="T312">
        <f t="shared" si="34"/>
        <v>7.3112244897959178</v>
      </c>
      <c r="U312">
        <f t="shared" si="38"/>
        <v>115.39765306122446</v>
      </c>
      <c r="W312">
        <v>493.4</v>
      </c>
      <c r="X312">
        <f t="shared" si="39"/>
        <v>21199.199999999997</v>
      </c>
      <c r="Y312">
        <v>15.694636165821434</v>
      </c>
    </row>
    <row r="313" spans="1:26" s="4" customFormat="1" ht="15" thickBot="1" x14ac:dyDescent="0.4">
      <c r="A313" s="4">
        <v>2920</v>
      </c>
      <c r="B313" s="4">
        <v>23610</v>
      </c>
      <c r="C313" s="5">
        <v>43258</v>
      </c>
      <c r="D313" s="4">
        <v>600</v>
      </c>
      <c r="E313" s="5"/>
      <c r="F313" s="39"/>
      <c r="G313" s="4">
        <v>17.3</v>
      </c>
      <c r="H313" s="4">
        <v>14.9</v>
      </c>
      <c r="I313" s="4">
        <v>19.899999999999999</v>
      </c>
      <c r="J313" s="4">
        <f t="shared" si="36"/>
        <v>2698.1000000000017</v>
      </c>
      <c r="K313" s="4">
        <f t="shared" si="37"/>
        <v>301.10000000000008</v>
      </c>
      <c r="M313" s="4">
        <v>0.9</v>
      </c>
      <c r="N313" s="4">
        <v>1.3</v>
      </c>
      <c r="O313" s="4">
        <f t="shared" si="32"/>
        <v>-0.4</v>
      </c>
      <c r="Q313" s="4">
        <v>270</v>
      </c>
      <c r="R313" s="4">
        <f t="shared" si="35"/>
        <v>0.87244897959183665</v>
      </c>
      <c r="S313" s="4">
        <f t="shared" si="33"/>
        <v>1.1341836734693878</v>
      </c>
      <c r="T313" s="4">
        <f t="shared" si="34"/>
        <v>-0.23418367346938773</v>
      </c>
      <c r="U313" s="4">
        <f t="shared" si="38"/>
        <v>115.16346938775507</v>
      </c>
      <c r="W313" s="4">
        <v>664.5</v>
      </c>
      <c r="X313" s="4">
        <f t="shared" si="39"/>
        <v>21863.699999999997</v>
      </c>
      <c r="Y313" s="4">
        <v>15.714647180202101</v>
      </c>
    </row>
    <row r="314" spans="1:26" x14ac:dyDescent="0.35">
      <c r="A314">
        <v>2920</v>
      </c>
      <c r="B314">
        <v>23610</v>
      </c>
      <c r="C314" s="1">
        <v>43259</v>
      </c>
      <c r="D314" s="1"/>
      <c r="E314" s="1"/>
      <c r="F314" s="40" t="s">
        <v>60</v>
      </c>
      <c r="G314">
        <v>20.100000000000001</v>
      </c>
      <c r="H314">
        <v>14.6</v>
      </c>
      <c r="I314">
        <v>24.4</v>
      </c>
      <c r="J314">
        <f t="shared" si="36"/>
        <v>2718.2000000000016</v>
      </c>
      <c r="K314">
        <f>G314</f>
        <v>20.100000000000001</v>
      </c>
      <c r="L314" s="23" t="s">
        <v>38</v>
      </c>
      <c r="M314">
        <v>0.3</v>
      </c>
      <c r="N314">
        <v>3.1</v>
      </c>
      <c r="O314">
        <f t="shared" si="32"/>
        <v>-2.8000000000000003</v>
      </c>
      <c r="Q314">
        <v>271</v>
      </c>
      <c r="R314">
        <f t="shared" si="35"/>
        <v>0.85612244897959178</v>
      </c>
      <c r="S314">
        <f t="shared" si="33"/>
        <v>2.6539795918367344</v>
      </c>
      <c r="T314">
        <f t="shared" si="34"/>
        <v>-2.3539795918367346</v>
      </c>
      <c r="U314">
        <f t="shared" si="38"/>
        <v>112.80948979591834</v>
      </c>
      <c r="V314" s="24" t="s">
        <v>45</v>
      </c>
      <c r="W314">
        <v>1705.3</v>
      </c>
      <c r="X314">
        <f>W314</f>
        <v>1705.3</v>
      </c>
      <c r="Y314">
        <v>15.733379803633058</v>
      </c>
      <c r="Z314" s="24" t="s">
        <v>50</v>
      </c>
    </row>
    <row r="315" spans="1:26" x14ac:dyDescent="0.35">
      <c r="A315">
        <v>2920</v>
      </c>
      <c r="B315">
        <v>23610</v>
      </c>
      <c r="C315" s="1">
        <v>43260</v>
      </c>
      <c r="D315" s="1"/>
      <c r="E315" s="1"/>
      <c r="F315" s="41"/>
      <c r="G315">
        <v>19.100000000000001</v>
      </c>
      <c r="H315">
        <v>17.7</v>
      </c>
      <c r="I315">
        <v>21.9</v>
      </c>
      <c r="J315">
        <f t="shared" si="36"/>
        <v>2737.3000000000015</v>
      </c>
      <c r="K315">
        <f t="shared" si="37"/>
        <v>39.200000000000003</v>
      </c>
      <c r="L315" s="8">
        <v>413.8</v>
      </c>
      <c r="M315">
        <v>7.1</v>
      </c>
      <c r="N315">
        <v>1.8</v>
      </c>
      <c r="O315">
        <f t="shared" si="32"/>
        <v>5.3</v>
      </c>
      <c r="Q315">
        <v>272</v>
      </c>
      <c r="R315">
        <f t="shared" si="35"/>
        <v>0.83979591836734691</v>
      </c>
      <c r="S315">
        <f t="shared" si="33"/>
        <v>1.5116326530612245</v>
      </c>
      <c r="T315">
        <f t="shared" si="34"/>
        <v>5.5883673469387753</v>
      </c>
      <c r="U315">
        <f t="shared" si="38"/>
        <v>118.39785714285712</v>
      </c>
      <c r="V315">
        <v>0</v>
      </c>
      <c r="W315">
        <v>1023.7</v>
      </c>
      <c r="X315">
        <f t="shared" si="39"/>
        <v>2729</v>
      </c>
      <c r="Y315">
        <v>15.750818172755142</v>
      </c>
      <c r="Z315">
        <v>41739.4</v>
      </c>
    </row>
    <row r="316" spans="1:26" x14ac:dyDescent="0.35">
      <c r="A316">
        <v>2920</v>
      </c>
      <c r="B316">
        <v>23610</v>
      </c>
      <c r="C316" s="1">
        <v>43261</v>
      </c>
      <c r="D316" s="1"/>
      <c r="E316" s="1"/>
      <c r="F316" s="41"/>
      <c r="G316">
        <v>19</v>
      </c>
      <c r="H316">
        <v>16.3</v>
      </c>
      <c r="I316">
        <v>21.4</v>
      </c>
      <c r="J316">
        <f t="shared" si="36"/>
        <v>2756.3000000000015</v>
      </c>
      <c r="K316">
        <f t="shared" si="37"/>
        <v>58.2</v>
      </c>
      <c r="L316" s="23" t="s">
        <v>39</v>
      </c>
      <c r="M316">
        <v>1.9</v>
      </c>
      <c r="N316">
        <v>1.2</v>
      </c>
      <c r="O316">
        <f t="shared" si="32"/>
        <v>0.7</v>
      </c>
      <c r="Q316">
        <v>273</v>
      </c>
      <c r="R316">
        <f t="shared" si="35"/>
        <v>0.82346938775510203</v>
      </c>
      <c r="S316">
        <f t="shared" si="33"/>
        <v>0.98816326530612242</v>
      </c>
      <c r="T316">
        <f t="shared" si="34"/>
        <v>0.91183673469387749</v>
      </c>
      <c r="U316">
        <f t="shared" si="38"/>
        <v>119.309693877551</v>
      </c>
      <c r="V316" s="24" t="s">
        <v>46</v>
      </c>
      <c r="W316">
        <v>620.70000000000005</v>
      </c>
      <c r="X316">
        <f t="shared" si="39"/>
        <v>3349.7</v>
      </c>
      <c r="Y316">
        <v>15.766947359690485</v>
      </c>
      <c r="Z316" s="24" t="s">
        <v>51</v>
      </c>
    </row>
    <row r="317" spans="1:26" x14ac:dyDescent="0.35">
      <c r="A317">
        <v>2920</v>
      </c>
      <c r="B317">
        <v>23610</v>
      </c>
      <c r="C317" s="1">
        <v>43262</v>
      </c>
      <c r="D317" s="1"/>
      <c r="E317" s="1"/>
      <c r="F317" s="41"/>
      <c r="G317">
        <v>17.100000000000001</v>
      </c>
      <c r="H317">
        <v>16.3</v>
      </c>
      <c r="I317">
        <v>18.399999999999999</v>
      </c>
      <c r="J317">
        <f t="shared" si="36"/>
        <v>2773.4000000000015</v>
      </c>
      <c r="K317">
        <f t="shared" si="37"/>
        <v>75.300000000000011</v>
      </c>
      <c r="L317" s="9">
        <f>AVERAGE(G314:G335)</f>
        <v>18.809090909090912</v>
      </c>
      <c r="M317">
        <v>48</v>
      </c>
      <c r="N317">
        <v>1</v>
      </c>
      <c r="O317">
        <f t="shared" si="32"/>
        <v>47</v>
      </c>
      <c r="Q317">
        <v>274</v>
      </c>
      <c r="R317">
        <f t="shared" si="35"/>
        <v>0.80714285714285716</v>
      </c>
      <c r="S317">
        <f t="shared" si="33"/>
        <v>0.80714285714285716</v>
      </c>
      <c r="T317">
        <f t="shared" si="34"/>
        <v>47.192857142857143</v>
      </c>
      <c r="U317">
        <f t="shared" si="38"/>
        <v>166.50255102040813</v>
      </c>
      <c r="V317">
        <v>0</v>
      </c>
      <c r="W317">
        <v>370.4</v>
      </c>
      <c r="X317">
        <f t="shared" si="39"/>
        <v>3720.1</v>
      </c>
      <c r="Y317">
        <v>15.781753418034045</v>
      </c>
      <c r="Z317">
        <f>(Z315/100)/L315</f>
        <v>1.0086853552440793</v>
      </c>
    </row>
    <row r="318" spans="1:26" x14ac:dyDescent="0.35">
      <c r="A318">
        <v>2920</v>
      </c>
      <c r="B318">
        <v>23610</v>
      </c>
      <c r="C318" s="1">
        <v>43263</v>
      </c>
      <c r="D318" s="1"/>
      <c r="E318" s="1"/>
      <c r="F318" s="41"/>
      <c r="G318">
        <v>16.8</v>
      </c>
      <c r="H318">
        <v>14.9</v>
      </c>
      <c r="I318">
        <v>20.2</v>
      </c>
      <c r="J318">
        <f t="shared" si="36"/>
        <v>2790.2000000000016</v>
      </c>
      <c r="K318">
        <f t="shared" si="37"/>
        <v>92.100000000000009</v>
      </c>
      <c r="L318" s="23" t="s">
        <v>40</v>
      </c>
      <c r="M318">
        <v>0.2</v>
      </c>
      <c r="N318">
        <v>2.5</v>
      </c>
      <c r="O318">
        <f t="shared" si="32"/>
        <v>-2.2999999999999998</v>
      </c>
      <c r="Q318">
        <v>275</v>
      </c>
      <c r="R318">
        <f t="shared" si="35"/>
        <v>0.79081632653061218</v>
      </c>
      <c r="S318">
        <f t="shared" si="33"/>
        <v>1.9770408163265305</v>
      </c>
      <c r="T318">
        <f t="shared" si="34"/>
        <v>-1.7770408163265305</v>
      </c>
      <c r="U318">
        <f t="shared" si="38"/>
        <v>164.72551020408162</v>
      </c>
      <c r="V318" s="24" t="s">
        <v>47</v>
      </c>
      <c r="W318">
        <v>1253.2</v>
      </c>
      <c r="X318">
        <f t="shared" si="39"/>
        <v>4973.3</v>
      </c>
      <c r="Y318">
        <v>15.795223426518856</v>
      </c>
      <c r="Z318" s="24" t="s">
        <v>52</v>
      </c>
    </row>
    <row r="319" spans="1:26" x14ac:dyDescent="0.35">
      <c r="A319">
        <v>2920</v>
      </c>
      <c r="B319">
        <v>23610</v>
      </c>
      <c r="C319" s="1">
        <v>43264</v>
      </c>
      <c r="D319" s="1"/>
      <c r="E319" s="1"/>
      <c r="F319" s="41"/>
      <c r="G319">
        <v>16.8</v>
      </c>
      <c r="H319">
        <v>12.6</v>
      </c>
      <c r="I319">
        <v>21.4</v>
      </c>
      <c r="J319">
        <f t="shared" si="36"/>
        <v>2807.0000000000018</v>
      </c>
      <c r="K319">
        <f t="shared" si="37"/>
        <v>108.9</v>
      </c>
      <c r="L319" s="8">
        <f>MIN(H314:H335)</f>
        <v>10.7</v>
      </c>
      <c r="M319">
        <v>0</v>
      </c>
      <c r="N319">
        <v>2.1</v>
      </c>
      <c r="O319">
        <f t="shared" si="32"/>
        <v>-2.1</v>
      </c>
      <c r="Q319">
        <v>276</v>
      </c>
      <c r="R319">
        <f t="shared" si="35"/>
        <v>0.7744897959183672</v>
      </c>
      <c r="S319">
        <f t="shared" si="33"/>
        <v>1.6264285714285711</v>
      </c>
      <c r="T319">
        <f t="shared" si="34"/>
        <v>-1.6264285714285711</v>
      </c>
      <c r="U319">
        <f t="shared" si="38"/>
        <v>163.09908163265305</v>
      </c>
      <c r="V319" s="11">
        <f>MIN(U314:U335)</f>
        <v>112.80948979591834</v>
      </c>
      <c r="W319">
        <v>1254.4000000000001</v>
      </c>
      <c r="X319">
        <f t="shared" si="39"/>
        <v>6227.7000000000007</v>
      </c>
      <c r="Y319">
        <v>15.807345530073876</v>
      </c>
      <c r="Z319">
        <v>4</v>
      </c>
    </row>
    <row r="320" spans="1:26" x14ac:dyDescent="0.35">
      <c r="A320">
        <v>2920</v>
      </c>
      <c r="B320">
        <v>23610</v>
      </c>
      <c r="C320" s="1">
        <v>43265</v>
      </c>
      <c r="D320" s="1"/>
      <c r="E320" s="1"/>
      <c r="F320" s="41"/>
      <c r="G320">
        <v>15.7</v>
      </c>
      <c r="H320">
        <v>13.2</v>
      </c>
      <c r="I320">
        <v>17.5</v>
      </c>
      <c r="J320">
        <f t="shared" si="36"/>
        <v>2822.7000000000016</v>
      </c>
      <c r="K320">
        <f t="shared" si="37"/>
        <v>124.60000000000001</v>
      </c>
      <c r="L320" s="23" t="s">
        <v>41</v>
      </c>
      <c r="M320">
        <v>0.5</v>
      </c>
      <c r="N320">
        <v>1</v>
      </c>
      <c r="O320">
        <f t="shared" si="32"/>
        <v>-0.5</v>
      </c>
      <c r="Q320">
        <v>277</v>
      </c>
      <c r="R320">
        <f t="shared" si="35"/>
        <v>0.75816326530612232</v>
      </c>
      <c r="S320">
        <f t="shared" si="33"/>
        <v>0.75816326530612232</v>
      </c>
      <c r="T320">
        <f t="shared" si="34"/>
        <v>-0.25816326530612232</v>
      </c>
      <c r="U320">
        <f t="shared" si="38"/>
        <v>162.84091836734694</v>
      </c>
      <c r="V320" s="24" t="s">
        <v>48</v>
      </c>
      <c r="W320">
        <v>611.5</v>
      </c>
      <c r="X320">
        <f t="shared" si="39"/>
        <v>6839.2000000000007</v>
      </c>
      <c r="Y320">
        <v>15.818108978004114</v>
      </c>
    </row>
    <row r="321" spans="1:25" x14ac:dyDescent="0.35">
      <c r="A321">
        <v>2920</v>
      </c>
      <c r="B321">
        <v>23610</v>
      </c>
      <c r="C321" s="1">
        <v>43266</v>
      </c>
      <c r="D321" s="1"/>
      <c r="E321" s="1"/>
      <c r="F321" s="41"/>
      <c r="G321">
        <v>15.5</v>
      </c>
      <c r="H321">
        <v>13.5</v>
      </c>
      <c r="I321">
        <v>18.7</v>
      </c>
      <c r="J321">
        <f t="shared" si="36"/>
        <v>2838.2000000000016</v>
      </c>
      <c r="K321">
        <f t="shared" si="37"/>
        <v>140.10000000000002</v>
      </c>
      <c r="L321" s="8">
        <f>MAX(I314:I335)</f>
        <v>28.9</v>
      </c>
      <c r="M321">
        <v>0</v>
      </c>
      <c r="N321">
        <v>2.8</v>
      </c>
      <c r="O321">
        <f t="shared" si="32"/>
        <v>-2.8</v>
      </c>
      <c r="Q321">
        <v>278</v>
      </c>
      <c r="R321">
        <f t="shared" si="35"/>
        <v>0.74183673469387745</v>
      </c>
      <c r="S321">
        <f t="shared" si="33"/>
        <v>2.077142857142857</v>
      </c>
      <c r="T321">
        <f t="shared" si="34"/>
        <v>-2.077142857142857</v>
      </c>
      <c r="U321">
        <f t="shared" si="38"/>
        <v>160.76377551020408</v>
      </c>
      <c r="V321" s="11">
        <f>MAX(U314:U335)</f>
        <v>166.50255102040813</v>
      </c>
      <c r="W321">
        <v>1255.5999999999999</v>
      </c>
      <c r="X321">
        <f t="shared" si="39"/>
        <v>8094.8000000000011</v>
      </c>
      <c r="Y321">
        <v>15.827504159036636</v>
      </c>
    </row>
    <row r="322" spans="1:25" x14ac:dyDescent="0.35">
      <c r="A322">
        <v>2920</v>
      </c>
      <c r="B322">
        <v>23610</v>
      </c>
      <c r="C322" s="1">
        <v>43267</v>
      </c>
      <c r="D322" s="1"/>
      <c r="E322" s="1"/>
      <c r="F322" s="41"/>
      <c r="G322">
        <v>15.5</v>
      </c>
      <c r="H322">
        <v>10.7</v>
      </c>
      <c r="I322">
        <v>19.100000000000001</v>
      </c>
      <c r="J322">
        <f t="shared" si="36"/>
        <v>2853.7000000000016</v>
      </c>
      <c r="K322">
        <f t="shared" si="37"/>
        <v>155.60000000000002</v>
      </c>
      <c r="L322" s="23" t="s">
        <v>42</v>
      </c>
      <c r="M322">
        <v>0</v>
      </c>
      <c r="N322">
        <v>1.7</v>
      </c>
      <c r="O322">
        <f t="shared" si="32"/>
        <v>-1.7</v>
      </c>
      <c r="Q322">
        <v>279</v>
      </c>
      <c r="R322">
        <f t="shared" si="35"/>
        <v>0.72551020408163258</v>
      </c>
      <c r="S322">
        <f t="shared" si="33"/>
        <v>1.2333673469387754</v>
      </c>
      <c r="T322">
        <f t="shared" si="34"/>
        <v>-1.2333673469387754</v>
      </c>
      <c r="U322">
        <f t="shared" si="38"/>
        <v>159.53040816326532</v>
      </c>
      <c r="V322" s="24" t="s">
        <v>49</v>
      </c>
      <c r="W322">
        <v>1082</v>
      </c>
      <c r="X322">
        <f t="shared" si="39"/>
        <v>9176.8000000000011</v>
      </c>
      <c r="Y322">
        <v>15.83552263299285</v>
      </c>
    </row>
    <row r="323" spans="1:25" x14ac:dyDescent="0.35">
      <c r="A323">
        <v>2920</v>
      </c>
      <c r="B323">
        <v>23610</v>
      </c>
      <c r="C323" s="1">
        <v>43268</v>
      </c>
      <c r="D323" s="1"/>
      <c r="E323" s="1"/>
      <c r="F323" s="41"/>
      <c r="G323">
        <v>16.399999999999999</v>
      </c>
      <c r="H323">
        <v>13.7</v>
      </c>
      <c r="I323">
        <v>19.399999999999999</v>
      </c>
      <c r="J323">
        <f t="shared" si="36"/>
        <v>2870.1000000000017</v>
      </c>
      <c r="K323">
        <f t="shared" si="37"/>
        <v>172.00000000000003</v>
      </c>
      <c r="L323" s="8">
        <v>6</v>
      </c>
      <c r="M323">
        <v>0.2</v>
      </c>
      <c r="N323">
        <v>2.5</v>
      </c>
      <c r="O323">
        <f t="shared" si="32"/>
        <v>-2.2999999999999998</v>
      </c>
      <c r="Q323">
        <v>280</v>
      </c>
      <c r="R323">
        <f t="shared" si="35"/>
        <v>0.70918367346938771</v>
      </c>
      <c r="S323">
        <f t="shared" si="33"/>
        <v>1.7729591836734693</v>
      </c>
      <c r="T323">
        <f t="shared" si="34"/>
        <v>-1.5729591836734693</v>
      </c>
      <c r="U323">
        <f t="shared" si="38"/>
        <v>157.95744897959185</v>
      </c>
      <c r="V323" s="11">
        <f>AVERAGE(U314:U335)</f>
        <v>143.09037105751395</v>
      </c>
      <c r="W323">
        <v>1195.8</v>
      </c>
      <c r="X323">
        <f t="shared" si="39"/>
        <v>10372.6</v>
      </c>
      <c r="Y323">
        <v>15.842157158867153</v>
      </c>
    </row>
    <row r="324" spans="1:25" x14ac:dyDescent="0.35">
      <c r="A324">
        <v>2920</v>
      </c>
      <c r="B324">
        <v>23610</v>
      </c>
      <c r="C324" s="1">
        <v>43269</v>
      </c>
      <c r="D324" s="1"/>
      <c r="E324" s="1"/>
      <c r="F324" s="41"/>
      <c r="G324">
        <v>18.600000000000001</v>
      </c>
      <c r="H324">
        <v>16.3</v>
      </c>
      <c r="I324">
        <v>22.4</v>
      </c>
      <c r="J324">
        <f t="shared" si="36"/>
        <v>2888.7000000000016</v>
      </c>
      <c r="K324">
        <f t="shared" si="37"/>
        <v>190.60000000000002</v>
      </c>
      <c r="L324" s="23" t="s">
        <v>43</v>
      </c>
      <c r="M324">
        <v>0</v>
      </c>
      <c r="N324">
        <v>2</v>
      </c>
      <c r="O324">
        <f t="shared" si="32"/>
        <v>-2</v>
      </c>
      <c r="Q324">
        <v>281</v>
      </c>
      <c r="R324">
        <f t="shared" si="35"/>
        <v>0.69285714285714284</v>
      </c>
      <c r="S324">
        <f t="shared" si="33"/>
        <v>1.3857142857142857</v>
      </c>
      <c r="T324">
        <f t="shared" si="34"/>
        <v>-1.3857142857142857</v>
      </c>
      <c r="U324">
        <f t="shared" si="38"/>
        <v>156.57173469387757</v>
      </c>
      <c r="W324">
        <v>777.9</v>
      </c>
      <c r="X324">
        <f t="shared" si="39"/>
        <v>11150.5</v>
      </c>
      <c r="Y324">
        <v>15.847401719114204</v>
      </c>
    </row>
    <row r="325" spans="1:25" x14ac:dyDescent="0.35">
      <c r="A325">
        <v>2920</v>
      </c>
      <c r="B325">
        <v>23610</v>
      </c>
      <c r="C325" s="1">
        <v>43270</v>
      </c>
      <c r="D325" s="1"/>
      <c r="E325" s="1"/>
      <c r="F325" s="41"/>
      <c r="G325">
        <v>18.8</v>
      </c>
      <c r="H325">
        <v>16.2</v>
      </c>
      <c r="I325">
        <v>23</v>
      </c>
      <c r="J325">
        <f t="shared" si="36"/>
        <v>2907.5000000000018</v>
      </c>
      <c r="K325">
        <f t="shared" si="37"/>
        <v>209.40000000000003</v>
      </c>
      <c r="L325" s="8">
        <v>0</v>
      </c>
      <c r="M325">
        <v>0</v>
      </c>
      <c r="N325">
        <v>2.1</v>
      </c>
      <c r="O325">
        <f t="shared" ref="O325:O367" si="40">M325-N325</f>
        <v>-2.1</v>
      </c>
      <c r="Q325">
        <v>282</v>
      </c>
      <c r="R325">
        <f t="shared" si="35"/>
        <v>0.67653061224489797</v>
      </c>
      <c r="S325">
        <f t="shared" ref="S325:S367" si="41">R325*N325</f>
        <v>1.4207142857142858</v>
      </c>
      <c r="T325">
        <f t="shared" ref="T325:T367" si="42">M325-S325</f>
        <v>-1.4207142857142858</v>
      </c>
      <c r="U325">
        <f t="shared" si="38"/>
        <v>155.15102040816328</v>
      </c>
      <c r="V325" s="12">
        <f>(V323*100)/197.4</f>
        <v>72.487523332073934</v>
      </c>
      <c r="W325">
        <v>916.8</v>
      </c>
      <c r="X325">
        <f t="shared" si="39"/>
        <v>12067.3</v>
      </c>
      <c r="Y325">
        <v>15.851251539971809</v>
      </c>
    </row>
    <row r="326" spans="1:25" x14ac:dyDescent="0.35">
      <c r="A326">
        <v>2920</v>
      </c>
      <c r="B326">
        <v>23610</v>
      </c>
      <c r="C326" s="1">
        <v>43271</v>
      </c>
      <c r="D326" s="1"/>
      <c r="E326" s="1"/>
      <c r="F326" s="41"/>
      <c r="G326">
        <v>20</v>
      </c>
      <c r="H326">
        <v>15.2</v>
      </c>
      <c r="I326">
        <v>25.3</v>
      </c>
      <c r="J326">
        <f t="shared" si="36"/>
        <v>2927.5000000000018</v>
      </c>
      <c r="K326">
        <f t="shared" si="37"/>
        <v>229.40000000000003</v>
      </c>
      <c r="L326" s="23" t="s">
        <v>44</v>
      </c>
      <c r="M326">
        <v>0</v>
      </c>
      <c r="N326">
        <v>4.7</v>
      </c>
      <c r="O326">
        <f t="shared" si="40"/>
        <v>-4.7</v>
      </c>
      <c r="Q326">
        <v>283</v>
      </c>
      <c r="R326">
        <f t="shared" si="35"/>
        <v>0.66020408163265298</v>
      </c>
      <c r="S326">
        <f t="shared" si="41"/>
        <v>3.1029591836734691</v>
      </c>
      <c r="T326">
        <f t="shared" si="42"/>
        <v>-3.1029591836734691</v>
      </c>
      <c r="U326">
        <f t="shared" si="38"/>
        <v>152.0480612244898</v>
      </c>
      <c r="W326">
        <v>2439.3000000000002</v>
      </c>
      <c r="X326">
        <f t="shared" si="39"/>
        <v>14506.599999999999</v>
      </c>
      <c r="Y326">
        <v>15.85370310767316</v>
      </c>
    </row>
    <row r="327" spans="1:25" x14ac:dyDescent="0.35">
      <c r="A327">
        <v>2920</v>
      </c>
      <c r="B327">
        <v>23610</v>
      </c>
      <c r="C327" s="1">
        <v>43272</v>
      </c>
      <c r="D327" s="1"/>
      <c r="E327" s="1"/>
      <c r="F327" s="41"/>
      <c r="G327">
        <v>16.399999999999999</v>
      </c>
      <c r="H327">
        <v>14.3</v>
      </c>
      <c r="I327">
        <v>19.8</v>
      </c>
      <c r="J327">
        <f t="shared" si="36"/>
        <v>2943.9000000000019</v>
      </c>
      <c r="K327">
        <f t="shared" si="37"/>
        <v>245.80000000000004</v>
      </c>
      <c r="L327" s="8">
        <v>0</v>
      </c>
      <c r="M327">
        <v>0</v>
      </c>
      <c r="N327">
        <v>4.7</v>
      </c>
      <c r="O327">
        <f t="shared" si="40"/>
        <v>-4.7</v>
      </c>
      <c r="Q327">
        <v>284</v>
      </c>
      <c r="R327">
        <f t="shared" si="35"/>
        <v>0.64387755102040811</v>
      </c>
      <c r="S327">
        <f t="shared" si="41"/>
        <v>3.0262244897959181</v>
      </c>
      <c r="T327">
        <f t="shared" si="42"/>
        <v>-3.0262244897959181</v>
      </c>
      <c r="U327">
        <f t="shared" si="38"/>
        <v>149.02183673469389</v>
      </c>
      <c r="W327">
        <v>2315.6</v>
      </c>
      <c r="X327">
        <f t="shared" si="39"/>
        <v>16822.199999999997</v>
      </c>
      <c r="Y327">
        <v>15.854754180430909</v>
      </c>
    </row>
    <row r="328" spans="1:25" x14ac:dyDescent="0.35">
      <c r="A328">
        <v>2920</v>
      </c>
      <c r="B328">
        <v>23610</v>
      </c>
      <c r="C328" s="1">
        <v>43273</v>
      </c>
      <c r="D328" s="1"/>
      <c r="E328" s="1"/>
      <c r="F328" s="41"/>
      <c r="G328">
        <v>16.2</v>
      </c>
      <c r="H328">
        <v>11.2</v>
      </c>
      <c r="I328">
        <v>20.2</v>
      </c>
      <c r="J328">
        <f t="shared" si="36"/>
        <v>2960.1000000000017</v>
      </c>
      <c r="K328">
        <f t="shared" si="37"/>
        <v>262.00000000000006</v>
      </c>
      <c r="M328">
        <v>0</v>
      </c>
      <c r="N328">
        <v>6</v>
      </c>
      <c r="O328">
        <f t="shared" si="40"/>
        <v>-6</v>
      </c>
      <c r="Q328">
        <v>285</v>
      </c>
      <c r="R328">
        <f t="shared" si="35"/>
        <v>0.62755102040816324</v>
      </c>
      <c r="S328">
        <f t="shared" si="41"/>
        <v>3.7653061224489797</v>
      </c>
      <c r="T328">
        <f t="shared" si="42"/>
        <v>-3.7653061224489797</v>
      </c>
      <c r="U328">
        <f t="shared" si="38"/>
        <v>145.25653061224492</v>
      </c>
      <c r="W328">
        <v>3318.1</v>
      </c>
      <c r="X328">
        <f t="shared" si="39"/>
        <v>20140.299999999996</v>
      </c>
      <c r="Y328">
        <v>15.854403796105522</v>
      </c>
    </row>
    <row r="329" spans="1:25" x14ac:dyDescent="0.35">
      <c r="A329">
        <v>2920</v>
      </c>
      <c r="B329">
        <v>23610</v>
      </c>
      <c r="C329" s="1">
        <v>43274</v>
      </c>
      <c r="D329" s="1"/>
      <c r="E329" s="1"/>
      <c r="F329" s="41"/>
      <c r="G329">
        <v>18.5</v>
      </c>
      <c r="H329">
        <v>13.9</v>
      </c>
      <c r="I329">
        <v>22.8</v>
      </c>
      <c r="J329">
        <f t="shared" si="36"/>
        <v>2978.6000000000017</v>
      </c>
      <c r="K329">
        <f t="shared" si="37"/>
        <v>280.50000000000006</v>
      </c>
      <c r="M329">
        <v>0</v>
      </c>
      <c r="N329">
        <v>7.1</v>
      </c>
      <c r="O329">
        <f t="shared" si="40"/>
        <v>-7.1</v>
      </c>
      <c r="Q329">
        <v>286</v>
      </c>
      <c r="R329">
        <f t="shared" si="35"/>
        <v>0.61122448979591837</v>
      </c>
      <c r="S329">
        <f t="shared" si="41"/>
        <v>4.3396938775510199</v>
      </c>
      <c r="T329">
        <f t="shared" si="42"/>
        <v>-4.3396938775510199</v>
      </c>
      <c r="U329">
        <f t="shared" si="38"/>
        <v>140.9168367346939</v>
      </c>
      <c r="W329">
        <v>3312.2</v>
      </c>
      <c r="X329">
        <f t="shared" si="39"/>
        <v>23452.499999999996</v>
      </c>
      <c r="Y329">
        <v>15.852652275501848</v>
      </c>
    </row>
    <row r="330" spans="1:25" x14ac:dyDescent="0.35">
      <c r="A330">
        <v>2920</v>
      </c>
      <c r="B330">
        <v>23610</v>
      </c>
      <c r="C330" s="1">
        <v>43275</v>
      </c>
      <c r="D330" s="1"/>
      <c r="E330" s="1"/>
      <c r="F330" s="41"/>
      <c r="G330">
        <v>19</v>
      </c>
      <c r="H330">
        <v>13.8</v>
      </c>
      <c r="I330">
        <v>23.8</v>
      </c>
      <c r="J330">
        <f t="shared" si="36"/>
        <v>2997.6000000000017</v>
      </c>
      <c r="K330">
        <f t="shared" si="37"/>
        <v>299.50000000000006</v>
      </c>
      <c r="M330">
        <v>0</v>
      </c>
      <c r="N330">
        <v>6.1</v>
      </c>
      <c r="O330">
        <f t="shared" si="40"/>
        <v>-6.1</v>
      </c>
      <c r="Q330">
        <v>287</v>
      </c>
      <c r="R330">
        <f t="shared" si="35"/>
        <v>0.59489795918367339</v>
      </c>
      <c r="S330">
        <f t="shared" si="41"/>
        <v>3.6288775510204077</v>
      </c>
      <c r="T330">
        <f t="shared" si="42"/>
        <v>-3.6288775510204077</v>
      </c>
      <c r="U330">
        <f t="shared" si="38"/>
        <v>137.28795918367351</v>
      </c>
      <c r="W330">
        <v>2873.2</v>
      </c>
      <c r="X330">
        <f t="shared" si="39"/>
        <v>26325.699999999997</v>
      </c>
      <c r="Y330">
        <v>15.849501221269582</v>
      </c>
    </row>
    <row r="331" spans="1:25" x14ac:dyDescent="0.35">
      <c r="A331">
        <v>2920</v>
      </c>
      <c r="B331">
        <v>23610</v>
      </c>
      <c r="C331" s="1">
        <v>43276</v>
      </c>
      <c r="D331" s="1"/>
      <c r="E331" s="1"/>
      <c r="F331" s="41"/>
      <c r="G331">
        <v>21</v>
      </c>
      <c r="H331">
        <v>14.8</v>
      </c>
      <c r="I331">
        <v>26.3</v>
      </c>
      <c r="J331">
        <f t="shared" si="36"/>
        <v>3018.6000000000017</v>
      </c>
      <c r="K331">
        <f t="shared" si="37"/>
        <v>320.50000000000006</v>
      </c>
      <c r="M331">
        <v>0</v>
      </c>
      <c r="N331">
        <v>6.9</v>
      </c>
      <c r="O331">
        <f t="shared" si="40"/>
        <v>-6.9</v>
      </c>
      <c r="Q331">
        <v>288</v>
      </c>
      <c r="R331">
        <f t="shared" si="35"/>
        <v>0.57857142857142851</v>
      </c>
      <c r="S331">
        <f t="shared" si="41"/>
        <v>3.992142857142857</v>
      </c>
      <c r="T331">
        <f t="shared" si="42"/>
        <v>-3.992142857142857</v>
      </c>
      <c r="U331">
        <f t="shared" si="38"/>
        <v>133.29581632653066</v>
      </c>
      <c r="W331">
        <v>3296.6</v>
      </c>
      <c r="X331">
        <f t="shared" si="39"/>
        <v>29622.299999999996</v>
      </c>
      <c r="Y331">
        <v>15.844953512415767</v>
      </c>
    </row>
    <row r="332" spans="1:25" x14ac:dyDescent="0.35">
      <c r="A332">
        <v>2920</v>
      </c>
      <c r="B332">
        <v>23610</v>
      </c>
      <c r="C332" s="1">
        <v>43277</v>
      </c>
      <c r="D332" s="1"/>
      <c r="E332" s="1"/>
      <c r="F332" s="41"/>
      <c r="G332">
        <v>23</v>
      </c>
      <c r="H332">
        <v>17.8</v>
      </c>
      <c r="I332">
        <v>27.9</v>
      </c>
      <c r="J332">
        <f t="shared" si="36"/>
        <v>3041.6000000000017</v>
      </c>
      <c r="K332">
        <f t="shared" si="37"/>
        <v>343.50000000000006</v>
      </c>
      <c r="M332">
        <v>0</v>
      </c>
      <c r="N332">
        <v>7.7</v>
      </c>
      <c r="O332">
        <f t="shared" si="40"/>
        <v>-7.7</v>
      </c>
      <c r="Q332">
        <v>289</v>
      </c>
      <c r="R332">
        <f t="shared" si="35"/>
        <v>0.56224489795918364</v>
      </c>
      <c r="S332">
        <f t="shared" si="41"/>
        <v>4.3292857142857137</v>
      </c>
      <c r="T332">
        <f t="shared" si="42"/>
        <v>-4.3292857142857137</v>
      </c>
      <c r="U332">
        <f t="shared" si="38"/>
        <v>128.96653061224495</v>
      </c>
      <c r="W332">
        <v>3286.4</v>
      </c>
      <c r="X332">
        <f t="shared" si="39"/>
        <v>32908.699999999997</v>
      </c>
      <c r="Y332">
        <v>15.839013294469575</v>
      </c>
    </row>
    <row r="333" spans="1:25" x14ac:dyDescent="0.35">
      <c r="A333">
        <v>2920</v>
      </c>
      <c r="B333">
        <v>23610</v>
      </c>
      <c r="C333" s="1">
        <v>43278</v>
      </c>
      <c r="D333" s="1"/>
      <c r="E333" s="1"/>
      <c r="F333" s="41"/>
      <c r="G333">
        <v>23.8</v>
      </c>
      <c r="H333">
        <v>18.899999999999999</v>
      </c>
      <c r="I333">
        <v>28.9</v>
      </c>
      <c r="J333">
        <f t="shared" si="36"/>
        <v>3065.4000000000019</v>
      </c>
      <c r="K333">
        <f t="shared" si="37"/>
        <v>367.30000000000007</v>
      </c>
      <c r="M333">
        <v>0</v>
      </c>
      <c r="N333">
        <v>7.8</v>
      </c>
      <c r="O333">
        <f t="shared" si="40"/>
        <v>-7.8</v>
      </c>
      <c r="Q333">
        <v>290</v>
      </c>
      <c r="R333">
        <f t="shared" si="35"/>
        <v>0.54591836734693877</v>
      </c>
      <c r="S333">
        <f t="shared" si="41"/>
        <v>4.2581632653061225</v>
      </c>
      <c r="T333">
        <f t="shared" si="42"/>
        <v>-4.2581632653061225</v>
      </c>
      <c r="U333">
        <f t="shared" si="38"/>
        <v>124.70836734693883</v>
      </c>
      <c r="W333">
        <v>3289.9</v>
      </c>
      <c r="X333">
        <f t="shared" si="39"/>
        <v>36198.6</v>
      </c>
      <c r="Y333">
        <v>15.831685965371326</v>
      </c>
    </row>
    <row r="334" spans="1:25" ht="15" thickBot="1" x14ac:dyDescent="0.4">
      <c r="A334">
        <v>2920</v>
      </c>
      <c r="B334">
        <v>23610</v>
      </c>
      <c r="C334" s="1">
        <v>43279</v>
      </c>
      <c r="D334" s="1"/>
      <c r="E334" s="1"/>
      <c r="F334" s="41"/>
      <c r="G334">
        <v>22.9</v>
      </c>
      <c r="H334">
        <v>18.600000000000001</v>
      </c>
      <c r="I334">
        <v>27.4</v>
      </c>
      <c r="J334">
        <f t="shared" si="36"/>
        <v>3088.300000000002</v>
      </c>
      <c r="K334">
        <f t="shared" si="37"/>
        <v>390.20000000000005</v>
      </c>
      <c r="M334">
        <v>0</v>
      </c>
      <c r="N334">
        <v>6.8</v>
      </c>
      <c r="O334">
        <f t="shared" si="40"/>
        <v>-6.8</v>
      </c>
      <c r="Q334">
        <v>291</v>
      </c>
      <c r="R334">
        <f t="shared" si="35"/>
        <v>0.5295918367346939</v>
      </c>
      <c r="S334">
        <f t="shared" si="41"/>
        <v>3.6012244897959182</v>
      </c>
      <c r="T334">
        <f t="shared" si="42"/>
        <v>-3.6012244897959182</v>
      </c>
      <c r="U334">
        <f t="shared" si="38"/>
        <v>121.1071428571429</v>
      </c>
      <c r="W334">
        <v>2946.1</v>
      </c>
      <c r="X334">
        <f t="shared" si="39"/>
        <v>39144.699999999997</v>
      </c>
      <c r="Y334" s="4">
        <v>15.822978157188379</v>
      </c>
    </row>
    <row r="335" spans="1:25" s="4" customFormat="1" ht="15" thickBot="1" x14ac:dyDescent="0.4">
      <c r="A335" s="4">
        <v>2920</v>
      </c>
      <c r="B335" s="4">
        <v>23610</v>
      </c>
      <c r="C335" s="5">
        <v>43280</v>
      </c>
      <c r="D335" s="4">
        <v>1000</v>
      </c>
      <c r="E335" s="5"/>
      <c r="F335" s="42"/>
      <c r="G335" s="4">
        <v>23.6</v>
      </c>
      <c r="H335" s="4">
        <v>18.399999999999999</v>
      </c>
      <c r="I335" s="4">
        <v>28.3</v>
      </c>
      <c r="J335" s="4">
        <f t="shared" si="36"/>
        <v>3111.9000000000019</v>
      </c>
      <c r="K335" s="4">
        <f t="shared" si="37"/>
        <v>413.80000000000007</v>
      </c>
      <c r="M335" s="4">
        <v>0</v>
      </c>
      <c r="N335" s="4">
        <v>6.6</v>
      </c>
      <c r="O335" s="4">
        <f t="shared" si="40"/>
        <v>-6.6</v>
      </c>
      <c r="Q335" s="4">
        <v>292</v>
      </c>
      <c r="R335" s="4">
        <f t="shared" si="35"/>
        <v>0.51326530612244892</v>
      </c>
      <c r="S335" s="4">
        <f t="shared" si="41"/>
        <v>3.3875510204081625</v>
      </c>
      <c r="T335" s="4">
        <f t="shared" si="42"/>
        <v>-3.3875510204081625</v>
      </c>
      <c r="U335" s="4">
        <f t="shared" si="38"/>
        <v>117.71959183673474</v>
      </c>
      <c r="W335" s="4">
        <v>2594.6999999999998</v>
      </c>
      <c r="X335" s="4">
        <f t="shared" si="39"/>
        <v>41739.399999999994</v>
      </c>
      <c r="Y335" s="4">
        <v>15.812897713790049</v>
      </c>
    </row>
    <row r="336" spans="1:25" x14ac:dyDescent="0.35">
      <c r="A336">
        <v>2920</v>
      </c>
      <c r="B336">
        <v>23610</v>
      </c>
      <c r="C336" s="1">
        <v>43281</v>
      </c>
      <c r="D336" s="1"/>
      <c r="E336" s="1"/>
      <c r="F336" s="1"/>
      <c r="G336">
        <v>25.4</v>
      </c>
      <c r="H336">
        <v>20.100000000000001</v>
      </c>
      <c r="I336">
        <v>30.1</v>
      </c>
      <c r="J336">
        <f t="shared" si="36"/>
        <v>3137.300000000002</v>
      </c>
      <c r="K336">
        <f>G336</f>
        <v>25.4</v>
      </c>
      <c r="M336">
        <v>0.9</v>
      </c>
      <c r="N336">
        <v>4.5999999999999996</v>
      </c>
      <c r="O336">
        <f t="shared" si="40"/>
        <v>-3.6999999999999997</v>
      </c>
      <c r="Q336">
        <v>293</v>
      </c>
      <c r="R336">
        <f t="shared" si="35"/>
        <v>0.49693877551020404</v>
      </c>
      <c r="S336">
        <f t="shared" si="41"/>
        <v>2.2859183673469383</v>
      </c>
      <c r="T336">
        <f t="shared" si="42"/>
        <v>-1.3859183673469384</v>
      </c>
      <c r="U336">
        <f t="shared" si="38"/>
        <v>116.3336734693878</v>
      </c>
      <c r="W336">
        <v>1710.1</v>
      </c>
      <c r="X336">
        <f>W336</f>
        <v>1710.1</v>
      </c>
      <c r="Y336">
        <v>15.801453664641445</v>
      </c>
    </row>
    <row r="337" spans="1:25" x14ac:dyDescent="0.35">
      <c r="A337">
        <v>2920</v>
      </c>
      <c r="B337">
        <v>23610</v>
      </c>
      <c r="C337" s="1">
        <v>43282</v>
      </c>
      <c r="D337" s="1"/>
      <c r="E337" s="1"/>
      <c r="F337" s="1"/>
      <c r="G337">
        <v>24.8</v>
      </c>
      <c r="H337">
        <v>20.8</v>
      </c>
      <c r="I337">
        <v>28.8</v>
      </c>
      <c r="J337">
        <f t="shared" si="36"/>
        <v>3162.1000000000022</v>
      </c>
      <c r="K337">
        <f t="shared" si="37"/>
        <v>50.2</v>
      </c>
      <c r="M337">
        <v>13.4</v>
      </c>
      <c r="N337">
        <v>4.4000000000000004</v>
      </c>
      <c r="O337">
        <f t="shared" si="40"/>
        <v>9</v>
      </c>
      <c r="Q337">
        <v>294</v>
      </c>
      <c r="R337">
        <f t="shared" si="35"/>
        <v>0.48061224489795917</v>
      </c>
      <c r="S337">
        <f t="shared" si="41"/>
        <v>2.1146938775510207</v>
      </c>
      <c r="T337">
        <f t="shared" si="42"/>
        <v>11.285306122448979</v>
      </c>
      <c r="U337">
        <f t="shared" si="38"/>
        <v>127.61897959183679</v>
      </c>
      <c r="W337">
        <v>2192.4</v>
      </c>
      <c r="X337">
        <f t="shared" si="39"/>
        <v>3902.5</v>
      </c>
      <c r="Y337">
        <v>15.788656194901822</v>
      </c>
    </row>
    <row r="338" spans="1:25" x14ac:dyDescent="0.35">
      <c r="A338">
        <v>2920</v>
      </c>
      <c r="B338">
        <v>23610</v>
      </c>
      <c r="C338" s="1">
        <v>43283</v>
      </c>
      <c r="D338" s="1"/>
      <c r="E338" s="1"/>
      <c r="F338" s="1"/>
      <c r="G338">
        <v>21.1</v>
      </c>
      <c r="H338">
        <v>18.899999999999999</v>
      </c>
      <c r="I338">
        <v>24.7</v>
      </c>
      <c r="J338">
        <f t="shared" si="36"/>
        <v>3183.2000000000021</v>
      </c>
      <c r="K338">
        <f t="shared" si="37"/>
        <v>71.300000000000011</v>
      </c>
      <c r="M338">
        <v>4.8</v>
      </c>
      <c r="N338">
        <v>2.1</v>
      </c>
      <c r="O338">
        <f t="shared" si="40"/>
        <v>2.6999999999999997</v>
      </c>
      <c r="Q338">
        <v>295</v>
      </c>
      <c r="R338">
        <f t="shared" si="35"/>
        <v>0.4642857142857143</v>
      </c>
      <c r="S338">
        <f t="shared" si="41"/>
        <v>0.97500000000000009</v>
      </c>
      <c r="T338">
        <f t="shared" si="42"/>
        <v>3.8249999999999997</v>
      </c>
      <c r="U338">
        <f t="shared" si="38"/>
        <v>131.44397959183678</v>
      </c>
      <c r="W338">
        <v>1071.8</v>
      </c>
      <c r="X338">
        <f t="shared" si="39"/>
        <v>4974.3</v>
      </c>
      <c r="Y338">
        <v>15.774516612036651</v>
      </c>
    </row>
    <row r="339" spans="1:25" x14ac:dyDescent="0.35">
      <c r="A339">
        <v>2920</v>
      </c>
      <c r="B339">
        <v>23610</v>
      </c>
      <c r="C339" s="1">
        <v>43284</v>
      </c>
      <c r="D339" s="1"/>
      <c r="E339" s="1"/>
      <c r="F339" s="1"/>
      <c r="G339">
        <v>20.9</v>
      </c>
      <c r="H339">
        <v>19.2</v>
      </c>
      <c r="I339">
        <v>24</v>
      </c>
      <c r="J339">
        <f t="shared" si="36"/>
        <v>3204.1000000000022</v>
      </c>
      <c r="K339">
        <f t="shared" si="37"/>
        <v>92.200000000000017</v>
      </c>
      <c r="M339">
        <v>0.1</v>
      </c>
      <c r="N339">
        <v>2.9</v>
      </c>
      <c r="O339">
        <f t="shared" si="40"/>
        <v>-2.8</v>
      </c>
      <c r="Q339">
        <v>296</v>
      </c>
      <c r="R339">
        <f t="shared" si="35"/>
        <v>0.44795918367346943</v>
      </c>
      <c r="S339">
        <f t="shared" si="41"/>
        <v>1.2990816326530612</v>
      </c>
      <c r="T339">
        <f t="shared" si="42"/>
        <v>-1.1990816326530611</v>
      </c>
      <c r="U339">
        <f t="shared" si="38"/>
        <v>130.24489795918373</v>
      </c>
      <c r="W339">
        <v>1291.7</v>
      </c>
      <c r="X339">
        <f t="shared" si="39"/>
        <v>6266</v>
      </c>
      <c r="Y339">
        <v>15.7590473091735</v>
      </c>
    </row>
    <row r="340" spans="1:25" x14ac:dyDescent="0.35">
      <c r="A340">
        <v>2920</v>
      </c>
      <c r="B340">
        <v>23610</v>
      </c>
      <c r="C340" s="1">
        <v>43285</v>
      </c>
      <c r="D340" s="1"/>
      <c r="E340" s="1"/>
      <c r="F340" s="1"/>
      <c r="G340">
        <v>21</v>
      </c>
      <c r="H340">
        <v>17.399999999999999</v>
      </c>
      <c r="I340">
        <v>24.9</v>
      </c>
      <c r="J340">
        <f t="shared" si="36"/>
        <v>3225.1000000000022</v>
      </c>
      <c r="K340">
        <f t="shared" si="37"/>
        <v>113.20000000000002</v>
      </c>
      <c r="M340">
        <v>0</v>
      </c>
      <c r="N340">
        <v>4</v>
      </c>
      <c r="O340">
        <f t="shared" si="40"/>
        <v>-4</v>
      </c>
      <c r="Q340">
        <v>297</v>
      </c>
      <c r="R340">
        <f t="shared" si="35"/>
        <v>0.43163265306122445</v>
      </c>
      <c r="S340">
        <f t="shared" si="41"/>
        <v>1.7265306122448978</v>
      </c>
      <c r="T340">
        <f t="shared" si="42"/>
        <v>-1.7265306122448978</v>
      </c>
      <c r="U340">
        <f t="shared" si="38"/>
        <v>128.51836734693885</v>
      </c>
      <c r="W340">
        <v>1871</v>
      </c>
      <c r="X340">
        <f t="shared" si="39"/>
        <v>8137</v>
      </c>
      <c r="Y340">
        <v>15.742261725450044</v>
      </c>
    </row>
    <row r="341" spans="1:25" x14ac:dyDescent="0.35">
      <c r="A341">
        <v>2920</v>
      </c>
      <c r="B341">
        <v>23610</v>
      </c>
      <c r="C341" s="1">
        <v>43286</v>
      </c>
      <c r="D341" s="1"/>
      <c r="E341" s="1"/>
      <c r="F341" s="1"/>
      <c r="G341">
        <v>20</v>
      </c>
      <c r="H341">
        <v>16.100000000000001</v>
      </c>
      <c r="I341">
        <v>23.9</v>
      </c>
      <c r="J341">
        <f t="shared" si="36"/>
        <v>3245.1000000000022</v>
      </c>
      <c r="K341">
        <f t="shared" si="37"/>
        <v>133.20000000000002</v>
      </c>
      <c r="M341">
        <v>0</v>
      </c>
      <c r="N341">
        <v>4.2</v>
      </c>
      <c r="O341">
        <f t="shared" si="40"/>
        <v>-4.2</v>
      </c>
      <c r="Q341">
        <v>298</v>
      </c>
      <c r="R341">
        <f t="shared" si="35"/>
        <v>0.41530612244897958</v>
      </c>
      <c r="S341">
        <f t="shared" si="41"/>
        <v>1.7442857142857142</v>
      </c>
      <c r="T341">
        <f t="shared" si="42"/>
        <v>-1.7442857142857142</v>
      </c>
      <c r="U341">
        <f t="shared" si="38"/>
        <v>126.77408163265314</v>
      </c>
      <c r="W341">
        <v>2277.3000000000002</v>
      </c>
      <c r="X341">
        <f t="shared" si="39"/>
        <v>10414.299999999999</v>
      </c>
      <c r="Y341">
        <v>15.724174303617984</v>
      </c>
    </row>
    <row r="342" spans="1:25" x14ac:dyDescent="0.35">
      <c r="A342">
        <v>2920</v>
      </c>
      <c r="B342">
        <v>23610</v>
      </c>
      <c r="C342" s="1">
        <v>43287</v>
      </c>
      <c r="D342" s="1"/>
      <c r="E342" s="1"/>
      <c r="F342" s="1"/>
      <c r="G342">
        <v>19.600000000000001</v>
      </c>
      <c r="H342">
        <v>16</v>
      </c>
      <c r="I342">
        <v>25.6</v>
      </c>
      <c r="J342">
        <f t="shared" si="36"/>
        <v>3264.7000000000021</v>
      </c>
      <c r="K342">
        <f t="shared" si="37"/>
        <v>152.80000000000001</v>
      </c>
      <c r="M342">
        <v>0.5</v>
      </c>
      <c r="N342">
        <v>3.3</v>
      </c>
      <c r="O342">
        <f t="shared" si="40"/>
        <v>-2.8</v>
      </c>
      <c r="Q342">
        <v>299</v>
      </c>
      <c r="R342">
        <f t="shared" si="35"/>
        <v>0.39897959183673459</v>
      </c>
      <c r="S342">
        <f t="shared" si="41"/>
        <v>1.316632653061224</v>
      </c>
      <c r="T342">
        <f t="shared" si="42"/>
        <v>-0.81663265306122401</v>
      </c>
      <c r="U342">
        <f t="shared" si="38"/>
        <v>125.95744897959192</v>
      </c>
      <c r="W342">
        <v>1386.7</v>
      </c>
      <c r="X342">
        <f t="shared" si="39"/>
        <v>11801</v>
      </c>
      <c r="Y342">
        <v>15.70480044517894</v>
      </c>
    </row>
    <row r="343" spans="1:25" x14ac:dyDescent="0.35">
      <c r="A343">
        <v>2920</v>
      </c>
      <c r="B343">
        <v>23610</v>
      </c>
      <c r="C343" s="1">
        <v>43288</v>
      </c>
      <c r="D343" s="1"/>
      <c r="E343" s="1"/>
      <c r="F343" s="1"/>
      <c r="G343">
        <v>22.3</v>
      </c>
      <c r="H343">
        <v>15.8</v>
      </c>
      <c r="I343">
        <v>28</v>
      </c>
      <c r="J343">
        <f t="shared" si="36"/>
        <v>3287.0000000000023</v>
      </c>
      <c r="K343">
        <f t="shared" si="37"/>
        <v>175.10000000000002</v>
      </c>
      <c r="M343">
        <v>0</v>
      </c>
      <c r="N343">
        <v>4.5999999999999996</v>
      </c>
      <c r="O343">
        <f t="shared" si="40"/>
        <v>-4.5999999999999996</v>
      </c>
      <c r="Q343">
        <v>300</v>
      </c>
      <c r="R343">
        <f t="shared" si="35"/>
        <v>0.38265306122448983</v>
      </c>
      <c r="S343">
        <f t="shared" si="41"/>
        <v>1.7602040816326532</v>
      </c>
      <c r="T343">
        <f t="shared" si="42"/>
        <v>-1.7602040816326532</v>
      </c>
      <c r="U343">
        <f t="shared" si="38"/>
        <v>124.19724489795927</v>
      </c>
      <c r="W343">
        <v>2111.6</v>
      </c>
      <c r="X343">
        <f t="shared" si="39"/>
        <v>13912.6</v>
      </c>
      <c r="Y343">
        <v>15.68415646333788</v>
      </c>
    </row>
    <row r="344" spans="1:25" x14ac:dyDescent="0.35">
      <c r="A344">
        <v>2920</v>
      </c>
      <c r="B344">
        <v>23610</v>
      </c>
      <c r="C344" s="1">
        <v>43289</v>
      </c>
      <c r="D344" s="1"/>
      <c r="E344" s="1"/>
      <c r="F344" s="1"/>
      <c r="G344">
        <v>23.7</v>
      </c>
      <c r="H344">
        <v>19.100000000000001</v>
      </c>
      <c r="I344">
        <v>29</v>
      </c>
      <c r="J344">
        <f t="shared" si="36"/>
        <v>3310.7000000000021</v>
      </c>
      <c r="K344">
        <f t="shared" si="37"/>
        <v>198.8</v>
      </c>
      <c r="M344">
        <v>0</v>
      </c>
      <c r="N344">
        <v>6.7</v>
      </c>
      <c r="O344">
        <f t="shared" si="40"/>
        <v>-6.7</v>
      </c>
      <c r="Q344">
        <v>301</v>
      </c>
      <c r="R344">
        <f t="shared" si="35"/>
        <v>0.36632653061224485</v>
      </c>
      <c r="S344">
        <f t="shared" si="41"/>
        <v>2.4543877551020405</v>
      </c>
      <c r="T344">
        <f t="shared" si="42"/>
        <v>-2.4543877551020405</v>
      </c>
      <c r="U344">
        <f t="shared" si="38"/>
        <v>121.74285714285722</v>
      </c>
      <c r="W344">
        <v>2592.6999999999998</v>
      </c>
      <c r="X344">
        <f t="shared" si="39"/>
        <v>16505.3</v>
      </c>
      <c r="Y344">
        <v>15.662259534065983</v>
      </c>
    </row>
    <row r="345" spans="1:25" s="4" customFormat="1" ht="15" thickBot="1" x14ac:dyDescent="0.4">
      <c r="A345" s="4">
        <v>2920</v>
      </c>
      <c r="B345" s="4">
        <v>23610</v>
      </c>
      <c r="C345" s="5">
        <v>43290</v>
      </c>
      <c r="D345" s="5" t="s">
        <v>30</v>
      </c>
      <c r="E345" s="5"/>
      <c r="F345" s="5"/>
      <c r="G345" s="4">
        <v>23.1</v>
      </c>
      <c r="H345" s="4">
        <v>19.399999999999999</v>
      </c>
      <c r="I345" s="4">
        <v>27.3</v>
      </c>
      <c r="J345" s="4">
        <f t="shared" si="36"/>
        <v>3333.800000000002</v>
      </c>
      <c r="K345" s="4">
        <f t="shared" si="37"/>
        <v>221.9</v>
      </c>
      <c r="M345" s="4">
        <v>0</v>
      </c>
      <c r="N345" s="4">
        <v>6.6</v>
      </c>
      <c r="O345" s="4">
        <f t="shared" si="40"/>
        <v>-6.6</v>
      </c>
      <c r="Q345" s="4">
        <v>302</v>
      </c>
      <c r="R345" s="4">
        <f t="shared" si="35"/>
        <v>0.35</v>
      </c>
      <c r="S345" s="4">
        <f t="shared" si="41"/>
        <v>2.3099999999999996</v>
      </c>
      <c r="T345" s="4">
        <f t="shared" si="42"/>
        <v>-2.3099999999999996</v>
      </c>
      <c r="U345" s="4">
        <f t="shared" si="38"/>
        <v>119.43285714285722</v>
      </c>
      <c r="W345" s="4">
        <v>2557.3000000000002</v>
      </c>
      <c r="X345" s="4">
        <f t="shared" si="39"/>
        <v>19062.599999999999</v>
      </c>
      <c r="Y345" s="4">
        <v>15.639127645568264</v>
      </c>
    </row>
    <row r="346" spans="1:25" x14ac:dyDescent="0.35">
      <c r="A346">
        <v>2920</v>
      </c>
      <c r="B346">
        <v>23610</v>
      </c>
      <c r="C346" s="1">
        <v>43291</v>
      </c>
      <c r="D346" s="1"/>
      <c r="E346" s="1"/>
      <c r="F346" s="1"/>
      <c r="G346">
        <v>21.1</v>
      </c>
      <c r="H346">
        <v>17.100000000000001</v>
      </c>
      <c r="I346">
        <v>26.8</v>
      </c>
      <c r="J346">
        <f t="shared" si="36"/>
        <v>3354.9000000000019</v>
      </c>
      <c r="K346">
        <f t="shared" si="37"/>
        <v>243</v>
      </c>
      <c r="M346">
        <v>0</v>
      </c>
      <c r="N346">
        <v>5.4</v>
      </c>
      <c r="O346">
        <f t="shared" si="40"/>
        <v>-5.4</v>
      </c>
      <c r="Q346">
        <v>303</v>
      </c>
      <c r="S346">
        <f t="shared" si="41"/>
        <v>0</v>
      </c>
      <c r="T346">
        <f t="shared" si="42"/>
        <v>0</v>
      </c>
      <c r="U346">
        <f t="shared" si="38"/>
        <v>119.43285714285722</v>
      </c>
      <c r="W346">
        <v>2374.3000000000002</v>
      </c>
      <c r="X346">
        <f t="shared" si="39"/>
        <v>21436.899999999998</v>
      </c>
    </row>
    <row r="347" spans="1:25" x14ac:dyDescent="0.35">
      <c r="A347">
        <v>2920</v>
      </c>
      <c r="B347">
        <v>23610</v>
      </c>
      <c r="C347" s="1">
        <v>43292</v>
      </c>
      <c r="D347" s="1"/>
      <c r="E347" s="1"/>
      <c r="F347" s="1"/>
      <c r="G347">
        <v>18.899999999999999</v>
      </c>
      <c r="H347">
        <v>14.3</v>
      </c>
      <c r="I347">
        <v>23.1</v>
      </c>
      <c r="J347">
        <f t="shared" si="36"/>
        <v>3373.800000000002</v>
      </c>
      <c r="K347">
        <f t="shared" si="37"/>
        <v>261.89999999999998</v>
      </c>
      <c r="M347">
        <v>0</v>
      </c>
      <c r="N347">
        <v>3.9</v>
      </c>
      <c r="O347">
        <f t="shared" si="40"/>
        <v>-3.9</v>
      </c>
      <c r="Q347">
        <v>304</v>
      </c>
      <c r="S347">
        <f t="shared" si="41"/>
        <v>0</v>
      </c>
      <c r="T347">
        <f t="shared" si="42"/>
        <v>0</v>
      </c>
      <c r="U347">
        <f t="shared" si="38"/>
        <v>119.43285714285722</v>
      </c>
      <c r="W347">
        <v>1727.4</v>
      </c>
      <c r="X347">
        <f t="shared" si="39"/>
        <v>23164.3</v>
      </c>
    </row>
    <row r="348" spans="1:25" x14ac:dyDescent="0.35">
      <c r="A348">
        <v>2920</v>
      </c>
      <c r="B348">
        <v>23610</v>
      </c>
      <c r="C348" s="1">
        <v>43293</v>
      </c>
      <c r="D348" s="1"/>
      <c r="E348" s="1"/>
      <c r="F348" s="1"/>
      <c r="G348">
        <v>19.100000000000001</v>
      </c>
      <c r="H348">
        <v>15.2</v>
      </c>
      <c r="I348">
        <v>23.3</v>
      </c>
      <c r="J348">
        <f t="shared" si="36"/>
        <v>3392.9000000000019</v>
      </c>
      <c r="K348">
        <f t="shared" si="37"/>
        <v>281</v>
      </c>
      <c r="M348">
        <v>0</v>
      </c>
      <c r="N348">
        <v>3.8</v>
      </c>
      <c r="O348">
        <f t="shared" si="40"/>
        <v>-3.8</v>
      </c>
      <c r="Q348">
        <v>305</v>
      </c>
      <c r="S348">
        <f t="shared" si="41"/>
        <v>0</v>
      </c>
      <c r="T348">
        <f t="shared" si="42"/>
        <v>0</v>
      </c>
      <c r="U348">
        <f t="shared" si="38"/>
        <v>119.43285714285722</v>
      </c>
      <c r="W348">
        <v>1883.4</v>
      </c>
      <c r="X348">
        <f t="shared" si="39"/>
        <v>25047.7</v>
      </c>
    </row>
    <row r="349" spans="1:25" x14ac:dyDescent="0.35">
      <c r="A349">
        <v>2920</v>
      </c>
      <c r="B349">
        <v>23610</v>
      </c>
      <c r="C349" s="1">
        <v>43294</v>
      </c>
      <c r="D349" s="1"/>
      <c r="E349" s="1"/>
      <c r="F349" s="1"/>
      <c r="G349">
        <v>20.100000000000001</v>
      </c>
      <c r="H349">
        <v>15.3</v>
      </c>
      <c r="I349">
        <v>24.9</v>
      </c>
      <c r="J349">
        <f t="shared" si="36"/>
        <v>3413.0000000000018</v>
      </c>
      <c r="K349">
        <f t="shared" si="37"/>
        <v>301.10000000000002</v>
      </c>
      <c r="M349">
        <v>0</v>
      </c>
      <c r="N349">
        <v>5.2</v>
      </c>
      <c r="O349">
        <f t="shared" si="40"/>
        <v>-5.2</v>
      </c>
      <c r="Q349">
        <v>306</v>
      </c>
      <c r="S349">
        <f t="shared" si="41"/>
        <v>0</v>
      </c>
      <c r="T349">
        <f t="shared" si="42"/>
        <v>0</v>
      </c>
      <c r="U349">
        <f t="shared" si="38"/>
        <v>119.43285714285722</v>
      </c>
      <c r="W349">
        <v>2549.4</v>
      </c>
      <c r="X349">
        <f t="shared" si="39"/>
        <v>27597.100000000002</v>
      </c>
    </row>
    <row r="350" spans="1:25" x14ac:dyDescent="0.35">
      <c r="A350">
        <v>2920</v>
      </c>
      <c r="B350">
        <v>23610</v>
      </c>
      <c r="C350" s="1">
        <v>43295</v>
      </c>
      <c r="D350" s="1"/>
      <c r="E350" s="1"/>
      <c r="F350" s="1"/>
      <c r="G350">
        <v>20.9</v>
      </c>
      <c r="H350">
        <v>15.9</v>
      </c>
      <c r="I350">
        <v>26.4</v>
      </c>
      <c r="J350">
        <f t="shared" si="36"/>
        <v>3433.9000000000019</v>
      </c>
      <c r="K350">
        <f t="shared" si="37"/>
        <v>322</v>
      </c>
      <c r="M350">
        <v>0</v>
      </c>
      <c r="N350">
        <v>5.6</v>
      </c>
      <c r="O350">
        <f t="shared" si="40"/>
        <v>-5.6</v>
      </c>
      <c r="Q350">
        <v>307</v>
      </c>
      <c r="S350">
        <f t="shared" si="41"/>
        <v>0</v>
      </c>
      <c r="T350">
        <f t="shared" si="42"/>
        <v>0</v>
      </c>
      <c r="U350">
        <f t="shared" si="38"/>
        <v>119.43285714285722</v>
      </c>
      <c r="W350">
        <v>2662.9</v>
      </c>
      <c r="X350">
        <f t="shared" si="39"/>
        <v>30260.000000000004</v>
      </c>
    </row>
    <row r="351" spans="1:25" x14ac:dyDescent="0.35">
      <c r="A351">
        <v>2920</v>
      </c>
      <c r="B351">
        <v>23610</v>
      </c>
      <c r="C351" s="1">
        <v>43296</v>
      </c>
      <c r="D351" s="1"/>
      <c r="E351" s="1"/>
      <c r="F351" s="1"/>
      <c r="G351">
        <v>21.4</v>
      </c>
      <c r="H351">
        <v>15.6</v>
      </c>
      <c r="I351">
        <v>27.2</v>
      </c>
      <c r="J351">
        <f t="shared" si="36"/>
        <v>3455.300000000002</v>
      </c>
      <c r="K351">
        <f t="shared" si="37"/>
        <v>343.4</v>
      </c>
      <c r="M351">
        <v>0</v>
      </c>
      <c r="N351">
        <v>5.7</v>
      </c>
      <c r="O351">
        <f t="shared" si="40"/>
        <v>-5.7</v>
      </c>
      <c r="Q351">
        <v>308</v>
      </c>
      <c r="S351">
        <f t="shared" si="41"/>
        <v>0</v>
      </c>
      <c r="T351">
        <f t="shared" si="42"/>
        <v>0</v>
      </c>
      <c r="U351">
        <f t="shared" si="38"/>
        <v>119.43285714285722</v>
      </c>
      <c r="W351">
        <v>2643.7</v>
      </c>
      <c r="X351">
        <f t="shared" si="39"/>
        <v>32903.700000000004</v>
      </c>
    </row>
    <row r="352" spans="1:25" x14ac:dyDescent="0.35">
      <c r="A352">
        <v>2920</v>
      </c>
      <c r="B352">
        <v>23610</v>
      </c>
      <c r="C352" s="1">
        <v>43297</v>
      </c>
      <c r="D352" s="1"/>
      <c r="E352" s="1"/>
      <c r="F352" s="1"/>
      <c r="G352">
        <v>21.1</v>
      </c>
      <c r="H352">
        <v>15.7</v>
      </c>
      <c r="I352">
        <v>27.7</v>
      </c>
      <c r="J352">
        <f t="shared" si="36"/>
        <v>3476.4000000000019</v>
      </c>
      <c r="K352">
        <f t="shared" si="37"/>
        <v>364.5</v>
      </c>
      <c r="M352">
        <v>0</v>
      </c>
      <c r="N352">
        <v>5.3</v>
      </c>
      <c r="O352">
        <f t="shared" si="40"/>
        <v>-5.3</v>
      </c>
      <c r="Q352">
        <v>309</v>
      </c>
      <c r="S352">
        <f t="shared" si="41"/>
        <v>0</v>
      </c>
      <c r="T352">
        <f t="shared" si="42"/>
        <v>0</v>
      </c>
      <c r="U352">
        <f t="shared" si="38"/>
        <v>119.43285714285722</v>
      </c>
      <c r="W352">
        <v>2388.1</v>
      </c>
      <c r="X352">
        <f t="shared" si="39"/>
        <v>35291.800000000003</v>
      </c>
    </row>
    <row r="353" spans="1:24" x14ac:dyDescent="0.35">
      <c r="A353">
        <v>2920</v>
      </c>
      <c r="B353">
        <v>23610</v>
      </c>
      <c r="C353" s="1">
        <v>43298</v>
      </c>
      <c r="D353" s="1"/>
      <c r="E353" s="1"/>
      <c r="F353" s="1"/>
      <c r="G353">
        <v>19.7</v>
      </c>
      <c r="H353">
        <v>16.8</v>
      </c>
      <c r="I353">
        <v>23.2</v>
      </c>
      <c r="J353">
        <f t="shared" si="36"/>
        <v>3496.1000000000017</v>
      </c>
      <c r="K353">
        <f t="shared" si="37"/>
        <v>384.2</v>
      </c>
      <c r="M353">
        <v>0</v>
      </c>
      <c r="N353">
        <v>2.2999999999999998</v>
      </c>
      <c r="O353">
        <f t="shared" si="40"/>
        <v>-2.2999999999999998</v>
      </c>
      <c r="Q353">
        <v>310</v>
      </c>
      <c r="S353">
        <f t="shared" si="41"/>
        <v>0</v>
      </c>
      <c r="T353">
        <f t="shared" si="42"/>
        <v>0</v>
      </c>
      <c r="U353">
        <f t="shared" si="38"/>
        <v>119.43285714285722</v>
      </c>
      <c r="W353">
        <v>793.6</v>
      </c>
      <c r="X353">
        <f t="shared" si="39"/>
        <v>36085.4</v>
      </c>
    </row>
    <row r="354" spans="1:24" x14ac:dyDescent="0.35">
      <c r="A354">
        <v>2920</v>
      </c>
      <c r="B354">
        <v>23610</v>
      </c>
      <c r="C354" s="1">
        <v>43299</v>
      </c>
      <c r="D354" s="1"/>
      <c r="E354" s="1"/>
      <c r="F354" s="1"/>
      <c r="G354">
        <v>20.3</v>
      </c>
      <c r="H354">
        <v>15</v>
      </c>
      <c r="I354">
        <v>25.1</v>
      </c>
      <c r="J354">
        <f t="shared" si="36"/>
        <v>3516.4000000000019</v>
      </c>
      <c r="K354">
        <f t="shared" si="37"/>
        <v>404.5</v>
      </c>
      <c r="M354">
        <v>0</v>
      </c>
      <c r="N354">
        <v>3.5</v>
      </c>
      <c r="O354">
        <f t="shared" si="40"/>
        <v>-3.5</v>
      </c>
      <c r="Q354">
        <v>311</v>
      </c>
      <c r="S354">
        <f t="shared" si="41"/>
        <v>0</v>
      </c>
      <c r="T354">
        <f t="shared" si="42"/>
        <v>0</v>
      </c>
      <c r="U354">
        <f t="shared" si="38"/>
        <v>119.43285714285722</v>
      </c>
      <c r="W354">
        <v>1662.1</v>
      </c>
      <c r="X354">
        <f t="shared" si="39"/>
        <v>37747.5</v>
      </c>
    </row>
    <row r="355" spans="1:24" x14ac:dyDescent="0.35">
      <c r="A355">
        <v>2920</v>
      </c>
      <c r="B355">
        <v>23610</v>
      </c>
      <c r="C355" s="1">
        <v>43300</v>
      </c>
      <c r="D355" s="1"/>
      <c r="E355" s="1"/>
      <c r="F355" s="1"/>
      <c r="G355">
        <v>19.399999999999999</v>
      </c>
      <c r="H355">
        <v>16</v>
      </c>
      <c r="I355">
        <v>25.3</v>
      </c>
      <c r="J355">
        <f t="shared" si="36"/>
        <v>3535.800000000002</v>
      </c>
      <c r="K355">
        <f t="shared" si="37"/>
        <v>423.9</v>
      </c>
      <c r="M355">
        <v>0</v>
      </c>
      <c r="N355">
        <v>3.8</v>
      </c>
      <c r="O355">
        <f t="shared" si="40"/>
        <v>-3.8</v>
      </c>
      <c r="Q355">
        <v>312</v>
      </c>
      <c r="S355">
        <f t="shared" si="41"/>
        <v>0</v>
      </c>
      <c r="T355">
        <f t="shared" si="42"/>
        <v>0</v>
      </c>
      <c r="U355">
        <f t="shared" si="38"/>
        <v>119.43285714285722</v>
      </c>
      <c r="W355">
        <v>1741.6</v>
      </c>
      <c r="X355">
        <f t="shared" si="39"/>
        <v>39489.1</v>
      </c>
    </row>
    <row r="356" spans="1:24" x14ac:dyDescent="0.35">
      <c r="A356">
        <v>2920</v>
      </c>
      <c r="B356">
        <v>23610</v>
      </c>
      <c r="C356" s="1">
        <v>43301</v>
      </c>
      <c r="D356" s="1"/>
      <c r="E356" s="1"/>
      <c r="F356" s="1"/>
      <c r="G356">
        <v>18.3</v>
      </c>
      <c r="H356">
        <v>14.6</v>
      </c>
      <c r="I356">
        <v>22</v>
      </c>
      <c r="J356">
        <f t="shared" si="36"/>
        <v>3554.1000000000022</v>
      </c>
      <c r="K356">
        <f t="shared" si="37"/>
        <v>442.2</v>
      </c>
      <c r="M356">
        <v>0.7</v>
      </c>
      <c r="N356">
        <v>2.5</v>
      </c>
      <c r="O356">
        <f t="shared" si="40"/>
        <v>-1.8</v>
      </c>
      <c r="Q356">
        <v>313</v>
      </c>
      <c r="S356">
        <f t="shared" si="41"/>
        <v>0</v>
      </c>
      <c r="T356">
        <f t="shared" si="42"/>
        <v>0.7</v>
      </c>
      <c r="U356">
        <f t="shared" si="38"/>
        <v>120.13285714285722</v>
      </c>
      <c r="W356">
        <v>1301.2</v>
      </c>
      <c r="X356">
        <f t="shared" si="39"/>
        <v>40790.299999999996</v>
      </c>
    </row>
    <row r="357" spans="1:24" x14ac:dyDescent="0.35">
      <c r="A357">
        <v>2920</v>
      </c>
      <c r="B357">
        <v>23610</v>
      </c>
      <c r="C357" s="1">
        <v>43302</v>
      </c>
      <c r="D357" s="1"/>
      <c r="E357" s="1"/>
      <c r="F357" s="1"/>
      <c r="G357">
        <v>18.899999999999999</v>
      </c>
      <c r="H357">
        <v>13.9</v>
      </c>
      <c r="I357">
        <v>22.8</v>
      </c>
      <c r="J357">
        <f t="shared" si="36"/>
        <v>3573.0000000000023</v>
      </c>
      <c r="K357">
        <f t="shared" si="37"/>
        <v>461.09999999999997</v>
      </c>
      <c r="M357">
        <v>0.1</v>
      </c>
      <c r="N357">
        <v>2.2999999999999998</v>
      </c>
      <c r="O357">
        <f t="shared" si="40"/>
        <v>-2.1999999999999997</v>
      </c>
      <c r="Q357">
        <v>314</v>
      </c>
      <c r="S357">
        <f t="shared" si="41"/>
        <v>0</v>
      </c>
      <c r="T357">
        <f t="shared" si="42"/>
        <v>0.1</v>
      </c>
      <c r="U357">
        <f t="shared" si="38"/>
        <v>120.23285714285721</v>
      </c>
      <c r="W357">
        <v>1215.5</v>
      </c>
      <c r="X357">
        <f t="shared" si="39"/>
        <v>42005.799999999996</v>
      </c>
    </row>
    <row r="358" spans="1:24" x14ac:dyDescent="0.35">
      <c r="A358">
        <v>2920</v>
      </c>
      <c r="B358">
        <v>23610</v>
      </c>
      <c r="C358" s="1">
        <v>43303</v>
      </c>
      <c r="D358" s="1"/>
      <c r="E358" s="1"/>
      <c r="F358" s="1"/>
      <c r="G358">
        <v>20.7</v>
      </c>
      <c r="H358">
        <v>15.7</v>
      </c>
      <c r="I358">
        <v>25.6</v>
      </c>
      <c r="J358">
        <f t="shared" si="36"/>
        <v>3593.7000000000021</v>
      </c>
      <c r="K358">
        <f t="shared" si="37"/>
        <v>481.79999999999995</v>
      </c>
      <c r="M358">
        <v>0</v>
      </c>
      <c r="N358">
        <v>4</v>
      </c>
      <c r="O358">
        <f t="shared" si="40"/>
        <v>-4</v>
      </c>
      <c r="Q358">
        <v>315</v>
      </c>
      <c r="S358">
        <f t="shared" si="41"/>
        <v>0</v>
      </c>
      <c r="T358">
        <f t="shared" si="42"/>
        <v>0</v>
      </c>
      <c r="U358">
        <f t="shared" si="38"/>
        <v>120.23285714285721</v>
      </c>
      <c r="W358">
        <v>2045.1</v>
      </c>
      <c r="X358">
        <f t="shared" si="39"/>
        <v>44050.899999999994</v>
      </c>
    </row>
    <row r="359" spans="1:24" x14ac:dyDescent="0.35">
      <c r="A359">
        <v>2920</v>
      </c>
      <c r="B359">
        <v>23610</v>
      </c>
      <c r="C359" s="1">
        <v>43304</v>
      </c>
      <c r="D359" s="1"/>
      <c r="E359" s="1"/>
      <c r="F359" s="1"/>
      <c r="G359">
        <v>22.3</v>
      </c>
      <c r="H359">
        <v>15.7</v>
      </c>
      <c r="I359">
        <v>27.9</v>
      </c>
      <c r="J359">
        <f t="shared" si="36"/>
        <v>3616.0000000000023</v>
      </c>
      <c r="K359">
        <f t="shared" si="37"/>
        <v>504.09999999999997</v>
      </c>
      <c r="M359">
        <v>0</v>
      </c>
      <c r="N359">
        <v>4.9000000000000004</v>
      </c>
      <c r="O359">
        <f t="shared" si="40"/>
        <v>-4.9000000000000004</v>
      </c>
      <c r="Q359">
        <v>316</v>
      </c>
      <c r="S359">
        <f t="shared" si="41"/>
        <v>0</v>
      </c>
      <c r="T359">
        <f t="shared" si="42"/>
        <v>0</v>
      </c>
      <c r="U359">
        <f t="shared" si="38"/>
        <v>120.23285714285721</v>
      </c>
      <c r="W359">
        <v>2364.1</v>
      </c>
      <c r="X359">
        <f t="shared" si="39"/>
        <v>46414.999999999993</v>
      </c>
    </row>
    <row r="360" spans="1:24" x14ac:dyDescent="0.35">
      <c r="A360">
        <v>2920</v>
      </c>
      <c r="B360">
        <v>23610</v>
      </c>
      <c r="C360" s="1">
        <v>43305</v>
      </c>
      <c r="D360" s="1"/>
      <c r="E360" s="1"/>
      <c r="F360" s="1"/>
      <c r="G360">
        <v>22.2</v>
      </c>
      <c r="H360">
        <v>18.8</v>
      </c>
      <c r="I360">
        <v>27.8</v>
      </c>
      <c r="J360">
        <f t="shared" si="36"/>
        <v>3638.2000000000021</v>
      </c>
      <c r="K360">
        <f t="shared" si="37"/>
        <v>526.29999999999995</v>
      </c>
      <c r="M360">
        <v>0.1</v>
      </c>
      <c r="N360">
        <v>3.4</v>
      </c>
      <c r="O360">
        <f t="shared" si="40"/>
        <v>-3.3</v>
      </c>
      <c r="Q360">
        <v>317</v>
      </c>
      <c r="S360">
        <f t="shared" si="41"/>
        <v>0</v>
      </c>
      <c r="T360">
        <f t="shared" si="42"/>
        <v>0.1</v>
      </c>
      <c r="U360">
        <f t="shared" si="38"/>
        <v>120.33285714285721</v>
      </c>
      <c r="W360">
        <v>1134.5</v>
      </c>
      <c r="X360">
        <f t="shared" si="39"/>
        <v>47549.499999999993</v>
      </c>
    </row>
    <row r="361" spans="1:24" x14ac:dyDescent="0.35">
      <c r="A361">
        <v>2920</v>
      </c>
      <c r="B361">
        <v>23610</v>
      </c>
      <c r="C361" s="1">
        <v>43306</v>
      </c>
      <c r="D361" s="1"/>
      <c r="E361" s="1"/>
      <c r="F361" s="1"/>
      <c r="G361">
        <v>21.8</v>
      </c>
      <c r="H361">
        <v>17.100000000000001</v>
      </c>
      <c r="I361">
        <v>27.1</v>
      </c>
      <c r="J361">
        <f t="shared" si="36"/>
        <v>3660.0000000000023</v>
      </c>
      <c r="K361">
        <f t="shared" si="37"/>
        <v>548.09999999999991</v>
      </c>
      <c r="M361">
        <v>0</v>
      </c>
      <c r="N361">
        <v>5.2</v>
      </c>
      <c r="O361">
        <f t="shared" si="40"/>
        <v>-5.2</v>
      </c>
      <c r="Q361">
        <v>318</v>
      </c>
      <c r="S361">
        <f t="shared" si="41"/>
        <v>0</v>
      </c>
      <c r="T361">
        <f t="shared" si="42"/>
        <v>0</v>
      </c>
      <c r="U361">
        <f t="shared" si="38"/>
        <v>120.33285714285721</v>
      </c>
      <c r="W361">
        <v>2279.4</v>
      </c>
      <c r="X361">
        <f t="shared" si="39"/>
        <v>49828.899999999994</v>
      </c>
    </row>
    <row r="362" spans="1:24" x14ac:dyDescent="0.35">
      <c r="A362">
        <v>2920</v>
      </c>
      <c r="B362">
        <v>23610</v>
      </c>
      <c r="C362" s="1">
        <v>43307</v>
      </c>
      <c r="D362" s="1"/>
      <c r="E362" s="1"/>
      <c r="F362" s="1"/>
      <c r="G362">
        <v>22.9</v>
      </c>
      <c r="H362">
        <v>17</v>
      </c>
      <c r="I362">
        <v>30.2</v>
      </c>
      <c r="J362">
        <f t="shared" si="36"/>
        <v>3682.9000000000024</v>
      </c>
      <c r="K362">
        <f t="shared" si="37"/>
        <v>570.99999999999989</v>
      </c>
      <c r="M362">
        <v>0</v>
      </c>
      <c r="N362">
        <v>5.2</v>
      </c>
      <c r="O362">
        <f t="shared" si="40"/>
        <v>-5.2</v>
      </c>
      <c r="Q362">
        <v>319</v>
      </c>
      <c r="S362">
        <f t="shared" si="41"/>
        <v>0</v>
      </c>
      <c r="T362">
        <f t="shared" si="42"/>
        <v>0</v>
      </c>
      <c r="U362">
        <f t="shared" si="38"/>
        <v>120.33285714285721</v>
      </c>
      <c r="W362">
        <v>2212.8000000000002</v>
      </c>
      <c r="X362">
        <f t="shared" si="39"/>
        <v>52041.7</v>
      </c>
    </row>
    <row r="363" spans="1:24" x14ac:dyDescent="0.35">
      <c r="A363">
        <v>2920</v>
      </c>
      <c r="B363">
        <v>23610</v>
      </c>
      <c r="C363" s="1">
        <v>43308</v>
      </c>
      <c r="D363" s="1"/>
      <c r="E363" s="1"/>
      <c r="F363" s="1"/>
      <c r="G363">
        <v>20.8</v>
      </c>
      <c r="H363">
        <v>17.3</v>
      </c>
      <c r="I363">
        <v>24.3</v>
      </c>
      <c r="J363">
        <f t="shared" si="36"/>
        <v>3703.7000000000025</v>
      </c>
      <c r="K363">
        <f t="shared" si="37"/>
        <v>591.79999999999984</v>
      </c>
      <c r="M363">
        <v>0.7</v>
      </c>
      <c r="N363">
        <v>2.7</v>
      </c>
      <c r="O363">
        <f t="shared" si="40"/>
        <v>-2</v>
      </c>
      <c r="Q363">
        <v>320</v>
      </c>
      <c r="S363">
        <f t="shared" si="41"/>
        <v>0</v>
      </c>
      <c r="T363">
        <f t="shared" si="42"/>
        <v>0.7</v>
      </c>
      <c r="U363">
        <f t="shared" si="38"/>
        <v>121.03285714285721</v>
      </c>
      <c r="W363">
        <v>1198.9000000000001</v>
      </c>
      <c r="X363">
        <f t="shared" si="39"/>
        <v>53240.6</v>
      </c>
    </row>
    <row r="364" spans="1:24" x14ac:dyDescent="0.35">
      <c r="A364">
        <v>2920</v>
      </c>
      <c r="B364">
        <v>23610</v>
      </c>
      <c r="C364" s="1">
        <v>43309</v>
      </c>
      <c r="D364" s="1"/>
      <c r="E364" s="1"/>
      <c r="F364" s="1"/>
      <c r="G364">
        <v>18.5</v>
      </c>
      <c r="H364">
        <v>15.1</v>
      </c>
      <c r="I364">
        <v>21.8</v>
      </c>
      <c r="J364">
        <f t="shared" si="36"/>
        <v>3722.2000000000025</v>
      </c>
      <c r="K364">
        <f t="shared" si="37"/>
        <v>610.29999999999984</v>
      </c>
      <c r="M364">
        <v>0.4</v>
      </c>
      <c r="N364">
        <v>4.2</v>
      </c>
      <c r="O364">
        <f t="shared" si="40"/>
        <v>-3.8000000000000003</v>
      </c>
      <c r="Q364">
        <v>321</v>
      </c>
      <c r="S364">
        <f t="shared" si="41"/>
        <v>0</v>
      </c>
      <c r="T364">
        <f t="shared" si="42"/>
        <v>0.4</v>
      </c>
      <c r="U364">
        <f t="shared" si="38"/>
        <v>121.43285714285722</v>
      </c>
      <c r="W364">
        <v>2040.2</v>
      </c>
      <c r="X364">
        <f t="shared" si="39"/>
        <v>55280.799999999996</v>
      </c>
    </row>
    <row r="365" spans="1:24" x14ac:dyDescent="0.35">
      <c r="A365">
        <v>2920</v>
      </c>
      <c r="B365">
        <v>23610</v>
      </c>
      <c r="C365" s="1">
        <v>43310</v>
      </c>
      <c r="D365" s="1"/>
      <c r="E365" s="1"/>
      <c r="F365" s="1"/>
      <c r="G365">
        <v>18.399999999999999</v>
      </c>
      <c r="H365">
        <v>16.8</v>
      </c>
      <c r="I365">
        <v>19.600000000000001</v>
      </c>
      <c r="J365">
        <f t="shared" si="36"/>
        <v>3740.6000000000026</v>
      </c>
      <c r="K365">
        <f t="shared" si="37"/>
        <v>628.69999999999982</v>
      </c>
      <c r="M365">
        <v>3.5</v>
      </c>
      <c r="N365">
        <v>1.5</v>
      </c>
      <c r="O365">
        <f t="shared" si="40"/>
        <v>2</v>
      </c>
      <c r="Q365">
        <v>322</v>
      </c>
      <c r="S365">
        <f t="shared" si="41"/>
        <v>0</v>
      </c>
      <c r="T365">
        <f t="shared" si="42"/>
        <v>3.5</v>
      </c>
      <c r="U365">
        <f t="shared" si="38"/>
        <v>124.93285714285722</v>
      </c>
      <c r="W365">
        <v>678.6</v>
      </c>
      <c r="X365">
        <f t="shared" si="39"/>
        <v>55959.399999999994</v>
      </c>
    </row>
    <row r="366" spans="1:24" x14ac:dyDescent="0.35">
      <c r="A366">
        <v>2920</v>
      </c>
      <c r="B366">
        <v>23610</v>
      </c>
      <c r="C366" s="1">
        <v>43311</v>
      </c>
      <c r="D366" s="1"/>
      <c r="E366" s="1"/>
      <c r="F366" s="1"/>
      <c r="G366">
        <v>20.3</v>
      </c>
      <c r="H366">
        <v>18.8</v>
      </c>
      <c r="I366">
        <v>23.1</v>
      </c>
      <c r="J366">
        <f t="shared" ref="J366:J367" si="43">J365+G366</f>
        <v>3760.9000000000028</v>
      </c>
      <c r="K366">
        <f t="shared" ref="K366:K367" si="44">K365+G366</f>
        <v>648.99999999999977</v>
      </c>
      <c r="M366">
        <v>0.7</v>
      </c>
      <c r="N366">
        <v>2.1</v>
      </c>
      <c r="O366">
        <f t="shared" si="40"/>
        <v>-1.4000000000000001</v>
      </c>
      <c r="Q366">
        <v>323</v>
      </c>
      <c r="S366">
        <f t="shared" si="41"/>
        <v>0</v>
      </c>
      <c r="T366">
        <f t="shared" si="42"/>
        <v>0.7</v>
      </c>
      <c r="U366">
        <f t="shared" ref="U366:U367" si="45">MIN(U365+T366,197.4)</f>
        <v>125.63285714285722</v>
      </c>
      <c r="W366">
        <v>762.1</v>
      </c>
      <c r="X366">
        <f t="shared" ref="X366:X367" si="46">X365+W366</f>
        <v>56721.499999999993</v>
      </c>
    </row>
    <row r="367" spans="1:24" x14ac:dyDescent="0.35">
      <c r="A367">
        <v>2920</v>
      </c>
      <c r="B367">
        <v>23610</v>
      </c>
      <c r="C367" s="1">
        <v>43312</v>
      </c>
      <c r="D367" s="1"/>
      <c r="E367" s="1"/>
      <c r="F367" s="1"/>
      <c r="G367">
        <v>19.7</v>
      </c>
      <c r="H367">
        <v>17</v>
      </c>
      <c r="I367">
        <v>23.3</v>
      </c>
      <c r="J367">
        <f t="shared" si="43"/>
        <v>3780.6000000000026</v>
      </c>
      <c r="K367">
        <f t="shared" si="44"/>
        <v>668.69999999999982</v>
      </c>
      <c r="M367">
        <v>0</v>
      </c>
      <c r="N367">
        <v>3.7</v>
      </c>
      <c r="O367">
        <f t="shared" si="40"/>
        <v>-3.7</v>
      </c>
      <c r="Q367">
        <v>324</v>
      </c>
      <c r="S367">
        <f t="shared" si="41"/>
        <v>0</v>
      </c>
      <c r="T367">
        <f t="shared" si="42"/>
        <v>0</v>
      </c>
      <c r="U367">
        <f t="shared" si="45"/>
        <v>125.63285714285722</v>
      </c>
      <c r="W367">
        <v>1879.7</v>
      </c>
      <c r="X367">
        <f t="shared" si="46"/>
        <v>58601.19999999999</v>
      </c>
    </row>
  </sheetData>
  <mergeCells count="10">
    <mergeCell ref="M2:V2"/>
    <mergeCell ref="W2:Z2"/>
    <mergeCell ref="F44:F122"/>
    <mergeCell ref="F123:F215"/>
    <mergeCell ref="F216:F250"/>
    <mergeCell ref="F251:F271"/>
    <mergeCell ref="F272:F296"/>
    <mergeCell ref="F297:F313"/>
    <mergeCell ref="F314:F335"/>
    <mergeCell ref="G2:L2"/>
  </mergeCells>
  <conditionalFormatting sqref="G4:I367">
    <cfRule type="cellIs" dxfId="30" priority="29" operator="lessThan">
      <formula>0</formula>
    </cfRule>
    <cfRule type="cellIs" dxfId="29" priority="30" operator="between">
      <formula>5</formula>
      <formula>0</formula>
    </cfRule>
    <cfRule type="cellIs" dxfId="28" priority="31" operator="greaterThanOrEqual">
      <formula>25</formula>
    </cfRule>
  </conditionalFormatting>
  <conditionalFormatting sqref="L45 L53 L55 L57">
    <cfRule type="cellIs" dxfId="27" priority="21" operator="lessThanOrEqual">
      <formula>0</formula>
    </cfRule>
    <cfRule type="cellIs" dxfId="26" priority="22" operator="lessThanOrEqual">
      <formula>5</formula>
    </cfRule>
  </conditionalFormatting>
  <conditionalFormatting sqref="L124 L132 L134 L136">
    <cfRule type="cellIs" dxfId="25" priority="17" operator="lessThanOrEqual">
      <formula>0</formula>
    </cfRule>
    <cfRule type="cellIs" dxfId="24" priority="18" operator="lessThanOrEqual">
      <formula>5</formula>
    </cfRule>
  </conditionalFormatting>
  <conditionalFormatting sqref="L217 L225 L227 L229">
    <cfRule type="cellIs" dxfId="23" priority="13" operator="lessThanOrEqual">
      <formula>0</formula>
    </cfRule>
    <cfRule type="cellIs" dxfId="22" priority="14" operator="lessThanOrEqual">
      <formula>5</formula>
    </cfRule>
  </conditionalFormatting>
  <conditionalFormatting sqref="L252 L260 L262 L264">
    <cfRule type="cellIs" dxfId="21" priority="11" operator="lessThanOrEqual">
      <formula>0</formula>
    </cfRule>
    <cfRule type="cellIs" dxfId="20" priority="12" operator="lessThanOrEqual">
      <formula>5</formula>
    </cfRule>
  </conditionalFormatting>
  <conditionalFormatting sqref="L273 L281 L283 L285">
    <cfRule type="cellIs" dxfId="19" priority="8" operator="lessThanOrEqual">
      <formula>0</formula>
    </cfRule>
    <cfRule type="cellIs" dxfId="18" priority="9" operator="lessThanOrEqual">
      <formula>5</formula>
    </cfRule>
  </conditionalFormatting>
  <conditionalFormatting sqref="L298 L308">
    <cfRule type="cellIs" dxfId="17" priority="5" operator="lessThanOrEqual">
      <formula>0</formula>
    </cfRule>
    <cfRule type="cellIs" dxfId="16" priority="6" operator="lessThanOrEqual">
      <formula>5</formula>
    </cfRule>
  </conditionalFormatting>
  <conditionalFormatting sqref="L315 L325">
    <cfRule type="cellIs" dxfId="15" priority="1" operator="lessThanOrEqual">
      <formula>0</formula>
    </cfRule>
    <cfRule type="cellIs" dxfId="14" priority="2" operator="lessThanOrEqual">
      <formula>5</formula>
    </cfRule>
  </conditionalFormatting>
  <conditionalFormatting sqref="O4:O367">
    <cfRule type="cellIs" dxfId="13" priority="28" operator="lessThan">
      <formula>0</formula>
    </cfRule>
  </conditionalFormatting>
  <conditionalFormatting sqref="T4:T367">
    <cfRule type="cellIs" dxfId="12" priority="27" operator="lessThan">
      <formula>0</formula>
    </cfRule>
  </conditionalFormatting>
  <conditionalFormatting sqref="U7:U367">
    <cfRule type="cellIs" dxfId="11" priority="25" operator="equal">
      <formula>0</formula>
    </cfRule>
    <cfRule type="cellIs" dxfId="10" priority="26" operator="lessThanOrEqual">
      <formula>65.8</formula>
    </cfRule>
  </conditionalFormatting>
  <conditionalFormatting sqref="V45">
    <cfRule type="cellIs" dxfId="9" priority="19" operator="equal">
      <formula>0</formula>
    </cfRule>
    <cfRule type="cellIs" dxfId="8" priority="20" operator="lessThanOrEqual">
      <formula>63.2</formula>
    </cfRule>
  </conditionalFormatting>
  <conditionalFormatting sqref="W16:W367">
    <cfRule type="cellIs" dxfId="7" priority="24" operator="lessThan">
      <formula>900</formula>
    </cfRule>
  </conditionalFormatting>
  <conditionalFormatting sqref="Y44:Y345">
    <cfRule type="cellIs" dxfId="6" priority="23" operator="lessThan">
      <formula>9</formula>
    </cfRule>
  </conditionalFormatting>
  <conditionalFormatting sqref="Z124">
    <cfRule type="cellIs" dxfId="5" priority="16" operator="lessThan">
      <formula>9</formula>
    </cfRule>
  </conditionalFormatting>
  <conditionalFormatting sqref="Z217">
    <cfRule type="cellIs" dxfId="4" priority="15" operator="lessThan">
      <formula>9</formula>
    </cfRule>
  </conditionalFormatting>
  <conditionalFormatting sqref="Z252">
    <cfRule type="cellIs" dxfId="3" priority="10" operator="lessThan">
      <formula>9</formula>
    </cfRule>
  </conditionalFormatting>
  <conditionalFormatting sqref="Z273">
    <cfRule type="cellIs" dxfId="2" priority="7" operator="lessThan">
      <formula>9</formula>
    </cfRule>
  </conditionalFormatting>
  <conditionalFormatting sqref="Z298">
    <cfRule type="cellIs" dxfId="1" priority="4" operator="lessThan">
      <formula>9</formula>
    </cfRule>
  </conditionalFormatting>
  <conditionalFormatting sqref="Z315">
    <cfRule type="cellIs" dxfId="0" priority="3" operator="lessThan">
      <formula>9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N+ exp</vt:lpstr>
      <vt:lpstr>N-</vt:lpstr>
      <vt:lpstr>N+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Erwan Corlouer</dc:creator>
  <cp:lastModifiedBy>Léa Desbats</cp:lastModifiedBy>
  <dcterms:created xsi:type="dcterms:W3CDTF">2019-11-18T10:28:07Z</dcterms:created>
  <dcterms:modified xsi:type="dcterms:W3CDTF">2025-12-11T10:24:09Z</dcterms:modified>
</cp:coreProperties>
</file>