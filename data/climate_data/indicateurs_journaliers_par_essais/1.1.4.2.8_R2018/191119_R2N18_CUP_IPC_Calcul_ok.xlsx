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R2N18CUP" sheetId="1" r:id="rId1"/>
  </sheets>
  <calcPr calcId="0"/>
</workbook>
</file>

<file path=xl/calcChain.xml><?xml version="1.0" encoding="utf-8"?>
<calcChain xmlns="http://schemas.openxmlformats.org/spreadsheetml/2006/main">
  <c r="V321" i="1" l="1"/>
  <c r="V319" i="1"/>
  <c r="V317" i="1"/>
  <c r="L319" i="1"/>
  <c r="L317" i="1"/>
  <c r="L315" i="1"/>
  <c r="V305" i="1"/>
  <c r="V307" i="1" s="1"/>
  <c r="V303" i="1"/>
  <c r="V301" i="1"/>
  <c r="L303" i="1"/>
  <c r="L301" i="1"/>
  <c r="L299" i="1"/>
  <c r="V282" i="1"/>
  <c r="V284" i="1" s="1"/>
  <c r="V280" i="1"/>
  <c r="L280" i="1"/>
  <c r="V278" i="1"/>
  <c r="L278" i="1"/>
  <c r="L276" i="1"/>
  <c r="V261" i="1"/>
  <c r="V259" i="1"/>
  <c r="V257" i="1"/>
  <c r="L259" i="1"/>
  <c r="L257" i="1"/>
  <c r="L255" i="1"/>
  <c r="V228" i="1"/>
  <c r="V230" i="1" s="1"/>
  <c r="V226" i="1"/>
  <c r="V224" i="1"/>
  <c r="L226" i="1"/>
  <c r="L224" i="1"/>
  <c r="L222" i="1"/>
  <c r="V109" i="1"/>
  <c r="V111" i="1" s="1"/>
  <c r="V107" i="1"/>
  <c r="V105" i="1"/>
  <c r="L107" i="1"/>
  <c r="L105" i="1"/>
  <c r="L103" i="1"/>
  <c r="V46" i="1"/>
  <c r="V48" i="1" s="1"/>
  <c r="V44" i="1"/>
  <c r="V42" i="1"/>
  <c r="L44" i="1"/>
  <c r="L42" i="1"/>
  <c r="L40" i="1"/>
  <c r="V323" i="1"/>
  <c r="V263" i="1"/>
  <c r="Z315" i="1"/>
  <c r="Z299" i="1"/>
  <c r="Z276" i="1"/>
  <c r="Z255" i="1"/>
  <c r="Z222" i="1"/>
  <c r="Z103" i="1"/>
  <c r="Z40" i="1"/>
  <c r="X335" i="1" l="1"/>
  <c r="K335" i="1"/>
  <c r="K312" i="1"/>
  <c r="X312" i="1"/>
  <c r="X296" i="1"/>
  <c r="K296" i="1"/>
  <c r="R297" i="1"/>
  <c r="R298" i="1"/>
  <c r="R299" i="1"/>
  <c r="R300" i="1"/>
  <c r="R301" i="1"/>
  <c r="R302" i="1"/>
  <c r="R303" i="1"/>
  <c r="R304" i="1"/>
  <c r="S304" i="1" s="1"/>
  <c r="T304" i="1" s="1"/>
  <c r="R305" i="1"/>
  <c r="R306" i="1"/>
  <c r="R307" i="1"/>
  <c r="R308" i="1"/>
  <c r="R309" i="1"/>
  <c r="R310" i="1"/>
  <c r="R311" i="1"/>
  <c r="R312" i="1"/>
  <c r="S312" i="1" s="1"/>
  <c r="T312" i="1" s="1"/>
  <c r="R313" i="1"/>
  <c r="R314" i="1"/>
  <c r="R315" i="1"/>
  <c r="R316" i="1"/>
  <c r="R317" i="1"/>
  <c r="R318" i="1"/>
  <c r="R319" i="1"/>
  <c r="R320" i="1"/>
  <c r="S320" i="1" s="1"/>
  <c r="T320" i="1" s="1"/>
  <c r="R321" i="1"/>
  <c r="R322" i="1"/>
  <c r="R323" i="1"/>
  <c r="R324" i="1"/>
  <c r="R325" i="1"/>
  <c r="R326" i="1"/>
  <c r="R327" i="1"/>
  <c r="R328" i="1"/>
  <c r="S328" i="1" s="1"/>
  <c r="T328" i="1" s="1"/>
  <c r="R329" i="1"/>
  <c r="R330" i="1"/>
  <c r="R331" i="1"/>
  <c r="R332" i="1"/>
  <c r="R333" i="1"/>
  <c r="R334" i="1"/>
  <c r="R335" i="1"/>
  <c r="R336" i="1"/>
  <c r="S336" i="1" s="1"/>
  <c r="T336" i="1" s="1"/>
  <c r="R337" i="1"/>
  <c r="R338" i="1"/>
  <c r="R339" i="1"/>
  <c r="R340" i="1"/>
  <c r="R341" i="1"/>
  <c r="R342" i="1"/>
  <c r="R343" i="1"/>
  <c r="R344" i="1"/>
  <c r="S344" i="1" s="1"/>
  <c r="T344" i="1" s="1"/>
  <c r="R345" i="1"/>
  <c r="R346" i="1"/>
  <c r="R347" i="1"/>
  <c r="R348" i="1"/>
  <c r="R349" i="1"/>
  <c r="R350" i="1"/>
  <c r="R351" i="1"/>
  <c r="R352" i="1"/>
  <c r="S352" i="1" s="1"/>
  <c r="T352" i="1" s="1"/>
  <c r="R296" i="1"/>
  <c r="X273" i="1"/>
  <c r="K273" i="1"/>
  <c r="X252" i="1"/>
  <c r="X219" i="1"/>
  <c r="K252" i="1"/>
  <c r="J219" i="1"/>
  <c r="K219" i="1"/>
  <c r="K100" i="1"/>
  <c r="X100" i="1"/>
  <c r="X37" i="1"/>
  <c r="R220" i="1"/>
  <c r="R221" i="1"/>
  <c r="S221" i="1" s="1"/>
  <c r="T221" i="1" s="1"/>
  <c r="R222" i="1"/>
  <c r="R223" i="1"/>
  <c r="S223" i="1" s="1"/>
  <c r="T223" i="1" s="1"/>
  <c r="R224" i="1"/>
  <c r="R225" i="1"/>
  <c r="R226" i="1"/>
  <c r="R227" i="1"/>
  <c r="S227" i="1" s="1"/>
  <c r="T227" i="1" s="1"/>
  <c r="R228" i="1"/>
  <c r="R229" i="1"/>
  <c r="S229" i="1" s="1"/>
  <c r="T229" i="1" s="1"/>
  <c r="R230" i="1"/>
  <c r="R231" i="1"/>
  <c r="S231" i="1" s="1"/>
  <c r="T231" i="1" s="1"/>
  <c r="R232" i="1"/>
  <c r="R233" i="1"/>
  <c r="R234" i="1"/>
  <c r="R235" i="1"/>
  <c r="S235" i="1" s="1"/>
  <c r="T235" i="1" s="1"/>
  <c r="R236" i="1"/>
  <c r="R237" i="1"/>
  <c r="S237" i="1" s="1"/>
  <c r="T237" i="1" s="1"/>
  <c r="R238" i="1"/>
  <c r="R239" i="1"/>
  <c r="S239" i="1" s="1"/>
  <c r="T239" i="1" s="1"/>
  <c r="R240" i="1"/>
  <c r="R241" i="1"/>
  <c r="R242" i="1"/>
  <c r="R243" i="1"/>
  <c r="S243" i="1" s="1"/>
  <c r="T243" i="1" s="1"/>
  <c r="R244" i="1"/>
  <c r="R245" i="1"/>
  <c r="S245" i="1" s="1"/>
  <c r="T245" i="1" s="1"/>
  <c r="R246" i="1"/>
  <c r="R247" i="1"/>
  <c r="S247" i="1" s="1"/>
  <c r="T247" i="1" s="1"/>
  <c r="R248" i="1"/>
  <c r="R249" i="1"/>
  <c r="R250" i="1"/>
  <c r="R251" i="1"/>
  <c r="S251" i="1" s="1"/>
  <c r="T251" i="1" s="1"/>
  <c r="R219" i="1"/>
  <c r="S219" i="1" s="1"/>
  <c r="T219" i="1" s="1"/>
  <c r="U41" i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42" i="1"/>
  <c r="P11" i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2" i="1" s="1"/>
  <c r="P33" i="1" s="1"/>
  <c r="P10" i="1"/>
  <c r="K39" i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16" i="1" s="1"/>
  <c r="K217" i="1" s="1"/>
  <c r="K218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J39" i="1"/>
  <c r="J40" i="1"/>
  <c r="J41" i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16" i="1" s="1"/>
  <c r="J217" i="1" s="1"/>
  <c r="J218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K38" i="1"/>
  <c r="J38" i="1"/>
  <c r="K37" i="1"/>
  <c r="J37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46" i="1"/>
  <c r="T47" i="1"/>
  <c r="T48" i="1"/>
  <c r="T54" i="1"/>
  <c r="T55" i="1"/>
  <c r="T56" i="1"/>
  <c r="T62" i="1"/>
  <c r="T63" i="1"/>
  <c r="T64" i="1"/>
  <c r="T70" i="1"/>
  <c r="T71" i="1"/>
  <c r="T72" i="1"/>
  <c r="T78" i="1"/>
  <c r="T79" i="1"/>
  <c r="T80" i="1"/>
  <c r="T86" i="1"/>
  <c r="T87" i="1"/>
  <c r="T88" i="1"/>
  <c r="T94" i="1"/>
  <c r="T95" i="1"/>
  <c r="T96" i="1"/>
  <c r="T101" i="1"/>
  <c r="T117" i="1"/>
  <c r="T142" i="1"/>
  <c r="T144" i="1"/>
  <c r="T170" i="1"/>
  <c r="T171" i="1"/>
  <c r="T172" i="1"/>
  <c r="T173" i="1"/>
  <c r="T177" i="1"/>
  <c r="T180" i="1"/>
  <c r="T225" i="1"/>
  <c r="T233" i="1"/>
  <c r="T241" i="1"/>
  <c r="T249" i="1"/>
  <c r="T252" i="1"/>
  <c r="T254" i="1"/>
  <c r="T258" i="1"/>
  <c r="T259" i="1"/>
  <c r="T273" i="1"/>
  <c r="T277" i="1"/>
  <c r="T289" i="1"/>
  <c r="T290" i="1"/>
  <c r="T291" i="1"/>
  <c r="T297" i="1"/>
  <c r="T299" i="1"/>
  <c r="T300" i="1"/>
  <c r="T305" i="1"/>
  <c r="T307" i="1"/>
  <c r="T308" i="1"/>
  <c r="T315" i="1"/>
  <c r="T316" i="1"/>
  <c r="T321" i="1"/>
  <c r="T323" i="1"/>
  <c r="T324" i="1"/>
  <c r="T325" i="1"/>
  <c r="T329" i="1"/>
  <c r="T331" i="1"/>
  <c r="T332" i="1"/>
  <c r="T333" i="1"/>
  <c r="T337" i="1"/>
  <c r="T339" i="1"/>
  <c r="T340" i="1"/>
  <c r="T341" i="1"/>
  <c r="T345" i="1"/>
  <c r="T347" i="1"/>
  <c r="T348" i="1"/>
  <c r="T349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S47" i="1"/>
  <c r="S48" i="1"/>
  <c r="S49" i="1"/>
  <c r="T49" i="1" s="1"/>
  <c r="S50" i="1"/>
  <c r="T50" i="1" s="1"/>
  <c r="S51" i="1"/>
  <c r="T51" i="1" s="1"/>
  <c r="S52" i="1"/>
  <c r="T52" i="1" s="1"/>
  <c r="S53" i="1"/>
  <c r="T53" i="1" s="1"/>
  <c r="S54" i="1"/>
  <c r="S55" i="1"/>
  <c r="S56" i="1"/>
  <c r="S57" i="1"/>
  <c r="T57" i="1" s="1"/>
  <c r="S58" i="1"/>
  <c r="T58" i="1" s="1"/>
  <c r="S59" i="1"/>
  <c r="T59" i="1" s="1"/>
  <c r="S60" i="1"/>
  <c r="T60" i="1" s="1"/>
  <c r="S61" i="1"/>
  <c r="T61" i="1" s="1"/>
  <c r="S62" i="1"/>
  <c r="S63" i="1"/>
  <c r="S64" i="1"/>
  <c r="S65" i="1"/>
  <c r="T65" i="1" s="1"/>
  <c r="S66" i="1"/>
  <c r="T66" i="1" s="1"/>
  <c r="S67" i="1"/>
  <c r="T67" i="1" s="1"/>
  <c r="S68" i="1"/>
  <c r="T68" i="1" s="1"/>
  <c r="S69" i="1"/>
  <c r="T69" i="1" s="1"/>
  <c r="S70" i="1"/>
  <c r="S71" i="1"/>
  <c r="S72" i="1"/>
  <c r="S73" i="1"/>
  <c r="T73" i="1" s="1"/>
  <c r="S74" i="1"/>
  <c r="T74" i="1" s="1"/>
  <c r="S75" i="1"/>
  <c r="T75" i="1" s="1"/>
  <c r="S76" i="1"/>
  <c r="T76" i="1" s="1"/>
  <c r="S77" i="1"/>
  <c r="T77" i="1" s="1"/>
  <c r="S78" i="1"/>
  <c r="S79" i="1"/>
  <c r="S80" i="1"/>
  <c r="S81" i="1"/>
  <c r="T81" i="1" s="1"/>
  <c r="S82" i="1"/>
  <c r="T82" i="1" s="1"/>
  <c r="S83" i="1"/>
  <c r="T83" i="1" s="1"/>
  <c r="S84" i="1"/>
  <c r="T84" i="1" s="1"/>
  <c r="S85" i="1"/>
  <c r="T85" i="1" s="1"/>
  <c r="S86" i="1"/>
  <c r="S87" i="1"/>
  <c r="S88" i="1"/>
  <c r="S89" i="1"/>
  <c r="T89" i="1" s="1"/>
  <c r="S90" i="1"/>
  <c r="T90" i="1" s="1"/>
  <c r="S91" i="1"/>
  <c r="T91" i="1" s="1"/>
  <c r="S92" i="1"/>
  <c r="T92" i="1" s="1"/>
  <c r="S93" i="1"/>
  <c r="T93" i="1" s="1"/>
  <c r="S94" i="1"/>
  <c r="S95" i="1"/>
  <c r="S96" i="1"/>
  <c r="S97" i="1"/>
  <c r="T97" i="1" s="1"/>
  <c r="S98" i="1"/>
  <c r="T98" i="1" s="1"/>
  <c r="S99" i="1"/>
  <c r="T99" i="1" s="1"/>
  <c r="S100" i="1"/>
  <c r="T100" i="1" s="1"/>
  <c r="S101" i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S143" i="1"/>
  <c r="T143" i="1" s="1"/>
  <c r="S144" i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S171" i="1"/>
  <c r="S172" i="1"/>
  <c r="S173" i="1"/>
  <c r="S174" i="1"/>
  <c r="T174" i="1" s="1"/>
  <c r="S175" i="1"/>
  <c r="T175" i="1" s="1"/>
  <c r="S176" i="1"/>
  <c r="T176" i="1" s="1"/>
  <c r="S177" i="1"/>
  <c r="S178" i="1"/>
  <c r="T178" i="1" s="1"/>
  <c r="S179" i="1"/>
  <c r="T179" i="1" s="1"/>
  <c r="S180" i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20" i="1"/>
  <c r="T220" i="1" s="1"/>
  <c r="S222" i="1"/>
  <c r="T222" i="1" s="1"/>
  <c r="S224" i="1"/>
  <c r="T224" i="1" s="1"/>
  <c r="S225" i="1"/>
  <c r="S226" i="1"/>
  <c r="T226" i="1" s="1"/>
  <c r="S228" i="1"/>
  <c r="T228" i="1" s="1"/>
  <c r="S230" i="1"/>
  <c r="T230" i="1" s="1"/>
  <c r="S232" i="1"/>
  <c r="T232" i="1" s="1"/>
  <c r="S233" i="1"/>
  <c r="S234" i="1"/>
  <c r="T234" i="1" s="1"/>
  <c r="S236" i="1"/>
  <c r="T236" i="1" s="1"/>
  <c r="S238" i="1"/>
  <c r="T238" i="1" s="1"/>
  <c r="S240" i="1"/>
  <c r="T240" i="1" s="1"/>
  <c r="S241" i="1"/>
  <c r="S242" i="1"/>
  <c r="T242" i="1" s="1"/>
  <c r="S244" i="1"/>
  <c r="T244" i="1" s="1"/>
  <c r="S246" i="1"/>
  <c r="T246" i="1" s="1"/>
  <c r="S248" i="1"/>
  <c r="T248" i="1" s="1"/>
  <c r="S249" i="1"/>
  <c r="S250" i="1"/>
  <c r="T250" i="1" s="1"/>
  <c r="S252" i="1"/>
  <c r="S253" i="1"/>
  <c r="T253" i="1" s="1"/>
  <c r="S254" i="1"/>
  <c r="S255" i="1"/>
  <c r="T255" i="1" s="1"/>
  <c r="S256" i="1"/>
  <c r="T256" i="1" s="1"/>
  <c r="S257" i="1"/>
  <c r="T257" i="1" s="1"/>
  <c r="S258" i="1"/>
  <c r="S259" i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S274" i="1"/>
  <c r="T274" i="1" s="1"/>
  <c r="S275" i="1"/>
  <c r="T275" i="1" s="1"/>
  <c r="S276" i="1"/>
  <c r="T276" i="1" s="1"/>
  <c r="S277" i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S290" i="1"/>
  <c r="S291" i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S298" i="1"/>
  <c r="T298" i="1" s="1"/>
  <c r="S299" i="1"/>
  <c r="S300" i="1"/>
  <c r="S301" i="1"/>
  <c r="T301" i="1" s="1"/>
  <c r="S302" i="1"/>
  <c r="T302" i="1" s="1"/>
  <c r="S303" i="1"/>
  <c r="T303" i="1" s="1"/>
  <c r="S305" i="1"/>
  <c r="S306" i="1"/>
  <c r="T306" i="1" s="1"/>
  <c r="S307" i="1"/>
  <c r="S308" i="1"/>
  <c r="S309" i="1"/>
  <c r="T309" i="1" s="1"/>
  <c r="S310" i="1"/>
  <c r="T310" i="1" s="1"/>
  <c r="S311" i="1"/>
  <c r="T311" i="1" s="1"/>
  <c r="S313" i="1"/>
  <c r="T313" i="1" s="1"/>
  <c r="S314" i="1"/>
  <c r="T314" i="1" s="1"/>
  <c r="S315" i="1"/>
  <c r="S316" i="1"/>
  <c r="S317" i="1"/>
  <c r="T317" i="1" s="1"/>
  <c r="S318" i="1"/>
  <c r="T318" i="1" s="1"/>
  <c r="S319" i="1"/>
  <c r="T319" i="1" s="1"/>
  <c r="S321" i="1"/>
  <c r="S322" i="1"/>
  <c r="T322" i="1" s="1"/>
  <c r="S323" i="1"/>
  <c r="S324" i="1"/>
  <c r="S325" i="1"/>
  <c r="S326" i="1"/>
  <c r="T326" i="1" s="1"/>
  <c r="S327" i="1"/>
  <c r="T327" i="1" s="1"/>
  <c r="S329" i="1"/>
  <c r="S330" i="1"/>
  <c r="T330" i="1" s="1"/>
  <c r="S331" i="1"/>
  <c r="S332" i="1"/>
  <c r="S333" i="1"/>
  <c r="S334" i="1"/>
  <c r="T334" i="1" s="1"/>
  <c r="S335" i="1"/>
  <c r="T335" i="1" s="1"/>
  <c r="S337" i="1"/>
  <c r="S338" i="1"/>
  <c r="T338" i="1" s="1"/>
  <c r="S339" i="1"/>
  <c r="S340" i="1"/>
  <c r="S341" i="1"/>
  <c r="S342" i="1"/>
  <c r="T342" i="1" s="1"/>
  <c r="S343" i="1"/>
  <c r="T343" i="1" s="1"/>
  <c r="S345" i="1"/>
  <c r="S346" i="1"/>
  <c r="T346" i="1" s="1"/>
  <c r="S347" i="1"/>
  <c r="S348" i="1"/>
  <c r="S349" i="1"/>
  <c r="S350" i="1"/>
  <c r="T350" i="1" s="1"/>
  <c r="S351" i="1"/>
  <c r="T351" i="1" s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4" i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5" i="1"/>
  <c r="X4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7" i="1"/>
  <c r="O5" i="1"/>
  <c r="O6" i="1"/>
  <c r="O4" i="1"/>
  <c r="R1" i="1"/>
  <c r="K297" i="1" l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X38" i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219" i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40" i="1" s="1"/>
  <c r="U351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</calcChain>
</file>

<file path=xl/sharedStrings.xml><?xml version="1.0" encoding="utf-8"?>
<sst xmlns="http://schemas.openxmlformats.org/spreadsheetml/2006/main" count="152" uniqueCount="60">
  <si>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</si>
  <si>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</si>
  <si>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</si>
  <si>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</si>
  <si>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</si>
  <si>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</si>
  <si>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</si>
  <si>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</si>
  <si>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</si>
  <si>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</si>
  <si>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</si>
  <si>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Période</t>
  </si>
  <si>
    <t>GDD/C</t>
  </si>
  <si>
    <t>GDD/P</t>
  </si>
  <si>
    <t>IPC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</si>
  <si>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</si>
  <si>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</si>
  <si>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</si>
  <si>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</si>
  <si>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</si>
  <si>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</si>
  <si>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</si>
  <si>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</si>
  <si>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Photopériode</t>
  </si>
  <si>
    <t>TEMPERATURE</t>
  </si>
  <si>
    <t>WATER</t>
  </si>
  <si>
    <t>SOLAR</t>
  </si>
  <si>
    <t>RU</t>
  </si>
  <si>
    <t>1/3</t>
  </si>
  <si>
    <t>Semis</t>
  </si>
  <si>
    <t>FH</t>
  </si>
  <si>
    <t>H</t>
  </si>
  <si>
    <t>FLO estimated</t>
  </si>
  <si>
    <t>FIN FLO</t>
  </si>
  <si>
    <t>Récolte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</si>
  <si>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</si>
  <si>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</si>
  <si>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</si>
  <si>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</si>
  <si>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</si>
  <si>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</si>
  <si>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</si>
  <si>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</si>
  <si>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</si>
  <si>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</si>
  <si>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</si>
  <si>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</si>
  <si>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</si>
  <si>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</si>
  <si>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</si>
  <si>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</si>
  <si>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</si>
  <si>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</si>
  <si>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P1000</t>
  </si>
  <si>
    <t>P600</t>
  </si>
  <si>
    <t>P300</t>
  </si>
  <si>
    <t>FLOWERING</t>
  </si>
  <si>
    <t>BOLTING</t>
  </si>
  <si>
    <t>CLIMATIC WINTER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</si>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</sst>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7"/>
  <sheetViews>
    <sheetView tabSelected="1" zoomScale="80" zoomScaleNormal="80" workbookViewId="0">
      <pane xSplit="6" ySplit="3" topLeftCell="G295" activePane="bottomRight" state="frozen"/>
      <selection pane="topRight" activeCell="G1" sqref="G1"/>
      <selection pane="bottomLeft" activeCell="A4" sqref="A4"/>
      <selection pane="bottomRight" activeCell="F100" sqref="F100:F218"/>
    </sheetView>
  </sheetViews>
  <sheetFormatPr baseColWidth="10" defaultRowHeight="15" x14ac:dyDescent="0.25"/>
  <sheetData>
    <row r="1" spans="1:26" s="2" customFormat="1" x14ac:dyDescent="0.25">
      <c r="O1" s="2" t="s">
        <v>27</v>
      </c>
      <c r="P1" s="2">
        <v>153.9</v>
      </c>
      <c r="Q1" s="3" t="s">
        <v>28</v>
      </c>
      <c r="R1" s="2">
        <f>P1/3</f>
        <v>51.300000000000004</v>
      </c>
    </row>
    <row r="2" spans="1:26" s="2" customFormat="1" x14ac:dyDescent="0.25">
      <c r="G2" s="4" t="s">
        <v>24</v>
      </c>
      <c r="H2" s="4"/>
      <c r="I2" s="4"/>
      <c r="J2" s="4"/>
      <c r="K2" s="4"/>
      <c r="L2" s="4"/>
      <c r="M2" s="5" t="s">
        <v>25</v>
      </c>
      <c r="N2" s="5"/>
      <c r="O2" s="5"/>
      <c r="P2" s="5"/>
      <c r="Q2" s="5"/>
      <c r="R2" s="5"/>
      <c r="S2" s="5"/>
      <c r="T2" s="5"/>
      <c r="U2" s="5"/>
      <c r="V2" s="5"/>
      <c r="W2" s="5" t="s">
        <v>26</v>
      </c>
      <c r="X2" s="5"/>
      <c r="Y2" s="5"/>
      <c r="Z2" s="5"/>
    </row>
    <row r="3" spans="1:26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25">
      <c r="A4">
        <v>7560</v>
      </c>
      <c r="B4">
        <v>24490</v>
      </c>
      <c r="C4" s="1">
        <v>42949</v>
      </c>
      <c r="G4">
        <v>21.8</v>
      </c>
      <c r="H4">
        <v>16.100000000000001</v>
      </c>
      <c r="I4">
        <v>26.9</v>
      </c>
      <c r="M4">
        <v>0</v>
      </c>
      <c r="N4">
        <v>2.8</v>
      </c>
      <c r="O4">
        <f>M4-N4</f>
        <v>-2.8</v>
      </c>
      <c r="P4">
        <v>0</v>
      </c>
      <c r="S4">
        <f>R4*N4</f>
        <v>0</v>
      </c>
      <c r="T4">
        <f>M4-S4</f>
        <v>0</v>
      </c>
      <c r="W4">
        <v>1224.7</v>
      </c>
      <c r="X4">
        <f>W4</f>
        <v>1224.7</v>
      </c>
      <c r="Y4">
        <v>14.868009431531696</v>
      </c>
    </row>
    <row r="5" spans="1:26" x14ac:dyDescent="0.25">
      <c r="A5">
        <v>7560</v>
      </c>
      <c r="B5">
        <v>24490</v>
      </c>
      <c r="C5" s="1">
        <v>42950</v>
      </c>
      <c r="G5">
        <v>21</v>
      </c>
      <c r="H5">
        <v>18.3</v>
      </c>
      <c r="I5">
        <v>24.1</v>
      </c>
      <c r="M5">
        <v>0</v>
      </c>
      <c r="N5">
        <v>2.7</v>
      </c>
      <c r="O5">
        <f t="shared" ref="O5:O6" si="0">M5-N5</f>
        <v>-2.7</v>
      </c>
      <c r="P5">
        <v>0</v>
      </c>
      <c r="S5">
        <f t="shared" ref="S5:S68" si="1">R5*N5</f>
        <v>0</v>
      </c>
      <c r="T5">
        <f t="shared" ref="T5:T68" si="2">M5-S5</f>
        <v>0</v>
      </c>
      <c r="W5">
        <v>670.6</v>
      </c>
      <c r="X5">
        <f>X4+W5</f>
        <v>1895.3000000000002</v>
      </c>
      <c r="Y5">
        <v>14.81933123642246</v>
      </c>
    </row>
    <row r="6" spans="1:26" x14ac:dyDescent="0.25">
      <c r="A6">
        <v>7560</v>
      </c>
      <c r="B6">
        <v>24490</v>
      </c>
      <c r="C6" s="1">
        <v>42951</v>
      </c>
      <c r="G6">
        <v>20.8</v>
      </c>
      <c r="H6">
        <v>17.600000000000001</v>
      </c>
      <c r="I6">
        <v>23.7</v>
      </c>
      <c r="M6">
        <v>0</v>
      </c>
      <c r="N6">
        <v>3.6</v>
      </c>
      <c r="O6">
        <f t="shared" si="0"/>
        <v>-3.6</v>
      </c>
      <c r="P6">
        <v>0</v>
      </c>
      <c r="S6">
        <f t="shared" si="1"/>
        <v>0</v>
      </c>
      <c r="T6">
        <f t="shared" si="2"/>
        <v>0</v>
      </c>
      <c r="W6">
        <v>1180.9000000000001</v>
      </c>
      <c r="X6">
        <f t="shared" ref="X6:X69" si="3">X5+W6</f>
        <v>3076.2000000000003</v>
      </c>
      <c r="Y6">
        <v>14.7699880796791</v>
      </c>
    </row>
    <row r="7" spans="1:26" x14ac:dyDescent="0.25">
      <c r="A7">
        <v>7560</v>
      </c>
      <c r="B7">
        <v>24490</v>
      </c>
      <c r="C7" s="1">
        <v>42952</v>
      </c>
      <c r="G7">
        <v>19.7</v>
      </c>
      <c r="H7">
        <v>19.2</v>
      </c>
      <c r="I7">
        <v>22</v>
      </c>
      <c r="M7">
        <v>0</v>
      </c>
      <c r="N7">
        <v>3.6</v>
      </c>
      <c r="O7">
        <f>M7-N7</f>
        <v>-3.6</v>
      </c>
      <c r="P7">
        <v>0</v>
      </c>
      <c r="S7">
        <f t="shared" si="1"/>
        <v>0</v>
      </c>
      <c r="T7">
        <f t="shared" si="2"/>
        <v>0</v>
      </c>
      <c r="W7">
        <v>1521.3</v>
      </c>
      <c r="X7">
        <f t="shared" si="3"/>
        <v>4597.5</v>
      </c>
      <c r="Y7">
        <v>14.720002671397321</v>
      </c>
    </row>
    <row r="8" spans="1:26" x14ac:dyDescent="0.25">
      <c r="A8">
        <v>7560</v>
      </c>
      <c r="B8">
        <v>24490</v>
      </c>
      <c r="C8" s="1">
        <v>42953</v>
      </c>
      <c r="G8">
        <v>16.8</v>
      </c>
      <c r="H8">
        <v>12.3</v>
      </c>
      <c r="I8">
        <v>22</v>
      </c>
      <c r="M8">
        <v>0</v>
      </c>
      <c r="N8">
        <v>3.5</v>
      </c>
      <c r="O8">
        <f t="shared" ref="O8:O71" si="4">M8-N8</f>
        <v>-3.5</v>
      </c>
      <c r="P8">
        <v>0</v>
      </c>
      <c r="S8">
        <f t="shared" si="1"/>
        <v>0</v>
      </c>
      <c r="T8">
        <f t="shared" si="2"/>
        <v>0</v>
      </c>
      <c r="W8">
        <v>1608.4</v>
      </c>
      <c r="X8">
        <f t="shared" si="3"/>
        <v>6205.9</v>
      </c>
      <c r="Y8">
        <v>14.669397342772497</v>
      </c>
    </row>
    <row r="9" spans="1:26" x14ac:dyDescent="0.25">
      <c r="A9">
        <v>7560</v>
      </c>
      <c r="B9">
        <v>24490</v>
      </c>
      <c r="C9" s="1">
        <v>42954</v>
      </c>
      <c r="G9">
        <v>18.8</v>
      </c>
      <c r="H9">
        <v>12</v>
      </c>
      <c r="I9">
        <v>24.3</v>
      </c>
      <c r="M9">
        <v>0.9</v>
      </c>
      <c r="N9">
        <v>5.2</v>
      </c>
      <c r="O9">
        <f t="shared" si="4"/>
        <v>-4.3</v>
      </c>
      <c r="P9">
        <v>0</v>
      </c>
      <c r="S9">
        <f t="shared" si="1"/>
        <v>0</v>
      </c>
      <c r="T9">
        <f t="shared" si="2"/>
        <v>0.9</v>
      </c>
      <c r="W9">
        <v>2375.8000000000002</v>
      </c>
      <c r="X9">
        <f t="shared" si="3"/>
        <v>8581.7000000000007</v>
      </c>
      <c r="Y9">
        <v>14.618194030665599</v>
      </c>
    </row>
    <row r="10" spans="1:26" x14ac:dyDescent="0.25">
      <c r="A10">
        <v>7560</v>
      </c>
      <c r="B10">
        <v>24490</v>
      </c>
      <c r="C10" s="1">
        <v>42955</v>
      </c>
      <c r="G10">
        <v>16</v>
      </c>
      <c r="H10">
        <v>15.2</v>
      </c>
      <c r="I10">
        <v>18.7</v>
      </c>
      <c r="M10">
        <v>4.3</v>
      </c>
      <c r="N10">
        <v>1.9</v>
      </c>
      <c r="O10">
        <f t="shared" si="4"/>
        <v>2.4</v>
      </c>
      <c r="P10">
        <f>P9+O10</f>
        <v>2.4</v>
      </c>
      <c r="S10">
        <f t="shared" si="1"/>
        <v>0</v>
      </c>
      <c r="T10">
        <f t="shared" si="2"/>
        <v>4.3</v>
      </c>
      <c r="W10">
        <v>774.5</v>
      </c>
      <c r="X10">
        <f t="shared" si="3"/>
        <v>9356.2000000000007</v>
      </c>
      <c r="Y10">
        <v>14.566414264166095</v>
      </c>
    </row>
    <row r="11" spans="1:26" x14ac:dyDescent="0.25">
      <c r="A11">
        <v>7560</v>
      </c>
      <c r="B11">
        <v>24490</v>
      </c>
      <c r="C11" s="1">
        <v>42956</v>
      </c>
      <c r="G11">
        <v>14.1</v>
      </c>
      <c r="H11">
        <v>12</v>
      </c>
      <c r="I11">
        <v>17.8</v>
      </c>
      <c r="M11">
        <v>0.6</v>
      </c>
      <c r="N11">
        <v>1.7</v>
      </c>
      <c r="O11">
        <f t="shared" si="4"/>
        <v>-1.1000000000000001</v>
      </c>
      <c r="P11">
        <f t="shared" ref="P11:P35" si="5">P10+O11</f>
        <v>1.2999999999999998</v>
      </c>
      <c r="S11">
        <f t="shared" si="1"/>
        <v>0</v>
      </c>
      <c r="T11">
        <f t="shared" si="2"/>
        <v>0.6</v>
      </c>
      <c r="W11">
        <v>961.4</v>
      </c>
      <c r="X11">
        <f t="shared" si="3"/>
        <v>10317.6</v>
      </c>
      <c r="Y11">
        <v>14.514079153080099</v>
      </c>
    </row>
    <row r="12" spans="1:26" x14ac:dyDescent="0.25">
      <c r="A12">
        <v>7560</v>
      </c>
      <c r="B12">
        <v>24490</v>
      </c>
      <c r="C12" s="1">
        <v>42957</v>
      </c>
      <c r="G12">
        <v>13.3</v>
      </c>
      <c r="H12">
        <v>9.9</v>
      </c>
      <c r="I12">
        <v>16.5</v>
      </c>
      <c r="M12">
        <v>0.1</v>
      </c>
      <c r="N12">
        <v>2</v>
      </c>
      <c r="O12">
        <f t="shared" si="4"/>
        <v>-1.9</v>
      </c>
      <c r="P12">
        <v>0</v>
      </c>
      <c r="S12">
        <f t="shared" si="1"/>
        <v>0</v>
      </c>
      <c r="T12">
        <f t="shared" si="2"/>
        <v>0.1</v>
      </c>
      <c r="W12">
        <v>1348.4</v>
      </c>
      <c r="X12">
        <f t="shared" si="3"/>
        <v>11666</v>
      </c>
      <c r="Y12">
        <v>14.461209378269018</v>
      </c>
    </row>
    <row r="13" spans="1:26" x14ac:dyDescent="0.25">
      <c r="A13">
        <v>7560</v>
      </c>
      <c r="B13">
        <v>24490</v>
      </c>
      <c r="C13" s="1">
        <v>42958</v>
      </c>
      <c r="G13">
        <v>15.4</v>
      </c>
      <c r="H13">
        <v>10.4</v>
      </c>
      <c r="I13">
        <v>18.7</v>
      </c>
      <c r="M13">
        <v>0.1</v>
      </c>
      <c r="N13">
        <v>2.1</v>
      </c>
      <c r="O13">
        <f t="shared" si="4"/>
        <v>-2</v>
      </c>
      <c r="P13">
        <v>0</v>
      </c>
      <c r="S13">
        <f t="shared" si="1"/>
        <v>0</v>
      </c>
      <c r="T13">
        <f t="shared" si="2"/>
        <v>0.1</v>
      </c>
      <c r="W13">
        <v>1283.0999999999999</v>
      </c>
      <c r="X13">
        <f t="shared" si="3"/>
        <v>12949.1</v>
      </c>
      <c r="Y13">
        <v>14.407825183761764</v>
      </c>
    </row>
    <row r="14" spans="1:26" x14ac:dyDescent="0.25">
      <c r="A14">
        <v>7560</v>
      </c>
      <c r="B14">
        <v>24490</v>
      </c>
      <c r="C14" s="1">
        <v>42959</v>
      </c>
      <c r="G14">
        <v>16.5</v>
      </c>
      <c r="H14">
        <v>13.1</v>
      </c>
      <c r="I14">
        <v>18.899999999999999</v>
      </c>
      <c r="M14">
        <v>1.3</v>
      </c>
      <c r="N14">
        <v>1.4</v>
      </c>
      <c r="O14">
        <f t="shared" si="4"/>
        <v>-9.9999999999999867E-2</v>
      </c>
      <c r="P14">
        <v>0</v>
      </c>
      <c r="S14">
        <f t="shared" si="1"/>
        <v>0</v>
      </c>
      <c r="T14">
        <f t="shared" si="2"/>
        <v>1.3</v>
      </c>
      <c r="W14">
        <v>405.5</v>
      </c>
      <c r="X14">
        <f t="shared" si="3"/>
        <v>13354.6</v>
      </c>
      <c r="Y14">
        <v>14.353946370561955</v>
      </c>
    </row>
    <row r="15" spans="1:26" x14ac:dyDescent="0.25">
      <c r="A15">
        <v>7560</v>
      </c>
      <c r="B15">
        <v>24490</v>
      </c>
      <c r="C15" s="1">
        <v>42960</v>
      </c>
      <c r="G15">
        <v>17.600000000000001</v>
      </c>
      <c r="H15">
        <v>14.5</v>
      </c>
      <c r="I15">
        <v>20.7</v>
      </c>
      <c r="M15">
        <v>0</v>
      </c>
      <c r="N15">
        <v>2</v>
      </c>
      <c r="O15">
        <f t="shared" si="4"/>
        <v>-2</v>
      </c>
      <c r="P15">
        <v>0</v>
      </c>
      <c r="S15">
        <f t="shared" si="1"/>
        <v>0</v>
      </c>
      <c r="T15">
        <f t="shared" si="2"/>
        <v>0</v>
      </c>
      <c r="W15">
        <v>891.4</v>
      </c>
      <c r="X15">
        <f t="shared" si="3"/>
        <v>14246</v>
      </c>
      <c r="Y15">
        <v>14.299592292070765</v>
      </c>
    </row>
    <row r="16" spans="1:26" x14ac:dyDescent="0.25">
      <c r="A16">
        <v>7560</v>
      </c>
      <c r="B16">
        <v>24490</v>
      </c>
      <c r="C16" s="1">
        <v>42961</v>
      </c>
      <c r="G16">
        <v>19.899999999999999</v>
      </c>
      <c r="H16">
        <v>11.9</v>
      </c>
      <c r="I16">
        <v>26.4</v>
      </c>
      <c r="M16">
        <v>0</v>
      </c>
      <c r="N16">
        <v>3.7</v>
      </c>
      <c r="O16">
        <f t="shared" si="4"/>
        <v>-3.7</v>
      </c>
      <c r="P16">
        <v>0</v>
      </c>
      <c r="S16">
        <f t="shared" si="1"/>
        <v>0</v>
      </c>
      <c r="T16">
        <f t="shared" si="2"/>
        <v>0</v>
      </c>
      <c r="W16">
        <v>1769</v>
      </c>
      <c r="X16">
        <f t="shared" si="3"/>
        <v>16015</v>
      </c>
      <c r="Y16">
        <v>14.244781851045717</v>
      </c>
    </row>
    <row r="17" spans="1:25" x14ac:dyDescent="0.25">
      <c r="A17">
        <v>7560</v>
      </c>
      <c r="B17">
        <v>24490</v>
      </c>
      <c r="C17" s="1">
        <v>42962</v>
      </c>
      <c r="G17">
        <v>19.899999999999999</v>
      </c>
      <c r="H17">
        <v>18.100000000000001</v>
      </c>
      <c r="I17">
        <v>24.9</v>
      </c>
      <c r="M17">
        <v>11.2</v>
      </c>
      <c r="N17">
        <v>3.2</v>
      </c>
      <c r="O17">
        <f t="shared" si="4"/>
        <v>7.9999999999999991</v>
      </c>
      <c r="P17">
        <f t="shared" si="5"/>
        <v>7.9999999999999991</v>
      </c>
      <c r="S17">
        <f t="shared" si="1"/>
        <v>0</v>
      </c>
      <c r="T17">
        <f t="shared" si="2"/>
        <v>11.2</v>
      </c>
      <c r="W17">
        <v>918.1</v>
      </c>
      <c r="X17">
        <f t="shared" si="3"/>
        <v>16933.099999999999</v>
      </c>
      <c r="Y17">
        <v>14.189533498016045</v>
      </c>
    </row>
    <row r="18" spans="1:25" x14ac:dyDescent="0.25">
      <c r="A18">
        <v>7560</v>
      </c>
      <c r="B18">
        <v>24490</v>
      </c>
      <c r="C18" s="1">
        <v>42963</v>
      </c>
      <c r="G18">
        <v>20.100000000000001</v>
      </c>
      <c r="H18">
        <v>16.7</v>
      </c>
      <c r="I18">
        <v>24.2</v>
      </c>
      <c r="M18">
        <v>0</v>
      </c>
      <c r="N18">
        <v>2.5</v>
      </c>
      <c r="O18">
        <f t="shared" si="4"/>
        <v>-2.5</v>
      </c>
      <c r="P18">
        <f t="shared" si="5"/>
        <v>5.4999999999999991</v>
      </c>
      <c r="S18">
        <f t="shared" si="1"/>
        <v>0</v>
      </c>
      <c r="T18">
        <f t="shared" si="2"/>
        <v>0</v>
      </c>
      <c r="W18">
        <v>1343.3</v>
      </c>
      <c r="X18">
        <f t="shared" si="3"/>
        <v>18276.399999999998</v>
      </c>
      <c r="Y18">
        <v>14.133865231075877</v>
      </c>
    </row>
    <row r="19" spans="1:25" x14ac:dyDescent="0.25">
      <c r="A19">
        <v>7560</v>
      </c>
      <c r="B19">
        <v>24490</v>
      </c>
      <c r="C19" s="1">
        <v>42964</v>
      </c>
      <c r="G19">
        <v>20</v>
      </c>
      <c r="H19">
        <v>15.7</v>
      </c>
      <c r="I19">
        <v>23.3</v>
      </c>
      <c r="M19">
        <v>3.6</v>
      </c>
      <c r="N19">
        <v>1.9</v>
      </c>
      <c r="O19">
        <f t="shared" si="4"/>
        <v>1.7000000000000002</v>
      </c>
      <c r="P19">
        <f t="shared" si="5"/>
        <v>7.1999999999999993</v>
      </c>
      <c r="S19">
        <f t="shared" si="1"/>
        <v>0</v>
      </c>
      <c r="T19">
        <f t="shared" si="2"/>
        <v>3.6</v>
      </c>
      <c r="W19">
        <v>576.4</v>
      </c>
      <c r="X19">
        <f t="shared" si="3"/>
        <v>18852.8</v>
      </c>
      <c r="Y19">
        <v>14.077794596977704</v>
      </c>
    </row>
    <row r="20" spans="1:25" x14ac:dyDescent="0.25">
      <c r="A20">
        <v>7560</v>
      </c>
      <c r="B20">
        <v>24490</v>
      </c>
      <c r="C20" s="1">
        <v>42965</v>
      </c>
      <c r="G20">
        <v>17.399999999999999</v>
      </c>
      <c r="H20">
        <v>16.8</v>
      </c>
      <c r="I20">
        <v>18.5</v>
      </c>
      <c r="M20">
        <v>15.3</v>
      </c>
      <c r="N20">
        <v>1.2</v>
      </c>
      <c r="O20">
        <f t="shared" si="4"/>
        <v>14.100000000000001</v>
      </c>
      <c r="P20">
        <f t="shared" si="5"/>
        <v>21.3</v>
      </c>
      <c r="S20">
        <f t="shared" si="1"/>
        <v>0</v>
      </c>
      <c r="T20">
        <f t="shared" si="2"/>
        <v>15.3</v>
      </c>
      <c r="W20">
        <v>651.70000000000005</v>
      </c>
      <c r="X20">
        <f t="shared" si="3"/>
        <v>19504.5</v>
      </c>
      <c r="Y20">
        <v>14.021338693450053</v>
      </c>
    </row>
    <row r="21" spans="1:25" x14ac:dyDescent="0.25">
      <c r="A21">
        <v>7560</v>
      </c>
      <c r="B21">
        <v>24490</v>
      </c>
      <c r="C21" s="1">
        <v>42966</v>
      </c>
      <c r="G21">
        <v>15.4</v>
      </c>
      <c r="H21">
        <v>11.5</v>
      </c>
      <c r="I21">
        <v>18.600000000000001</v>
      </c>
      <c r="M21">
        <v>0.9</v>
      </c>
      <c r="N21">
        <v>2.5</v>
      </c>
      <c r="O21">
        <f t="shared" si="4"/>
        <v>-1.6</v>
      </c>
      <c r="P21">
        <f t="shared" si="5"/>
        <v>19.7</v>
      </c>
      <c r="S21">
        <f t="shared" si="1"/>
        <v>0</v>
      </c>
      <c r="T21">
        <f t="shared" si="2"/>
        <v>0.9</v>
      </c>
      <c r="W21">
        <v>1359.1</v>
      </c>
      <c r="X21">
        <f t="shared" si="3"/>
        <v>20863.599999999999</v>
      </c>
      <c r="Y21">
        <v>13.964514172665087</v>
      </c>
    </row>
    <row r="22" spans="1:25" x14ac:dyDescent="0.25">
      <c r="A22">
        <v>7560</v>
      </c>
      <c r="B22">
        <v>24490</v>
      </c>
      <c r="C22" s="1">
        <v>42967</v>
      </c>
      <c r="G22">
        <v>15.5</v>
      </c>
      <c r="H22">
        <v>10.5</v>
      </c>
      <c r="I22">
        <v>19.399999999999999</v>
      </c>
      <c r="M22">
        <v>0</v>
      </c>
      <c r="N22">
        <v>2.5</v>
      </c>
      <c r="O22">
        <f t="shared" si="4"/>
        <v>-2.5</v>
      </c>
      <c r="P22">
        <f t="shared" si="5"/>
        <v>17.2</v>
      </c>
      <c r="S22">
        <f t="shared" si="1"/>
        <v>0</v>
      </c>
      <c r="T22">
        <f t="shared" si="2"/>
        <v>0</v>
      </c>
      <c r="W22">
        <v>1406.6</v>
      </c>
      <c r="X22">
        <f t="shared" si="3"/>
        <v>22270.199999999997</v>
      </c>
      <c r="Y22">
        <v>13.907337245783921</v>
      </c>
    </row>
    <row r="23" spans="1:25" x14ac:dyDescent="0.25">
      <c r="A23">
        <v>7560</v>
      </c>
      <c r="B23">
        <v>24490</v>
      </c>
      <c r="C23" s="1">
        <v>42968</v>
      </c>
      <c r="G23">
        <v>17.3</v>
      </c>
      <c r="H23">
        <v>13.5</v>
      </c>
      <c r="I23">
        <v>20.100000000000001</v>
      </c>
      <c r="M23">
        <v>0</v>
      </c>
      <c r="N23">
        <v>1.6</v>
      </c>
      <c r="O23">
        <f t="shared" si="4"/>
        <v>-1.6</v>
      </c>
      <c r="P23">
        <f t="shared" si="5"/>
        <v>15.6</v>
      </c>
      <c r="S23">
        <f t="shared" si="1"/>
        <v>0</v>
      </c>
      <c r="T23">
        <f t="shared" si="2"/>
        <v>0</v>
      </c>
      <c r="W23">
        <v>472.3</v>
      </c>
      <c r="X23">
        <f t="shared" si="3"/>
        <v>22742.499999999996</v>
      </c>
      <c r="Y23">
        <v>13.849823688509712</v>
      </c>
    </row>
    <row r="24" spans="1:25" x14ac:dyDescent="0.25">
      <c r="A24">
        <v>7560</v>
      </c>
      <c r="B24">
        <v>24490</v>
      </c>
      <c r="C24" s="1">
        <v>42969</v>
      </c>
      <c r="G24">
        <v>20.7</v>
      </c>
      <c r="H24">
        <v>17.3</v>
      </c>
      <c r="I24">
        <v>24.4</v>
      </c>
      <c r="M24">
        <v>0</v>
      </c>
      <c r="N24">
        <v>2.9</v>
      </c>
      <c r="O24">
        <f t="shared" si="4"/>
        <v>-2.9</v>
      </c>
      <c r="P24">
        <f t="shared" si="5"/>
        <v>12.7</v>
      </c>
      <c r="S24">
        <f t="shared" si="1"/>
        <v>0</v>
      </c>
      <c r="T24">
        <f t="shared" si="2"/>
        <v>0</v>
      </c>
      <c r="W24">
        <v>1242.9000000000001</v>
      </c>
      <c r="X24">
        <f t="shared" si="3"/>
        <v>23985.399999999998</v>
      </c>
      <c r="Y24">
        <v>13.791988847581049</v>
      </c>
    </row>
    <row r="25" spans="1:25" x14ac:dyDescent="0.25">
      <c r="A25">
        <v>7560</v>
      </c>
      <c r="B25">
        <v>24490</v>
      </c>
      <c r="C25" s="1">
        <v>42970</v>
      </c>
      <c r="G25">
        <v>20.2</v>
      </c>
      <c r="H25">
        <v>16</v>
      </c>
      <c r="I25">
        <v>24.8</v>
      </c>
      <c r="M25">
        <v>0</v>
      </c>
      <c r="N25">
        <v>3.4</v>
      </c>
      <c r="O25">
        <f t="shared" si="4"/>
        <v>-3.4</v>
      </c>
      <c r="P25">
        <f t="shared" si="5"/>
        <v>9.2999999999999989</v>
      </c>
      <c r="S25">
        <f t="shared" si="1"/>
        <v>0</v>
      </c>
      <c r="T25">
        <f t="shared" si="2"/>
        <v>0</v>
      </c>
      <c r="W25">
        <v>1669</v>
      </c>
      <c r="X25">
        <f t="shared" si="3"/>
        <v>25654.399999999998</v>
      </c>
      <c r="Y25">
        <v>13.733847648140754</v>
      </c>
    </row>
    <row r="26" spans="1:25" x14ac:dyDescent="0.25">
      <c r="A26">
        <v>7560</v>
      </c>
      <c r="B26">
        <v>24490</v>
      </c>
      <c r="C26" s="1">
        <v>42971</v>
      </c>
      <c r="G26">
        <v>18.8</v>
      </c>
      <c r="H26">
        <v>13.6</v>
      </c>
      <c r="I26">
        <v>22.9</v>
      </c>
      <c r="M26">
        <v>0</v>
      </c>
      <c r="N26">
        <v>2.5</v>
      </c>
      <c r="O26">
        <f t="shared" si="4"/>
        <v>-2.5</v>
      </c>
      <c r="P26">
        <f t="shared" si="5"/>
        <v>6.7999999999999989</v>
      </c>
      <c r="S26">
        <f t="shared" si="1"/>
        <v>0</v>
      </c>
      <c r="T26">
        <f t="shared" si="2"/>
        <v>0</v>
      </c>
      <c r="W26">
        <v>1361.1</v>
      </c>
      <c r="X26">
        <f t="shared" si="3"/>
        <v>27015.499999999996</v>
      </c>
      <c r="Y26">
        <v>13.675414601917906</v>
      </c>
    </row>
    <row r="27" spans="1:25" x14ac:dyDescent="0.25">
      <c r="A27">
        <v>7560</v>
      </c>
      <c r="B27">
        <v>24490</v>
      </c>
      <c r="C27" s="1">
        <v>42972</v>
      </c>
      <c r="G27">
        <v>19.600000000000001</v>
      </c>
      <c r="H27">
        <v>16</v>
      </c>
      <c r="I27">
        <v>22.5</v>
      </c>
      <c r="M27">
        <v>0.7</v>
      </c>
      <c r="N27">
        <v>2.1</v>
      </c>
      <c r="O27">
        <f t="shared" si="4"/>
        <v>-1.4000000000000001</v>
      </c>
      <c r="P27">
        <f t="shared" si="5"/>
        <v>5.3999999999999986</v>
      </c>
      <c r="S27">
        <f t="shared" si="1"/>
        <v>0</v>
      </c>
      <c r="T27">
        <f t="shared" si="2"/>
        <v>0.7</v>
      </c>
      <c r="W27">
        <v>1016.2</v>
      </c>
      <c r="X27">
        <f t="shared" si="3"/>
        <v>28031.699999999997</v>
      </c>
      <c r="Y27">
        <v>13.616703816163627</v>
      </c>
    </row>
    <row r="28" spans="1:25" x14ac:dyDescent="0.25">
      <c r="A28">
        <v>7560</v>
      </c>
      <c r="B28">
        <v>24490</v>
      </c>
      <c r="C28" s="1">
        <v>42973</v>
      </c>
      <c r="G28">
        <v>21.3</v>
      </c>
      <c r="H28">
        <v>17</v>
      </c>
      <c r="I28">
        <v>26.6</v>
      </c>
      <c r="M28">
        <v>0.1</v>
      </c>
      <c r="N28">
        <v>2.5</v>
      </c>
      <c r="O28">
        <f t="shared" si="4"/>
        <v>-2.4</v>
      </c>
      <c r="P28">
        <f t="shared" si="5"/>
        <v>2.9999999999999987</v>
      </c>
      <c r="S28">
        <f t="shared" si="1"/>
        <v>0</v>
      </c>
      <c r="T28">
        <f t="shared" si="2"/>
        <v>0.1</v>
      </c>
      <c r="W28">
        <v>1006.4</v>
      </c>
      <c r="X28">
        <f t="shared" si="3"/>
        <v>29038.1</v>
      </c>
      <c r="Y28">
        <v>13.557729003284107</v>
      </c>
    </row>
    <row r="29" spans="1:25" x14ac:dyDescent="0.25">
      <c r="A29">
        <v>7560</v>
      </c>
      <c r="B29">
        <v>24490</v>
      </c>
      <c r="C29" s="1">
        <v>42974</v>
      </c>
      <c r="G29">
        <v>21.2</v>
      </c>
      <c r="H29">
        <v>17.100000000000001</v>
      </c>
      <c r="I29">
        <v>26.1</v>
      </c>
      <c r="M29">
        <v>1.1000000000000001</v>
      </c>
      <c r="N29">
        <v>3.1</v>
      </c>
      <c r="O29">
        <f t="shared" si="4"/>
        <v>-2</v>
      </c>
      <c r="P29">
        <f t="shared" si="5"/>
        <v>0.99999999999999867</v>
      </c>
      <c r="S29">
        <f t="shared" si="1"/>
        <v>0</v>
      </c>
      <c r="T29">
        <f t="shared" si="2"/>
        <v>1.1000000000000001</v>
      </c>
      <c r="W29">
        <v>1524.7</v>
      </c>
      <c r="X29">
        <f t="shared" si="3"/>
        <v>30562.799999999999</v>
      </c>
      <c r="Y29">
        <v>13.498503491117027</v>
      </c>
    </row>
    <row r="30" spans="1:25" x14ac:dyDescent="0.25">
      <c r="A30">
        <v>7560</v>
      </c>
      <c r="B30">
        <v>24490</v>
      </c>
      <c r="C30" s="1">
        <v>42975</v>
      </c>
      <c r="G30">
        <v>21.9</v>
      </c>
      <c r="H30">
        <v>16.100000000000001</v>
      </c>
      <c r="I30">
        <v>28.2</v>
      </c>
      <c r="M30">
        <v>0</v>
      </c>
      <c r="N30">
        <v>4.7</v>
      </c>
      <c r="O30">
        <f t="shared" si="4"/>
        <v>-4.7</v>
      </c>
      <c r="P30">
        <v>0</v>
      </c>
      <c r="S30">
        <f t="shared" si="1"/>
        <v>0</v>
      </c>
      <c r="T30">
        <f t="shared" si="2"/>
        <v>0</v>
      </c>
      <c r="W30">
        <v>2062.5</v>
      </c>
      <c r="X30">
        <f t="shared" si="3"/>
        <v>32625.3</v>
      </c>
      <c r="Y30">
        <v>13.439040233800517</v>
      </c>
    </row>
    <row r="31" spans="1:25" x14ac:dyDescent="0.25">
      <c r="A31">
        <v>7560</v>
      </c>
      <c r="B31">
        <v>24490</v>
      </c>
      <c r="C31" s="1">
        <v>42976</v>
      </c>
      <c r="G31">
        <v>23.4</v>
      </c>
      <c r="H31">
        <v>16</v>
      </c>
      <c r="I31">
        <v>30.1</v>
      </c>
      <c r="M31">
        <v>0.6</v>
      </c>
      <c r="N31">
        <v>4.8</v>
      </c>
      <c r="O31">
        <f t="shared" si="4"/>
        <v>-4.2</v>
      </c>
      <c r="P31">
        <v>0</v>
      </c>
      <c r="S31">
        <f t="shared" si="1"/>
        <v>0</v>
      </c>
      <c r="T31">
        <f t="shared" si="2"/>
        <v>0.6</v>
      </c>
      <c r="W31">
        <v>1889.9</v>
      </c>
      <c r="X31">
        <f t="shared" si="3"/>
        <v>34515.199999999997</v>
      </c>
      <c r="Y31">
        <v>13.379351823186479</v>
      </c>
    </row>
    <row r="32" spans="1:25" x14ac:dyDescent="0.25">
      <c r="A32">
        <v>7560</v>
      </c>
      <c r="B32">
        <v>24490</v>
      </c>
      <c r="C32" s="1">
        <v>42977</v>
      </c>
      <c r="G32">
        <v>20.9</v>
      </c>
      <c r="H32">
        <v>20.7</v>
      </c>
      <c r="I32">
        <v>23.4</v>
      </c>
      <c r="M32">
        <v>4.5</v>
      </c>
      <c r="N32">
        <v>2.5</v>
      </c>
      <c r="O32">
        <f t="shared" si="4"/>
        <v>2</v>
      </c>
      <c r="P32">
        <f t="shared" si="5"/>
        <v>2</v>
      </c>
      <c r="S32">
        <f t="shared" si="1"/>
        <v>0</v>
      </c>
      <c r="T32">
        <f t="shared" si="2"/>
        <v>4.5</v>
      </c>
      <c r="W32">
        <v>705.8</v>
      </c>
      <c r="X32">
        <f t="shared" si="3"/>
        <v>35221</v>
      </c>
      <c r="Y32">
        <v>13.319450500753042</v>
      </c>
    </row>
    <row r="33" spans="1:26" x14ac:dyDescent="0.25">
      <c r="A33">
        <v>7560</v>
      </c>
      <c r="B33">
        <v>24490</v>
      </c>
      <c r="C33" s="1">
        <v>42978</v>
      </c>
      <c r="G33">
        <v>15.3</v>
      </c>
      <c r="H33">
        <v>12.5</v>
      </c>
      <c r="I33">
        <v>17.899999999999999</v>
      </c>
      <c r="M33">
        <v>0.1</v>
      </c>
      <c r="N33">
        <v>1.8</v>
      </c>
      <c r="O33">
        <f t="shared" si="4"/>
        <v>-1.7</v>
      </c>
      <c r="P33">
        <f t="shared" si="5"/>
        <v>0.30000000000000004</v>
      </c>
      <c r="S33">
        <f t="shared" si="1"/>
        <v>0</v>
      </c>
      <c r="T33">
        <f t="shared" si="2"/>
        <v>0.1</v>
      </c>
      <c r="W33">
        <v>854.7</v>
      </c>
      <c r="X33">
        <f t="shared" si="3"/>
        <v>36075.699999999997</v>
      </c>
      <c r="Y33">
        <v>13.259348169973491</v>
      </c>
    </row>
    <row r="34" spans="1:26" x14ac:dyDescent="0.25">
      <c r="A34">
        <v>7560</v>
      </c>
      <c r="B34">
        <v>24490</v>
      </c>
      <c r="C34" s="1">
        <v>42979</v>
      </c>
      <c r="G34">
        <v>14.3</v>
      </c>
      <c r="H34">
        <v>10.4</v>
      </c>
      <c r="I34">
        <v>19</v>
      </c>
      <c r="M34">
        <v>1.2</v>
      </c>
      <c r="N34">
        <v>2.2000000000000002</v>
      </c>
      <c r="O34">
        <f t="shared" si="4"/>
        <v>-1.0000000000000002</v>
      </c>
      <c r="P34">
        <v>0</v>
      </c>
      <c r="S34">
        <f t="shared" si="1"/>
        <v>0</v>
      </c>
      <c r="T34">
        <f t="shared" si="2"/>
        <v>1.2</v>
      </c>
      <c r="W34">
        <v>1327.8</v>
      </c>
      <c r="X34">
        <f t="shared" si="3"/>
        <v>37403.5</v>
      </c>
      <c r="Y34">
        <v>13.199056409101777</v>
      </c>
    </row>
    <row r="35" spans="1:26" x14ac:dyDescent="0.25">
      <c r="A35">
        <v>7560</v>
      </c>
      <c r="B35">
        <v>24490</v>
      </c>
      <c r="C35" s="1">
        <v>42980</v>
      </c>
      <c r="G35">
        <v>14.3</v>
      </c>
      <c r="H35">
        <v>11.3</v>
      </c>
      <c r="I35">
        <v>19.100000000000001</v>
      </c>
      <c r="M35">
        <v>0.3</v>
      </c>
      <c r="N35">
        <v>3</v>
      </c>
      <c r="O35">
        <f t="shared" si="4"/>
        <v>-2.7</v>
      </c>
      <c r="P35">
        <v>0</v>
      </c>
      <c r="S35">
        <f t="shared" si="1"/>
        <v>0</v>
      </c>
      <c r="T35">
        <f t="shared" si="2"/>
        <v>0.3</v>
      </c>
      <c r="W35">
        <v>1562.6</v>
      </c>
      <c r="X35">
        <f t="shared" si="3"/>
        <v>38966.1</v>
      </c>
      <c r="Y35">
        <v>13.138586484337281</v>
      </c>
    </row>
    <row r="36" spans="1:26" s="6" customFormat="1" ht="15.75" thickBot="1" x14ac:dyDescent="0.3">
      <c r="A36" s="6">
        <v>7560</v>
      </c>
      <c r="B36" s="6">
        <v>24490</v>
      </c>
      <c r="C36" s="7">
        <v>42981</v>
      </c>
      <c r="G36" s="6">
        <v>14.1</v>
      </c>
      <c r="H36" s="6">
        <v>6.9</v>
      </c>
      <c r="I36" s="6">
        <v>20.3</v>
      </c>
      <c r="M36" s="6">
        <v>0</v>
      </c>
      <c r="N36" s="6">
        <v>2.2999999999999998</v>
      </c>
      <c r="O36" s="6">
        <f t="shared" si="4"/>
        <v>-2.2999999999999998</v>
      </c>
      <c r="P36" s="6">
        <v>0</v>
      </c>
      <c r="S36" s="6">
        <f t="shared" si="1"/>
        <v>0</v>
      </c>
      <c r="T36" s="6">
        <f t="shared" si="2"/>
        <v>0</v>
      </c>
      <c r="W36" s="6">
        <v>1261.3</v>
      </c>
      <c r="X36" s="6">
        <f t="shared" si="3"/>
        <v>40227.4</v>
      </c>
      <c r="Y36" s="6">
        <v>13.077949363333994</v>
      </c>
    </row>
    <row r="37" spans="1:26" x14ac:dyDescent="0.25">
      <c r="A37">
        <v>7560</v>
      </c>
      <c r="B37">
        <v>24490</v>
      </c>
      <c r="C37" s="1">
        <v>42982</v>
      </c>
      <c r="D37" t="s">
        <v>29</v>
      </c>
      <c r="F37" s="47" t="s">
        <v>59</v>
      </c>
      <c r="G37">
        <v>18.7</v>
      </c>
      <c r="H37">
        <v>14.4</v>
      </c>
      <c r="I37">
        <v>22.7</v>
      </c>
      <c r="J37">
        <f>G37</f>
        <v>18.7</v>
      </c>
      <c r="K37">
        <f>G37</f>
        <v>18.7</v>
      </c>
      <c r="L37" s="9" t="s">
        <v>37</v>
      </c>
      <c r="M37">
        <v>0</v>
      </c>
      <c r="N37">
        <v>2.7</v>
      </c>
      <c r="O37">
        <f t="shared" si="4"/>
        <v>-2.7</v>
      </c>
      <c r="Q37">
        <v>1</v>
      </c>
      <c r="R37">
        <v>0.35</v>
      </c>
      <c r="S37">
        <f t="shared" si="1"/>
        <v>0.94499999999999995</v>
      </c>
      <c r="T37">
        <f t="shared" si="2"/>
        <v>-0.94499999999999995</v>
      </c>
      <c r="U37">
        <v>0</v>
      </c>
      <c r="V37" s="13" t="s">
        <v>44</v>
      </c>
      <c r="W37">
        <v>1109.2</v>
      </c>
      <c r="X37">
        <f>W37</f>
        <v>1109.2</v>
      </c>
      <c r="Y37">
        <v>13.017155729021708</v>
      </c>
      <c r="Z37" s="13" t="s">
        <v>49</v>
      </c>
    </row>
    <row r="38" spans="1:26" x14ac:dyDescent="0.25">
      <c r="A38">
        <v>7560</v>
      </c>
      <c r="B38">
        <v>24490</v>
      </c>
      <c r="C38" s="1">
        <v>42983</v>
      </c>
      <c r="F38" s="48"/>
      <c r="G38">
        <v>19.7</v>
      </c>
      <c r="H38">
        <v>17.100000000000001</v>
      </c>
      <c r="I38">
        <v>23.5</v>
      </c>
      <c r="J38">
        <f>J37+G38</f>
        <v>38.4</v>
      </c>
      <c r="K38">
        <f>K37+G38</f>
        <v>38.4</v>
      </c>
      <c r="L38" s="10">
        <v>776.5</v>
      </c>
      <c r="M38">
        <v>0</v>
      </c>
      <c r="N38">
        <v>2.2000000000000002</v>
      </c>
      <c r="O38">
        <f t="shared" si="4"/>
        <v>-2.2000000000000002</v>
      </c>
      <c r="Q38">
        <v>2</v>
      </c>
      <c r="R38">
        <v>0.35</v>
      </c>
      <c r="S38">
        <f t="shared" si="1"/>
        <v>0.77</v>
      </c>
      <c r="T38">
        <f t="shared" si="2"/>
        <v>-0.77</v>
      </c>
      <c r="U38">
        <v>0</v>
      </c>
      <c r="V38">
        <v>4</v>
      </c>
      <c r="W38">
        <v>655.29999999999995</v>
      </c>
      <c r="X38">
        <f t="shared" si="3"/>
        <v>1764.5</v>
      </c>
      <c r="Y38">
        <v>12.956215993709138</v>
      </c>
      <c r="Z38">
        <v>43416.3</v>
      </c>
    </row>
    <row r="39" spans="1:26" x14ac:dyDescent="0.25">
      <c r="A39">
        <v>7560</v>
      </c>
      <c r="B39">
        <v>24490</v>
      </c>
      <c r="C39" s="1">
        <v>42984</v>
      </c>
      <c r="F39" s="48"/>
      <c r="G39">
        <v>16.3</v>
      </c>
      <c r="H39">
        <v>14.5</v>
      </c>
      <c r="I39">
        <v>18.5</v>
      </c>
      <c r="J39">
        <f t="shared" ref="J39:J102" si="6">J38+G39</f>
        <v>54.7</v>
      </c>
      <c r="K39">
        <f t="shared" ref="K39:K102" si="7">K38+G39</f>
        <v>54.7</v>
      </c>
      <c r="L39" s="9" t="s">
        <v>38</v>
      </c>
      <c r="M39">
        <v>0</v>
      </c>
      <c r="N39">
        <v>2.9</v>
      </c>
      <c r="O39">
        <f t="shared" si="4"/>
        <v>-2.9</v>
      </c>
      <c r="Q39">
        <v>3</v>
      </c>
      <c r="R39">
        <v>0.35</v>
      </c>
      <c r="S39">
        <f t="shared" si="1"/>
        <v>1.0149999999999999</v>
      </c>
      <c r="T39">
        <f t="shared" si="2"/>
        <v>-1.0149999999999999</v>
      </c>
      <c r="U39">
        <v>0</v>
      </c>
      <c r="V39" s="13" t="s">
        <v>45</v>
      </c>
      <c r="W39">
        <v>1355.2</v>
      </c>
      <c r="X39">
        <f t="shared" si="3"/>
        <v>3119.7</v>
      </c>
      <c r="Y39">
        <v>12.895140313441063</v>
      </c>
      <c r="Z39" s="13" t="s">
        <v>50</v>
      </c>
    </row>
    <row r="40" spans="1:26" x14ac:dyDescent="0.25">
      <c r="A40">
        <v>7560</v>
      </c>
      <c r="B40">
        <v>24490</v>
      </c>
      <c r="C40" s="1">
        <v>42985</v>
      </c>
      <c r="F40" s="48"/>
      <c r="G40">
        <v>13.9</v>
      </c>
      <c r="H40">
        <v>10.9</v>
      </c>
      <c r="I40">
        <v>17.5</v>
      </c>
      <c r="J40">
        <f t="shared" si="6"/>
        <v>68.600000000000009</v>
      </c>
      <c r="K40">
        <f t="shared" si="7"/>
        <v>68.600000000000009</v>
      </c>
      <c r="L40" s="11">
        <f>AVERAGE(G37:G99)</f>
        <v>12.325396825396821</v>
      </c>
      <c r="M40">
        <v>0</v>
      </c>
      <c r="N40">
        <v>1.6</v>
      </c>
      <c r="O40">
        <f t="shared" si="4"/>
        <v>-1.6</v>
      </c>
      <c r="Q40">
        <v>4</v>
      </c>
      <c r="R40">
        <v>0.35</v>
      </c>
      <c r="S40">
        <f t="shared" si="1"/>
        <v>0.55999999999999994</v>
      </c>
      <c r="T40">
        <f t="shared" si="2"/>
        <v>-0.55999999999999994</v>
      </c>
      <c r="U40">
        <v>0</v>
      </c>
      <c r="V40">
        <v>5</v>
      </c>
      <c r="W40">
        <v>857</v>
      </c>
      <c r="X40">
        <f t="shared" si="3"/>
        <v>3976.7</v>
      </c>
      <c r="Y40">
        <v>12.833938602583686</v>
      </c>
      <c r="Z40">
        <f>(Z38/100)/L38</f>
        <v>0.55912813908564074</v>
      </c>
    </row>
    <row r="41" spans="1:26" x14ac:dyDescent="0.25">
      <c r="A41">
        <v>7560</v>
      </c>
      <c r="B41">
        <v>24490</v>
      </c>
      <c r="C41" s="1">
        <v>42986</v>
      </c>
      <c r="F41" s="48"/>
      <c r="G41">
        <v>15.2</v>
      </c>
      <c r="H41">
        <v>10.9</v>
      </c>
      <c r="I41">
        <v>17.5</v>
      </c>
      <c r="J41">
        <f t="shared" si="6"/>
        <v>83.800000000000011</v>
      </c>
      <c r="K41">
        <f t="shared" si="7"/>
        <v>83.800000000000011</v>
      </c>
      <c r="L41" s="9" t="s">
        <v>39</v>
      </c>
      <c r="M41">
        <v>20.3</v>
      </c>
      <c r="N41">
        <v>0.9</v>
      </c>
      <c r="O41">
        <f t="shared" si="4"/>
        <v>19.400000000000002</v>
      </c>
      <c r="Q41">
        <v>5</v>
      </c>
      <c r="R41">
        <v>0.35</v>
      </c>
      <c r="S41">
        <f t="shared" si="1"/>
        <v>0.315</v>
      </c>
      <c r="T41">
        <f t="shared" si="2"/>
        <v>19.984999999999999</v>
      </c>
      <c r="U41">
        <f t="shared" ref="U39:U102" si="8">MIN(U40+T41,153.9)</f>
        <v>19.984999999999999</v>
      </c>
      <c r="V41" s="13" t="s">
        <v>46</v>
      </c>
      <c r="W41">
        <v>308</v>
      </c>
      <c r="X41">
        <f t="shared" si="3"/>
        <v>4284.7</v>
      </c>
      <c r="Y41">
        <v>12.772620548614448</v>
      </c>
      <c r="Z41" s="13" t="s">
        <v>51</v>
      </c>
    </row>
    <row r="42" spans="1:26" x14ac:dyDescent="0.25">
      <c r="A42">
        <v>7560</v>
      </c>
      <c r="B42">
        <v>24490</v>
      </c>
      <c r="C42" s="1">
        <v>42987</v>
      </c>
      <c r="F42" s="48"/>
      <c r="G42">
        <v>13</v>
      </c>
      <c r="H42">
        <v>12.4</v>
      </c>
      <c r="I42">
        <v>15.8</v>
      </c>
      <c r="J42">
        <f t="shared" si="6"/>
        <v>96.800000000000011</v>
      </c>
      <c r="K42">
        <f t="shared" si="7"/>
        <v>96.800000000000011</v>
      </c>
      <c r="L42" s="12">
        <f>MIN(H37:H99)</f>
        <v>0.4</v>
      </c>
      <c r="M42">
        <v>5.2</v>
      </c>
      <c r="N42">
        <v>1.6</v>
      </c>
      <c r="O42">
        <f t="shared" si="4"/>
        <v>3.6</v>
      </c>
      <c r="Q42">
        <v>6</v>
      </c>
      <c r="R42">
        <f>0.35+((Q42-5)/58)*(1-0.35)</f>
        <v>0.36120689655172411</v>
      </c>
      <c r="S42">
        <f t="shared" si="1"/>
        <v>0.57793103448275862</v>
      </c>
      <c r="T42">
        <f t="shared" si="2"/>
        <v>4.6220689655172418</v>
      </c>
      <c r="U42">
        <f t="shared" si="8"/>
        <v>24.607068965517243</v>
      </c>
      <c r="V42" s="14">
        <f>MIN(U37:U99)</f>
        <v>0</v>
      </c>
      <c r="W42">
        <v>699</v>
      </c>
      <c r="X42">
        <f t="shared" si="3"/>
        <v>4983.7</v>
      </c>
      <c r="Y42">
        <v>12.711195627094311</v>
      </c>
      <c r="Z42">
        <v>44</v>
      </c>
    </row>
    <row r="43" spans="1:26" x14ac:dyDescent="0.25">
      <c r="A43">
        <v>7560</v>
      </c>
      <c r="B43">
        <v>24490</v>
      </c>
      <c r="C43" s="1">
        <v>42988</v>
      </c>
      <c r="F43" s="48"/>
      <c r="G43">
        <v>11.9</v>
      </c>
      <c r="H43">
        <v>8.1</v>
      </c>
      <c r="I43">
        <v>14.4</v>
      </c>
      <c r="J43">
        <f t="shared" si="6"/>
        <v>108.70000000000002</v>
      </c>
      <c r="K43">
        <f t="shared" si="7"/>
        <v>108.70000000000002</v>
      </c>
      <c r="L43" s="9" t="s">
        <v>40</v>
      </c>
      <c r="M43">
        <v>1.8</v>
      </c>
      <c r="N43">
        <v>0.9</v>
      </c>
      <c r="O43">
        <f t="shared" si="4"/>
        <v>0.9</v>
      </c>
      <c r="Q43">
        <v>7</v>
      </c>
      <c r="R43">
        <f t="shared" ref="R43:R99" si="9">0.35+((Q43-5)/58)*(1-0.35)</f>
        <v>0.37241379310344824</v>
      </c>
      <c r="S43">
        <f t="shared" si="1"/>
        <v>0.33517241379310342</v>
      </c>
      <c r="T43">
        <f t="shared" si="2"/>
        <v>1.4648275862068967</v>
      </c>
      <c r="U43">
        <f t="shared" si="8"/>
        <v>26.071896551724141</v>
      </c>
      <c r="V43" s="13" t="s">
        <v>47</v>
      </c>
      <c r="W43">
        <v>576.4</v>
      </c>
      <c r="X43">
        <f t="shared" si="3"/>
        <v>5560.0999999999995</v>
      </c>
      <c r="Y43">
        <v>12.649673116802356</v>
      </c>
    </row>
    <row r="44" spans="1:26" x14ac:dyDescent="0.25">
      <c r="A44">
        <v>7560</v>
      </c>
      <c r="B44">
        <v>24490</v>
      </c>
      <c r="C44" s="1">
        <v>42989</v>
      </c>
      <c r="F44" s="48"/>
      <c r="G44">
        <v>14.5</v>
      </c>
      <c r="H44">
        <v>12.5</v>
      </c>
      <c r="I44">
        <v>17.399999999999999</v>
      </c>
      <c r="J44">
        <f t="shared" si="6"/>
        <v>123.20000000000002</v>
      </c>
      <c r="K44">
        <f t="shared" si="7"/>
        <v>123.20000000000002</v>
      </c>
      <c r="L44" s="10">
        <f>MAX(I37:I99)</f>
        <v>23.6</v>
      </c>
      <c r="M44">
        <v>0.1</v>
      </c>
      <c r="N44">
        <v>2.6</v>
      </c>
      <c r="O44">
        <f t="shared" si="4"/>
        <v>-2.5</v>
      </c>
      <c r="Q44">
        <v>8</v>
      </c>
      <c r="R44">
        <f t="shared" si="9"/>
        <v>0.38362068965517238</v>
      </c>
      <c r="S44">
        <f t="shared" si="1"/>
        <v>0.99741379310344824</v>
      </c>
      <c r="T44">
        <f t="shared" si="2"/>
        <v>-0.89741379310344827</v>
      </c>
      <c r="U44">
        <f t="shared" si="8"/>
        <v>25.174482758620691</v>
      </c>
      <c r="V44" s="14">
        <f>MAX(U37:U99)</f>
        <v>118.91051724137932</v>
      </c>
      <c r="W44">
        <v>999.7</v>
      </c>
      <c r="X44">
        <f t="shared" si="3"/>
        <v>6559.7999999999993</v>
      </c>
      <c r="Y44">
        <v>12.588062115014129</v>
      </c>
    </row>
    <row r="45" spans="1:26" x14ac:dyDescent="0.25">
      <c r="A45">
        <v>7560</v>
      </c>
      <c r="B45">
        <v>24490</v>
      </c>
      <c r="C45" s="1">
        <v>42990</v>
      </c>
      <c r="F45" s="48"/>
      <c r="G45">
        <v>13.7</v>
      </c>
      <c r="H45">
        <v>11.6</v>
      </c>
      <c r="I45">
        <v>15.5</v>
      </c>
      <c r="J45">
        <f t="shared" si="6"/>
        <v>136.9</v>
      </c>
      <c r="K45">
        <f t="shared" si="7"/>
        <v>136.9</v>
      </c>
      <c r="L45" s="9" t="s">
        <v>41</v>
      </c>
      <c r="M45">
        <v>2.1</v>
      </c>
      <c r="N45">
        <v>1.9</v>
      </c>
      <c r="O45">
        <f t="shared" si="4"/>
        <v>0.20000000000000018</v>
      </c>
      <c r="Q45">
        <v>9</v>
      </c>
      <c r="R45">
        <f t="shared" si="9"/>
        <v>0.39482758620689651</v>
      </c>
      <c r="S45">
        <f t="shared" si="1"/>
        <v>0.75017241379310329</v>
      </c>
      <c r="T45">
        <f t="shared" si="2"/>
        <v>1.3498275862068967</v>
      </c>
      <c r="U45">
        <f t="shared" si="8"/>
        <v>26.524310344827587</v>
      </c>
      <c r="V45" s="13" t="s">
        <v>48</v>
      </c>
      <c r="W45">
        <v>834.2</v>
      </c>
      <c r="X45">
        <f t="shared" si="3"/>
        <v>7393.9999999999991</v>
      </c>
      <c r="Y45">
        <v>12.52637155290669</v>
      </c>
    </row>
    <row r="46" spans="1:26" x14ac:dyDescent="0.25">
      <c r="A46">
        <v>7560</v>
      </c>
      <c r="B46">
        <v>24490</v>
      </c>
      <c r="C46" s="1">
        <v>42991</v>
      </c>
      <c r="F46" s="48"/>
      <c r="G46">
        <v>14.2</v>
      </c>
      <c r="H46">
        <v>13.8</v>
      </c>
      <c r="I46">
        <v>15.3</v>
      </c>
      <c r="J46">
        <f t="shared" si="6"/>
        <v>151.1</v>
      </c>
      <c r="K46">
        <f t="shared" si="7"/>
        <v>151.1</v>
      </c>
      <c r="L46" s="10">
        <v>0</v>
      </c>
      <c r="M46">
        <v>61.6</v>
      </c>
      <c r="N46">
        <v>1.1000000000000001</v>
      </c>
      <c r="O46">
        <f t="shared" si="4"/>
        <v>60.5</v>
      </c>
      <c r="Q46">
        <v>10</v>
      </c>
      <c r="R46">
        <f t="shared" si="9"/>
        <v>0.4060344827586207</v>
      </c>
      <c r="S46">
        <f t="shared" si="1"/>
        <v>0.44663793103448279</v>
      </c>
      <c r="T46">
        <f t="shared" si="2"/>
        <v>61.153362068965521</v>
      </c>
      <c r="U46">
        <f t="shared" si="8"/>
        <v>87.677672413793104</v>
      </c>
      <c r="V46" s="14">
        <f>AVERAGE(U37:U99)</f>
        <v>92.138382594417095</v>
      </c>
      <c r="W46">
        <v>247.9</v>
      </c>
      <c r="X46">
        <f t="shared" si="3"/>
        <v>7641.8999999999987</v>
      </c>
      <c r="Y46">
        <v>12.464610211074703</v>
      </c>
    </row>
    <row r="47" spans="1:26" x14ac:dyDescent="0.25">
      <c r="A47">
        <v>7560</v>
      </c>
      <c r="B47">
        <v>24490</v>
      </c>
      <c r="C47" s="1">
        <v>42992</v>
      </c>
      <c r="F47" s="48"/>
      <c r="G47">
        <v>12</v>
      </c>
      <c r="H47">
        <v>11.1</v>
      </c>
      <c r="I47">
        <v>13.6</v>
      </c>
      <c r="J47">
        <f t="shared" si="6"/>
        <v>163.1</v>
      </c>
      <c r="K47">
        <f t="shared" si="7"/>
        <v>163.1</v>
      </c>
      <c r="L47" s="9" t="s">
        <v>42</v>
      </c>
      <c r="M47">
        <v>1.5</v>
      </c>
      <c r="N47">
        <v>1.7</v>
      </c>
      <c r="O47">
        <f t="shared" si="4"/>
        <v>-0.19999999999999996</v>
      </c>
      <c r="Q47">
        <v>11</v>
      </c>
      <c r="R47">
        <f t="shared" si="9"/>
        <v>0.41724137931034477</v>
      </c>
      <c r="S47">
        <f t="shared" si="1"/>
        <v>0.70931034482758615</v>
      </c>
      <c r="T47">
        <f t="shared" si="2"/>
        <v>0.79068965517241385</v>
      </c>
      <c r="U47">
        <f t="shared" si="8"/>
        <v>88.468362068965519</v>
      </c>
      <c r="W47">
        <v>891.9</v>
      </c>
      <c r="X47">
        <f t="shared" si="3"/>
        <v>8533.7999999999993</v>
      </c>
      <c r="Y47">
        <v>12.402786735143216</v>
      </c>
    </row>
    <row r="48" spans="1:26" x14ac:dyDescent="0.25">
      <c r="A48">
        <v>7560</v>
      </c>
      <c r="B48">
        <v>24490</v>
      </c>
      <c r="C48" s="1">
        <v>42993</v>
      </c>
      <c r="F48" s="48"/>
      <c r="G48">
        <v>10.8</v>
      </c>
      <c r="H48">
        <v>9.3000000000000007</v>
      </c>
      <c r="I48">
        <v>15.6</v>
      </c>
      <c r="J48">
        <f t="shared" si="6"/>
        <v>173.9</v>
      </c>
      <c r="K48">
        <f t="shared" si="7"/>
        <v>173.9</v>
      </c>
      <c r="L48" s="10">
        <v>8</v>
      </c>
      <c r="M48">
        <v>1.6</v>
      </c>
      <c r="N48">
        <v>2</v>
      </c>
      <c r="O48">
        <f t="shared" si="4"/>
        <v>-0.39999999999999991</v>
      </c>
      <c r="Q48">
        <v>12</v>
      </c>
      <c r="R48">
        <f t="shared" si="9"/>
        <v>0.42844827586206896</v>
      </c>
      <c r="S48">
        <f t="shared" si="1"/>
        <v>0.85689655172413792</v>
      </c>
      <c r="T48">
        <f t="shared" si="2"/>
        <v>0.74310344827586217</v>
      </c>
      <c r="U48">
        <f t="shared" si="8"/>
        <v>89.211465517241379</v>
      </c>
      <c r="V48" s="15">
        <f>(V46*100)/153.9</f>
        <v>59.868994538282706</v>
      </c>
      <c r="W48">
        <v>1150.7</v>
      </c>
      <c r="X48">
        <f t="shared" si="3"/>
        <v>9684.5</v>
      </c>
      <c r="Y48">
        <v>12.340909651463821</v>
      </c>
    </row>
    <row r="49" spans="1:25" x14ac:dyDescent="0.25">
      <c r="A49">
        <v>7560</v>
      </c>
      <c r="B49">
        <v>24490</v>
      </c>
      <c r="C49" s="1">
        <v>42994</v>
      </c>
      <c r="F49" s="48"/>
      <c r="G49">
        <v>9.3000000000000007</v>
      </c>
      <c r="H49">
        <v>5.8</v>
      </c>
      <c r="I49">
        <v>13.7</v>
      </c>
      <c r="J49">
        <f t="shared" si="6"/>
        <v>183.20000000000002</v>
      </c>
      <c r="K49">
        <f t="shared" si="7"/>
        <v>183.20000000000002</v>
      </c>
      <c r="L49" s="9" t="s">
        <v>43</v>
      </c>
      <c r="M49">
        <v>1.2</v>
      </c>
      <c r="N49">
        <v>1.6</v>
      </c>
      <c r="O49">
        <f t="shared" si="4"/>
        <v>-0.40000000000000013</v>
      </c>
      <c r="Q49">
        <v>13</v>
      </c>
      <c r="R49">
        <f t="shared" si="9"/>
        <v>0.43965517241379309</v>
      </c>
      <c r="S49">
        <f t="shared" si="1"/>
        <v>0.70344827586206904</v>
      </c>
      <c r="T49">
        <f t="shared" si="2"/>
        <v>0.49655172413793092</v>
      </c>
      <c r="U49">
        <f t="shared" si="8"/>
        <v>89.708017241379309</v>
      </c>
      <c r="W49">
        <v>1195.2</v>
      </c>
      <c r="X49">
        <f t="shared" si="3"/>
        <v>10879.7</v>
      </c>
      <c r="Y49">
        <v>12.278987382882056</v>
      </c>
    </row>
    <row r="50" spans="1:25" x14ac:dyDescent="0.25">
      <c r="A50">
        <v>7560</v>
      </c>
      <c r="B50">
        <v>24490</v>
      </c>
      <c r="C50" s="1">
        <v>42995</v>
      </c>
      <c r="F50" s="48"/>
      <c r="G50">
        <v>9.1999999999999993</v>
      </c>
      <c r="H50">
        <v>5.8</v>
      </c>
      <c r="I50">
        <v>13.8</v>
      </c>
      <c r="J50">
        <f t="shared" si="6"/>
        <v>192.4</v>
      </c>
      <c r="K50">
        <f t="shared" si="7"/>
        <v>192.4</v>
      </c>
      <c r="L50" s="10">
        <v>0</v>
      </c>
      <c r="M50">
        <v>2.4</v>
      </c>
      <c r="N50">
        <v>1.3</v>
      </c>
      <c r="O50">
        <f t="shared" si="4"/>
        <v>1.0999999999999999</v>
      </c>
      <c r="Q50">
        <v>14</v>
      </c>
      <c r="R50">
        <f t="shared" si="9"/>
        <v>0.45086206896551723</v>
      </c>
      <c r="S50">
        <f t="shared" si="1"/>
        <v>0.58612068965517239</v>
      </c>
      <c r="T50">
        <f t="shared" si="2"/>
        <v>1.8138793103448276</v>
      </c>
      <c r="U50">
        <f t="shared" si="8"/>
        <v>91.52189655172414</v>
      </c>
      <c r="W50">
        <v>983</v>
      </c>
      <c r="X50">
        <f t="shared" si="3"/>
        <v>11862.7</v>
      </c>
      <c r="Y50">
        <v>12.217028264564672</v>
      </c>
    </row>
    <row r="51" spans="1:25" x14ac:dyDescent="0.25">
      <c r="A51">
        <v>7560</v>
      </c>
      <c r="B51">
        <v>24490</v>
      </c>
      <c r="C51" s="1">
        <v>42996</v>
      </c>
      <c r="F51" s="48"/>
      <c r="G51">
        <v>8.9</v>
      </c>
      <c r="H51">
        <v>6</v>
      </c>
      <c r="I51">
        <v>11.8</v>
      </c>
      <c r="J51">
        <f t="shared" si="6"/>
        <v>201.3</v>
      </c>
      <c r="K51">
        <f t="shared" si="7"/>
        <v>201.3</v>
      </c>
      <c r="M51">
        <v>1.8</v>
      </c>
      <c r="N51">
        <v>0.7</v>
      </c>
      <c r="O51">
        <f t="shared" si="4"/>
        <v>1.1000000000000001</v>
      </c>
      <c r="Q51">
        <v>15</v>
      </c>
      <c r="R51">
        <f t="shared" si="9"/>
        <v>0.46206896551724136</v>
      </c>
      <c r="S51">
        <f t="shared" si="1"/>
        <v>0.32344827586206892</v>
      </c>
      <c r="T51">
        <f t="shared" si="2"/>
        <v>1.4765517241379311</v>
      </c>
      <c r="U51">
        <f t="shared" si="8"/>
        <v>92.998448275862074</v>
      </c>
      <c r="W51">
        <v>568.1</v>
      </c>
      <c r="X51">
        <f t="shared" si="3"/>
        <v>12430.800000000001</v>
      </c>
      <c r="Y51">
        <v>12.155040559876271</v>
      </c>
    </row>
    <row r="52" spans="1:25" x14ac:dyDescent="0.25">
      <c r="A52">
        <v>7560</v>
      </c>
      <c r="B52">
        <v>24490</v>
      </c>
      <c r="C52" s="1">
        <v>42997</v>
      </c>
      <c r="F52" s="48"/>
      <c r="G52">
        <v>10.8</v>
      </c>
      <c r="H52">
        <v>7.6</v>
      </c>
      <c r="I52">
        <v>13.7</v>
      </c>
      <c r="J52">
        <f t="shared" si="6"/>
        <v>212.10000000000002</v>
      </c>
      <c r="K52">
        <f t="shared" si="7"/>
        <v>212.10000000000002</v>
      </c>
      <c r="M52">
        <v>4</v>
      </c>
      <c r="N52">
        <v>0.6</v>
      </c>
      <c r="O52">
        <f t="shared" si="4"/>
        <v>3.4</v>
      </c>
      <c r="Q52">
        <v>16</v>
      </c>
      <c r="R52">
        <f t="shared" si="9"/>
        <v>0.47327586206896549</v>
      </c>
      <c r="S52">
        <f t="shared" si="1"/>
        <v>0.28396551724137931</v>
      </c>
      <c r="T52">
        <f t="shared" si="2"/>
        <v>3.7160344827586207</v>
      </c>
      <c r="U52">
        <f t="shared" si="8"/>
        <v>96.71448275862069</v>
      </c>
      <c r="W52">
        <v>398</v>
      </c>
      <c r="X52">
        <f t="shared" si="3"/>
        <v>12828.800000000001</v>
      </c>
      <c r="Y52">
        <v>12.093032476295408</v>
      </c>
    </row>
    <row r="53" spans="1:25" x14ac:dyDescent="0.25">
      <c r="A53">
        <v>7560</v>
      </c>
      <c r="B53">
        <v>24490</v>
      </c>
      <c r="C53" s="1">
        <v>42998</v>
      </c>
      <c r="F53" s="48"/>
      <c r="G53">
        <v>10.4</v>
      </c>
      <c r="H53">
        <v>4.5999999999999996</v>
      </c>
      <c r="I53">
        <v>16.2</v>
      </c>
      <c r="J53">
        <f t="shared" si="6"/>
        <v>222.50000000000003</v>
      </c>
      <c r="K53">
        <f t="shared" si="7"/>
        <v>222.50000000000003</v>
      </c>
      <c r="M53">
        <v>0</v>
      </c>
      <c r="N53">
        <v>1.5</v>
      </c>
      <c r="O53">
        <f t="shared" si="4"/>
        <v>-1.5</v>
      </c>
      <c r="Q53">
        <v>17</v>
      </c>
      <c r="R53">
        <f t="shared" si="9"/>
        <v>0.48448275862068962</v>
      </c>
      <c r="S53">
        <f t="shared" si="1"/>
        <v>0.72672413793103441</v>
      </c>
      <c r="T53">
        <f t="shared" si="2"/>
        <v>-0.72672413793103441</v>
      </c>
      <c r="U53">
        <f t="shared" si="8"/>
        <v>95.987758620689661</v>
      </c>
      <c r="W53">
        <v>915.4</v>
      </c>
      <c r="X53">
        <f t="shared" si="3"/>
        <v>13744.2</v>
      </c>
      <c r="Y53">
        <v>12.031012181360859</v>
      </c>
    </row>
    <row r="54" spans="1:25" x14ac:dyDescent="0.25">
      <c r="A54">
        <v>7560</v>
      </c>
      <c r="B54">
        <v>24490</v>
      </c>
      <c r="C54" s="1">
        <v>42999</v>
      </c>
      <c r="F54" s="48"/>
      <c r="G54">
        <v>12.5</v>
      </c>
      <c r="H54">
        <v>6.6</v>
      </c>
      <c r="I54">
        <v>18.8</v>
      </c>
      <c r="J54">
        <f t="shared" si="6"/>
        <v>235.00000000000003</v>
      </c>
      <c r="K54">
        <f t="shared" si="7"/>
        <v>235.00000000000003</v>
      </c>
      <c r="M54">
        <v>0</v>
      </c>
      <c r="N54">
        <v>2.9</v>
      </c>
      <c r="O54">
        <f t="shared" si="4"/>
        <v>-2.9</v>
      </c>
      <c r="Q54">
        <v>18</v>
      </c>
      <c r="R54">
        <f t="shared" si="9"/>
        <v>0.49568965517241381</v>
      </c>
      <c r="S54">
        <f t="shared" si="1"/>
        <v>1.4375</v>
      </c>
      <c r="T54">
        <f t="shared" si="2"/>
        <v>-1.4375</v>
      </c>
      <c r="U54">
        <f t="shared" si="8"/>
        <v>94.550258620689661</v>
      </c>
      <c r="W54">
        <v>1570.8</v>
      </c>
      <c r="X54">
        <f t="shared" si="3"/>
        <v>15315</v>
      </c>
      <c r="Y54">
        <v>11.968987818639141</v>
      </c>
    </row>
    <row r="55" spans="1:25" x14ac:dyDescent="0.25">
      <c r="A55">
        <v>7560</v>
      </c>
      <c r="B55">
        <v>24490</v>
      </c>
      <c r="C55" s="1">
        <v>43000</v>
      </c>
      <c r="F55" s="48"/>
      <c r="G55">
        <v>13.5</v>
      </c>
      <c r="H55">
        <v>7.9</v>
      </c>
      <c r="I55">
        <v>19.8</v>
      </c>
      <c r="J55">
        <f t="shared" si="6"/>
        <v>248.50000000000003</v>
      </c>
      <c r="K55">
        <f t="shared" si="7"/>
        <v>248.50000000000003</v>
      </c>
      <c r="M55">
        <v>0.1</v>
      </c>
      <c r="N55">
        <v>1.8</v>
      </c>
      <c r="O55">
        <f t="shared" si="4"/>
        <v>-1.7</v>
      </c>
      <c r="Q55">
        <v>19</v>
      </c>
      <c r="R55">
        <f t="shared" si="9"/>
        <v>0.50689655172413794</v>
      </c>
      <c r="S55">
        <f t="shared" si="1"/>
        <v>0.91241379310344828</v>
      </c>
      <c r="T55">
        <f t="shared" si="2"/>
        <v>-0.8124137931034483</v>
      </c>
      <c r="U55">
        <f t="shared" si="8"/>
        <v>93.737844827586216</v>
      </c>
      <c r="W55">
        <v>908.6</v>
      </c>
      <c r="X55">
        <f t="shared" si="3"/>
        <v>16223.6</v>
      </c>
      <c r="Y55">
        <v>11.906967523704594</v>
      </c>
    </row>
    <row r="56" spans="1:25" x14ac:dyDescent="0.25">
      <c r="A56">
        <v>7560</v>
      </c>
      <c r="B56">
        <v>24490</v>
      </c>
      <c r="C56" s="1">
        <v>43001</v>
      </c>
      <c r="F56" s="48"/>
      <c r="G56">
        <v>13.1</v>
      </c>
      <c r="H56">
        <v>7.6</v>
      </c>
      <c r="I56">
        <v>18.100000000000001</v>
      </c>
      <c r="J56">
        <f t="shared" si="6"/>
        <v>261.60000000000002</v>
      </c>
      <c r="K56">
        <f t="shared" si="7"/>
        <v>261.60000000000002</v>
      </c>
      <c r="M56">
        <v>0</v>
      </c>
      <c r="N56">
        <v>1.7</v>
      </c>
      <c r="O56">
        <f t="shared" si="4"/>
        <v>-1.7</v>
      </c>
      <c r="Q56">
        <v>20</v>
      </c>
      <c r="R56">
        <f t="shared" si="9"/>
        <v>0.51810344827586208</v>
      </c>
      <c r="S56">
        <f t="shared" si="1"/>
        <v>0.88077586206896552</v>
      </c>
      <c r="T56">
        <f t="shared" si="2"/>
        <v>-0.88077586206896552</v>
      </c>
      <c r="U56">
        <f t="shared" si="8"/>
        <v>92.857068965517243</v>
      </c>
      <c r="W56">
        <v>1246.3</v>
      </c>
      <c r="X56">
        <f t="shared" si="3"/>
        <v>17469.900000000001</v>
      </c>
      <c r="Y56">
        <v>11.844959440123731</v>
      </c>
    </row>
    <row r="57" spans="1:25" x14ac:dyDescent="0.25">
      <c r="A57">
        <v>7560</v>
      </c>
      <c r="B57">
        <v>24490</v>
      </c>
      <c r="C57" s="1">
        <v>43002</v>
      </c>
      <c r="F57" s="48"/>
      <c r="G57">
        <v>13.7</v>
      </c>
      <c r="H57">
        <v>7</v>
      </c>
      <c r="I57">
        <v>20.8</v>
      </c>
      <c r="J57">
        <f t="shared" si="6"/>
        <v>275.3</v>
      </c>
      <c r="K57">
        <f t="shared" si="7"/>
        <v>275.3</v>
      </c>
      <c r="M57">
        <v>0</v>
      </c>
      <c r="N57">
        <v>2.5</v>
      </c>
      <c r="O57">
        <f t="shared" si="4"/>
        <v>-2.5</v>
      </c>
      <c r="Q57">
        <v>21</v>
      </c>
      <c r="R57">
        <f t="shared" si="9"/>
        <v>0.52931034482758621</v>
      </c>
      <c r="S57">
        <f t="shared" si="1"/>
        <v>1.3232758620689655</v>
      </c>
      <c r="T57">
        <f t="shared" si="2"/>
        <v>-1.3232758620689655</v>
      </c>
      <c r="U57">
        <f t="shared" si="8"/>
        <v>91.533793103448275</v>
      </c>
      <c r="W57">
        <v>1291.0999999999999</v>
      </c>
      <c r="X57">
        <f t="shared" si="3"/>
        <v>18761</v>
      </c>
      <c r="Y57">
        <v>11.782971735435327</v>
      </c>
    </row>
    <row r="58" spans="1:25" x14ac:dyDescent="0.25">
      <c r="A58">
        <v>7560</v>
      </c>
      <c r="B58">
        <v>24490</v>
      </c>
      <c r="C58" s="1">
        <v>43003</v>
      </c>
      <c r="F58" s="48"/>
      <c r="G58">
        <v>15</v>
      </c>
      <c r="H58">
        <v>10</v>
      </c>
      <c r="I58">
        <v>19.899999999999999</v>
      </c>
      <c r="J58">
        <f t="shared" si="6"/>
        <v>290.3</v>
      </c>
      <c r="K58">
        <f t="shared" si="7"/>
        <v>290.3</v>
      </c>
      <c r="M58">
        <v>1.2</v>
      </c>
      <c r="N58">
        <v>1.4</v>
      </c>
      <c r="O58">
        <f t="shared" si="4"/>
        <v>-0.19999999999999996</v>
      </c>
      <c r="Q58">
        <v>22</v>
      </c>
      <c r="R58">
        <f t="shared" si="9"/>
        <v>0.54051724137931034</v>
      </c>
      <c r="S58">
        <f t="shared" si="1"/>
        <v>0.75672413793103444</v>
      </c>
      <c r="T58">
        <f t="shared" si="2"/>
        <v>0.44327586206896552</v>
      </c>
      <c r="U58">
        <f t="shared" si="8"/>
        <v>91.977068965517248</v>
      </c>
      <c r="W58">
        <v>645.5</v>
      </c>
      <c r="X58">
        <f t="shared" si="3"/>
        <v>19406.5</v>
      </c>
      <c r="Y58">
        <v>11.721012617117943</v>
      </c>
    </row>
    <row r="59" spans="1:25" x14ac:dyDescent="0.25">
      <c r="A59">
        <v>7560</v>
      </c>
      <c r="B59">
        <v>24490</v>
      </c>
      <c r="C59" s="1">
        <v>43004</v>
      </c>
      <c r="F59" s="48"/>
      <c r="G59">
        <v>14.8</v>
      </c>
      <c r="H59">
        <v>12.9</v>
      </c>
      <c r="I59">
        <v>19</v>
      </c>
      <c r="J59">
        <f t="shared" si="6"/>
        <v>305.10000000000002</v>
      </c>
      <c r="K59">
        <f t="shared" si="7"/>
        <v>305.10000000000002</v>
      </c>
      <c r="M59">
        <v>0.6</v>
      </c>
      <c r="N59">
        <v>1.3</v>
      </c>
      <c r="O59">
        <f t="shared" si="4"/>
        <v>-0.70000000000000007</v>
      </c>
      <c r="Q59">
        <v>23</v>
      </c>
      <c r="R59">
        <f t="shared" si="9"/>
        <v>0.55172413793103448</v>
      </c>
      <c r="S59">
        <f t="shared" si="1"/>
        <v>0.71724137931034482</v>
      </c>
      <c r="T59">
        <f t="shared" si="2"/>
        <v>-0.11724137931034484</v>
      </c>
      <c r="U59">
        <f t="shared" si="8"/>
        <v>91.859827586206904</v>
      </c>
      <c r="W59">
        <v>745.4</v>
      </c>
      <c r="X59">
        <f t="shared" si="3"/>
        <v>20151.900000000001</v>
      </c>
      <c r="Y59">
        <v>11.659090348536177</v>
      </c>
    </row>
    <row r="60" spans="1:25" x14ac:dyDescent="0.25">
      <c r="A60">
        <v>7560</v>
      </c>
      <c r="B60">
        <v>24490</v>
      </c>
      <c r="C60" s="1">
        <v>43005</v>
      </c>
      <c r="F60" s="48"/>
      <c r="G60">
        <v>13.5</v>
      </c>
      <c r="H60">
        <v>7.7</v>
      </c>
      <c r="I60">
        <v>18.100000000000001</v>
      </c>
      <c r="J60">
        <f t="shared" si="6"/>
        <v>318.60000000000002</v>
      </c>
      <c r="K60">
        <f t="shared" si="7"/>
        <v>318.60000000000002</v>
      </c>
      <c r="M60">
        <v>0.2</v>
      </c>
      <c r="N60">
        <v>0.6</v>
      </c>
      <c r="O60">
        <f t="shared" si="4"/>
        <v>-0.39999999999999997</v>
      </c>
      <c r="Q60">
        <v>24</v>
      </c>
      <c r="R60">
        <f t="shared" si="9"/>
        <v>0.56293103448275861</v>
      </c>
      <c r="S60">
        <f t="shared" si="1"/>
        <v>0.33775862068965518</v>
      </c>
      <c r="T60">
        <f t="shared" si="2"/>
        <v>-0.13775862068965516</v>
      </c>
      <c r="U60">
        <f t="shared" si="8"/>
        <v>91.722068965517252</v>
      </c>
      <c r="W60">
        <v>483.2</v>
      </c>
      <c r="X60">
        <f t="shared" si="3"/>
        <v>20635.100000000002</v>
      </c>
      <c r="Y60">
        <v>11.597213264856785</v>
      </c>
    </row>
    <row r="61" spans="1:25" x14ac:dyDescent="0.25">
      <c r="A61">
        <v>7560</v>
      </c>
      <c r="B61">
        <v>24490</v>
      </c>
      <c r="C61" s="1">
        <v>43006</v>
      </c>
      <c r="F61" s="48"/>
      <c r="G61">
        <v>16</v>
      </c>
      <c r="H61">
        <v>12.3</v>
      </c>
      <c r="I61">
        <v>20.6</v>
      </c>
      <c r="J61">
        <f t="shared" si="6"/>
        <v>334.6</v>
      </c>
      <c r="K61">
        <f t="shared" si="7"/>
        <v>334.6</v>
      </c>
      <c r="M61">
        <v>1.4</v>
      </c>
      <c r="N61">
        <v>1.2</v>
      </c>
      <c r="O61">
        <f t="shared" si="4"/>
        <v>0.19999999999999996</v>
      </c>
      <c r="Q61">
        <v>25</v>
      </c>
      <c r="R61">
        <f t="shared" si="9"/>
        <v>0.57413793103448274</v>
      </c>
      <c r="S61">
        <f t="shared" si="1"/>
        <v>0.68896551724137922</v>
      </c>
      <c r="T61">
        <f t="shared" si="2"/>
        <v>0.71103448275862069</v>
      </c>
      <c r="U61">
        <f t="shared" si="8"/>
        <v>92.433103448275872</v>
      </c>
      <c r="W61">
        <v>531.5</v>
      </c>
      <c r="X61">
        <f t="shared" si="3"/>
        <v>21166.600000000002</v>
      </c>
      <c r="Y61">
        <v>11.535389788925295</v>
      </c>
    </row>
    <row r="62" spans="1:25" x14ac:dyDescent="0.25">
      <c r="A62">
        <v>7560</v>
      </c>
      <c r="B62">
        <v>24490</v>
      </c>
      <c r="C62" s="1">
        <v>43007</v>
      </c>
      <c r="F62" s="48"/>
      <c r="G62">
        <v>18.3</v>
      </c>
      <c r="H62">
        <v>14</v>
      </c>
      <c r="I62">
        <v>23.6</v>
      </c>
      <c r="J62">
        <f t="shared" si="6"/>
        <v>352.90000000000003</v>
      </c>
      <c r="K62">
        <f t="shared" si="7"/>
        <v>352.90000000000003</v>
      </c>
      <c r="M62">
        <v>9.5</v>
      </c>
      <c r="N62">
        <v>2.2999999999999998</v>
      </c>
      <c r="O62">
        <f t="shared" si="4"/>
        <v>7.2</v>
      </c>
      <c r="Q62">
        <v>26</v>
      </c>
      <c r="R62">
        <f t="shared" si="9"/>
        <v>0.58534482758620687</v>
      </c>
      <c r="S62">
        <f t="shared" si="1"/>
        <v>1.3462931034482757</v>
      </c>
      <c r="T62">
        <f t="shared" si="2"/>
        <v>8.153706896551725</v>
      </c>
      <c r="U62">
        <f t="shared" si="8"/>
        <v>100.5868103448276</v>
      </c>
      <c r="W62">
        <v>1134.8</v>
      </c>
      <c r="X62">
        <f t="shared" si="3"/>
        <v>22301.4</v>
      </c>
      <c r="Y62">
        <v>11.473628447093311</v>
      </c>
    </row>
    <row r="63" spans="1:25" x14ac:dyDescent="0.25">
      <c r="A63">
        <v>7560</v>
      </c>
      <c r="B63">
        <v>24490</v>
      </c>
      <c r="C63" s="1">
        <v>43008</v>
      </c>
      <c r="F63" s="48"/>
      <c r="G63">
        <v>13.1</v>
      </c>
      <c r="H63">
        <v>13.1</v>
      </c>
      <c r="I63">
        <v>13.8</v>
      </c>
      <c r="J63">
        <f t="shared" si="6"/>
        <v>366.00000000000006</v>
      </c>
      <c r="K63">
        <f t="shared" si="7"/>
        <v>366.00000000000006</v>
      </c>
      <c r="M63">
        <v>10</v>
      </c>
      <c r="N63">
        <v>0.7</v>
      </c>
      <c r="O63">
        <f t="shared" si="4"/>
        <v>9.3000000000000007</v>
      </c>
      <c r="Q63">
        <v>27</v>
      </c>
      <c r="R63">
        <f t="shared" si="9"/>
        <v>0.59655172413793101</v>
      </c>
      <c r="S63">
        <f t="shared" si="1"/>
        <v>0.41758620689655168</v>
      </c>
      <c r="T63">
        <f t="shared" si="2"/>
        <v>9.5824137931034485</v>
      </c>
      <c r="U63">
        <f t="shared" si="8"/>
        <v>110.16922413793105</v>
      </c>
      <c r="W63">
        <v>469.4</v>
      </c>
      <c r="X63">
        <f t="shared" si="3"/>
        <v>22770.800000000003</v>
      </c>
      <c r="Y63">
        <v>11.411937884985871</v>
      </c>
    </row>
    <row r="64" spans="1:25" x14ac:dyDescent="0.25">
      <c r="A64">
        <v>7560</v>
      </c>
      <c r="B64">
        <v>24490</v>
      </c>
      <c r="C64" s="1">
        <v>43009</v>
      </c>
      <c r="F64" s="48"/>
      <c r="G64">
        <v>12.9</v>
      </c>
      <c r="H64">
        <v>8.5</v>
      </c>
      <c r="I64">
        <v>16.100000000000001</v>
      </c>
      <c r="J64">
        <f t="shared" si="6"/>
        <v>378.90000000000003</v>
      </c>
      <c r="K64">
        <f t="shared" si="7"/>
        <v>378.90000000000003</v>
      </c>
      <c r="M64">
        <v>0.5</v>
      </c>
      <c r="N64">
        <v>0.7</v>
      </c>
      <c r="O64">
        <f t="shared" si="4"/>
        <v>-0.19999999999999996</v>
      </c>
      <c r="Q64">
        <v>28</v>
      </c>
      <c r="R64">
        <f t="shared" si="9"/>
        <v>0.60775862068965525</v>
      </c>
      <c r="S64">
        <f t="shared" si="1"/>
        <v>0.42543103448275865</v>
      </c>
      <c r="T64">
        <f t="shared" si="2"/>
        <v>7.4568965517241348E-2</v>
      </c>
      <c r="U64">
        <f t="shared" si="8"/>
        <v>110.2437931034483</v>
      </c>
      <c r="W64">
        <v>189.3</v>
      </c>
      <c r="X64">
        <f t="shared" si="3"/>
        <v>22960.100000000002</v>
      </c>
      <c r="Y64">
        <v>11.350326883197646</v>
      </c>
    </row>
    <row r="65" spans="1:25" x14ac:dyDescent="0.25">
      <c r="A65">
        <v>7560</v>
      </c>
      <c r="B65">
        <v>24490</v>
      </c>
      <c r="C65" s="1">
        <v>43010</v>
      </c>
      <c r="F65" s="48"/>
      <c r="G65">
        <v>15.7</v>
      </c>
      <c r="H65">
        <v>13.7</v>
      </c>
      <c r="I65">
        <v>17.600000000000001</v>
      </c>
      <c r="J65">
        <f t="shared" si="6"/>
        <v>394.6</v>
      </c>
      <c r="K65">
        <f t="shared" si="7"/>
        <v>394.6</v>
      </c>
      <c r="M65">
        <v>9.1</v>
      </c>
      <c r="N65">
        <v>0.7</v>
      </c>
      <c r="O65">
        <f t="shared" si="4"/>
        <v>8.4</v>
      </c>
      <c r="Q65">
        <v>29</v>
      </c>
      <c r="R65">
        <f t="shared" si="9"/>
        <v>0.61896551724137927</v>
      </c>
      <c r="S65">
        <f t="shared" si="1"/>
        <v>0.43327586206896546</v>
      </c>
      <c r="T65">
        <f t="shared" si="2"/>
        <v>8.666724137931034</v>
      </c>
      <c r="U65">
        <f t="shared" si="8"/>
        <v>118.91051724137932</v>
      </c>
      <c r="W65">
        <v>254</v>
      </c>
      <c r="X65">
        <f t="shared" si="3"/>
        <v>23214.100000000002</v>
      </c>
      <c r="Y65">
        <v>11.288804372905689</v>
      </c>
    </row>
    <row r="66" spans="1:25" x14ac:dyDescent="0.25">
      <c r="A66">
        <v>7560</v>
      </c>
      <c r="B66">
        <v>24490</v>
      </c>
      <c r="C66" s="1">
        <v>43011</v>
      </c>
      <c r="F66" s="48"/>
      <c r="G66">
        <v>12</v>
      </c>
      <c r="H66">
        <v>10.4</v>
      </c>
      <c r="I66">
        <v>15.5</v>
      </c>
      <c r="J66">
        <f t="shared" si="6"/>
        <v>406.6</v>
      </c>
      <c r="K66">
        <f t="shared" si="7"/>
        <v>406.6</v>
      </c>
      <c r="M66">
        <v>0</v>
      </c>
      <c r="N66">
        <v>1.5</v>
      </c>
      <c r="O66">
        <f t="shared" si="4"/>
        <v>-1.5</v>
      </c>
      <c r="Q66">
        <v>30</v>
      </c>
      <c r="R66">
        <f t="shared" si="9"/>
        <v>0.6301724137931034</v>
      </c>
      <c r="S66">
        <f t="shared" si="1"/>
        <v>0.94525862068965516</v>
      </c>
      <c r="T66">
        <f t="shared" si="2"/>
        <v>-0.94525862068965516</v>
      </c>
      <c r="U66">
        <f t="shared" si="8"/>
        <v>117.96525862068967</v>
      </c>
      <c r="W66">
        <v>573.5</v>
      </c>
      <c r="X66">
        <f t="shared" si="3"/>
        <v>23787.600000000002</v>
      </c>
      <c r="Y66">
        <v>11.227379451385552</v>
      </c>
    </row>
    <row r="67" spans="1:25" x14ac:dyDescent="0.25">
      <c r="A67">
        <v>7560</v>
      </c>
      <c r="B67">
        <v>24490</v>
      </c>
      <c r="C67" s="1">
        <v>43012</v>
      </c>
      <c r="F67" s="48"/>
      <c r="G67">
        <v>10.199999999999999</v>
      </c>
      <c r="H67">
        <v>6.7</v>
      </c>
      <c r="I67">
        <v>15.4</v>
      </c>
      <c r="J67">
        <f t="shared" si="6"/>
        <v>416.8</v>
      </c>
      <c r="K67">
        <f t="shared" si="7"/>
        <v>416.8</v>
      </c>
      <c r="M67">
        <v>0.1</v>
      </c>
      <c r="N67">
        <v>1.5</v>
      </c>
      <c r="O67">
        <f t="shared" si="4"/>
        <v>-1.4</v>
      </c>
      <c r="Q67">
        <v>31</v>
      </c>
      <c r="R67">
        <f t="shared" si="9"/>
        <v>0.64137931034482754</v>
      </c>
      <c r="S67">
        <f t="shared" si="1"/>
        <v>0.9620689655172413</v>
      </c>
      <c r="T67">
        <f t="shared" si="2"/>
        <v>-0.86206896551724133</v>
      </c>
      <c r="U67">
        <f t="shared" si="8"/>
        <v>117.10318965517243</v>
      </c>
      <c r="W67">
        <v>698.5</v>
      </c>
      <c r="X67">
        <f t="shared" si="3"/>
        <v>24486.100000000002</v>
      </c>
      <c r="Y67">
        <v>11.166061397416316</v>
      </c>
    </row>
    <row r="68" spans="1:25" x14ac:dyDescent="0.25">
      <c r="A68">
        <v>7560</v>
      </c>
      <c r="B68">
        <v>24490</v>
      </c>
      <c r="C68" s="1">
        <v>43013</v>
      </c>
      <c r="F68" s="48"/>
      <c r="G68">
        <v>10.1</v>
      </c>
      <c r="H68">
        <v>7.6</v>
      </c>
      <c r="I68">
        <v>14.5</v>
      </c>
      <c r="J68">
        <f t="shared" si="6"/>
        <v>426.90000000000003</v>
      </c>
      <c r="K68">
        <f t="shared" si="7"/>
        <v>426.90000000000003</v>
      </c>
      <c r="M68">
        <v>1.6</v>
      </c>
      <c r="N68">
        <v>1.2</v>
      </c>
      <c r="O68">
        <f t="shared" si="4"/>
        <v>0.40000000000000013</v>
      </c>
      <c r="Q68">
        <v>32</v>
      </c>
      <c r="R68">
        <f t="shared" si="9"/>
        <v>0.65258620689655178</v>
      </c>
      <c r="S68">
        <f t="shared" si="1"/>
        <v>0.78310344827586209</v>
      </c>
      <c r="T68">
        <f t="shared" si="2"/>
        <v>0.816896551724138</v>
      </c>
      <c r="U68">
        <f t="shared" si="8"/>
        <v>117.92008620689657</v>
      </c>
      <c r="W68">
        <v>507.7</v>
      </c>
      <c r="X68">
        <f t="shared" si="3"/>
        <v>24993.800000000003</v>
      </c>
      <c r="Y68">
        <v>11.104859686558939</v>
      </c>
    </row>
    <row r="69" spans="1:25" x14ac:dyDescent="0.25">
      <c r="A69">
        <v>7560</v>
      </c>
      <c r="B69">
        <v>24490</v>
      </c>
      <c r="C69" s="1">
        <v>43014</v>
      </c>
      <c r="F69" s="48"/>
      <c r="G69">
        <v>8.4</v>
      </c>
      <c r="H69">
        <v>4.7</v>
      </c>
      <c r="I69">
        <v>13.4</v>
      </c>
      <c r="J69">
        <f t="shared" si="6"/>
        <v>435.3</v>
      </c>
      <c r="K69">
        <f t="shared" si="7"/>
        <v>435.3</v>
      </c>
      <c r="M69">
        <v>0.5</v>
      </c>
      <c r="N69">
        <v>1.6</v>
      </c>
      <c r="O69">
        <f t="shared" si="4"/>
        <v>-1.1000000000000001</v>
      </c>
      <c r="Q69">
        <v>33</v>
      </c>
      <c r="R69">
        <f t="shared" si="9"/>
        <v>0.6637931034482758</v>
      </c>
      <c r="S69">
        <f t="shared" ref="S69:S132" si="10">R69*N69</f>
        <v>1.0620689655172413</v>
      </c>
      <c r="T69">
        <f t="shared" ref="T69:T132" si="11">M69-S69</f>
        <v>-0.56206896551724128</v>
      </c>
      <c r="U69">
        <f t="shared" si="8"/>
        <v>117.35801724137933</v>
      </c>
      <c r="W69">
        <v>1017.8</v>
      </c>
      <c r="X69">
        <f t="shared" si="3"/>
        <v>26011.600000000002</v>
      </c>
      <c r="Y69">
        <v>11.043784006290862</v>
      </c>
    </row>
    <row r="70" spans="1:25" x14ac:dyDescent="0.25">
      <c r="A70">
        <v>7560</v>
      </c>
      <c r="B70">
        <v>24490</v>
      </c>
      <c r="C70" s="1">
        <v>43015</v>
      </c>
      <c r="F70" s="48"/>
      <c r="G70">
        <v>8.9</v>
      </c>
      <c r="H70">
        <v>1.4</v>
      </c>
      <c r="I70">
        <v>13.8</v>
      </c>
      <c r="J70">
        <f t="shared" si="6"/>
        <v>444.2</v>
      </c>
      <c r="K70">
        <f t="shared" si="7"/>
        <v>444.2</v>
      </c>
      <c r="M70">
        <v>1.4</v>
      </c>
      <c r="N70">
        <v>0.9</v>
      </c>
      <c r="O70">
        <f t="shared" si="4"/>
        <v>0.49999999999999989</v>
      </c>
      <c r="Q70">
        <v>34</v>
      </c>
      <c r="R70">
        <f t="shared" si="9"/>
        <v>0.67500000000000004</v>
      </c>
      <c r="S70">
        <f t="shared" si="10"/>
        <v>0.60750000000000004</v>
      </c>
      <c r="T70">
        <f t="shared" si="11"/>
        <v>0.79249999999999987</v>
      </c>
      <c r="U70">
        <f t="shared" si="8"/>
        <v>118.15051724137933</v>
      </c>
      <c r="W70">
        <v>597.1</v>
      </c>
      <c r="X70">
        <f t="shared" ref="X70:X133" si="12">X69+W70</f>
        <v>26608.7</v>
      </c>
      <c r="Y70">
        <v>10.982844270978292</v>
      </c>
    </row>
    <row r="71" spans="1:25" x14ac:dyDescent="0.25">
      <c r="A71">
        <v>7560</v>
      </c>
      <c r="B71">
        <v>24490</v>
      </c>
      <c r="C71" s="1">
        <v>43016</v>
      </c>
      <c r="F71" s="48"/>
      <c r="G71">
        <v>12.6</v>
      </c>
      <c r="H71">
        <v>11.1</v>
      </c>
      <c r="I71">
        <v>14.4</v>
      </c>
      <c r="J71">
        <f t="shared" si="6"/>
        <v>456.8</v>
      </c>
      <c r="K71">
        <f t="shared" si="7"/>
        <v>456.8</v>
      </c>
      <c r="M71">
        <v>0.7</v>
      </c>
      <c r="N71">
        <v>0.7</v>
      </c>
      <c r="O71">
        <f t="shared" si="4"/>
        <v>0</v>
      </c>
      <c r="Q71">
        <v>35</v>
      </c>
      <c r="R71">
        <f t="shared" si="9"/>
        <v>0.68620689655172418</v>
      </c>
      <c r="S71">
        <f t="shared" si="10"/>
        <v>0.48034482758620689</v>
      </c>
      <c r="T71">
        <f t="shared" si="11"/>
        <v>0.21965517241379307</v>
      </c>
      <c r="U71">
        <f t="shared" si="8"/>
        <v>118.37017241379313</v>
      </c>
      <c r="W71">
        <v>421</v>
      </c>
      <c r="X71">
        <f t="shared" si="12"/>
        <v>27029.7</v>
      </c>
      <c r="Y71">
        <v>10.922050636666008</v>
      </c>
    </row>
    <row r="72" spans="1:25" x14ac:dyDescent="0.25">
      <c r="A72">
        <v>7560</v>
      </c>
      <c r="B72">
        <v>24490</v>
      </c>
      <c r="C72" s="1">
        <v>43017</v>
      </c>
      <c r="F72" s="48"/>
      <c r="G72">
        <v>11.9</v>
      </c>
      <c r="H72">
        <v>9.9</v>
      </c>
      <c r="I72">
        <v>15.3</v>
      </c>
      <c r="J72">
        <f t="shared" si="6"/>
        <v>468.7</v>
      </c>
      <c r="K72">
        <f t="shared" si="7"/>
        <v>468.7</v>
      </c>
      <c r="M72">
        <v>0.9</v>
      </c>
      <c r="N72">
        <v>1.3</v>
      </c>
      <c r="O72">
        <f t="shared" ref="O72:O135" si="13">M72-N72</f>
        <v>-0.4</v>
      </c>
      <c r="Q72">
        <v>36</v>
      </c>
      <c r="R72">
        <f t="shared" si="9"/>
        <v>0.69741379310344831</v>
      </c>
      <c r="S72">
        <f t="shared" si="10"/>
        <v>0.90663793103448287</v>
      </c>
      <c r="T72">
        <f t="shared" si="11"/>
        <v>-6.6379310344828468E-3</v>
      </c>
      <c r="U72">
        <f t="shared" si="8"/>
        <v>118.36353448275864</v>
      </c>
      <c r="W72">
        <v>676.7</v>
      </c>
      <c r="X72">
        <f t="shared" si="12"/>
        <v>27706.400000000001</v>
      </c>
      <c r="Y72">
        <v>10.861413515662717</v>
      </c>
    </row>
    <row r="73" spans="1:25" x14ac:dyDescent="0.25">
      <c r="A73">
        <v>7560</v>
      </c>
      <c r="B73">
        <v>24490</v>
      </c>
      <c r="C73" s="1">
        <v>43018</v>
      </c>
      <c r="F73" s="48"/>
      <c r="G73">
        <v>12.6</v>
      </c>
      <c r="H73">
        <v>11.4</v>
      </c>
      <c r="I73">
        <v>14.9</v>
      </c>
      <c r="J73">
        <f t="shared" si="6"/>
        <v>481.3</v>
      </c>
      <c r="K73">
        <f t="shared" si="7"/>
        <v>481.3</v>
      </c>
      <c r="M73">
        <v>0.5</v>
      </c>
      <c r="N73">
        <v>0.8</v>
      </c>
      <c r="O73">
        <f t="shared" si="13"/>
        <v>-0.30000000000000004</v>
      </c>
      <c r="Q73">
        <v>37</v>
      </c>
      <c r="R73">
        <f t="shared" si="9"/>
        <v>0.70862068965517233</v>
      </c>
      <c r="S73">
        <f t="shared" si="10"/>
        <v>0.56689655172413789</v>
      </c>
      <c r="T73">
        <f t="shared" si="11"/>
        <v>-6.6896551724137887E-2</v>
      </c>
      <c r="U73">
        <f t="shared" si="8"/>
        <v>118.2966379310345</v>
      </c>
      <c r="W73">
        <v>301.89999999999998</v>
      </c>
      <c r="X73">
        <f t="shared" si="12"/>
        <v>28008.300000000003</v>
      </c>
      <c r="Y73">
        <v>10.800943590898221</v>
      </c>
    </row>
    <row r="74" spans="1:25" x14ac:dyDescent="0.25">
      <c r="A74">
        <v>7560</v>
      </c>
      <c r="B74">
        <v>24490</v>
      </c>
      <c r="C74" s="1">
        <v>43019</v>
      </c>
      <c r="F74" s="48"/>
      <c r="G74">
        <v>13.3</v>
      </c>
      <c r="H74">
        <v>9.5</v>
      </c>
      <c r="I74">
        <v>17.100000000000001</v>
      </c>
      <c r="J74">
        <f t="shared" si="6"/>
        <v>494.6</v>
      </c>
      <c r="K74">
        <f t="shared" si="7"/>
        <v>494.6</v>
      </c>
      <c r="M74">
        <v>0</v>
      </c>
      <c r="N74">
        <v>1.1000000000000001</v>
      </c>
      <c r="O74">
        <f t="shared" si="13"/>
        <v>-1.1000000000000001</v>
      </c>
      <c r="Q74">
        <v>38</v>
      </c>
      <c r="R74">
        <f t="shared" si="9"/>
        <v>0.71982758620689657</v>
      </c>
      <c r="S74">
        <f t="shared" si="10"/>
        <v>0.79181034482758628</v>
      </c>
      <c r="T74">
        <f t="shared" si="11"/>
        <v>-0.79181034482758628</v>
      </c>
      <c r="U74">
        <f t="shared" si="8"/>
        <v>117.50482758620691</v>
      </c>
      <c r="W74">
        <v>387.6</v>
      </c>
      <c r="X74">
        <f t="shared" si="12"/>
        <v>28395.9</v>
      </c>
      <c r="Y74">
        <v>10.740651830026509</v>
      </c>
    </row>
    <row r="75" spans="1:25" x14ac:dyDescent="0.25">
      <c r="A75">
        <v>7560</v>
      </c>
      <c r="B75">
        <v>24490</v>
      </c>
      <c r="C75" s="1">
        <v>43020</v>
      </c>
      <c r="F75" s="48"/>
      <c r="G75">
        <v>13.7</v>
      </c>
      <c r="H75">
        <v>12</v>
      </c>
      <c r="I75">
        <v>17</v>
      </c>
      <c r="J75">
        <f t="shared" si="6"/>
        <v>508.3</v>
      </c>
      <c r="K75">
        <f t="shared" si="7"/>
        <v>508.3</v>
      </c>
      <c r="M75">
        <v>0.1</v>
      </c>
      <c r="N75">
        <v>1.1000000000000001</v>
      </c>
      <c r="O75">
        <f t="shared" si="13"/>
        <v>-1</v>
      </c>
      <c r="Q75">
        <v>39</v>
      </c>
      <c r="R75">
        <f t="shared" si="9"/>
        <v>0.7310344827586206</v>
      </c>
      <c r="S75">
        <f t="shared" si="10"/>
        <v>0.80413793103448272</v>
      </c>
      <c r="T75">
        <f t="shared" si="11"/>
        <v>-0.70413793103448274</v>
      </c>
      <c r="U75">
        <f t="shared" si="8"/>
        <v>116.80068965517243</v>
      </c>
      <c r="W75">
        <v>340.4</v>
      </c>
      <c r="X75">
        <f t="shared" si="12"/>
        <v>28736.300000000003</v>
      </c>
      <c r="Y75">
        <v>10.680549499246961</v>
      </c>
    </row>
    <row r="76" spans="1:25" x14ac:dyDescent="0.25">
      <c r="A76">
        <v>7560</v>
      </c>
      <c r="B76">
        <v>24490</v>
      </c>
      <c r="C76" s="1">
        <v>43021</v>
      </c>
      <c r="F76" s="48"/>
      <c r="G76">
        <v>14.1</v>
      </c>
      <c r="H76">
        <v>10</v>
      </c>
      <c r="I76">
        <v>19.399999999999999</v>
      </c>
      <c r="J76">
        <f t="shared" si="6"/>
        <v>522.4</v>
      </c>
      <c r="K76">
        <f t="shared" si="7"/>
        <v>522.4</v>
      </c>
      <c r="M76">
        <v>0</v>
      </c>
      <c r="N76">
        <v>1.7</v>
      </c>
      <c r="O76">
        <f t="shared" si="13"/>
        <v>-1.7</v>
      </c>
      <c r="Q76">
        <v>40</v>
      </c>
      <c r="R76">
        <f t="shared" si="9"/>
        <v>0.74224137931034484</v>
      </c>
      <c r="S76">
        <f t="shared" si="10"/>
        <v>1.2618103448275861</v>
      </c>
      <c r="T76">
        <f t="shared" si="11"/>
        <v>-1.2618103448275861</v>
      </c>
      <c r="U76">
        <f t="shared" si="8"/>
        <v>115.53887931034485</v>
      </c>
      <c r="W76">
        <v>879.3</v>
      </c>
      <c r="X76">
        <f t="shared" si="12"/>
        <v>29615.600000000002</v>
      </c>
      <c r="Y76">
        <v>10.620648176813523</v>
      </c>
    </row>
    <row r="77" spans="1:25" x14ac:dyDescent="0.25">
      <c r="A77">
        <v>7560</v>
      </c>
      <c r="B77">
        <v>24490</v>
      </c>
      <c r="C77" s="1">
        <v>43022</v>
      </c>
      <c r="F77" s="48"/>
      <c r="G77">
        <v>14.1</v>
      </c>
      <c r="H77">
        <v>8.1999999999999993</v>
      </c>
      <c r="I77">
        <v>21.1</v>
      </c>
      <c r="J77">
        <f t="shared" si="6"/>
        <v>536.5</v>
      </c>
      <c r="K77">
        <f t="shared" si="7"/>
        <v>536.5</v>
      </c>
      <c r="M77">
        <v>0.1</v>
      </c>
      <c r="N77">
        <v>2.2999999999999998</v>
      </c>
      <c r="O77">
        <f t="shared" si="13"/>
        <v>-2.1999999999999997</v>
      </c>
      <c r="Q77">
        <v>41</v>
      </c>
      <c r="R77">
        <f t="shared" si="9"/>
        <v>0.75344827586206897</v>
      </c>
      <c r="S77">
        <f t="shared" si="10"/>
        <v>1.7329310344827584</v>
      </c>
      <c r="T77">
        <f t="shared" si="11"/>
        <v>-1.6329310344827583</v>
      </c>
      <c r="U77">
        <f t="shared" si="8"/>
        <v>113.9059482758621</v>
      </c>
      <c r="W77">
        <v>1206.9000000000001</v>
      </c>
      <c r="X77">
        <f t="shared" si="12"/>
        <v>30822.500000000004</v>
      </c>
      <c r="Y77">
        <v>10.560959766199481</v>
      </c>
    </row>
    <row r="78" spans="1:25" x14ac:dyDescent="0.25">
      <c r="A78">
        <v>7560</v>
      </c>
      <c r="B78">
        <v>24490</v>
      </c>
      <c r="C78" s="1">
        <v>43023</v>
      </c>
      <c r="F78" s="48"/>
      <c r="G78">
        <v>14.4</v>
      </c>
      <c r="H78">
        <v>9.5</v>
      </c>
      <c r="I78">
        <v>20.8</v>
      </c>
      <c r="J78">
        <f t="shared" si="6"/>
        <v>550.9</v>
      </c>
      <c r="K78">
        <f t="shared" si="7"/>
        <v>550.9</v>
      </c>
      <c r="M78">
        <v>0.2</v>
      </c>
      <c r="N78">
        <v>2.6</v>
      </c>
      <c r="O78">
        <f t="shared" si="13"/>
        <v>-2.4</v>
      </c>
      <c r="Q78">
        <v>42</v>
      </c>
      <c r="R78">
        <f t="shared" si="9"/>
        <v>0.7646551724137931</v>
      </c>
      <c r="S78">
        <f t="shared" si="10"/>
        <v>1.9881034482758622</v>
      </c>
      <c r="T78">
        <f t="shared" si="11"/>
        <v>-1.7881034482758622</v>
      </c>
      <c r="U78">
        <f t="shared" si="8"/>
        <v>112.11784482758624</v>
      </c>
      <c r="W78">
        <v>1228.7</v>
      </c>
      <c r="X78">
        <f t="shared" si="12"/>
        <v>32051.200000000004</v>
      </c>
      <c r="Y78">
        <v>10.501496508882971</v>
      </c>
    </row>
    <row r="79" spans="1:25" x14ac:dyDescent="0.25">
      <c r="A79">
        <v>7560</v>
      </c>
      <c r="B79">
        <v>24490</v>
      </c>
      <c r="C79" s="1">
        <v>43024</v>
      </c>
      <c r="F79" s="48"/>
      <c r="G79">
        <v>15.1</v>
      </c>
      <c r="H79">
        <v>11.2</v>
      </c>
      <c r="I79">
        <v>21.9</v>
      </c>
      <c r="J79">
        <f t="shared" si="6"/>
        <v>566</v>
      </c>
      <c r="K79">
        <f t="shared" si="7"/>
        <v>566</v>
      </c>
      <c r="M79">
        <v>0</v>
      </c>
      <c r="N79">
        <v>3.1</v>
      </c>
      <c r="O79">
        <f t="shared" si="13"/>
        <v>-3.1</v>
      </c>
      <c r="Q79">
        <v>43</v>
      </c>
      <c r="R79">
        <f t="shared" si="9"/>
        <v>0.77586206896551724</v>
      </c>
      <c r="S79">
        <f t="shared" si="10"/>
        <v>2.4051724137931036</v>
      </c>
      <c r="T79">
        <f t="shared" si="11"/>
        <v>-2.4051724137931036</v>
      </c>
      <c r="U79">
        <f t="shared" si="8"/>
        <v>109.71267241379313</v>
      </c>
      <c r="W79">
        <v>1151.4000000000001</v>
      </c>
      <c r="X79">
        <f t="shared" si="12"/>
        <v>33202.600000000006</v>
      </c>
      <c r="Y79">
        <v>10.442270996715896</v>
      </c>
    </row>
    <row r="80" spans="1:25" x14ac:dyDescent="0.25">
      <c r="A80">
        <v>7560</v>
      </c>
      <c r="B80">
        <v>24490</v>
      </c>
      <c r="C80" s="1">
        <v>43025</v>
      </c>
      <c r="F80" s="48"/>
      <c r="G80">
        <v>15.2</v>
      </c>
      <c r="H80">
        <v>10.5</v>
      </c>
      <c r="I80">
        <v>21.5</v>
      </c>
      <c r="J80">
        <f t="shared" si="6"/>
        <v>581.20000000000005</v>
      </c>
      <c r="K80">
        <f t="shared" si="7"/>
        <v>581.20000000000005</v>
      </c>
      <c r="M80">
        <v>0</v>
      </c>
      <c r="N80">
        <v>2.5</v>
      </c>
      <c r="O80">
        <f t="shared" si="13"/>
        <v>-2.5</v>
      </c>
      <c r="Q80">
        <v>44</v>
      </c>
      <c r="R80">
        <f t="shared" si="9"/>
        <v>0.78706896551724137</v>
      </c>
      <c r="S80">
        <f t="shared" si="10"/>
        <v>1.9676724137931034</v>
      </c>
      <c r="T80">
        <f t="shared" si="11"/>
        <v>-1.9676724137931034</v>
      </c>
      <c r="U80">
        <f t="shared" si="8"/>
        <v>107.74500000000002</v>
      </c>
      <c r="W80">
        <v>1106.5999999999999</v>
      </c>
      <c r="X80">
        <f t="shared" si="12"/>
        <v>34309.200000000004</v>
      </c>
      <c r="Y80">
        <v>10.383296183836375</v>
      </c>
    </row>
    <row r="81" spans="1:25" x14ac:dyDescent="0.25">
      <c r="A81">
        <v>7560</v>
      </c>
      <c r="B81">
        <v>24490</v>
      </c>
      <c r="C81" s="1">
        <v>43026</v>
      </c>
      <c r="F81" s="48"/>
      <c r="G81">
        <v>13.5</v>
      </c>
      <c r="H81">
        <v>8.5</v>
      </c>
      <c r="I81">
        <v>20.5</v>
      </c>
      <c r="J81">
        <f t="shared" si="6"/>
        <v>594.70000000000005</v>
      </c>
      <c r="K81">
        <f t="shared" si="7"/>
        <v>594.70000000000005</v>
      </c>
      <c r="M81">
        <v>0</v>
      </c>
      <c r="N81">
        <v>2.8</v>
      </c>
      <c r="O81">
        <f t="shared" si="13"/>
        <v>-2.8</v>
      </c>
      <c r="Q81">
        <v>45</v>
      </c>
      <c r="R81">
        <f t="shared" si="9"/>
        <v>0.79827586206896561</v>
      </c>
      <c r="S81">
        <f t="shared" si="10"/>
        <v>2.2351724137931037</v>
      </c>
      <c r="T81">
        <f t="shared" si="11"/>
        <v>-2.2351724137931037</v>
      </c>
      <c r="U81">
        <f t="shared" si="8"/>
        <v>105.50982758620691</v>
      </c>
      <c r="W81">
        <v>1167.0999999999999</v>
      </c>
      <c r="X81">
        <f t="shared" si="12"/>
        <v>35476.300000000003</v>
      </c>
      <c r="Y81">
        <v>10.324585398082093</v>
      </c>
    </row>
    <row r="82" spans="1:25" x14ac:dyDescent="0.25">
      <c r="A82">
        <v>7560</v>
      </c>
      <c r="B82">
        <v>24490</v>
      </c>
      <c r="C82" s="1">
        <v>43027</v>
      </c>
      <c r="F82" s="48"/>
      <c r="G82">
        <v>15.6</v>
      </c>
      <c r="H82">
        <v>10</v>
      </c>
      <c r="I82">
        <v>22.2</v>
      </c>
      <c r="J82">
        <f t="shared" si="6"/>
        <v>610.30000000000007</v>
      </c>
      <c r="K82">
        <f t="shared" si="7"/>
        <v>610.30000000000007</v>
      </c>
      <c r="M82">
        <v>1.3</v>
      </c>
      <c r="N82">
        <v>2.7</v>
      </c>
      <c r="O82">
        <f t="shared" si="13"/>
        <v>-1.4000000000000001</v>
      </c>
      <c r="Q82">
        <v>46</v>
      </c>
      <c r="R82">
        <f t="shared" si="9"/>
        <v>0.80948275862068964</v>
      </c>
      <c r="S82">
        <f t="shared" si="10"/>
        <v>2.1856034482758622</v>
      </c>
      <c r="T82">
        <f t="shared" si="11"/>
        <v>-0.88560344827586213</v>
      </c>
      <c r="U82">
        <f t="shared" si="8"/>
        <v>104.62422413793105</v>
      </c>
      <c r="W82">
        <v>921.6</v>
      </c>
      <c r="X82">
        <f t="shared" si="12"/>
        <v>36397.9</v>
      </c>
      <c r="Y82">
        <v>10.266152351859244</v>
      </c>
    </row>
    <row r="83" spans="1:25" x14ac:dyDescent="0.25">
      <c r="A83">
        <v>7560</v>
      </c>
      <c r="B83">
        <v>24490</v>
      </c>
      <c r="C83" s="1">
        <v>43028</v>
      </c>
      <c r="F83" s="48"/>
      <c r="G83">
        <v>12.3</v>
      </c>
      <c r="H83">
        <v>9.6</v>
      </c>
      <c r="I83">
        <v>15.3</v>
      </c>
      <c r="J83">
        <f t="shared" si="6"/>
        <v>622.6</v>
      </c>
      <c r="K83">
        <f t="shared" si="7"/>
        <v>622.6</v>
      </c>
      <c r="M83">
        <v>0.2</v>
      </c>
      <c r="N83">
        <v>1.6</v>
      </c>
      <c r="O83">
        <f t="shared" si="13"/>
        <v>-1.4000000000000001</v>
      </c>
      <c r="Q83">
        <v>47</v>
      </c>
      <c r="R83">
        <f t="shared" si="9"/>
        <v>0.82068965517241377</v>
      </c>
      <c r="S83">
        <f t="shared" si="10"/>
        <v>1.3131034482758621</v>
      </c>
      <c r="T83">
        <f t="shared" si="11"/>
        <v>-1.1131034482758622</v>
      </c>
      <c r="U83">
        <f t="shared" si="8"/>
        <v>103.51112068965519</v>
      </c>
      <c r="W83">
        <v>446.3</v>
      </c>
      <c r="X83">
        <f t="shared" si="12"/>
        <v>36844.200000000004</v>
      </c>
      <c r="Y83">
        <v>10.208011152418953</v>
      </c>
    </row>
    <row r="84" spans="1:25" x14ac:dyDescent="0.25">
      <c r="A84">
        <v>7560</v>
      </c>
      <c r="B84">
        <v>24490</v>
      </c>
      <c r="C84" s="1">
        <v>43029</v>
      </c>
      <c r="F84" s="48"/>
      <c r="G84">
        <v>12.3</v>
      </c>
      <c r="H84">
        <v>9.6</v>
      </c>
      <c r="I84">
        <v>14.9</v>
      </c>
      <c r="J84">
        <f t="shared" si="6"/>
        <v>634.9</v>
      </c>
      <c r="K84">
        <f t="shared" si="7"/>
        <v>634.9</v>
      </c>
      <c r="M84">
        <v>1.5</v>
      </c>
      <c r="N84">
        <v>1.2</v>
      </c>
      <c r="O84">
        <f t="shared" si="13"/>
        <v>0.30000000000000004</v>
      </c>
      <c r="Q84">
        <v>48</v>
      </c>
      <c r="R84">
        <f t="shared" si="9"/>
        <v>0.8318965517241379</v>
      </c>
      <c r="S84">
        <f t="shared" si="10"/>
        <v>0.99827586206896546</v>
      </c>
      <c r="T84">
        <f t="shared" si="11"/>
        <v>0.50172413793103454</v>
      </c>
      <c r="U84">
        <f t="shared" si="8"/>
        <v>104.01284482758622</v>
      </c>
      <c r="W84">
        <v>590.20000000000005</v>
      </c>
      <c r="X84">
        <f t="shared" si="12"/>
        <v>37434.400000000001</v>
      </c>
      <c r="Y84">
        <v>10.150176311490288</v>
      </c>
    </row>
    <row r="85" spans="1:25" x14ac:dyDescent="0.25">
      <c r="A85">
        <v>7560</v>
      </c>
      <c r="B85">
        <v>24490</v>
      </c>
      <c r="C85" s="1">
        <v>43030</v>
      </c>
      <c r="F85" s="48"/>
      <c r="G85">
        <v>9.5</v>
      </c>
      <c r="H85">
        <v>8.5</v>
      </c>
      <c r="I85">
        <v>11.7</v>
      </c>
      <c r="J85">
        <f t="shared" si="6"/>
        <v>644.4</v>
      </c>
      <c r="K85">
        <f t="shared" si="7"/>
        <v>644.4</v>
      </c>
      <c r="M85">
        <v>3.6</v>
      </c>
      <c r="N85">
        <v>1.3</v>
      </c>
      <c r="O85">
        <f t="shared" si="13"/>
        <v>2.2999999999999998</v>
      </c>
      <c r="Q85">
        <v>49</v>
      </c>
      <c r="R85">
        <f t="shared" si="9"/>
        <v>0.84310344827586203</v>
      </c>
      <c r="S85">
        <f t="shared" si="10"/>
        <v>1.0960344827586206</v>
      </c>
      <c r="T85">
        <f t="shared" si="11"/>
        <v>2.5039655172413795</v>
      </c>
      <c r="U85">
        <f t="shared" si="8"/>
        <v>106.5168103448276</v>
      </c>
      <c r="W85">
        <v>334.5</v>
      </c>
      <c r="X85">
        <f t="shared" si="12"/>
        <v>37768.9</v>
      </c>
      <c r="Y85">
        <v>10.092662754216079</v>
      </c>
    </row>
    <row r="86" spans="1:25" x14ac:dyDescent="0.25">
      <c r="A86">
        <v>7560</v>
      </c>
      <c r="B86">
        <v>24490</v>
      </c>
      <c r="C86" s="1">
        <v>43031</v>
      </c>
      <c r="F86" s="48"/>
      <c r="G86">
        <v>10.7</v>
      </c>
      <c r="H86">
        <v>8.6999999999999993</v>
      </c>
      <c r="I86">
        <v>12.4</v>
      </c>
      <c r="J86">
        <f t="shared" si="6"/>
        <v>655.1</v>
      </c>
      <c r="K86">
        <f t="shared" si="7"/>
        <v>655.1</v>
      </c>
      <c r="M86">
        <v>0.9</v>
      </c>
      <c r="N86">
        <v>0.5</v>
      </c>
      <c r="O86">
        <f t="shared" si="13"/>
        <v>0.4</v>
      </c>
      <c r="Q86">
        <v>50</v>
      </c>
      <c r="R86">
        <f t="shared" si="9"/>
        <v>0.85431034482758617</v>
      </c>
      <c r="S86">
        <f t="shared" si="10"/>
        <v>0.42715517241379308</v>
      </c>
      <c r="T86">
        <f t="shared" si="11"/>
        <v>0.47284482758620694</v>
      </c>
      <c r="U86">
        <f t="shared" si="8"/>
        <v>106.9896551724138</v>
      </c>
      <c r="W86">
        <v>374.4</v>
      </c>
      <c r="X86">
        <f t="shared" si="12"/>
        <v>38143.300000000003</v>
      </c>
      <c r="Y86">
        <v>10.035485827334913</v>
      </c>
    </row>
    <row r="87" spans="1:25" x14ac:dyDescent="0.25">
      <c r="A87">
        <v>7560</v>
      </c>
      <c r="B87">
        <v>24490</v>
      </c>
      <c r="C87" s="1">
        <v>43032</v>
      </c>
      <c r="F87" s="48"/>
      <c r="G87">
        <v>13.9</v>
      </c>
      <c r="H87">
        <v>11.8</v>
      </c>
      <c r="I87">
        <v>15.2</v>
      </c>
      <c r="J87">
        <f t="shared" si="6"/>
        <v>669</v>
      </c>
      <c r="K87">
        <f t="shared" si="7"/>
        <v>669</v>
      </c>
      <c r="M87">
        <v>1.5</v>
      </c>
      <c r="N87">
        <v>0.2</v>
      </c>
      <c r="O87">
        <f t="shared" si="13"/>
        <v>1.3</v>
      </c>
      <c r="Q87">
        <v>51</v>
      </c>
      <c r="R87">
        <f t="shared" si="9"/>
        <v>0.86551724137931041</v>
      </c>
      <c r="S87">
        <f t="shared" si="10"/>
        <v>0.1731034482758621</v>
      </c>
      <c r="T87">
        <f t="shared" si="11"/>
        <v>1.326896551724138</v>
      </c>
      <c r="U87">
        <f t="shared" si="8"/>
        <v>108.31655172413794</v>
      </c>
      <c r="W87">
        <v>112.9</v>
      </c>
      <c r="X87">
        <f t="shared" si="12"/>
        <v>38256.200000000004</v>
      </c>
      <c r="Y87">
        <v>9.978661306549947</v>
      </c>
    </row>
    <row r="88" spans="1:25" x14ac:dyDescent="0.25">
      <c r="A88">
        <v>7560</v>
      </c>
      <c r="B88">
        <v>24490</v>
      </c>
      <c r="C88" s="1">
        <v>43033</v>
      </c>
      <c r="F88" s="48"/>
      <c r="G88">
        <v>12.9</v>
      </c>
      <c r="H88">
        <v>12.3</v>
      </c>
      <c r="I88">
        <v>14.4</v>
      </c>
      <c r="J88">
        <f t="shared" si="6"/>
        <v>681.9</v>
      </c>
      <c r="K88">
        <f t="shared" si="7"/>
        <v>681.9</v>
      </c>
      <c r="M88">
        <v>0.4</v>
      </c>
      <c r="N88">
        <v>0.6</v>
      </c>
      <c r="O88">
        <f t="shared" si="13"/>
        <v>-0.19999999999999996</v>
      </c>
      <c r="Q88">
        <v>52</v>
      </c>
      <c r="R88">
        <f t="shared" si="9"/>
        <v>0.87672413793103443</v>
      </c>
      <c r="S88">
        <f t="shared" si="10"/>
        <v>0.52603448275862064</v>
      </c>
      <c r="T88">
        <f t="shared" si="11"/>
        <v>-0.12603448275862061</v>
      </c>
      <c r="U88">
        <f t="shared" si="8"/>
        <v>108.19051724137931</v>
      </c>
      <c r="W88">
        <v>270.60000000000002</v>
      </c>
      <c r="X88">
        <f t="shared" si="12"/>
        <v>38526.800000000003</v>
      </c>
      <c r="Y88">
        <v>9.9222054030222964</v>
      </c>
    </row>
    <row r="89" spans="1:25" x14ac:dyDescent="0.25">
      <c r="A89">
        <v>7560</v>
      </c>
      <c r="B89">
        <v>24490</v>
      </c>
      <c r="C89" s="1">
        <v>43034</v>
      </c>
      <c r="F89" s="48"/>
      <c r="G89">
        <v>11.8</v>
      </c>
      <c r="H89">
        <v>9.6999999999999993</v>
      </c>
      <c r="I89">
        <v>13</v>
      </c>
      <c r="J89">
        <f t="shared" si="6"/>
        <v>693.69999999999993</v>
      </c>
      <c r="K89">
        <f t="shared" si="7"/>
        <v>693.69999999999993</v>
      </c>
      <c r="M89">
        <v>1.1000000000000001</v>
      </c>
      <c r="N89">
        <v>0.6</v>
      </c>
      <c r="O89">
        <f t="shared" si="13"/>
        <v>0.50000000000000011</v>
      </c>
      <c r="Q89">
        <v>53</v>
      </c>
      <c r="R89">
        <f t="shared" si="9"/>
        <v>0.88793103448275856</v>
      </c>
      <c r="S89">
        <f t="shared" si="10"/>
        <v>0.53275862068965507</v>
      </c>
      <c r="T89">
        <f t="shared" si="11"/>
        <v>0.56724137931034502</v>
      </c>
      <c r="U89">
        <f t="shared" si="8"/>
        <v>108.75775862068966</v>
      </c>
      <c r="W89">
        <v>269.7</v>
      </c>
      <c r="X89">
        <f t="shared" si="12"/>
        <v>38796.5</v>
      </c>
      <c r="Y89">
        <v>9.8661347689241214</v>
      </c>
    </row>
    <row r="90" spans="1:25" x14ac:dyDescent="0.25">
      <c r="A90">
        <v>7560</v>
      </c>
      <c r="B90">
        <v>24490</v>
      </c>
      <c r="C90" s="1">
        <v>43035</v>
      </c>
      <c r="F90" s="48"/>
      <c r="G90">
        <v>11</v>
      </c>
      <c r="H90">
        <v>8.8000000000000007</v>
      </c>
      <c r="I90">
        <v>14.4</v>
      </c>
      <c r="J90">
        <f t="shared" si="6"/>
        <v>704.69999999999993</v>
      </c>
      <c r="K90">
        <f t="shared" si="7"/>
        <v>704.69999999999993</v>
      </c>
      <c r="M90">
        <v>0.6</v>
      </c>
      <c r="N90">
        <v>1.3</v>
      </c>
      <c r="O90">
        <f t="shared" si="13"/>
        <v>-0.70000000000000007</v>
      </c>
      <c r="Q90">
        <v>54</v>
      </c>
      <c r="R90">
        <f t="shared" si="9"/>
        <v>0.89913793103448281</v>
      </c>
      <c r="S90">
        <f t="shared" si="10"/>
        <v>1.1688793103448276</v>
      </c>
      <c r="T90">
        <f t="shared" si="11"/>
        <v>-0.56887931034482764</v>
      </c>
      <c r="U90">
        <f t="shared" si="8"/>
        <v>108.18887931034483</v>
      </c>
      <c r="W90">
        <v>588.4</v>
      </c>
      <c r="X90">
        <f t="shared" si="12"/>
        <v>39384.9</v>
      </c>
      <c r="Y90">
        <v>9.810466501983953</v>
      </c>
    </row>
    <row r="91" spans="1:25" x14ac:dyDescent="0.25">
      <c r="A91">
        <v>7560</v>
      </c>
      <c r="B91">
        <v>24490</v>
      </c>
      <c r="C91" s="1">
        <v>43036</v>
      </c>
      <c r="F91" s="48"/>
      <c r="G91">
        <v>8</v>
      </c>
      <c r="H91">
        <v>4.3</v>
      </c>
      <c r="I91">
        <v>11.5</v>
      </c>
      <c r="J91">
        <f t="shared" si="6"/>
        <v>712.69999999999993</v>
      </c>
      <c r="K91">
        <f t="shared" si="7"/>
        <v>712.69999999999993</v>
      </c>
      <c r="M91">
        <v>0.5</v>
      </c>
      <c r="N91">
        <v>0.7</v>
      </c>
      <c r="O91">
        <f t="shared" si="13"/>
        <v>-0.19999999999999996</v>
      </c>
      <c r="Q91">
        <v>55</v>
      </c>
      <c r="R91">
        <f t="shared" si="9"/>
        <v>0.91034482758620683</v>
      </c>
      <c r="S91">
        <f t="shared" si="10"/>
        <v>0.63724137931034475</v>
      </c>
      <c r="T91">
        <f t="shared" si="11"/>
        <v>-0.13724137931034475</v>
      </c>
      <c r="U91">
        <f t="shared" si="8"/>
        <v>108.05163793103449</v>
      </c>
      <c r="W91">
        <v>359.2</v>
      </c>
      <c r="X91">
        <f t="shared" si="12"/>
        <v>39744.1</v>
      </c>
      <c r="Y91">
        <v>9.7552181489542829</v>
      </c>
    </row>
    <row r="92" spans="1:25" x14ac:dyDescent="0.25">
      <c r="A92">
        <v>7560</v>
      </c>
      <c r="B92">
        <v>24490</v>
      </c>
      <c r="C92" s="1">
        <v>43037</v>
      </c>
      <c r="F92" s="48"/>
      <c r="G92">
        <v>9.3000000000000007</v>
      </c>
      <c r="H92">
        <v>8</v>
      </c>
      <c r="I92">
        <v>11.4</v>
      </c>
      <c r="J92">
        <f t="shared" si="6"/>
        <v>721.99999999999989</v>
      </c>
      <c r="K92">
        <f t="shared" si="7"/>
        <v>721.99999999999989</v>
      </c>
      <c r="M92">
        <v>1.9</v>
      </c>
      <c r="N92">
        <v>0.5</v>
      </c>
      <c r="O92">
        <f t="shared" si="13"/>
        <v>1.4</v>
      </c>
      <c r="Q92">
        <v>56</v>
      </c>
      <c r="R92">
        <f t="shared" si="9"/>
        <v>0.92155172413793107</v>
      </c>
      <c r="S92">
        <f t="shared" si="10"/>
        <v>0.46077586206896554</v>
      </c>
      <c r="T92">
        <f t="shared" si="11"/>
        <v>1.4392241379310344</v>
      </c>
      <c r="U92">
        <f t="shared" si="8"/>
        <v>109.49086206896553</v>
      </c>
      <c r="W92">
        <v>183.4</v>
      </c>
      <c r="X92">
        <f t="shared" si="12"/>
        <v>39927.5</v>
      </c>
      <c r="Y92">
        <v>9.7004077079292337</v>
      </c>
    </row>
    <row r="93" spans="1:25" x14ac:dyDescent="0.25">
      <c r="A93">
        <v>7560</v>
      </c>
      <c r="B93">
        <v>24490</v>
      </c>
      <c r="C93" s="1">
        <v>43038</v>
      </c>
      <c r="F93" s="48"/>
      <c r="G93">
        <v>5.5</v>
      </c>
      <c r="H93">
        <v>2.5</v>
      </c>
      <c r="I93">
        <v>10.5</v>
      </c>
      <c r="J93">
        <f t="shared" si="6"/>
        <v>727.49999999999989</v>
      </c>
      <c r="K93">
        <f t="shared" si="7"/>
        <v>727.49999999999989</v>
      </c>
      <c r="M93">
        <v>0.1</v>
      </c>
      <c r="N93">
        <v>1</v>
      </c>
      <c r="O93">
        <f t="shared" si="13"/>
        <v>-0.9</v>
      </c>
      <c r="Q93">
        <v>57</v>
      </c>
      <c r="R93">
        <f t="shared" si="9"/>
        <v>0.9327586206896552</v>
      </c>
      <c r="S93">
        <f t="shared" si="10"/>
        <v>0.9327586206896552</v>
      </c>
      <c r="T93">
        <f t="shared" si="11"/>
        <v>-0.83275862068965523</v>
      </c>
      <c r="U93">
        <f t="shared" si="8"/>
        <v>108.65810344827587</v>
      </c>
      <c r="W93">
        <v>528.20000000000005</v>
      </c>
      <c r="X93">
        <f t="shared" si="12"/>
        <v>40455.699999999997</v>
      </c>
      <c r="Y93">
        <v>9.6460536294380432</v>
      </c>
    </row>
    <row r="94" spans="1:25" x14ac:dyDescent="0.25">
      <c r="A94">
        <v>7560</v>
      </c>
      <c r="B94">
        <v>24490</v>
      </c>
      <c r="C94" s="1">
        <v>43039</v>
      </c>
      <c r="F94" s="48"/>
      <c r="G94">
        <v>5</v>
      </c>
      <c r="H94">
        <v>0.4</v>
      </c>
      <c r="I94">
        <v>10.3</v>
      </c>
      <c r="J94">
        <f t="shared" si="6"/>
        <v>732.49999999999989</v>
      </c>
      <c r="K94">
        <f t="shared" si="7"/>
        <v>732.49999999999989</v>
      </c>
      <c r="M94">
        <v>0.1</v>
      </c>
      <c r="N94">
        <v>1</v>
      </c>
      <c r="O94">
        <f t="shared" si="13"/>
        <v>-0.9</v>
      </c>
      <c r="Q94">
        <v>58</v>
      </c>
      <c r="R94">
        <f t="shared" si="9"/>
        <v>0.94396551724137934</v>
      </c>
      <c r="S94">
        <f t="shared" si="10"/>
        <v>0.94396551724137934</v>
      </c>
      <c r="T94">
        <f t="shared" si="11"/>
        <v>-0.84396551724137936</v>
      </c>
      <c r="U94">
        <f t="shared" si="8"/>
        <v>107.81413793103448</v>
      </c>
      <c r="W94">
        <v>698.5</v>
      </c>
      <c r="X94">
        <f t="shared" si="12"/>
        <v>41154.199999999997</v>
      </c>
      <c r="Y94">
        <v>9.5921748162382361</v>
      </c>
    </row>
    <row r="95" spans="1:25" x14ac:dyDescent="0.25">
      <c r="A95">
        <v>7560</v>
      </c>
      <c r="B95">
        <v>24490</v>
      </c>
      <c r="C95" s="1">
        <v>43040</v>
      </c>
      <c r="F95" s="48"/>
      <c r="G95">
        <v>7.3</v>
      </c>
      <c r="H95">
        <v>2.2999999999999998</v>
      </c>
      <c r="I95">
        <v>13.3</v>
      </c>
      <c r="J95">
        <f t="shared" si="6"/>
        <v>739.79999999999984</v>
      </c>
      <c r="K95">
        <f t="shared" si="7"/>
        <v>739.79999999999984</v>
      </c>
      <c r="M95">
        <v>0</v>
      </c>
      <c r="N95">
        <v>1.6</v>
      </c>
      <c r="O95">
        <f t="shared" si="13"/>
        <v>-1.6</v>
      </c>
      <c r="Q95">
        <v>59</v>
      </c>
      <c r="R95">
        <f t="shared" si="9"/>
        <v>0.95517241379310347</v>
      </c>
      <c r="S95">
        <f t="shared" si="10"/>
        <v>1.5282758620689656</v>
      </c>
      <c r="T95">
        <f t="shared" si="11"/>
        <v>-1.5282758620689656</v>
      </c>
      <c r="U95">
        <f t="shared" si="8"/>
        <v>106.28586206896551</v>
      </c>
      <c r="W95">
        <v>850.8</v>
      </c>
      <c r="X95">
        <f t="shared" si="12"/>
        <v>42005</v>
      </c>
      <c r="Y95">
        <v>9.5387906217309819</v>
      </c>
    </row>
    <row r="96" spans="1:25" x14ac:dyDescent="0.25">
      <c r="A96">
        <v>7560</v>
      </c>
      <c r="B96">
        <v>24490</v>
      </c>
      <c r="C96" s="1">
        <v>43041</v>
      </c>
      <c r="F96" s="48"/>
      <c r="G96">
        <v>8.8000000000000007</v>
      </c>
      <c r="H96">
        <v>5.0999999999999996</v>
      </c>
      <c r="I96">
        <v>11.8</v>
      </c>
      <c r="J96">
        <f t="shared" si="6"/>
        <v>748.5999999999998</v>
      </c>
      <c r="K96">
        <f t="shared" si="7"/>
        <v>748.5999999999998</v>
      </c>
      <c r="M96">
        <v>0</v>
      </c>
      <c r="N96">
        <v>0.5</v>
      </c>
      <c r="O96">
        <f t="shared" si="13"/>
        <v>-0.5</v>
      </c>
      <c r="Q96">
        <v>60</v>
      </c>
      <c r="R96">
        <f t="shared" si="9"/>
        <v>0.9663793103448276</v>
      </c>
      <c r="S96">
        <f t="shared" si="10"/>
        <v>0.4831896551724138</v>
      </c>
      <c r="T96">
        <f t="shared" si="11"/>
        <v>-0.4831896551724138</v>
      </c>
      <c r="U96">
        <f t="shared" si="8"/>
        <v>105.8026724137931</v>
      </c>
      <c r="W96">
        <v>319.3</v>
      </c>
      <c r="X96">
        <f t="shared" si="12"/>
        <v>42324.3</v>
      </c>
      <c r="Y96">
        <v>9.4859208469199015</v>
      </c>
    </row>
    <row r="97" spans="1:26" x14ac:dyDescent="0.25">
      <c r="A97">
        <v>7560</v>
      </c>
      <c r="B97">
        <v>24490</v>
      </c>
      <c r="C97" s="1">
        <v>43042</v>
      </c>
      <c r="F97" s="48"/>
      <c r="G97">
        <v>9.8000000000000007</v>
      </c>
      <c r="H97">
        <v>7.8</v>
      </c>
      <c r="I97">
        <v>14.2</v>
      </c>
      <c r="J97">
        <f t="shared" si="6"/>
        <v>758.39999999999975</v>
      </c>
      <c r="K97">
        <f t="shared" si="7"/>
        <v>758.39999999999975</v>
      </c>
      <c r="M97">
        <v>0</v>
      </c>
      <c r="N97">
        <v>1.2</v>
      </c>
      <c r="O97">
        <f t="shared" si="13"/>
        <v>-1.2</v>
      </c>
      <c r="Q97">
        <v>61</v>
      </c>
      <c r="R97">
        <f t="shared" si="9"/>
        <v>0.97758620689655173</v>
      </c>
      <c r="S97">
        <f t="shared" si="10"/>
        <v>1.173103448275862</v>
      </c>
      <c r="T97">
        <f t="shared" si="11"/>
        <v>-1.173103448275862</v>
      </c>
      <c r="U97">
        <f t="shared" si="8"/>
        <v>104.62956896551724</v>
      </c>
      <c r="W97">
        <v>454.9</v>
      </c>
      <c r="X97">
        <f t="shared" si="12"/>
        <v>42779.200000000004</v>
      </c>
      <c r="Y97">
        <v>9.4335857358339048</v>
      </c>
    </row>
    <row r="98" spans="1:26" x14ac:dyDescent="0.25">
      <c r="A98">
        <v>7560</v>
      </c>
      <c r="B98">
        <v>24490</v>
      </c>
      <c r="C98" s="1">
        <v>43043</v>
      </c>
      <c r="F98" s="48"/>
      <c r="G98">
        <v>11.8</v>
      </c>
      <c r="H98">
        <v>6.5</v>
      </c>
      <c r="I98">
        <v>16.899999999999999</v>
      </c>
      <c r="J98">
        <f t="shared" si="6"/>
        <v>770.1999999999997</v>
      </c>
      <c r="K98">
        <f t="shared" si="7"/>
        <v>770.1999999999997</v>
      </c>
      <c r="M98">
        <v>4.8</v>
      </c>
      <c r="N98">
        <v>1</v>
      </c>
      <c r="O98">
        <f t="shared" si="13"/>
        <v>3.8</v>
      </c>
      <c r="Q98">
        <v>62</v>
      </c>
      <c r="R98">
        <f t="shared" si="9"/>
        <v>0.98879310344827587</v>
      </c>
      <c r="S98">
        <f t="shared" si="10"/>
        <v>0.98879310344827587</v>
      </c>
      <c r="T98">
        <f t="shared" si="11"/>
        <v>3.8112068965517238</v>
      </c>
      <c r="U98">
        <f t="shared" si="8"/>
        <v>108.44077586206896</v>
      </c>
      <c r="W98">
        <v>483.8</v>
      </c>
      <c r="X98">
        <f t="shared" si="12"/>
        <v>43263.000000000007</v>
      </c>
      <c r="Y98">
        <v>9.3818059693344011</v>
      </c>
    </row>
    <row r="99" spans="1:26" s="6" customFormat="1" ht="15.75" thickBot="1" x14ac:dyDescent="0.3">
      <c r="A99" s="6">
        <v>7560</v>
      </c>
      <c r="B99" s="6">
        <v>24490</v>
      </c>
      <c r="C99" s="7">
        <v>43044</v>
      </c>
      <c r="F99" s="49"/>
      <c r="G99" s="6">
        <v>6.3</v>
      </c>
      <c r="H99" s="6">
        <v>4.5999999999999996</v>
      </c>
      <c r="I99" s="6">
        <v>8.1</v>
      </c>
      <c r="J99" s="6">
        <f t="shared" si="6"/>
        <v>776.49999999999966</v>
      </c>
      <c r="K99" s="6">
        <f t="shared" si="7"/>
        <v>776.49999999999966</v>
      </c>
      <c r="M99" s="6">
        <v>0.7</v>
      </c>
      <c r="N99" s="6">
        <v>0.3</v>
      </c>
      <c r="O99" s="6">
        <f t="shared" si="13"/>
        <v>0.39999999999999997</v>
      </c>
      <c r="Q99" s="6">
        <v>63</v>
      </c>
      <c r="R99" s="6">
        <f t="shared" si="9"/>
        <v>1</v>
      </c>
      <c r="S99" s="6">
        <f t="shared" si="10"/>
        <v>0.3</v>
      </c>
      <c r="T99" s="6">
        <f t="shared" si="11"/>
        <v>0.39999999999999997</v>
      </c>
      <c r="U99" s="8">
        <f t="shared" si="8"/>
        <v>108.84077586206897</v>
      </c>
      <c r="W99" s="6">
        <v>153.30000000000001</v>
      </c>
      <c r="X99" s="6">
        <f t="shared" si="12"/>
        <v>43416.30000000001</v>
      </c>
      <c r="Y99" s="6">
        <v>9.3306026572275034</v>
      </c>
    </row>
    <row r="100" spans="1:26" x14ac:dyDescent="0.25">
      <c r="A100">
        <v>7560</v>
      </c>
      <c r="B100">
        <v>24490</v>
      </c>
      <c r="C100" s="1">
        <v>43045</v>
      </c>
      <c r="D100" t="s">
        <v>31</v>
      </c>
      <c r="F100" s="44" t="s">
        <v>58</v>
      </c>
      <c r="G100">
        <v>4.5</v>
      </c>
      <c r="H100">
        <v>1.3</v>
      </c>
      <c r="I100">
        <v>8.8000000000000007</v>
      </c>
      <c r="J100">
        <f t="shared" si="6"/>
        <v>780.99999999999966</v>
      </c>
      <c r="K100">
        <f>G100</f>
        <v>4.5</v>
      </c>
      <c r="L100" s="16" t="s">
        <v>37</v>
      </c>
      <c r="M100">
        <v>0</v>
      </c>
      <c r="N100">
        <v>0.8</v>
      </c>
      <c r="O100">
        <f t="shared" si="13"/>
        <v>-0.8</v>
      </c>
      <c r="Q100">
        <v>64</v>
      </c>
      <c r="R100">
        <v>1</v>
      </c>
      <c r="S100">
        <f t="shared" si="10"/>
        <v>0.8</v>
      </c>
      <c r="T100">
        <f t="shared" si="11"/>
        <v>-0.8</v>
      </c>
      <c r="U100">
        <f t="shared" si="8"/>
        <v>108.04077586206897</v>
      </c>
      <c r="V100" s="17" t="s">
        <v>44</v>
      </c>
      <c r="W100">
        <v>418.9</v>
      </c>
      <c r="X100">
        <f>W100</f>
        <v>418.9</v>
      </c>
      <c r="Y100">
        <v>9.2799973286026791</v>
      </c>
      <c r="Z100" s="17" t="s">
        <v>49</v>
      </c>
    </row>
    <row r="101" spans="1:26" x14ac:dyDescent="0.25">
      <c r="A101">
        <v>7560</v>
      </c>
      <c r="B101">
        <v>24490</v>
      </c>
      <c r="C101" s="1">
        <v>43046</v>
      </c>
      <c r="F101" s="45"/>
      <c r="G101">
        <v>4</v>
      </c>
      <c r="H101">
        <v>-0.7</v>
      </c>
      <c r="I101">
        <v>7.8</v>
      </c>
      <c r="J101">
        <f t="shared" si="6"/>
        <v>784.99999999999966</v>
      </c>
      <c r="K101">
        <f t="shared" si="7"/>
        <v>8.5</v>
      </c>
      <c r="L101" s="10">
        <v>515</v>
      </c>
      <c r="M101">
        <v>0.7</v>
      </c>
      <c r="N101">
        <v>0.8</v>
      </c>
      <c r="O101">
        <f t="shared" si="13"/>
        <v>-0.10000000000000009</v>
      </c>
      <c r="Q101">
        <v>65</v>
      </c>
      <c r="R101">
        <v>1</v>
      </c>
      <c r="S101">
        <f t="shared" si="10"/>
        <v>0.8</v>
      </c>
      <c r="T101">
        <f t="shared" si="11"/>
        <v>-0.10000000000000009</v>
      </c>
      <c r="U101">
        <f t="shared" si="8"/>
        <v>107.94077586206897</v>
      </c>
      <c r="V101">
        <v>0</v>
      </c>
      <c r="W101">
        <v>705.1</v>
      </c>
      <c r="X101">
        <f t="shared" si="12"/>
        <v>1124</v>
      </c>
      <c r="Y101">
        <v>9.2300119203209015</v>
      </c>
      <c r="Z101">
        <v>38459.199999999997</v>
      </c>
    </row>
    <row r="102" spans="1:26" x14ac:dyDescent="0.25">
      <c r="A102">
        <v>7560</v>
      </c>
      <c r="B102">
        <v>24490</v>
      </c>
      <c r="C102" s="1">
        <v>43047</v>
      </c>
      <c r="F102" s="45"/>
      <c r="G102">
        <v>5</v>
      </c>
      <c r="H102">
        <v>3.9</v>
      </c>
      <c r="I102">
        <v>6.6</v>
      </c>
      <c r="J102">
        <f t="shared" si="6"/>
        <v>789.99999999999966</v>
      </c>
      <c r="K102">
        <f t="shared" si="7"/>
        <v>13.5</v>
      </c>
      <c r="L102" s="16" t="s">
        <v>38</v>
      </c>
      <c r="M102">
        <v>1.1000000000000001</v>
      </c>
      <c r="N102">
        <v>0.5</v>
      </c>
      <c r="O102">
        <f t="shared" si="13"/>
        <v>0.60000000000000009</v>
      </c>
      <c r="Q102">
        <v>66</v>
      </c>
      <c r="R102">
        <v>1</v>
      </c>
      <c r="S102">
        <f t="shared" si="10"/>
        <v>0.5</v>
      </c>
      <c r="T102">
        <f t="shared" si="11"/>
        <v>0.60000000000000009</v>
      </c>
      <c r="U102">
        <f t="shared" si="8"/>
        <v>108.54077586206897</v>
      </c>
      <c r="V102" s="17" t="s">
        <v>45</v>
      </c>
      <c r="W102">
        <v>203.5</v>
      </c>
      <c r="X102">
        <f t="shared" si="12"/>
        <v>1327.5</v>
      </c>
      <c r="Y102">
        <v>9.1806687635775379</v>
      </c>
      <c r="Z102" s="17" t="s">
        <v>50</v>
      </c>
    </row>
    <row r="103" spans="1:26" x14ac:dyDescent="0.25">
      <c r="A103">
        <v>7560</v>
      </c>
      <c r="B103">
        <v>24490</v>
      </c>
      <c r="C103" s="1">
        <v>43048</v>
      </c>
      <c r="F103" s="45"/>
      <c r="G103">
        <v>5.4</v>
      </c>
      <c r="H103">
        <v>4.5999999999999996</v>
      </c>
      <c r="I103">
        <v>7</v>
      </c>
      <c r="J103">
        <f t="shared" ref="J103:J166" si="14">J102+G103</f>
        <v>795.39999999999964</v>
      </c>
      <c r="K103">
        <f t="shared" ref="K103:K166" si="15">K102+G103</f>
        <v>18.899999999999999</v>
      </c>
      <c r="L103" s="11">
        <f>AVERAGE(G100:G218)</f>
        <v>4.0697478991596636</v>
      </c>
      <c r="M103">
        <v>0</v>
      </c>
      <c r="N103">
        <v>0.6</v>
      </c>
      <c r="O103">
        <f t="shared" si="13"/>
        <v>-0.6</v>
      </c>
      <c r="Q103">
        <v>67</v>
      </c>
      <c r="R103">
        <v>1</v>
      </c>
      <c r="S103">
        <f t="shared" si="10"/>
        <v>0.6</v>
      </c>
      <c r="T103">
        <f t="shared" si="11"/>
        <v>-0.6</v>
      </c>
      <c r="U103">
        <f t="shared" ref="U103:U166" si="16">MIN(U102+T103,153.9)</f>
        <v>107.94077586206897</v>
      </c>
      <c r="V103">
        <v>0</v>
      </c>
      <c r="W103">
        <v>276.10000000000002</v>
      </c>
      <c r="X103">
        <f t="shared" si="12"/>
        <v>1603.6</v>
      </c>
      <c r="Y103">
        <v>9.1319905684683054</v>
      </c>
      <c r="Z103">
        <f>(Z101/100)/L101</f>
        <v>0.74678058252427182</v>
      </c>
    </row>
    <row r="104" spans="1:26" x14ac:dyDescent="0.25">
      <c r="A104">
        <v>7560</v>
      </c>
      <c r="B104">
        <v>24490</v>
      </c>
      <c r="C104" s="1">
        <v>43049</v>
      </c>
      <c r="F104" s="45"/>
      <c r="G104">
        <v>8</v>
      </c>
      <c r="H104">
        <v>4.7</v>
      </c>
      <c r="I104">
        <v>10.1</v>
      </c>
      <c r="J104">
        <f t="shared" si="14"/>
        <v>803.39999999999964</v>
      </c>
      <c r="K104">
        <f t="shared" si="15"/>
        <v>26.9</v>
      </c>
      <c r="L104" s="16" t="s">
        <v>39</v>
      </c>
      <c r="M104">
        <v>4.4000000000000004</v>
      </c>
      <c r="N104">
        <v>0.1</v>
      </c>
      <c r="O104">
        <f t="shared" si="13"/>
        <v>4.3000000000000007</v>
      </c>
      <c r="Q104">
        <v>68</v>
      </c>
      <c r="R104">
        <v>1</v>
      </c>
      <c r="S104">
        <f t="shared" si="10"/>
        <v>0.1</v>
      </c>
      <c r="T104">
        <f t="shared" si="11"/>
        <v>4.3000000000000007</v>
      </c>
      <c r="U104">
        <f t="shared" si="16"/>
        <v>112.24077586206897</v>
      </c>
      <c r="V104" s="17" t="s">
        <v>46</v>
      </c>
      <c r="W104">
        <v>91.5</v>
      </c>
      <c r="X104">
        <f t="shared" si="12"/>
        <v>1695.1</v>
      </c>
      <c r="Y104">
        <v>9.0840004064904267</v>
      </c>
      <c r="Z104" s="17" t="s">
        <v>51</v>
      </c>
    </row>
    <row r="105" spans="1:26" x14ac:dyDescent="0.25">
      <c r="A105">
        <v>7560</v>
      </c>
      <c r="B105">
        <v>24490</v>
      </c>
      <c r="C105" s="1">
        <v>43050</v>
      </c>
      <c r="F105" s="45"/>
      <c r="G105">
        <v>9.1</v>
      </c>
      <c r="H105">
        <v>6.1</v>
      </c>
      <c r="I105">
        <v>11.5</v>
      </c>
      <c r="J105">
        <f t="shared" si="14"/>
        <v>812.49999999999966</v>
      </c>
      <c r="K105">
        <f t="shared" si="15"/>
        <v>36</v>
      </c>
      <c r="L105" s="12">
        <f>MIN(H100:H218)</f>
        <v>-11.6</v>
      </c>
      <c r="M105">
        <v>17</v>
      </c>
      <c r="N105">
        <v>0.3</v>
      </c>
      <c r="O105">
        <f t="shared" si="13"/>
        <v>16.7</v>
      </c>
      <c r="Q105">
        <v>69</v>
      </c>
      <c r="R105">
        <v>1</v>
      </c>
      <c r="S105">
        <f t="shared" si="10"/>
        <v>0.3</v>
      </c>
      <c r="T105">
        <f t="shared" si="11"/>
        <v>16.7</v>
      </c>
      <c r="U105">
        <f t="shared" si="16"/>
        <v>128.94077586206896</v>
      </c>
      <c r="V105" s="14">
        <f>MIN(U100:U218)</f>
        <v>107.94077586206897</v>
      </c>
      <c r="W105">
        <v>119.6</v>
      </c>
      <c r="X105">
        <f t="shared" si="12"/>
        <v>1814.6999999999998</v>
      </c>
      <c r="Y105">
        <v>9.0367216909160639</v>
      </c>
      <c r="Z105">
        <v>107</v>
      </c>
    </row>
    <row r="106" spans="1:26" x14ac:dyDescent="0.25">
      <c r="A106">
        <v>7560</v>
      </c>
      <c r="B106">
        <v>24490</v>
      </c>
      <c r="C106" s="1">
        <v>43051</v>
      </c>
      <c r="E106" t="s">
        <v>35</v>
      </c>
      <c r="F106" s="45"/>
      <c r="G106">
        <v>7</v>
      </c>
      <c r="H106">
        <v>4.3</v>
      </c>
      <c r="I106">
        <v>9.8000000000000007</v>
      </c>
      <c r="J106">
        <f t="shared" si="14"/>
        <v>819.49999999999966</v>
      </c>
      <c r="K106">
        <f t="shared" si="15"/>
        <v>43</v>
      </c>
      <c r="L106" s="16" t="s">
        <v>40</v>
      </c>
      <c r="M106">
        <v>8.5</v>
      </c>
      <c r="N106">
        <v>0.4</v>
      </c>
      <c r="O106">
        <f t="shared" si="13"/>
        <v>8.1</v>
      </c>
      <c r="Q106">
        <v>70</v>
      </c>
      <c r="R106">
        <v>1</v>
      </c>
      <c r="S106">
        <f t="shared" si="10"/>
        <v>0.4</v>
      </c>
      <c r="T106">
        <f t="shared" si="11"/>
        <v>8.1</v>
      </c>
      <c r="U106">
        <f t="shared" si="16"/>
        <v>137.04077586206895</v>
      </c>
      <c r="V106" s="17" t="s">
        <v>47</v>
      </c>
      <c r="W106">
        <v>202.3</v>
      </c>
      <c r="X106">
        <f t="shared" si="12"/>
        <v>2016.9999999999998</v>
      </c>
      <c r="Y106">
        <v>8.9901781549807005</v>
      </c>
      <c r="Z106" t="s">
        <v>52</v>
      </c>
    </row>
    <row r="107" spans="1:26" x14ac:dyDescent="0.25">
      <c r="A107">
        <v>7560</v>
      </c>
      <c r="B107">
        <v>24490</v>
      </c>
      <c r="C107" s="1">
        <v>43052</v>
      </c>
      <c r="F107" s="45"/>
      <c r="G107">
        <v>5.2</v>
      </c>
      <c r="H107">
        <v>4.3</v>
      </c>
      <c r="I107">
        <v>8.1999999999999993</v>
      </c>
      <c r="J107">
        <f t="shared" si="14"/>
        <v>824.6999999999997</v>
      </c>
      <c r="K107">
        <f t="shared" si="15"/>
        <v>48.2</v>
      </c>
      <c r="L107" s="10">
        <f>MAX(I100:I218)</f>
        <v>14.6</v>
      </c>
      <c r="M107">
        <v>0</v>
      </c>
      <c r="N107">
        <v>1.1000000000000001</v>
      </c>
      <c r="O107">
        <f t="shared" si="13"/>
        <v>-1.1000000000000001</v>
      </c>
      <c r="Q107">
        <v>71</v>
      </c>
      <c r="R107">
        <v>1</v>
      </c>
      <c r="S107">
        <f t="shared" si="10"/>
        <v>1.1000000000000001</v>
      </c>
      <c r="T107">
        <f t="shared" si="11"/>
        <v>-1.1000000000000001</v>
      </c>
      <c r="U107">
        <f t="shared" si="16"/>
        <v>135.94077586206896</v>
      </c>
      <c r="V107" s="14">
        <f>MAX(U100:U218)</f>
        <v>153.9</v>
      </c>
      <c r="W107">
        <v>203.1</v>
      </c>
      <c r="X107">
        <f t="shared" si="12"/>
        <v>2220.1</v>
      </c>
      <c r="Y107">
        <v>8.9443938278361159</v>
      </c>
      <c r="Z107">
        <v>36</v>
      </c>
    </row>
    <row r="108" spans="1:26" x14ac:dyDescent="0.25">
      <c r="A108">
        <v>7560</v>
      </c>
      <c r="B108">
        <v>24490</v>
      </c>
      <c r="C108" s="1">
        <v>43053</v>
      </c>
      <c r="E108">
        <v>1</v>
      </c>
      <c r="F108" s="45"/>
      <c r="G108">
        <v>1.9</v>
      </c>
      <c r="H108">
        <v>-0.1</v>
      </c>
      <c r="I108">
        <v>3.2</v>
      </c>
      <c r="J108">
        <f t="shared" si="14"/>
        <v>826.59999999999968</v>
      </c>
      <c r="K108">
        <f t="shared" si="15"/>
        <v>50.1</v>
      </c>
      <c r="L108" s="16" t="s">
        <v>41</v>
      </c>
      <c r="M108">
        <v>0.1</v>
      </c>
      <c r="N108">
        <v>0.3</v>
      </c>
      <c r="O108">
        <f t="shared" si="13"/>
        <v>-0.19999999999999998</v>
      </c>
      <c r="Q108">
        <v>72</v>
      </c>
      <c r="R108">
        <v>1</v>
      </c>
      <c r="S108">
        <f t="shared" si="10"/>
        <v>0.3</v>
      </c>
      <c r="T108">
        <f t="shared" si="11"/>
        <v>-0.19999999999999998</v>
      </c>
      <c r="U108">
        <f t="shared" si="16"/>
        <v>135.74077586206897</v>
      </c>
      <c r="V108" s="17" t="s">
        <v>48</v>
      </c>
      <c r="W108">
        <v>324.2</v>
      </c>
      <c r="X108">
        <f t="shared" si="12"/>
        <v>2544.2999999999997</v>
      </c>
      <c r="Y108">
        <v>8.8993930082253723</v>
      </c>
    </row>
    <row r="109" spans="1:26" x14ac:dyDescent="0.25">
      <c r="A109">
        <v>7560</v>
      </c>
      <c r="B109">
        <v>24490</v>
      </c>
      <c r="C109" s="1">
        <v>43054</v>
      </c>
      <c r="E109">
        <v>2</v>
      </c>
      <c r="F109" s="45"/>
      <c r="G109">
        <v>4</v>
      </c>
      <c r="H109">
        <v>0.5</v>
      </c>
      <c r="I109">
        <v>7.1</v>
      </c>
      <c r="J109">
        <f t="shared" si="14"/>
        <v>830.59999999999968</v>
      </c>
      <c r="K109">
        <f t="shared" si="15"/>
        <v>54.1</v>
      </c>
      <c r="L109" s="10">
        <v>0</v>
      </c>
      <c r="M109">
        <v>0</v>
      </c>
      <c r="N109">
        <v>0.2</v>
      </c>
      <c r="O109">
        <f t="shared" si="13"/>
        <v>-0.2</v>
      </c>
      <c r="Q109">
        <v>73</v>
      </c>
      <c r="R109">
        <v>1</v>
      </c>
      <c r="S109">
        <f t="shared" si="10"/>
        <v>0.2</v>
      </c>
      <c r="T109">
        <f t="shared" si="11"/>
        <v>-0.2</v>
      </c>
      <c r="U109">
        <f t="shared" si="16"/>
        <v>135.54077586206898</v>
      </c>
      <c r="V109" s="14">
        <f>AVERAGE(U100:U218)</f>
        <v>148.73408649666749</v>
      </c>
      <c r="W109">
        <v>189.1</v>
      </c>
      <c r="X109">
        <f t="shared" si="12"/>
        <v>2733.3999999999996</v>
      </c>
      <c r="Y109">
        <v>8.8552002358462403</v>
      </c>
    </row>
    <row r="110" spans="1:26" x14ac:dyDescent="0.25">
      <c r="A110">
        <v>7560</v>
      </c>
      <c r="B110">
        <v>24490</v>
      </c>
      <c r="C110" s="1">
        <v>43055</v>
      </c>
      <c r="E110">
        <v>3</v>
      </c>
      <c r="F110" s="45"/>
      <c r="G110">
        <v>3.3</v>
      </c>
      <c r="H110">
        <v>-0.5</v>
      </c>
      <c r="I110">
        <v>5.5</v>
      </c>
      <c r="J110">
        <f t="shared" si="14"/>
        <v>833.89999999999964</v>
      </c>
      <c r="K110">
        <f t="shared" si="15"/>
        <v>57.4</v>
      </c>
      <c r="L110" s="16" t="s">
        <v>42</v>
      </c>
      <c r="M110">
        <v>0</v>
      </c>
      <c r="N110">
        <v>0.5</v>
      </c>
      <c r="O110">
        <f t="shared" si="13"/>
        <v>-0.5</v>
      </c>
      <c r="Q110">
        <v>74</v>
      </c>
      <c r="R110">
        <v>1</v>
      </c>
      <c r="S110">
        <f t="shared" si="10"/>
        <v>0.5</v>
      </c>
      <c r="T110">
        <f t="shared" si="11"/>
        <v>-0.5</v>
      </c>
      <c r="U110">
        <f t="shared" si="16"/>
        <v>135.04077586206898</v>
      </c>
      <c r="W110">
        <v>534.70000000000005</v>
      </c>
      <c r="X110">
        <f t="shared" si="12"/>
        <v>3268.0999999999995</v>
      </c>
      <c r="Y110">
        <v>8.8118402603797694</v>
      </c>
    </row>
    <row r="111" spans="1:26" x14ac:dyDescent="0.25">
      <c r="A111">
        <v>7560</v>
      </c>
      <c r="B111">
        <v>24490</v>
      </c>
      <c r="C111" s="1">
        <v>43056</v>
      </c>
      <c r="F111" s="45"/>
      <c r="G111">
        <v>5.5</v>
      </c>
      <c r="H111">
        <v>4.3</v>
      </c>
      <c r="I111">
        <v>7.2</v>
      </c>
      <c r="J111">
        <f t="shared" si="14"/>
        <v>839.39999999999964</v>
      </c>
      <c r="K111">
        <f t="shared" si="15"/>
        <v>62.9</v>
      </c>
      <c r="L111" s="10">
        <v>55</v>
      </c>
      <c r="M111">
        <v>0.1</v>
      </c>
      <c r="N111">
        <v>0.3</v>
      </c>
      <c r="O111">
        <f t="shared" si="13"/>
        <v>-0.19999999999999998</v>
      </c>
      <c r="Q111">
        <v>75</v>
      </c>
      <c r="R111">
        <v>1</v>
      </c>
      <c r="S111">
        <f t="shared" si="10"/>
        <v>0.3</v>
      </c>
      <c r="T111">
        <f t="shared" si="11"/>
        <v>-0.19999999999999998</v>
      </c>
      <c r="U111">
        <f t="shared" si="16"/>
        <v>134.84077586206899</v>
      </c>
      <c r="V111" s="15">
        <f>(V109*100)/153.9</f>
        <v>96.643331056963916</v>
      </c>
      <c r="W111">
        <v>136.19999999999999</v>
      </c>
      <c r="X111">
        <f t="shared" si="12"/>
        <v>3404.2999999999993</v>
      </c>
      <c r="Y111">
        <v>8.7693380081718555</v>
      </c>
    </row>
    <row r="112" spans="1:26" x14ac:dyDescent="0.25">
      <c r="A112">
        <v>7560</v>
      </c>
      <c r="B112">
        <v>24490</v>
      </c>
      <c r="C112" s="1">
        <v>43057</v>
      </c>
      <c r="E112">
        <v>4</v>
      </c>
      <c r="F112" s="45"/>
      <c r="G112">
        <v>2.2999999999999998</v>
      </c>
      <c r="H112">
        <v>-2.8</v>
      </c>
      <c r="I112">
        <v>6</v>
      </c>
      <c r="J112">
        <f t="shared" si="14"/>
        <v>841.69999999999959</v>
      </c>
      <c r="K112">
        <f t="shared" si="15"/>
        <v>65.2</v>
      </c>
      <c r="L112" s="16" t="s">
        <v>43</v>
      </c>
      <c r="M112">
        <v>4.5</v>
      </c>
      <c r="N112">
        <v>0.1</v>
      </c>
      <c r="O112">
        <f t="shared" si="13"/>
        <v>4.4000000000000004</v>
      </c>
      <c r="Q112">
        <v>76</v>
      </c>
      <c r="R112">
        <v>1</v>
      </c>
      <c r="S112">
        <f t="shared" si="10"/>
        <v>0.1</v>
      </c>
      <c r="T112">
        <f t="shared" si="11"/>
        <v>4.4000000000000004</v>
      </c>
      <c r="U112">
        <f t="shared" si="16"/>
        <v>139.240775862069</v>
      </c>
      <c r="W112">
        <v>58.2</v>
      </c>
      <c r="X112">
        <f t="shared" si="12"/>
        <v>3462.4999999999991</v>
      </c>
      <c r="Y112">
        <v>8.7277185465683527</v>
      </c>
    </row>
    <row r="113" spans="1:25" x14ac:dyDescent="0.25">
      <c r="A113">
        <v>7560</v>
      </c>
      <c r="B113">
        <v>24490</v>
      </c>
      <c r="C113" s="1">
        <v>43058</v>
      </c>
      <c r="E113">
        <v>5</v>
      </c>
      <c r="F113" s="45"/>
      <c r="G113">
        <v>3.9</v>
      </c>
      <c r="H113">
        <v>1.2</v>
      </c>
      <c r="I113">
        <v>7.5</v>
      </c>
      <c r="J113">
        <f t="shared" si="14"/>
        <v>845.59999999999957</v>
      </c>
      <c r="K113">
        <f t="shared" si="15"/>
        <v>69.100000000000009</v>
      </c>
      <c r="L113" s="10">
        <v>36</v>
      </c>
      <c r="M113">
        <v>0</v>
      </c>
      <c r="N113">
        <v>0.6</v>
      </c>
      <c r="O113">
        <f t="shared" si="13"/>
        <v>-0.6</v>
      </c>
      <c r="Q113">
        <v>77</v>
      </c>
      <c r="R113">
        <v>1</v>
      </c>
      <c r="S113">
        <f t="shared" si="10"/>
        <v>0.6</v>
      </c>
      <c r="T113">
        <f t="shared" si="11"/>
        <v>-0.6</v>
      </c>
      <c r="U113">
        <f t="shared" si="16"/>
        <v>138.64077586206901</v>
      </c>
      <c r="W113">
        <v>366.4</v>
      </c>
      <c r="X113">
        <f t="shared" si="12"/>
        <v>3828.8999999999992</v>
      </c>
      <c r="Y113">
        <v>8.6870070459178255</v>
      </c>
    </row>
    <row r="114" spans="1:25" x14ac:dyDescent="0.25">
      <c r="A114">
        <v>7560</v>
      </c>
      <c r="B114">
        <v>24490</v>
      </c>
      <c r="C114" s="1">
        <v>43059</v>
      </c>
      <c r="E114">
        <v>6</v>
      </c>
      <c r="F114" s="45"/>
      <c r="G114">
        <v>4.4000000000000004</v>
      </c>
      <c r="H114">
        <v>-1.7</v>
      </c>
      <c r="I114">
        <v>8.3000000000000007</v>
      </c>
      <c r="J114">
        <f t="shared" si="14"/>
        <v>849.99999999999955</v>
      </c>
      <c r="K114">
        <f t="shared" si="15"/>
        <v>73.500000000000014</v>
      </c>
      <c r="M114">
        <v>1.8</v>
      </c>
      <c r="N114">
        <v>0.2</v>
      </c>
      <c r="O114">
        <f t="shared" si="13"/>
        <v>1.6</v>
      </c>
      <c r="Q114">
        <v>78</v>
      </c>
      <c r="R114">
        <v>1</v>
      </c>
      <c r="S114">
        <f t="shared" si="10"/>
        <v>0.2</v>
      </c>
      <c r="T114">
        <f t="shared" si="11"/>
        <v>1.6</v>
      </c>
      <c r="U114">
        <f t="shared" si="16"/>
        <v>140.240775862069</v>
      </c>
      <c r="W114">
        <v>98.6</v>
      </c>
      <c r="X114">
        <f t="shared" si="12"/>
        <v>3927.4999999999991</v>
      </c>
      <c r="Y114">
        <v>8.6472287392710481</v>
      </c>
    </row>
    <row r="115" spans="1:25" x14ac:dyDescent="0.25">
      <c r="A115">
        <v>7560</v>
      </c>
      <c r="B115">
        <v>24490</v>
      </c>
      <c r="C115" s="1">
        <v>43060</v>
      </c>
      <c r="F115" s="45"/>
      <c r="G115">
        <v>7.9</v>
      </c>
      <c r="H115">
        <v>7.6</v>
      </c>
      <c r="I115">
        <v>8.3000000000000007</v>
      </c>
      <c r="J115">
        <f t="shared" si="14"/>
        <v>857.89999999999952</v>
      </c>
      <c r="K115">
        <f t="shared" si="15"/>
        <v>81.40000000000002</v>
      </c>
      <c r="M115">
        <v>0</v>
      </c>
      <c r="N115">
        <v>0.6</v>
      </c>
      <c r="O115">
        <f t="shared" si="13"/>
        <v>-0.6</v>
      </c>
      <c r="Q115">
        <v>79</v>
      </c>
      <c r="R115">
        <v>1</v>
      </c>
      <c r="S115">
        <f t="shared" si="10"/>
        <v>0.6</v>
      </c>
      <c r="T115">
        <f t="shared" si="11"/>
        <v>-0.6</v>
      </c>
      <c r="U115">
        <f t="shared" si="16"/>
        <v>139.64077586206901</v>
      </c>
      <c r="W115">
        <v>161.69999999999999</v>
      </c>
      <c r="X115">
        <f t="shared" si="12"/>
        <v>4089.1999999999989</v>
      </c>
      <c r="Y115">
        <v>8.6084088798221234</v>
      </c>
    </row>
    <row r="116" spans="1:25" x14ac:dyDescent="0.25">
      <c r="A116">
        <v>7560</v>
      </c>
      <c r="B116">
        <v>24490</v>
      </c>
      <c r="C116" s="1">
        <v>43061</v>
      </c>
      <c r="F116" s="45"/>
      <c r="G116">
        <v>8.6999999999999993</v>
      </c>
      <c r="H116">
        <v>6.4</v>
      </c>
      <c r="I116">
        <v>12.4</v>
      </c>
      <c r="J116">
        <f t="shared" si="14"/>
        <v>866.59999999999957</v>
      </c>
      <c r="K116">
        <f t="shared" si="15"/>
        <v>90.100000000000023</v>
      </c>
      <c r="M116">
        <v>0</v>
      </c>
      <c r="N116">
        <v>1.6</v>
      </c>
      <c r="O116">
        <f t="shared" si="13"/>
        <v>-1.6</v>
      </c>
      <c r="Q116">
        <v>80</v>
      </c>
      <c r="R116">
        <v>1</v>
      </c>
      <c r="S116">
        <f t="shared" si="10"/>
        <v>1.6</v>
      </c>
      <c r="T116">
        <f t="shared" si="11"/>
        <v>-1.6</v>
      </c>
      <c r="U116">
        <f t="shared" si="16"/>
        <v>138.04077586206901</v>
      </c>
      <c r="W116">
        <v>681.2</v>
      </c>
      <c r="X116">
        <f t="shared" si="12"/>
        <v>4770.3999999999987</v>
      </c>
      <c r="Y116">
        <v>8.5705726961532793</v>
      </c>
    </row>
    <row r="117" spans="1:25" x14ac:dyDescent="0.25">
      <c r="A117">
        <v>7560</v>
      </c>
      <c r="B117">
        <v>24490</v>
      </c>
      <c r="C117" s="1">
        <v>43062</v>
      </c>
      <c r="F117" s="45"/>
      <c r="G117">
        <v>11.8</v>
      </c>
      <c r="H117">
        <v>7.7</v>
      </c>
      <c r="I117">
        <v>14.6</v>
      </c>
      <c r="J117">
        <f t="shared" si="14"/>
        <v>878.39999999999952</v>
      </c>
      <c r="K117">
        <f t="shared" si="15"/>
        <v>101.90000000000002</v>
      </c>
      <c r="M117">
        <v>2.6</v>
      </c>
      <c r="N117">
        <v>1.9</v>
      </c>
      <c r="O117">
        <f t="shared" si="13"/>
        <v>0.70000000000000018</v>
      </c>
      <c r="Q117">
        <v>81</v>
      </c>
      <c r="R117">
        <v>1</v>
      </c>
      <c r="S117">
        <f t="shared" si="10"/>
        <v>1.9</v>
      </c>
      <c r="T117">
        <f t="shared" si="11"/>
        <v>0.70000000000000018</v>
      </c>
      <c r="U117">
        <f t="shared" si="16"/>
        <v>138.740775862069</v>
      </c>
      <c r="W117">
        <v>272.39999999999998</v>
      </c>
      <c r="X117">
        <f t="shared" si="12"/>
        <v>5042.7999999999984</v>
      </c>
      <c r="Y117">
        <v>8.5337453453632346</v>
      </c>
    </row>
    <row r="118" spans="1:25" x14ac:dyDescent="0.25">
      <c r="A118">
        <v>7560</v>
      </c>
      <c r="B118">
        <v>24490</v>
      </c>
      <c r="C118" s="1">
        <v>43063</v>
      </c>
      <c r="F118" s="45"/>
      <c r="G118">
        <v>10.1</v>
      </c>
      <c r="H118">
        <v>8.6999999999999993</v>
      </c>
      <c r="I118">
        <v>11.3</v>
      </c>
      <c r="J118">
        <f t="shared" si="14"/>
        <v>888.49999999999955</v>
      </c>
      <c r="K118">
        <f t="shared" si="15"/>
        <v>112.00000000000001</v>
      </c>
      <c r="M118">
        <v>5.4</v>
      </c>
      <c r="N118">
        <v>0.6</v>
      </c>
      <c r="O118">
        <f t="shared" si="13"/>
        <v>4.8000000000000007</v>
      </c>
      <c r="Q118">
        <v>82</v>
      </c>
      <c r="R118">
        <v>1</v>
      </c>
      <c r="S118">
        <f t="shared" si="10"/>
        <v>0.6</v>
      </c>
      <c r="T118">
        <f t="shared" si="11"/>
        <v>4.8000000000000007</v>
      </c>
      <c r="U118">
        <f t="shared" si="16"/>
        <v>143.54077586206901</v>
      </c>
      <c r="W118">
        <v>116.5</v>
      </c>
      <c r="X118">
        <f t="shared" si="12"/>
        <v>5159.2999999999984</v>
      </c>
      <c r="Y118">
        <v>8.4979518641778888</v>
      </c>
    </row>
    <row r="119" spans="1:25" x14ac:dyDescent="0.25">
      <c r="A119">
        <v>7560</v>
      </c>
      <c r="B119">
        <v>24490</v>
      </c>
      <c r="C119" s="1">
        <v>43064</v>
      </c>
      <c r="E119">
        <v>7</v>
      </c>
      <c r="F119" s="45"/>
      <c r="G119">
        <v>4.5</v>
      </c>
      <c r="H119">
        <v>2</v>
      </c>
      <c r="I119">
        <v>6.3</v>
      </c>
      <c r="J119">
        <f t="shared" si="14"/>
        <v>892.99999999999955</v>
      </c>
      <c r="K119">
        <f t="shared" si="15"/>
        <v>116.50000000000001</v>
      </c>
      <c r="M119">
        <v>2.9</v>
      </c>
      <c r="N119">
        <v>0.2</v>
      </c>
      <c r="O119">
        <f t="shared" si="13"/>
        <v>2.6999999999999997</v>
      </c>
      <c r="Q119">
        <v>83</v>
      </c>
      <c r="R119">
        <v>1</v>
      </c>
      <c r="S119">
        <f t="shared" si="10"/>
        <v>0.2</v>
      </c>
      <c r="T119">
        <f t="shared" si="11"/>
        <v>2.6999999999999997</v>
      </c>
      <c r="U119">
        <f t="shared" si="16"/>
        <v>146.240775862069</v>
      </c>
      <c r="W119">
        <v>183.1</v>
      </c>
      <c r="X119">
        <f t="shared" si="12"/>
        <v>5342.3999999999987</v>
      </c>
      <c r="Y119">
        <v>8.4632171181616282</v>
      </c>
    </row>
    <row r="120" spans="1:25" x14ac:dyDescent="0.25">
      <c r="A120">
        <v>7560</v>
      </c>
      <c r="B120">
        <v>24490</v>
      </c>
      <c r="C120" s="1">
        <v>43065</v>
      </c>
      <c r="E120">
        <v>8</v>
      </c>
      <c r="F120" s="45"/>
      <c r="G120">
        <v>1.9</v>
      </c>
      <c r="H120">
        <v>-1</v>
      </c>
      <c r="I120">
        <v>4.7</v>
      </c>
      <c r="J120">
        <f t="shared" si="14"/>
        <v>894.89999999999952</v>
      </c>
      <c r="K120">
        <f t="shared" si="15"/>
        <v>118.40000000000002</v>
      </c>
      <c r="M120">
        <v>1</v>
      </c>
      <c r="N120">
        <v>0.4</v>
      </c>
      <c r="O120">
        <f t="shared" si="13"/>
        <v>0.6</v>
      </c>
      <c r="Q120">
        <v>84</v>
      </c>
      <c r="R120">
        <v>1</v>
      </c>
      <c r="S120">
        <f t="shared" si="10"/>
        <v>0.4</v>
      </c>
      <c r="T120">
        <f t="shared" si="11"/>
        <v>0.6</v>
      </c>
      <c r="U120">
        <f t="shared" si="16"/>
        <v>146.84077586206899</v>
      </c>
      <c r="W120">
        <v>369.9</v>
      </c>
      <c r="X120">
        <f t="shared" si="12"/>
        <v>5712.2999999999984</v>
      </c>
      <c r="Y120">
        <v>8.4295657491675318</v>
      </c>
    </row>
    <row r="121" spans="1:25" x14ac:dyDescent="0.25">
      <c r="A121">
        <v>7560</v>
      </c>
      <c r="B121">
        <v>24490</v>
      </c>
      <c r="C121" s="1">
        <v>43066</v>
      </c>
      <c r="F121" s="45"/>
      <c r="G121">
        <v>5.6</v>
      </c>
      <c r="H121">
        <v>2.2000000000000002</v>
      </c>
      <c r="I121">
        <v>6.8</v>
      </c>
      <c r="J121">
        <f t="shared" si="14"/>
        <v>900.49999999999955</v>
      </c>
      <c r="K121">
        <f t="shared" si="15"/>
        <v>124.00000000000001</v>
      </c>
      <c r="M121">
        <v>16</v>
      </c>
      <c r="N121">
        <v>0.1</v>
      </c>
      <c r="O121">
        <f t="shared" si="13"/>
        <v>15.9</v>
      </c>
      <c r="Q121">
        <v>85</v>
      </c>
      <c r="R121">
        <v>1</v>
      </c>
      <c r="S121">
        <f t="shared" si="10"/>
        <v>0.1</v>
      </c>
      <c r="T121">
        <f t="shared" si="11"/>
        <v>15.9</v>
      </c>
      <c r="U121">
        <f t="shared" si="16"/>
        <v>153.9</v>
      </c>
      <c r="W121">
        <v>99.9</v>
      </c>
      <c r="X121">
        <f t="shared" si="12"/>
        <v>5812.199999999998</v>
      </c>
      <c r="Y121">
        <v>8.3970221211852767</v>
      </c>
    </row>
    <row r="122" spans="1:25" x14ac:dyDescent="0.25">
      <c r="A122">
        <v>7560</v>
      </c>
      <c r="B122">
        <v>24490</v>
      </c>
      <c r="C122" s="1">
        <v>43067</v>
      </c>
      <c r="F122" s="45"/>
      <c r="G122">
        <v>5.0999999999999996</v>
      </c>
      <c r="H122">
        <v>5.2</v>
      </c>
      <c r="I122">
        <v>6.3</v>
      </c>
      <c r="J122">
        <f t="shared" si="14"/>
        <v>905.59999999999957</v>
      </c>
      <c r="K122">
        <f t="shared" si="15"/>
        <v>129.10000000000002</v>
      </c>
      <c r="M122">
        <v>0.6</v>
      </c>
      <c r="N122">
        <v>0.6</v>
      </c>
      <c r="O122">
        <f t="shared" si="13"/>
        <v>0</v>
      </c>
      <c r="Q122">
        <v>86</v>
      </c>
      <c r="R122">
        <v>1</v>
      </c>
      <c r="S122">
        <f t="shared" si="10"/>
        <v>0.6</v>
      </c>
      <c r="T122">
        <f t="shared" si="11"/>
        <v>0</v>
      </c>
      <c r="U122">
        <f t="shared" si="16"/>
        <v>153.9</v>
      </c>
      <c r="W122">
        <v>178.6</v>
      </c>
      <c r="X122">
        <f t="shared" si="12"/>
        <v>5990.7999999999984</v>
      </c>
      <c r="Y122">
        <v>8.3656102647660653</v>
      </c>
    </row>
    <row r="123" spans="1:25" x14ac:dyDescent="0.25">
      <c r="A123">
        <v>7560</v>
      </c>
      <c r="B123">
        <v>24490</v>
      </c>
      <c r="C123" s="1">
        <v>43068</v>
      </c>
      <c r="E123">
        <v>9</v>
      </c>
      <c r="F123" s="45"/>
      <c r="G123">
        <v>1.7</v>
      </c>
      <c r="H123">
        <v>0.9</v>
      </c>
      <c r="I123">
        <v>2.9</v>
      </c>
      <c r="J123">
        <f t="shared" si="14"/>
        <v>907.29999999999961</v>
      </c>
      <c r="K123">
        <f t="shared" si="15"/>
        <v>130.80000000000001</v>
      </c>
      <c r="M123">
        <v>0.4</v>
      </c>
      <c r="N123">
        <v>0.2</v>
      </c>
      <c r="O123">
        <f t="shared" si="13"/>
        <v>0.2</v>
      </c>
      <c r="Q123">
        <v>87</v>
      </c>
      <c r="R123">
        <v>1</v>
      </c>
      <c r="S123">
        <f t="shared" si="10"/>
        <v>0.2</v>
      </c>
      <c r="T123">
        <f t="shared" si="11"/>
        <v>0.2</v>
      </c>
      <c r="U123">
        <f t="shared" si="16"/>
        <v>153.9</v>
      </c>
      <c r="W123">
        <v>66.7</v>
      </c>
      <c r="X123">
        <f t="shared" si="12"/>
        <v>6057.4999999999982</v>
      </c>
      <c r="Y123">
        <v>8.3353538202244195</v>
      </c>
    </row>
    <row r="124" spans="1:25" x14ac:dyDescent="0.25">
      <c r="A124">
        <v>7560</v>
      </c>
      <c r="B124">
        <v>24490</v>
      </c>
      <c r="C124" s="1">
        <v>43069</v>
      </c>
      <c r="E124">
        <v>10</v>
      </c>
      <c r="F124" s="45"/>
      <c r="G124">
        <v>2.2999999999999998</v>
      </c>
      <c r="H124">
        <v>0.7</v>
      </c>
      <c r="I124">
        <v>4</v>
      </c>
      <c r="J124">
        <f t="shared" si="14"/>
        <v>909.59999999999957</v>
      </c>
      <c r="K124">
        <f t="shared" si="15"/>
        <v>133.10000000000002</v>
      </c>
      <c r="M124">
        <v>1.7</v>
      </c>
      <c r="N124">
        <v>0.4</v>
      </c>
      <c r="O124">
        <f t="shared" si="13"/>
        <v>1.2999999999999998</v>
      </c>
      <c r="Q124">
        <v>88</v>
      </c>
      <c r="R124">
        <v>1</v>
      </c>
      <c r="S124">
        <f t="shared" si="10"/>
        <v>0.4</v>
      </c>
      <c r="T124">
        <f t="shared" si="11"/>
        <v>1.2999999999999998</v>
      </c>
      <c r="U124">
        <f t="shared" si="16"/>
        <v>153.9</v>
      </c>
      <c r="W124">
        <v>162.4</v>
      </c>
      <c r="X124">
        <f t="shared" si="12"/>
        <v>6219.8999999999978</v>
      </c>
      <c r="Y124">
        <v>8.3062759798368084</v>
      </c>
    </row>
    <row r="125" spans="1:25" x14ac:dyDescent="0.25">
      <c r="A125">
        <v>7560</v>
      </c>
      <c r="B125">
        <v>24490</v>
      </c>
      <c r="C125" s="1">
        <v>43070</v>
      </c>
      <c r="E125">
        <v>11</v>
      </c>
      <c r="F125" s="45"/>
      <c r="G125">
        <v>1</v>
      </c>
      <c r="H125">
        <v>0.3</v>
      </c>
      <c r="I125">
        <v>2.5</v>
      </c>
      <c r="J125">
        <f t="shared" si="14"/>
        <v>910.59999999999957</v>
      </c>
      <c r="K125">
        <f t="shared" si="15"/>
        <v>134.10000000000002</v>
      </c>
      <c r="M125">
        <v>0.5</v>
      </c>
      <c r="N125">
        <v>0.3</v>
      </c>
      <c r="O125">
        <f t="shared" si="13"/>
        <v>0.2</v>
      </c>
      <c r="Q125">
        <v>89</v>
      </c>
      <c r="R125">
        <v>1</v>
      </c>
      <c r="S125">
        <f t="shared" si="10"/>
        <v>0.3</v>
      </c>
      <c r="T125">
        <f t="shared" si="11"/>
        <v>0.2</v>
      </c>
      <c r="U125">
        <f t="shared" si="16"/>
        <v>153.9</v>
      </c>
      <c r="W125">
        <v>152.6</v>
      </c>
      <c r="X125">
        <f t="shared" si="12"/>
        <v>6372.4999999999982</v>
      </c>
      <c r="Y125">
        <v>8.2783994292766181</v>
      </c>
    </row>
    <row r="126" spans="1:25" x14ac:dyDescent="0.25">
      <c r="A126">
        <v>7560</v>
      </c>
      <c r="B126">
        <v>24490</v>
      </c>
      <c r="C126" s="1">
        <v>43071</v>
      </c>
      <c r="E126">
        <v>12</v>
      </c>
      <c r="F126" s="45"/>
      <c r="G126">
        <v>-0.6</v>
      </c>
      <c r="H126">
        <v>-2</v>
      </c>
      <c r="I126">
        <v>1.6</v>
      </c>
      <c r="J126">
        <v>910.6</v>
      </c>
      <c r="K126">
        <v>134.1</v>
      </c>
      <c r="M126">
        <v>0</v>
      </c>
      <c r="N126">
        <v>0.5</v>
      </c>
      <c r="O126">
        <f t="shared" si="13"/>
        <v>-0.5</v>
      </c>
      <c r="Q126">
        <v>90</v>
      </c>
      <c r="R126">
        <v>1</v>
      </c>
      <c r="S126">
        <f t="shared" si="10"/>
        <v>0.5</v>
      </c>
      <c r="T126">
        <f t="shared" si="11"/>
        <v>-0.5</v>
      </c>
      <c r="U126">
        <f t="shared" si="16"/>
        <v>153.4</v>
      </c>
      <c r="W126">
        <v>544.6</v>
      </c>
      <c r="X126">
        <f t="shared" si="12"/>
        <v>6917.0999999999985</v>
      </c>
      <c r="Y126">
        <v>8.2517462885435666</v>
      </c>
    </row>
    <row r="127" spans="1:25" x14ac:dyDescent="0.25">
      <c r="A127">
        <v>7560</v>
      </c>
      <c r="B127">
        <v>24490</v>
      </c>
      <c r="C127" s="1">
        <v>43072</v>
      </c>
      <c r="E127">
        <v>13</v>
      </c>
      <c r="F127" s="45"/>
      <c r="G127">
        <v>-1.6</v>
      </c>
      <c r="H127">
        <v>-3.9</v>
      </c>
      <c r="I127">
        <v>1.2</v>
      </c>
      <c r="J127">
        <v>910.6</v>
      </c>
      <c r="K127">
        <v>134.1</v>
      </c>
      <c r="M127">
        <v>1.1000000000000001</v>
      </c>
      <c r="N127">
        <v>0.1</v>
      </c>
      <c r="O127">
        <f t="shared" si="13"/>
        <v>1</v>
      </c>
      <c r="Q127">
        <v>91</v>
      </c>
      <c r="R127">
        <v>1</v>
      </c>
      <c r="S127">
        <f t="shared" si="10"/>
        <v>0.1</v>
      </c>
      <c r="T127">
        <f t="shared" si="11"/>
        <v>1</v>
      </c>
      <c r="U127">
        <f t="shared" si="16"/>
        <v>153.9</v>
      </c>
      <c r="W127">
        <v>58.5</v>
      </c>
      <c r="X127">
        <f t="shared" si="12"/>
        <v>6975.5999999999985</v>
      </c>
      <c r="Y127">
        <v>8.2263380526630989</v>
      </c>
    </row>
    <row r="128" spans="1:25" x14ac:dyDescent="0.25">
      <c r="A128">
        <v>7560</v>
      </c>
      <c r="B128">
        <v>24490</v>
      </c>
      <c r="C128" s="1">
        <v>43073</v>
      </c>
      <c r="E128">
        <v>14</v>
      </c>
      <c r="F128" s="45"/>
      <c r="G128">
        <v>3.2</v>
      </c>
      <c r="H128">
        <v>0</v>
      </c>
      <c r="I128">
        <v>4.5999999999999996</v>
      </c>
      <c r="J128">
        <f t="shared" si="14"/>
        <v>913.80000000000007</v>
      </c>
      <c r="K128">
        <f t="shared" si="15"/>
        <v>137.29999999999998</v>
      </c>
      <c r="M128">
        <v>0.1</v>
      </c>
      <c r="N128">
        <v>0.2</v>
      </c>
      <c r="O128">
        <f t="shared" si="13"/>
        <v>-0.1</v>
      </c>
      <c r="Q128">
        <v>92</v>
      </c>
      <c r="R128">
        <v>1</v>
      </c>
      <c r="S128">
        <f t="shared" si="10"/>
        <v>0.2</v>
      </c>
      <c r="T128">
        <f t="shared" si="11"/>
        <v>-0.1</v>
      </c>
      <c r="U128">
        <f t="shared" si="16"/>
        <v>153.80000000000001</v>
      </c>
      <c r="W128">
        <v>206.4</v>
      </c>
      <c r="X128">
        <f t="shared" si="12"/>
        <v>7181.9999999999982</v>
      </c>
      <c r="Y128">
        <v>8.2021955324470515</v>
      </c>
    </row>
    <row r="129" spans="1:25" x14ac:dyDescent="0.25">
      <c r="A129">
        <v>7560</v>
      </c>
      <c r="B129">
        <v>24490</v>
      </c>
      <c r="C129" s="1">
        <v>43074</v>
      </c>
      <c r="E129">
        <v>15</v>
      </c>
      <c r="F129" s="45"/>
      <c r="G129">
        <v>3.7</v>
      </c>
      <c r="H129">
        <v>2.6</v>
      </c>
      <c r="I129">
        <v>4.3</v>
      </c>
      <c r="J129">
        <f t="shared" si="14"/>
        <v>917.50000000000011</v>
      </c>
      <c r="K129">
        <f t="shared" si="15"/>
        <v>140.99999999999997</v>
      </c>
      <c r="M129">
        <v>0</v>
      </c>
      <c r="N129">
        <v>0.1</v>
      </c>
      <c r="O129">
        <f t="shared" si="13"/>
        <v>-0.1</v>
      </c>
      <c r="Q129">
        <v>93</v>
      </c>
      <c r="R129">
        <v>1</v>
      </c>
      <c r="S129">
        <f t="shared" si="10"/>
        <v>0.1</v>
      </c>
      <c r="T129">
        <f t="shared" si="11"/>
        <v>-0.1</v>
      </c>
      <c r="U129">
        <f t="shared" si="16"/>
        <v>153.70000000000002</v>
      </c>
      <c r="W129">
        <v>63</v>
      </c>
      <c r="X129">
        <f t="shared" si="12"/>
        <v>7244.9999999999982</v>
      </c>
      <c r="Y129">
        <v>8.1793387956209749</v>
      </c>
    </row>
    <row r="130" spans="1:25" x14ac:dyDescent="0.25">
      <c r="A130">
        <v>7560</v>
      </c>
      <c r="B130">
        <v>24490</v>
      </c>
      <c r="C130" s="1">
        <v>43075</v>
      </c>
      <c r="E130">
        <v>16</v>
      </c>
      <c r="F130" s="45"/>
      <c r="G130">
        <v>3</v>
      </c>
      <c r="H130">
        <v>1</v>
      </c>
      <c r="I130">
        <v>4.5999999999999996</v>
      </c>
      <c r="J130">
        <f t="shared" si="14"/>
        <v>920.50000000000011</v>
      </c>
      <c r="K130">
        <f t="shared" si="15"/>
        <v>143.99999999999997</v>
      </c>
      <c r="M130">
        <v>0</v>
      </c>
      <c r="N130">
        <v>0.3</v>
      </c>
      <c r="O130">
        <f t="shared" si="13"/>
        <v>-0.3</v>
      </c>
      <c r="Q130">
        <v>94</v>
      </c>
      <c r="R130">
        <v>1</v>
      </c>
      <c r="S130">
        <f t="shared" si="10"/>
        <v>0.3</v>
      </c>
      <c r="T130">
        <f t="shared" si="11"/>
        <v>-0.3</v>
      </c>
      <c r="U130">
        <f t="shared" si="16"/>
        <v>153.4</v>
      </c>
      <c r="W130">
        <v>86.5</v>
      </c>
      <c r="X130">
        <f t="shared" si="12"/>
        <v>7331.4999999999982</v>
      </c>
      <c r="Y130">
        <v>8.1577871086353291</v>
      </c>
    </row>
    <row r="131" spans="1:25" x14ac:dyDescent="0.25">
      <c r="A131">
        <v>7560</v>
      </c>
      <c r="B131">
        <v>24490</v>
      </c>
      <c r="C131" s="1">
        <v>43076</v>
      </c>
      <c r="E131">
        <v>17</v>
      </c>
      <c r="F131" s="45"/>
      <c r="G131">
        <v>4.2</v>
      </c>
      <c r="H131">
        <v>1.1000000000000001</v>
      </c>
      <c r="I131">
        <v>6.2</v>
      </c>
      <c r="J131">
        <f t="shared" si="14"/>
        <v>924.70000000000016</v>
      </c>
      <c r="K131">
        <f t="shared" si="15"/>
        <v>148.19999999999996</v>
      </c>
      <c r="M131">
        <v>5.2</v>
      </c>
      <c r="N131">
        <v>0.4</v>
      </c>
      <c r="O131">
        <f t="shared" si="13"/>
        <v>4.8</v>
      </c>
      <c r="Q131">
        <v>95</v>
      </c>
      <c r="R131">
        <v>1</v>
      </c>
      <c r="S131">
        <f t="shared" si="10"/>
        <v>0.4</v>
      </c>
      <c r="T131">
        <f t="shared" si="11"/>
        <v>4.8</v>
      </c>
      <c r="U131">
        <f t="shared" si="16"/>
        <v>153.9</v>
      </c>
      <c r="W131">
        <v>169.3</v>
      </c>
      <c r="X131">
        <f t="shared" si="12"/>
        <v>7500.7999999999984</v>
      </c>
      <c r="Y131">
        <v>8.1375588794871021</v>
      </c>
    </row>
    <row r="132" spans="1:25" x14ac:dyDescent="0.25">
      <c r="A132">
        <v>7560</v>
      </c>
      <c r="B132">
        <v>24490</v>
      </c>
      <c r="C132" s="1">
        <v>43077</v>
      </c>
      <c r="E132">
        <v>18</v>
      </c>
      <c r="F132" s="45"/>
      <c r="G132">
        <v>2.6</v>
      </c>
      <c r="H132">
        <v>1.1000000000000001</v>
      </c>
      <c r="I132">
        <v>4.8</v>
      </c>
      <c r="J132">
        <f t="shared" si="14"/>
        <v>927.30000000000018</v>
      </c>
      <c r="K132">
        <f t="shared" si="15"/>
        <v>150.79999999999995</v>
      </c>
      <c r="M132">
        <v>1.1000000000000001</v>
      </c>
      <c r="N132">
        <v>0.6</v>
      </c>
      <c r="O132">
        <f t="shared" si="13"/>
        <v>0.50000000000000011</v>
      </c>
      <c r="Q132">
        <v>96</v>
      </c>
      <c r="R132">
        <v>1</v>
      </c>
      <c r="S132">
        <f t="shared" si="10"/>
        <v>0.6</v>
      </c>
      <c r="T132">
        <f t="shared" si="11"/>
        <v>0.50000000000000011</v>
      </c>
      <c r="U132">
        <f t="shared" si="16"/>
        <v>153.9</v>
      </c>
      <c r="W132">
        <v>358</v>
      </c>
      <c r="X132">
        <f t="shared" si="12"/>
        <v>7858.7999999999984</v>
      </c>
      <c r="Y132">
        <v>8.1186716018851399</v>
      </c>
    </row>
    <row r="133" spans="1:25" x14ac:dyDescent="0.25">
      <c r="A133">
        <v>7560</v>
      </c>
      <c r="B133">
        <v>24490</v>
      </c>
      <c r="C133" s="1">
        <v>43078</v>
      </c>
      <c r="E133">
        <v>19</v>
      </c>
      <c r="F133" s="45"/>
      <c r="G133">
        <v>0.2</v>
      </c>
      <c r="H133">
        <v>-1.1000000000000001</v>
      </c>
      <c r="I133">
        <v>1.6</v>
      </c>
      <c r="J133">
        <f t="shared" si="14"/>
        <v>927.50000000000023</v>
      </c>
      <c r="K133">
        <f t="shared" si="15"/>
        <v>150.99999999999994</v>
      </c>
      <c r="M133">
        <v>0.2</v>
      </c>
      <c r="N133">
        <v>0.3</v>
      </c>
      <c r="O133">
        <f t="shared" si="13"/>
        <v>-9.9999999999999978E-2</v>
      </c>
      <c r="Q133">
        <v>97</v>
      </c>
      <c r="R133">
        <v>1</v>
      </c>
      <c r="S133">
        <f t="shared" ref="S133:S196" si="17">R133*N133</f>
        <v>0.3</v>
      </c>
      <c r="T133">
        <f t="shared" ref="T133:T196" si="18">M133-S133</f>
        <v>-9.9999999999999978E-2</v>
      </c>
      <c r="U133">
        <f t="shared" si="16"/>
        <v>153.80000000000001</v>
      </c>
      <c r="W133">
        <v>346.6</v>
      </c>
      <c r="X133">
        <f t="shared" si="12"/>
        <v>8205.3999999999978</v>
      </c>
      <c r="Y133">
        <v>8.1011418010961478</v>
      </c>
    </row>
    <row r="134" spans="1:25" x14ac:dyDescent="0.25">
      <c r="A134">
        <v>7560</v>
      </c>
      <c r="B134">
        <v>24490</v>
      </c>
      <c r="C134" s="1">
        <v>43079</v>
      </c>
      <c r="F134" s="45"/>
      <c r="G134">
        <v>5.0999999999999996</v>
      </c>
      <c r="H134">
        <v>0.2</v>
      </c>
      <c r="I134">
        <v>8</v>
      </c>
      <c r="J134">
        <f t="shared" si="14"/>
        <v>932.60000000000025</v>
      </c>
      <c r="K134">
        <f t="shared" si="15"/>
        <v>156.09999999999994</v>
      </c>
      <c r="M134">
        <v>18.399999999999999</v>
      </c>
      <c r="N134">
        <v>0.1</v>
      </c>
      <c r="O134">
        <f t="shared" si="13"/>
        <v>18.299999999999997</v>
      </c>
      <c r="Q134">
        <v>98</v>
      </c>
      <c r="R134">
        <v>1</v>
      </c>
      <c r="S134">
        <f t="shared" si="17"/>
        <v>0.1</v>
      </c>
      <c r="T134">
        <f t="shared" si="18"/>
        <v>18.299999999999997</v>
      </c>
      <c r="U134">
        <f t="shared" si="16"/>
        <v>153.9</v>
      </c>
      <c r="W134">
        <v>133.4</v>
      </c>
      <c r="X134">
        <f t="shared" ref="X134:X197" si="19">X133+W134</f>
        <v>8338.7999999999975</v>
      </c>
      <c r="Y134">
        <v>8.0849849818087538</v>
      </c>
    </row>
    <row r="135" spans="1:25" x14ac:dyDescent="0.25">
      <c r="A135">
        <v>7560</v>
      </c>
      <c r="B135">
        <v>24490</v>
      </c>
      <c r="C135" s="1">
        <v>43080</v>
      </c>
      <c r="F135" s="45"/>
      <c r="G135">
        <v>6.7</v>
      </c>
      <c r="H135">
        <v>5.0999999999999996</v>
      </c>
      <c r="I135">
        <v>10.1</v>
      </c>
      <c r="J135">
        <f t="shared" si="14"/>
        <v>939.3000000000003</v>
      </c>
      <c r="K135">
        <f t="shared" si="15"/>
        <v>162.79999999999993</v>
      </c>
      <c r="M135">
        <v>1.9</v>
      </c>
      <c r="N135">
        <v>1.2</v>
      </c>
      <c r="O135">
        <f t="shared" si="13"/>
        <v>0.7</v>
      </c>
      <c r="Q135">
        <v>99</v>
      </c>
      <c r="R135">
        <v>1</v>
      </c>
      <c r="S135">
        <f t="shared" si="17"/>
        <v>1.2</v>
      </c>
      <c r="T135">
        <f t="shared" si="18"/>
        <v>0.7</v>
      </c>
      <c r="U135">
        <f t="shared" si="16"/>
        <v>153.9</v>
      </c>
      <c r="W135">
        <v>104.7</v>
      </c>
      <c r="X135">
        <f t="shared" si="19"/>
        <v>8443.4999999999982</v>
      </c>
      <c r="Y135">
        <v>8.0702155783502221</v>
      </c>
    </row>
    <row r="136" spans="1:25" x14ac:dyDescent="0.25">
      <c r="A136">
        <v>7560</v>
      </c>
      <c r="B136">
        <v>24490</v>
      </c>
      <c r="C136" s="1">
        <v>43081</v>
      </c>
      <c r="E136">
        <v>20</v>
      </c>
      <c r="F136" s="45"/>
      <c r="G136">
        <v>2.4</v>
      </c>
      <c r="H136">
        <v>0.9</v>
      </c>
      <c r="I136">
        <v>3.6</v>
      </c>
      <c r="J136">
        <f t="shared" si="14"/>
        <v>941.70000000000027</v>
      </c>
      <c r="K136">
        <f t="shared" si="15"/>
        <v>165.19999999999993</v>
      </c>
      <c r="M136">
        <v>0</v>
      </c>
      <c r="N136">
        <v>0.3</v>
      </c>
      <c r="O136">
        <f t="shared" ref="O136:O199" si="20">M136-N136</f>
        <v>-0.3</v>
      </c>
      <c r="Q136">
        <v>100</v>
      </c>
      <c r="R136">
        <v>1</v>
      </c>
      <c r="S136">
        <f t="shared" si="17"/>
        <v>0.3</v>
      </c>
      <c r="T136">
        <f t="shared" si="18"/>
        <v>-0.3</v>
      </c>
      <c r="U136">
        <f t="shared" si="16"/>
        <v>153.6</v>
      </c>
      <c r="W136">
        <v>384.1</v>
      </c>
      <c r="X136">
        <f t="shared" si="19"/>
        <v>8827.5999999999985</v>
      </c>
      <c r="Y136">
        <v>8.0568469075839033</v>
      </c>
    </row>
    <row r="137" spans="1:25" x14ac:dyDescent="0.25">
      <c r="A137">
        <v>7560</v>
      </c>
      <c r="B137">
        <v>24490</v>
      </c>
      <c r="C137" s="1">
        <v>43082</v>
      </c>
      <c r="E137">
        <v>21</v>
      </c>
      <c r="F137" s="45"/>
      <c r="G137">
        <v>4.5999999999999996</v>
      </c>
      <c r="H137">
        <v>2.1</v>
      </c>
      <c r="I137">
        <v>7.1</v>
      </c>
      <c r="J137">
        <f t="shared" si="14"/>
        <v>946.3000000000003</v>
      </c>
      <c r="K137">
        <f t="shared" si="15"/>
        <v>169.79999999999993</v>
      </c>
      <c r="M137">
        <v>17.3</v>
      </c>
      <c r="N137">
        <v>0.5</v>
      </c>
      <c r="O137">
        <f t="shared" si="20"/>
        <v>16.8</v>
      </c>
      <c r="Q137">
        <v>101</v>
      </c>
      <c r="R137">
        <v>1</v>
      </c>
      <c r="S137">
        <f t="shared" si="17"/>
        <v>0.5</v>
      </c>
      <c r="T137">
        <f t="shared" si="18"/>
        <v>16.8</v>
      </c>
      <c r="U137">
        <f t="shared" si="16"/>
        <v>153.9</v>
      </c>
      <c r="W137">
        <v>111</v>
      </c>
      <c r="X137">
        <f t="shared" si="19"/>
        <v>8938.5999999999985</v>
      </c>
      <c r="Y137">
        <v>8.0448911248056696</v>
      </c>
    </row>
    <row r="138" spans="1:25" x14ac:dyDescent="0.25">
      <c r="A138">
        <v>7560</v>
      </c>
      <c r="B138">
        <v>24490</v>
      </c>
      <c r="C138" s="1">
        <v>43083</v>
      </c>
      <c r="F138" s="45"/>
      <c r="G138">
        <v>5.2</v>
      </c>
      <c r="H138">
        <v>3.9</v>
      </c>
      <c r="I138">
        <v>6.3</v>
      </c>
      <c r="J138">
        <f t="shared" si="14"/>
        <v>951.50000000000034</v>
      </c>
      <c r="K138">
        <f t="shared" si="15"/>
        <v>174.99999999999991</v>
      </c>
      <c r="M138">
        <v>4.9000000000000004</v>
      </c>
      <c r="N138">
        <v>0.8</v>
      </c>
      <c r="O138">
        <f t="shared" si="20"/>
        <v>4.1000000000000005</v>
      </c>
      <c r="Q138">
        <v>102</v>
      </c>
      <c r="R138">
        <v>1</v>
      </c>
      <c r="S138">
        <f t="shared" si="17"/>
        <v>0.8</v>
      </c>
      <c r="T138">
        <f t="shared" si="18"/>
        <v>4.1000000000000005</v>
      </c>
      <c r="U138">
        <f t="shared" si="16"/>
        <v>153.9</v>
      </c>
      <c r="W138">
        <v>137.19999999999999</v>
      </c>
      <c r="X138">
        <f t="shared" si="19"/>
        <v>9075.7999999999993</v>
      </c>
      <c r="Y138">
        <v>8.0343591829438221</v>
      </c>
    </row>
    <row r="139" spans="1:25" x14ac:dyDescent="0.25">
      <c r="A139">
        <v>7560</v>
      </c>
      <c r="B139">
        <v>24490</v>
      </c>
      <c r="C139" s="1">
        <v>43084</v>
      </c>
      <c r="E139">
        <v>22</v>
      </c>
      <c r="F139" s="45"/>
      <c r="G139">
        <v>4</v>
      </c>
      <c r="H139">
        <v>3.4</v>
      </c>
      <c r="I139">
        <v>5.0999999999999996</v>
      </c>
      <c r="J139">
        <f t="shared" si="14"/>
        <v>955.50000000000034</v>
      </c>
      <c r="K139">
        <f t="shared" si="15"/>
        <v>178.99999999999991</v>
      </c>
      <c r="M139">
        <v>3.4</v>
      </c>
      <c r="N139">
        <v>0.6</v>
      </c>
      <c r="O139">
        <f t="shared" si="20"/>
        <v>2.8</v>
      </c>
      <c r="Q139">
        <v>103</v>
      </c>
      <c r="R139">
        <v>1</v>
      </c>
      <c r="S139">
        <f t="shared" si="17"/>
        <v>0.6</v>
      </c>
      <c r="T139">
        <f t="shared" si="18"/>
        <v>2.8</v>
      </c>
      <c r="U139">
        <f t="shared" si="16"/>
        <v>153.9</v>
      </c>
      <c r="W139">
        <v>65.5</v>
      </c>
      <c r="X139">
        <f t="shared" si="19"/>
        <v>9141.2999999999993</v>
      </c>
      <c r="Y139">
        <v>8.0252607953499577</v>
      </c>
    </row>
    <row r="140" spans="1:25" x14ac:dyDescent="0.25">
      <c r="A140">
        <v>7560</v>
      </c>
      <c r="B140">
        <v>24490</v>
      </c>
      <c r="C140" s="1">
        <v>43085</v>
      </c>
      <c r="E140">
        <v>23</v>
      </c>
      <c r="F140" s="45"/>
      <c r="G140">
        <v>2.6</v>
      </c>
      <c r="H140">
        <v>2.2000000000000002</v>
      </c>
      <c r="I140">
        <v>4.3</v>
      </c>
      <c r="J140">
        <f t="shared" si="14"/>
        <v>958.10000000000036</v>
      </c>
      <c r="K140">
        <f t="shared" si="15"/>
        <v>181.59999999999991</v>
      </c>
      <c r="M140">
        <v>0.1</v>
      </c>
      <c r="N140">
        <v>0.5</v>
      </c>
      <c r="O140">
        <f t="shared" si="20"/>
        <v>-0.4</v>
      </c>
      <c r="Q140">
        <v>104</v>
      </c>
      <c r="R140">
        <v>1</v>
      </c>
      <c r="S140">
        <f t="shared" si="17"/>
        <v>0.5</v>
      </c>
      <c r="T140">
        <f t="shared" si="18"/>
        <v>-0.4</v>
      </c>
      <c r="U140">
        <f t="shared" si="16"/>
        <v>153.5</v>
      </c>
      <c r="W140">
        <v>94.4</v>
      </c>
      <c r="X140">
        <f t="shared" si="19"/>
        <v>9235.6999999999989</v>
      </c>
      <c r="Y140">
        <v>8.0176044024475779</v>
      </c>
    </row>
    <row r="141" spans="1:25" x14ac:dyDescent="0.25">
      <c r="A141">
        <v>7560</v>
      </c>
      <c r="B141">
        <v>24490</v>
      </c>
      <c r="C141" s="1">
        <v>43086</v>
      </c>
      <c r="E141">
        <v>24</v>
      </c>
      <c r="F141" s="45"/>
      <c r="G141">
        <v>0.9</v>
      </c>
      <c r="H141">
        <v>-0.7</v>
      </c>
      <c r="I141">
        <v>5.6</v>
      </c>
      <c r="J141">
        <f t="shared" si="14"/>
        <v>959.00000000000034</v>
      </c>
      <c r="K141">
        <f t="shared" si="15"/>
        <v>182.49999999999991</v>
      </c>
      <c r="M141">
        <v>5.3</v>
      </c>
      <c r="N141">
        <v>0.6</v>
      </c>
      <c r="O141">
        <f t="shared" si="20"/>
        <v>4.7</v>
      </c>
      <c r="Q141">
        <v>105</v>
      </c>
      <c r="R141">
        <v>1</v>
      </c>
      <c r="S141">
        <f t="shared" si="17"/>
        <v>0.6</v>
      </c>
      <c r="T141">
        <f t="shared" si="18"/>
        <v>4.7</v>
      </c>
      <c r="U141">
        <f t="shared" si="16"/>
        <v>153.9</v>
      </c>
      <c r="W141">
        <v>125.7</v>
      </c>
      <c r="X141">
        <f t="shared" si="19"/>
        <v>9361.4</v>
      </c>
      <c r="Y141">
        <v>8.0113971424813926</v>
      </c>
    </row>
    <row r="142" spans="1:25" x14ac:dyDescent="0.25">
      <c r="A142">
        <v>7560</v>
      </c>
      <c r="B142">
        <v>24490</v>
      </c>
      <c r="C142" s="1">
        <v>43087</v>
      </c>
      <c r="F142" s="45"/>
      <c r="G142">
        <v>5.4</v>
      </c>
      <c r="H142">
        <v>0.3</v>
      </c>
      <c r="I142">
        <v>6.3</v>
      </c>
      <c r="J142">
        <f t="shared" si="14"/>
        <v>964.40000000000032</v>
      </c>
      <c r="K142">
        <f t="shared" si="15"/>
        <v>187.89999999999992</v>
      </c>
      <c r="M142">
        <v>0</v>
      </c>
      <c r="N142">
        <v>0</v>
      </c>
      <c r="O142">
        <f t="shared" si="20"/>
        <v>0</v>
      </c>
      <c r="Q142">
        <v>106</v>
      </c>
      <c r="R142">
        <v>1</v>
      </c>
      <c r="S142">
        <f t="shared" si="17"/>
        <v>0</v>
      </c>
      <c r="T142">
        <f t="shared" si="18"/>
        <v>0</v>
      </c>
      <c r="U142">
        <f t="shared" si="16"/>
        <v>153.9</v>
      </c>
      <c r="W142">
        <v>100.1</v>
      </c>
      <c r="X142">
        <f t="shared" si="19"/>
        <v>9461.5</v>
      </c>
      <c r="Y142">
        <v>8.0066448265831962</v>
      </c>
    </row>
    <row r="143" spans="1:25" x14ac:dyDescent="0.25">
      <c r="A143">
        <v>7560</v>
      </c>
      <c r="B143">
        <v>24490</v>
      </c>
      <c r="C143" s="1">
        <v>43088</v>
      </c>
      <c r="E143">
        <v>25</v>
      </c>
      <c r="F143" s="45"/>
      <c r="G143">
        <v>4.4000000000000004</v>
      </c>
      <c r="H143">
        <v>3.4</v>
      </c>
      <c r="I143">
        <v>6.1</v>
      </c>
      <c r="J143">
        <f t="shared" si="14"/>
        <v>968.8000000000003</v>
      </c>
      <c r="K143">
        <f t="shared" si="15"/>
        <v>192.29999999999993</v>
      </c>
      <c r="M143">
        <v>0.7</v>
      </c>
      <c r="N143">
        <v>0.4</v>
      </c>
      <c r="O143">
        <f t="shared" si="20"/>
        <v>0.29999999999999993</v>
      </c>
      <c r="Q143">
        <v>107</v>
      </c>
      <c r="R143">
        <v>1</v>
      </c>
      <c r="S143">
        <f t="shared" si="17"/>
        <v>0.4</v>
      </c>
      <c r="T143">
        <f t="shared" si="18"/>
        <v>0.29999999999999993</v>
      </c>
      <c r="U143">
        <f t="shared" si="16"/>
        <v>153.9</v>
      </c>
      <c r="W143">
        <v>170.3</v>
      </c>
      <c r="X143">
        <f t="shared" si="19"/>
        <v>9631.7999999999993</v>
      </c>
      <c r="Y143">
        <v>8.0033519183405382</v>
      </c>
    </row>
    <row r="144" spans="1:25" x14ac:dyDescent="0.25">
      <c r="A144">
        <v>7560</v>
      </c>
      <c r="B144">
        <v>24490</v>
      </c>
      <c r="C144" s="1">
        <v>43089</v>
      </c>
      <c r="F144" s="45"/>
      <c r="G144">
        <v>5.4</v>
      </c>
      <c r="H144">
        <v>3.5</v>
      </c>
      <c r="I144">
        <v>6.4</v>
      </c>
      <c r="J144">
        <f t="shared" si="14"/>
        <v>974.20000000000027</v>
      </c>
      <c r="K144">
        <f t="shared" si="15"/>
        <v>197.69999999999993</v>
      </c>
      <c r="M144">
        <v>0.9</v>
      </c>
      <c r="N144">
        <v>0.2</v>
      </c>
      <c r="O144">
        <f t="shared" si="20"/>
        <v>0.7</v>
      </c>
      <c r="Q144">
        <v>108</v>
      </c>
      <c r="R144">
        <v>1</v>
      </c>
      <c r="S144">
        <f t="shared" si="17"/>
        <v>0.2</v>
      </c>
      <c r="T144">
        <f t="shared" si="18"/>
        <v>0.7</v>
      </c>
      <c r="U144">
        <f t="shared" si="16"/>
        <v>153.9</v>
      </c>
      <c r="W144">
        <v>116.4</v>
      </c>
      <c r="X144">
        <f t="shared" si="19"/>
        <v>9748.1999999999989</v>
      </c>
      <c r="Y144">
        <v>8.0015215180221944</v>
      </c>
    </row>
    <row r="145" spans="1:25" x14ac:dyDescent="0.25">
      <c r="A145">
        <v>7560</v>
      </c>
      <c r="B145">
        <v>24490</v>
      </c>
      <c r="C145" s="1">
        <v>43090</v>
      </c>
      <c r="F145" s="45"/>
      <c r="G145">
        <v>7.6</v>
      </c>
      <c r="H145">
        <v>6.3</v>
      </c>
      <c r="I145">
        <v>8.6999999999999993</v>
      </c>
      <c r="J145">
        <f t="shared" si="14"/>
        <v>981.8000000000003</v>
      </c>
      <c r="K145">
        <f t="shared" si="15"/>
        <v>205.29999999999993</v>
      </c>
      <c r="M145">
        <v>2.8</v>
      </c>
      <c r="N145">
        <v>0.2</v>
      </c>
      <c r="O145">
        <f t="shared" si="20"/>
        <v>2.5999999999999996</v>
      </c>
      <c r="Q145">
        <v>109</v>
      </c>
      <c r="R145">
        <v>1</v>
      </c>
      <c r="S145">
        <f t="shared" si="17"/>
        <v>0.2</v>
      </c>
      <c r="T145">
        <f t="shared" si="18"/>
        <v>2.5999999999999996</v>
      </c>
      <c r="U145">
        <f t="shared" si="16"/>
        <v>153.9</v>
      </c>
      <c r="W145">
        <v>62.4</v>
      </c>
      <c r="X145">
        <f t="shared" si="19"/>
        <v>9810.5999999999985</v>
      </c>
      <c r="Y145">
        <v>8.0011553515802039</v>
      </c>
    </row>
    <row r="146" spans="1:25" x14ac:dyDescent="0.25">
      <c r="A146">
        <v>7560</v>
      </c>
      <c r="B146">
        <v>24490</v>
      </c>
      <c r="C146" s="1">
        <v>43091</v>
      </c>
      <c r="F146" s="45"/>
      <c r="G146">
        <v>8.3000000000000007</v>
      </c>
      <c r="H146">
        <v>7.6</v>
      </c>
      <c r="I146">
        <v>9</v>
      </c>
      <c r="J146">
        <f t="shared" si="14"/>
        <v>990.10000000000025</v>
      </c>
      <c r="K146">
        <f t="shared" si="15"/>
        <v>213.59999999999994</v>
      </c>
      <c r="M146">
        <v>0.9</v>
      </c>
      <c r="N146">
        <v>0.1</v>
      </c>
      <c r="O146">
        <f t="shared" si="20"/>
        <v>0.8</v>
      </c>
      <c r="Q146">
        <v>110</v>
      </c>
      <c r="R146">
        <v>1</v>
      </c>
      <c r="S146">
        <f t="shared" si="17"/>
        <v>0.1</v>
      </c>
      <c r="T146">
        <f t="shared" si="18"/>
        <v>0.8</v>
      </c>
      <c r="U146">
        <f t="shared" si="16"/>
        <v>153.9</v>
      </c>
      <c r="W146">
        <v>41.7</v>
      </c>
      <c r="X146">
        <f t="shared" si="19"/>
        <v>9852.2999999999993</v>
      </c>
      <c r="Y146">
        <v>8.0022537645124654</v>
      </c>
    </row>
    <row r="147" spans="1:25" x14ac:dyDescent="0.25">
      <c r="A147">
        <v>7560</v>
      </c>
      <c r="B147">
        <v>24490</v>
      </c>
      <c r="C147" s="1">
        <v>43092</v>
      </c>
      <c r="F147" s="45"/>
      <c r="G147">
        <v>7.7</v>
      </c>
      <c r="H147">
        <v>7.6</v>
      </c>
      <c r="I147">
        <v>8.3000000000000007</v>
      </c>
      <c r="J147">
        <f t="shared" si="14"/>
        <v>997.8000000000003</v>
      </c>
      <c r="K147">
        <f t="shared" si="15"/>
        <v>221.29999999999993</v>
      </c>
      <c r="M147">
        <v>0.9</v>
      </c>
      <c r="N147">
        <v>0.3</v>
      </c>
      <c r="O147">
        <f t="shared" si="20"/>
        <v>0.60000000000000009</v>
      </c>
      <c r="Q147">
        <v>111</v>
      </c>
      <c r="R147">
        <v>1</v>
      </c>
      <c r="S147">
        <f t="shared" si="17"/>
        <v>0.3</v>
      </c>
      <c r="T147">
        <f t="shared" si="18"/>
        <v>0.60000000000000009</v>
      </c>
      <c r="U147">
        <f t="shared" si="16"/>
        <v>153.9</v>
      </c>
      <c r="W147">
        <v>37.4</v>
      </c>
      <c r="X147">
        <f t="shared" si="19"/>
        <v>9889.6999999999989</v>
      </c>
      <c r="Y147">
        <v>8.0048157206328909</v>
      </c>
    </row>
    <row r="148" spans="1:25" x14ac:dyDescent="0.25">
      <c r="A148">
        <v>7560</v>
      </c>
      <c r="B148">
        <v>24490</v>
      </c>
      <c r="C148" s="1">
        <v>43093</v>
      </c>
      <c r="F148" s="45"/>
      <c r="G148">
        <v>6.9</v>
      </c>
      <c r="H148">
        <v>6.8</v>
      </c>
      <c r="I148">
        <v>7.5</v>
      </c>
      <c r="J148">
        <f t="shared" si="14"/>
        <v>1004.7000000000003</v>
      </c>
      <c r="K148">
        <f t="shared" si="15"/>
        <v>228.19999999999993</v>
      </c>
      <c r="M148">
        <v>1</v>
      </c>
      <c r="N148">
        <v>0.3</v>
      </c>
      <c r="O148">
        <f t="shared" si="20"/>
        <v>0.7</v>
      </c>
      <c r="Q148">
        <v>112</v>
      </c>
      <c r="R148">
        <v>1</v>
      </c>
      <c r="S148">
        <f t="shared" si="17"/>
        <v>0.3</v>
      </c>
      <c r="T148">
        <f t="shared" si="18"/>
        <v>0.7</v>
      </c>
      <c r="U148">
        <f t="shared" si="16"/>
        <v>153.9</v>
      </c>
      <c r="W148">
        <v>48.2</v>
      </c>
      <c r="X148">
        <f t="shared" si="19"/>
        <v>9937.9</v>
      </c>
      <c r="Y148">
        <v>8.0088388057585806</v>
      </c>
    </row>
    <row r="149" spans="1:25" x14ac:dyDescent="0.25">
      <c r="A149">
        <v>7560</v>
      </c>
      <c r="B149">
        <v>24490</v>
      </c>
      <c r="C149" s="1">
        <v>43094</v>
      </c>
      <c r="E149">
        <v>26</v>
      </c>
      <c r="F149" s="45"/>
      <c r="G149">
        <v>3.4</v>
      </c>
      <c r="H149">
        <v>2.8</v>
      </c>
      <c r="I149">
        <v>7.4</v>
      </c>
      <c r="J149">
        <f t="shared" si="14"/>
        <v>1008.1000000000003</v>
      </c>
      <c r="K149">
        <f t="shared" si="15"/>
        <v>231.59999999999994</v>
      </c>
      <c r="M149">
        <v>1.4</v>
      </c>
      <c r="N149">
        <v>0.7</v>
      </c>
      <c r="O149">
        <f t="shared" si="20"/>
        <v>0.7</v>
      </c>
      <c r="Q149">
        <v>113</v>
      </c>
      <c r="R149">
        <v>1</v>
      </c>
      <c r="S149">
        <f t="shared" si="17"/>
        <v>0.7</v>
      </c>
      <c r="T149">
        <f t="shared" si="18"/>
        <v>0.7</v>
      </c>
      <c r="U149">
        <f t="shared" si="16"/>
        <v>153.9</v>
      </c>
      <c r="W149">
        <v>76.3</v>
      </c>
      <c r="X149">
        <f t="shared" si="19"/>
        <v>10014.199999999999</v>
      </c>
      <c r="Y149">
        <v>8.0143192362856883</v>
      </c>
    </row>
    <row r="150" spans="1:25" x14ac:dyDescent="0.25">
      <c r="A150">
        <v>7560</v>
      </c>
      <c r="B150">
        <v>24490</v>
      </c>
      <c r="C150" s="1">
        <v>43095</v>
      </c>
      <c r="F150" s="45"/>
      <c r="G150">
        <v>5.9</v>
      </c>
      <c r="H150">
        <v>2</v>
      </c>
      <c r="I150">
        <v>7.2</v>
      </c>
      <c r="J150">
        <f t="shared" si="14"/>
        <v>1014.0000000000002</v>
      </c>
      <c r="K150">
        <f t="shared" si="15"/>
        <v>237.49999999999994</v>
      </c>
      <c r="M150">
        <v>6.9</v>
      </c>
      <c r="N150">
        <v>0.6</v>
      </c>
      <c r="O150">
        <f t="shared" si="20"/>
        <v>6.3000000000000007</v>
      </c>
      <c r="Q150">
        <v>114</v>
      </c>
      <c r="R150">
        <v>1</v>
      </c>
      <c r="S150">
        <f t="shared" si="17"/>
        <v>0.6</v>
      </c>
      <c r="T150">
        <f t="shared" si="18"/>
        <v>6.3000000000000007</v>
      </c>
      <c r="U150">
        <f t="shared" si="16"/>
        <v>153.9</v>
      </c>
      <c r="W150">
        <v>175.9</v>
      </c>
      <c r="X150">
        <f t="shared" si="19"/>
        <v>10190.099999999999</v>
      </c>
      <c r="Y150">
        <v>8.0212518725884596</v>
      </c>
    </row>
    <row r="151" spans="1:25" x14ac:dyDescent="0.25">
      <c r="A151">
        <v>7560</v>
      </c>
      <c r="B151">
        <v>24490</v>
      </c>
      <c r="C151" s="1">
        <v>43096</v>
      </c>
      <c r="E151">
        <v>27</v>
      </c>
      <c r="F151" s="45"/>
      <c r="G151">
        <v>4.5</v>
      </c>
      <c r="H151">
        <v>3.2</v>
      </c>
      <c r="I151">
        <v>6</v>
      </c>
      <c r="J151">
        <f t="shared" si="14"/>
        <v>1018.5000000000002</v>
      </c>
      <c r="K151">
        <f t="shared" si="15"/>
        <v>241.99999999999994</v>
      </c>
      <c r="M151">
        <v>2.7</v>
      </c>
      <c r="N151">
        <v>0.8</v>
      </c>
      <c r="O151">
        <f t="shared" si="20"/>
        <v>1.9000000000000001</v>
      </c>
      <c r="Q151">
        <v>115</v>
      </c>
      <c r="R151">
        <v>1</v>
      </c>
      <c r="S151">
        <f t="shared" si="17"/>
        <v>0.8</v>
      </c>
      <c r="T151">
        <f t="shared" si="18"/>
        <v>1.9000000000000001</v>
      </c>
      <c r="U151">
        <f t="shared" si="16"/>
        <v>153.9</v>
      </c>
      <c r="W151">
        <v>90.8</v>
      </c>
      <c r="X151">
        <f t="shared" si="19"/>
        <v>10280.899999999998</v>
      </c>
      <c r="Y151">
        <v>8.0296302371393082</v>
      </c>
    </row>
    <row r="152" spans="1:25" x14ac:dyDescent="0.25">
      <c r="A152">
        <v>7560</v>
      </c>
      <c r="B152">
        <v>24490</v>
      </c>
      <c r="C152" s="1">
        <v>43097</v>
      </c>
      <c r="E152">
        <v>28</v>
      </c>
      <c r="F152" s="45"/>
      <c r="G152">
        <v>0.7</v>
      </c>
      <c r="H152">
        <v>-0.7</v>
      </c>
      <c r="I152">
        <v>2.2000000000000002</v>
      </c>
      <c r="J152">
        <f t="shared" si="14"/>
        <v>1019.2000000000003</v>
      </c>
      <c r="K152">
        <f t="shared" si="15"/>
        <v>242.69999999999993</v>
      </c>
      <c r="M152">
        <v>0.1</v>
      </c>
      <c r="N152">
        <v>0.3</v>
      </c>
      <c r="O152">
        <f t="shared" si="20"/>
        <v>-0.19999999999999998</v>
      </c>
      <c r="Q152">
        <v>116</v>
      </c>
      <c r="R152">
        <v>1</v>
      </c>
      <c r="S152">
        <f t="shared" si="17"/>
        <v>0.3</v>
      </c>
      <c r="T152">
        <f t="shared" si="18"/>
        <v>-0.19999999999999998</v>
      </c>
      <c r="U152">
        <f t="shared" si="16"/>
        <v>153.70000000000002</v>
      </c>
      <c r="W152">
        <v>275</v>
      </c>
      <c r="X152">
        <f t="shared" si="19"/>
        <v>10555.899999999998</v>
      </c>
      <c r="Y152">
        <v>8.0394465372128519</v>
      </c>
    </row>
    <row r="153" spans="1:25" x14ac:dyDescent="0.25">
      <c r="A153">
        <v>7560</v>
      </c>
      <c r="B153">
        <v>24490</v>
      </c>
      <c r="C153" s="1">
        <v>43098</v>
      </c>
      <c r="E153">
        <v>29</v>
      </c>
      <c r="F153" s="45"/>
      <c r="G153">
        <v>2.2999999999999998</v>
      </c>
      <c r="H153">
        <v>-1.4</v>
      </c>
      <c r="I153">
        <v>8</v>
      </c>
      <c r="J153">
        <f t="shared" si="14"/>
        <v>1021.5000000000002</v>
      </c>
      <c r="K153">
        <f t="shared" si="15"/>
        <v>244.99999999999994</v>
      </c>
      <c r="M153">
        <v>15.7</v>
      </c>
      <c r="N153">
        <v>0.8</v>
      </c>
      <c r="O153">
        <f t="shared" si="20"/>
        <v>14.899999999999999</v>
      </c>
      <c r="Q153">
        <v>117</v>
      </c>
      <c r="R153">
        <v>1</v>
      </c>
      <c r="S153">
        <f t="shared" si="17"/>
        <v>0.8</v>
      </c>
      <c r="T153">
        <f t="shared" si="18"/>
        <v>14.899999999999999</v>
      </c>
      <c r="U153">
        <f t="shared" si="16"/>
        <v>153.9</v>
      </c>
      <c r="W153">
        <v>70.3</v>
      </c>
      <c r="X153">
        <f t="shared" si="19"/>
        <v>10626.199999999997</v>
      </c>
      <c r="Y153">
        <v>8.050691692003511</v>
      </c>
    </row>
    <row r="154" spans="1:25" x14ac:dyDescent="0.25">
      <c r="A154">
        <v>7560</v>
      </c>
      <c r="B154">
        <v>24490</v>
      </c>
      <c r="C154" s="1">
        <v>43099</v>
      </c>
      <c r="F154" s="45"/>
      <c r="G154">
        <v>10.9</v>
      </c>
      <c r="H154">
        <v>5.4</v>
      </c>
      <c r="I154">
        <v>13.1</v>
      </c>
      <c r="J154">
        <f t="shared" si="14"/>
        <v>1032.4000000000003</v>
      </c>
      <c r="K154">
        <f t="shared" si="15"/>
        <v>255.89999999999995</v>
      </c>
      <c r="M154">
        <v>1.3</v>
      </c>
      <c r="N154">
        <v>0</v>
      </c>
      <c r="O154">
        <f t="shared" si="20"/>
        <v>1.3</v>
      </c>
      <c r="Q154">
        <v>118</v>
      </c>
      <c r="R154">
        <v>1</v>
      </c>
      <c r="S154">
        <f t="shared" si="17"/>
        <v>0</v>
      </c>
      <c r="T154">
        <f t="shared" si="18"/>
        <v>1.3</v>
      </c>
      <c r="U154">
        <f t="shared" si="16"/>
        <v>153.9</v>
      </c>
      <c r="W154">
        <v>48.3</v>
      </c>
      <c r="X154">
        <f t="shared" si="19"/>
        <v>10674.499999999996</v>
      </c>
      <c r="Y154">
        <v>8.0633553639553242</v>
      </c>
    </row>
    <row r="155" spans="1:25" x14ac:dyDescent="0.25">
      <c r="A155">
        <v>7560</v>
      </c>
      <c r="B155">
        <v>24490</v>
      </c>
      <c r="C155" s="1">
        <v>43100</v>
      </c>
      <c r="F155" s="45"/>
      <c r="G155">
        <v>11.7</v>
      </c>
      <c r="H155">
        <v>11.7</v>
      </c>
      <c r="I155">
        <v>13.5</v>
      </c>
      <c r="J155">
        <f t="shared" si="14"/>
        <v>1044.1000000000004</v>
      </c>
      <c r="K155">
        <f t="shared" si="15"/>
        <v>267.59999999999997</v>
      </c>
      <c r="M155">
        <v>0.9</v>
      </c>
      <c r="N155">
        <v>2.2000000000000002</v>
      </c>
      <c r="O155">
        <f t="shared" si="20"/>
        <v>-1.3000000000000003</v>
      </c>
      <c r="Q155">
        <v>119</v>
      </c>
      <c r="R155">
        <v>1</v>
      </c>
      <c r="S155">
        <f t="shared" si="17"/>
        <v>2.2000000000000002</v>
      </c>
      <c r="T155">
        <f t="shared" si="18"/>
        <v>-1.3000000000000003</v>
      </c>
      <c r="U155">
        <f t="shared" si="16"/>
        <v>152.6</v>
      </c>
      <c r="W155">
        <v>326.7</v>
      </c>
      <c r="X155">
        <f t="shared" si="19"/>
        <v>11001.199999999997</v>
      </c>
      <c r="Y155">
        <v>8.0774259940741153</v>
      </c>
    </row>
    <row r="156" spans="1:25" x14ac:dyDescent="0.25">
      <c r="A156">
        <v>7560</v>
      </c>
      <c r="B156">
        <v>24490</v>
      </c>
      <c r="C156" s="1">
        <v>43101</v>
      </c>
      <c r="F156" s="45"/>
      <c r="G156">
        <v>6.9</v>
      </c>
      <c r="H156">
        <v>6.3</v>
      </c>
      <c r="I156">
        <v>7.9</v>
      </c>
      <c r="J156">
        <f t="shared" si="14"/>
        <v>1051.0000000000005</v>
      </c>
      <c r="K156">
        <f t="shared" si="15"/>
        <v>274.49999999999994</v>
      </c>
      <c r="M156">
        <v>10.1</v>
      </c>
      <c r="N156">
        <v>1.1000000000000001</v>
      </c>
      <c r="O156">
        <f t="shared" si="20"/>
        <v>9</v>
      </c>
      <c r="Q156">
        <v>120</v>
      </c>
      <c r="R156">
        <v>1</v>
      </c>
      <c r="S156">
        <f t="shared" si="17"/>
        <v>1.1000000000000001</v>
      </c>
      <c r="T156">
        <f t="shared" si="18"/>
        <v>9</v>
      </c>
      <c r="U156">
        <f t="shared" si="16"/>
        <v>153.9</v>
      </c>
      <c r="W156">
        <v>109.5</v>
      </c>
      <c r="X156">
        <f t="shared" si="19"/>
        <v>11110.699999999997</v>
      </c>
      <c r="Y156">
        <v>8.0928908409668434</v>
      </c>
    </row>
    <row r="157" spans="1:25" x14ac:dyDescent="0.25">
      <c r="A157">
        <v>7560</v>
      </c>
      <c r="B157">
        <v>24490</v>
      </c>
      <c r="C157" s="1">
        <v>43102</v>
      </c>
      <c r="F157" s="45"/>
      <c r="G157">
        <v>6.7</v>
      </c>
      <c r="H157">
        <v>4</v>
      </c>
      <c r="I157">
        <v>11.3</v>
      </c>
      <c r="J157">
        <f t="shared" si="14"/>
        <v>1057.7000000000005</v>
      </c>
      <c r="K157">
        <f t="shared" si="15"/>
        <v>281.19999999999993</v>
      </c>
      <c r="M157">
        <v>8.6999999999999993</v>
      </c>
      <c r="N157">
        <v>1.1000000000000001</v>
      </c>
      <c r="O157">
        <f t="shared" si="20"/>
        <v>7.6</v>
      </c>
      <c r="Q157">
        <v>121</v>
      </c>
      <c r="R157">
        <v>1</v>
      </c>
      <c r="S157">
        <f t="shared" si="17"/>
        <v>1.1000000000000001</v>
      </c>
      <c r="T157">
        <f t="shared" si="18"/>
        <v>7.6</v>
      </c>
      <c r="U157">
        <f t="shared" si="16"/>
        <v>153.9</v>
      </c>
      <c r="W157">
        <v>220</v>
      </c>
      <c r="X157">
        <f t="shared" si="19"/>
        <v>11330.699999999997</v>
      </c>
      <c r="Y157">
        <v>8.1097360233304912</v>
      </c>
    </row>
    <row r="158" spans="1:25" x14ac:dyDescent="0.25">
      <c r="A158">
        <v>7560</v>
      </c>
      <c r="B158">
        <v>24490</v>
      </c>
      <c r="C158" s="1">
        <v>43103</v>
      </c>
      <c r="F158" s="45"/>
      <c r="G158">
        <v>9.1</v>
      </c>
      <c r="H158">
        <v>7.5</v>
      </c>
      <c r="I158">
        <v>10.3</v>
      </c>
      <c r="J158">
        <f t="shared" si="14"/>
        <v>1066.8000000000004</v>
      </c>
      <c r="K158">
        <f t="shared" si="15"/>
        <v>290.29999999999995</v>
      </c>
      <c r="M158">
        <v>5.2</v>
      </c>
      <c r="N158">
        <v>1.6</v>
      </c>
      <c r="O158">
        <f t="shared" si="20"/>
        <v>3.6</v>
      </c>
      <c r="Q158">
        <v>122</v>
      </c>
      <c r="R158">
        <v>1</v>
      </c>
      <c r="S158">
        <f t="shared" si="17"/>
        <v>1.6</v>
      </c>
      <c r="T158">
        <f t="shared" si="18"/>
        <v>3.6</v>
      </c>
      <c r="U158">
        <f t="shared" si="16"/>
        <v>153.9</v>
      </c>
      <c r="W158">
        <v>304.89999999999998</v>
      </c>
      <c r="X158">
        <f t="shared" si="19"/>
        <v>11635.599999999997</v>
      </c>
      <c r="Y158">
        <v>8.127946565594165</v>
      </c>
    </row>
    <row r="159" spans="1:25" x14ac:dyDescent="0.25">
      <c r="A159">
        <v>7560</v>
      </c>
      <c r="B159">
        <v>24490</v>
      </c>
      <c r="C159" s="1">
        <v>43104</v>
      </c>
      <c r="F159" s="45"/>
      <c r="G159">
        <v>9.6999999999999993</v>
      </c>
      <c r="H159">
        <v>7.1</v>
      </c>
      <c r="I159">
        <v>12.6</v>
      </c>
      <c r="J159">
        <f t="shared" si="14"/>
        <v>1076.5000000000005</v>
      </c>
      <c r="K159">
        <f t="shared" si="15"/>
        <v>299.99999999999994</v>
      </c>
      <c r="M159">
        <v>9.5</v>
      </c>
      <c r="N159">
        <v>0.8</v>
      </c>
      <c r="O159">
        <f t="shared" si="20"/>
        <v>8.6999999999999993</v>
      </c>
      <c r="Q159">
        <v>123</v>
      </c>
      <c r="R159">
        <v>1</v>
      </c>
      <c r="S159">
        <f t="shared" si="17"/>
        <v>0.8</v>
      </c>
      <c r="T159">
        <f t="shared" si="18"/>
        <v>8.6999999999999993</v>
      </c>
      <c r="U159">
        <f t="shared" si="16"/>
        <v>153.9</v>
      </c>
      <c r="W159">
        <v>95.7</v>
      </c>
      <c r="X159">
        <f t="shared" si="19"/>
        <v>11731.299999999997</v>
      </c>
      <c r="Y159">
        <v>8.1475064464024598</v>
      </c>
    </row>
    <row r="160" spans="1:25" x14ac:dyDescent="0.25">
      <c r="A160">
        <v>7560</v>
      </c>
      <c r="B160">
        <v>24490</v>
      </c>
      <c r="C160" s="1">
        <v>43105</v>
      </c>
      <c r="F160" s="45"/>
      <c r="G160">
        <v>8.6999999999999993</v>
      </c>
      <c r="H160">
        <v>8.6999999999999993</v>
      </c>
      <c r="I160">
        <v>9.6999999999999993</v>
      </c>
      <c r="J160">
        <f t="shared" si="14"/>
        <v>1085.2000000000005</v>
      </c>
      <c r="K160">
        <f t="shared" si="15"/>
        <v>308.69999999999993</v>
      </c>
      <c r="M160">
        <v>1.6</v>
      </c>
      <c r="N160">
        <v>0.6</v>
      </c>
      <c r="O160">
        <f t="shared" si="20"/>
        <v>1</v>
      </c>
      <c r="Q160">
        <v>124</v>
      </c>
      <c r="R160">
        <v>1</v>
      </c>
      <c r="S160">
        <f t="shared" si="17"/>
        <v>0.6</v>
      </c>
      <c r="T160">
        <f t="shared" si="18"/>
        <v>1</v>
      </c>
      <c r="U160">
        <f t="shared" si="16"/>
        <v>153.9</v>
      </c>
      <c r="W160">
        <v>107.5</v>
      </c>
      <c r="X160">
        <f t="shared" si="19"/>
        <v>11838.799999999997</v>
      </c>
      <c r="Y160">
        <v>8.1683986496165897</v>
      </c>
    </row>
    <row r="161" spans="1:25" x14ac:dyDescent="0.25">
      <c r="A161">
        <v>7560</v>
      </c>
      <c r="B161">
        <v>24490</v>
      </c>
      <c r="C161" s="1">
        <v>43106</v>
      </c>
      <c r="F161" s="45"/>
      <c r="G161">
        <v>6.8</v>
      </c>
      <c r="H161">
        <v>6</v>
      </c>
      <c r="I161">
        <v>7.9</v>
      </c>
      <c r="J161">
        <f t="shared" si="14"/>
        <v>1092.0000000000005</v>
      </c>
      <c r="K161">
        <f t="shared" si="15"/>
        <v>315.49999999999994</v>
      </c>
      <c r="M161">
        <v>4</v>
      </c>
      <c r="N161">
        <v>0.3</v>
      </c>
      <c r="O161">
        <f t="shared" si="20"/>
        <v>3.7</v>
      </c>
      <c r="Q161">
        <v>125</v>
      </c>
      <c r="R161">
        <v>1</v>
      </c>
      <c r="S161">
        <f t="shared" si="17"/>
        <v>0.3</v>
      </c>
      <c r="T161">
        <f t="shared" si="18"/>
        <v>3.7</v>
      </c>
      <c r="U161">
        <f t="shared" si="16"/>
        <v>153.9</v>
      </c>
      <c r="W161">
        <v>97.9</v>
      </c>
      <c r="X161">
        <f t="shared" si="19"/>
        <v>11936.699999999997</v>
      </c>
      <c r="Y161">
        <v>8.1906052175014246</v>
      </c>
    </row>
    <row r="162" spans="1:25" x14ac:dyDescent="0.25">
      <c r="A162">
        <v>7560</v>
      </c>
      <c r="B162">
        <v>24490</v>
      </c>
      <c r="C162" s="1">
        <v>43107</v>
      </c>
      <c r="F162" s="45"/>
      <c r="G162">
        <v>6.5</v>
      </c>
      <c r="H162">
        <v>6.5</v>
      </c>
      <c r="I162">
        <v>6.8</v>
      </c>
      <c r="J162">
        <f t="shared" si="14"/>
        <v>1098.5000000000005</v>
      </c>
      <c r="K162">
        <f t="shared" si="15"/>
        <v>321.99999999999994</v>
      </c>
      <c r="M162">
        <v>0.2</v>
      </c>
      <c r="N162">
        <v>0.8</v>
      </c>
      <c r="O162">
        <f t="shared" si="20"/>
        <v>-0.60000000000000009</v>
      </c>
      <c r="Q162">
        <v>126</v>
      </c>
      <c r="R162">
        <v>1</v>
      </c>
      <c r="S162">
        <f t="shared" si="17"/>
        <v>0.8</v>
      </c>
      <c r="T162">
        <f t="shared" si="18"/>
        <v>-0.60000000000000009</v>
      </c>
      <c r="U162">
        <f t="shared" si="16"/>
        <v>153.30000000000001</v>
      </c>
      <c r="W162">
        <v>54.7</v>
      </c>
      <c r="X162">
        <f t="shared" si="19"/>
        <v>11991.399999999998</v>
      </c>
      <c r="Y162">
        <v>8.2141073057620613</v>
      </c>
    </row>
    <row r="163" spans="1:25" x14ac:dyDescent="0.25">
      <c r="A163">
        <v>7560</v>
      </c>
      <c r="B163">
        <v>24490</v>
      </c>
      <c r="C163" s="1">
        <v>43108</v>
      </c>
      <c r="F163" s="45"/>
      <c r="G163">
        <v>5.6</v>
      </c>
      <c r="H163">
        <v>4.4000000000000004</v>
      </c>
      <c r="I163">
        <v>8</v>
      </c>
      <c r="J163">
        <f t="shared" si="14"/>
        <v>1104.1000000000004</v>
      </c>
      <c r="K163">
        <f t="shared" si="15"/>
        <v>327.59999999999997</v>
      </c>
      <c r="M163">
        <v>0</v>
      </c>
      <c r="N163">
        <v>0.8</v>
      </c>
      <c r="O163">
        <f t="shared" si="20"/>
        <v>-0.8</v>
      </c>
      <c r="Q163">
        <v>127</v>
      </c>
      <c r="R163">
        <v>1</v>
      </c>
      <c r="S163">
        <f t="shared" si="17"/>
        <v>0.8</v>
      </c>
      <c r="T163">
        <f t="shared" si="18"/>
        <v>-0.8</v>
      </c>
      <c r="U163">
        <f t="shared" si="16"/>
        <v>152.5</v>
      </c>
      <c r="W163">
        <v>400.9</v>
      </c>
      <c r="X163">
        <f t="shared" si="19"/>
        <v>12392.299999999997</v>
      </c>
      <c r="Y163">
        <v>8.2388852400922961</v>
      </c>
    </row>
    <row r="164" spans="1:25" x14ac:dyDescent="0.25">
      <c r="A164">
        <v>7560</v>
      </c>
      <c r="B164">
        <v>24490</v>
      </c>
      <c r="C164" s="1">
        <v>43109</v>
      </c>
      <c r="F164" s="45"/>
      <c r="G164">
        <v>6.2</v>
      </c>
      <c r="H164">
        <v>2.8</v>
      </c>
      <c r="I164">
        <v>9.1</v>
      </c>
      <c r="J164">
        <f t="shared" si="14"/>
        <v>1110.3000000000004</v>
      </c>
      <c r="K164">
        <f t="shared" si="15"/>
        <v>333.79999999999995</v>
      </c>
      <c r="M164">
        <v>1.8</v>
      </c>
      <c r="N164">
        <v>0.5</v>
      </c>
      <c r="O164">
        <f t="shared" si="20"/>
        <v>1.3</v>
      </c>
      <c r="Q164">
        <v>128</v>
      </c>
      <c r="R164">
        <v>1</v>
      </c>
      <c r="S164">
        <f t="shared" si="17"/>
        <v>0.5</v>
      </c>
      <c r="T164">
        <f t="shared" si="18"/>
        <v>1.3</v>
      </c>
      <c r="U164">
        <f t="shared" si="16"/>
        <v>153.80000000000001</v>
      </c>
      <c r="W164">
        <v>261.3</v>
      </c>
      <c r="X164">
        <f t="shared" si="19"/>
        <v>12653.599999999997</v>
      </c>
      <c r="Y164">
        <v>8.2649185738995321</v>
      </c>
    </row>
    <row r="165" spans="1:25" x14ac:dyDescent="0.25">
      <c r="A165">
        <v>7560</v>
      </c>
      <c r="B165">
        <v>24490</v>
      </c>
      <c r="C165" s="1">
        <v>43110</v>
      </c>
      <c r="F165" s="45"/>
      <c r="G165">
        <v>6.4</v>
      </c>
      <c r="H165">
        <v>5.8</v>
      </c>
      <c r="I165">
        <v>6.8</v>
      </c>
      <c r="J165">
        <f t="shared" si="14"/>
        <v>1116.7000000000005</v>
      </c>
      <c r="K165">
        <f t="shared" si="15"/>
        <v>340.19999999999993</v>
      </c>
      <c r="M165">
        <v>5.4</v>
      </c>
      <c r="N165">
        <v>0.3</v>
      </c>
      <c r="O165">
        <f t="shared" si="20"/>
        <v>5.1000000000000005</v>
      </c>
      <c r="Q165">
        <v>129</v>
      </c>
      <c r="R165">
        <v>1</v>
      </c>
      <c r="S165">
        <f t="shared" si="17"/>
        <v>0.3</v>
      </c>
      <c r="T165">
        <f t="shared" si="18"/>
        <v>5.1000000000000005</v>
      </c>
      <c r="U165">
        <f t="shared" si="16"/>
        <v>153.9</v>
      </c>
      <c r="W165">
        <v>113.8</v>
      </c>
      <c r="X165">
        <f t="shared" si="19"/>
        <v>12767.399999999996</v>
      </c>
      <c r="Y165">
        <v>8.2921861468758262</v>
      </c>
    </row>
    <row r="166" spans="1:25" x14ac:dyDescent="0.25">
      <c r="A166">
        <v>7560</v>
      </c>
      <c r="B166">
        <v>24490</v>
      </c>
      <c r="C166" s="1">
        <v>43111</v>
      </c>
      <c r="F166" s="45"/>
      <c r="G166">
        <v>5.7</v>
      </c>
      <c r="H166">
        <v>4.2</v>
      </c>
      <c r="I166">
        <v>6.5</v>
      </c>
      <c r="J166">
        <f t="shared" si="14"/>
        <v>1122.4000000000005</v>
      </c>
      <c r="K166">
        <f t="shared" si="15"/>
        <v>345.89999999999992</v>
      </c>
      <c r="M166">
        <v>0</v>
      </c>
      <c r="N166">
        <v>0.2</v>
      </c>
      <c r="O166">
        <f t="shared" si="20"/>
        <v>-0.2</v>
      </c>
      <c r="Q166">
        <v>130</v>
      </c>
      <c r="R166">
        <v>1</v>
      </c>
      <c r="S166">
        <f t="shared" si="17"/>
        <v>0.2</v>
      </c>
      <c r="T166">
        <f t="shared" si="18"/>
        <v>-0.2</v>
      </c>
      <c r="U166">
        <f t="shared" si="16"/>
        <v>153.70000000000002</v>
      </c>
      <c r="W166">
        <v>130.9</v>
      </c>
      <c r="X166">
        <f t="shared" si="19"/>
        <v>12898.299999999996</v>
      </c>
      <c r="Y166">
        <v>8.3206661440928436</v>
      </c>
    </row>
    <row r="167" spans="1:25" x14ac:dyDescent="0.25">
      <c r="A167">
        <v>7560</v>
      </c>
      <c r="B167">
        <v>24490</v>
      </c>
      <c r="C167" s="1">
        <v>43112</v>
      </c>
      <c r="F167" s="45"/>
      <c r="G167">
        <v>5.3</v>
      </c>
      <c r="H167">
        <v>5.2</v>
      </c>
      <c r="I167">
        <v>6.9</v>
      </c>
      <c r="J167">
        <f t="shared" ref="J167:J230" si="21">J166+G167</f>
        <v>1127.7000000000005</v>
      </c>
      <c r="K167">
        <f t="shared" ref="K167:K230" si="22">K166+G167</f>
        <v>351.19999999999993</v>
      </c>
      <c r="M167">
        <v>0</v>
      </c>
      <c r="N167">
        <v>0.4</v>
      </c>
      <c r="O167">
        <f t="shared" si="20"/>
        <v>-0.4</v>
      </c>
      <c r="Q167">
        <v>131</v>
      </c>
      <c r="R167">
        <v>1</v>
      </c>
      <c r="S167">
        <f t="shared" si="17"/>
        <v>0.4</v>
      </c>
      <c r="T167">
        <f t="shared" si="18"/>
        <v>-0.4</v>
      </c>
      <c r="U167">
        <f t="shared" ref="U167:U230" si="23">MIN(U166+T167,153.9)</f>
        <v>153.30000000000001</v>
      </c>
      <c r="W167">
        <v>194.6</v>
      </c>
      <c r="X167">
        <f t="shared" si="19"/>
        <v>13092.899999999996</v>
      </c>
      <c r="Y167">
        <v>8.3503361553091828</v>
      </c>
    </row>
    <row r="168" spans="1:25" x14ac:dyDescent="0.25">
      <c r="A168">
        <v>7560</v>
      </c>
      <c r="B168">
        <v>24490</v>
      </c>
      <c r="C168" s="1">
        <v>43113</v>
      </c>
      <c r="E168">
        <v>30</v>
      </c>
      <c r="F168" s="45"/>
      <c r="G168">
        <v>2.9</v>
      </c>
      <c r="H168">
        <v>1.8</v>
      </c>
      <c r="I168">
        <v>5.6</v>
      </c>
      <c r="J168">
        <f t="shared" si="21"/>
        <v>1130.6000000000006</v>
      </c>
      <c r="K168">
        <f t="shared" si="22"/>
        <v>354.09999999999991</v>
      </c>
      <c r="M168">
        <v>0</v>
      </c>
      <c r="N168">
        <v>0.9</v>
      </c>
      <c r="O168">
        <f t="shared" si="20"/>
        <v>-0.9</v>
      </c>
      <c r="Q168">
        <v>132</v>
      </c>
      <c r="R168">
        <v>1</v>
      </c>
      <c r="S168">
        <f t="shared" si="17"/>
        <v>0.9</v>
      </c>
      <c r="T168">
        <f t="shared" si="18"/>
        <v>-0.9</v>
      </c>
      <c r="U168">
        <f t="shared" si="23"/>
        <v>152.4</v>
      </c>
      <c r="W168">
        <v>535.4</v>
      </c>
      <c r="X168">
        <f t="shared" si="19"/>
        <v>13628.299999999996</v>
      </c>
      <c r="Y168">
        <v>8.3811732341914329</v>
      </c>
    </row>
    <row r="169" spans="1:25" x14ac:dyDescent="0.25">
      <c r="A169">
        <v>7560</v>
      </c>
      <c r="B169">
        <v>24490</v>
      </c>
      <c r="C169" s="1">
        <v>43114</v>
      </c>
      <c r="E169">
        <v>31</v>
      </c>
      <c r="F169" s="45"/>
      <c r="G169">
        <v>3.5</v>
      </c>
      <c r="H169">
        <v>0.9</v>
      </c>
      <c r="I169">
        <v>7.3</v>
      </c>
      <c r="J169">
        <f t="shared" si="21"/>
        <v>1134.1000000000006</v>
      </c>
      <c r="K169">
        <f t="shared" si="22"/>
        <v>357.59999999999991</v>
      </c>
      <c r="M169">
        <v>0</v>
      </c>
      <c r="N169">
        <v>0.7</v>
      </c>
      <c r="O169">
        <f t="shared" si="20"/>
        <v>-0.7</v>
      </c>
      <c r="Q169">
        <v>133</v>
      </c>
      <c r="R169">
        <v>1</v>
      </c>
      <c r="S169">
        <f t="shared" si="17"/>
        <v>0.7</v>
      </c>
      <c r="T169">
        <f t="shared" si="18"/>
        <v>-0.7</v>
      </c>
      <c r="U169">
        <f t="shared" si="23"/>
        <v>151.70000000000002</v>
      </c>
      <c r="W169">
        <v>201.3</v>
      </c>
      <c r="X169">
        <f t="shared" si="19"/>
        <v>13829.599999999995</v>
      </c>
      <c r="Y169">
        <v>8.4131539571653615</v>
      </c>
    </row>
    <row r="170" spans="1:25" x14ac:dyDescent="0.25">
      <c r="A170">
        <v>7560</v>
      </c>
      <c r="B170">
        <v>24490</v>
      </c>
      <c r="C170" s="1">
        <v>43115</v>
      </c>
      <c r="F170" s="45"/>
      <c r="G170">
        <v>5.8</v>
      </c>
      <c r="H170">
        <v>2.8</v>
      </c>
      <c r="I170">
        <v>8</v>
      </c>
      <c r="J170">
        <f t="shared" si="21"/>
        <v>1139.9000000000005</v>
      </c>
      <c r="K170">
        <f t="shared" si="22"/>
        <v>363.39999999999992</v>
      </c>
      <c r="M170">
        <v>12.4</v>
      </c>
      <c r="N170">
        <v>0.5</v>
      </c>
      <c r="O170">
        <f t="shared" si="20"/>
        <v>11.9</v>
      </c>
      <c r="Q170">
        <v>134</v>
      </c>
      <c r="R170">
        <v>1</v>
      </c>
      <c r="S170">
        <f t="shared" si="17"/>
        <v>0.5</v>
      </c>
      <c r="T170">
        <f t="shared" si="18"/>
        <v>11.9</v>
      </c>
      <c r="U170">
        <f t="shared" si="23"/>
        <v>153.9</v>
      </c>
      <c r="W170">
        <v>97.6</v>
      </c>
      <c r="X170">
        <f t="shared" si="19"/>
        <v>13927.199999999995</v>
      </c>
      <c r="Y170">
        <v>8.4462544816302447</v>
      </c>
    </row>
    <row r="171" spans="1:25" x14ac:dyDescent="0.25">
      <c r="A171">
        <v>7560</v>
      </c>
      <c r="B171">
        <v>24490</v>
      </c>
      <c r="C171" s="1">
        <v>43116</v>
      </c>
      <c r="F171" s="45"/>
      <c r="G171">
        <v>6.8</v>
      </c>
      <c r="H171">
        <v>4.8</v>
      </c>
      <c r="I171">
        <v>9</v>
      </c>
      <c r="J171">
        <f t="shared" si="21"/>
        <v>1146.7000000000005</v>
      </c>
      <c r="K171">
        <f t="shared" si="22"/>
        <v>370.19999999999993</v>
      </c>
      <c r="M171">
        <v>7.1</v>
      </c>
      <c r="N171">
        <v>1.1000000000000001</v>
      </c>
      <c r="O171">
        <f t="shared" si="20"/>
        <v>6</v>
      </c>
      <c r="Q171">
        <v>135</v>
      </c>
      <c r="R171">
        <v>1</v>
      </c>
      <c r="S171">
        <f t="shared" si="17"/>
        <v>1.1000000000000001</v>
      </c>
      <c r="T171">
        <f t="shared" si="18"/>
        <v>6</v>
      </c>
      <c r="U171">
        <f t="shared" si="23"/>
        <v>153.9</v>
      </c>
      <c r="W171">
        <v>260.2</v>
      </c>
      <c r="X171">
        <f t="shared" si="19"/>
        <v>14187.399999999996</v>
      </c>
      <c r="Y171">
        <v>8.4804506032873856</v>
      </c>
    </row>
    <row r="172" spans="1:25" x14ac:dyDescent="0.25">
      <c r="A172">
        <v>7560</v>
      </c>
      <c r="B172">
        <v>24490</v>
      </c>
      <c r="C172" s="1">
        <v>43117</v>
      </c>
      <c r="E172">
        <v>32</v>
      </c>
      <c r="F172" s="45"/>
      <c r="G172">
        <v>4.5</v>
      </c>
      <c r="H172">
        <v>2.2999999999999998</v>
      </c>
      <c r="I172">
        <v>7.3</v>
      </c>
      <c r="J172">
        <f t="shared" si="21"/>
        <v>1151.2000000000005</v>
      </c>
      <c r="K172">
        <f t="shared" si="22"/>
        <v>374.69999999999993</v>
      </c>
      <c r="M172">
        <v>6.6</v>
      </c>
      <c r="N172">
        <v>1.3</v>
      </c>
      <c r="O172">
        <f t="shared" si="20"/>
        <v>5.3</v>
      </c>
      <c r="Q172">
        <v>136</v>
      </c>
      <c r="R172">
        <v>1</v>
      </c>
      <c r="S172">
        <f t="shared" si="17"/>
        <v>1.3</v>
      </c>
      <c r="T172">
        <f t="shared" si="18"/>
        <v>5.3</v>
      </c>
      <c r="U172">
        <f t="shared" si="23"/>
        <v>153.9</v>
      </c>
      <c r="W172">
        <v>364.7</v>
      </c>
      <c r="X172">
        <f t="shared" si="19"/>
        <v>14552.099999999997</v>
      </c>
      <c r="Y172">
        <v>8.5157178123530173</v>
      </c>
    </row>
    <row r="173" spans="1:25" x14ac:dyDescent="0.25">
      <c r="A173">
        <v>7560</v>
      </c>
      <c r="B173">
        <v>24490</v>
      </c>
      <c r="C173" s="1">
        <v>43118</v>
      </c>
      <c r="F173" s="45"/>
      <c r="G173">
        <v>7.3</v>
      </c>
      <c r="H173">
        <v>4.5999999999999996</v>
      </c>
      <c r="I173">
        <v>10.1</v>
      </c>
      <c r="J173">
        <f t="shared" si="21"/>
        <v>1158.5000000000005</v>
      </c>
      <c r="K173">
        <f t="shared" si="22"/>
        <v>381.99999999999994</v>
      </c>
      <c r="M173">
        <v>7.3</v>
      </c>
      <c r="N173">
        <v>0.7</v>
      </c>
      <c r="O173">
        <f t="shared" si="20"/>
        <v>6.6</v>
      </c>
      <c r="Q173">
        <v>137</v>
      </c>
      <c r="R173">
        <v>1</v>
      </c>
      <c r="S173">
        <f t="shared" si="17"/>
        <v>0.7</v>
      </c>
      <c r="T173">
        <f t="shared" si="18"/>
        <v>6.6</v>
      </c>
      <c r="U173">
        <f t="shared" si="23"/>
        <v>153.9</v>
      </c>
      <c r="W173">
        <v>88.5</v>
      </c>
      <c r="X173">
        <f t="shared" si="19"/>
        <v>14640.599999999997</v>
      </c>
      <c r="Y173">
        <v>8.5520313484455812</v>
      </c>
    </row>
    <row r="174" spans="1:25" x14ac:dyDescent="0.25">
      <c r="A174">
        <v>7560</v>
      </c>
      <c r="B174">
        <v>24490</v>
      </c>
      <c r="C174" s="1">
        <v>43119</v>
      </c>
      <c r="E174">
        <v>33</v>
      </c>
      <c r="F174" s="45"/>
      <c r="G174">
        <v>3.1</v>
      </c>
      <c r="H174">
        <v>2.1</v>
      </c>
      <c r="I174">
        <v>4.5999999999999996</v>
      </c>
      <c r="J174">
        <f t="shared" si="21"/>
        <v>1161.6000000000004</v>
      </c>
      <c r="K174">
        <f t="shared" si="22"/>
        <v>385.09999999999997</v>
      </c>
      <c r="M174">
        <v>2.6</v>
      </c>
      <c r="N174">
        <v>0.4</v>
      </c>
      <c r="O174">
        <f t="shared" si="20"/>
        <v>2.2000000000000002</v>
      </c>
      <c r="Q174">
        <v>138</v>
      </c>
      <c r="R174">
        <v>1</v>
      </c>
      <c r="S174">
        <f t="shared" si="17"/>
        <v>0.4</v>
      </c>
      <c r="T174">
        <f t="shared" si="18"/>
        <v>2.2000000000000002</v>
      </c>
      <c r="U174">
        <f t="shared" si="23"/>
        <v>153.9</v>
      </c>
      <c r="W174">
        <v>155.1</v>
      </c>
      <c r="X174">
        <f t="shared" si="19"/>
        <v>14795.699999999997</v>
      </c>
      <c r="Y174">
        <v>8.58936625395779</v>
      </c>
    </row>
    <row r="175" spans="1:25" x14ac:dyDescent="0.25">
      <c r="A175">
        <v>7560</v>
      </c>
      <c r="B175">
        <v>24490</v>
      </c>
      <c r="C175" s="1">
        <v>43120</v>
      </c>
      <c r="E175">
        <v>34</v>
      </c>
      <c r="F175" s="45"/>
      <c r="G175">
        <v>5</v>
      </c>
      <c r="H175">
        <v>1.9</v>
      </c>
      <c r="I175">
        <v>8.3000000000000007</v>
      </c>
      <c r="J175">
        <f t="shared" si="21"/>
        <v>1166.6000000000004</v>
      </c>
      <c r="K175">
        <f t="shared" si="22"/>
        <v>390.09999999999997</v>
      </c>
      <c r="M175">
        <v>3.8</v>
      </c>
      <c r="N175">
        <v>0.4</v>
      </c>
      <c r="O175">
        <f t="shared" si="20"/>
        <v>3.4</v>
      </c>
      <c r="Q175">
        <v>139</v>
      </c>
      <c r="R175">
        <v>1</v>
      </c>
      <c r="S175">
        <f t="shared" si="17"/>
        <v>0.4</v>
      </c>
      <c r="T175">
        <f t="shared" si="18"/>
        <v>3.4</v>
      </c>
      <c r="U175">
        <f t="shared" si="23"/>
        <v>153.9</v>
      </c>
      <c r="W175">
        <v>100.3</v>
      </c>
      <c r="X175">
        <f t="shared" si="19"/>
        <v>14895.999999999996</v>
      </c>
      <c r="Y175">
        <v>8.6276974257444614</v>
      </c>
    </row>
    <row r="176" spans="1:25" x14ac:dyDescent="0.25">
      <c r="A176">
        <v>7560</v>
      </c>
      <c r="B176">
        <v>24490</v>
      </c>
      <c r="C176" s="1">
        <v>43121</v>
      </c>
      <c r="E176">
        <v>35</v>
      </c>
      <c r="F176" s="45"/>
      <c r="G176">
        <v>4.8</v>
      </c>
      <c r="H176">
        <v>2.9</v>
      </c>
      <c r="I176">
        <v>10.9</v>
      </c>
      <c r="J176">
        <f t="shared" si="21"/>
        <v>1171.4000000000003</v>
      </c>
      <c r="K176">
        <f t="shared" si="22"/>
        <v>394.9</v>
      </c>
      <c r="M176">
        <v>15.1</v>
      </c>
      <c r="N176">
        <v>0.9</v>
      </c>
      <c r="O176">
        <f t="shared" si="20"/>
        <v>14.2</v>
      </c>
      <c r="Q176">
        <v>140</v>
      </c>
      <c r="R176">
        <v>1</v>
      </c>
      <c r="S176">
        <f t="shared" si="17"/>
        <v>0.9</v>
      </c>
      <c r="T176">
        <f t="shared" si="18"/>
        <v>14.2</v>
      </c>
      <c r="U176">
        <f t="shared" si="23"/>
        <v>153.9</v>
      </c>
      <c r="W176">
        <v>133</v>
      </c>
      <c r="X176">
        <f t="shared" si="19"/>
        <v>15028.999999999996</v>
      </c>
      <c r="Y176">
        <v>8.6669996649775207</v>
      </c>
    </row>
    <row r="177" spans="1:25" x14ac:dyDescent="0.25">
      <c r="A177">
        <v>7560</v>
      </c>
      <c r="B177">
        <v>24490</v>
      </c>
      <c r="C177" s="1">
        <v>43122</v>
      </c>
      <c r="F177" s="45"/>
      <c r="G177">
        <v>9.6999999999999993</v>
      </c>
      <c r="H177">
        <v>4</v>
      </c>
      <c r="I177">
        <v>11.8</v>
      </c>
      <c r="J177">
        <f t="shared" si="21"/>
        <v>1181.1000000000004</v>
      </c>
      <c r="K177">
        <f t="shared" si="22"/>
        <v>404.59999999999997</v>
      </c>
      <c r="M177">
        <v>8.6</v>
      </c>
      <c r="N177">
        <v>0.1</v>
      </c>
      <c r="O177">
        <f t="shared" si="20"/>
        <v>8.5</v>
      </c>
      <c r="Q177">
        <v>141</v>
      </c>
      <c r="R177">
        <v>1</v>
      </c>
      <c r="S177">
        <f t="shared" si="17"/>
        <v>0.1</v>
      </c>
      <c r="T177">
        <f t="shared" si="18"/>
        <v>8.5</v>
      </c>
      <c r="U177">
        <f t="shared" si="23"/>
        <v>153.9</v>
      </c>
      <c r="W177">
        <v>92.8</v>
      </c>
      <c r="X177">
        <f t="shared" si="19"/>
        <v>15121.799999999996</v>
      </c>
      <c r="Y177">
        <v>8.7072477250400322</v>
      </c>
    </row>
    <row r="178" spans="1:25" x14ac:dyDescent="0.25">
      <c r="A178">
        <v>7560</v>
      </c>
      <c r="B178">
        <v>24490</v>
      </c>
      <c r="C178" s="1">
        <v>43123</v>
      </c>
      <c r="F178" s="45"/>
      <c r="G178">
        <v>8.6</v>
      </c>
      <c r="H178">
        <v>6.8</v>
      </c>
      <c r="I178">
        <v>10.199999999999999</v>
      </c>
      <c r="J178">
        <f t="shared" si="21"/>
        <v>1189.7000000000003</v>
      </c>
      <c r="K178">
        <f t="shared" si="22"/>
        <v>413.2</v>
      </c>
      <c r="M178">
        <v>0.6</v>
      </c>
      <c r="N178">
        <v>0.8</v>
      </c>
      <c r="O178">
        <f t="shared" si="20"/>
        <v>-0.20000000000000007</v>
      </c>
      <c r="Q178">
        <v>142</v>
      </c>
      <c r="R178">
        <v>1</v>
      </c>
      <c r="S178">
        <f t="shared" si="17"/>
        <v>0.8</v>
      </c>
      <c r="T178">
        <f t="shared" si="18"/>
        <v>-0.20000000000000007</v>
      </c>
      <c r="U178">
        <f t="shared" si="23"/>
        <v>153.70000000000002</v>
      </c>
      <c r="W178">
        <v>178.4</v>
      </c>
      <c r="X178">
        <f t="shared" si="19"/>
        <v>15300.199999999995</v>
      </c>
      <c r="Y178">
        <v>8.7484163573507772</v>
      </c>
    </row>
    <row r="179" spans="1:25" x14ac:dyDescent="0.25">
      <c r="A179">
        <v>7560</v>
      </c>
      <c r="B179">
        <v>24490</v>
      </c>
      <c r="C179" s="1">
        <v>43124</v>
      </c>
      <c r="F179" s="45"/>
      <c r="G179">
        <v>10.6</v>
      </c>
      <c r="H179">
        <v>8.9</v>
      </c>
      <c r="I179">
        <v>11.7</v>
      </c>
      <c r="J179">
        <f t="shared" si="21"/>
        <v>1200.3000000000002</v>
      </c>
      <c r="K179">
        <f t="shared" si="22"/>
        <v>423.8</v>
      </c>
      <c r="M179">
        <v>6.4</v>
      </c>
      <c r="N179">
        <v>0.7</v>
      </c>
      <c r="O179">
        <f t="shared" si="20"/>
        <v>5.7</v>
      </c>
      <c r="Q179">
        <v>143</v>
      </c>
      <c r="R179">
        <v>1</v>
      </c>
      <c r="S179">
        <f t="shared" si="17"/>
        <v>0.7</v>
      </c>
      <c r="T179">
        <f t="shared" si="18"/>
        <v>5.7</v>
      </c>
      <c r="U179">
        <f t="shared" si="23"/>
        <v>153.9</v>
      </c>
      <c r="W179">
        <v>117.3</v>
      </c>
      <c r="X179">
        <f t="shared" si="19"/>
        <v>15417.499999999995</v>
      </c>
      <c r="Y179">
        <v>8.7904803550301178</v>
      </c>
    </row>
    <row r="180" spans="1:25" x14ac:dyDescent="0.25">
      <c r="A180">
        <v>7560</v>
      </c>
      <c r="B180">
        <v>24490</v>
      </c>
      <c r="C180" s="1">
        <v>43125</v>
      </c>
      <c r="F180" s="45"/>
      <c r="G180">
        <v>8.1</v>
      </c>
      <c r="H180">
        <v>6.7</v>
      </c>
      <c r="I180">
        <v>9</v>
      </c>
      <c r="J180">
        <f t="shared" si="21"/>
        <v>1208.4000000000001</v>
      </c>
      <c r="K180">
        <f t="shared" si="22"/>
        <v>431.90000000000003</v>
      </c>
      <c r="M180">
        <v>13.6</v>
      </c>
      <c r="N180">
        <v>0.3</v>
      </c>
      <c r="O180">
        <f t="shared" si="20"/>
        <v>13.299999999999999</v>
      </c>
      <c r="Q180">
        <v>144</v>
      </c>
      <c r="R180">
        <v>1</v>
      </c>
      <c r="S180">
        <f t="shared" si="17"/>
        <v>0.3</v>
      </c>
      <c r="T180">
        <f t="shared" si="18"/>
        <v>13.299999999999999</v>
      </c>
      <c r="U180">
        <f t="shared" si="23"/>
        <v>153.9</v>
      </c>
      <c r="W180">
        <v>111.5</v>
      </c>
      <c r="X180">
        <f t="shared" si="19"/>
        <v>15528.999999999995</v>
      </c>
      <c r="Y180">
        <v>8.8334145943363751</v>
      </c>
    </row>
    <row r="181" spans="1:25" x14ac:dyDescent="0.25">
      <c r="A181">
        <v>7560</v>
      </c>
      <c r="B181">
        <v>24490</v>
      </c>
      <c r="C181" s="1">
        <v>43126</v>
      </c>
      <c r="F181" s="45"/>
      <c r="G181">
        <v>5.8</v>
      </c>
      <c r="H181">
        <v>5.7</v>
      </c>
      <c r="I181">
        <v>6.6</v>
      </c>
      <c r="J181">
        <f t="shared" si="21"/>
        <v>1214.2</v>
      </c>
      <c r="K181">
        <f t="shared" si="22"/>
        <v>437.70000000000005</v>
      </c>
      <c r="M181">
        <v>0</v>
      </c>
      <c r="N181">
        <v>0.3</v>
      </c>
      <c r="O181">
        <f t="shared" si="20"/>
        <v>-0.3</v>
      </c>
      <c r="Q181">
        <v>145</v>
      </c>
      <c r="R181">
        <v>1</v>
      </c>
      <c r="S181">
        <f t="shared" si="17"/>
        <v>0.3</v>
      </c>
      <c r="T181">
        <f t="shared" si="18"/>
        <v>-0.3</v>
      </c>
      <c r="U181">
        <f t="shared" si="23"/>
        <v>153.6</v>
      </c>
      <c r="W181">
        <v>139.19999999999999</v>
      </c>
      <c r="X181">
        <f t="shared" si="19"/>
        <v>15668.199999999995</v>
      </c>
      <c r="Y181">
        <v>8.8771940738192932</v>
      </c>
    </row>
    <row r="182" spans="1:25" x14ac:dyDescent="0.25">
      <c r="A182">
        <v>7560</v>
      </c>
      <c r="B182">
        <v>24490</v>
      </c>
      <c r="C182" s="1">
        <v>43127</v>
      </c>
      <c r="E182">
        <v>36</v>
      </c>
      <c r="F182" s="45"/>
      <c r="G182">
        <v>3.4</v>
      </c>
      <c r="H182">
        <v>2.9</v>
      </c>
      <c r="I182">
        <v>4.4000000000000004</v>
      </c>
      <c r="J182">
        <f t="shared" si="21"/>
        <v>1217.6000000000001</v>
      </c>
      <c r="K182">
        <f t="shared" si="22"/>
        <v>441.1</v>
      </c>
      <c r="M182">
        <v>1</v>
      </c>
      <c r="N182">
        <v>0.3</v>
      </c>
      <c r="O182">
        <f t="shared" si="20"/>
        <v>0.7</v>
      </c>
      <c r="Q182">
        <v>146</v>
      </c>
      <c r="R182">
        <v>1</v>
      </c>
      <c r="S182">
        <f t="shared" si="17"/>
        <v>0.3</v>
      </c>
      <c r="T182">
        <f t="shared" si="18"/>
        <v>0.7</v>
      </c>
      <c r="U182">
        <f t="shared" si="23"/>
        <v>153.9</v>
      </c>
      <c r="W182">
        <v>166.6</v>
      </c>
      <c r="X182">
        <f t="shared" si="19"/>
        <v>15834.799999999996</v>
      </c>
      <c r="Y182">
        <v>8.9217939511537772</v>
      </c>
    </row>
    <row r="183" spans="1:25" x14ac:dyDescent="0.25">
      <c r="A183">
        <v>7560</v>
      </c>
      <c r="B183">
        <v>24490</v>
      </c>
      <c r="C183" s="1">
        <v>43128</v>
      </c>
      <c r="E183" t="s">
        <v>36</v>
      </c>
      <c r="F183" s="45"/>
      <c r="G183">
        <v>6.1</v>
      </c>
      <c r="H183">
        <v>3.5</v>
      </c>
      <c r="I183">
        <v>8.1</v>
      </c>
      <c r="J183">
        <f t="shared" si="21"/>
        <v>1223.7</v>
      </c>
      <c r="K183">
        <f t="shared" si="22"/>
        <v>447.20000000000005</v>
      </c>
      <c r="M183">
        <v>0.9</v>
      </c>
      <c r="N183">
        <v>0.2</v>
      </c>
      <c r="O183">
        <f t="shared" si="20"/>
        <v>0.7</v>
      </c>
      <c r="Q183">
        <v>147</v>
      </c>
      <c r="R183">
        <v>1</v>
      </c>
      <c r="S183">
        <f t="shared" si="17"/>
        <v>0.2</v>
      </c>
      <c r="T183">
        <f t="shared" si="18"/>
        <v>0.7</v>
      </c>
      <c r="U183">
        <f t="shared" si="23"/>
        <v>153.9</v>
      </c>
      <c r="W183">
        <v>40.200000000000003</v>
      </c>
      <c r="X183">
        <f t="shared" si="19"/>
        <v>15874.999999999996</v>
      </c>
      <c r="Y183">
        <v>8.9671895776324355</v>
      </c>
    </row>
    <row r="184" spans="1:25" x14ac:dyDescent="0.25">
      <c r="A184">
        <v>7560</v>
      </c>
      <c r="B184">
        <v>24490</v>
      </c>
      <c r="C184" s="1">
        <v>43129</v>
      </c>
      <c r="F184" s="45"/>
      <c r="G184">
        <v>8.5</v>
      </c>
      <c r="H184">
        <v>7.6</v>
      </c>
      <c r="I184">
        <v>9.3000000000000007</v>
      </c>
      <c r="J184">
        <f t="shared" si="21"/>
        <v>1232.2</v>
      </c>
      <c r="K184">
        <f t="shared" si="22"/>
        <v>455.70000000000005</v>
      </c>
      <c r="M184">
        <v>0.1</v>
      </c>
      <c r="N184">
        <v>0.3</v>
      </c>
      <c r="O184">
        <f t="shared" si="20"/>
        <v>-0.19999999999999998</v>
      </c>
      <c r="Q184">
        <v>148</v>
      </c>
      <c r="R184">
        <v>1</v>
      </c>
      <c r="S184">
        <f t="shared" si="17"/>
        <v>0.3</v>
      </c>
      <c r="T184">
        <f t="shared" si="18"/>
        <v>-0.19999999999999998</v>
      </c>
      <c r="U184">
        <f t="shared" si="23"/>
        <v>153.70000000000002</v>
      </c>
      <c r="W184">
        <v>97.2</v>
      </c>
      <c r="X184">
        <f t="shared" si="19"/>
        <v>15972.199999999997</v>
      </c>
      <c r="Y184">
        <v>9.0133565303097765</v>
      </c>
    </row>
    <row r="185" spans="1:25" x14ac:dyDescent="0.25">
      <c r="A185">
        <v>7560</v>
      </c>
      <c r="B185">
        <v>24490</v>
      </c>
      <c r="C185" s="1">
        <v>43130</v>
      </c>
      <c r="F185" s="45"/>
      <c r="G185">
        <v>8.6</v>
      </c>
      <c r="H185">
        <v>7.7</v>
      </c>
      <c r="I185">
        <v>9.5</v>
      </c>
      <c r="J185">
        <f t="shared" si="21"/>
        <v>1240.8</v>
      </c>
      <c r="K185">
        <f t="shared" si="22"/>
        <v>464.30000000000007</v>
      </c>
      <c r="M185">
        <v>0.9</v>
      </c>
      <c r="N185">
        <v>0.5</v>
      </c>
      <c r="O185">
        <f t="shared" si="20"/>
        <v>0.4</v>
      </c>
      <c r="Q185">
        <v>149</v>
      </c>
      <c r="R185">
        <v>1</v>
      </c>
      <c r="S185">
        <f t="shared" si="17"/>
        <v>0.5</v>
      </c>
      <c r="T185">
        <f t="shared" si="18"/>
        <v>0.4</v>
      </c>
      <c r="U185">
        <f t="shared" si="23"/>
        <v>153.9</v>
      </c>
      <c r="W185">
        <v>266.2</v>
      </c>
      <c r="X185">
        <f t="shared" si="19"/>
        <v>16238.399999999998</v>
      </c>
      <c r="Y185">
        <v>9.0602706418039549</v>
      </c>
    </row>
    <row r="186" spans="1:25" x14ac:dyDescent="0.25">
      <c r="A186">
        <v>7560</v>
      </c>
      <c r="B186">
        <v>24490</v>
      </c>
      <c r="C186" s="1">
        <v>43131</v>
      </c>
      <c r="F186" s="45"/>
      <c r="G186">
        <v>7.1</v>
      </c>
      <c r="H186">
        <v>7</v>
      </c>
      <c r="I186">
        <v>7.6</v>
      </c>
      <c r="J186">
        <f t="shared" si="21"/>
        <v>1247.8999999999999</v>
      </c>
      <c r="K186">
        <f t="shared" si="22"/>
        <v>471.40000000000009</v>
      </c>
      <c r="M186">
        <v>14.3</v>
      </c>
      <c r="N186">
        <v>0.5</v>
      </c>
      <c r="O186">
        <f t="shared" si="20"/>
        <v>13.8</v>
      </c>
      <c r="Q186">
        <v>150</v>
      </c>
      <c r="R186">
        <v>1</v>
      </c>
      <c r="S186">
        <f t="shared" si="17"/>
        <v>0.5</v>
      </c>
      <c r="T186">
        <f t="shared" si="18"/>
        <v>13.8</v>
      </c>
      <c r="U186">
        <f t="shared" si="23"/>
        <v>153.9</v>
      </c>
      <c r="W186">
        <v>108.2</v>
      </c>
      <c r="X186">
        <f t="shared" si="19"/>
        <v>16346.599999999999</v>
      </c>
      <c r="Y186">
        <v>9.1079080277739823</v>
      </c>
    </row>
    <row r="187" spans="1:25" x14ac:dyDescent="0.25">
      <c r="A187">
        <v>7560</v>
      </c>
      <c r="B187">
        <v>24490</v>
      </c>
      <c r="C187" s="1">
        <v>43132</v>
      </c>
      <c r="F187" s="45"/>
      <c r="G187">
        <v>2.2999999999999998</v>
      </c>
      <c r="H187">
        <v>0.6</v>
      </c>
      <c r="I187">
        <v>3.2</v>
      </c>
      <c r="J187">
        <f t="shared" si="21"/>
        <v>1250.1999999999998</v>
      </c>
      <c r="K187">
        <f t="shared" si="22"/>
        <v>473.7000000000001</v>
      </c>
      <c r="M187">
        <v>0.7</v>
      </c>
      <c r="N187">
        <v>0.2</v>
      </c>
      <c r="O187">
        <f t="shared" si="20"/>
        <v>0.49999999999999994</v>
      </c>
      <c r="Q187">
        <v>151</v>
      </c>
      <c r="R187">
        <v>1</v>
      </c>
      <c r="S187">
        <f t="shared" si="17"/>
        <v>0.2</v>
      </c>
      <c r="T187">
        <f t="shared" si="18"/>
        <v>0.49999999999999994</v>
      </c>
      <c r="U187">
        <f t="shared" si="23"/>
        <v>153.9</v>
      </c>
      <c r="W187">
        <v>100.4</v>
      </c>
      <c r="X187">
        <f t="shared" si="19"/>
        <v>16447</v>
      </c>
      <c r="Y187">
        <v>9.1562451121009634</v>
      </c>
    </row>
    <row r="188" spans="1:25" x14ac:dyDescent="0.25">
      <c r="A188">
        <v>7560</v>
      </c>
      <c r="B188">
        <v>24490</v>
      </c>
      <c r="C188" s="1">
        <v>43133</v>
      </c>
      <c r="F188" s="45"/>
      <c r="G188">
        <v>2.8</v>
      </c>
      <c r="H188">
        <v>0.7</v>
      </c>
      <c r="I188">
        <v>5.2</v>
      </c>
      <c r="J188">
        <f t="shared" si="21"/>
        <v>1252.9999999999998</v>
      </c>
      <c r="K188">
        <f t="shared" si="22"/>
        <v>476.50000000000011</v>
      </c>
      <c r="M188">
        <v>2.1</v>
      </c>
      <c r="N188">
        <v>0.4</v>
      </c>
      <c r="O188">
        <f t="shared" si="20"/>
        <v>1.7000000000000002</v>
      </c>
      <c r="Q188">
        <v>152</v>
      </c>
      <c r="R188">
        <v>1</v>
      </c>
      <c r="S188">
        <f t="shared" si="17"/>
        <v>0.4</v>
      </c>
      <c r="T188">
        <f t="shared" si="18"/>
        <v>1.7000000000000002</v>
      </c>
      <c r="U188">
        <f t="shared" si="23"/>
        <v>153.9</v>
      </c>
      <c r="W188">
        <v>176.2</v>
      </c>
      <c r="X188">
        <f t="shared" si="19"/>
        <v>16623.2</v>
      </c>
      <c r="Y188">
        <v>9.20525864981159</v>
      </c>
    </row>
    <row r="189" spans="1:25" x14ac:dyDescent="0.25">
      <c r="A189">
        <v>7560</v>
      </c>
      <c r="B189">
        <v>24490</v>
      </c>
      <c r="C189" s="1">
        <v>43134</v>
      </c>
      <c r="F189" s="45"/>
      <c r="G189">
        <v>2.5</v>
      </c>
      <c r="H189">
        <v>1.6</v>
      </c>
      <c r="I189">
        <v>3.7</v>
      </c>
      <c r="J189">
        <f t="shared" si="21"/>
        <v>1255.4999999999998</v>
      </c>
      <c r="K189">
        <f t="shared" si="22"/>
        <v>479.00000000000011</v>
      </c>
      <c r="M189">
        <v>2.1</v>
      </c>
      <c r="N189">
        <v>0.2</v>
      </c>
      <c r="O189">
        <f t="shared" si="20"/>
        <v>1.9000000000000001</v>
      </c>
      <c r="Q189">
        <v>153</v>
      </c>
      <c r="R189">
        <v>1</v>
      </c>
      <c r="S189">
        <f t="shared" si="17"/>
        <v>0.2</v>
      </c>
      <c r="T189">
        <f t="shared" si="18"/>
        <v>1.9000000000000001</v>
      </c>
      <c r="U189">
        <f t="shared" si="23"/>
        <v>153.9</v>
      </c>
      <c r="W189">
        <v>208.8</v>
      </c>
      <c r="X189">
        <f t="shared" si="19"/>
        <v>16832</v>
      </c>
      <c r="Y189">
        <v>9.2549257477904625</v>
      </c>
    </row>
    <row r="190" spans="1:25" x14ac:dyDescent="0.25">
      <c r="A190">
        <v>7560</v>
      </c>
      <c r="B190">
        <v>24490</v>
      </c>
      <c r="C190" s="1">
        <v>43135</v>
      </c>
      <c r="F190" s="45"/>
      <c r="G190">
        <v>0.7</v>
      </c>
      <c r="H190">
        <v>-0.1</v>
      </c>
      <c r="I190">
        <v>1.5</v>
      </c>
      <c r="J190">
        <f t="shared" si="21"/>
        <v>1256.1999999999998</v>
      </c>
      <c r="K190">
        <f t="shared" si="22"/>
        <v>479.7000000000001</v>
      </c>
      <c r="M190">
        <v>0.1</v>
      </c>
      <c r="N190">
        <v>0.3</v>
      </c>
      <c r="O190">
        <f t="shared" si="20"/>
        <v>-0.19999999999999998</v>
      </c>
      <c r="Q190">
        <v>154</v>
      </c>
      <c r="R190">
        <v>1</v>
      </c>
      <c r="S190">
        <f t="shared" si="17"/>
        <v>0.3</v>
      </c>
      <c r="T190">
        <f t="shared" si="18"/>
        <v>-0.19999999999999998</v>
      </c>
      <c r="U190">
        <f t="shared" si="23"/>
        <v>153.70000000000002</v>
      </c>
      <c r="W190">
        <v>144.5</v>
      </c>
      <c r="X190">
        <f t="shared" si="19"/>
        <v>16976.5</v>
      </c>
      <c r="Y190">
        <v>9.3052238833352785</v>
      </c>
    </row>
    <row r="191" spans="1:25" x14ac:dyDescent="0.25">
      <c r="A191">
        <v>7560</v>
      </c>
      <c r="B191">
        <v>24490</v>
      </c>
      <c r="C191" s="1">
        <v>43136</v>
      </c>
      <c r="F191" s="45"/>
      <c r="G191">
        <v>0.3</v>
      </c>
      <c r="H191">
        <v>-1.6</v>
      </c>
      <c r="I191">
        <v>1.8</v>
      </c>
      <c r="J191">
        <f t="shared" si="21"/>
        <v>1256.4999999999998</v>
      </c>
      <c r="K191">
        <f t="shared" si="22"/>
        <v>480.00000000000011</v>
      </c>
      <c r="M191">
        <v>1</v>
      </c>
      <c r="N191">
        <v>0.5</v>
      </c>
      <c r="O191">
        <f t="shared" si="20"/>
        <v>0.5</v>
      </c>
      <c r="Q191">
        <v>155</v>
      </c>
      <c r="R191">
        <v>1</v>
      </c>
      <c r="S191">
        <f t="shared" si="17"/>
        <v>0.5</v>
      </c>
      <c r="T191">
        <f t="shared" si="18"/>
        <v>0.5</v>
      </c>
      <c r="U191">
        <f t="shared" si="23"/>
        <v>153.9</v>
      </c>
      <c r="W191">
        <v>346.1</v>
      </c>
      <c r="X191">
        <f t="shared" si="19"/>
        <v>17322.599999999999</v>
      </c>
      <c r="Y191">
        <v>9.3561309206150547</v>
      </c>
    </row>
    <row r="192" spans="1:25" x14ac:dyDescent="0.25">
      <c r="A192">
        <v>7560</v>
      </c>
      <c r="B192">
        <v>24490</v>
      </c>
      <c r="C192" s="1">
        <v>43137</v>
      </c>
      <c r="F192" s="45"/>
      <c r="G192">
        <v>0.4</v>
      </c>
      <c r="H192">
        <v>-0.2</v>
      </c>
      <c r="I192">
        <v>1.2</v>
      </c>
      <c r="J192">
        <f t="shared" si="21"/>
        <v>1256.8999999999999</v>
      </c>
      <c r="K192">
        <f t="shared" si="22"/>
        <v>480.40000000000009</v>
      </c>
      <c r="M192">
        <v>3.1</v>
      </c>
      <c r="N192">
        <v>0.3</v>
      </c>
      <c r="O192">
        <f t="shared" si="20"/>
        <v>2.8000000000000003</v>
      </c>
      <c r="Q192">
        <v>156</v>
      </c>
      <c r="R192">
        <v>1</v>
      </c>
      <c r="S192">
        <f t="shared" si="17"/>
        <v>0.3</v>
      </c>
      <c r="T192">
        <f t="shared" si="18"/>
        <v>2.8000000000000003</v>
      </c>
      <c r="U192">
        <f t="shared" si="23"/>
        <v>153.9</v>
      </c>
      <c r="W192">
        <v>160</v>
      </c>
      <c r="X192">
        <f t="shared" si="19"/>
        <v>17482.599999999999</v>
      </c>
      <c r="Y192">
        <v>9.4076251250969811</v>
      </c>
    </row>
    <row r="193" spans="1:25" x14ac:dyDescent="0.25">
      <c r="A193">
        <v>7560</v>
      </c>
      <c r="B193">
        <v>24490</v>
      </c>
      <c r="C193" s="1">
        <v>43138</v>
      </c>
      <c r="F193" s="45"/>
      <c r="G193">
        <v>-0.9</v>
      </c>
      <c r="H193">
        <v>-1.6</v>
      </c>
      <c r="I193">
        <v>-0.3</v>
      </c>
      <c r="J193">
        <v>1256.9000000000001</v>
      </c>
      <c r="K193">
        <v>480.4</v>
      </c>
      <c r="M193">
        <v>0.4</v>
      </c>
      <c r="N193">
        <v>0.2</v>
      </c>
      <c r="O193">
        <f t="shared" si="20"/>
        <v>0.2</v>
      </c>
      <c r="Q193">
        <v>157</v>
      </c>
      <c r="R193">
        <v>1</v>
      </c>
      <c r="S193">
        <f t="shared" si="17"/>
        <v>0.2</v>
      </c>
      <c r="T193">
        <f t="shared" si="18"/>
        <v>0.2</v>
      </c>
      <c r="U193">
        <f t="shared" si="23"/>
        <v>153.9</v>
      </c>
      <c r="W193">
        <v>117.2</v>
      </c>
      <c r="X193">
        <f t="shared" si="19"/>
        <v>17599.8</v>
      </c>
      <c r="Y193">
        <v>9.4596851760117246</v>
      </c>
    </row>
    <row r="194" spans="1:25" x14ac:dyDescent="0.25">
      <c r="A194">
        <v>7560</v>
      </c>
      <c r="B194">
        <v>24490</v>
      </c>
      <c r="C194" s="1">
        <v>43139</v>
      </c>
      <c r="F194" s="45"/>
      <c r="G194">
        <v>-3.9</v>
      </c>
      <c r="H194">
        <v>-4.7</v>
      </c>
      <c r="I194">
        <v>-1.8</v>
      </c>
      <c r="J194">
        <v>1256.9000000000001</v>
      </c>
      <c r="K194">
        <v>480.4</v>
      </c>
      <c r="M194">
        <v>0</v>
      </c>
      <c r="N194">
        <v>0.4</v>
      </c>
      <c r="O194">
        <f t="shared" si="20"/>
        <v>-0.4</v>
      </c>
      <c r="Q194">
        <v>158</v>
      </c>
      <c r="R194">
        <v>1</v>
      </c>
      <c r="S194">
        <f t="shared" si="17"/>
        <v>0.4</v>
      </c>
      <c r="T194">
        <f t="shared" si="18"/>
        <v>-0.4</v>
      </c>
      <c r="U194">
        <f t="shared" si="23"/>
        <v>153.5</v>
      </c>
      <c r="W194">
        <v>501.3</v>
      </c>
      <c r="X194">
        <f t="shared" si="19"/>
        <v>18101.099999999999</v>
      </c>
      <c r="Y194">
        <v>9.5122901769305308</v>
      </c>
    </row>
    <row r="195" spans="1:25" x14ac:dyDescent="0.25">
      <c r="A195">
        <v>7560</v>
      </c>
      <c r="B195">
        <v>24490</v>
      </c>
      <c r="C195" s="1">
        <v>43140</v>
      </c>
      <c r="F195" s="45"/>
      <c r="G195">
        <v>-1.1000000000000001</v>
      </c>
      <c r="H195">
        <v>-6.3</v>
      </c>
      <c r="I195">
        <v>0.5</v>
      </c>
      <c r="J195">
        <v>1256.9000000000001</v>
      </c>
      <c r="K195">
        <v>480.4</v>
      </c>
      <c r="M195">
        <v>0.8</v>
      </c>
      <c r="N195">
        <v>0</v>
      </c>
      <c r="O195">
        <f t="shared" si="20"/>
        <v>0.8</v>
      </c>
      <c r="Q195">
        <v>159</v>
      </c>
      <c r="R195">
        <v>1</v>
      </c>
      <c r="S195">
        <f t="shared" si="17"/>
        <v>0</v>
      </c>
      <c r="T195">
        <f t="shared" si="18"/>
        <v>0.8</v>
      </c>
      <c r="U195">
        <f t="shared" si="23"/>
        <v>153.9</v>
      </c>
      <c r="W195">
        <v>229.7</v>
      </c>
      <c r="X195">
        <f t="shared" si="19"/>
        <v>18330.8</v>
      </c>
      <c r="Y195">
        <v>9.5654196645300527</v>
      </c>
    </row>
    <row r="196" spans="1:25" x14ac:dyDescent="0.25">
      <c r="A196">
        <v>7560</v>
      </c>
      <c r="B196">
        <v>24490</v>
      </c>
      <c r="C196" s="1">
        <v>43141</v>
      </c>
      <c r="F196" s="45"/>
      <c r="G196">
        <v>0.2</v>
      </c>
      <c r="H196">
        <v>-0.6</v>
      </c>
      <c r="I196">
        <v>1.9</v>
      </c>
      <c r="J196">
        <f t="shared" si="21"/>
        <v>1257.1000000000001</v>
      </c>
      <c r="K196">
        <f t="shared" si="22"/>
        <v>480.59999999999997</v>
      </c>
      <c r="M196">
        <v>3.3</v>
      </c>
      <c r="N196">
        <v>0.6</v>
      </c>
      <c r="O196">
        <f t="shared" si="20"/>
        <v>2.6999999999999997</v>
      </c>
      <c r="Q196">
        <v>160</v>
      </c>
      <c r="R196">
        <v>1</v>
      </c>
      <c r="S196">
        <f t="shared" si="17"/>
        <v>0.6</v>
      </c>
      <c r="T196">
        <f t="shared" si="18"/>
        <v>2.6999999999999997</v>
      </c>
      <c r="U196">
        <f t="shared" si="23"/>
        <v>153.9</v>
      </c>
      <c r="W196">
        <v>646.70000000000005</v>
      </c>
      <c r="X196">
        <f t="shared" si="19"/>
        <v>18977.5</v>
      </c>
      <c r="Y196">
        <v>9.6190536156227715</v>
      </c>
    </row>
    <row r="197" spans="1:25" x14ac:dyDescent="0.25">
      <c r="A197">
        <v>7560</v>
      </c>
      <c r="B197">
        <v>24490</v>
      </c>
      <c r="C197" s="1">
        <v>43142</v>
      </c>
      <c r="F197" s="45"/>
      <c r="G197">
        <v>2.9</v>
      </c>
      <c r="H197">
        <v>-0.3</v>
      </c>
      <c r="I197">
        <v>6</v>
      </c>
      <c r="J197">
        <f t="shared" si="21"/>
        <v>1260.0000000000002</v>
      </c>
      <c r="K197">
        <f t="shared" si="22"/>
        <v>483.49999999999994</v>
      </c>
      <c r="M197">
        <v>0.8</v>
      </c>
      <c r="N197">
        <v>0.6</v>
      </c>
      <c r="O197">
        <f t="shared" si="20"/>
        <v>0.20000000000000007</v>
      </c>
      <c r="Q197">
        <v>161</v>
      </c>
      <c r="R197">
        <v>1</v>
      </c>
      <c r="S197">
        <f t="shared" ref="S197:S260" si="24">R197*N197</f>
        <v>0.6</v>
      </c>
      <c r="T197">
        <f t="shared" ref="T197:T260" si="25">M197-S197</f>
        <v>0.20000000000000007</v>
      </c>
      <c r="U197">
        <f t="shared" si="23"/>
        <v>153.9</v>
      </c>
      <c r="W197">
        <v>600.79999999999995</v>
      </c>
      <c r="X197">
        <f t="shared" si="19"/>
        <v>19578.3</v>
      </c>
      <c r="Y197">
        <v>9.6731724525320111</v>
      </c>
    </row>
    <row r="198" spans="1:25" x14ac:dyDescent="0.25">
      <c r="A198">
        <v>7560</v>
      </c>
      <c r="B198">
        <v>24490</v>
      </c>
      <c r="C198" s="1">
        <v>43143</v>
      </c>
      <c r="F198" s="45"/>
      <c r="G198">
        <v>0.4</v>
      </c>
      <c r="H198">
        <v>-1.2</v>
      </c>
      <c r="I198">
        <v>3.3</v>
      </c>
      <c r="J198">
        <f t="shared" si="21"/>
        <v>1260.4000000000003</v>
      </c>
      <c r="K198">
        <f t="shared" si="22"/>
        <v>483.89999999999992</v>
      </c>
      <c r="M198">
        <v>0</v>
      </c>
      <c r="N198">
        <v>1</v>
      </c>
      <c r="O198">
        <f t="shared" si="20"/>
        <v>-1</v>
      </c>
      <c r="Q198">
        <v>162</v>
      </c>
      <c r="R198">
        <v>1</v>
      </c>
      <c r="S198">
        <f t="shared" si="24"/>
        <v>1</v>
      </c>
      <c r="T198">
        <f t="shared" si="25"/>
        <v>-1</v>
      </c>
      <c r="U198">
        <f t="shared" si="23"/>
        <v>152.9</v>
      </c>
      <c r="W198">
        <v>1086.9000000000001</v>
      </c>
      <c r="X198">
        <f t="shared" ref="X198:X261" si="26">X197+W198</f>
        <v>20665.2</v>
      </c>
      <c r="Y198">
        <v>9.7277570468911634</v>
      </c>
    </row>
    <row r="199" spans="1:25" x14ac:dyDescent="0.25">
      <c r="A199">
        <v>7560</v>
      </c>
      <c r="B199">
        <v>24490</v>
      </c>
      <c r="C199" s="1">
        <v>43144</v>
      </c>
      <c r="F199" s="45"/>
      <c r="G199">
        <v>0.4</v>
      </c>
      <c r="H199">
        <v>-2.7</v>
      </c>
      <c r="I199">
        <v>4.2</v>
      </c>
      <c r="J199">
        <f t="shared" si="21"/>
        <v>1260.8000000000004</v>
      </c>
      <c r="K199">
        <f t="shared" si="22"/>
        <v>484.2999999999999</v>
      </c>
      <c r="M199">
        <v>0</v>
      </c>
      <c r="N199">
        <v>1.2</v>
      </c>
      <c r="O199">
        <f t="shared" si="20"/>
        <v>-1.2</v>
      </c>
      <c r="Q199">
        <v>163</v>
      </c>
      <c r="R199">
        <v>1</v>
      </c>
      <c r="S199">
        <f t="shared" si="24"/>
        <v>1.2</v>
      </c>
      <c r="T199">
        <f t="shared" si="25"/>
        <v>-1.2</v>
      </c>
      <c r="U199">
        <f t="shared" si="23"/>
        <v>151.70000000000002</v>
      </c>
      <c r="W199">
        <v>994.4</v>
      </c>
      <c r="X199">
        <f t="shared" si="26"/>
        <v>21659.600000000002</v>
      </c>
      <c r="Y199">
        <v>9.7827887219467176</v>
      </c>
    </row>
    <row r="200" spans="1:25" x14ac:dyDescent="0.25">
      <c r="A200">
        <v>7560</v>
      </c>
      <c r="B200">
        <v>24490</v>
      </c>
      <c r="C200" s="1">
        <v>43145</v>
      </c>
      <c r="F200" s="45"/>
      <c r="G200">
        <v>2.1</v>
      </c>
      <c r="H200">
        <v>-1.5</v>
      </c>
      <c r="I200">
        <v>4.9000000000000004</v>
      </c>
      <c r="J200">
        <f t="shared" si="21"/>
        <v>1262.9000000000003</v>
      </c>
      <c r="K200">
        <f t="shared" si="22"/>
        <v>486.39999999999992</v>
      </c>
      <c r="M200">
        <v>9.1999999999999993</v>
      </c>
      <c r="N200">
        <v>0.9</v>
      </c>
      <c r="O200">
        <f t="shared" ref="O200:O263" si="27">M200-N200</f>
        <v>8.2999999999999989</v>
      </c>
      <c r="Q200">
        <v>164</v>
      </c>
      <c r="R200">
        <v>1</v>
      </c>
      <c r="S200">
        <f t="shared" si="24"/>
        <v>0.9</v>
      </c>
      <c r="T200">
        <f t="shared" si="25"/>
        <v>8.2999999999999989</v>
      </c>
      <c r="U200">
        <f t="shared" si="23"/>
        <v>153.9</v>
      </c>
      <c r="W200">
        <v>864.9</v>
      </c>
      <c r="X200">
        <f t="shared" si="26"/>
        <v>22524.500000000004</v>
      </c>
      <c r="Y200">
        <v>9.8382492534442108</v>
      </c>
    </row>
    <row r="201" spans="1:25" x14ac:dyDescent="0.25">
      <c r="A201">
        <v>7560</v>
      </c>
      <c r="B201">
        <v>24490</v>
      </c>
      <c r="C201" s="1">
        <v>43146</v>
      </c>
      <c r="F201" s="45"/>
      <c r="G201">
        <v>6.8</v>
      </c>
      <c r="H201">
        <v>2.7</v>
      </c>
      <c r="I201">
        <v>9.6</v>
      </c>
      <c r="J201">
        <f t="shared" si="21"/>
        <v>1269.7000000000003</v>
      </c>
      <c r="K201">
        <f t="shared" si="22"/>
        <v>493.19999999999993</v>
      </c>
      <c r="M201">
        <v>5.6</v>
      </c>
      <c r="N201">
        <v>0.2</v>
      </c>
      <c r="O201">
        <f t="shared" si="27"/>
        <v>5.3999999999999995</v>
      </c>
      <c r="Q201">
        <v>165</v>
      </c>
      <c r="R201">
        <v>1</v>
      </c>
      <c r="S201">
        <f t="shared" si="24"/>
        <v>0.2</v>
      </c>
      <c r="T201">
        <f t="shared" si="25"/>
        <v>5.3999999999999995</v>
      </c>
      <c r="U201">
        <f t="shared" si="23"/>
        <v>153.9</v>
      </c>
      <c r="W201">
        <v>135.6</v>
      </c>
      <c r="X201">
        <f t="shared" si="26"/>
        <v>22660.100000000002</v>
      </c>
      <c r="Y201">
        <v>9.8941208691752909</v>
      </c>
    </row>
    <row r="202" spans="1:25" x14ac:dyDescent="0.25">
      <c r="A202">
        <v>7560</v>
      </c>
      <c r="B202">
        <v>24490</v>
      </c>
      <c r="C202" s="1">
        <v>43147</v>
      </c>
      <c r="F202" s="45"/>
      <c r="G202">
        <v>4.8</v>
      </c>
      <c r="H202">
        <v>2.4</v>
      </c>
      <c r="I202">
        <v>8.5</v>
      </c>
      <c r="J202">
        <f t="shared" si="21"/>
        <v>1274.5000000000002</v>
      </c>
      <c r="K202">
        <f t="shared" si="22"/>
        <v>497.99999999999994</v>
      </c>
      <c r="M202">
        <v>1.4</v>
      </c>
      <c r="N202">
        <v>1.4</v>
      </c>
      <c r="O202">
        <f t="shared" si="27"/>
        <v>0</v>
      </c>
      <c r="Q202">
        <v>166</v>
      </c>
      <c r="R202">
        <v>1</v>
      </c>
      <c r="S202">
        <f t="shared" si="24"/>
        <v>1.4</v>
      </c>
      <c r="T202">
        <f t="shared" si="25"/>
        <v>0</v>
      </c>
      <c r="U202">
        <f t="shared" si="23"/>
        <v>153.9</v>
      </c>
      <c r="W202">
        <v>1067.5999999999999</v>
      </c>
      <c r="X202">
        <f t="shared" si="26"/>
        <v>23727.7</v>
      </c>
      <c r="Y202">
        <v>9.9503862472627471</v>
      </c>
    </row>
    <row r="203" spans="1:25" x14ac:dyDescent="0.25">
      <c r="A203">
        <v>7560</v>
      </c>
      <c r="B203">
        <v>24490</v>
      </c>
      <c r="C203" s="1">
        <v>43148</v>
      </c>
      <c r="F203" s="45"/>
      <c r="G203">
        <v>3.4</v>
      </c>
      <c r="H203">
        <v>2.4</v>
      </c>
      <c r="I203">
        <v>4.9000000000000004</v>
      </c>
      <c r="J203">
        <f t="shared" si="21"/>
        <v>1277.9000000000003</v>
      </c>
      <c r="K203">
        <f t="shared" si="22"/>
        <v>501.39999999999992</v>
      </c>
      <c r="M203">
        <v>1.6</v>
      </c>
      <c r="N203">
        <v>0.6</v>
      </c>
      <c r="O203">
        <f t="shared" si="27"/>
        <v>1</v>
      </c>
      <c r="Q203">
        <v>167</v>
      </c>
      <c r="R203">
        <v>1</v>
      </c>
      <c r="S203">
        <f t="shared" si="24"/>
        <v>0.6</v>
      </c>
      <c r="T203">
        <f t="shared" si="25"/>
        <v>1</v>
      </c>
      <c r="U203">
        <f t="shared" si="23"/>
        <v>153.9</v>
      </c>
      <c r="W203">
        <v>308</v>
      </c>
      <c r="X203">
        <f t="shared" si="26"/>
        <v>24035.7</v>
      </c>
      <c r="Y203">
        <v>10.007028513258708</v>
      </c>
    </row>
    <row r="204" spans="1:25" x14ac:dyDescent="0.25">
      <c r="A204">
        <v>7560</v>
      </c>
      <c r="B204">
        <v>24490</v>
      </c>
      <c r="C204" s="1">
        <v>43149</v>
      </c>
      <c r="F204" s="45"/>
      <c r="G204">
        <v>1.3</v>
      </c>
      <c r="H204">
        <v>-1</v>
      </c>
      <c r="I204">
        <v>6.3</v>
      </c>
      <c r="J204">
        <f t="shared" si="21"/>
        <v>1279.2000000000003</v>
      </c>
      <c r="K204">
        <f t="shared" si="22"/>
        <v>502.69999999999993</v>
      </c>
      <c r="M204">
        <v>0</v>
      </c>
      <c r="N204">
        <v>1.2</v>
      </c>
      <c r="O204">
        <f t="shared" si="27"/>
        <v>-1.2</v>
      </c>
      <c r="Q204">
        <v>168</v>
      </c>
      <c r="R204">
        <v>1</v>
      </c>
      <c r="S204">
        <f t="shared" si="24"/>
        <v>1.2</v>
      </c>
      <c r="T204">
        <f t="shared" si="25"/>
        <v>-1.2</v>
      </c>
      <c r="U204">
        <f t="shared" si="23"/>
        <v>152.70000000000002</v>
      </c>
      <c r="W204">
        <v>932.1</v>
      </c>
      <c r="X204">
        <f t="shared" si="26"/>
        <v>24967.8</v>
      </c>
      <c r="Y204">
        <v>10.064031236129299</v>
      </c>
    </row>
    <row r="205" spans="1:25" x14ac:dyDescent="0.25">
      <c r="A205">
        <v>7560</v>
      </c>
      <c r="B205">
        <v>24490</v>
      </c>
      <c r="C205" s="1">
        <v>43150</v>
      </c>
      <c r="F205" s="45"/>
      <c r="G205">
        <v>0.5</v>
      </c>
      <c r="H205">
        <v>-2.9</v>
      </c>
      <c r="I205">
        <v>2.6</v>
      </c>
      <c r="J205">
        <f t="shared" si="21"/>
        <v>1279.7000000000003</v>
      </c>
      <c r="K205">
        <f t="shared" si="22"/>
        <v>503.19999999999993</v>
      </c>
      <c r="M205">
        <v>0.1</v>
      </c>
      <c r="N205">
        <v>0.4</v>
      </c>
      <c r="O205">
        <f t="shared" si="27"/>
        <v>-0.30000000000000004</v>
      </c>
      <c r="Q205">
        <v>169</v>
      </c>
      <c r="R205">
        <v>1</v>
      </c>
      <c r="S205">
        <f t="shared" si="24"/>
        <v>0.4</v>
      </c>
      <c r="T205">
        <f t="shared" si="25"/>
        <v>-0.30000000000000004</v>
      </c>
      <c r="U205">
        <f t="shared" si="23"/>
        <v>152.4</v>
      </c>
      <c r="W205">
        <v>448.3</v>
      </c>
      <c r="X205">
        <f t="shared" si="26"/>
        <v>25416.1</v>
      </c>
      <c r="Y205">
        <v>10.121378423196838</v>
      </c>
    </row>
    <row r="206" spans="1:25" x14ac:dyDescent="0.25">
      <c r="A206">
        <v>7560</v>
      </c>
      <c r="B206">
        <v>24490</v>
      </c>
      <c r="C206" s="1">
        <v>43151</v>
      </c>
      <c r="F206" s="45"/>
      <c r="G206">
        <v>1.9</v>
      </c>
      <c r="H206">
        <v>0.5</v>
      </c>
      <c r="I206">
        <v>4.0999999999999996</v>
      </c>
      <c r="J206">
        <f t="shared" si="21"/>
        <v>1281.6000000000004</v>
      </c>
      <c r="K206">
        <f t="shared" si="22"/>
        <v>505.09999999999991</v>
      </c>
      <c r="M206">
        <v>0</v>
      </c>
      <c r="N206">
        <v>0.9</v>
      </c>
      <c r="O206">
        <f t="shared" si="27"/>
        <v>-0.9</v>
      </c>
      <c r="Q206">
        <v>170</v>
      </c>
      <c r="R206">
        <v>1</v>
      </c>
      <c r="S206">
        <f t="shared" si="24"/>
        <v>0.9</v>
      </c>
      <c r="T206">
        <f t="shared" si="25"/>
        <v>-0.9</v>
      </c>
      <c r="U206">
        <f t="shared" si="23"/>
        <v>151.5</v>
      </c>
      <c r="W206">
        <v>752</v>
      </c>
      <c r="X206">
        <f t="shared" si="26"/>
        <v>26168.1</v>
      </c>
      <c r="Y206">
        <v>10.17905451410833</v>
      </c>
    </row>
    <row r="207" spans="1:25" x14ac:dyDescent="0.25">
      <c r="A207">
        <v>7560</v>
      </c>
      <c r="B207">
        <v>24490</v>
      </c>
      <c r="C207" s="1">
        <v>43152</v>
      </c>
      <c r="F207" s="45"/>
      <c r="G207">
        <v>0.4</v>
      </c>
      <c r="H207">
        <v>-2.7</v>
      </c>
      <c r="I207">
        <v>3.3</v>
      </c>
      <c r="J207">
        <f t="shared" si="21"/>
        <v>1282.0000000000005</v>
      </c>
      <c r="K207">
        <f t="shared" si="22"/>
        <v>505.49999999999989</v>
      </c>
      <c r="M207">
        <v>0</v>
      </c>
      <c r="N207">
        <v>1</v>
      </c>
      <c r="O207">
        <f t="shared" si="27"/>
        <v>-1</v>
      </c>
      <c r="Q207">
        <v>171</v>
      </c>
      <c r="R207">
        <v>1</v>
      </c>
      <c r="S207">
        <f t="shared" si="24"/>
        <v>1</v>
      </c>
      <c r="T207">
        <f t="shared" si="25"/>
        <v>-1</v>
      </c>
      <c r="U207">
        <f t="shared" si="23"/>
        <v>150.5</v>
      </c>
      <c r="W207">
        <v>1107.0999999999999</v>
      </c>
      <c r="X207">
        <f t="shared" si="26"/>
        <v>27275.199999999997</v>
      </c>
      <c r="Y207">
        <v>10.237044373896419</v>
      </c>
    </row>
    <row r="208" spans="1:25" x14ac:dyDescent="0.25">
      <c r="A208">
        <v>7560</v>
      </c>
      <c r="B208">
        <v>24490</v>
      </c>
      <c r="C208" s="1">
        <v>43153</v>
      </c>
      <c r="F208" s="45"/>
      <c r="G208">
        <v>-0.2</v>
      </c>
      <c r="H208">
        <v>-3.1</v>
      </c>
      <c r="I208">
        <v>3.1</v>
      </c>
      <c r="J208">
        <v>1282</v>
      </c>
      <c r="K208">
        <v>505.5</v>
      </c>
      <c r="M208">
        <v>0</v>
      </c>
      <c r="N208">
        <v>1.4</v>
      </c>
      <c r="O208">
        <f t="shared" si="27"/>
        <v>-1.4</v>
      </c>
      <c r="Q208">
        <v>172</v>
      </c>
      <c r="R208">
        <v>1</v>
      </c>
      <c r="S208">
        <f t="shared" si="24"/>
        <v>1.4</v>
      </c>
      <c r="T208">
        <f t="shared" si="25"/>
        <v>-1.4</v>
      </c>
      <c r="U208">
        <f t="shared" si="23"/>
        <v>149.1</v>
      </c>
      <c r="W208">
        <v>1182.0999999999999</v>
      </c>
      <c r="X208">
        <f t="shared" si="26"/>
        <v>28457.299999999996</v>
      </c>
      <c r="Y208">
        <v>10.29533328519638</v>
      </c>
    </row>
    <row r="209" spans="1:26" x14ac:dyDescent="0.25">
      <c r="A209">
        <v>7560</v>
      </c>
      <c r="B209">
        <v>24490</v>
      </c>
      <c r="C209" s="1">
        <v>43154</v>
      </c>
      <c r="F209" s="45"/>
      <c r="G209">
        <v>-0.9</v>
      </c>
      <c r="H209">
        <v>-3.9</v>
      </c>
      <c r="I209">
        <v>2</v>
      </c>
      <c r="J209">
        <v>1282</v>
      </c>
      <c r="K209">
        <v>505.5</v>
      </c>
      <c r="M209">
        <v>0</v>
      </c>
      <c r="N209">
        <v>1.5</v>
      </c>
      <c r="O209">
        <f t="shared" si="27"/>
        <v>-1.5</v>
      </c>
      <c r="Q209">
        <v>173</v>
      </c>
      <c r="R209">
        <v>1</v>
      </c>
      <c r="S209">
        <f t="shared" si="24"/>
        <v>1.5</v>
      </c>
      <c r="T209">
        <f t="shared" si="25"/>
        <v>-1.5</v>
      </c>
      <c r="U209">
        <f t="shared" si="23"/>
        <v>147.6</v>
      </c>
      <c r="W209">
        <v>1372</v>
      </c>
      <c r="X209">
        <f t="shared" si="26"/>
        <v>29829.299999999996</v>
      </c>
      <c r="Y209">
        <v>10.353906939679957</v>
      </c>
    </row>
    <row r="210" spans="1:26" x14ac:dyDescent="0.25">
      <c r="A210">
        <v>7560</v>
      </c>
      <c r="B210">
        <v>24490</v>
      </c>
      <c r="C210" s="1">
        <v>43155</v>
      </c>
      <c r="F210" s="45"/>
      <c r="G210">
        <v>-0.1</v>
      </c>
      <c r="H210">
        <v>-3.3</v>
      </c>
      <c r="I210">
        <v>2.6</v>
      </c>
      <c r="J210">
        <v>1282</v>
      </c>
      <c r="K210">
        <v>505.5</v>
      </c>
      <c r="M210">
        <v>0</v>
      </c>
      <c r="N210">
        <v>1.8</v>
      </c>
      <c r="O210">
        <f t="shared" si="27"/>
        <v>-1.8</v>
      </c>
      <c r="Q210">
        <v>174</v>
      </c>
      <c r="R210">
        <v>1</v>
      </c>
      <c r="S210">
        <f t="shared" si="24"/>
        <v>1.8</v>
      </c>
      <c r="T210">
        <f t="shared" si="25"/>
        <v>-1.8</v>
      </c>
      <c r="U210">
        <f t="shared" si="23"/>
        <v>145.79999999999998</v>
      </c>
      <c r="W210">
        <v>1405.7</v>
      </c>
      <c r="X210">
        <f t="shared" si="26"/>
        <v>31234.999999999996</v>
      </c>
      <c r="Y210">
        <v>10.412751428764061</v>
      </c>
    </row>
    <row r="211" spans="1:26" x14ac:dyDescent="0.25">
      <c r="A211">
        <v>7560</v>
      </c>
      <c r="B211">
        <v>24490</v>
      </c>
      <c r="C211" s="1">
        <v>43156</v>
      </c>
      <c r="F211" s="45"/>
      <c r="G211">
        <v>-2.2999999999999998</v>
      </c>
      <c r="H211">
        <v>-4.4000000000000004</v>
      </c>
      <c r="I211">
        <v>0.3</v>
      </c>
      <c r="J211">
        <v>1282</v>
      </c>
      <c r="K211">
        <v>505.5</v>
      </c>
      <c r="M211">
        <v>0</v>
      </c>
      <c r="N211">
        <v>2</v>
      </c>
      <c r="O211">
        <f t="shared" si="27"/>
        <v>-2</v>
      </c>
      <c r="Q211">
        <v>175</v>
      </c>
      <c r="R211">
        <v>1</v>
      </c>
      <c r="S211">
        <f t="shared" si="24"/>
        <v>2</v>
      </c>
      <c r="T211">
        <f t="shared" si="25"/>
        <v>-2</v>
      </c>
      <c r="U211">
        <f t="shared" si="23"/>
        <v>143.79999999999998</v>
      </c>
      <c r="W211">
        <v>1345</v>
      </c>
      <c r="X211">
        <f t="shared" si="26"/>
        <v>32579.999999999996</v>
      </c>
      <c r="Y211">
        <v>10.471853233649497</v>
      </c>
    </row>
    <row r="212" spans="1:26" x14ac:dyDescent="0.25">
      <c r="A212">
        <v>7560</v>
      </c>
      <c r="B212">
        <v>24490</v>
      </c>
      <c r="C212" s="1">
        <v>43157</v>
      </c>
      <c r="F212" s="45"/>
      <c r="G212">
        <v>-4.5</v>
      </c>
      <c r="H212">
        <v>-6.4</v>
      </c>
      <c r="I212">
        <v>-2.2000000000000002</v>
      </c>
      <c r="J212">
        <v>1282</v>
      </c>
      <c r="K212">
        <v>505.5</v>
      </c>
      <c r="M212">
        <v>0</v>
      </c>
      <c r="N212">
        <v>1.7</v>
      </c>
      <c r="O212">
        <f t="shared" si="27"/>
        <v>-1.7</v>
      </c>
      <c r="Q212">
        <v>176</v>
      </c>
      <c r="R212">
        <v>1</v>
      </c>
      <c r="S212">
        <f t="shared" si="24"/>
        <v>1.7</v>
      </c>
      <c r="T212">
        <f t="shared" si="25"/>
        <v>-1.7</v>
      </c>
      <c r="U212">
        <f t="shared" si="23"/>
        <v>142.1</v>
      </c>
      <c r="W212">
        <v>1421.9</v>
      </c>
      <c r="X212">
        <f t="shared" si="26"/>
        <v>34001.899999999994</v>
      </c>
      <c r="Y212">
        <v>10.531199214742106</v>
      </c>
    </row>
    <row r="213" spans="1:26" x14ac:dyDescent="0.25">
      <c r="A213">
        <v>7560</v>
      </c>
      <c r="B213">
        <v>24490</v>
      </c>
      <c r="C213" s="1">
        <v>43158</v>
      </c>
      <c r="F213" s="45"/>
      <c r="G213">
        <v>-6.5</v>
      </c>
      <c r="H213">
        <v>-7.1</v>
      </c>
      <c r="I213">
        <v>-4.5999999999999996</v>
      </c>
      <c r="J213">
        <v>1282</v>
      </c>
      <c r="K213">
        <v>505.5</v>
      </c>
      <c r="M213">
        <v>0</v>
      </c>
      <c r="N213">
        <v>1</v>
      </c>
      <c r="O213">
        <f t="shared" si="27"/>
        <v>-1</v>
      </c>
      <c r="Q213">
        <v>177</v>
      </c>
      <c r="R213">
        <v>1</v>
      </c>
      <c r="S213">
        <f t="shared" si="24"/>
        <v>1</v>
      </c>
      <c r="T213">
        <f t="shared" si="25"/>
        <v>-1</v>
      </c>
      <c r="U213">
        <f t="shared" si="23"/>
        <v>141.1</v>
      </c>
      <c r="W213">
        <v>1444.4</v>
      </c>
      <c r="X213">
        <f t="shared" si="26"/>
        <v>35446.299999999996</v>
      </c>
      <c r="Y213">
        <v>10.590776600505759</v>
      </c>
    </row>
    <row r="214" spans="1:26" x14ac:dyDescent="0.25">
      <c r="A214">
        <v>7560</v>
      </c>
      <c r="B214">
        <v>24490</v>
      </c>
      <c r="C214" s="1">
        <v>43159</v>
      </c>
      <c r="F214" s="45"/>
      <c r="G214">
        <v>-6</v>
      </c>
      <c r="H214">
        <v>-11.6</v>
      </c>
      <c r="I214">
        <v>-2.8</v>
      </c>
      <c r="J214">
        <v>1282</v>
      </c>
      <c r="K214">
        <v>505.5</v>
      </c>
      <c r="M214">
        <v>0</v>
      </c>
      <c r="N214">
        <v>1.2</v>
      </c>
      <c r="O214">
        <f t="shared" si="27"/>
        <v>-1.2</v>
      </c>
      <c r="Q214">
        <v>178</v>
      </c>
      <c r="R214">
        <v>1</v>
      </c>
      <c r="S214">
        <f t="shared" si="24"/>
        <v>1.2</v>
      </c>
      <c r="T214">
        <f t="shared" si="25"/>
        <v>-1.2</v>
      </c>
      <c r="U214">
        <f t="shared" si="23"/>
        <v>139.9</v>
      </c>
      <c r="W214">
        <v>1230.7</v>
      </c>
      <c r="X214">
        <f t="shared" si="26"/>
        <v>36676.999999999993</v>
      </c>
      <c r="Y214">
        <v>10.650572975793994</v>
      </c>
    </row>
    <row r="215" spans="1:26" x14ac:dyDescent="0.25">
      <c r="A215">
        <v>7560</v>
      </c>
      <c r="B215">
        <v>24490</v>
      </c>
      <c r="C215" s="1">
        <v>43160</v>
      </c>
      <c r="F215" s="45"/>
      <c r="G215">
        <v>-2.1</v>
      </c>
      <c r="H215">
        <v>-5.5</v>
      </c>
      <c r="I215">
        <v>0.1</v>
      </c>
      <c r="J215">
        <v>1282</v>
      </c>
      <c r="K215">
        <v>505.5</v>
      </c>
      <c r="M215">
        <v>0</v>
      </c>
      <c r="N215">
        <v>1.2</v>
      </c>
      <c r="O215">
        <f t="shared" si="27"/>
        <v>-1.2</v>
      </c>
      <c r="Q215">
        <v>179</v>
      </c>
      <c r="R215">
        <v>1</v>
      </c>
      <c r="S215">
        <f t="shared" si="24"/>
        <v>1.2</v>
      </c>
      <c r="T215">
        <f t="shared" si="25"/>
        <v>-1.2</v>
      </c>
      <c r="U215">
        <f t="shared" si="23"/>
        <v>138.70000000000002</v>
      </c>
      <c r="W215">
        <v>233</v>
      </c>
      <c r="X215">
        <f t="shared" si="26"/>
        <v>36909.999999999993</v>
      </c>
      <c r="Y215">
        <v>10.710576269704159</v>
      </c>
    </row>
    <row r="216" spans="1:26" x14ac:dyDescent="0.25">
      <c r="A216">
        <v>7560</v>
      </c>
      <c r="B216">
        <v>24490</v>
      </c>
      <c r="C216" s="1">
        <v>43161</v>
      </c>
      <c r="F216" s="45"/>
      <c r="G216">
        <v>1.8</v>
      </c>
      <c r="H216">
        <v>-0.6</v>
      </c>
      <c r="I216">
        <v>4.4000000000000004</v>
      </c>
      <c r="J216">
        <f t="shared" si="21"/>
        <v>1283.8</v>
      </c>
      <c r="K216">
        <f t="shared" si="22"/>
        <v>507.3</v>
      </c>
      <c r="M216">
        <v>2.9</v>
      </c>
      <c r="N216">
        <v>0.7</v>
      </c>
      <c r="O216">
        <f t="shared" si="27"/>
        <v>2.2000000000000002</v>
      </c>
      <c r="Q216">
        <v>180</v>
      </c>
      <c r="R216">
        <v>1</v>
      </c>
      <c r="S216">
        <f t="shared" si="24"/>
        <v>0.7</v>
      </c>
      <c r="T216">
        <f t="shared" si="25"/>
        <v>2.2000000000000002</v>
      </c>
      <c r="U216">
        <f t="shared" si="23"/>
        <v>140.9</v>
      </c>
      <c r="W216">
        <v>250.3</v>
      </c>
      <c r="X216">
        <f t="shared" si="26"/>
        <v>37160.299999999996</v>
      </c>
      <c r="Y216">
        <v>10.770774742995375</v>
      </c>
    </row>
    <row r="217" spans="1:26" x14ac:dyDescent="0.25">
      <c r="A217">
        <v>7560</v>
      </c>
      <c r="B217">
        <v>24490</v>
      </c>
      <c r="C217" s="1">
        <v>43162</v>
      </c>
      <c r="F217" s="45"/>
      <c r="G217">
        <v>2.7</v>
      </c>
      <c r="H217">
        <v>-0.7</v>
      </c>
      <c r="I217">
        <v>5.8</v>
      </c>
      <c r="J217">
        <f t="shared" si="21"/>
        <v>1286.5</v>
      </c>
      <c r="K217">
        <f t="shared" si="22"/>
        <v>510</v>
      </c>
      <c r="M217">
        <v>1.9</v>
      </c>
      <c r="N217">
        <v>0.7</v>
      </c>
      <c r="O217">
        <f t="shared" si="27"/>
        <v>1.2</v>
      </c>
      <c r="Q217">
        <v>181</v>
      </c>
      <c r="R217">
        <v>1</v>
      </c>
      <c r="S217">
        <f t="shared" si="24"/>
        <v>0.7</v>
      </c>
      <c r="T217">
        <f t="shared" si="25"/>
        <v>1.2</v>
      </c>
      <c r="U217">
        <f t="shared" si="23"/>
        <v>142.1</v>
      </c>
      <c r="W217">
        <v>646.9</v>
      </c>
      <c r="X217">
        <f t="shared" si="26"/>
        <v>37807.199999999997</v>
      </c>
      <c r="Y217">
        <v>10.831156975108883</v>
      </c>
    </row>
    <row r="218" spans="1:26" s="6" customFormat="1" ht="15.75" thickBot="1" x14ac:dyDescent="0.3">
      <c r="A218" s="6">
        <v>7560</v>
      </c>
      <c r="B218" s="6">
        <v>24490</v>
      </c>
      <c r="C218" s="7">
        <v>43163</v>
      </c>
      <c r="D218" s="6" t="s">
        <v>30</v>
      </c>
      <c r="F218" s="46"/>
      <c r="G218" s="6">
        <v>5</v>
      </c>
      <c r="H218" s="6">
        <v>2.5</v>
      </c>
      <c r="I218" s="6">
        <v>8.8000000000000007</v>
      </c>
      <c r="J218" s="6">
        <f t="shared" si="21"/>
        <v>1291.5</v>
      </c>
      <c r="K218" s="6">
        <f t="shared" si="22"/>
        <v>515</v>
      </c>
      <c r="M218" s="6">
        <v>2.1</v>
      </c>
      <c r="N218" s="6">
        <v>1</v>
      </c>
      <c r="O218" s="6">
        <f t="shared" si="27"/>
        <v>1.1000000000000001</v>
      </c>
      <c r="Q218" s="6">
        <v>182</v>
      </c>
      <c r="R218" s="6">
        <v>1</v>
      </c>
      <c r="S218" s="6">
        <f t="shared" si="24"/>
        <v>1</v>
      </c>
      <c r="T218" s="6">
        <f t="shared" si="25"/>
        <v>1.1000000000000001</v>
      </c>
      <c r="U218" s="8">
        <f t="shared" si="23"/>
        <v>143.19999999999999</v>
      </c>
      <c r="W218" s="6">
        <v>652</v>
      </c>
      <c r="X218" s="6">
        <f t="shared" si="26"/>
        <v>38459.199999999997</v>
      </c>
      <c r="Y218" s="6">
        <v>10.891711850826882</v>
      </c>
    </row>
    <row r="219" spans="1:26" x14ac:dyDescent="0.25">
      <c r="A219">
        <v>7560</v>
      </c>
      <c r="B219">
        <v>24490</v>
      </c>
      <c r="C219" s="1">
        <v>43164</v>
      </c>
      <c r="F219" s="41" t="s">
        <v>57</v>
      </c>
      <c r="G219">
        <v>5.9</v>
      </c>
      <c r="H219">
        <v>1.4</v>
      </c>
      <c r="I219">
        <v>11.2</v>
      </c>
      <c r="J219">
        <f>J218+G219</f>
        <v>1297.4000000000001</v>
      </c>
      <c r="K219">
        <f>G219</f>
        <v>5.9</v>
      </c>
      <c r="L219" s="18" t="s">
        <v>37</v>
      </c>
      <c r="M219">
        <v>0.7</v>
      </c>
      <c r="N219">
        <v>1.3</v>
      </c>
      <c r="O219">
        <f t="shared" si="27"/>
        <v>-0.60000000000000009</v>
      </c>
      <c r="Q219">
        <v>183</v>
      </c>
      <c r="R219">
        <f>1+((Q219-182)/33)*(1.15-1)</f>
        <v>1.0045454545454546</v>
      </c>
      <c r="S219">
        <f t="shared" si="24"/>
        <v>1.3059090909090911</v>
      </c>
      <c r="T219">
        <f t="shared" si="25"/>
        <v>-0.60590909090909117</v>
      </c>
      <c r="U219">
        <f t="shared" si="23"/>
        <v>142.59409090909091</v>
      </c>
      <c r="V219" s="19" t="s">
        <v>44</v>
      </c>
      <c r="W219">
        <v>1055.5999999999999</v>
      </c>
      <c r="X219">
        <f>W219</f>
        <v>1055.5999999999999</v>
      </c>
      <c r="Y219">
        <v>10.952428546603427</v>
      </c>
      <c r="Z219" s="19" t="s">
        <v>49</v>
      </c>
    </row>
    <row r="220" spans="1:26" x14ac:dyDescent="0.25">
      <c r="A220">
        <v>7560</v>
      </c>
      <c r="B220">
        <v>24490</v>
      </c>
      <c r="C220" s="1">
        <v>43165</v>
      </c>
      <c r="F220" s="42"/>
      <c r="G220">
        <v>6.1</v>
      </c>
      <c r="H220">
        <v>3.5</v>
      </c>
      <c r="I220">
        <v>8.8000000000000007</v>
      </c>
      <c r="J220">
        <f t="shared" si="21"/>
        <v>1303.5</v>
      </c>
      <c r="K220">
        <f t="shared" si="22"/>
        <v>12</v>
      </c>
      <c r="L220" s="10">
        <v>218.2</v>
      </c>
      <c r="M220">
        <v>1.1000000000000001</v>
      </c>
      <c r="N220">
        <v>0.7</v>
      </c>
      <c r="O220">
        <f t="shared" si="27"/>
        <v>0.40000000000000013</v>
      </c>
      <c r="Q220">
        <v>184</v>
      </c>
      <c r="R220">
        <f t="shared" ref="R220:R251" si="28">1+((Q220-182)/33)*(1.15-1)</f>
        <v>1.009090909090909</v>
      </c>
      <c r="S220">
        <f t="shared" si="24"/>
        <v>0.7063636363636363</v>
      </c>
      <c r="T220">
        <f t="shared" si="25"/>
        <v>0.39363636363636378</v>
      </c>
      <c r="U220">
        <f t="shared" si="23"/>
        <v>142.98772727272728</v>
      </c>
      <c r="V220">
        <v>0</v>
      </c>
      <c r="W220">
        <v>543.4</v>
      </c>
      <c r="X220">
        <f t="shared" si="26"/>
        <v>1599</v>
      </c>
      <c r="Y220">
        <v>11.013296516598658</v>
      </c>
      <c r="Z220">
        <v>23044.1</v>
      </c>
    </row>
    <row r="221" spans="1:26" x14ac:dyDescent="0.25">
      <c r="A221">
        <v>7560</v>
      </c>
      <c r="B221">
        <v>24490</v>
      </c>
      <c r="C221" s="1">
        <v>43166</v>
      </c>
      <c r="F221" s="42"/>
      <c r="G221">
        <v>5.2</v>
      </c>
      <c r="H221">
        <v>4</v>
      </c>
      <c r="I221">
        <v>7.5</v>
      </c>
      <c r="J221">
        <f t="shared" si="21"/>
        <v>1308.7</v>
      </c>
      <c r="K221">
        <f t="shared" si="22"/>
        <v>17.2</v>
      </c>
      <c r="L221" s="18" t="s">
        <v>38</v>
      </c>
      <c r="M221">
        <v>2.7</v>
      </c>
      <c r="N221">
        <v>0.8</v>
      </c>
      <c r="O221">
        <f t="shared" si="27"/>
        <v>1.9000000000000001</v>
      </c>
      <c r="Q221">
        <v>185</v>
      </c>
      <c r="R221">
        <f t="shared" si="28"/>
        <v>1.0136363636363637</v>
      </c>
      <c r="S221">
        <f t="shared" si="24"/>
        <v>0.81090909090909102</v>
      </c>
      <c r="T221">
        <f t="shared" si="25"/>
        <v>1.8890909090909092</v>
      </c>
      <c r="U221">
        <f t="shared" si="23"/>
        <v>144.87681818181818</v>
      </c>
      <c r="V221" s="19" t="s">
        <v>45</v>
      </c>
      <c r="W221">
        <v>294.60000000000002</v>
      </c>
      <c r="X221">
        <f t="shared" si="26"/>
        <v>1893.6</v>
      </c>
      <c r="Y221">
        <v>11.074305478445316</v>
      </c>
      <c r="Z221" s="19" t="s">
        <v>50</v>
      </c>
    </row>
    <row r="222" spans="1:26" x14ac:dyDescent="0.25">
      <c r="A222">
        <v>7560</v>
      </c>
      <c r="B222">
        <v>24490</v>
      </c>
      <c r="C222" s="1">
        <v>43167</v>
      </c>
      <c r="F222" s="42"/>
      <c r="G222">
        <v>6</v>
      </c>
      <c r="H222">
        <v>3.2</v>
      </c>
      <c r="I222">
        <v>10.6</v>
      </c>
      <c r="J222">
        <f t="shared" si="21"/>
        <v>1314.7</v>
      </c>
      <c r="K222">
        <f t="shared" si="22"/>
        <v>23.2</v>
      </c>
      <c r="L222" s="11">
        <f>AVERAGE(G219:G251)</f>
        <v>6.5393939393939418</v>
      </c>
      <c r="M222">
        <v>0.9</v>
      </c>
      <c r="N222">
        <v>1.3</v>
      </c>
      <c r="O222">
        <f t="shared" si="27"/>
        <v>-0.4</v>
      </c>
      <c r="Q222">
        <v>186</v>
      </c>
      <c r="R222">
        <f t="shared" si="28"/>
        <v>1.0181818181818181</v>
      </c>
      <c r="S222">
        <f t="shared" si="24"/>
        <v>1.3236363636363635</v>
      </c>
      <c r="T222">
        <f t="shared" si="25"/>
        <v>-0.42363636363636348</v>
      </c>
      <c r="U222">
        <f t="shared" si="23"/>
        <v>144.4531818181818</v>
      </c>
      <c r="V222">
        <v>0</v>
      </c>
      <c r="W222">
        <v>578.5</v>
      </c>
      <c r="X222">
        <f t="shared" si="26"/>
        <v>2472.1</v>
      </c>
      <c r="Y222">
        <v>11.135445398774392</v>
      </c>
      <c r="Z222">
        <f>(Z220/100)/L220</f>
        <v>1.0560999083409714</v>
      </c>
    </row>
    <row r="223" spans="1:26" x14ac:dyDescent="0.25">
      <c r="A223">
        <v>7560</v>
      </c>
      <c r="B223">
        <v>24490</v>
      </c>
      <c r="C223" s="1">
        <v>43168</v>
      </c>
      <c r="F223" s="42"/>
      <c r="G223">
        <v>9.1999999999999993</v>
      </c>
      <c r="H223">
        <v>3.7</v>
      </c>
      <c r="I223">
        <v>12</v>
      </c>
      <c r="J223">
        <f t="shared" si="21"/>
        <v>1323.9</v>
      </c>
      <c r="K223">
        <f t="shared" si="22"/>
        <v>32.4</v>
      </c>
      <c r="L223" s="18" t="s">
        <v>39</v>
      </c>
      <c r="M223">
        <v>1.3</v>
      </c>
      <c r="N223">
        <v>0.6</v>
      </c>
      <c r="O223">
        <f t="shared" si="27"/>
        <v>0.70000000000000007</v>
      </c>
      <c r="Q223">
        <v>187</v>
      </c>
      <c r="R223">
        <f t="shared" si="28"/>
        <v>1.0227272727272727</v>
      </c>
      <c r="S223">
        <f t="shared" si="24"/>
        <v>0.61363636363636365</v>
      </c>
      <c r="T223">
        <f t="shared" si="25"/>
        <v>0.6863636363636364</v>
      </c>
      <c r="U223">
        <f t="shared" si="23"/>
        <v>145.13954545454544</v>
      </c>
      <c r="V223" s="19" t="s">
        <v>46</v>
      </c>
      <c r="W223">
        <v>265.89999999999998</v>
      </c>
      <c r="X223">
        <f t="shared" si="26"/>
        <v>2738</v>
      </c>
      <c r="Y223">
        <v>11.196706478524689</v>
      </c>
      <c r="Z223" s="19" t="s">
        <v>51</v>
      </c>
    </row>
    <row r="224" spans="1:26" x14ac:dyDescent="0.25">
      <c r="A224">
        <v>7560</v>
      </c>
      <c r="B224">
        <v>24490</v>
      </c>
      <c r="C224" s="1">
        <v>43169</v>
      </c>
      <c r="F224" s="42"/>
      <c r="G224">
        <v>11.8</v>
      </c>
      <c r="H224">
        <v>10.4</v>
      </c>
      <c r="I224">
        <v>12.9</v>
      </c>
      <c r="J224">
        <f t="shared" si="21"/>
        <v>1335.7</v>
      </c>
      <c r="K224">
        <f t="shared" si="22"/>
        <v>44.2</v>
      </c>
      <c r="L224" s="12">
        <f>MIN(H219:H251)</f>
        <v>-3.2</v>
      </c>
      <c r="M224">
        <v>3.4</v>
      </c>
      <c r="N224">
        <v>0.9</v>
      </c>
      <c r="O224">
        <f t="shared" si="27"/>
        <v>2.5</v>
      </c>
      <c r="Q224">
        <v>188</v>
      </c>
      <c r="R224">
        <f t="shared" si="28"/>
        <v>1.0272727272727273</v>
      </c>
      <c r="S224">
        <f t="shared" si="24"/>
        <v>0.92454545454545467</v>
      </c>
      <c r="T224">
        <f t="shared" si="25"/>
        <v>2.4754545454545451</v>
      </c>
      <c r="U224">
        <f t="shared" si="23"/>
        <v>147.61499999999998</v>
      </c>
      <c r="V224" s="14">
        <f>MIN(U219:U251)</f>
        <v>142.59409090909091</v>
      </c>
      <c r="W224">
        <v>300.5</v>
      </c>
      <c r="X224">
        <f t="shared" si="26"/>
        <v>3038.5</v>
      </c>
      <c r="Y224">
        <v>11.258079138059141</v>
      </c>
      <c r="Z224">
        <v>23</v>
      </c>
    </row>
    <row r="225" spans="1:25" x14ac:dyDescent="0.25">
      <c r="A225">
        <v>7560</v>
      </c>
      <c r="B225">
        <v>24490</v>
      </c>
      <c r="C225" s="1">
        <v>43170</v>
      </c>
      <c r="F225" s="42"/>
      <c r="G225">
        <v>11.5</v>
      </c>
      <c r="H225">
        <v>10.1</v>
      </c>
      <c r="I225">
        <v>15.6</v>
      </c>
      <c r="J225">
        <f t="shared" si="21"/>
        <v>1347.2</v>
      </c>
      <c r="K225">
        <f t="shared" si="22"/>
        <v>55.7</v>
      </c>
      <c r="L225" s="18" t="s">
        <v>40</v>
      </c>
      <c r="M225">
        <v>6.8</v>
      </c>
      <c r="N225">
        <v>1.4</v>
      </c>
      <c r="O225">
        <f t="shared" si="27"/>
        <v>5.4</v>
      </c>
      <c r="Q225">
        <v>189</v>
      </c>
      <c r="R225">
        <f t="shared" si="28"/>
        <v>1.0318181818181817</v>
      </c>
      <c r="S225">
        <f t="shared" si="24"/>
        <v>1.4445454545454544</v>
      </c>
      <c r="T225">
        <f t="shared" si="25"/>
        <v>5.3554545454545455</v>
      </c>
      <c r="U225">
        <f t="shared" si="23"/>
        <v>152.97045454545452</v>
      </c>
      <c r="V225" s="19" t="s">
        <v>47</v>
      </c>
      <c r="W225">
        <v>478.5</v>
      </c>
      <c r="X225">
        <f t="shared" si="26"/>
        <v>3517</v>
      </c>
      <c r="Y225">
        <v>11.319554002108951</v>
      </c>
    </row>
    <row r="226" spans="1:25" x14ac:dyDescent="0.25">
      <c r="A226">
        <v>7560</v>
      </c>
      <c r="B226">
        <v>24490</v>
      </c>
      <c r="C226" s="1">
        <v>43171</v>
      </c>
      <c r="F226" s="42"/>
      <c r="G226">
        <v>8.6999999999999993</v>
      </c>
      <c r="H226">
        <v>8</v>
      </c>
      <c r="I226">
        <v>10.1</v>
      </c>
      <c r="J226">
        <f t="shared" si="21"/>
        <v>1355.9</v>
      </c>
      <c r="K226">
        <f t="shared" si="22"/>
        <v>64.400000000000006</v>
      </c>
      <c r="L226" s="10">
        <f>MAX(I219:I251)</f>
        <v>16.2</v>
      </c>
      <c r="M226">
        <v>3.8</v>
      </c>
      <c r="N226">
        <v>0.9</v>
      </c>
      <c r="O226">
        <f t="shared" si="27"/>
        <v>2.9</v>
      </c>
      <c r="Q226">
        <v>190</v>
      </c>
      <c r="R226">
        <f t="shared" si="28"/>
        <v>1.0363636363636364</v>
      </c>
      <c r="S226">
        <f t="shared" si="24"/>
        <v>0.93272727272727274</v>
      </c>
      <c r="T226">
        <f t="shared" si="25"/>
        <v>2.8672727272727272</v>
      </c>
      <c r="U226">
        <f t="shared" si="23"/>
        <v>153.9</v>
      </c>
      <c r="V226" s="14">
        <f>MAX(U219:U251)</f>
        <v>153.9</v>
      </c>
      <c r="W226">
        <v>476.8</v>
      </c>
      <c r="X226">
        <f t="shared" si="26"/>
        <v>3993.8</v>
      </c>
      <c r="Y226">
        <v>11.381121884564898</v>
      </c>
    </row>
    <row r="227" spans="1:25" x14ac:dyDescent="0.25">
      <c r="A227">
        <v>7560</v>
      </c>
      <c r="B227">
        <v>24490</v>
      </c>
      <c r="C227" s="1">
        <v>43172</v>
      </c>
      <c r="F227" s="42"/>
      <c r="G227">
        <v>7.2</v>
      </c>
      <c r="H227">
        <v>6.9</v>
      </c>
      <c r="I227">
        <v>7.9</v>
      </c>
      <c r="J227">
        <f t="shared" si="21"/>
        <v>1363.1000000000001</v>
      </c>
      <c r="K227">
        <f t="shared" si="22"/>
        <v>71.600000000000009</v>
      </c>
      <c r="L227" s="18" t="s">
        <v>41</v>
      </c>
      <c r="M227">
        <v>0.6</v>
      </c>
      <c r="N227">
        <v>0.7</v>
      </c>
      <c r="O227">
        <f t="shared" si="27"/>
        <v>-9.9999999999999978E-2</v>
      </c>
      <c r="Q227">
        <v>191</v>
      </c>
      <c r="R227">
        <f t="shared" si="28"/>
        <v>1.0409090909090908</v>
      </c>
      <c r="S227">
        <f t="shared" si="24"/>
        <v>0.72863636363636353</v>
      </c>
      <c r="T227">
        <f t="shared" si="25"/>
        <v>-0.12863636363636355</v>
      </c>
      <c r="U227">
        <f t="shared" si="23"/>
        <v>153.77136363636365</v>
      </c>
      <c r="V227" s="19" t="s">
        <v>48</v>
      </c>
      <c r="W227">
        <v>276.39999999999998</v>
      </c>
      <c r="X227">
        <f t="shared" si="26"/>
        <v>4270.2</v>
      </c>
      <c r="Y227">
        <v>11.442773773133608</v>
      </c>
    </row>
    <row r="228" spans="1:25" x14ac:dyDescent="0.25">
      <c r="A228">
        <v>7560</v>
      </c>
      <c r="B228">
        <v>24490</v>
      </c>
      <c r="C228" s="1">
        <v>43173</v>
      </c>
      <c r="F228" s="42"/>
      <c r="G228">
        <v>7.7</v>
      </c>
      <c r="H228">
        <v>3.2</v>
      </c>
      <c r="I228">
        <v>11.9</v>
      </c>
      <c r="J228">
        <f t="shared" si="21"/>
        <v>1370.8000000000002</v>
      </c>
      <c r="K228">
        <f t="shared" si="22"/>
        <v>79.300000000000011</v>
      </c>
      <c r="L228" s="10">
        <v>0</v>
      </c>
      <c r="M228">
        <v>0.3</v>
      </c>
      <c r="N228">
        <v>1.2</v>
      </c>
      <c r="O228">
        <f t="shared" si="27"/>
        <v>-0.89999999999999991</v>
      </c>
      <c r="Q228">
        <v>192</v>
      </c>
      <c r="R228">
        <f t="shared" si="28"/>
        <v>1.0454545454545454</v>
      </c>
      <c r="S228">
        <f t="shared" si="24"/>
        <v>1.2545454545454544</v>
      </c>
      <c r="T228">
        <f t="shared" si="25"/>
        <v>-0.95454545454545436</v>
      </c>
      <c r="U228">
        <f t="shared" si="23"/>
        <v>152.81681818181818</v>
      </c>
      <c r="V228" s="14">
        <f>AVERAGE(U219:U251)</f>
        <v>150.33542699724518</v>
      </c>
      <c r="W228">
        <v>672</v>
      </c>
      <c r="X228">
        <f t="shared" si="26"/>
        <v>4942.2</v>
      </c>
      <c r="Y228">
        <v>11.504500813875087</v>
      </c>
    </row>
    <row r="229" spans="1:25" x14ac:dyDescent="0.25">
      <c r="A229">
        <v>7560</v>
      </c>
      <c r="B229">
        <v>24490</v>
      </c>
      <c r="C229" s="1">
        <v>43174</v>
      </c>
      <c r="F229" s="42"/>
      <c r="G229">
        <v>8.5</v>
      </c>
      <c r="H229">
        <v>7.1</v>
      </c>
      <c r="I229">
        <v>9.4</v>
      </c>
      <c r="J229">
        <f t="shared" si="21"/>
        <v>1379.3000000000002</v>
      </c>
      <c r="K229">
        <f t="shared" si="22"/>
        <v>87.800000000000011</v>
      </c>
      <c r="L229" s="18" t="s">
        <v>42</v>
      </c>
      <c r="M229">
        <v>11.7</v>
      </c>
      <c r="N229">
        <v>0.7</v>
      </c>
      <c r="O229">
        <f t="shared" si="27"/>
        <v>11</v>
      </c>
      <c r="Q229">
        <v>193</v>
      </c>
      <c r="R229">
        <f t="shared" si="28"/>
        <v>1.05</v>
      </c>
      <c r="S229">
        <f t="shared" si="24"/>
        <v>0.73499999999999999</v>
      </c>
      <c r="T229">
        <f t="shared" si="25"/>
        <v>10.965</v>
      </c>
      <c r="U229">
        <f t="shared" si="23"/>
        <v>153.9</v>
      </c>
      <c r="W229">
        <v>299.3</v>
      </c>
      <c r="X229">
        <f t="shared" si="26"/>
        <v>5241.5</v>
      </c>
      <c r="Y229">
        <v>11.566294295636592</v>
      </c>
    </row>
    <row r="230" spans="1:25" x14ac:dyDescent="0.25">
      <c r="A230">
        <v>7560</v>
      </c>
      <c r="B230">
        <v>24490</v>
      </c>
      <c r="C230" s="1">
        <v>43175</v>
      </c>
      <c r="F230" s="42"/>
      <c r="G230">
        <v>8.5</v>
      </c>
      <c r="H230">
        <v>6.4</v>
      </c>
      <c r="I230">
        <v>10.9</v>
      </c>
      <c r="J230">
        <f t="shared" si="21"/>
        <v>1387.8000000000002</v>
      </c>
      <c r="K230">
        <f t="shared" si="22"/>
        <v>96.300000000000011</v>
      </c>
      <c r="L230" s="10">
        <v>16</v>
      </c>
      <c r="M230">
        <v>7.1</v>
      </c>
      <c r="N230">
        <v>0.8</v>
      </c>
      <c r="O230">
        <f t="shared" si="27"/>
        <v>6.3</v>
      </c>
      <c r="Q230">
        <v>194</v>
      </c>
      <c r="R230">
        <f t="shared" si="28"/>
        <v>1.0545454545454545</v>
      </c>
      <c r="S230">
        <f t="shared" si="24"/>
        <v>0.84363636363636363</v>
      </c>
      <c r="T230">
        <f t="shared" si="25"/>
        <v>6.2563636363636359</v>
      </c>
      <c r="U230">
        <f t="shared" si="23"/>
        <v>153.9</v>
      </c>
      <c r="V230" s="15">
        <f>(V228*100)/153.9</f>
        <v>97.68383820483767</v>
      </c>
      <c r="W230">
        <v>488.3</v>
      </c>
      <c r="X230">
        <f t="shared" si="26"/>
        <v>5729.8</v>
      </c>
      <c r="Y230">
        <v>11.628145634396551</v>
      </c>
    </row>
    <row r="231" spans="1:25" x14ac:dyDescent="0.25">
      <c r="A231">
        <v>7560</v>
      </c>
      <c r="B231">
        <v>24490</v>
      </c>
      <c r="C231" s="1">
        <v>43176</v>
      </c>
      <c r="F231" s="42"/>
      <c r="G231">
        <v>3.8</v>
      </c>
      <c r="H231">
        <v>1</v>
      </c>
      <c r="I231">
        <v>6.2</v>
      </c>
      <c r="J231">
        <f t="shared" ref="J231:J294" si="29">J230+G231</f>
        <v>1391.6000000000001</v>
      </c>
      <c r="K231">
        <f t="shared" ref="K231:K294" si="30">K230+G231</f>
        <v>100.10000000000001</v>
      </c>
      <c r="L231" s="18" t="s">
        <v>43</v>
      </c>
      <c r="M231">
        <v>6.5</v>
      </c>
      <c r="N231">
        <v>0.3</v>
      </c>
      <c r="O231">
        <f t="shared" si="27"/>
        <v>6.2</v>
      </c>
      <c r="Q231">
        <v>195</v>
      </c>
      <c r="R231">
        <f t="shared" si="28"/>
        <v>1.0590909090909091</v>
      </c>
      <c r="S231">
        <f t="shared" si="24"/>
        <v>0.31772727272727269</v>
      </c>
      <c r="T231">
        <f t="shared" si="25"/>
        <v>6.1822727272727276</v>
      </c>
      <c r="U231">
        <f t="shared" ref="U231:U294" si="31">MIN(U230+T231,153.9)</f>
        <v>153.9</v>
      </c>
      <c r="W231">
        <v>297.8</v>
      </c>
      <c r="X231">
        <f t="shared" si="26"/>
        <v>6027.6</v>
      </c>
      <c r="Y231">
        <v>11.690046357531319</v>
      </c>
    </row>
    <row r="232" spans="1:25" x14ac:dyDescent="0.25">
      <c r="A232">
        <v>7560</v>
      </c>
      <c r="B232">
        <v>24490</v>
      </c>
      <c r="C232" s="1">
        <v>43177</v>
      </c>
      <c r="F232" s="42"/>
      <c r="G232">
        <v>-1.8</v>
      </c>
      <c r="H232">
        <v>-2.8</v>
      </c>
      <c r="I232">
        <v>-1.2</v>
      </c>
      <c r="J232">
        <v>1391.6</v>
      </c>
      <c r="K232">
        <v>100.1</v>
      </c>
      <c r="L232" s="10">
        <v>5</v>
      </c>
      <c r="M232">
        <v>0</v>
      </c>
      <c r="N232">
        <v>0.3</v>
      </c>
      <c r="O232">
        <f t="shared" si="27"/>
        <v>-0.3</v>
      </c>
      <c r="Q232">
        <v>196</v>
      </c>
      <c r="R232">
        <f t="shared" si="28"/>
        <v>1.0636363636363635</v>
      </c>
      <c r="S232">
        <f t="shared" si="24"/>
        <v>0.31909090909090904</v>
      </c>
      <c r="T232">
        <f t="shared" si="25"/>
        <v>-0.31909090909090904</v>
      </c>
      <c r="U232">
        <f t="shared" si="31"/>
        <v>153.5809090909091</v>
      </c>
      <c r="W232">
        <v>284.8</v>
      </c>
      <c r="X232">
        <f t="shared" si="26"/>
        <v>6312.4000000000005</v>
      </c>
      <c r="Y232">
        <v>11.751988088016486</v>
      </c>
    </row>
    <row r="233" spans="1:25" x14ac:dyDescent="0.25">
      <c r="A233">
        <v>7560</v>
      </c>
      <c r="B233">
        <v>24490</v>
      </c>
      <c r="C233" s="1">
        <v>43178</v>
      </c>
      <c r="F233" s="42"/>
      <c r="G233">
        <v>-0.6</v>
      </c>
      <c r="H233">
        <v>-2.2000000000000002</v>
      </c>
      <c r="I233">
        <v>0.5</v>
      </c>
      <c r="J233">
        <v>1391.6</v>
      </c>
      <c r="K233">
        <v>100.1</v>
      </c>
      <c r="M233">
        <v>0</v>
      </c>
      <c r="N233">
        <v>0.4</v>
      </c>
      <c r="O233">
        <f t="shared" si="27"/>
        <v>-0.4</v>
      </c>
      <c r="Q233">
        <v>197</v>
      </c>
      <c r="R233">
        <f t="shared" si="28"/>
        <v>1.0681818181818181</v>
      </c>
      <c r="S233">
        <f t="shared" si="24"/>
        <v>0.42727272727272725</v>
      </c>
      <c r="T233">
        <f t="shared" si="25"/>
        <v>-0.42727272727272725</v>
      </c>
      <c r="U233">
        <f t="shared" si="31"/>
        <v>153.15363636363637</v>
      </c>
      <c r="W233">
        <v>325.8</v>
      </c>
      <c r="X233">
        <f t="shared" si="26"/>
        <v>6638.2000000000007</v>
      </c>
      <c r="Y233">
        <v>11.813962528573644</v>
      </c>
    </row>
    <row r="234" spans="1:25" x14ac:dyDescent="0.25">
      <c r="A234">
        <v>7560</v>
      </c>
      <c r="B234">
        <v>24490</v>
      </c>
      <c r="C234" s="1">
        <v>43179</v>
      </c>
      <c r="F234" s="42"/>
      <c r="G234">
        <v>0.7</v>
      </c>
      <c r="H234">
        <v>-3.2</v>
      </c>
      <c r="I234">
        <v>3.8</v>
      </c>
      <c r="J234">
        <f t="shared" si="29"/>
        <v>1392.3</v>
      </c>
      <c r="K234">
        <f t="shared" si="30"/>
        <v>100.8</v>
      </c>
      <c r="M234">
        <v>0</v>
      </c>
      <c r="N234">
        <v>1</v>
      </c>
      <c r="O234">
        <f t="shared" si="27"/>
        <v>-1</v>
      </c>
      <c r="Q234">
        <v>198</v>
      </c>
      <c r="R234">
        <f t="shared" si="28"/>
        <v>1.0727272727272728</v>
      </c>
      <c r="S234">
        <f t="shared" si="24"/>
        <v>1.0727272727272728</v>
      </c>
      <c r="T234">
        <f t="shared" si="25"/>
        <v>-1.0727272727272728</v>
      </c>
      <c r="U234">
        <f t="shared" si="31"/>
        <v>152.0809090909091</v>
      </c>
      <c r="W234">
        <v>724.4</v>
      </c>
      <c r="X234">
        <f t="shared" si="26"/>
        <v>7362.6</v>
      </c>
      <c r="Y234">
        <v>11.875961445772829</v>
      </c>
    </row>
    <row r="235" spans="1:25" x14ac:dyDescent="0.25">
      <c r="A235">
        <v>7560</v>
      </c>
      <c r="B235">
        <v>24490</v>
      </c>
      <c r="C235" s="1">
        <v>43180</v>
      </c>
      <c r="F235" s="42"/>
      <c r="G235">
        <v>1.5</v>
      </c>
      <c r="H235">
        <v>-2.2999999999999998</v>
      </c>
      <c r="I235">
        <v>5.4</v>
      </c>
      <c r="J235">
        <f t="shared" si="29"/>
        <v>1393.8</v>
      </c>
      <c r="K235">
        <f t="shared" si="30"/>
        <v>102.3</v>
      </c>
      <c r="M235">
        <v>0</v>
      </c>
      <c r="N235">
        <v>1.7</v>
      </c>
      <c r="O235">
        <f t="shared" si="27"/>
        <v>-1.7</v>
      </c>
      <c r="Q235">
        <v>199</v>
      </c>
      <c r="R235">
        <f t="shared" si="28"/>
        <v>1.0772727272727272</v>
      </c>
      <c r="S235">
        <f t="shared" si="24"/>
        <v>1.8313636363636361</v>
      </c>
      <c r="T235">
        <f t="shared" si="25"/>
        <v>-1.8313636363636361</v>
      </c>
      <c r="U235">
        <f t="shared" si="31"/>
        <v>150.24954545454545</v>
      </c>
      <c r="W235">
        <v>1656.7</v>
      </c>
      <c r="X235">
        <f t="shared" si="26"/>
        <v>9019.3000000000011</v>
      </c>
      <c r="Y235">
        <v>11.937976654100188</v>
      </c>
    </row>
    <row r="236" spans="1:25" x14ac:dyDescent="0.25">
      <c r="A236">
        <v>7560</v>
      </c>
      <c r="B236">
        <v>24490</v>
      </c>
      <c r="C236" s="1">
        <v>43181</v>
      </c>
      <c r="F236" s="42"/>
      <c r="G236">
        <v>2.9</v>
      </c>
      <c r="H236">
        <v>-1.2</v>
      </c>
      <c r="I236">
        <v>5.8</v>
      </c>
      <c r="J236">
        <f t="shared" si="29"/>
        <v>1396.7</v>
      </c>
      <c r="K236">
        <f t="shared" si="30"/>
        <v>105.2</v>
      </c>
      <c r="M236">
        <v>1.4</v>
      </c>
      <c r="N236">
        <v>0.4</v>
      </c>
      <c r="O236">
        <f t="shared" si="27"/>
        <v>0.99999999999999989</v>
      </c>
      <c r="Q236">
        <v>200</v>
      </c>
      <c r="R236">
        <f t="shared" si="28"/>
        <v>1.0818181818181818</v>
      </c>
      <c r="S236">
        <f t="shared" si="24"/>
        <v>0.43272727272727274</v>
      </c>
      <c r="T236">
        <f t="shared" si="25"/>
        <v>0.96727272727272717</v>
      </c>
      <c r="U236">
        <f t="shared" si="31"/>
        <v>151.21681818181818</v>
      </c>
      <c r="W236">
        <v>341.9</v>
      </c>
      <c r="X236">
        <f t="shared" si="26"/>
        <v>9361.2000000000007</v>
      </c>
      <c r="Y236">
        <v>12</v>
      </c>
    </row>
    <row r="237" spans="1:25" x14ac:dyDescent="0.25">
      <c r="A237">
        <v>7560</v>
      </c>
      <c r="B237">
        <v>24490</v>
      </c>
      <c r="C237" s="1">
        <v>43182</v>
      </c>
      <c r="F237" s="42"/>
      <c r="G237">
        <v>5.0999999999999996</v>
      </c>
      <c r="H237">
        <v>3.7</v>
      </c>
      <c r="I237">
        <v>6.3</v>
      </c>
      <c r="J237">
        <f t="shared" si="29"/>
        <v>1401.8</v>
      </c>
      <c r="K237">
        <f t="shared" si="30"/>
        <v>110.3</v>
      </c>
      <c r="M237">
        <v>0</v>
      </c>
      <c r="N237">
        <v>0.9</v>
      </c>
      <c r="O237">
        <f t="shared" si="27"/>
        <v>-0.9</v>
      </c>
      <c r="Q237">
        <v>201</v>
      </c>
      <c r="R237">
        <f t="shared" si="28"/>
        <v>1.0863636363636364</v>
      </c>
      <c r="S237">
        <f t="shared" si="24"/>
        <v>0.97772727272727278</v>
      </c>
      <c r="T237">
        <f t="shared" si="25"/>
        <v>-0.97772727272727278</v>
      </c>
      <c r="U237">
        <f t="shared" si="31"/>
        <v>150.23909090909092</v>
      </c>
      <c r="W237">
        <v>310.7</v>
      </c>
      <c r="X237">
        <f t="shared" si="26"/>
        <v>9671.9000000000015</v>
      </c>
      <c r="Y237">
        <v>12.062023345899812</v>
      </c>
    </row>
    <row r="238" spans="1:25" x14ac:dyDescent="0.25">
      <c r="A238">
        <v>7560</v>
      </c>
      <c r="B238">
        <v>24490</v>
      </c>
      <c r="C238" s="1">
        <v>43183</v>
      </c>
      <c r="F238" s="42"/>
      <c r="G238">
        <v>6.2</v>
      </c>
      <c r="H238">
        <v>0.6</v>
      </c>
      <c r="I238">
        <v>11.7</v>
      </c>
      <c r="J238">
        <f t="shared" si="29"/>
        <v>1408</v>
      </c>
      <c r="K238">
        <f t="shared" si="30"/>
        <v>116.5</v>
      </c>
      <c r="M238">
        <v>0</v>
      </c>
      <c r="N238">
        <v>2.2000000000000002</v>
      </c>
      <c r="O238">
        <f t="shared" si="27"/>
        <v>-2.2000000000000002</v>
      </c>
      <c r="Q238">
        <v>202</v>
      </c>
      <c r="R238">
        <f t="shared" si="28"/>
        <v>1.0909090909090908</v>
      </c>
      <c r="S238">
        <f t="shared" si="24"/>
        <v>2.4</v>
      </c>
      <c r="T238">
        <f t="shared" si="25"/>
        <v>-2.4</v>
      </c>
      <c r="U238">
        <f t="shared" si="31"/>
        <v>147.83909090909091</v>
      </c>
      <c r="W238">
        <v>1622.8</v>
      </c>
      <c r="X238">
        <f t="shared" si="26"/>
        <v>11294.7</v>
      </c>
      <c r="Y238">
        <v>12.124038554227171</v>
      </c>
    </row>
    <row r="239" spans="1:25" x14ac:dyDescent="0.25">
      <c r="A239">
        <v>7560</v>
      </c>
      <c r="B239">
        <v>24490</v>
      </c>
      <c r="C239" s="1">
        <v>43184</v>
      </c>
      <c r="F239" s="42"/>
      <c r="G239">
        <v>7.7</v>
      </c>
      <c r="H239">
        <v>0.2</v>
      </c>
      <c r="I239">
        <v>13.6</v>
      </c>
      <c r="J239">
        <f t="shared" si="29"/>
        <v>1415.7</v>
      </c>
      <c r="K239">
        <f t="shared" si="30"/>
        <v>124.2</v>
      </c>
      <c r="M239">
        <v>0</v>
      </c>
      <c r="N239">
        <v>2</v>
      </c>
      <c r="O239">
        <f t="shared" si="27"/>
        <v>-2</v>
      </c>
      <c r="Q239">
        <v>203</v>
      </c>
      <c r="R239">
        <f t="shared" si="28"/>
        <v>1.0954545454545455</v>
      </c>
      <c r="S239">
        <f t="shared" si="24"/>
        <v>2.1909090909090909</v>
      </c>
      <c r="T239">
        <f t="shared" si="25"/>
        <v>-2.1909090909090909</v>
      </c>
      <c r="U239">
        <f t="shared" si="31"/>
        <v>145.64818181818183</v>
      </c>
      <c r="W239">
        <v>1433.1</v>
      </c>
      <c r="X239">
        <f t="shared" si="26"/>
        <v>12727.800000000001</v>
      </c>
      <c r="Y239">
        <v>12.186037471426356</v>
      </c>
    </row>
    <row r="240" spans="1:25" x14ac:dyDescent="0.25">
      <c r="A240">
        <v>7560</v>
      </c>
      <c r="B240">
        <v>24490</v>
      </c>
      <c r="C240" s="1">
        <v>43185</v>
      </c>
      <c r="F240" s="42"/>
      <c r="G240">
        <v>7.2</v>
      </c>
      <c r="H240">
        <v>5.7</v>
      </c>
      <c r="I240">
        <v>9.1999999999999993</v>
      </c>
      <c r="J240">
        <f t="shared" si="29"/>
        <v>1422.9</v>
      </c>
      <c r="K240">
        <f t="shared" si="30"/>
        <v>131.4</v>
      </c>
      <c r="M240">
        <v>1.6</v>
      </c>
      <c r="N240">
        <v>0.8</v>
      </c>
      <c r="O240">
        <f t="shared" si="27"/>
        <v>0.8</v>
      </c>
      <c r="Q240">
        <v>204</v>
      </c>
      <c r="R240">
        <f t="shared" si="28"/>
        <v>1.0999999999999999</v>
      </c>
      <c r="S240">
        <f t="shared" si="24"/>
        <v>0.87999999999999989</v>
      </c>
      <c r="T240">
        <f t="shared" si="25"/>
        <v>0.7200000000000002</v>
      </c>
      <c r="U240">
        <f t="shared" si="31"/>
        <v>146.36818181818182</v>
      </c>
      <c r="W240">
        <v>404.4</v>
      </c>
      <c r="X240">
        <f t="shared" si="26"/>
        <v>13132.2</v>
      </c>
      <c r="Y240">
        <v>12.248011911983514</v>
      </c>
    </row>
    <row r="241" spans="1:26" x14ac:dyDescent="0.25">
      <c r="A241">
        <v>7560</v>
      </c>
      <c r="B241">
        <v>24490</v>
      </c>
      <c r="C241" s="1">
        <v>43186</v>
      </c>
      <c r="F241" s="42"/>
      <c r="G241">
        <v>6.8</v>
      </c>
      <c r="H241">
        <v>4.5999999999999996</v>
      </c>
      <c r="I241">
        <v>9.3000000000000007</v>
      </c>
      <c r="J241">
        <f t="shared" si="29"/>
        <v>1429.7</v>
      </c>
      <c r="K241">
        <f t="shared" si="30"/>
        <v>138.20000000000002</v>
      </c>
      <c r="M241">
        <v>5.5</v>
      </c>
      <c r="N241">
        <v>0.7</v>
      </c>
      <c r="O241">
        <f t="shared" si="27"/>
        <v>4.8</v>
      </c>
      <c r="Q241">
        <v>205</v>
      </c>
      <c r="R241">
        <f t="shared" si="28"/>
        <v>1.1045454545454545</v>
      </c>
      <c r="S241">
        <f t="shared" si="24"/>
        <v>0.77318181818181808</v>
      </c>
      <c r="T241">
        <f t="shared" si="25"/>
        <v>4.7268181818181816</v>
      </c>
      <c r="U241">
        <f t="shared" si="31"/>
        <v>151.095</v>
      </c>
      <c r="W241">
        <v>414</v>
      </c>
      <c r="X241">
        <f t="shared" si="26"/>
        <v>13546.2</v>
      </c>
      <c r="Y241">
        <v>12.309953642468679</v>
      </c>
    </row>
    <row r="242" spans="1:26" x14ac:dyDescent="0.25">
      <c r="A242">
        <v>7560</v>
      </c>
      <c r="B242">
        <v>24490</v>
      </c>
      <c r="C242" s="1">
        <v>43187</v>
      </c>
      <c r="F242" s="42"/>
      <c r="G242">
        <v>7.4</v>
      </c>
      <c r="H242">
        <v>5.9</v>
      </c>
      <c r="I242">
        <v>11.4</v>
      </c>
      <c r="J242">
        <f t="shared" si="29"/>
        <v>1437.1000000000001</v>
      </c>
      <c r="K242">
        <f t="shared" si="30"/>
        <v>145.60000000000002</v>
      </c>
      <c r="M242">
        <v>9.4</v>
      </c>
      <c r="N242">
        <v>0.9</v>
      </c>
      <c r="O242">
        <f t="shared" si="27"/>
        <v>8.5</v>
      </c>
      <c r="Q242">
        <v>206</v>
      </c>
      <c r="R242">
        <f t="shared" si="28"/>
        <v>1.1090909090909091</v>
      </c>
      <c r="S242">
        <f t="shared" si="24"/>
        <v>0.99818181818181828</v>
      </c>
      <c r="T242">
        <f t="shared" si="25"/>
        <v>8.4018181818181823</v>
      </c>
      <c r="U242">
        <f t="shared" si="31"/>
        <v>153.9</v>
      </c>
      <c r="W242">
        <v>375.2</v>
      </c>
      <c r="X242">
        <f t="shared" si="26"/>
        <v>13921.400000000001</v>
      </c>
      <c r="Y242">
        <v>12.371854365603447</v>
      </c>
    </row>
    <row r="243" spans="1:26" x14ac:dyDescent="0.25">
      <c r="A243">
        <v>7560</v>
      </c>
      <c r="B243">
        <v>24490</v>
      </c>
      <c r="C243" s="1">
        <v>43188</v>
      </c>
      <c r="F243" s="42"/>
      <c r="G243">
        <v>6.1</v>
      </c>
      <c r="H243">
        <v>1.8</v>
      </c>
      <c r="I243">
        <v>9.5</v>
      </c>
      <c r="J243">
        <f t="shared" si="29"/>
        <v>1443.2</v>
      </c>
      <c r="K243">
        <f t="shared" si="30"/>
        <v>151.70000000000002</v>
      </c>
      <c r="M243">
        <v>0.1</v>
      </c>
      <c r="N243">
        <v>1.6</v>
      </c>
      <c r="O243">
        <f t="shared" si="27"/>
        <v>-1.5</v>
      </c>
      <c r="Q243">
        <v>207</v>
      </c>
      <c r="R243">
        <f t="shared" si="28"/>
        <v>1.1136363636363635</v>
      </c>
      <c r="S243">
        <f t="shared" si="24"/>
        <v>1.7818181818181817</v>
      </c>
      <c r="T243">
        <f t="shared" si="25"/>
        <v>-1.6818181818181817</v>
      </c>
      <c r="U243">
        <f t="shared" si="31"/>
        <v>152.21818181818182</v>
      </c>
      <c r="W243">
        <v>1172.7</v>
      </c>
      <c r="X243">
        <f t="shared" si="26"/>
        <v>15094.100000000002</v>
      </c>
      <c r="Y243">
        <v>12.433705704363408</v>
      </c>
    </row>
    <row r="244" spans="1:26" x14ac:dyDescent="0.25">
      <c r="A244">
        <v>7560</v>
      </c>
      <c r="B244">
        <v>24490</v>
      </c>
      <c r="C244" s="1">
        <v>43189</v>
      </c>
      <c r="F244" s="42"/>
      <c r="G244">
        <v>6.1</v>
      </c>
      <c r="H244">
        <v>3</v>
      </c>
      <c r="I244">
        <v>11</v>
      </c>
      <c r="J244">
        <f t="shared" si="29"/>
        <v>1449.3</v>
      </c>
      <c r="K244">
        <f t="shared" si="30"/>
        <v>157.80000000000001</v>
      </c>
      <c r="M244">
        <v>2.2000000000000002</v>
      </c>
      <c r="N244">
        <v>1.5</v>
      </c>
      <c r="O244">
        <f t="shared" si="27"/>
        <v>0.70000000000000018</v>
      </c>
      <c r="Q244">
        <v>208</v>
      </c>
      <c r="R244">
        <f t="shared" si="28"/>
        <v>1.1181818181818182</v>
      </c>
      <c r="S244">
        <f t="shared" si="24"/>
        <v>1.6772727272727272</v>
      </c>
      <c r="T244">
        <f t="shared" si="25"/>
        <v>0.52272727272727293</v>
      </c>
      <c r="U244">
        <f t="shared" si="31"/>
        <v>152.7409090909091</v>
      </c>
      <c r="W244">
        <v>909</v>
      </c>
      <c r="X244">
        <f t="shared" si="26"/>
        <v>16003.100000000002</v>
      </c>
      <c r="Y244">
        <v>12.495499186124913</v>
      </c>
    </row>
    <row r="245" spans="1:26" x14ac:dyDescent="0.25">
      <c r="A245">
        <v>7560</v>
      </c>
      <c r="B245">
        <v>24490</v>
      </c>
      <c r="C245" s="1">
        <v>43190</v>
      </c>
      <c r="F245" s="42"/>
      <c r="G245">
        <v>6.5</v>
      </c>
      <c r="H245">
        <v>1.2</v>
      </c>
      <c r="I245">
        <v>12.4</v>
      </c>
      <c r="J245">
        <f t="shared" si="29"/>
        <v>1455.8</v>
      </c>
      <c r="K245">
        <f t="shared" si="30"/>
        <v>164.3</v>
      </c>
      <c r="M245">
        <v>0.1</v>
      </c>
      <c r="N245">
        <v>1.6</v>
      </c>
      <c r="O245">
        <f t="shared" si="27"/>
        <v>-1.5</v>
      </c>
      <c r="Q245">
        <v>209</v>
      </c>
      <c r="R245">
        <f t="shared" si="28"/>
        <v>1.1227272727272726</v>
      </c>
      <c r="S245">
        <f t="shared" si="24"/>
        <v>1.7963636363636362</v>
      </c>
      <c r="T245">
        <f t="shared" si="25"/>
        <v>-1.6963636363636361</v>
      </c>
      <c r="U245">
        <f t="shared" si="31"/>
        <v>151.04454545454547</v>
      </c>
      <c r="W245">
        <v>1113.9000000000001</v>
      </c>
      <c r="X245">
        <f t="shared" si="26"/>
        <v>17117.000000000004</v>
      </c>
      <c r="Y245">
        <v>12.557226226866392</v>
      </c>
    </row>
    <row r="246" spans="1:26" x14ac:dyDescent="0.25">
      <c r="A246">
        <v>7560</v>
      </c>
      <c r="B246">
        <v>24490</v>
      </c>
      <c r="C246" s="1">
        <v>43191</v>
      </c>
      <c r="F246" s="42"/>
      <c r="G246">
        <v>6.5</v>
      </c>
      <c r="H246">
        <v>5.3</v>
      </c>
      <c r="I246">
        <v>8.1999999999999993</v>
      </c>
      <c r="J246">
        <f t="shared" si="29"/>
        <v>1462.3</v>
      </c>
      <c r="K246">
        <f t="shared" si="30"/>
        <v>170.8</v>
      </c>
      <c r="M246">
        <v>0.5</v>
      </c>
      <c r="N246">
        <v>1.1000000000000001</v>
      </c>
      <c r="O246">
        <f t="shared" si="27"/>
        <v>-0.60000000000000009</v>
      </c>
      <c r="Q246">
        <v>210</v>
      </c>
      <c r="R246">
        <f t="shared" si="28"/>
        <v>1.1272727272727272</v>
      </c>
      <c r="S246">
        <f t="shared" si="24"/>
        <v>1.24</v>
      </c>
      <c r="T246">
        <f t="shared" si="25"/>
        <v>-0.74</v>
      </c>
      <c r="U246">
        <f t="shared" si="31"/>
        <v>150.30454545454546</v>
      </c>
      <c r="W246">
        <v>738.7</v>
      </c>
      <c r="X246">
        <f t="shared" si="26"/>
        <v>17855.700000000004</v>
      </c>
      <c r="Y246">
        <v>12.6188781154351</v>
      </c>
    </row>
    <row r="247" spans="1:26" x14ac:dyDescent="0.25">
      <c r="A247">
        <v>7560</v>
      </c>
      <c r="B247">
        <v>24490</v>
      </c>
      <c r="C247" s="1">
        <v>43192</v>
      </c>
      <c r="F247" s="42"/>
      <c r="G247">
        <v>9.3000000000000007</v>
      </c>
      <c r="H247">
        <v>4.0999999999999996</v>
      </c>
      <c r="I247">
        <v>13.2</v>
      </c>
      <c r="J247">
        <f t="shared" si="29"/>
        <v>1471.6</v>
      </c>
      <c r="K247">
        <f t="shared" si="30"/>
        <v>180.10000000000002</v>
      </c>
      <c r="M247">
        <v>0.5</v>
      </c>
      <c r="N247">
        <v>1.9</v>
      </c>
      <c r="O247">
        <f t="shared" si="27"/>
        <v>-1.4</v>
      </c>
      <c r="Q247">
        <v>211</v>
      </c>
      <c r="R247">
        <f t="shared" si="28"/>
        <v>1.1318181818181818</v>
      </c>
      <c r="S247">
        <f t="shared" si="24"/>
        <v>2.1504545454545454</v>
      </c>
      <c r="T247">
        <f t="shared" si="25"/>
        <v>-1.6504545454545454</v>
      </c>
      <c r="U247">
        <f t="shared" si="31"/>
        <v>148.65409090909091</v>
      </c>
      <c r="W247">
        <v>1034.5</v>
      </c>
      <c r="X247">
        <f t="shared" si="26"/>
        <v>18890.200000000004</v>
      </c>
      <c r="Y247">
        <v>12.680445997891049</v>
      </c>
    </row>
    <row r="248" spans="1:26" x14ac:dyDescent="0.25">
      <c r="A248">
        <v>7560</v>
      </c>
      <c r="B248">
        <v>24490</v>
      </c>
      <c r="C248" s="1">
        <v>43193</v>
      </c>
      <c r="F248" s="42"/>
      <c r="G248">
        <v>9.8000000000000007</v>
      </c>
      <c r="H248">
        <v>8.9</v>
      </c>
      <c r="I248">
        <v>11.4</v>
      </c>
      <c r="J248">
        <f t="shared" si="29"/>
        <v>1481.3999999999999</v>
      </c>
      <c r="K248">
        <f t="shared" si="30"/>
        <v>189.90000000000003</v>
      </c>
      <c r="M248">
        <v>7.1</v>
      </c>
      <c r="N248">
        <v>1.4</v>
      </c>
      <c r="O248">
        <f t="shared" si="27"/>
        <v>5.6999999999999993</v>
      </c>
      <c r="Q248">
        <v>212</v>
      </c>
      <c r="R248">
        <f t="shared" si="28"/>
        <v>1.1363636363636362</v>
      </c>
      <c r="S248">
        <f t="shared" si="24"/>
        <v>1.5909090909090906</v>
      </c>
      <c r="T248">
        <f t="shared" si="25"/>
        <v>5.5090909090909088</v>
      </c>
      <c r="U248">
        <f t="shared" si="31"/>
        <v>153.9</v>
      </c>
      <c r="W248">
        <v>558.9</v>
      </c>
      <c r="X248">
        <f t="shared" si="26"/>
        <v>19449.100000000006</v>
      </c>
      <c r="Y248">
        <v>12.741920861940859</v>
      </c>
    </row>
    <row r="249" spans="1:26" x14ac:dyDescent="0.25">
      <c r="A249">
        <v>7560</v>
      </c>
      <c r="B249">
        <v>24490</v>
      </c>
      <c r="C249" s="1">
        <v>43194</v>
      </c>
      <c r="F249" s="42"/>
      <c r="G249">
        <v>9.9</v>
      </c>
      <c r="H249">
        <v>8</v>
      </c>
      <c r="I249">
        <v>10.9</v>
      </c>
      <c r="J249">
        <f t="shared" si="29"/>
        <v>1491.3</v>
      </c>
      <c r="K249">
        <f t="shared" si="30"/>
        <v>199.80000000000004</v>
      </c>
      <c r="M249">
        <v>9.6</v>
      </c>
      <c r="N249">
        <v>0.9</v>
      </c>
      <c r="O249">
        <f t="shared" si="27"/>
        <v>8.6999999999999993</v>
      </c>
      <c r="Q249">
        <v>213</v>
      </c>
      <c r="R249">
        <f t="shared" si="28"/>
        <v>1.1409090909090909</v>
      </c>
      <c r="S249">
        <f t="shared" si="24"/>
        <v>1.0268181818181819</v>
      </c>
      <c r="T249">
        <f t="shared" si="25"/>
        <v>8.5731818181818173</v>
      </c>
      <c r="U249">
        <f t="shared" si="31"/>
        <v>153.9</v>
      </c>
      <c r="W249">
        <v>586.79999999999995</v>
      </c>
      <c r="X249">
        <f t="shared" si="26"/>
        <v>20035.900000000005</v>
      </c>
      <c r="Y249">
        <v>12.803293521475311</v>
      </c>
    </row>
    <row r="250" spans="1:26" x14ac:dyDescent="0.25">
      <c r="A250">
        <v>7560</v>
      </c>
      <c r="B250">
        <v>24490</v>
      </c>
      <c r="C250" s="1">
        <v>43195</v>
      </c>
      <c r="F250" s="42"/>
      <c r="G250">
        <v>7.8</v>
      </c>
      <c r="H250">
        <v>7.6</v>
      </c>
      <c r="I250">
        <v>9</v>
      </c>
      <c r="J250">
        <f t="shared" si="29"/>
        <v>1499.1</v>
      </c>
      <c r="K250">
        <f t="shared" si="30"/>
        <v>207.60000000000005</v>
      </c>
      <c r="M250">
        <v>0</v>
      </c>
      <c r="N250">
        <v>1.7</v>
      </c>
      <c r="O250">
        <f t="shared" si="27"/>
        <v>-1.7</v>
      </c>
      <c r="Q250">
        <v>214</v>
      </c>
      <c r="R250">
        <f t="shared" si="28"/>
        <v>1.1454545454545453</v>
      </c>
      <c r="S250">
        <f t="shared" si="24"/>
        <v>1.9472727272727268</v>
      </c>
      <c r="T250">
        <f t="shared" si="25"/>
        <v>-1.9472727272727268</v>
      </c>
      <c r="U250">
        <f t="shared" si="31"/>
        <v>151.95272727272729</v>
      </c>
      <c r="W250">
        <v>1012.5</v>
      </c>
      <c r="X250">
        <f t="shared" si="26"/>
        <v>21048.400000000005</v>
      </c>
      <c r="Y250">
        <v>12.864554601225608</v>
      </c>
    </row>
    <row r="251" spans="1:26" s="6" customFormat="1" ht="15.75" thickBot="1" x14ac:dyDescent="0.3">
      <c r="A251" s="6">
        <v>7560</v>
      </c>
      <c r="B251" s="6">
        <v>24490</v>
      </c>
      <c r="C251" s="7">
        <v>43196</v>
      </c>
      <c r="F251" s="43"/>
      <c r="G251" s="6">
        <v>10.6</v>
      </c>
      <c r="H251" s="6">
        <v>3.8</v>
      </c>
      <c r="I251" s="6">
        <v>16.2</v>
      </c>
      <c r="J251" s="6">
        <f t="shared" si="29"/>
        <v>1509.6999999999998</v>
      </c>
      <c r="K251" s="6">
        <f t="shared" si="30"/>
        <v>218.20000000000005</v>
      </c>
      <c r="M251" s="6">
        <v>0</v>
      </c>
      <c r="N251" s="6">
        <v>3.3</v>
      </c>
      <c r="O251" s="6">
        <f t="shared" si="27"/>
        <v>-3.3</v>
      </c>
      <c r="Q251" s="6">
        <v>215</v>
      </c>
      <c r="R251" s="6">
        <f t="shared" si="28"/>
        <v>1.1499999999999999</v>
      </c>
      <c r="S251" s="6">
        <f t="shared" si="24"/>
        <v>3.7949999999999995</v>
      </c>
      <c r="T251" s="6">
        <f t="shared" si="25"/>
        <v>-3.7949999999999995</v>
      </c>
      <c r="U251" s="6">
        <f t="shared" si="31"/>
        <v>148.1577272727273</v>
      </c>
      <c r="W251" s="6">
        <v>1995.7</v>
      </c>
      <c r="X251" s="6">
        <f t="shared" si="26"/>
        <v>23044.100000000006</v>
      </c>
      <c r="Y251" s="6">
        <v>12.925694521554684</v>
      </c>
    </row>
    <row r="252" spans="1:26" x14ac:dyDescent="0.25">
      <c r="A252">
        <v>7560</v>
      </c>
      <c r="B252">
        <v>24490</v>
      </c>
      <c r="C252" s="1">
        <v>43197</v>
      </c>
      <c r="D252" t="s">
        <v>32</v>
      </c>
      <c r="F252" s="38" t="s">
        <v>56</v>
      </c>
      <c r="G252">
        <v>14.3</v>
      </c>
      <c r="H252">
        <v>9</v>
      </c>
      <c r="I252">
        <v>20</v>
      </c>
      <c r="J252">
        <f t="shared" si="29"/>
        <v>1523.9999999999998</v>
      </c>
      <c r="K252">
        <f>G252</f>
        <v>14.3</v>
      </c>
      <c r="L252" s="20" t="s">
        <v>37</v>
      </c>
      <c r="M252">
        <v>0</v>
      </c>
      <c r="N252">
        <v>4.0999999999999996</v>
      </c>
      <c r="O252">
        <f t="shared" si="27"/>
        <v>-4.0999999999999996</v>
      </c>
      <c r="Q252">
        <v>216</v>
      </c>
      <c r="R252">
        <v>1.1499999999999999</v>
      </c>
      <c r="S252">
        <f t="shared" si="24"/>
        <v>4.714999999999999</v>
      </c>
      <c r="T252">
        <f t="shared" si="25"/>
        <v>-4.714999999999999</v>
      </c>
      <c r="U252">
        <f t="shared" si="31"/>
        <v>143.4427272727273</v>
      </c>
      <c r="V252" s="22" t="s">
        <v>44</v>
      </c>
      <c r="W252">
        <v>2009.7</v>
      </c>
      <c r="X252">
        <f>W252</f>
        <v>2009.7</v>
      </c>
      <c r="Y252">
        <v>12.986703483401341</v>
      </c>
      <c r="Z252" s="22" t="s">
        <v>49</v>
      </c>
    </row>
    <row r="253" spans="1:26" x14ac:dyDescent="0.25">
      <c r="A253">
        <v>7560</v>
      </c>
      <c r="B253">
        <v>24490</v>
      </c>
      <c r="C253" s="1">
        <v>43198</v>
      </c>
      <c r="F253" s="39"/>
      <c r="G253">
        <v>15.5</v>
      </c>
      <c r="H253">
        <v>10.7</v>
      </c>
      <c r="I253">
        <v>22.5</v>
      </c>
      <c r="J253">
        <f t="shared" si="29"/>
        <v>1539.4999999999998</v>
      </c>
      <c r="K253">
        <f t="shared" si="30"/>
        <v>29.8</v>
      </c>
      <c r="L253" s="10">
        <v>287.5</v>
      </c>
      <c r="M253">
        <v>0.4</v>
      </c>
      <c r="N253">
        <v>3.3</v>
      </c>
      <c r="O253">
        <f t="shared" si="27"/>
        <v>-2.9</v>
      </c>
      <c r="Q253">
        <v>217</v>
      </c>
      <c r="R253">
        <v>1.1499999999999999</v>
      </c>
      <c r="S253">
        <f t="shared" si="24"/>
        <v>3.7949999999999995</v>
      </c>
      <c r="T253">
        <f t="shared" si="25"/>
        <v>-3.3949999999999996</v>
      </c>
      <c r="U253">
        <f t="shared" si="31"/>
        <v>140.04772727272729</v>
      </c>
      <c r="V253">
        <v>0</v>
      </c>
      <c r="W253">
        <v>1484.8</v>
      </c>
      <c r="X253">
        <f t="shared" si="26"/>
        <v>3494.5</v>
      </c>
      <c r="Y253">
        <v>13.047571453396571</v>
      </c>
      <c r="Z253">
        <v>34514</v>
      </c>
    </row>
    <row r="254" spans="1:26" x14ac:dyDescent="0.25">
      <c r="A254">
        <v>7560</v>
      </c>
      <c r="B254">
        <v>24490</v>
      </c>
      <c r="C254" s="1">
        <v>43199</v>
      </c>
      <c r="F254" s="39"/>
      <c r="G254">
        <v>12.5</v>
      </c>
      <c r="H254">
        <v>11.3</v>
      </c>
      <c r="I254">
        <v>16.2</v>
      </c>
      <c r="J254">
        <f t="shared" si="29"/>
        <v>1551.9999999999998</v>
      </c>
      <c r="K254">
        <f t="shared" si="30"/>
        <v>42.3</v>
      </c>
      <c r="L254" s="20" t="s">
        <v>38</v>
      </c>
      <c r="M254">
        <v>0.9</v>
      </c>
      <c r="N254">
        <v>1.5</v>
      </c>
      <c r="O254">
        <f t="shared" si="27"/>
        <v>-0.6</v>
      </c>
      <c r="Q254">
        <v>218</v>
      </c>
      <c r="R254">
        <v>1.1499999999999999</v>
      </c>
      <c r="S254">
        <f t="shared" si="24"/>
        <v>1.7249999999999999</v>
      </c>
      <c r="T254">
        <f t="shared" si="25"/>
        <v>-0.82499999999999984</v>
      </c>
      <c r="U254">
        <f t="shared" si="31"/>
        <v>139.2227272727273</v>
      </c>
      <c r="V254" s="22" t="s">
        <v>45</v>
      </c>
      <c r="W254">
        <v>822.2</v>
      </c>
      <c r="X254">
        <f t="shared" si="26"/>
        <v>4316.7</v>
      </c>
      <c r="Y254">
        <v>13.108288149173118</v>
      </c>
      <c r="Z254" s="22" t="s">
        <v>50</v>
      </c>
    </row>
    <row r="255" spans="1:26" x14ac:dyDescent="0.25">
      <c r="A255">
        <v>7560</v>
      </c>
      <c r="B255">
        <v>24490</v>
      </c>
      <c r="C255" s="1">
        <v>43200</v>
      </c>
      <c r="F255" s="39"/>
      <c r="G255">
        <v>10.4</v>
      </c>
      <c r="H255">
        <v>9.5</v>
      </c>
      <c r="I255">
        <v>13.8</v>
      </c>
      <c r="J255">
        <f t="shared" si="29"/>
        <v>1562.3999999999999</v>
      </c>
      <c r="K255">
        <f t="shared" si="30"/>
        <v>52.699999999999996</v>
      </c>
      <c r="L255" s="11">
        <f>AVERAGE(G252:G272)</f>
        <v>13.69047619047619</v>
      </c>
      <c r="M255">
        <v>0</v>
      </c>
      <c r="N255">
        <v>2.4</v>
      </c>
      <c r="O255">
        <f t="shared" si="27"/>
        <v>-2.4</v>
      </c>
      <c r="Q255">
        <v>219</v>
      </c>
      <c r="R255">
        <v>1.1499999999999999</v>
      </c>
      <c r="S255">
        <f t="shared" si="24"/>
        <v>2.76</v>
      </c>
      <c r="T255">
        <f t="shared" si="25"/>
        <v>-2.76</v>
      </c>
      <c r="U255">
        <f t="shared" si="31"/>
        <v>136.46272727272731</v>
      </c>
      <c r="V255">
        <v>0</v>
      </c>
      <c r="W255">
        <v>1183.2</v>
      </c>
      <c r="X255">
        <f t="shared" si="26"/>
        <v>5499.9</v>
      </c>
      <c r="Y255">
        <v>13.168843024891116</v>
      </c>
      <c r="Z255" s="14">
        <f>(Z253/100)/L253</f>
        <v>1.2004869565217391</v>
      </c>
    </row>
    <row r="256" spans="1:26" x14ac:dyDescent="0.25">
      <c r="A256">
        <v>7560</v>
      </c>
      <c r="B256">
        <v>24490</v>
      </c>
      <c r="C256" s="1">
        <v>43201</v>
      </c>
      <c r="F256" s="39"/>
      <c r="G256">
        <v>11.3</v>
      </c>
      <c r="H256">
        <v>4.8</v>
      </c>
      <c r="I256">
        <v>17.7</v>
      </c>
      <c r="J256">
        <f t="shared" si="29"/>
        <v>1573.6999999999998</v>
      </c>
      <c r="K256">
        <f t="shared" si="30"/>
        <v>64</v>
      </c>
      <c r="L256" s="20" t="s">
        <v>39</v>
      </c>
      <c r="M256">
        <v>0</v>
      </c>
      <c r="N256">
        <v>3</v>
      </c>
      <c r="O256">
        <f t="shared" si="27"/>
        <v>-3</v>
      </c>
      <c r="Q256">
        <v>220</v>
      </c>
      <c r="R256">
        <v>1.1499999999999999</v>
      </c>
      <c r="S256">
        <f t="shared" si="24"/>
        <v>3.4499999999999997</v>
      </c>
      <c r="T256">
        <f t="shared" si="25"/>
        <v>-3.4499999999999997</v>
      </c>
      <c r="U256">
        <f t="shared" si="31"/>
        <v>133.01272727272732</v>
      </c>
      <c r="V256" s="22" t="s">
        <v>46</v>
      </c>
      <c r="W256">
        <v>1758.6</v>
      </c>
      <c r="X256">
        <f t="shared" si="26"/>
        <v>7258.5</v>
      </c>
      <c r="Y256">
        <v>13.229225257004625</v>
      </c>
      <c r="Z256" s="22" t="s">
        <v>51</v>
      </c>
    </row>
    <row r="257" spans="1:26" x14ac:dyDescent="0.25">
      <c r="A257">
        <v>7560</v>
      </c>
      <c r="B257">
        <v>24490</v>
      </c>
      <c r="C257" s="1">
        <v>43202</v>
      </c>
      <c r="F257" s="39"/>
      <c r="G257">
        <v>9.9</v>
      </c>
      <c r="H257">
        <v>9</v>
      </c>
      <c r="I257">
        <v>11.6</v>
      </c>
      <c r="J257">
        <f t="shared" si="29"/>
        <v>1583.6</v>
      </c>
      <c r="K257">
        <f t="shared" si="30"/>
        <v>73.900000000000006</v>
      </c>
      <c r="L257" s="12">
        <f>MIN(H252:H272)</f>
        <v>4.8</v>
      </c>
      <c r="M257">
        <v>0.1</v>
      </c>
      <c r="N257">
        <v>1.3</v>
      </c>
      <c r="O257">
        <f t="shared" si="27"/>
        <v>-1.2</v>
      </c>
      <c r="Q257">
        <v>221</v>
      </c>
      <c r="R257">
        <v>1.1499999999999999</v>
      </c>
      <c r="S257">
        <f t="shared" si="24"/>
        <v>1.4949999999999999</v>
      </c>
      <c r="T257">
        <f t="shared" si="25"/>
        <v>-1.3949999999999998</v>
      </c>
      <c r="U257">
        <f t="shared" si="31"/>
        <v>131.61772727272731</v>
      </c>
      <c r="V257" s="14">
        <f>MIN(U252:U272)</f>
        <v>76.917727272727305</v>
      </c>
      <c r="W257">
        <v>843</v>
      </c>
      <c r="X257">
        <f t="shared" si="26"/>
        <v>8101.5</v>
      </c>
      <c r="Y257">
        <v>13.289423730295839</v>
      </c>
      <c r="Z257">
        <v>4</v>
      </c>
    </row>
    <row r="258" spans="1:26" x14ac:dyDescent="0.25">
      <c r="A258">
        <v>7560</v>
      </c>
      <c r="B258">
        <v>24490</v>
      </c>
      <c r="C258" s="1">
        <v>43203</v>
      </c>
      <c r="F258" s="39"/>
      <c r="G258">
        <v>10.9</v>
      </c>
      <c r="H258">
        <v>5.9</v>
      </c>
      <c r="I258">
        <v>16.3</v>
      </c>
      <c r="J258">
        <f t="shared" si="29"/>
        <v>1594.5</v>
      </c>
      <c r="K258">
        <f t="shared" si="30"/>
        <v>84.800000000000011</v>
      </c>
      <c r="L258" s="20" t="s">
        <v>40</v>
      </c>
      <c r="M258">
        <v>0</v>
      </c>
      <c r="N258">
        <v>2.2000000000000002</v>
      </c>
      <c r="O258">
        <f t="shared" si="27"/>
        <v>-2.2000000000000002</v>
      </c>
      <c r="Q258">
        <v>222</v>
      </c>
      <c r="R258">
        <v>1.1499999999999999</v>
      </c>
      <c r="S258">
        <f t="shared" si="24"/>
        <v>2.5299999999999998</v>
      </c>
      <c r="T258">
        <f t="shared" si="25"/>
        <v>-2.5299999999999998</v>
      </c>
      <c r="U258">
        <f t="shared" si="31"/>
        <v>129.08772727272731</v>
      </c>
      <c r="V258" s="22" t="s">
        <v>47</v>
      </c>
      <c r="W258">
        <v>1292.3</v>
      </c>
      <c r="X258">
        <f t="shared" si="26"/>
        <v>9393.7999999999993</v>
      </c>
      <c r="Y258">
        <v>13.349427024206005</v>
      </c>
    </row>
    <row r="259" spans="1:26" x14ac:dyDescent="0.25">
      <c r="A259">
        <v>7560</v>
      </c>
      <c r="B259">
        <v>24490</v>
      </c>
      <c r="C259" s="1">
        <v>43204</v>
      </c>
      <c r="F259" s="39"/>
      <c r="G259">
        <v>11.6</v>
      </c>
      <c r="H259">
        <v>7.1</v>
      </c>
      <c r="I259">
        <v>16.600000000000001</v>
      </c>
      <c r="J259">
        <f t="shared" si="29"/>
        <v>1606.1</v>
      </c>
      <c r="K259">
        <f t="shared" si="30"/>
        <v>96.4</v>
      </c>
      <c r="L259" s="10">
        <f>MAX(I252:I272)</f>
        <v>26.3</v>
      </c>
      <c r="M259">
        <v>0.7</v>
      </c>
      <c r="N259">
        <v>1.4</v>
      </c>
      <c r="O259">
        <f t="shared" si="27"/>
        <v>-0.7</v>
      </c>
      <c r="Q259">
        <v>223</v>
      </c>
      <c r="R259">
        <v>1.1499999999999999</v>
      </c>
      <c r="S259">
        <f t="shared" si="24"/>
        <v>1.6099999999999999</v>
      </c>
      <c r="T259">
        <f t="shared" si="25"/>
        <v>-0.90999999999999992</v>
      </c>
      <c r="U259">
        <f t="shared" si="31"/>
        <v>128.17772727272731</v>
      </c>
      <c r="V259" s="14">
        <f>MAX(U252:U272)</f>
        <v>143.4427272727273</v>
      </c>
      <c r="W259">
        <v>835.5</v>
      </c>
      <c r="X259">
        <f t="shared" si="26"/>
        <v>10229.299999999999</v>
      </c>
      <c r="Y259">
        <v>13.409223399494241</v>
      </c>
    </row>
    <row r="260" spans="1:26" x14ac:dyDescent="0.25">
      <c r="A260">
        <v>7560</v>
      </c>
      <c r="B260">
        <v>24490</v>
      </c>
      <c r="C260" s="1">
        <v>43205</v>
      </c>
      <c r="F260" s="39"/>
      <c r="G260">
        <v>12.5</v>
      </c>
      <c r="H260">
        <v>7.1</v>
      </c>
      <c r="I260">
        <v>17.100000000000001</v>
      </c>
      <c r="J260">
        <f t="shared" si="29"/>
        <v>1618.6</v>
      </c>
      <c r="K260">
        <f t="shared" si="30"/>
        <v>108.9</v>
      </c>
      <c r="L260" s="20" t="s">
        <v>41</v>
      </c>
      <c r="M260">
        <v>0</v>
      </c>
      <c r="N260">
        <v>2.4</v>
      </c>
      <c r="O260">
        <f t="shared" si="27"/>
        <v>-2.4</v>
      </c>
      <c r="Q260">
        <v>224</v>
      </c>
      <c r="R260">
        <v>1.1499999999999999</v>
      </c>
      <c r="S260">
        <f t="shared" si="24"/>
        <v>2.76</v>
      </c>
      <c r="T260">
        <f t="shared" si="25"/>
        <v>-2.76</v>
      </c>
      <c r="U260">
        <f t="shared" si="31"/>
        <v>125.4177272727273</v>
      </c>
      <c r="V260" s="22" t="s">
        <v>48</v>
      </c>
      <c r="W260">
        <v>1605.5</v>
      </c>
      <c r="X260">
        <f t="shared" si="26"/>
        <v>11834.8</v>
      </c>
      <c r="Y260">
        <v>13.468800785257894</v>
      </c>
    </row>
    <row r="261" spans="1:26" x14ac:dyDescent="0.25">
      <c r="A261">
        <v>7560</v>
      </c>
      <c r="B261">
        <v>24490</v>
      </c>
      <c r="C261" s="1">
        <v>43206</v>
      </c>
      <c r="F261" s="39"/>
      <c r="G261">
        <v>11.6</v>
      </c>
      <c r="H261">
        <v>7.5</v>
      </c>
      <c r="I261">
        <v>15.9</v>
      </c>
      <c r="J261">
        <f t="shared" si="29"/>
        <v>1630.1999999999998</v>
      </c>
      <c r="K261">
        <f t="shared" si="30"/>
        <v>120.5</v>
      </c>
      <c r="L261" s="10">
        <v>3</v>
      </c>
      <c r="M261">
        <v>0</v>
      </c>
      <c r="N261">
        <v>2.4</v>
      </c>
      <c r="O261">
        <f t="shared" si="27"/>
        <v>-2.4</v>
      </c>
      <c r="Q261">
        <v>225</v>
      </c>
      <c r="R261">
        <v>1.1499999999999999</v>
      </c>
      <c r="S261">
        <f t="shared" ref="S261:S324" si="32">R261*N261</f>
        <v>2.76</v>
      </c>
      <c r="T261">
        <f t="shared" ref="T261:T324" si="33">M261-S261</f>
        <v>-2.76</v>
      </c>
      <c r="U261">
        <f t="shared" si="31"/>
        <v>122.6577272727273</v>
      </c>
      <c r="V261" s="14">
        <f>AVERAGE(U252:U272)</f>
        <v>112.58344155844159</v>
      </c>
      <c r="W261">
        <v>1573.4</v>
      </c>
      <c r="X261">
        <f t="shared" si="26"/>
        <v>13408.199999999999</v>
      </c>
      <c r="Y261">
        <v>13.528146766350501</v>
      </c>
    </row>
    <row r="262" spans="1:26" x14ac:dyDescent="0.25">
      <c r="A262">
        <v>7560</v>
      </c>
      <c r="B262">
        <v>24490</v>
      </c>
      <c r="C262" s="1">
        <v>43207</v>
      </c>
      <c r="F262" s="39"/>
      <c r="G262">
        <v>12.3</v>
      </c>
      <c r="H262">
        <v>5</v>
      </c>
      <c r="I262">
        <v>18.8</v>
      </c>
      <c r="J262">
        <f t="shared" si="29"/>
        <v>1642.4999999999998</v>
      </c>
      <c r="K262">
        <f t="shared" si="30"/>
        <v>132.80000000000001</v>
      </c>
      <c r="L262" s="20" t="s">
        <v>42</v>
      </c>
      <c r="M262">
        <v>0</v>
      </c>
      <c r="N262">
        <v>3.9</v>
      </c>
      <c r="O262">
        <f t="shared" si="27"/>
        <v>-3.9</v>
      </c>
      <c r="Q262">
        <v>226</v>
      </c>
      <c r="R262">
        <v>1.1499999999999999</v>
      </c>
      <c r="S262">
        <f t="shared" si="32"/>
        <v>4.4849999999999994</v>
      </c>
      <c r="T262">
        <f t="shared" si="33"/>
        <v>-4.4849999999999994</v>
      </c>
      <c r="U262">
        <f t="shared" si="31"/>
        <v>118.1727272727273</v>
      </c>
      <c r="W262">
        <v>2299.9</v>
      </c>
      <c r="X262">
        <f t="shared" ref="X262:X325" si="34">X261+W262</f>
        <v>15708.099999999999</v>
      </c>
      <c r="Y262">
        <v>13.587248571235939</v>
      </c>
    </row>
    <row r="263" spans="1:26" x14ac:dyDescent="0.25">
      <c r="A263">
        <v>7560</v>
      </c>
      <c r="B263">
        <v>24490</v>
      </c>
      <c r="C263" s="1">
        <v>43208</v>
      </c>
      <c r="F263" s="39"/>
      <c r="G263">
        <v>16.600000000000001</v>
      </c>
      <c r="H263">
        <v>8.1999999999999993</v>
      </c>
      <c r="I263">
        <v>24.2</v>
      </c>
      <c r="J263">
        <f t="shared" si="29"/>
        <v>1659.0999999999997</v>
      </c>
      <c r="K263">
        <f t="shared" si="30"/>
        <v>149.4</v>
      </c>
      <c r="L263" s="10">
        <v>2</v>
      </c>
      <c r="M263">
        <v>0</v>
      </c>
      <c r="N263">
        <v>5.3</v>
      </c>
      <c r="O263">
        <f t="shared" si="27"/>
        <v>-5.3</v>
      </c>
      <c r="Q263">
        <v>227</v>
      </c>
      <c r="R263">
        <v>1.1499999999999999</v>
      </c>
      <c r="S263">
        <f t="shared" si="32"/>
        <v>6.0949999999999998</v>
      </c>
      <c r="T263">
        <f t="shared" si="33"/>
        <v>-6.0949999999999998</v>
      </c>
      <c r="U263">
        <f t="shared" si="31"/>
        <v>112.0777272727273</v>
      </c>
      <c r="V263" s="15">
        <f>(V261*100)/153.9</f>
        <v>73.153633241352551</v>
      </c>
      <c r="W263">
        <v>2385.3000000000002</v>
      </c>
      <c r="X263">
        <f t="shared" si="34"/>
        <v>18093.399999999998</v>
      </c>
      <c r="Y263">
        <v>13.646093060320043</v>
      </c>
    </row>
    <row r="264" spans="1:26" x14ac:dyDescent="0.25">
      <c r="A264">
        <v>7560</v>
      </c>
      <c r="B264">
        <v>24490</v>
      </c>
      <c r="C264" s="1">
        <v>43209</v>
      </c>
      <c r="F264" s="39"/>
      <c r="G264">
        <v>18.8</v>
      </c>
      <c r="H264">
        <v>12.1</v>
      </c>
      <c r="I264">
        <v>25</v>
      </c>
      <c r="J264">
        <f t="shared" si="29"/>
        <v>1677.8999999999996</v>
      </c>
      <c r="K264">
        <f t="shared" si="30"/>
        <v>168.20000000000002</v>
      </c>
      <c r="L264" s="20" t="s">
        <v>43</v>
      </c>
      <c r="M264">
        <v>0</v>
      </c>
      <c r="N264">
        <v>5.0999999999999996</v>
      </c>
      <c r="O264">
        <f t="shared" ref="O264:O327" si="35">M264-N264</f>
        <v>-5.0999999999999996</v>
      </c>
      <c r="Q264">
        <v>228</v>
      </c>
      <c r="R264">
        <v>1.1499999999999999</v>
      </c>
      <c r="S264">
        <f t="shared" si="32"/>
        <v>5.8649999999999993</v>
      </c>
      <c r="T264">
        <f t="shared" si="33"/>
        <v>-5.8649999999999993</v>
      </c>
      <c r="U264">
        <f t="shared" si="31"/>
        <v>106.21272727272731</v>
      </c>
      <c r="W264">
        <v>2270.4</v>
      </c>
      <c r="X264">
        <f t="shared" si="34"/>
        <v>20363.8</v>
      </c>
      <c r="Y264">
        <v>13.704666714803619</v>
      </c>
    </row>
    <row r="265" spans="1:26" x14ac:dyDescent="0.25">
      <c r="A265">
        <v>7560</v>
      </c>
      <c r="B265">
        <v>24490</v>
      </c>
      <c r="C265" s="1">
        <v>43210</v>
      </c>
      <c r="F265" s="39"/>
      <c r="G265">
        <v>19.899999999999999</v>
      </c>
      <c r="H265">
        <v>12.9</v>
      </c>
      <c r="I265">
        <v>26.3</v>
      </c>
      <c r="J265">
        <f t="shared" si="29"/>
        <v>1697.7999999999997</v>
      </c>
      <c r="K265">
        <f t="shared" si="30"/>
        <v>188.10000000000002</v>
      </c>
      <c r="L265" s="21">
        <v>0</v>
      </c>
      <c r="M265">
        <v>0</v>
      </c>
      <c r="N265">
        <v>5.2</v>
      </c>
      <c r="O265">
        <f t="shared" si="35"/>
        <v>-5.2</v>
      </c>
      <c r="Q265">
        <v>229</v>
      </c>
      <c r="R265">
        <v>1.1499999999999999</v>
      </c>
      <c r="S265">
        <f t="shared" si="32"/>
        <v>5.9799999999999995</v>
      </c>
      <c r="T265">
        <f t="shared" si="33"/>
        <v>-5.9799999999999995</v>
      </c>
      <c r="U265">
        <f t="shared" si="31"/>
        <v>100.2327272727273</v>
      </c>
      <c r="W265">
        <v>2310.1</v>
      </c>
      <c r="X265">
        <f t="shared" si="34"/>
        <v>22673.899999999998</v>
      </c>
      <c r="Y265">
        <v>13.762955626103579</v>
      </c>
    </row>
    <row r="266" spans="1:26" x14ac:dyDescent="0.25">
      <c r="A266">
        <v>7560</v>
      </c>
      <c r="B266">
        <v>24490</v>
      </c>
      <c r="C266" s="1">
        <v>43211</v>
      </c>
      <c r="F266" s="39"/>
      <c r="G266">
        <v>19.8</v>
      </c>
      <c r="H266">
        <v>14</v>
      </c>
      <c r="I266">
        <v>25.1</v>
      </c>
      <c r="J266">
        <f t="shared" si="29"/>
        <v>1717.5999999999997</v>
      </c>
      <c r="K266">
        <f t="shared" si="30"/>
        <v>207.90000000000003</v>
      </c>
      <c r="M266">
        <v>0</v>
      </c>
      <c r="N266">
        <v>4.7</v>
      </c>
      <c r="O266">
        <f t="shared" si="35"/>
        <v>-4.7</v>
      </c>
      <c r="Q266">
        <v>230</v>
      </c>
      <c r="R266">
        <v>1.1499999999999999</v>
      </c>
      <c r="S266">
        <f t="shared" si="32"/>
        <v>5.4049999999999994</v>
      </c>
      <c r="T266">
        <f t="shared" si="33"/>
        <v>-5.4049999999999994</v>
      </c>
      <c r="U266">
        <f t="shared" si="31"/>
        <v>94.827727272727302</v>
      </c>
      <c r="W266">
        <v>2232.1</v>
      </c>
      <c r="X266">
        <f t="shared" si="34"/>
        <v>24905.999999999996</v>
      </c>
      <c r="Y266">
        <v>13.820945485891668</v>
      </c>
    </row>
    <row r="267" spans="1:26" x14ac:dyDescent="0.25">
      <c r="A267">
        <v>7560</v>
      </c>
      <c r="B267">
        <v>24490</v>
      </c>
      <c r="C267" s="1">
        <v>43212</v>
      </c>
      <c r="F267" s="39"/>
      <c r="G267">
        <v>19</v>
      </c>
      <c r="H267">
        <v>14.4</v>
      </c>
      <c r="I267">
        <v>24.4</v>
      </c>
      <c r="J267">
        <f t="shared" si="29"/>
        <v>1736.5999999999997</v>
      </c>
      <c r="K267">
        <f t="shared" si="30"/>
        <v>226.90000000000003</v>
      </c>
      <c r="M267">
        <v>0.6</v>
      </c>
      <c r="N267">
        <v>4.3</v>
      </c>
      <c r="O267">
        <f t="shared" si="35"/>
        <v>-3.6999999999999997</v>
      </c>
      <c r="Q267">
        <v>231</v>
      </c>
      <c r="R267">
        <v>1.1499999999999999</v>
      </c>
      <c r="S267">
        <f t="shared" si="32"/>
        <v>4.9449999999999994</v>
      </c>
      <c r="T267">
        <f t="shared" si="33"/>
        <v>-4.3449999999999998</v>
      </c>
      <c r="U267">
        <f t="shared" si="31"/>
        <v>90.482727272727303</v>
      </c>
      <c r="W267">
        <v>1879.1</v>
      </c>
      <c r="X267">
        <f t="shared" si="34"/>
        <v>26785.099999999995</v>
      </c>
      <c r="Y267">
        <v>13.878621576803161</v>
      </c>
    </row>
    <row r="268" spans="1:26" x14ac:dyDescent="0.25">
      <c r="A268">
        <v>7560</v>
      </c>
      <c r="B268">
        <v>24490</v>
      </c>
      <c r="C268" s="1">
        <v>43213</v>
      </c>
      <c r="F268" s="39"/>
      <c r="G268">
        <v>14.7</v>
      </c>
      <c r="H268">
        <v>13.5</v>
      </c>
      <c r="I268">
        <v>17.399999999999999</v>
      </c>
      <c r="J268">
        <f t="shared" si="29"/>
        <v>1751.2999999999997</v>
      </c>
      <c r="K268">
        <f t="shared" si="30"/>
        <v>241.60000000000002</v>
      </c>
      <c r="M268">
        <v>0</v>
      </c>
      <c r="N268">
        <v>2.4</v>
      </c>
      <c r="O268">
        <f t="shared" si="35"/>
        <v>-2.4</v>
      </c>
      <c r="Q268">
        <v>232</v>
      </c>
      <c r="R268">
        <v>1.1499999999999999</v>
      </c>
      <c r="S268">
        <f t="shared" si="32"/>
        <v>2.76</v>
      </c>
      <c r="T268">
        <f t="shared" si="33"/>
        <v>-2.76</v>
      </c>
      <c r="U268">
        <f t="shared" si="31"/>
        <v>87.722727272727298</v>
      </c>
      <c r="W268">
        <v>1333.7</v>
      </c>
      <c r="X268">
        <f t="shared" si="34"/>
        <v>28118.799999999996</v>
      </c>
      <c r="Y268">
        <v>13.935968763870701</v>
      </c>
    </row>
    <row r="269" spans="1:26" x14ac:dyDescent="0.25">
      <c r="A269">
        <v>7560</v>
      </c>
      <c r="B269">
        <v>24490</v>
      </c>
      <c r="C269" s="1">
        <v>43214</v>
      </c>
      <c r="F269" s="39"/>
      <c r="G269">
        <v>13.2</v>
      </c>
      <c r="H269">
        <v>8.6999999999999993</v>
      </c>
      <c r="I269">
        <v>17.7</v>
      </c>
      <c r="J269">
        <f t="shared" si="29"/>
        <v>1764.4999999999998</v>
      </c>
      <c r="K269">
        <f t="shared" si="30"/>
        <v>254.8</v>
      </c>
      <c r="M269">
        <v>0</v>
      </c>
      <c r="N269">
        <v>3.3</v>
      </c>
      <c r="O269">
        <f t="shared" si="35"/>
        <v>-3.3</v>
      </c>
      <c r="Q269">
        <v>233</v>
      </c>
      <c r="R269">
        <v>1.1499999999999999</v>
      </c>
      <c r="S269">
        <f t="shared" si="32"/>
        <v>3.7949999999999995</v>
      </c>
      <c r="T269">
        <f t="shared" si="33"/>
        <v>-3.7949999999999995</v>
      </c>
      <c r="U269">
        <f t="shared" si="31"/>
        <v>83.927727272727296</v>
      </c>
      <c r="W269">
        <v>2014.1</v>
      </c>
      <c r="X269">
        <f t="shared" si="34"/>
        <v>30132.899999999994</v>
      </c>
      <c r="Y269">
        <v>13.99297148674129</v>
      </c>
    </row>
    <row r="270" spans="1:26" x14ac:dyDescent="0.25">
      <c r="A270">
        <v>7560</v>
      </c>
      <c r="B270">
        <v>24490</v>
      </c>
      <c r="C270" s="1">
        <v>43215</v>
      </c>
      <c r="F270" s="39"/>
      <c r="G270">
        <v>11.4</v>
      </c>
      <c r="H270">
        <v>9.1</v>
      </c>
      <c r="I270">
        <v>14.2</v>
      </c>
      <c r="J270">
        <f t="shared" si="29"/>
        <v>1775.8999999999999</v>
      </c>
      <c r="K270">
        <f t="shared" si="30"/>
        <v>266.2</v>
      </c>
      <c r="M270">
        <v>1.5</v>
      </c>
      <c r="N270">
        <v>1.5</v>
      </c>
      <c r="O270">
        <f t="shared" si="35"/>
        <v>0</v>
      </c>
      <c r="Q270">
        <v>234</v>
      </c>
      <c r="R270">
        <v>1.1499999999999999</v>
      </c>
      <c r="S270">
        <f t="shared" si="32"/>
        <v>1.7249999999999999</v>
      </c>
      <c r="T270">
        <f t="shared" si="33"/>
        <v>-0.22499999999999987</v>
      </c>
      <c r="U270">
        <f t="shared" si="31"/>
        <v>83.702727272727302</v>
      </c>
      <c r="W270">
        <v>790.9</v>
      </c>
      <c r="X270">
        <f t="shared" si="34"/>
        <v>30923.799999999996</v>
      </c>
      <c r="Y270">
        <v>14.049613752737251</v>
      </c>
    </row>
    <row r="271" spans="1:26" x14ac:dyDescent="0.25">
      <c r="A271">
        <v>7560</v>
      </c>
      <c r="B271">
        <v>24490</v>
      </c>
      <c r="C271" s="1">
        <v>43216</v>
      </c>
      <c r="F271" s="39"/>
      <c r="G271">
        <v>9</v>
      </c>
      <c r="H271">
        <v>5.3</v>
      </c>
      <c r="I271">
        <v>12.3</v>
      </c>
      <c r="J271">
        <f t="shared" si="29"/>
        <v>1784.8999999999999</v>
      </c>
      <c r="K271">
        <f t="shared" si="30"/>
        <v>275.2</v>
      </c>
      <c r="M271">
        <v>0</v>
      </c>
      <c r="N271">
        <v>2.5</v>
      </c>
      <c r="O271">
        <f t="shared" si="35"/>
        <v>-2.5</v>
      </c>
      <c r="Q271">
        <v>235</v>
      </c>
      <c r="R271">
        <v>1.1499999999999999</v>
      </c>
      <c r="S271">
        <f t="shared" si="32"/>
        <v>2.875</v>
      </c>
      <c r="T271">
        <f t="shared" si="33"/>
        <v>-2.875</v>
      </c>
      <c r="U271">
        <f t="shared" si="31"/>
        <v>80.827727272727302</v>
      </c>
      <c r="W271">
        <v>1765.8</v>
      </c>
      <c r="X271">
        <f t="shared" si="34"/>
        <v>32689.599999999995</v>
      </c>
      <c r="Y271">
        <v>14.105879130824707</v>
      </c>
    </row>
    <row r="272" spans="1:26" s="6" customFormat="1" ht="15.75" thickBot="1" x14ac:dyDescent="0.3">
      <c r="A272" s="6">
        <v>7560</v>
      </c>
      <c r="B272" s="6">
        <v>24490</v>
      </c>
      <c r="C272" s="7">
        <v>43217</v>
      </c>
      <c r="D272" s="6" t="s">
        <v>33</v>
      </c>
      <c r="F272" s="40"/>
      <c r="G272" s="6">
        <v>12.3</v>
      </c>
      <c r="H272" s="6">
        <v>5.8</v>
      </c>
      <c r="I272" s="6">
        <v>17.600000000000001</v>
      </c>
      <c r="J272" s="6">
        <f t="shared" si="29"/>
        <v>1797.1999999999998</v>
      </c>
      <c r="K272" s="6">
        <f t="shared" si="30"/>
        <v>287.5</v>
      </c>
      <c r="M272" s="6">
        <v>0</v>
      </c>
      <c r="N272" s="6">
        <v>3.4</v>
      </c>
      <c r="O272" s="6">
        <f t="shared" si="35"/>
        <v>-3.4</v>
      </c>
      <c r="Q272" s="6">
        <v>236</v>
      </c>
      <c r="R272" s="6">
        <v>1.1499999999999999</v>
      </c>
      <c r="S272" s="6">
        <f t="shared" si="32"/>
        <v>3.9099999999999997</v>
      </c>
      <c r="T272" s="6">
        <f t="shared" si="33"/>
        <v>-3.9099999999999997</v>
      </c>
      <c r="U272" s="6">
        <f t="shared" si="31"/>
        <v>76.917727272727305</v>
      </c>
      <c r="W272" s="6">
        <v>1824.4</v>
      </c>
      <c r="X272" s="6">
        <f t="shared" si="34"/>
        <v>34513.999999999993</v>
      </c>
      <c r="Y272" s="6">
        <v>14.161750746555789</v>
      </c>
    </row>
    <row r="273" spans="1:26" x14ac:dyDescent="0.25">
      <c r="A273">
        <v>7560</v>
      </c>
      <c r="B273">
        <v>24490</v>
      </c>
      <c r="C273" s="1">
        <v>43218</v>
      </c>
      <c r="F273" s="35" t="s">
        <v>55</v>
      </c>
      <c r="G273">
        <v>11.2</v>
      </c>
      <c r="H273">
        <v>9.5</v>
      </c>
      <c r="I273">
        <v>14.4</v>
      </c>
      <c r="J273">
        <f t="shared" si="29"/>
        <v>1808.3999999999999</v>
      </c>
      <c r="K273">
        <f>G273</f>
        <v>11.2</v>
      </c>
      <c r="L273" s="23" t="s">
        <v>37</v>
      </c>
      <c r="M273">
        <v>8.3000000000000007</v>
      </c>
      <c r="N273">
        <v>2.4</v>
      </c>
      <c r="O273">
        <f t="shared" si="35"/>
        <v>5.9</v>
      </c>
      <c r="Q273">
        <v>237</v>
      </c>
      <c r="R273">
        <v>1.1499999999999999</v>
      </c>
      <c r="S273">
        <f t="shared" si="32"/>
        <v>2.76</v>
      </c>
      <c r="T273">
        <f t="shared" si="33"/>
        <v>5.5400000000000009</v>
      </c>
      <c r="U273">
        <f t="shared" si="31"/>
        <v>82.457727272727311</v>
      </c>
      <c r="V273" s="24" t="s">
        <v>44</v>
      </c>
      <c r="W273">
        <v>1105.2</v>
      </c>
      <c r="X273">
        <f>W273</f>
        <v>1105.2</v>
      </c>
      <c r="Y273">
        <v>14.217211278053281</v>
      </c>
      <c r="Z273" s="24" t="s">
        <v>49</v>
      </c>
    </row>
    <row r="274" spans="1:26" x14ac:dyDescent="0.25">
      <c r="A274">
        <v>7560</v>
      </c>
      <c r="B274">
        <v>24490</v>
      </c>
      <c r="C274" s="1">
        <v>43219</v>
      </c>
      <c r="F274" s="36"/>
      <c r="G274">
        <v>12.1</v>
      </c>
      <c r="H274">
        <v>7.5</v>
      </c>
      <c r="I274">
        <v>17.2</v>
      </c>
      <c r="J274">
        <f t="shared" si="29"/>
        <v>1820.4999999999998</v>
      </c>
      <c r="K274">
        <f t="shared" si="30"/>
        <v>23.299999999999997</v>
      </c>
      <c r="L274" s="10">
        <v>307.60000000000002</v>
      </c>
      <c r="M274">
        <v>19.100000000000001</v>
      </c>
      <c r="N274">
        <v>1.6</v>
      </c>
      <c r="O274">
        <f t="shared" si="35"/>
        <v>17.5</v>
      </c>
      <c r="Q274">
        <v>238</v>
      </c>
      <c r="R274">
        <v>1.1499999999999999</v>
      </c>
      <c r="S274">
        <f t="shared" si="32"/>
        <v>1.8399999999999999</v>
      </c>
      <c r="T274">
        <f t="shared" si="33"/>
        <v>17.260000000000002</v>
      </c>
      <c r="U274">
        <f t="shared" si="31"/>
        <v>99.717727272727316</v>
      </c>
      <c r="V274">
        <v>0</v>
      </c>
      <c r="W274">
        <v>916.8</v>
      </c>
      <c r="X274">
        <f t="shared" si="34"/>
        <v>2022</v>
      </c>
      <c r="Y274">
        <v>14.272242953108837</v>
      </c>
      <c r="Z274">
        <v>43565</v>
      </c>
    </row>
    <row r="275" spans="1:26" x14ac:dyDescent="0.25">
      <c r="A275">
        <v>7560</v>
      </c>
      <c r="B275">
        <v>24490</v>
      </c>
      <c r="C275" s="1">
        <v>43220</v>
      </c>
      <c r="F275" s="36"/>
      <c r="G275">
        <v>7.9</v>
      </c>
      <c r="H275">
        <v>5.9</v>
      </c>
      <c r="I275">
        <v>9.4</v>
      </c>
      <c r="J275">
        <f t="shared" si="29"/>
        <v>1828.3999999999999</v>
      </c>
      <c r="K275">
        <f t="shared" si="30"/>
        <v>31.199999999999996</v>
      </c>
      <c r="L275" s="23" t="s">
        <v>38</v>
      </c>
      <c r="M275">
        <v>2.1</v>
      </c>
      <c r="N275">
        <v>0.9</v>
      </c>
      <c r="O275">
        <f t="shared" si="35"/>
        <v>1.2000000000000002</v>
      </c>
      <c r="Q275">
        <v>239</v>
      </c>
      <c r="R275">
        <v>1.1499999999999999</v>
      </c>
      <c r="S275">
        <f t="shared" si="32"/>
        <v>1.0349999999999999</v>
      </c>
      <c r="T275">
        <f t="shared" si="33"/>
        <v>1.0650000000000002</v>
      </c>
      <c r="U275">
        <f t="shared" si="31"/>
        <v>100.78272727272731</v>
      </c>
      <c r="V275" s="24" t="s">
        <v>45</v>
      </c>
      <c r="W275">
        <v>581.79999999999995</v>
      </c>
      <c r="X275">
        <f t="shared" si="34"/>
        <v>2603.8000000000002</v>
      </c>
      <c r="Y275">
        <v>14.326827547467987</v>
      </c>
      <c r="Z275" s="24" t="s">
        <v>50</v>
      </c>
    </row>
    <row r="276" spans="1:26" x14ac:dyDescent="0.25">
      <c r="A276">
        <v>7560</v>
      </c>
      <c r="B276">
        <v>24490</v>
      </c>
      <c r="C276" s="1">
        <v>43221</v>
      </c>
      <c r="F276" s="36"/>
      <c r="G276">
        <v>7.6</v>
      </c>
      <c r="H276">
        <v>4.7</v>
      </c>
      <c r="I276">
        <v>11.5</v>
      </c>
      <c r="J276">
        <f t="shared" si="29"/>
        <v>1835.9999999999998</v>
      </c>
      <c r="K276">
        <f t="shared" si="30"/>
        <v>38.799999999999997</v>
      </c>
      <c r="L276" s="11">
        <f>AVERAGE(G273:G295)</f>
        <v>13.373913043478259</v>
      </c>
      <c r="M276">
        <v>0</v>
      </c>
      <c r="N276">
        <v>2.2999999999999998</v>
      </c>
      <c r="O276">
        <f t="shared" si="35"/>
        <v>-2.2999999999999998</v>
      </c>
      <c r="Q276">
        <v>240</v>
      </c>
      <c r="R276">
        <v>1.1499999999999999</v>
      </c>
      <c r="S276">
        <f t="shared" si="32"/>
        <v>2.6449999999999996</v>
      </c>
      <c r="T276">
        <f t="shared" si="33"/>
        <v>-2.6449999999999996</v>
      </c>
      <c r="U276">
        <f t="shared" si="31"/>
        <v>98.137727272727318</v>
      </c>
      <c r="V276">
        <v>1</v>
      </c>
      <c r="W276">
        <v>1743.7</v>
      </c>
      <c r="X276">
        <f t="shared" si="34"/>
        <v>4347.5</v>
      </c>
      <c r="Y276">
        <v>14.38094638437723</v>
      </c>
      <c r="Z276">
        <f>(Z274/100)/L274</f>
        <v>1.4162873862158645</v>
      </c>
    </row>
    <row r="277" spans="1:26" x14ac:dyDescent="0.25">
      <c r="A277">
        <v>7560</v>
      </c>
      <c r="B277">
        <v>24490</v>
      </c>
      <c r="C277" s="1">
        <v>43222</v>
      </c>
      <c r="F277" s="36"/>
      <c r="G277">
        <v>10.6</v>
      </c>
      <c r="H277">
        <v>3.2</v>
      </c>
      <c r="I277">
        <v>15.4</v>
      </c>
      <c r="J277">
        <f t="shared" si="29"/>
        <v>1846.5999999999997</v>
      </c>
      <c r="K277">
        <f t="shared" si="30"/>
        <v>49.4</v>
      </c>
      <c r="L277" s="23" t="s">
        <v>39</v>
      </c>
      <c r="M277">
        <v>0</v>
      </c>
      <c r="N277">
        <v>2.6</v>
      </c>
      <c r="O277">
        <f t="shared" si="35"/>
        <v>-2.6</v>
      </c>
      <c r="Q277">
        <v>241</v>
      </c>
      <c r="R277">
        <v>1.1499999999999999</v>
      </c>
      <c r="S277">
        <f t="shared" si="32"/>
        <v>2.9899999999999998</v>
      </c>
      <c r="T277">
        <f t="shared" si="33"/>
        <v>-2.9899999999999998</v>
      </c>
      <c r="U277">
        <f t="shared" si="31"/>
        <v>95.147727272727323</v>
      </c>
      <c r="V277" s="24" t="s">
        <v>46</v>
      </c>
      <c r="W277">
        <v>1714.8</v>
      </c>
      <c r="X277">
        <f t="shared" si="34"/>
        <v>6062.3</v>
      </c>
      <c r="Y277">
        <v>14.434580335469947</v>
      </c>
      <c r="Z277" s="24" t="s">
        <v>51</v>
      </c>
    </row>
    <row r="278" spans="1:26" x14ac:dyDescent="0.25">
      <c r="A278">
        <v>7560</v>
      </c>
      <c r="B278">
        <v>24490</v>
      </c>
      <c r="C278" s="1">
        <v>43223</v>
      </c>
      <c r="F278" s="36"/>
      <c r="G278">
        <v>11</v>
      </c>
      <c r="H278">
        <v>8.8000000000000007</v>
      </c>
      <c r="I278">
        <v>14.2</v>
      </c>
      <c r="J278">
        <f t="shared" si="29"/>
        <v>1857.5999999999997</v>
      </c>
      <c r="K278">
        <f t="shared" si="30"/>
        <v>60.4</v>
      </c>
      <c r="L278" s="12">
        <f>MIN(H273:H295)</f>
        <v>3.2</v>
      </c>
      <c r="M278">
        <v>0</v>
      </c>
      <c r="N278">
        <v>2.7</v>
      </c>
      <c r="O278">
        <f t="shared" si="35"/>
        <v>-2.7</v>
      </c>
      <c r="Q278">
        <v>242</v>
      </c>
      <c r="R278">
        <v>1.1499999999999999</v>
      </c>
      <c r="S278">
        <f t="shared" si="32"/>
        <v>3.105</v>
      </c>
      <c r="T278">
        <f t="shared" si="33"/>
        <v>-3.105</v>
      </c>
      <c r="U278">
        <f t="shared" si="31"/>
        <v>92.042727272727319</v>
      </c>
      <c r="V278" s="14">
        <f>MIN(U273:U295)</f>
        <v>48.99772727272731</v>
      </c>
      <c r="W278">
        <v>1465.7</v>
      </c>
      <c r="X278">
        <f t="shared" si="34"/>
        <v>7528</v>
      </c>
      <c r="Y278">
        <v>14.487709823069469</v>
      </c>
      <c r="Z278">
        <v>3</v>
      </c>
    </row>
    <row r="279" spans="1:26" x14ac:dyDescent="0.25">
      <c r="A279">
        <v>7560</v>
      </c>
      <c r="B279">
        <v>24490</v>
      </c>
      <c r="C279" s="1">
        <v>43224</v>
      </c>
      <c r="F279" s="36"/>
      <c r="G279">
        <v>13.1</v>
      </c>
      <c r="H279">
        <v>6.5</v>
      </c>
      <c r="I279">
        <v>18.600000000000001</v>
      </c>
      <c r="J279">
        <f t="shared" si="29"/>
        <v>1870.6999999999996</v>
      </c>
      <c r="K279">
        <f t="shared" si="30"/>
        <v>73.5</v>
      </c>
      <c r="L279" s="23" t="s">
        <v>40</v>
      </c>
      <c r="M279">
        <v>0</v>
      </c>
      <c r="N279">
        <v>4.7</v>
      </c>
      <c r="O279">
        <f t="shared" si="35"/>
        <v>-4.7</v>
      </c>
      <c r="Q279">
        <v>243</v>
      </c>
      <c r="R279">
        <v>1.1499999999999999</v>
      </c>
      <c r="S279">
        <f t="shared" si="32"/>
        <v>5.4049999999999994</v>
      </c>
      <c r="T279">
        <f t="shared" si="33"/>
        <v>-5.4049999999999994</v>
      </c>
      <c r="U279">
        <f t="shared" si="31"/>
        <v>86.637727272727318</v>
      </c>
      <c r="V279" s="24" t="s">
        <v>47</v>
      </c>
      <c r="W279">
        <v>2909.7</v>
      </c>
      <c r="X279">
        <f t="shared" si="34"/>
        <v>10437.700000000001</v>
      </c>
      <c r="Y279">
        <v>14.540314823988275</v>
      </c>
    </row>
    <row r="280" spans="1:26" x14ac:dyDescent="0.25">
      <c r="A280">
        <v>7560</v>
      </c>
      <c r="B280">
        <v>24490</v>
      </c>
      <c r="C280" s="1">
        <v>43225</v>
      </c>
      <c r="F280" s="36"/>
      <c r="G280">
        <v>16.399999999999999</v>
      </c>
      <c r="H280">
        <v>9.6</v>
      </c>
      <c r="I280">
        <v>21.7</v>
      </c>
      <c r="J280">
        <f t="shared" si="29"/>
        <v>1887.0999999999997</v>
      </c>
      <c r="K280">
        <f t="shared" si="30"/>
        <v>89.9</v>
      </c>
      <c r="L280" s="10">
        <f>MAX(I273:I295)</f>
        <v>24.2</v>
      </c>
      <c r="M280">
        <v>0</v>
      </c>
      <c r="N280">
        <v>5.2</v>
      </c>
      <c r="O280">
        <f t="shared" si="35"/>
        <v>-5.2</v>
      </c>
      <c r="Q280">
        <v>244</v>
      </c>
      <c r="R280">
        <v>1.1499999999999999</v>
      </c>
      <c r="S280">
        <f t="shared" si="32"/>
        <v>5.9799999999999995</v>
      </c>
      <c r="T280">
        <f t="shared" si="33"/>
        <v>-5.9799999999999995</v>
      </c>
      <c r="U280">
        <f t="shared" si="31"/>
        <v>80.657727272727314</v>
      </c>
      <c r="V280" s="14">
        <f>MAX(U273:U295)</f>
        <v>100.78272727272731</v>
      </c>
      <c r="W280">
        <v>2909.7</v>
      </c>
      <c r="X280">
        <f t="shared" si="34"/>
        <v>13347.400000000001</v>
      </c>
      <c r="Y280">
        <v>14.592374874903019</v>
      </c>
    </row>
    <row r="281" spans="1:26" x14ac:dyDescent="0.25">
      <c r="A281">
        <v>7560</v>
      </c>
      <c r="B281">
        <v>24490</v>
      </c>
      <c r="C281" s="1">
        <v>43226</v>
      </c>
      <c r="F281" s="36"/>
      <c r="G281">
        <v>18.3</v>
      </c>
      <c r="H281">
        <v>12.9</v>
      </c>
      <c r="I281">
        <v>24.2</v>
      </c>
      <c r="J281">
        <f t="shared" si="29"/>
        <v>1905.3999999999996</v>
      </c>
      <c r="K281">
        <f t="shared" si="30"/>
        <v>108.2</v>
      </c>
      <c r="L281" s="23" t="s">
        <v>41</v>
      </c>
      <c r="M281">
        <v>0</v>
      </c>
      <c r="N281">
        <v>5.8</v>
      </c>
      <c r="O281">
        <f t="shared" si="35"/>
        <v>-5.8</v>
      </c>
      <c r="Q281">
        <v>245</v>
      </c>
      <c r="R281">
        <v>1.1499999999999999</v>
      </c>
      <c r="S281">
        <f t="shared" si="32"/>
        <v>6.669999999999999</v>
      </c>
      <c r="T281">
        <f t="shared" si="33"/>
        <v>-6.669999999999999</v>
      </c>
      <c r="U281">
        <f t="shared" si="31"/>
        <v>73.987727272727312</v>
      </c>
      <c r="V281" s="24" t="s">
        <v>48</v>
      </c>
      <c r="W281">
        <v>2921.2</v>
      </c>
      <c r="X281">
        <f t="shared" si="34"/>
        <v>16268.600000000002</v>
      </c>
      <c r="Y281">
        <v>14.643869079384944</v>
      </c>
    </row>
    <row r="282" spans="1:26" x14ac:dyDescent="0.25">
      <c r="A282">
        <v>7560</v>
      </c>
      <c r="B282">
        <v>24490</v>
      </c>
      <c r="C282" s="1">
        <v>43227</v>
      </c>
      <c r="F282" s="36"/>
      <c r="G282">
        <v>17.600000000000001</v>
      </c>
      <c r="H282">
        <v>12.2</v>
      </c>
      <c r="I282">
        <v>23.4</v>
      </c>
      <c r="J282">
        <f t="shared" si="29"/>
        <v>1922.9999999999995</v>
      </c>
      <c r="K282">
        <f t="shared" si="30"/>
        <v>125.80000000000001</v>
      </c>
      <c r="L282" s="10">
        <v>0</v>
      </c>
      <c r="M282">
        <v>0</v>
      </c>
      <c r="N282">
        <v>5.6</v>
      </c>
      <c r="O282">
        <f t="shared" si="35"/>
        <v>-5.6</v>
      </c>
      <c r="Q282">
        <v>246</v>
      </c>
      <c r="R282">
        <v>1.1499999999999999</v>
      </c>
      <c r="S282">
        <f t="shared" si="32"/>
        <v>6.4399999999999995</v>
      </c>
      <c r="T282">
        <f t="shared" si="33"/>
        <v>-6.4399999999999995</v>
      </c>
      <c r="U282">
        <f t="shared" si="31"/>
        <v>67.547727272727315</v>
      </c>
      <c r="V282" s="14">
        <f>AVERAGE(U273:U295)</f>
        <v>72.528379446640358</v>
      </c>
      <c r="W282">
        <v>2793.2</v>
      </c>
      <c r="X282">
        <f t="shared" si="34"/>
        <v>19061.800000000003</v>
      </c>
      <c r="Y282">
        <v>14.694776116664721</v>
      </c>
    </row>
    <row r="283" spans="1:26" x14ac:dyDescent="0.25">
      <c r="A283">
        <v>7560</v>
      </c>
      <c r="B283">
        <v>24490</v>
      </c>
      <c r="C283" s="1">
        <v>43228</v>
      </c>
      <c r="F283" s="36"/>
      <c r="G283">
        <v>18.600000000000001</v>
      </c>
      <c r="H283">
        <v>12.3</v>
      </c>
      <c r="I283">
        <v>24</v>
      </c>
      <c r="J283">
        <f t="shared" si="29"/>
        <v>1941.5999999999995</v>
      </c>
      <c r="K283">
        <f t="shared" si="30"/>
        <v>144.4</v>
      </c>
      <c r="L283" s="23" t="s">
        <v>42</v>
      </c>
      <c r="M283">
        <v>0</v>
      </c>
      <c r="N283">
        <v>5.4</v>
      </c>
      <c r="O283">
        <f t="shared" si="35"/>
        <v>-5.4</v>
      </c>
      <c r="Q283">
        <v>247</v>
      </c>
      <c r="R283">
        <v>1.1499999999999999</v>
      </c>
      <c r="S283">
        <f t="shared" si="32"/>
        <v>6.21</v>
      </c>
      <c r="T283">
        <f t="shared" si="33"/>
        <v>-6.21</v>
      </c>
      <c r="U283">
        <f t="shared" si="31"/>
        <v>61.337727272727314</v>
      </c>
      <c r="W283">
        <v>2832.9</v>
      </c>
      <c r="X283">
        <f t="shared" si="34"/>
        <v>21894.700000000004</v>
      </c>
      <c r="Y283">
        <v>14.745074252209536</v>
      </c>
    </row>
    <row r="284" spans="1:26" x14ac:dyDescent="0.25">
      <c r="A284">
        <v>7560</v>
      </c>
      <c r="B284">
        <v>24490</v>
      </c>
      <c r="C284" s="1">
        <v>43229</v>
      </c>
      <c r="F284" s="36"/>
      <c r="G284">
        <v>17.399999999999999</v>
      </c>
      <c r="H284">
        <v>12.9</v>
      </c>
      <c r="I284">
        <v>23</v>
      </c>
      <c r="J284">
        <f t="shared" si="29"/>
        <v>1958.9999999999995</v>
      </c>
      <c r="K284">
        <f t="shared" si="30"/>
        <v>161.80000000000001</v>
      </c>
      <c r="L284" s="10">
        <v>2</v>
      </c>
      <c r="M284">
        <v>1</v>
      </c>
      <c r="N284">
        <v>5</v>
      </c>
      <c r="O284">
        <f t="shared" si="35"/>
        <v>-4</v>
      </c>
      <c r="Q284">
        <v>248</v>
      </c>
      <c r="R284">
        <v>1.1499999999999999</v>
      </c>
      <c r="S284">
        <f t="shared" si="32"/>
        <v>5.75</v>
      </c>
      <c r="T284">
        <f t="shared" si="33"/>
        <v>-4.75</v>
      </c>
      <c r="U284">
        <f t="shared" si="31"/>
        <v>56.587727272727314</v>
      </c>
      <c r="V284" s="15">
        <f>(V282*100)/153.9</f>
        <v>47.126952207043765</v>
      </c>
      <c r="W284">
        <v>2711.7</v>
      </c>
      <c r="X284">
        <f t="shared" si="34"/>
        <v>24606.400000000005</v>
      </c>
      <c r="Y284">
        <v>14.79474135018841</v>
      </c>
    </row>
    <row r="285" spans="1:26" x14ac:dyDescent="0.25">
      <c r="A285">
        <v>7560</v>
      </c>
      <c r="B285">
        <v>24490</v>
      </c>
      <c r="C285" s="1">
        <v>43230</v>
      </c>
      <c r="F285" s="36"/>
      <c r="G285">
        <v>12.4</v>
      </c>
      <c r="H285">
        <v>11.4</v>
      </c>
      <c r="I285">
        <v>15</v>
      </c>
      <c r="J285">
        <f t="shared" si="29"/>
        <v>1971.3999999999996</v>
      </c>
      <c r="K285">
        <f t="shared" si="30"/>
        <v>174.20000000000002</v>
      </c>
      <c r="L285" s="23" t="s">
        <v>43</v>
      </c>
      <c r="M285">
        <v>0</v>
      </c>
      <c r="N285">
        <v>2.6</v>
      </c>
      <c r="O285">
        <f t="shared" si="35"/>
        <v>-2.6</v>
      </c>
      <c r="Q285">
        <v>249</v>
      </c>
      <c r="R285">
        <v>1.1499999999999999</v>
      </c>
      <c r="S285">
        <f t="shared" si="32"/>
        <v>2.9899999999999998</v>
      </c>
      <c r="T285">
        <f t="shared" si="33"/>
        <v>-2.9899999999999998</v>
      </c>
      <c r="U285">
        <f t="shared" si="31"/>
        <v>53.597727272727312</v>
      </c>
      <c r="W285">
        <v>1197</v>
      </c>
      <c r="X285">
        <f t="shared" si="34"/>
        <v>25803.400000000005</v>
      </c>
      <c r="Y285">
        <v>14.843754887899035</v>
      </c>
    </row>
    <row r="286" spans="1:26" x14ac:dyDescent="0.25">
      <c r="A286">
        <v>7560</v>
      </c>
      <c r="B286">
        <v>24490</v>
      </c>
      <c r="C286" s="1">
        <v>43231</v>
      </c>
      <c r="F286" s="36"/>
      <c r="G286">
        <v>13.7</v>
      </c>
      <c r="H286">
        <v>6.9</v>
      </c>
      <c r="I286">
        <v>19.399999999999999</v>
      </c>
      <c r="J286">
        <f t="shared" si="29"/>
        <v>1985.0999999999997</v>
      </c>
      <c r="K286">
        <f t="shared" si="30"/>
        <v>187.9</v>
      </c>
      <c r="L286" s="21">
        <v>0</v>
      </c>
      <c r="M286">
        <v>0</v>
      </c>
      <c r="N286">
        <v>4</v>
      </c>
      <c r="O286">
        <f t="shared" si="35"/>
        <v>-4</v>
      </c>
      <c r="Q286">
        <v>250</v>
      </c>
      <c r="R286">
        <v>1.1499999999999999</v>
      </c>
      <c r="S286">
        <f t="shared" si="32"/>
        <v>4.5999999999999996</v>
      </c>
      <c r="T286">
        <f t="shared" si="33"/>
        <v>-4.5999999999999996</v>
      </c>
      <c r="U286">
        <f t="shared" si="31"/>
        <v>48.99772727272731</v>
      </c>
      <c r="W286">
        <v>2321.6</v>
      </c>
      <c r="X286">
        <f t="shared" si="34"/>
        <v>28125.000000000004</v>
      </c>
      <c r="Y286">
        <v>14.892091972226018</v>
      </c>
    </row>
    <row r="287" spans="1:26" x14ac:dyDescent="0.25">
      <c r="A287">
        <v>7560</v>
      </c>
      <c r="B287">
        <v>24490</v>
      </c>
      <c r="C287" s="1">
        <v>43232</v>
      </c>
      <c r="F287" s="36"/>
      <c r="G287">
        <v>15.4</v>
      </c>
      <c r="H287">
        <v>9.5</v>
      </c>
      <c r="I287">
        <v>22.3</v>
      </c>
      <c r="J287">
        <f t="shared" si="29"/>
        <v>2000.4999999999998</v>
      </c>
      <c r="K287">
        <f t="shared" si="30"/>
        <v>203.3</v>
      </c>
      <c r="M287">
        <v>8.3000000000000007</v>
      </c>
      <c r="N287">
        <v>3.3</v>
      </c>
      <c r="O287">
        <f t="shared" si="35"/>
        <v>5.0000000000000009</v>
      </c>
      <c r="Q287">
        <v>251</v>
      </c>
      <c r="R287">
        <v>1.1499999999999999</v>
      </c>
      <c r="S287">
        <f t="shared" si="32"/>
        <v>3.7949999999999995</v>
      </c>
      <c r="T287">
        <f t="shared" si="33"/>
        <v>4.5050000000000008</v>
      </c>
      <c r="U287">
        <f t="shared" si="31"/>
        <v>53.502727272727313</v>
      </c>
      <c r="W287">
        <v>1573.7</v>
      </c>
      <c r="X287">
        <f t="shared" si="34"/>
        <v>29698.700000000004</v>
      </c>
      <c r="Y287">
        <v>14.939729358196045</v>
      </c>
    </row>
    <row r="288" spans="1:26" x14ac:dyDescent="0.25">
      <c r="A288">
        <v>7560</v>
      </c>
      <c r="B288">
        <v>24490</v>
      </c>
      <c r="C288" s="1">
        <v>43233</v>
      </c>
      <c r="F288" s="36"/>
      <c r="G288">
        <v>10.1</v>
      </c>
      <c r="H288">
        <v>8.8000000000000007</v>
      </c>
      <c r="I288">
        <v>11</v>
      </c>
      <c r="J288">
        <f t="shared" si="29"/>
        <v>2010.5999999999997</v>
      </c>
      <c r="K288">
        <f t="shared" si="30"/>
        <v>213.4</v>
      </c>
      <c r="M288">
        <v>15.6</v>
      </c>
      <c r="N288">
        <v>0.9</v>
      </c>
      <c r="O288">
        <f t="shared" si="35"/>
        <v>14.7</v>
      </c>
      <c r="Q288">
        <v>252</v>
      </c>
      <c r="R288">
        <v>1.1499999999999999</v>
      </c>
      <c r="S288">
        <f t="shared" si="32"/>
        <v>1.0349999999999999</v>
      </c>
      <c r="T288">
        <f t="shared" si="33"/>
        <v>14.565</v>
      </c>
      <c r="U288">
        <f t="shared" si="31"/>
        <v>68.067727272727311</v>
      </c>
      <c r="W288">
        <v>595.20000000000005</v>
      </c>
      <c r="X288">
        <f t="shared" si="34"/>
        <v>30293.900000000005</v>
      </c>
      <c r="Y288">
        <v>14.986643469690222</v>
      </c>
    </row>
    <row r="289" spans="1:26" x14ac:dyDescent="0.25">
      <c r="A289">
        <v>7560</v>
      </c>
      <c r="B289">
        <v>24490</v>
      </c>
      <c r="C289" s="1">
        <v>43234</v>
      </c>
      <c r="F289" s="36"/>
      <c r="G289">
        <v>11.7</v>
      </c>
      <c r="H289">
        <v>10.1</v>
      </c>
      <c r="I289">
        <v>13.1</v>
      </c>
      <c r="J289">
        <f t="shared" si="29"/>
        <v>2022.2999999999997</v>
      </c>
      <c r="K289">
        <f t="shared" si="30"/>
        <v>225.1</v>
      </c>
      <c r="M289">
        <v>7.2</v>
      </c>
      <c r="N289">
        <v>1.1000000000000001</v>
      </c>
      <c r="O289">
        <f t="shared" si="35"/>
        <v>6.1</v>
      </c>
      <c r="Q289">
        <v>253</v>
      </c>
      <c r="R289">
        <v>1.1499999999999999</v>
      </c>
      <c r="S289">
        <f t="shared" si="32"/>
        <v>1.2649999999999999</v>
      </c>
      <c r="T289">
        <f t="shared" si="33"/>
        <v>5.9350000000000005</v>
      </c>
      <c r="U289">
        <f t="shared" si="31"/>
        <v>74.002727272727313</v>
      </c>
      <c r="W289">
        <v>661.5</v>
      </c>
      <c r="X289">
        <f t="shared" si="34"/>
        <v>30955.400000000005</v>
      </c>
      <c r="Y289">
        <v>15.032810422367563</v>
      </c>
    </row>
    <row r="290" spans="1:26" x14ac:dyDescent="0.25">
      <c r="A290">
        <v>7560</v>
      </c>
      <c r="B290">
        <v>24490</v>
      </c>
      <c r="C290" s="1">
        <v>43235</v>
      </c>
      <c r="F290" s="36"/>
      <c r="G290">
        <v>14.9</v>
      </c>
      <c r="H290">
        <v>11.1</v>
      </c>
      <c r="I290">
        <v>18.5</v>
      </c>
      <c r="J290">
        <f t="shared" si="29"/>
        <v>2037.1999999999998</v>
      </c>
      <c r="K290">
        <f t="shared" si="30"/>
        <v>240</v>
      </c>
      <c r="M290">
        <v>0.1</v>
      </c>
      <c r="N290">
        <v>2.5</v>
      </c>
      <c r="O290">
        <f t="shared" si="35"/>
        <v>-2.4</v>
      </c>
      <c r="Q290">
        <v>254</v>
      </c>
      <c r="R290">
        <v>1.1499999999999999</v>
      </c>
      <c r="S290">
        <f t="shared" si="32"/>
        <v>2.875</v>
      </c>
      <c r="T290">
        <f t="shared" si="33"/>
        <v>-2.7749999999999999</v>
      </c>
      <c r="U290">
        <f t="shared" si="31"/>
        <v>71.227727272727307</v>
      </c>
      <c r="W290">
        <v>1526.3</v>
      </c>
      <c r="X290">
        <f t="shared" si="34"/>
        <v>32481.700000000004</v>
      </c>
      <c r="Y290">
        <v>15.078206048846223</v>
      </c>
    </row>
    <row r="291" spans="1:26" x14ac:dyDescent="0.25">
      <c r="A291">
        <v>7560</v>
      </c>
      <c r="B291">
        <v>24490</v>
      </c>
      <c r="C291" s="1">
        <v>43236</v>
      </c>
      <c r="F291" s="36"/>
      <c r="G291">
        <v>14.7</v>
      </c>
      <c r="H291">
        <v>11.7</v>
      </c>
      <c r="I291">
        <v>18.100000000000001</v>
      </c>
      <c r="J291">
        <f t="shared" si="29"/>
        <v>2051.8999999999996</v>
      </c>
      <c r="K291">
        <f t="shared" si="30"/>
        <v>254.7</v>
      </c>
      <c r="M291">
        <v>1.1000000000000001</v>
      </c>
      <c r="N291">
        <v>2.4</v>
      </c>
      <c r="O291">
        <f t="shared" si="35"/>
        <v>-1.2999999999999998</v>
      </c>
      <c r="Q291">
        <v>255</v>
      </c>
      <c r="R291">
        <v>1.1499999999999999</v>
      </c>
      <c r="S291">
        <f t="shared" si="32"/>
        <v>2.76</v>
      </c>
      <c r="T291">
        <f t="shared" si="33"/>
        <v>-1.6599999999999997</v>
      </c>
      <c r="U291">
        <f t="shared" si="31"/>
        <v>69.567727272727311</v>
      </c>
      <c r="W291">
        <v>1571.2</v>
      </c>
      <c r="X291">
        <f t="shared" si="34"/>
        <v>34052.9</v>
      </c>
      <c r="Y291">
        <v>15.122805926180707</v>
      </c>
    </row>
    <row r="292" spans="1:26" x14ac:dyDescent="0.25">
      <c r="A292">
        <v>7560</v>
      </c>
      <c r="B292">
        <v>24490</v>
      </c>
      <c r="C292" s="1">
        <v>43237</v>
      </c>
      <c r="F292" s="36"/>
      <c r="G292">
        <v>13.7</v>
      </c>
      <c r="H292">
        <v>11.1</v>
      </c>
      <c r="I292">
        <v>16.899999999999999</v>
      </c>
      <c r="J292">
        <f t="shared" si="29"/>
        <v>2065.5999999999995</v>
      </c>
      <c r="K292">
        <f t="shared" si="30"/>
        <v>268.39999999999998</v>
      </c>
      <c r="M292">
        <v>0</v>
      </c>
      <c r="N292">
        <v>4</v>
      </c>
      <c r="O292">
        <f t="shared" si="35"/>
        <v>-4</v>
      </c>
      <c r="Q292">
        <v>256</v>
      </c>
      <c r="R292">
        <v>1.1499999999999999</v>
      </c>
      <c r="S292">
        <f t="shared" si="32"/>
        <v>4.5999999999999996</v>
      </c>
      <c r="T292">
        <f t="shared" si="33"/>
        <v>-4.5999999999999996</v>
      </c>
      <c r="U292">
        <f t="shared" si="31"/>
        <v>64.967727272727316</v>
      </c>
      <c r="W292">
        <v>2338.8000000000002</v>
      </c>
      <c r="X292">
        <f t="shared" si="34"/>
        <v>36391.700000000004</v>
      </c>
      <c r="Y292">
        <v>15.166585405663623</v>
      </c>
    </row>
    <row r="293" spans="1:26" x14ac:dyDescent="0.25">
      <c r="A293">
        <v>7560</v>
      </c>
      <c r="B293">
        <v>24490</v>
      </c>
      <c r="C293" s="1">
        <v>43238</v>
      </c>
      <c r="F293" s="36"/>
      <c r="G293">
        <v>12</v>
      </c>
      <c r="H293">
        <v>7.9</v>
      </c>
      <c r="I293">
        <v>16.7</v>
      </c>
      <c r="J293">
        <f t="shared" si="29"/>
        <v>2077.5999999999995</v>
      </c>
      <c r="K293">
        <f t="shared" si="30"/>
        <v>280.39999999999998</v>
      </c>
      <c r="M293">
        <v>0</v>
      </c>
      <c r="N293">
        <v>4.3</v>
      </c>
      <c r="O293">
        <f t="shared" si="35"/>
        <v>-4.3</v>
      </c>
      <c r="Q293">
        <v>257</v>
      </c>
      <c r="R293">
        <v>1.1499999999999999</v>
      </c>
      <c r="S293">
        <f t="shared" si="32"/>
        <v>4.9449999999999994</v>
      </c>
      <c r="T293">
        <f t="shared" si="33"/>
        <v>-4.9449999999999994</v>
      </c>
      <c r="U293">
        <f t="shared" si="31"/>
        <v>60.022727272727316</v>
      </c>
      <c r="W293">
        <v>2896</v>
      </c>
      <c r="X293">
        <f t="shared" si="34"/>
        <v>39287.700000000004</v>
      </c>
      <c r="Y293">
        <v>15.209519644969882</v>
      </c>
    </row>
    <row r="294" spans="1:26" x14ac:dyDescent="0.25">
      <c r="A294">
        <v>7560</v>
      </c>
      <c r="B294">
        <v>24490</v>
      </c>
      <c r="C294" s="1">
        <v>43239</v>
      </c>
      <c r="F294" s="36"/>
      <c r="G294">
        <v>13</v>
      </c>
      <c r="H294">
        <v>7.8</v>
      </c>
      <c r="I294">
        <v>17.8</v>
      </c>
      <c r="J294">
        <f t="shared" si="29"/>
        <v>2090.5999999999995</v>
      </c>
      <c r="K294">
        <f t="shared" si="30"/>
        <v>293.39999999999998</v>
      </c>
      <c r="M294">
        <v>0</v>
      </c>
      <c r="N294">
        <v>3.4</v>
      </c>
      <c r="O294">
        <f t="shared" si="35"/>
        <v>-3.4</v>
      </c>
      <c r="Q294">
        <v>258</v>
      </c>
      <c r="R294">
        <v>1.1499999999999999</v>
      </c>
      <c r="S294">
        <f t="shared" si="32"/>
        <v>3.9099999999999997</v>
      </c>
      <c r="T294">
        <f t="shared" si="33"/>
        <v>-3.9099999999999997</v>
      </c>
      <c r="U294">
        <f t="shared" si="31"/>
        <v>56.112727272727319</v>
      </c>
      <c r="W294">
        <v>2165.6999999999998</v>
      </c>
      <c r="X294">
        <f t="shared" si="34"/>
        <v>41453.4</v>
      </c>
      <c r="Y294">
        <v>15.251583642649223</v>
      </c>
    </row>
    <row r="295" spans="1:26" s="6" customFormat="1" ht="15.75" thickBot="1" x14ac:dyDescent="0.3">
      <c r="A295" s="6">
        <v>7560</v>
      </c>
      <c r="B295" s="6">
        <v>24490</v>
      </c>
      <c r="C295" s="7">
        <v>43240</v>
      </c>
      <c r="D295" s="6">
        <v>300</v>
      </c>
      <c r="F295" s="37"/>
      <c r="G295" s="6">
        <v>14.2</v>
      </c>
      <c r="H295" s="6">
        <v>8.5</v>
      </c>
      <c r="I295" s="6">
        <v>21.4</v>
      </c>
      <c r="J295" s="6">
        <f t="shared" ref="J295:J358" si="36">J294+G295</f>
        <v>2104.7999999999993</v>
      </c>
      <c r="K295" s="6">
        <f t="shared" ref="K295:K358" si="37">K294+G295</f>
        <v>307.59999999999997</v>
      </c>
      <c r="M295" s="6">
        <v>1.3</v>
      </c>
      <c r="N295" s="6">
        <v>3.8</v>
      </c>
      <c r="O295" s="6">
        <f t="shared" si="35"/>
        <v>-2.5</v>
      </c>
      <c r="Q295" s="6">
        <v>259</v>
      </c>
      <c r="R295" s="6">
        <v>1.1499999999999999</v>
      </c>
      <c r="S295" s="6">
        <f t="shared" si="32"/>
        <v>4.3699999999999992</v>
      </c>
      <c r="T295" s="6">
        <f t="shared" si="33"/>
        <v>-3.0699999999999994</v>
      </c>
      <c r="U295" s="6">
        <f t="shared" ref="U295:U358" si="38">MIN(U294+T295,153.9)</f>
        <v>53.042727272727319</v>
      </c>
      <c r="W295" s="6">
        <v>2111.6</v>
      </c>
      <c r="X295" s="6">
        <f t="shared" si="34"/>
        <v>43565</v>
      </c>
      <c r="Y295" s="6">
        <v>15.292752274959966</v>
      </c>
    </row>
    <row r="296" spans="1:26" x14ac:dyDescent="0.25">
      <c r="A296">
        <v>7560</v>
      </c>
      <c r="B296">
        <v>24490</v>
      </c>
      <c r="C296" s="1">
        <v>43241</v>
      </c>
      <c r="F296" s="32" t="s">
        <v>54</v>
      </c>
      <c r="G296">
        <v>16.899999999999999</v>
      </c>
      <c r="H296">
        <v>9.9</v>
      </c>
      <c r="I296">
        <v>22.2</v>
      </c>
      <c r="J296">
        <f t="shared" si="36"/>
        <v>2121.6999999999994</v>
      </c>
      <c r="K296">
        <f>G296</f>
        <v>16.899999999999999</v>
      </c>
      <c r="L296" s="25" t="s">
        <v>37</v>
      </c>
      <c r="M296">
        <v>1.2</v>
      </c>
      <c r="N296">
        <v>2.9</v>
      </c>
      <c r="O296">
        <f t="shared" si="35"/>
        <v>-1.7</v>
      </c>
      <c r="Q296">
        <v>260</v>
      </c>
      <c r="R296">
        <f>1.15+((Q296-259)/57)*(0.35-1.15)</f>
        <v>1.1359649122807016</v>
      </c>
      <c r="S296">
        <f t="shared" si="32"/>
        <v>3.2942982456140344</v>
      </c>
      <c r="T296">
        <f t="shared" si="33"/>
        <v>-2.0942982456140342</v>
      </c>
      <c r="U296">
        <f t="shared" si="38"/>
        <v>50.948429027113285</v>
      </c>
      <c r="V296" s="26" t="s">
        <v>44</v>
      </c>
      <c r="W296">
        <v>1828.6</v>
      </c>
      <c r="X296">
        <f>W296</f>
        <v>1828.6</v>
      </c>
      <c r="Y296">
        <v>15.333000335022478</v>
      </c>
      <c r="Z296" s="26" t="s">
        <v>49</v>
      </c>
    </row>
    <row r="297" spans="1:26" x14ac:dyDescent="0.25">
      <c r="A297">
        <v>7560</v>
      </c>
      <c r="B297">
        <v>24490</v>
      </c>
      <c r="C297" s="1">
        <v>43242</v>
      </c>
      <c r="F297" s="33"/>
      <c r="G297">
        <v>17</v>
      </c>
      <c r="H297">
        <v>13.9</v>
      </c>
      <c r="I297">
        <v>20.9</v>
      </c>
      <c r="J297">
        <f t="shared" si="36"/>
        <v>2138.6999999999994</v>
      </c>
      <c r="K297">
        <f t="shared" si="37"/>
        <v>33.9</v>
      </c>
      <c r="L297" s="10">
        <v>307.60000000000002</v>
      </c>
      <c r="M297">
        <v>1.4</v>
      </c>
      <c r="N297">
        <v>2.2999999999999998</v>
      </c>
      <c r="O297">
        <f t="shared" si="35"/>
        <v>-0.89999999999999991</v>
      </c>
      <c r="Q297">
        <v>261</v>
      </c>
      <c r="R297">
        <f t="shared" ref="R297:R352" si="39">1.15+((Q297-259)/57)*(0.35-1.15)</f>
        <v>1.1219298245614033</v>
      </c>
      <c r="S297">
        <f t="shared" si="32"/>
        <v>2.5804385964912275</v>
      </c>
      <c r="T297">
        <f t="shared" si="33"/>
        <v>-1.1804385964912276</v>
      </c>
      <c r="U297">
        <f t="shared" si="38"/>
        <v>49.767990430622056</v>
      </c>
      <c r="V297">
        <v>0</v>
      </c>
      <c r="W297">
        <v>1254.9000000000001</v>
      </c>
      <c r="X297">
        <f t="shared" si="34"/>
        <v>3083.5</v>
      </c>
      <c r="Y297">
        <v>15.372302574255539</v>
      </c>
      <c r="Z297">
        <v>25588.400000000001</v>
      </c>
    </row>
    <row r="298" spans="1:26" x14ac:dyDescent="0.25">
      <c r="A298">
        <v>7560</v>
      </c>
      <c r="B298">
        <v>24490</v>
      </c>
      <c r="C298" s="1">
        <v>43243</v>
      </c>
      <c r="F298" s="33"/>
      <c r="G298">
        <v>16.399999999999999</v>
      </c>
      <c r="H298">
        <v>12.7</v>
      </c>
      <c r="I298">
        <v>21.5</v>
      </c>
      <c r="J298">
        <f t="shared" si="36"/>
        <v>2155.0999999999995</v>
      </c>
      <c r="K298">
        <f t="shared" si="37"/>
        <v>50.3</v>
      </c>
      <c r="L298" s="25" t="s">
        <v>38</v>
      </c>
      <c r="M298">
        <v>0.1</v>
      </c>
      <c r="N298">
        <v>2.7</v>
      </c>
      <c r="O298">
        <f t="shared" si="35"/>
        <v>-2.6</v>
      </c>
      <c r="Q298">
        <v>262</v>
      </c>
      <c r="R298">
        <f t="shared" si="39"/>
        <v>1.1078947368421053</v>
      </c>
      <c r="S298">
        <f t="shared" si="32"/>
        <v>2.9913157894736844</v>
      </c>
      <c r="T298">
        <f t="shared" si="33"/>
        <v>-2.8913157894736843</v>
      </c>
      <c r="U298">
        <f t="shared" si="38"/>
        <v>46.876674641148369</v>
      </c>
      <c r="V298" s="26" t="s">
        <v>45</v>
      </c>
      <c r="W298">
        <v>1427.1</v>
      </c>
      <c r="X298">
        <f t="shared" si="34"/>
        <v>4510.6000000000004</v>
      </c>
      <c r="Y298">
        <v>15.410633746042208</v>
      </c>
      <c r="Z298" s="26" t="s">
        <v>50</v>
      </c>
    </row>
    <row r="299" spans="1:26" x14ac:dyDescent="0.25">
      <c r="A299">
        <v>7560</v>
      </c>
      <c r="B299">
        <v>24490</v>
      </c>
      <c r="C299" s="1">
        <v>43244</v>
      </c>
      <c r="F299" s="33"/>
      <c r="G299">
        <v>18.399999999999999</v>
      </c>
      <c r="H299">
        <v>13</v>
      </c>
      <c r="I299">
        <v>23</v>
      </c>
      <c r="J299">
        <f t="shared" si="36"/>
        <v>2173.4999999999995</v>
      </c>
      <c r="K299">
        <f t="shared" si="37"/>
        <v>68.699999999999989</v>
      </c>
      <c r="L299" s="11">
        <f>AVERAGE(G296:G311)</f>
        <v>19.225000000000001</v>
      </c>
      <c r="M299">
        <v>0</v>
      </c>
      <c r="N299">
        <v>3.5</v>
      </c>
      <c r="O299">
        <f t="shared" si="35"/>
        <v>-3.5</v>
      </c>
      <c r="Q299">
        <v>263</v>
      </c>
      <c r="R299">
        <f t="shared" si="39"/>
        <v>1.093859649122807</v>
      </c>
      <c r="S299">
        <f t="shared" si="32"/>
        <v>3.8285087719298243</v>
      </c>
      <c r="T299">
        <f t="shared" si="33"/>
        <v>-3.8285087719298243</v>
      </c>
      <c r="U299">
        <f t="shared" si="38"/>
        <v>43.048165869218543</v>
      </c>
      <c r="V299">
        <v>16</v>
      </c>
      <c r="W299">
        <v>1928.9</v>
      </c>
      <c r="X299">
        <f t="shared" si="34"/>
        <v>6439.5</v>
      </c>
      <c r="Y299">
        <v>15.447968651554419</v>
      </c>
      <c r="Z299">
        <f>(Z297/100)/L297</f>
        <v>0.83187256176853053</v>
      </c>
    </row>
    <row r="300" spans="1:26" x14ac:dyDescent="0.25">
      <c r="A300">
        <v>7560</v>
      </c>
      <c r="B300">
        <v>24490</v>
      </c>
      <c r="C300" s="1">
        <v>43245</v>
      </c>
      <c r="F300" s="33"/>
      <c r="G300">
        <v>20.3</v>
      </c>
      <c r="H300">
        <v>13.6</v>
      </c>
      <c r="I300">
        <v>25.2</v>
      </c>
      <c r="J300">
        <f t="shared" si="36"/>
        <v>2193.7999999999997</v>
      </c>
      <c r="K300">
        <f t="shared" si="37"/>
        <v>88.999999999999986</v>
      </c>
      <c r="L300" s="25" t="s">
        <v>39</v>
      </c>
      <c r="M300">
        <v>0</v>
      </c>
      <c r="N300">
        <v>3.6</v>
      </c>
      <c r="O300">
        <f t="shared" si="35"/>
        <v>-3.6</v>
      </c>
      <c r="Q300">
        <v>264</v>
      </c>
      <c r="R300">
        <f t="shared" si="39"/>
        <v>1.0798245614035087</v>
      </c>
      <c r="S300">
        <f t="shared" si="32"/>
        <v>3.8873684210526314</v>
      </c>
      <c r="T300">
        <f t="shared" si="33"/>
        <v>-3.8873684210526314</v>
      </c>
      <c r="U300">
        <f t="shared" si="38"/>
        <v>39.160797448165908</v>
      </c>
      <c r="V300" s="26" t="s">
        <v>46</v>
      </c>
      <c r="W300">
        <v>1866.2</v>
      </c>
      <c r="X300">
        <f t="shared" si="34"/>
        <v>8305.7000000000007</v>
      </c>
      <c r="Y300">
        <v>15.484282187646981</v>
      </c>
      <c r="Z300" s="26" t="s">
        <v>51</v>
      </c>
    </row>
    <row r="301" spans="1:26" x14ac:dyDescent="0.25">
      <c r="A301">
        <v>7560</v>
      </c>
      <c r="B301">
        <v>24490</v>
      </c>
      <c r="C301" s="1">
        <v>43246</v>
      </c>
      <c r="F301" s="33"/>
      <c r="G301">
        <v>21.3</v>
      </c>
      <c r="H301">
        <v>16.5</v>
      </c>
      <c r="I301">
        <v>27.5</v>
      </c>
      <c r="J301">
        <f t="shared" si="36"/>
        <v>2215.1</v>
      </c>
      <c r="K301">
        <f t="shared" si="37"/>
        <v>110.29999999999998</v>
      </c>
      <c r="L301" s="12">
        <f>MIN(H296:H311)</f>
        <v>9.9</v>
      </c>
      <c r="M301">
        <v>0</v>
      </c>
      <c r="N301">
        <v>5</v>
      </c>
      <c r="O301">
        <f t="shared" si="35"/>
        <v>-5</v>
      </c>
      <c r="Q301">
        <v>265</v>
      </c>
      <c r="R301">
        <f t="shared" si="39"/>
        <v>1.0657894736842104</v>
      </c>
      <c r="S301">
        <f t="shared" si="32"/>
        <v>5.3289473684210522</v>
      </c>
      <c r="T301">
        <f t="shared" si="33"/>
        <v>-5.3289473684210522</v>
      </c>
      <c r="U301">
        <f t="shared" si="38"/>
        <v>33.831850079744854</v>
      </c>
      <c r="V301" s="14">
        <f>MIN(U296:U311)</f>
        <v>24.212639553429067</v>
      </c>
      <c r="W301">
        <v>2277.6</v>
      </c>
      <c r="X301">
        <f t="shared" si="34"/>
        <v>10583.300000000001</v>
      </c>
      <c r="Y301">
        <v>15.519549396712614</v>
      </c>
      <c r="Z301">
        <v>0</v>
      </c>
    </row>
    <row r="302" spans="1:26" x14ac:dyDescent="0.25">
      <c r="A302">
        <v>7560</v>
      </c>
      <c r="B302">
        <v>24490</v>
      </c>
      <c r="C302" s="1">
        <v>43247</v>
      </c>
      <c r="F302" s="33"/>
      <c r="G302">
        <v>22.6</v>
      </c>
      <c r="H302">
        <v>17.7</v>
      </c>
      <c r="I302">
        <v>27.7</v>
      </c>
      <c r="J302">
        <f t="shared" si="36"/>
        <v>2237.6999999999998</v>
      </c>
      <c r="K302">
        <f t="shared" si="37"/>
        <v>132.89999999999998</v>
      </c>
      <c r="L302" s="25" t="s">
        <v>40</v>
      </c>
      <c r="M302">
        <v>0.9</v>
      </c>
      <c r="N302">
        <v>3.1</v>
      </c>
      <c r="O302">
        <f t="shared" si="35"/>
        <v>-2.2000000000000002</v>
      </c>
      <c r="Q302">
        <v>266</v>
      </c>
      <c r="R302">
        <f t="shared" si="39"/>
        <v>1.0517543859649121</v>
      </c>
      <c r="S302">
        <f t="shared" si="32"/>
        <v>3.2604385964912277</v>
      </c>
      <c r="T302">
        <f t="shared" si="33"/>
        <v>-2.3604385964912278</v>
      </c>
      <c r="U302">
        <f t="shared" si="38"/>
        <v>31.471411483253625</v>
      </c>
      <c r="V302" s="26" t="s">
        <v>47</v>
      </c>
      <c r="W302">
        <v>1414.8</v>
      </c>
      <c r="X302">
        <f t="shared" si="34"/>
        <v>11998.1</v>
      </c>
      <c r="Y302">
        <v>15.553745518369757</v>
      </c>
    </row>
    <row r="303" spans="1:26" x14ac:dyDescent="0.25">
      <c r="A303">
        <v>7560</v>
      </c>
      <c r="B303">
        <v>24490</v>
      </c>
      <c r="C303" s="1">
        <v>43248</v>
      </c>
      <c r="F303" s="33"/>
      <c r="G303">
        <v>19.399999999999999</v>
      </c>
      <c r="H303">
        <v>17.5</v>
      </c>
      <c r="I303">
        <v>25.2</v>
      </c>
      <c r="J303">
        <f t="shared" si="36"/>
        <v>2257.1</v>
      </c>
      <c r="K303">
        <f t="shared" si="37"/>
        <v>152.29999999999998</v>
      </c>
      <c r="L303" s="10">
        <f>MAX(I296:I311)</f>
        <v>27.7</v>
      </c>
      <c r="M303">
        <v>0.1</v>
      </c>
      <c r="N303">
        <v>3.2</v>
      </c>
      <c r="O303">
        <f t="shared" si="35"/>
        <v>-3.1</v>
      </c>
      <c r="Q303">
        <v>267</v>
      </c>
      <c r="R303">
        <f t="shared" si="39"/>
        <v>1.037719298245614</v>
      </c>
      <c r="S303">
        <f t="shared" si="32"/>
        <v>3.3207017543859649</v>
      </c>
      <c r="T303">
        <f t="shared" si="33"/>
        <v>-3.2207017543859648</v>
      </c>
      <c r="U303">
        <f t="shared" si="38"/>
        <v>28.250709728867662</v>
      </c>
      <c r="V303" s="14">
        <f>MAX(U296:U311)</f>
        <v>50.948429027113285</v>
      </c>
      <c r="W303">
        <v>1537.4</v>
      </c>
      <c r="X303">
        <f t="shared" si="34"/>
        <v>13535.5</v>
      </c>
      <c r="Y303">
        <v>15.586846042834635</v>
      </c>
    </row>
    <row r="304" spans="1:26" x14ac:dyDescent="0.25">
      <c r="A304">
        <v>7560</v>
      </c>
      <c r="B304">
        <v>24490</v>
      </c>
      <c r="C304" s="1">
        <v>43249</v>
      </c>
      <c r="F304" s="33"/>
      <c r="G304">
        <v>18.8</v>
      </c>
      <c r="H304">
        <v>15.7</v>
      </c>
      <c r="I304">
        <v>22.2</v>
      </c>
      <c r="J304">
        <f t="shared" si="36"/>
        <v>2275.9</v>
      </c>
      <c r="K304">
        <f t="shared" si="37"/>
        <v>171.1</v>
      </c>
      <c r="L304" s="25" t="s">
        <v>41</v>
      </c>
      <c r="M304">
        <v>4.2</v>
      </c>
      <c r="N304">
        <v>2.2999999999999998</v>
      </c>
      <c r="O304">
        <f t="shared" si="35"/>
        <v>1.9000000000000004</v>
      </c>
      <c r="Q304">
        <v>268</v>
      </c>
      <c r="R304">
        <f t="shared" si="39"/>
        <v>1.0236842105263158</v>
      </c>
      <c r="S304">
        <f t="shared" si="32"/>
        <v>2.3544736842105261</v>
      </c>
      <c r="T304">
        <f t="shared" si="33"/>
        <v>1.8455263157894741</v>
      </c>
      <c r="U304">
        <f t="shared" si="38"/>
        <v>30.096236044657136</v>
      </c>
      <c r="V304" s="26" t="s">
        <v>48</v>
      </c>
      <c r="W304">
        <v>1248.3</v>
      </c>
      <c r="X304">
        <f t="shared" si="34"/>
        <v>14783.8</v>
      </c>
      <c r="Y304">
        <v>15.618826765808565</v>
      </c>
    </row>
    <row r="305" spans="1:26" x14ac:dyDescent="0.25">
      <c r="A305">
        <v>7560</v>
      </c>
      <c r="B305">
        <v>24490</v>
      </c>
      <c r="C305" s="1">
        <v>43250</v>
      </c>
      <c r="F305" s="33"/>
      <c r="G305">
        <v>18.8</v>
      </c>
      <c r="H305">
        <v>15.3</v>
      </c>
      <c r="I305">
        <v>24.4</v>
      </c>
      <c r="J305">
        <f t="shared" si="36"/>
        <v>2294.7000000000003</v>
      </c>
      <c r="K305">
        <f t="shared" si="37"/>
        <v>189.9</v>
      </c>
      <c r="L305" s="10">
        <v>6</v>
      </c>
      <c r="M305">
        <v>2</v>
      </c>
      <c r="N305">
        <v>2.7</v>
      </c>
      <c r="O305">
        <f t="shared" si="35"/>
        <v>-0.70000000000000018</v>
      </c>
      <c r="Q305">
        <v>269</v>
      </c>
      <c r="R305">
        <f t="shared" si="39"/>
        <v>1.0096491228070175</v>
      </c>
      <c r="S305">
        <f t="shared" si="32"/>
        <v>2.7260526315789475</v>
      </c>
      <c r="T305">
        <f t="shared" si="33"/>
        <v>-0.7260526315789475</v>
      </c>
      <c r="U305">
        <f t="shared" si="38"/>
        <v>29.370183413078188</v>
      </c>
      <c r="V305" s="14">
        <f>AVERAGE(U296:U311)</f>
        <v>34.509903807815036</v>
      </c>
      <c r="W305">
        <v>1200.4000000000001</v>
      </c>
      <c r="X305">
        <f t="shared" si="34"/>
        <v>15984.199999999999</v>
      </c>
      <c r="Y305">
        <v>15.649663844690815</v>
      </c>
    </row>
    <row r="306" spans="1:26" x14ac:dyDescent="0.25">
      <c r="A306">
        <v>7560</v>
      </c>
      <c r="B306">
        <v>24490</v>
      </c>
      <c r="C306" s="1">
        <v>43251</v>
      </c>
      <c r="F306" s="33"/>
      <c r="G306">
        <v>20.3</v>
      </c>
      <c r="H306">
        <v>15.8</v>
      </c>
      <c r="I306">
        <v>24.2</v>
      </c>
      <c r="J306">
        <f t="shared" si="36"/>
        <v>2315.0000000000005</v>
      </c>
      <c r="K306">
        <f t="shared" si="37"/>
        <v>210.20000000000002</v>
      </c>
      <c r="L306" s="25" t="s">
        <v>42</v>
      </c>
      <c r="M306">
        <v>4.7</v>
      </c>
      <c r="N306">
        <v>3.7</v>
      </c>
      <c r="O306">
        <f t="shared" si="35"/>
        <v>1</v>
      </c>
      <c r="Q306">
        <v>270</v>
      </c>
      <c r="R306">
        <f t="shared" si="39"/>
        <v>0.99561403508771917</v>
      </c>
      <c r="S306">
        <f t="shared" si="32"/>
        <v>3.683771929824561</v>
      </c>
      <c r="T306">
        <f t="shared" si="33"/>
        <v>1.0162280701754391</v>
      </c>
      <c r="U306">
        <f t="shared" si="38"/>
        <v>30.386411483253628</v>
      </c>
      <c r="W306">
        <v>2017.8</v>
      </c>
      <c r="X306">
        <f t="shared" si="34"/>
        <v>18002</v>
      </c>
      <c r="Y306">
        <v>15.679333855907155</v>
      </c>
    </row>
    <row r="307" spans="1:26" x14ac:dyDescent="0.25">
      <c r="A307">
        <v>7560</v>
      </c>
      <c r="B307">
        <v>24490</v>
      </c>
      <c r="C307" s="1">
        <v>43252</v>
      </c>
      <c r="F307" s="33"/>
      <c r="G307">
        <v>17.600000000000001</v>
      </c>
      <c r="H307">
        <v>15.5</v>
      </c>
      <c r="I307">
        <v>20.6</v>
      </c>
      <c r="J307">
        <f t="shared" si="36"/>
        <v>2332.6000000000004</v>
      </c>
      <c r="K307">
        <f t="shared" si="37"/>
        <v>227.8</v>
      </c>
      <c r="L307" s="10">
        <v>0</v>
      </c>
      <c r="M307">
        <v>2.1</v>
      </c>
      <c r="N307">
        <v>1.7</v>
      </c>
      <c r="O307">
        <f t="shared" si="35"/>
        <v>0.40000000000000013</v>
      </c>
      <c r="Q307">
        <v>271</v>
      </c>
      <c r="R307">
        <f t="shared" si="39"/>
        <v>0.981578947368421</v>
      </c>
      <c r="S307">
        <f t="shared" si="32"/>
        <v>1.6686842105263155</v>
      </c>
      <c r="T307">
        <f t="shared" si="33"/>
        <v>0.43131578947368454</v>
      </c>
      <c r="U307">
        <f t="shared" si="38"/>
        <v>30.817727272727314</v>
      </c>
      <c r="V307" s="15">
        <f>(V305*100)/153.9</f>
        <v>22.423589218853174</v>
      </c>
      <c r="W307">
        <v>956.3</v>
      </c>
      <c r="X307">
        <f t="shared" si="34"/>
        <v>18958.3</v>
      </c>
      <c r="Y307">
        <v>15.707813853124174</v>
      </c>
    </row>
    <row r="308" spans="1:26" x14ac:dyDescent="0.25">
      <c r="A308">
        <v>7560</v>
      </c>
      <c r="B308">
        <v>24490</v>
      </c>
      <c r="C308" s="1">
        <v>43253</v>
      </c>
      <c r="F308" s="33"/>
      <c r="G308">
        <v>18.399999999999999</v>
      </c>
      <c r="H308">
        <v>15.1</v>
      </c>
      <c r="I308">
        <v>22.1</v>
      </c>
      <c r="J308">
        <f t="shared" si="36"/>
        <v>2351.0000000000005</v>
      </c>
      <c r="K308">
        <f t="shared" si="37"/>
        <v>246.20000000000002</v>
      </c>
      <c r="L308" s="25" t="s">
        <v>43</v>
      </c>
      <c r="M308">
        <v>0</v>
      </c>
      <c r="N308">
        <v>3.5</v>
      </c>
      <c r="O308">
        <f t="shared" si="35"/>
        <v>-3.5</v>
      </c>
      <c r="Q308">
        <v>272</v>
      </c>
      <c r="R308">
        <f t="shared" si="39"/>
        <v>0.96754385964912271</v>
      </c>
      <c r="S308">
        <f t="shared" si="32"/>
        <v>3.3864035087719295</v>
      </c>
      <c r="T308">
        <f t="shared" si="33"/>
        <v>-3.3864035087719295</v>
      </c>
      <c r="U308">
        <f t="shared" si="38"/>
        <v>27.431323763955383</v>
      </c>
      <c r="W308">
        <v>1846.8</v>
      </c>
      <c r="X308">
        <f t="shared" si="34"/>
        <v>20805.099999999999</v>
      </c>
      <c r="Y308">
        <v>15.735081426100468</v>
      </c>
    </row>
    <row r="309" spans="1:26" x14ac:dyDescent="0.25">
      <c r="A309">
        <v>7560</v>
      </c>
      <c r="B309">
        <v>24490</v>
      </c>
      <c r="C309" s="1">
        <v>43254</v>
      </c>
      <c r="F309" s="33"/>
      <c r="G309">
        <v>19.899999999999999</v>
      </c>
      <c r="H309">
        <v>13.8</v>
      </c>
      <c r="I309">
        <v>24.2</v>
      </c>
      <c r="J309">
        <f t="shared" si="36"/>
        <v>2370.9000000000005</v>
      </c>
      <c r="K309">
        <f t="shared" si="37"/>
        <v>266.10000000000002</v>
      </c>
      <c r="L309" s="21">
        <v>0</v>
      </c>
      <c r="M309">
        <v>0.5</v>
      </c>
      <c r="N309">
        <v>3.9</v>
      </c>
      <c r="O309">
        <f t="shared" si="35"/>
        <v>-3.4</v>
      </c>
      <c r="Q309">
        <v>273</v>
      </c>
      <c r="R309">
        <f t="shared" si="39"/>
        <v>0.95350877192982453</v>
      </c>
      <c r="S309">
        <f t="shared" si="32"/>
        <v>3.7186842105263156</v>
      </c>
      <c r="T309">
        <f t="shared" si="33"/>
        <v>-3.2186842105263156</v>
      </c>
      <c r="U309">
        <f t="shared" si="38"/>
        <v>24.212639553429067</v>
      </c>
      <c r="W309">
        <v>2205.1999999999998</v>
      </c>
      <c r="X309">
        <f t="shared" si="34"/>
        <v>23010.3</v>
      </c>
      <c r="Y309">
        <v>15.761114759907702</v>
      </c>
    </row>
    <row r="310" spans="1:26" x14ac:dyDescent="0.25">
      <c r="A310">
        <v>7560</v>
      </c>
      <c r="B310">
        <v>24490</v>
      </c>
      <c r="C310" s="1">
        <v>43255</v>
      </c>
      <c r="F310" s="33"/>
      <c r="G310">
        <v>21.3</v>
      </c>
      <c r="H310">
        <v>16.7</v>
      </c>
      <c r="I310">
        <v>25.4</v>
      </c>
      <c r="J310">
        <f t="shared" si="36"/>
        <v>2392.2000000000007</v>
      </c>
      <c r="K310">
        <f t="shared" si="37"/>
        <v>287.40000000000003</v>
      </c>
      <c r="M310">
        <v>3.4</v>
      </c>
      <c r="N310">
        <v>2.8</v>
      </c>
      <c r="O310">
        <f t="shared" si="35"/>
        <v>0.60000000000000009</v>
      </c>
      <c r="Q310">
        <v>274</v>
      </c>
      <c r="R310">
        <f t="shared" si="39"/>
        <v>0.93947368421052624</v>
      </c>
      <c r="S310">
        <f t="shared" si="32"/>
        <v>2.6305263157894734</v>
      </c>
      <c r="T310">
        <f t="shared" si="33"/>
        <v>0.76947368421052653</v>
      </c>
      <c r="U310">
        <f t="shared" si="38"/>
        <v>24.982113237639595</v>
      </c>
      <c r="W310">
        <v>1436.6</v>
      </c>
      <c r="X310">
        <f t="shared" si="34"/>
        <v>24446.899999999998</v>
      </c>
      <c r="Y310">
        <v>15.785892694237939</v>
      </c>
    </row>
    <row r="311" spans="1:26" s="6" customFormat="1" ht="15.75" thickBot="1" x14ac:dyDescent="0.3">
      <c r="A311" s="6">
        <v>7560</v>
      </c>
      <c r="B311" s="6">
        <v>24490</v>
      </c>
      <c r="C311" s="7">
        <v>43256</v>
      </c>
      <c r="D311" s="6">
        <v>600</v>
      </c>
      <c r="F311" s="34"/>
      <c r="G311" s="6">
        <v>20.2</v>
      </c>
      <c r="H311" s="6">
        <v>18.5</v>
      </c>
      <c r="I311" s="6">
        <v>25.7</v>
      </c>
      <c r="J311" s="6">
        <f t="shared" si="36"/>
        <v>2412.4000000000005</v>
      </c>
      <c r="K311" s="6">
        <f t="shared" si="37"/>
        <v>307.60000000000002</v>
      </c>
      <c r="M311" s="6">
        <v>9.3000000000000007</v>
      </c>
      <c r="N311" s="6">
        <v>3</v>
      </c>
      <c r="O311" s="6">
        <f t="shared" si="35"/>
        <v>6.3000000000000007</v>
      </c>
      <c r="Q311" s="6">
        <v>275</v>
      </c>
      <c r="R311" s="6">
        <f t="shared" si="39"/>
        <v>0.92543859649122795</v>
      </c>
      <c r="S311" s="6">
        <f t="shared" si="32"/>
        <v>2.7763157894736841</v>
      </c>
      <c r="T311" s="6">
        <f t="shared" si="33"/>
        <v>6.5236842105263166</v>
      </c>
      <c r="U311" s="6">
        <f t="shared" si="38"/>
        <v>31.505797448165911</v>
      </c>
      <c r="W311" s="6">
        <v>1141.5</v>
      </c>
      <c r="X311" s="6">
        <f t="shared" si="34"/>
        <v>25588.399999999998</v>
      </c>
      <c r="Y311" s="6">
        <v>15.809394782498575</v>
      </c>
    </row>
    <row r="312" spans="1:26" x14ac:dyDescent="0.25">
      <c r="A312">
        <v>7560</v>
      </c>
      <c r="B312">
        <v>24490</v>
      </c>
      <c r="C312" s="1">
        <v>43257</v>
      </c>
      <c r="F312" s="29" t="s">
        <v>53</v>
      </c>
      <c r="G312">
        <v>20.9</v>
      </c>
      <c r="H312">
        <v>16.600000000000001</v>
      </c>
      <c r="I312">
        <v>25.5</v>
      </c>
      <c r="J312">
        <f t="shared" si="36"/>
        <v>2433.3000000000006</v>
      </c>
      <c r="K312">
        <f>G312</f>
        <v>20.9</v>
      </c>
      <c r="L312" s="27" t="s">
        <v>37</v>
      </c>
      <c r="M312">
        <v>5</v>
      </c>
      <c r="N312">
        <v>2.9</v>
      </c>
      <c r="O312">
        <f t="shared" si="35"/>
        <v>2.1</v>
      </c>
      <c r="Q312">
        <v>276</v>
      </c>
      <c r="R312">
        <f t="shared" si="39"/>
        <v>0.91140350877192977</v>
      </c>
      <c r="S312">
        <f t="shared" si="32"/>
        <v>2.6430701754385963</v>
      </c>
      <c r="T312">
        <f t="shared" si="33"/>
        <v>2.3569298245614037</v>
      </c>
      <c r="U312">
        <f t="shared" si="38"/>
        <v>33.862727272727312</v>
      </c>
      <c r="V312" s="28" t="s">
        <v>44</v>
      </c>
      <c r="W312">
        <v>1510.3</v>
      </c>
      <c r="X312">
        <f>W312</f>
        <v>1510.3</v>
      </c>
      <c r="Y312">
        <v>15.83160135038341</v>
      </c>
      <c r="Z312" s="28" t="s">
        <v>49</v>
      </c>
    </row>
    <row r="313" spans="1:26" x14ac:dyDescent="0.25">
      <c r="A313">
        <v>7560</v>
      </c>
      <c r="B313">
        <v>24490</v>
      </c>
      <c r="C313" s="1">
        <v>43258</v>
      </c>
      <c r="F313" s="30"/>
      <c r="G313">
        <v>19.8</v>
      </c>
      <c r="H313">
        <v>15.4</v>
      </c>
      <c r="I313">
        <v>24</v>
      </c>
      <c r="J313">
        <f t="shared" si="36"/>
        <v>2453.1000000000008</v>
      </c>
      <c r="K313">
        <f t="shared" si="37"/>
        <v>40.700000000000003</v>
      </c>
      <c r="L313" s="10">
        <v>420.7</v>
      </c>
      <c r="M313">
        <v>2.2000000000000002</v>
      </c>
      <c r="N313">
        <v>2.6</v>
      </c>
      <c r="O313">
        <f t="shared" si="35"/>
        <v>-0.39999999999999991</v>
      </c>
      <c r="Q313">
        <v>277</v>
      </c>
      <c r="R313">
        <f t="shared" si="39"/>
        <v>0.89736842105263159</v>
      </c>
      <c r="S313">
        <f t="shared" si="32"/>
        <v>2.3331578947368423</v>
      </c>
      <c r="T313">
        <f t="shared" si="33"/>
        <v>-0.13315789473684214</v>
      </c>
      <c r="U313">
        <f t="shared" si="38"/>
        <v>33.729569377990472</v>
      </c>
      <c r="V313">
        <v>2</v>
      </c>
      <c r="W313">
        <v>1190.8</v>
      </c>
      <c r="X313">
        <f t="shared" si="34"/>
        <v>2701.1</v>
      </c>
      <c r="Y313">
        <v>15.852493553597537</v>
      </c>
      <c r="Z313">
        <v>42859</v>
      </c>
    </row>
    <row r="314" spans="1:26" x14ac:dyDescent="0.25">
      <c r="A314">
        <v>7560</v>
      </c>
      <c r="B314">
        <v>24490</v>
      </c>
      <c r="C314" s="1">
        <v>43259</v>
      </c>
      <c r="F314" s="30"/>
      <c r="G314">
        <v>20.6</v>
      </c>
      <c r="H314">
        <v>16.2</v>
      </c>
      <c r="I314">
        <v>25.1</v>
      </c>
      <c r="J314">
        <f t="shared" si="36"/>
        <v>2473.7000000000007</v>
      </c>
      <c r="K314">
        <f t="shared" si="37"/>
        <v>61.300000000000004</v>
      </c>
      <c r="L314" s="27" t="s">
        <v>38</v>
      </c>
      <c r="M314">
        <v>1</v>
      </c>
      <c r="N314">
        <v>4.7</v>
      </c>
      <c r="O314">
        <f t="shared" si="35"/>
        <v>-3.7</v>
      </c>
      <c r="Q314">
        <v>278</v>
      </c>
      <c r="R314">
        <f t="shared" si="39"/>
        <v>0.8833333333333333</v>
      </c>
      <c r="S314">
        <f t="shared" si="32"/>
        <v>4.1516666666666664</v>
      </c>
      <c r="T314">
        <f t="shared" si="33"/>
        <v>-3.1516666666666664</v>
      </c>
      <c r="U314">
        <f t="shared" si="38"/>
        <v>30.577902711323805</v>
      </c>
      <c r="V314" s="28" t="s">
        <v>45</v>
      </c>
      <c r="W314">
        <v>2443.8000000000002</v>
      </c>
      <c r="X314">
        <f t="shared" si="34"/>
        <v>5144.8999999999996</v>
      </c>
      <c r="Y314">
        <v>15.872053434405835</v>
      </c>
      <c r="Z314" s="28" t="s">
        <v>50</v>
      </c>
    </row>
    <row r="315" spans="1:26" x14ac:dyDescent="0.25">
      <c r="A315">
        <v>7560</v>
      </c>
      <c r="B315">
        <v>24490</v>
      </c>
      <c r="C315" s="1">
        <v>43260</v>
      </c>
      <c r="F315" s="30"/>
      <c r="G315">
        <v>21.2</v>
      </c>
      <c r="H315">
        <v>17.3</v>
      </c>
      <c r="I315">
        <v>26.2</v>
      </c>
      <c r="J315">
        <f t="shared" si="36"/>
        <v>2494.9000000000005</v>
      </c>
      <c r="K315">
        <f t="shared" si="37"/>
        <v>82.5</v>
      </c>
      <c r="L315" s="11">
        <f>AVERAGE(G312:G334)</f>
        <v>18.291304347826092</v>
      </c>
      <c r="M315">
        <v>0.8</v>
      </c>
      <c r="N315">
        <v>3.3</v>
      </c>
      <c r="O315">
        <f t="shared" si="35"/>
        <v>-2.5</v>
      </c>
      <c r="Q315">
        <v>279</v>
      </c>
      <c r="R315">
        <f t="shared" si="39"/>
        <v>0.86929824561403501</v>
      </c>
      <c r="S315">
        <f t="shared" si="32"/>
        <v>2.8686842105263155</v>
      </c>
      <c r="T315">
        <f t="shared" si="33"/>
        <v>-2.0686842105263157</v>
      </c>
      <c r="U315">
        <f t="shared" si="38"/>
        <v>28.509218500797488</v>
      </c>
      <c r="V315">
        <v>21</v>
      </c>
      <c r="W315">
        <v>1496.1</v>
      </c>
      <c r="X315">
        <f t="shared" si="34"/>
        <v>6641</v>
      </c>
      <c r="Y315">
        <v>15.890263976669507</v>
      </c>
      <c r="Z315">
        <f>(Z313/100)/L313</f>
        <v>1.0187544568576181</v>
      </c>
    </row>
    <row r="316" spans="1:26" x14ac:dyDescent="0.25">
      <c r="A316">
        <v>7560</v>
      </c>
      <c r="B316">
        <v>24490</v>
      </c>
      <c r="C316" s="1">
        <v>43261</v>
      </c>
      <c r="F316" s="30"/>
      <c r="G316">
        <v>20.7</v>
      </c>
      <c r="H316">
        <v>17.899999999999999</v>
      </c>
      <c r="I316">
        <v>25.3</v>
      </c>
      <c r="J316">
        <f t="shared" si="36"/>
        <v>2515.6000000000004</v>
      </c>
      <c r="K316">
        <f t="shared" si="37"/>
        <v>103.2</v>
      </c>
      <c r="L316" s="27" t="s">
        <v>39</v>
      </c>
      <c r="M316">
        <v>0.5</v>
      </c>
      <c r="N316">
        <v>2.8</v>
      </c>
      <c r="O316">
        <f t="shared" si="35"/>
        <v>-2.2999999999999998</v>
      </c>
      <c r="Q316">
        <v>280</v>
      </c>
      <c r="R316">
        <f t="shared" si="39"/>
        <v>0.85526315789473673</v>
      </c>
      <c r="S316">
        <f t="shared" si="32"/>
        <v>2.3947368421052628</v>
      </c>
      <c r="T316">
        <f t="shared" si="33"/>
        <v>-1.8947368421052628</v>
      </c>
      <c r="U316">
        <f t="shared" si="38"/>
        <v>26.614481658692224</v>
      </c>
      <c r="V316" s="28" t="s">
        <v>46</v>
      </c>
      <c r="W316">
        <v>1302.5999999999999</v>
      </c>
      <c r="X316">
        <f t="shared" si="34"/>
        <v>7943.6</v>
      </c>
      <c r="Y316">
        <v>15.907109159033157</v>
      </c>
      <c r="Z316" s="28" t="s">
        <v>51</v>
      </c>
    </row>
    <row r="317" spans="1:26" x14ac:dyDescent="0.25">
      <c r="A317">
        <v>7560</v>
      </c>
      <c r="B317">
        <v>24490</v>
      </c>
      <c r="C317" s="1">
        <v>43262</v>
      </c>
      <c r="F317" s="30"/>
      <c r="G317">
        <v>18.5</v>
      </c>
      <c r="H317">
        <v>17.100000000000001</v>
      </c>
      <c r="I317">
        <v>20</v>
      </c>
      <c r="J317">
        <f t="shared" si="36"/>
        <v>2534.1000000000004</v>
      </c>
      <c r="K317">
        <f t="shared" si="37"/>
        <v>121.7</v>
      </c>
      <c r="L317" s="12">
        <f>MIN(H312:H334)</f>
        <v>8.4</v>
      </c>
      <c r="M317">
        <v>11.1</v>
      </c>
      <c r="N317">
        <v>1.4</v>
      </c>
      <c r="O317">
        <f t="shared" si="35"/>
        <v>9.6999999999999993</v>
      </c>
      <c r="Q317">
        <v>281</v>
      </c>
      <c r="R317">
        <f t="shared" si="39"/>
        <v>0.84122807017543855</v>
      </c>
      <c r="S317">
        <f t="shared" si="32"/>
        <v>1.1777192982456139</v>
      </c>
      <c r="T317">
        <f t="shared" si="33"/>
        <v>9.922280701754385</v>
      </c>
      <c r="U317">
        <f t="shared" si="38"/>
        <v>36.536762360446609</v>
      </c>
      <c r="V317" s="14">
        <f>MIN(U312:U334)</f>
        <v>0</v>
      </c>
      <c r="W317">
        <v>772.6</v>
      </c>
      <c r="X317">
        <f t="shared" si="34"/>
        <v>8716.2000000000007</v>
      </c>
      <c r="Y317">
        <v>15.922574005925881</v>
      </c>
      <c r="Z317">
        <v>4</v>
      </c>
    </row>
    <row r="318" spans="1:26" x14ac:dyDescent="0.25">
      <c r="A318">
        <v>7560</v>
      </c>
      <c r="B318">
        <v>24490</v>
      </c>
      <c r="C318" s="1">
        <v>43263</v>
      </c>
      <c r="F318" s="30"/>
      <c r="G318">
        <v>16.399999999999999</v>
      </c>
      <c r="H318">
        <v>16</v>
      </c>
      <c r="I318">
        <v>17.600000000000001</v>
      </c>
      <c r="J318">
        <f t="shared" si="36"/>
        <v>2550.5000000000005</v>
      </c>
      <c r="K318">
        <f t="shared" si="37"/>
        <v>138.1</v>
      </c>
      <c r="L318" s="27" t="s">
        <v>40</v>
      </c>
      <c r="M318">
        <v>3</v>
      </c>
      <c r="N318">
        <v>1.2</v>
      </c>
      <c r="O318">
        <f t="shared" si="35"/>
        <v>1.8</v>
      </c>
      <c r="Q318">
        <v>282</v>
      </c>
      <c r="R318">
        <f t="shared" si="39"/>
        <v>0.82719298245614037</v>
      </c>
      <c r="S318">
        <f t="shared" si="32"/>
        <v>0.99263157894736842</v>
      </c>
      <c r="T318">
        <f t="shared" si="33"/>
        <v>2.0073684210526315</v>
      </c>
      <c r="U318">
        <f t="shared" si="38"/>
        <v>38.544130781499241</v>
      </c>
      <c r="V318" s="28" t="s">
        <v>47</v>
      </c>
      <c r="W318">
        <v>522.5</v>
      </c>
      <c r="X318">
        <f t="shared" si="34"/>
        <v>9238.7000000000007</v>
      </c>
      <c r="Y318">
        <v>15.936644636044672</v>
      </c>
    </row>
    <row r="319" spans="1:26" x14ac:dyDescent="0.25">
      <c r="A319">
        <v>7560</v>
      </c>
      <c r="B319">
        <v>24490</v>
      </c>
      <c r="C319" s="1">
        <v>43264</v>
      </c>
      <c r="F319" s="30"/>
      <c r="G319">
        <v>14.5</v>
      </c>
      <c r="H319">
        <v>12.6</v>
      </c>
      <c r="I319">
        <v>18.100000000000001</v>
      </c>
      <c r="J319">
        <f t="shared" si="36"/>
        <v>2565.0000000000005</v>
      </c>
      <c r="K319">
        <f t="shared" si="37"/>
        <v>152.6</v>
      </c>
      <c r="L319" s="10">
        <f>MAX(I312:I334)</f>
        <v>27.1</v>
      </c>
      <c r="M319">
        <v>0</v>
      </c>
      <c r="N319">
        <v>2.8</v>
      </c>
      <c r="O319">
        <f t="shared" si="35"/>
        <v>-2.8</v>
      </c>
      <c r="Q319">
        <v>283</v>
      </c>
      <c r="R319">
        <f t="shared" si="39"/>
        <v>0.81315789473684208</v>
      </c>
      <c r="S319">
        <f t="shared" si="32"/>
        <v>2.2768421052631576</v>
      </c>
      <c r="T319">
        <f t="shared" si="33"/>
        <v>-2.2768421052631576</v>
      </c>
      <c r="U319">
        <f t="shared" si="38"/>
        <v>36.267288676236085</v>
      </c>
      <c r="V319" s="14">
        <f>MAX(U312:U334)</f>
        <v>38.544130781499241</v>
      </c>
      <c r="W319">
        <v>1200.9000000000001</v>
      </c>
      <c r="X319">
        <f t="shared" si="34"/>
        <v>10439.6</v>
      </c>
      <c r="Y319">
        <v>15.949308307996487</v>
      </c>
    </row>
    <row r="320" spans="1:26" x14ac:dyDescent="0.25">
      <c r="A320">
        <v>7560</v>
      </c>
      <c r="B320">
        <v>24490</v>
      </c>
      <c r="C320" s="1">
        <v>43265</v>
      </c>
      <c r="F320" s="30"/>
      <c r="G320">
        <v>15.5</v>
      </c>
      <c r="H320">
        <v>9.6</v>
      </c>
      <c r="I320">
        <v>20.100000000000001</v>
      </c>
      <c r="J320">
        <f t="shared" si="36"/>
        <v>2580.5000000000005</v>
      </c>
      <c r="K320">
        <f t="shared" si="37"/>
        <v>168.1</v>
      </c>
      <c r="L320" s="27" t="s">
        <v>41</v>
      </c>
      <c r="M320">
        <v>0.9</v>
      </c>
      <c r="N320">
        <v>3.5</v>
      </c>
      <c r="O320">
        <f t="shared" si="35"/>
        <v>-2.6</v>
      </c>
      <c r="Q320">
        <v>284</v>
      </c>
      <c r="R320">
        <f t="shared" si="39"/>
        <v>0.79912280701754379</v>
      </c>
      <c r="S320">
        <f t="shared" si="32"/>
        <v>2.7969298245614032</v>
      </c>
      <c r="T320">
        <f t="shared" si="33"/>
        <v>-1.8969298245614032</v>
      </c>
      <c r="U320">
        <f t="shared" si="38"/>
        <v>34.370358851674681</v>
      </c>
      <c r="V320" s="28" t="s">
        <v>48</v>
      </c>
      <c r="W320">
        <v>2135</v>
      </c>
      <c r="X320">
        <f t="shared" si="34"/>
        <v>12574.6</v>
      </c>
      <c r="Y320">
        <v>15.960553462787148</v>
      </c>
    </row>
    <row r="321" spans="1:25" x14ac:dyDescent="0.25">
      <c r="A321">
        <v>7560</v>
      </c>
      <c r="B321">
        <v>24490</v>
      </c>
      <c r="C321" s="1">
        <v>43266</v>
      </c>
      <c r="F321" s="30"/>
      <c r="G321">
        <v>19</v>
      </c>
      <c r="H321">
        <v>15.5</v>
      </c>
      <c r="I321">
        <v>23.4</v>
      </c>
      <c r="J321">
        <f t="shared" si="36"/>
        <v>2599.5000000000005</v>
      </c>
      <c r="K321">
        <f t="shared" si="37"/>
        <v>187.1</v>
      </c>
      <c r="L321" s="10">
        <v>8</v>
      </c>
      <c r="M321">
        <v>0</v>
      </c>
      <c r="N321">
        <v>4.0999999999999996</v>
      </c>
      <c r="O321">
        <f t="shared" si="35"/>
        <v>-4.0999999999999996</v>
      </c>
      <c r="Q321">
        <v>285</v>
      </c>
      <c r="R321">
        <f t="shared" si="39"/>
        <v>0.7850877192982455</v>
      </c>
      <c r="S321">
        <f t="shared" si="32"/>
        <v>3.2188596491228063</v>
      </c>
      <c r="T321">
        <f t="shared" si="33"/>
        <v>-3.2188596491228063</v>
      </c>
      <c r="U321">
        <f t="shared" si="38"/>
        <v>31.151499202551875</v>
      </c>
      <c r="V321" s="14">
        <f>AVERAGE(U312:U334)</f>
        <v>22.194931003397858</v>
      </c>
      <c r="W321">
        <v>2046.9</v>
      </c>
      <c r="X321">
        <f t="shared" si="34"/>
        <v>14621.5</v>
      </c>
      <c r="Y321">
        <v>15.97036976286069</v>
      </c>
    </row>
    <row r="322" spans="1:25" x14ac:dyDescent="0.25">
      <c r="A322">
        <v>7560</v>
      </c>
      <c r="B322">
        <v>24490</v>
      </c>
      <c r="C322" s="1">
        <v>43267</v>
      </c>
      <c r="F322" s="30"/>
      <c r="G322">
        <v>17.7</v>
      </c>
      <c r="H322">
        <v>14.3</v>
      </c>
      <c r="I322">
        <v>21.3</v>
      </c>
      <c r="J322">
        <f t="shared" si="36"/>
        <v>2617.2000000000003</v>
      </c>
      <c r="K322">
        <f t="shared" si="37"/>
        <v>204.79999999999998</v>
      </c>
      <c r="L322" s="27" t="s">
        <v>42</v>
      </c>
      <c r="M322">
        <v>0.2</v>
      </c>
      <c r="N322">
        <v>3.2</v>
      </c>
      <c r="O322">
        <f t="shared" si="35"/>
        <v>-3</v>
      </c>
      <c r="Q322">
        <v>286</v>
      </c>
      <c r="R322">
        <f t="shared" si="39"/>
        <v>0.77105263157894732</v>
      </c>
      <c r="S322">
        <f t="shared" si="32"/>
        <v>2.4673684210526314</v>
      </c>
      <c r="T322">
        <f t="shared" si="33"/>
        <v>-2.2673684210526313</v>
      </c>
      <c r="U322">
        <f t="shared" si="38"/>
        <v>28.884130781499245</v>
      </c>
      <c r="W322">
        <v>1745.1</v>
      </c>
      <c r="X322">
        <f t="shared" si="34"/>
        <v>16366.6</v>
      </c>
      <c r="Y322">
        <v>15.97874812741154</v>
      </c>
    </row>
    <row r="323" spans="1:25" x14ac:dyDescent="0.25">
      <c r="A323">
        <v>7560</v>
      </c>
      <c r="B323">
        <v>24490</v>
      </c>
      <c r="C323" s="1">
        <v>43268</v>
      </c>
      <c r="F323" s="30"/>
      <c r="G323">
        <v>16.3</v>
      </c>
      <c r="H323">
        <v>13.2</v>
      </c>
      <c r="I323">
        <v>19.7</v>
      </c>
      <c r="J323">
        <f t="shared" si="36"/>
        <v>2633.5000000000005</v>
      </c>
      <c r="K323">
        <f t="shared" si="37"/>
        <v>221.1</v>
      </c>
      <c r="L323" s="10">
        <v>0</v>
      </c>
      <c r="M323">
        <v>0</v>
      </c>
      <c r="N323">
        <v>3.1</v>
      </c>
      <c r="O323">
        <f t="shared" si="35"/>
        <v>-3.1</v>
      </c>
      <c r="Q323">
        <v>287</v>
      </c>
      <c r="R323">
        <f t="shared" si="39"/>
        <v>0.75701754385964914</v>
      </c>
      <c r="S323">
        <f t="shared" si="32"/>
        <v>2.3467543859649123</v>
      </c>
      <c r="T323">
        <f t="shared" si="33"/>
        <v>-2.3467543859649123</v>
      </c>
      <c r="U323">
        <f t="shared" si="38"/>
        <v>26.537376395534331</v>
      </c>
      <c r="V323" s="15">
        <f>(V321*100)/153.9</f>
        <v>14.421657572058388</v>
      </c>
      <c r="W323">
        <v>1682.6</v>
      </c>
      <c r="X323">
        <f t="shared" si="34"/>
        <v>18049.2</v>
      </c>
      <c r="Y323">
        <v>15.985680763714312</v>
      </c>
    </row>
    <row r="324" spans="1:25" x14ac:dyDescent="0.25">
      <c r="A324">
        <v>7560</v>
      </c>
      <c r="B324">
        <v>24490</v>
      </c>
      <c r="C324" s="1">
        <v>43269</v>
      </c>
      <c r="F324" s="30"/>
      <c r="G324">
        <v>17.5</v>
      </c>
      <c r="H324">
        <v>11.3</v>
      </c>
      <c r="I324">
        <v>22.2</v>
      </c>
      <c r="J324">
        <f t="shared" si="36"/>
        <v>2651.0000000000005</v>
      </c>
      <c r="K324">
        <f t="shared" si="37"/>
        <v>238.6</v>
      </c>
      <c r="L324" s="27" t="s">
        <v>43</v>
      </c>
      <c r="M324">
        <v>0</v>
      </c>
      <c r="N324">
        <v>1.7</v>
      </c>
      <c r="O324">
        <f t="shared" si="35"/>
        <v>-1.7</v>
      </c>
      <c r="Q324">
        <v>288</v>
      </c>
      <c r="R324">
        <f t="shared" si="39"/>
        <v>0.74298245614035086</v>
      </c>
      <c r="S324">
        <f t="shared" si="32"/>
        <v>1.2630701754385965</v>
      </c>
      <c r="T324">
        <f t="shared" si="33"/>
        <v>-1.2630701754385965</v>
      </c>
      <c r="U324">
        <f t="shared" si="38"/>
        <v>25.274306220095735</v>
      </c>
      <c r="W324">
        <v>825.6</v>
      </c>
      <c r="X324">
        <f t="shared" si="34"/>
        <v>18874.8</v>
      </c>
      <c r="Y324">
        <v>15.991161194241418</v>
      </c>
    </row>
    <row r="325" spans="1:25" x14ac:dyDescent="0.25">
      <c r="A325">
        <v>7560</v>
      </c>
      <c r="B325">
        <v>24490</v>
      </c>
      <c r="C325" s="1">
        <v>43270</v>
      </c>
      <c r="F325" s="30"/>
      <c r="G325">
        <v>18.5</v>
      </c>
      <c r="H325">
        <v>14.3</v>
      </c>
      <c r="I325">
        <v>23.1</v>
      </c>
      <c r="J325">
        <f t="shared" si="36"/>
        <v>2669.5000000000005</v>
      </c>
      <c r="K325">
        <f t="shared" si="37"/>
        <v>257.10000000000002</v>
      </c>
      <c r="L325" s="21">
        <v>0</v>
      </c>
      <c r="M325">
        <v>0.1</v>
      </c>
      <c r="N325">
        <v>1.9</v>
      </c>
      <c r="O325">
        <f t="shared" si="35"/>
        <v>-1.7999999999999998</v>
      </c>
      <c r="Q325">
        <v>289</v>
      </c>
      <c r="R325">
        <f t="shared" si="39"/>
        <v>0.72894736842105257</v>
      </c>
      <c r="S325">
        <f t="shared" ref="S325:S367" si="40">R325*N325</f>
        <v>1.3849999999999998</v>
      </c>
      <c r="T325">
        <f t="shared" ref="T325:T367" si="41">M325-S325</f>
        <v>-1.2849999999999997</v>
      </c>
      <c r="U325">
        <f t="shared" si="38"/>
        <v>23.989306220095735</v>
      </c>
      <c r="W325">
        <v>663.4</v>
      </c>
      <c r="X325">
        <f t="shared" si="34"/>
        <v>19538.2</v>
      </c>
      <c r="Y325">
        <v>15.995184279367107</v>
      </c>
    </row>
    <row r="326" spans="1:25" x14ac:dyDescent="0.25">
      <c r="A326">
        <v>7560</v>
      </c>
      <c r="B326">
        <v>24490</v>
      </c>
      <c r="C326" s="1">
        <v>43271</v>
      </c>
      <c r="F326" s="30"/>
      <c r="G326">
        <v>21.5</v>
      </c>
      <c r="H326">
        <v>15.6</v>
      </c>
      <c r="I326">
        <v>27.1</v>
      </c>
      <c r="J326">
        <f t="shared" si="36"/>
        <v>2691.0000000000005</v>
      </c>
      <c r="K326">
        <f t="shared" si="37"/>
        <v>278.60000000000002</v>
      </c>
      <c r="M326">
        <v>0</v>
      </c>
      <c r="N326">
        <v>6.2</v>
      </c>
      <c r="O326">
        <f t="shared" si="35"/>
        <v>-6.2</v>
      </c>
      <c r="Q326">
        <v>290</v>
      </c>
      <c r="R326">
        <f t="shared" si="39"/>
        <v>0.71491228070175428</v>
      </c>
      <c r="S326">
        <f t="shared" si="40"/>
        <v>4.4324561403508769</v>
      </c>
      <c r="T326">
        <f t="shared" si="41"/>
        <v>-4.4324561403508769</v>
      </c>
      <c r="U326">
        <f t="shared" si="38"/>
        <v>19.556850079744859</v>
      </c>
      <c r="W326">
        <v>2930.1</v>
      </c>
      <c r="X326">
        <f t="shared" ref="X326:X367" si="42">X325+W326</f>
        <v>22468.3</v>
      </c>
      <c r="Y326">
        <v>15.997746235487535</v>
      </c>
    </row>
    <row r="327" spans="1:25" x14ac:dyDescent="0.25">
      <c r="A327">
        <v>7560</v>
      </c>
      <c r="B327">
        <v>24490</v>
      </c>
      <c r="C327" s="1">
        <v>43272</v>
      </c>
      <c r="F327" s="30"/>
      <c r="G327">
        <v>16.8</v>
      </c>
      <c r="H327">
        <v>17.100000000000001</v>
      </c>
      <c r="I327">
        <v>20.2</v>
      </c>
      <c r="J327">
        <f t="shared" si="36"/>
        <v>2707.8000000000006</v>
      </c>
      <c r="K327">
        <f t="shared" si="37"/>
        <v>295.40000000000003</v>
      </c>
      <c r="M327">
        <v>0</v>
      </c>
      <c r="N327">
        <v>3.8</v>
      </c>
      <c r="O327">
        <f t="shared" si="35"/>
        <v>-3.8</v>
      </c>
      <c r="Q327">
        <v>291</v>
      </c>
      <c r="R327">
        <f t="shared" si="39"/>
        <v>0.7008771929824561</v>
      </c>
      <c r="S327">
        <f t="shared" si="40"/>
        <v>2.6633333333333331</v>
      </c>
      <c r="T327">
        <f t="shared" si="41"/>
        <v>-2.6633333333333331</v>
      </c>
      <c r="U327">
        <f t="shared" si="38"/>
        <v>16.893516746411525</v>
      </c>
      <c r="W327">
        <v>1306.3</v>
      </c>
      <c r="X327">
        <f t="shared" si="42"/>
        <v>23774.6</v>
      </c>
      <c r="Y327">
        <v>15.998844648419796</v>
      </c>
    </row>
    <row r="328" spans="1:25" x14ac:dyDescent="0.25">
      <c r="A328">
        <v>7560</v>
      </c>
      <c r="B328">
        <v>24490</v>
      </c>
      <c r="C328" s="1">
        <v>43273</v>
      </c>
      <c r="F328" s="30"/>
      <c r="G328">
        <v>14.1</v>
      </c>
      <c r="H328">
        <v>8.4</v>
      </c>
      <c r="I328">
        <v>18.8</v>
      </c>
      <c r="J328">
        <f t="shared" si="36"/>
        <v>2721.9000000000005</v>
      </c>
      <c r="K328">
        <f t="shared" si="37"/>
        <v>309.50000000000006</v>
      </c>
      <c r="M328">
        <v>0</v>
      </c>
      <c r="N328">
        <v>4.0999999999999996</v>
      </c>
      <c r="O328">
        <f t="shared" ref="O328:O367" si="43">M328-N328</f>
        <v>-4.0999999999999996</v>
      </c>
      <c r="Q328">
        <v>292</v>
      </c>
      <c r="R328">
        <f t="shared" si="39"/>
        <v>0.68684210526315781</v>
      </c>
      <c r="S328">
        <f t="shared" si="40"/>
        <v>2.8160526315789469</v>
      </c>
      <c r="T328">
        <f t="shared" si="41"/>
        <v>-2.8160526315789469</v>
      </c>
      <c r="U328">
        <f t="shared" si="38"/>
        <v>14.077464114832578</v>
      </c>
      <c r="W328">
        <v>1996.3</v>
      </c>
      <c r="X328">
        <f t="shared" si="42"/>
        <v>25770.899999999998</v>
      </c>
      <c r="Y328">
        <v>15.998478481977806</v>
      </c>
    </row>
    <row r="329" spans="1:25" x14ac:dyDescent="0.25">
      <c r="A329">
        <v>7560</v>
      </c>
      <c r="B329">
        <v>24490</v>
      </c>
      <c r="C329" s="1">
        <v>43274</v>
      </c>
      <c r="F329" s="30"/>
      <c r="G329">
        <v>15</v>
      </c>
      <c r="H329">
        <v>8.4</v>
      </c>
      <c r="I329">
        <v>19.5</v>
      </c>
      <c r="J329">
        <f t="shared" si="36"/>
        <v>2736.9000000000005</v>
      </c>
      <c r="K329">
        <f t="shared" si="37"/>
        <v>324.50000000000006</v>
      </c>
      <c r="M329">
        <v>0</v>
      </c>
      <c r="N329">
        <v>4.7</v>
      </c>
      <c r="O329">
        <f t="shared" si="43"/>
        <v>-4.7</v>
      </c>
      <c r="Q329">
        <v>293</v>
      </c>
      <c r="R329">
        <f t="shared" si="39"/>
        <v>0.67280701754385963</v>
      </c>
      <c r="S329">
        <f t="shared" si="40"/>
        <v>3.1621929824561406</v>
      </c>
      <c r="T329">
        <f t="shared" si="41"/>
        <v>-3.1621929824561406</v>
      </c>
      <c r="U329">
        <f t="shared" si="38"/>
        <v>10.915271132376438</v>
      </c>
      <c r="W329">
        <v>2953.2</v>
      </c>
      <c r="X329">
        <f t="shared" si="42"/>
        <v>28724.1</v>
      </c>
      <c r="Y329">
        <v>15.996648081659464</v>
      </c>
    </row>
    <row r="330" spans="1:25" x14ac:dyDescent="0.25">
      <c r="A330">
        <v>7560</v>
      </c>
      <c r="B330">
        <v>24490</v>
      </c>
      <c r="C330" s="1">
        <v>43275</v>
      </c>
      <c r="F330" s="30"/>
      <c r="G330">
        <v>16.399999999999999</v>
      </c>
      <c r="H330">
        <v>12</v>
      </c>
      <c r="I330">
        <v>20.8</v>
      </c>
      <c r="J330">
        <f t="shared" si="36"/>
        <v>2753.3000000000006</v>
      </c>
      <c r="K330">
        <f t="shared" si="37"/>
        <v>340.90000000000003</v>
      </c>
      <c r="M330">
        <v>0</v>
      </c>
      <c r="N330">
        <v>5</v>
      </c>
      <c r="O330">
        <f t="shared" si="43"/>
        <v>-5</v>
      </c>
      <c r="Q330">
        <v>294</v>
      </c>
      <c r="R330">
        <f t="shared" si="39"/>
        <v>0.65877192982456134</v>
      </c>
      <c r="S330">
        <f t="shared" si="40"/>
        <v>3.2938596491228065</v>
      </c>
      <c r="T330">
        <f t="shared" si="41"/>
        <v>-3.2938596491228065</v>
      </c>
      <c r="U330">
        <f t="shared" si="38"/>
        <v>7.621411483253631</v>
      </c>
      <c r="W330">
        <v>2604.4</v>
      </c>
      <c r="X330">
        <f t="shared" si="42"/>
        <v>31328.5</v>
      </c>
      <c r="Y330">
        <v>15.993355173416802</v>
      </c>
    </row>
    <row r="331" spans="1:25" x14ac:dyDescent="0.25">
      <c r="A331">
        <v>7560</v>
      </c>
      <c r="B331">
        <v>24490</v>
      </c>
      <c r="C331" s="1">
        <v>43276</v>
      </c>
      <c r="F331" s="30"/>
      <c r="G331">
        <v>17.600000000000001</v>
      </c>
      <c r="H331">
        <v>11.8</v>
      </c>
      <c r="I331">
        <v>22.2</v>
      </c>
      <c r="J331">
        <f t="shared" si="36"/>
        <v>2770.9000000000005</v>
      </c>
      <c r="K331">
        <f t="shared" si="37"/>
        <v>358.50000000000006</v>
      </c>
      <c r="M331">
        <v>0</v>
      </c>
      <c r="N331">
        <v>3.4</v>
      </c>
      <c r="O331">
        <f t="shared" si="43"/>
        <v>-3.4</v>
      </c>
      <c r="Q331">
        <v>295</v>
      </c>
      <c r="R331">
        <f t="shared" si="39"/>
        <v>0.64473684210526316</v>
      </c>
      <c r="S331">
        <f t="shared" si="40"/>
        <v>2.1921052631578948</v>
      </c>
      <c r="T331">
        <f t="shared" si="41"/>
        <v>-2.1921052631578948</v>
      </c>
      <c r="U331">
        <f t="shared" si="38"/>
        <v>5.4293062200957358</v>
      </c>
      <c r="W331">
        <v>1615.3</v>
      </c>
      <c r="X331">
        <f t="shared" si="42"/>
        <v>32943.800000000003</v>
      </c>
      <c r="Y331">
        <v>15.988602857518607</v>
      </c>
    </row>
    <row r="332" spans="1:25" x14ac:dyDescent="0.25">
      <c r="A332">
        <v>7560</v>
      </c>
      <c r="B332">
        <v>24490</v>
      </c>
      <c r="C332" s="1">
        <v>43277</v>
      </c>
      <c r="F332" s="30"/>
      <c r="G332">
        <v>19.8</v>
      </c>
      <c r="H332">
        <v>13.5</v>
      </c>
      <c r="I332">
        <v>25.3</v>
      </c>
      <c r="J332">
        <f t="shared" si="36"/>
        <v>2790.7000000000007</v>
      </c>
      <c r="K332">
        <f t="shared" si="37"/>
        <v>378.30000000000007</v>
      </c>
      <c r="M332">
        <v>0</v>
      </c>
      <c r="N332">
        <v>6.8</v>
      </c>
      <c r="O332">
        <f t="shared" si="43"/>
        <v>-6.8</v>
      </c>
      <c r="Q332">
        <v>296</v>
      </c>
      <c r="R332">
        <f t="shared" si="39"/>
        <v>0.63070175438596487</v>
      </c>
      <c r="S332">
        <f t="shared" si="40"/>
        <v>4.288771929824561</v>
      </c>
      <c r="T332">
        <f t="shared" si="41"/>
        <v>-4.288771929824561</v>
      </c>
      <c r="U332">
        <f t="shared" si="38"/>
        <v>1.1405342902711748</v>
      </c>
      <c r="W332">
        <v>3283.8</v>
      </c>
      <c r="X332">
        <f t="shared" si="42"/>
        <v>36227.600000000006</v>
      </c>
      <c r="Y332">
        <v>15.98239559755242</v>
      </c>
    </row>
    <row r="333" spans="1:25" x14ac:dyDescent="0.25">
      <c r="A333">
        <v>7560</v>
      </c>
      <c r="B333">
        <v>24490</v>
      </c>
      <c r="C333" s="1">
        <v>43278</v>
      </c>
      <c r="F333" s="30"/>
      <c r="G333">
        <v>21.1</v>
      </c>
      <c r="H333">
        <v>13.8</v>
      </c>
      <c r="I333">
        <v>26.8</v>
      </c>
      <c r="J333">
        <f t="shared" si="36"/>
        <v>2811.8000000000006</v>
      </c>
      <c r="K333">
        <f t="shared" si="37"/>
        <v>399.40000000000009</v>
      </c>
      <c r="M333">
        <v>0</v>
      </c>
      <c r="N333">
        <v>7</v>
      </c>
      <c r="O333">
        <f t="shared" si="43"/>
        <v>-7</v>
      </c>
      <c r="Q333">
        <v>297</v>
      </c>
      <c r="R333">
        <f t="shared" si="39"/>
        <v>0.6166666666666667</v>
      </c>
      <c r="S333">
        <f t="shared" si="40"/>
        <v>4.3166666666666664</v>
      </c>
      <c r="T333">
        <f t="shared" si="41"/>
        <v>-4.3166666666666664</v>
      </c>
      <c r="U333">
        <v>0</v>
      </c>
      <c r="W333">
        <v>3313.6</v>
      </c>
      <c r="X333">
        <f t="shared" si="42"/>
        <v>39541.200000000004</v>
      </c>
      <c r="Y333">
        <v>15.97473920465004</v>
      </c>
    </row>
    <row r="334" spans="1:25" s="6" customFormat="1" ht="15.75" thickBot="1" x14ac:dyDescent="0.3">
      <c r="A334" s="6">
        <v>7560</v>
      </c>
      <c r="B334" s="6">
        <v>24490</v>
      </c>
      <c r="C334" s="7">
        <v>43279</v>
      </c>
      <c r="D334" s="6">
        <v>1000</v>
      </c>
      <c r="F334" s="31"/>
      <c r="G334" s="6">
        <v>21.3</v>
      </c>
      <c r="H334" s="6">
        <v>16.2</v>
      </c>
      <c r="I334" s="6">
        <v>26</v>
      </c>
      <c r="J334" s="6">
        <f t="shared" si="36"/>
        <v>2833.1000000000008</v>
      </c>
      <c r="K334" s="6">
        <f t="shared" si="37"/>
        <v>420.7000000000001</v>
      </c>
      <c r="M334" s="6">
        <v>0</v>
      </c>
      <c r="N334" s="6">
        <v>7.8</v>
      </c>
      <c r="O334" s="6">
        <f t="shared" si="43"/>
        <v>-7.8</v>
      </c>
      <c r="Q334" s="6">
        <v>298</v>
      </c>
      <c r="R334" s="6">
        <f t="shared" si="39"/>
        <v>0.60263157894736841</v>
      </c>
      <c r="S334" s="6">
        <f t="shared" si="40"/>
        <v>4.7005263157894737</v>
      </c>
      <c r="T334" s="6">
        <f t="shared" si="41"/>
        <v>-4.7005263157894737</v>
      </c>
      <c r="U334" s="6">
        <v>0</v>
      </c>
      <c r="W334" s="6">
        <v>3317.8</v>
      </c>
      <c r="X334" s="6">
        <f t="shared" si="42"/>
        <v>42859.000000000007</v>
      </c>
      <c r="Y334" s="6">
        <v>15.965640817056178</v>
      </c>
    </row>
    <row r="335" spans="1:25" x14ac:dyDescent="0.25">
      <c r="A335">
        <v>7560</v>
      </c>
      <c r="B335">
        <v>24490</v>
      </c>
      <c r="C335" s="1">
        <v>43280</v>
      </c>
      <c r="G335">
        <v>22.8</v>
      </c>
      <c r="H335">
        <v>16.8</v>
      </c>
      <c r="I335">
        <v>27.7</v>
      </c>
      <c r="J335">
        <f t="shared" si="36"/>
        <v>2855.900000000001</v>
      </c>
      <c r="K335">
        <f>G335</f>
        <v>22.8</v>
      </c>
      <c r="M335">
        <v>0</v>
      </c>
      <c r="N335">
        <v>5.5</v>
      </c>
      <c r="O335">
        <f t="shared" si="43"/>
        <v>-5.5</v>
      </c>
      <c r="Q335">
        <v>299</v>
      </c>
      <c r="R335">
        <f t="shared" si="39"/>
        <v>0.58859649122807012</v>
      </c>
      <c r="S335">
        <f t="shared" si="40"/>
        <v>3.2372807017543854</v>
      </c>
      <c r="T335">
        <f t="shared" si="41"/>
        <v>-3.2372807017543854</v>
      </c>
      <c r="U335">
        <v>0</v>
      </c>
      <c r="W335">
        <v>1932.1</v>
      </c>
      <c r="X335">
        <f>W335</f>
        <v>1932.1</v>
      </c>
      <c r="Y335">
        <v>15.95510887519433</v>
      </c>
    </row>
    <row r="336" spans="1:25" x14ac:dyDescent="0.25">
      <c r="A336">
        <v>7560</v>
      </c>
      <c r="B336">
        <v>24490</v>
      </c>
      <c r="C336" s="1">
        <v>43281</v>
      </c>
      <c r="G336">
        <v>25.2</v>
      </c>
      <c r="H336">
        <v>18</v>
      </c>
      <c r="I336">
        <v>31</v>
      </c>
      <c r="J336">
        <f t="shared" si="36"/>
        <v>2881.1000000000008</v>
      </c>
      <c r="K336">
        <f t="shared" si="37"/>
        <v>48</v>
      </c>
      <c r="M336">
        <v>0</v>
      </c>
      <c r="N336">
        <v>6.8</v>
      </c>
      <c r="O336">
        <f t="shared" si="43"/>
        <v>-6.8</v>
      </c>
      <c r="Q336">
        <v>300</v>
      </c>
      <c r="R336">
        <f t="shared" si="39"/>
        <v>0.57456140350877183</v>
      </c>
      <c r="S336">
        <f t="shared" si="40"/>
        <v>3.9070175438596482</v>
      </c>
      <c r="T336">
        <f t="shared" si="41"/>
        <v>-3.9070175438596482</v>
      </c>
      <c r="U336">
        <v>0</v>
      </c>
      <c r="W336">
        <v>2453.6999999999998</v>
      </c>
      <c r="X336">
        <f t="shared" si="42"/>
        <v>4385.7999999999993</v>
      </c>
      <c r="Y336">
        <v>15.9431530924161</v>
      </c>
    </row>
    <row r="337" spans="1:25" x14ac:dyDescent="0.25">
      <c r="A337">
        <v>7560</v>
      </c>
      <c r="B337">
        <v>24490</v>
      </c>
      <c r="C337" s="1">
        <v>43282</v>
      </c>
      <c r="G337">
        <v>24.8</v>
      </c>
      <c r="H337">
        <v>20.6</v>
      </c>
      <c r="I337">
        <v>30.3</v>
      </c>
      <c r="J337">
        <f t="shared" si="36"/>
        <v>2905.900000000001</v>
      </c>
      <c r="K337">
        <f t="shared" si="37"/>
        <v>72.8</v>
      </c>
      <c r="M337">
        <v>0</v>
      </c>
      <c r="N337">
        <v>9</v>
      </c>
      <c r="O337">
        <f t="shared" si="43"/>
        <v>-9</v>
      </c>
      <c r="Q337">
        <v>301</v>
      </c>
      <c r="R337">
        <f t="shared" si="39"/>
        <v>0.56052631578947365</v>
      </c>
      <c r="S337">
        <f t="shared" si="40"/>
        <v>5.0447368421052632</v>
      </c>
      <c r="T337">
        <f t="shared" si="41"/>
        <v>-5.0447368421052632</v>
      </c>
      <c r="U337">
        <v>0</v>
      </c>
      <c r="W337">
        <v>2911.4</v>
      </c>
      <c r="X337">
        <f t="shared" si="42"/>
        <v>7297.1999999999989</v>
      </c>
      <c r="Y337">
        <v>15.929784421649781</v>
      </c>
    </row>
    <row r="338" spans="1:25" x14ac:dyDescent="0.25">
      <c r="A338">
        <v>7560</v>
      </c>
      <c r="B338">
        <v>24490</v>
      </c>
      <c r="C338" s="1">
        <v>43283</v>
      </c>
      <c r="G338">
        <v>21.2</v>
      </c>
      <c r="H338">
        <v>17.5</v>
      </c>
      <c r="I338">
        <v>27.1</v>
      </c>
      <c r="J338">
        <f t="shared" si="36"/>
        <v>2927.1000000000008</v>
      </c>
      <c r="K338">
        <f t="shared" si="37"/>
        <v>94</v>
      </c>
      <c r="M338">
        <v>1.1000000000000001</v>
      </c>
      <c r="N338">
        <v>5.8</v>
      </c>
      <c r="O338">
        <f t="shared" si="43"/>
        <v>-4.6999999999999993</v>
      </c>
      <c r="Q338">
        <v>302</v>
      </c>
      <c r="R338">
        <f t="shared" si="39"/>
        <v>0.54649122807017536</v>
      </c>
      <c r="S338">
        <f t="shared" si="40"/>
        <v>3.1696491228070172</v>
      </c>
      <c r="T338">
        <f t="shared" si="41"/>
        <v>-2.0696491228070171</v>
      </c>
      <c r="U338">
        <v>0</v>
      </c>
      <c r="W338">
        <v>2022.6</v>
      </c>
      <c r="X338">
        <f t="shared" si="42"/>
        <v>9319.7999999999993</v>
      </c>
      <c r="Y338">
        <v>15.915015018191244</v>
      </c>
    </row>
    <row r="339" spans="1:25" x14ac:dyDescent="0.25">
      <c r="A339">
        <v>7560</v>
      </c>
      <c r="B339">
        <v>24490</v>
      </c>
      <c r="C339" s="1">
        <v>43284</v>
      </c>
      <c r="G339">
        <v>22.7</v>
      </c>
      <c r="H339">
        <v>18.5</v>
      </c>
      <c r="I339">
        <v>28.5</v>
      </c>
      <c r="J339">
        <f t="shared" si="36"/>
        <v>2949.8000000000006</v>
      </c>
      <c r="K339">
        <f t="shared" si="37"/>
        <v>116.7</v>
      </c>
      <c r="M339">
        <v>1.8</v>
      </c>
      <c r="N339">
        <v>5</v>
      </c>
      <c r="O339">
        <f t="shared" si="43"/>
        <v>-3.2</v>
      </c>
      <c r="Q339">
        <v>303</v>
      </c>
      <c r="R339">
        <f t="shared" si="39"/>
        <v>0.53245614035087718</v>
      </c>
      <c r="S339">
        <f t="shared" si="40"/>
        <v>2.6622807017543861</v>
      </c>
      <c r="T339">
        <f t="shared" si="41"/>
        <v>-0.86228070175438609</v>
      </c>
      <c r="U339">
        <v>0</v>
      </c>
      <c r="W339">
        <v>2025.2</v>
      </c>
      <c r="X339">
        <f t="shared" si="42"/>
        <v>11345</v>
      </c>
      <c r="Y339">
        <v>15.89885819890385</v>
      </c>
    </row>
    <row r="340" spans="1:25" x14ac:dyDescent="0.25">
      <c r="A340">
        <v>7560</v>
      </c>
      <c r="B340">
        <v>24490</v>
      </c>
      <c r="C340" s="1">
        <v>43285</v>
      </c>
      <c r="G340">
        <v>23.5</v>
      </c>
      <c r="H340">
        <v>17.899999999999999</v>
      </c>
      <c r="I340">
        <v>28.7</v>
      </c>
      <c r="J340">
        <f t="shared" si="36"/>
        <v>2973.3000000000006</v>
      </c>
      <c r="K340">
        <f t="shared" si="37"/>
        <v>140.19999999999999</v>
      </c>
      <c r="M340">
        <v>2.5</v>
      </c>
      <c r="N340">
        <v>4.5</v>
      </c>
      <c r="O340">
        <f t="shared" si="43"/>
        <v>-2</v>
      </c>
      <c r="Q340">
        <v>304</v>
      </c>
      <c r="R340">
        <f t="shared" si="39"/>
        <v>0.51842105263157889</v>
      </c>
      <c r="S340">
        <f t="shared" si="40"/>
        <v>2.3328947368421051</v>
      </c>
      <c r="T340">
        <f t="shared" si="41"/>
        <v>0.16710526315789487</v>
      </c>
      <c r="U340">
        <f t="shared" si="38"/>
        <v>0.16710526315789487</v>
      </c>
      <c r="W340">
        <v>1877.3</v>
      </c>
      <c r="X340">
        <f t="shared" si="42"/>
        <v>13222.3</v>
      </c>
      <c r="Y340">
        <v>15.881328398114858</v>
      </c>
    </row>
    <row r="341" spans="1:25" x14ac:dyDescent="0.25">
      <c r="A341">
        <v>7560</v>
      </c>
      <c r="B341">
        <v>24490</v>
      </c>
      <c r="C341" s="1">
        <v>43286</v>
      </c>
      <c r="G341">
        <v>19.2</v>
      </c>
      <c r="H341">
        <v>17.3</v>
      </c>
      <c r="I341">
        <v>21.6</v>
      </c>
      <c r="J341">
        <f t="shared" si="36"/>
        <v>2992.5000000000005</v>
      </c>
      <c r="K341">
        <f t="shared" si="37"/>
        <v>159.39999999999998</v>
      </c>
      <c r="M341">
        <v>0.6</v>
      </c>
      <c r="N341">
        <v>2</v>
      </c>
      <c r="O341">
        <f t="shared" si="43"/>
        <v>-1.4</v>
      </c>
      <c r="Q341">
        <v>305</v>
      </c>
      <c r="R341">
        <f t="shared" si="39"/>
        <v>0.50438596491228072</v>
      </c>
      <c r="S341">
        <f t="shared" si="40"/>
        <v>1.0087719298245614</v>
      </c>
      <c r="T341">
        <f t="shared" si="41"/>
        <v>-0.40877192982456145</v>
      </c>
      <c r="U341">
        <v>0</v>
      </c>
      <c r="W341">
        <v>955.6</v>
      </c>
      <c r="X341">
        <f t="shared" si="42"/>
        <v>14177.9</v>
      </c>
      <c r="Y341">
        <v>15.862441120512898</v>
      </c>
    </row>
    <row r="342" spans="1:25" x14ac:dyDescent="0.25">
      <c r="A342">
        <v>7560</v>
      </c>
      <c r="B342">
        <v>24490</v>
      </c>
      <c r="C342" s="1">
        <v>43287</v>
      </c>
      <c r="G342">
        <v>21.8</v>
      </c>
      <c r="H342">
        <v>16.899999999999999</v>
      </c>
      <c r="I342">
        <v>27.1</v>
      </c>
      <c r="J342">
        <f t="shared" si="36"/>
        <v>3014.3000000000006</v>
      </c>
      <c r="K342">
        <f t="shared" si="37"/>
        <v>181.2</v>
      </c>
      <c r="M342">
        <v>0</v>
      </c>
      <c r="N342">
        <v>5.4</v>
      </c>
      <c r="O342">
        <f t="shared" si="43"/>
        <v>-5.4</v>
      </c>
      <c r="Q342">
        <v>306</v>
      </c>
      <c r="R342">
        <f t="shared" si="39"/>
        <v>0.49035087719298243</v>
      </c>
      <c r="S342">
        <f t="shared" si="40"/>
        <v>2.6478947368421051</v>
      </c>
      <c r="T342">
        <f t="shared" si="41"/>
        <v>-2.6478947368421051</v>
      </c>
      <c r="U342">
        <v>0</v>
      </c>
      <c r="W342">
        <v>2284.5</v>
      </c>
      <c r="X342">
        <f t="shared" si="42"/>
        <v>16462.400000000001</v>
      </c>
      <c r="Y342">
        <v>15.842212891364669</v>
      </c>
    </row>
    <row r="343" spans="1:25" x14ac:dyDescent="0.25">
      <c r="A343">
        <v>7560</v>
      </c>
      <c r="B343">
        <v>24490</v>
      </c>
      <c r="C343" s="1">
        <v>43288</v>
      </c>
      <c r="G343">
        <v>23.1</v>
      </c>
      <c r="H343">
        <v>16.8</v>
      </c>
      <c r="I343">
        <v>28.5</v>
      </c>
      <c r="J343">
        <f t="shared" si="36"/>
        <v>3037.4000000000005</v>
      </c>
      <c r="K343">
        <f t="shared" si="37"/>
        <v>204.29999999999998</v>
      </c>
      <c r="M343">
        <v>0</v>
      </c>
      <c r="N343">
        <v>5.9</v>
      </c>
      <c r="O343">
        <f t="shared" si="43"/>
        <v>-5.9</v>
      </c>
      <c r="Q343">
        <v>307</v>
      </c>
      <c r="R343">
        <f t="shared" si="39"/>
        <v>0.47631578947368425</v>
      </c>
      <c r="S343">
        <f t="shared" si="40"/>
        <v>2.8102631578947372</v>
      </c>
      <c r="T343">
        <f t="shared" si="41"/>
        <v>-2.8102631578947372</v>
      </c>
      <c r="U343">
        <v>0</v>
      </c>
      <c r="W343">
        <v>2388.6</v>
      </c>
      <c r="X343">
        <f t="shared" si="42"/>
        <v>18851</v>
      </c>
      <c r="Y343">
        <v>15.820661204379027</v>
      </c>
    </row>
    <row r="344" spans="1:25" x14ac:dyDescent="0.25">
      <c r="A344">
        <v>7560</v>
      </c>
      <c r="B344">
        <v>24490</v>
      </c>
      <c r="C344" s="1">
        <v>43289</v>
      </c>
      <c r="G344">
        <v>21.8</v>
      </c>
      <c r="H344">
        <v>16.899999999999999</v>
      </c>
      <c r="I344">
        <v>26.7</v>
      </c>
      <c r="J344">
        <f t="shared" si="36"/>
        <v>3059.2000000000007</v>
      </c>
      <c r="K344">
        <f t="shared" si="37"/>
        <v>226.1</v>
      </c>
      <c r="M344">
        <v>0</v>
      </c>
      <c r="N344">
        <v>5.5</v>
      </c>
      <c r="O344">
        <f t="shared" si="43"/>
        <v>-5.5</v>
      </c>
      <c r="Q344">
        <v>308</v>
      </c>
      <c r="R344">
        <f t="shared" si="39"/>
        <v>0.46228070175438596</v>
      </c>
      <c r="S344">
        <f t="shared" si="40"/>
        <v>2.5425438596491228</v>
      </c>
      <c r="T344">
        <f t="shared" si="41"/>
        <v>-2.5425438596491228</v>
      </c>
      <c r="U344">
        <v>0</v>
      </c>
      <c r="W344">
        <v>2222.9</v>
      </c>
      <c r="X344">
        <f t="shared" si="42"/>
        <v>21073.9</v>
      </c>
      <c r="Y344">
        <v>15.79780446755295</v>
      </c>
    </row>
    <row r="345" spans="1:25" x14ac:dyDescent="0.25">
      <c r="A345">
        <v>7560</v>
      </c>
      <c r="B345">
        <v>24490</v>
      </c>
      <c r="C345" s="1">
        <v>43290</v>
      </c>
      <c r="G345">
        <v>20.8</v>
      </c>
      <c r="H345">
        <v>16</v>
      </c>
      <c r="I345">
        <v>25.7</v>
      </c>
      <c r="J345">
        <f t="shared" si="36"/>
        <v>3080.0000000000009</v>
      </c>
      <c r="K345">
        <f t="shared" si="37"/>
        <v>246.9</v>
      </c>
      <c r="M345">
        <v>0</v>
      </c>
      <c r="N345">
        <v>7.1</v>
      </c>
      <c r="O345">
        <f t="shared" si="43"/>
        <v>-7.1</v>
      </c>
      <c r="Q345">
        <v>309</v>
      </c>
      <c r="R345">
        <f t="shared" si="39"/>
        <v>0.44824561403508778</v>
      </c>
      <c r="S345">
        <f t="shared" si="40"/>
        <v>3.1825438596491229</v>
      </c>
      <c r="T345">
        <f t="shared" si="41"/>
        <v>-3.1825438596491229</v>
      </c>
      <c r="U345">
        <v>0</v>
      </c>
      <c r="W345">
        <v>2916.6</v>
      </c>
      <c r="X345">
        <f t="shared" si="42"/>
        <v>23990.5</v>
      </c>
      <c r="Y345">
        <v>15.773661947336901</v>
      </c>
    </row>
    <row r="346" spans="1:25" x14ac:dyDescent="0.25">
      <c r="A346">
        <v>7560</v>
      </c>
      <c r="B346">
        <v>24490</v>
      </c>
      <c r="C346" s="1">
        <v>43291</v>
      </c>
      <c r="G346">
        <v>17.8</v>
      </c>
      <c r="H346">
        <v>16</v>
      </c>
      <c r="I346">
        <v>20.5</v>
      </c>
      <c r="J346">
        <f t="shared" si="36"/>
        <v>3097.8000000000011</v>
      </c>
      <c r="K346">
        <f t="shared" si="37"/>
        <v>264.7</v>
      </c>
      <c r="M346">
        <v>0</v>
      </c>
      <c r="N346">
        <v>3.8</v>
      </c>
      <c r="O346">
        <f t="shared" si="43"/>
        <v>-3.8</v>
      </c>
      <c r="Q346">
        <v>310</v>
      </c>
      <c r="R346">
        <f t="shared" si="39"/>
        <v>0.43421052631578949</v>
      </c>
      <c r="S346">
        <f t="shared" si="40"/>
        <v>1.65</v>
      </c>
      <c r="T346">
        <f t="shared" si="41"/>
        <v>-1.65</v>
      </c>
      <c r="U346">
        <v>0</v>
      </c>
      <c r="W346">
        <v>1214.2</v>
      </c>
      <c r="X346">
        <f t="shared" si="42"/>
        <v>25204.7</v>
      </c>
      <c r="Y346">
        <v>15.748253711456433</v>
      </c>
    </row>
    <row r="347" spans="1:25" x14ac:dyDescent="0.25">
      <c r="A347">
        <v>7560</v>
      </c>
      <c r="B347">
        <v>24490</v>
      </c>
      <c r="C347" s="1">
        <v>43292</v>
      </c>
      <c r="G347">
        <v>18.399999999999999</v>
      </c>
      <c r="H347">
        <v>15</v>
      </c>
      <c r="I347">
        <v>22</v>
      </c>
      <c r="J347">
        <f t="shared" si="36"/>
        <v>3116.2000000000012</v>
      </c>
      <c r="K347">
        <f t="shared" si="37"/>
        <v>283.09999999999997</v>
      </c>
      <c r="M347">
        <v>0</v>
      </c>
      <c r="N347">
        <v>4</v>
      </c>
      <c r="O347">
        <f t="shared" si="43"/>
        <v>-4</v>
      </c>
      <c r="Q347">
        <v>311</v>
      </c>
      <c r="R347">
        <f t="shared" si="39"/>
        <v>0.4201754385964912</v>
      </c>
      <c r="S347">
        <f t="shared" si="40"/>
        <v>1.6807017543859648</v>
      </c>
      <c r="T347">
        <f t="shared" si="41"/>
        <v>-1.6807017543859648</v>
      </c>
      <c r="U347">
        <v>0</v>
      </c>
      <c r="W347">
        <v>1532.4</v>
      </c>
      <c r="X347">
        <f t="shared" si="42"/>
        <v>26737.100000000002</v>
      </c>
      <c r="Y347">
        <v>15.721600570723382</v>
      </c>
    </row>
    <row r="348" spans="1:25" x14ac:dyDescent="0.25">
      <c r="A348">
        <v>7560</v>
      </c>
      <c r="B348">
        <v>24490</v>
      </c>
      <c r="C348" s="1">
        <v>43293</v>
      </c>
      <c r="G348">
        <v>19.399999999999999</v>
      </c>
      <c r="H348">
        <v>14.3</v>
      </c>
      <c r="I348">
        <v>24</v>
      </c>
      <c r="J348">
        <f t="shared" si="36"/>
        <v>3135.6000000000013</v>
      </c>
      <c r="K348">
        <f t="shared" si="37"/>
        <v>302.49999999999994</v>
      </c>
      <c r="M348">
        <v>0</v>
      </c>
      <c r="N348">
        <v>4.5</v>
      </c>
      <c r="O348">
        <f t="shared" si="43"/>
        <v>-4.5</v>
      </c>
      <c r="Q348">
        <v>312</v>
      </c>
      <c r="R348">
        <f t="shared" si="39"/>
        <v>0.40614035087719291</v>
      </c>
      <c r="S348">
        <f t="shared" si="40"/>
        <v>1.8276315789473681</v>
      </c>
      <c r="T348">
        <f t="shared" si="41"/>
        <v>-1.8276315789473681</v>
      </c>
      <c r="U348">
        <v>0</v>
      </c>
      <c r="W348">
        <v>2121.1</v>
      </c>
      <c r="X348">
        <f t="shared" si="42"/>
        <v>28858.2</v>
      </c>
      <c r="Y348">
        <v>15.693724020163192</v>
      </c>
    </row>
    <row r="349" spans="1:25" x14ac:dyDescent="0.25">
      <c r="A349">
        <v>7560</v>
      </c>
      <c r="B349">
        <v>24490</v>
      </c>
      <c r="C349" s="1">
        <v>43294</v>
      </c>
      <c r="G349">
        <v>22.2</v>
      </c>
      <c r="H349">
        <v>16.600000000000001</v>
      </c>
      <c r="I349">
        <v>28.4</v>
      </c>
      <c r="J349">
        <f t="shared" si="36"/>
        <v>3157.8000000000011</v>
      </c>
      <c r="K349">
        <f t="shared" si="37"/>
        <v>324.69999999999993</v>
      </c>
      <c r="M349">
        <v>0</v>
      </c>
      <c r="N349">
        <v>5</v>
      </c>
      <c r="O349">
        <f t="shared" si="43"/>
        <v>-5</v>
      </c>
      <c r="Q349">
        <v>313</v>
      </c>
      <c r="R349">
        <f t="shared" si="39"/>
        <v>0.39210526315789473</v>
      </c>
      <c r="S349">
        <f t="shared" si="40"/>
        <v>1.9605263157894737</v>
      </c>
      <c r="T349">
        <f t="shared" si="41"/>
        <v>-1.9605263157894737</v>
      </c>
      <c r="U349">
        <v>0</v>
      </c>
      <c r="W349">
        <v>1954</v>
      </c>
      <c r="X349">
        <f t="shared" si="42"/>
        <v>30812.2</v>
      </c>
      <c r="Y349">
        <v>15.664646179775582</v>
      </c>
    </row>
    <row r="350" spans="1:25" x14ac:dyDescent="0.25">
      <c r="A350">
        <v>7560</v>
      </c>
      <c r="B350">
        <v>24490</v>
      </c>
      <c r="C350" s="1">
        <v>43295</v>
      </c>
      <c r="G350">
        <v>23.5</v>
      </c>
      <c r="H350">
        <v>17.600000000000001</v>
      </c>
      <c r="I350">
        <v>29.3</v>
      </c>
      <c r="J350">
        <f t="shared" si="36"/>
        <v>3181.3000000000011</v>
      </c>
      <c r="K350">
        <f t="shared" si="37"/>
        <v>348.19999999999993</v>
      </c>
      <c r="M350">
        <v>1</v>
      </c>
      <c r="N350">
        <v>5.7</v>
      </c>
      <c r="O350">
        <f t="shared" si="43"/>
        <v>-4.7</v>
      </c>
      <c r="Q350">
        <v>314</v>
      </c>
      <c r="R350">
        <f t="shared" si="39"/>
        <v>0.37807017543859645</v>
      </c>
      <c r="S350">
        <f t="shared" si="40"/>
        <v>2.1549999999999998</v>
      </c>
      <c r="T350">
        <f t="shared" si="41"/>
        <v>-1.1549999999999998</v>
      </c>
      <c r="U350">
        <v>0</v>
      </c>
      <c r="W350">
        <v>2141.8000000000002</v>
      </c>
      <c r="X350">
        <f t="shared" si="42"/>
        <v>32954</v>
      </c>
      <c r="Y350">
        <v>15.634389735233936</v>
      </c>
    </row>
    <row r="351" spans="1:25" x14ac:dyDescent="0.25">
      <c r="A351">
        <v>7560</v>
      </c>
      <c r="B351">
        <v>24490</v>
      </c>
      <c r="C351" s="1">
        <v>43296</v>
      </c>
      <c r="G351">
        <v>21.7</v>
      </c>
      <c r="H351">
        <v>18.2</v>
      </c>
      <c r="I351">
        <v>26.5</v>
      </c>
      <c r="J351">
        <f t="shared" si="36"/>
        <v>3203.0000000000009</v>
      </c>
      <c r="K351">
        <f t="shared" si="37"/>
        <v>369.89999999999992</v>
      </c>
      <c r="M351">
        <v>3.1</v>
      </c>
      <c r="N351">
        <v>4</v>
      </c>
      <c r="O351">
        <f t="shared" si="43"/>
        <v>-0.89999999999999991</v>
      </c>
      <c r="Q351">
        <v>315</v>
      </c>
      <c r="R351">
        <f t="shared" si="39"/>
        <v>0.36403508771929827</v>
      </c>
      <c r="S351">
        <f t="shared" si="40"/>
        <v>1.4561403508771931</v>
      </c>
      <c r="T351">
        <f t="shared" si="41"/>
        <v>1.643859649122807</v>
      </c>
      <c r="U351">
        <f t="shared" si="38"/>
        <v>1.643859649122807</v>
      </c>
      <c r="W351">
        <v>1377.1</v>
      </c>
      <c r="X351">
        <f t="shared" si="42"/>
        <v>34331.1</v>
      </c>
      <c r="Y351">
        <v>15.602977878814725</v>
      </c>
    </row>
    <row r="352" spans="1:25" s="6" customFormat="1" ht="15.75" thickBot="1" x14ac:dyDescent="0.3">
      <c r="A352" s="6">
        <v>7560</v>
      </c>
      <c r="B352" s="6">
        <v>24490</v>
      </c>
      <c r="C352" s="7">
        <v>43297</v>
      </c>
      <c r="D352" s="6" t="s">
        <v>34</v>
      </c>
      <c r="G352" s="6">
        <v>23.1</v>
      </c>
      <c r="H352" s="6">
        <v>16.5</v>
      </c>
      <c r="I352" s="6">
        <v>28.8</v>
      </c>
      <c r="J352" s="6">
        <f t="shared" si="36"/>
        <v>3226.1000000000008</v>
      </c>
      <c r="K352" s="6">
        <f t="shared" si="37"/>
        <v>392.99999999999994</v>
      </c>
      <c r="M352" s="6">
        <v>0</v>
      </c>
      <c r="N352" s="6">
        <v>5.7</v>
      </c>
      <c r="O352" s="6">
        <f t="shared" si="43"/>
        <v>-5.7</v>
      </c>
      <c r="Q352" s="6">
        <v>316</v>
      </c>
      <c r="R352">
        <f t="shared" si="39"/>
        <v>0.35</v>
      </c>
      <c r="S352" s="6">
        <f t="shared" si="40"/>
        <v>1.9949999999999999</v>
      </c>
      <c r="T352" s="6">
        <f t="shared" si="41"/>
        <v>-1.9949999999999999</v>
      </c>
      <c r="U352" s="6">
        <v>0</v>
      </c>
      <c r="W352" s="6">
        <v>2496.3000000000002</v>
      </c>
      <c r="X352" s="6">
        <f t="shared" si="42"/>
        <v>36827.4</v>
      </c>
      <c r="Y352" s="6">
        <v>15.570434250832466</v>
      </c>
    </row>
    <row r="353" spans="1:25" x14ac:dyDescent="0.25">
      <c r="A353">
        <v>7560</v>
      </c>
      <c r="B353">
        <v>24490</v>
      </c>
      <c r="C353" s="1">
        <v>43298</v>
      </c>
      <c r="G353">
        <v>21.3</v>
      </c>
      <c r="H353">
        <v>17.399999999999999</v>
      </c>
      <c r="I353">
        <v>26.2</v>
      </c>
      <c r="J353">
        <f t="shared" si="36"/>
        <v>3247.400000000001</v>
      </c>
      <c r="K353">
        <f t="shared" si="37"/>
        <v>414.29999999999995</v>
      </c>
      <c r="M353">
        <v>0</v>
      </c>
      <c r="N353">
        <v>5</v>
      </c>
      <c r="O353">
        <f t="shared" si="43"/>
        <v>-5</v>
      </c>
      <c r="Q353">
        <v>317</v>
      </c>
      <c r="S353">
        <f t="shared" si="40"/>
        <v>0</v>
      </c>
      <c r="T353">
        <f t="shared" si="41"/>
        <v>0</v>
      </c>
      <c r="U353">
        <f t="shared" si="38"/>
        <v>0</v>
      </c>
      <c r="W353">
        <v>1991.9</v>
      </c>
      <c r="X353">
        <f t="shared" si="42"/>
        <v>38819.300000000003</v>
      </c>
      <c r="Y353">
        <v>15.53678288183837</v>
      </c>
    </row>
    <row r="354" spans="1:25" x14ac:dyDescent="0.25">
      <c r="A354">
        <v>7560</v>
      </c>
      <c r="B354">
        <v>24490</v>
      </c>
      <c r="C354" s="1">
        <v>43299</v>
      </c>
      <c r="G354">
        <v>21.5</v>
      </c>
      <c r="H354">
        <v>15.9</v>
      </c>
      <c r="I354">
        <v>26.4</v>
      </c>
      <c r="J354">
        <f t="shared" si="36"/>
        <v>3268.900000000001</v>
      </c>
      <c r="K354">
        <f t="shared" si="37"/>
        <v>435.79999999999995</v>
      </c>
      <c r="M354">
        <v>0</v>
      </c>
      <c r="N354">
        <v>4.3</v>
      </c>
      <c r="O354">
        <f t="shared" si="43"/>
        <v>-4.3</v>
      </c>
      <c r="Q354">
        <v>318</v>
      </c>
      <c r="S354">
        <f t="shared" si="40"/>
        <v>0</v>
      </c>
      <c r="T354">
        <f t="shared" si="41"/>
        <v>0</v>
      </c>
      <c r="U354">
        <f t="shared" si="38"/>
        <v>0</v>
      </c>
      <c r="W354">
        <v>1436.3</v>
      </c>
      <c r="X354">
        <f t="shared" si="42"/>
        <v>40255.600000000006</v>
      </c>
      <c r="Y354">
        <v>15.502048135822111</v>
      </c>
    </row>
    <row r="355" spans="1:25" x14ac:dyDescent="0.25">
      <c r="A355">
        <v>7560</v>
      </c>
      <c r="B355">
        <v>24490</v>
      </c>
      <c r="C355" s="1">
        <v>43300</v>
      </c>
      <c r="G355">
        <v>22.4</v>
      </c>
      <c r="H355">
        <v>17.2</v>
      </c>
      <c r="I355">
        <v>28.4</v>
      </c>
      <c r="J355">
        <f t="shared" si="36"/>
        <v>3291.3000000000011</v>
      </c>
      <c r="K355">
        <f t="shared" si="37"/>
        <v>458.19999999999993</v>
      </c>
      <c r="M355">
        <v>0</v>
      </c>
      <c r="N355">
        <v>6.3</v>
      </c>
      <c r="O355">
        <f t="shared" si="43"/>
        <v>-6.3</v>
      </c>
      <c r="Q355">
        <v>319</v>
      </c>
      <c r="S355">
        <f t="shared" si="40"/>
        <v>0</v>
      </c>
      <c r="T355">
        <f t="shared" si="41"/>
        <v>0</v>
      </c>
      <c r="U355">
        <f t="shared" si="38"/>
        <v>0</v>
      </c>
      <c r="W355">
        <v>2339.1999999999998</v>
      </c>
      <c r="X355">
        <f t="shared" si="42"/>
        <v>42594.8</v>
      </c>
      <c r="Y355">
        <v>15.466254654636764</v>
      </c>
    </row>
    <row r="356" spans="1:25" x14ac:dyDescent="0.25">
      <c r="A356">
        <v>7560</v>
      </c>
      <c r="B356">
        <v>24490</v>
      </c>
      <c r="C356" s="1">
        <v>43301</v>
      </c>
      <c r="G356">
        <v>21.1</v>
      </c>
      <c r="H356">
        <v>17.399999999999999</v>
      </c>
      <c r="I356">
        <v>24.9</v>
      </c>
      <c r="J356">
        <f t="shared" si="36"/>
        <v>3312.400000000001</v>
      </c>
      <c r="K356">
        <f t="shared" si="37"/>
        <v>479.29999999999995</v>
      </c>
      <c r="M356">
        <v>7.4</v>
      </c>
      <c r="N356">
        <v>2.2000000000000002</v>
      </c>
      <c r="O356">
        <f t="shared" si="43"/>
        <v>5.2</v>
      </c>
      <c r="Q356">
        <v>320</v>
      </c>
      <c r="S356">
        <f t="shared" si="40"/>
        <v>0</v>
      </c>
      <c r="T356">
        <f t="shared" si="41"/>
        <v>7.4</v>
      </c>
      <c r="U356">
        <f t="shared" si="38"/>
        <v>7.4</v>
      </c>
      <c r="W356">
        <v>985.4</v>
      </c>
      <c r="X356">
        <f t="shared" si="42"/>
        <v>43580.200000000004</v>
      </c>
      <c r="Y356">
        <v>15.429427303846717</v>
      </c>
    </row>
    <row r="357" spans="1:25" x14ac:dyDescent="0.25">
      <c r="A357">
        <v>7560</v>
      </c>
      <c r="B357">
        <v>24490</v>
      </c>
      <c r="C357" s="1">
        <v>43302</v>
      </c>
      <c r="G357">
        <v>19.100000000000001</v>
      </c>
      <c r="H357">
        <v>15.8</v>
      </c>
      <c r="I357">
        <v>23</v>
      </c>
      <c r="J357">
        <f t="shared" si="36"/>
        <v>3331.5000000000009</v>
      </c>
      <c r="K357">
        <f t="shared" si="37"/>
        <v>498.4</v>
      </c>
      <c r="M357">
        <v>0</v>
      </c>
      <c r="N357">
        <v>3.1</v>
      </c>
      <c r="O357">
        <f t="shared" si="43"/>
        <v>-3.1</v>
      </c>
      <c r="Q357">
        <v>321</v>
      </c>
      <c r="S357">
        <f t="shared" si="40"/>
        <v>0</v>
      </c>
      <c r="T357">
        <f t="shared" si="41"/>
        <v>0</v>
      </c>
      <c r="U357">
        <f t="shared" si="38"/>
        <v>7.4</v>
      </c>
      <c r="W357">
        <v>1351.6</v>
      </c>
      <c r="X357">
        <f t="shared" si="42"/>
        <v>44931.8</v>
      </c>
      <c r="Y357">
        <v>15.391591120177873</v>
      </c>
    </row>
    <row r="358" spans="1:25" x14ac:dyDescent="0.25">
      <c r="A358">
        <v>7560</v>
      </c>
      <c r="B358">
        <v>24490</v>
      </c>
      <c r="C358" s="1">
        <v>43303</v>
      </c>
      <c r="G358">
        <v>20.9</v>
      </c>
      <c r="H358">
        <v>13.3</v>
      </c>
      <c r="I358">
        <v>26.4</v>
      </c>
      <c r="J358">
        <f t="shared" si="36"/>
        <v>3352.400000000001</v>
      </c>
      <c r="K358">
        <f t="shared" si="37"/>
        <v>519.29999999999995</v>
      </c>
      <c r="M358">
        <v>0</v>
      </c>
      <c r="N358">
        <v>4</v>
      </c>
      <c r="O358">
        <f t="shared" si="43"/>
        <v>-4</v>
      </c>
      <c r="Q358">
        <v>322</v>
      </c>
      <c r="S358">
        <f t="shared" si="40"/>
        <v>0</v>
      </c>
      <c r="T358">
        <f t="shared" si="41"/>
        <v>0</v>
      </c>
      <c r="U358">
        <f t="shared" si="38"/>
        <v>7.4</v>
      </c>
      <c r="W358">
        <v>1716.9</v>
      </c>
      <c r="X358">
        <f t="shared" si="42"/>
        <v>46648.700000000004</v>
      </c>
      <c r="Y358">
        <v>15.352771260728948</v>
      </c>
    </row>
    <row r="359" spans="1:25" x14ac:dyDescent="0.25">
      <c r="A359">
        <v>7560</v>
      </c>
      <c r="B359">
        <v>24490</v>
      </c>
      <c r="C359" s="1">
        <v>43304</v>
      </c>
      <c r="G359">
        <v>23.6</v>
      </c>
      <c r="H359">
        <v>17.3</v>
      </c>
      <c r="I359">
        <v>28.8</v>
      </c>
      <c r="J359">
        <f t="shared" ref="J359:J367" si="44">J358+G359</f>
        <v>3376.0000000000009</v>
      </c>
      <c r="K359">
        <f t="shared" ref="K359:K367" si="45">K358+G359</f>
        <v>542.9</v>
      </c>
      <c r="M359">
        <v>0</v>
      </c>
      <c r="N359">
        <v>4.5999999999999996</v>
      </c>
      <c r="O359">
        <f t="shared" si="43"/>
        <v>-4.5999999999999996</v>
      </c>
      <c r="Q359">
        <v>323</v>
      </c>
      <c r="S359">
        <f t="shared" si="40"/>
        <v>0</v>
      </c>
      <c r="T359">
        <f t="shared" si="41"/>
        <v>0</v>
      </c>
      <c r="U359">
        <f t="shared" ref="U359:U367" si="46">MIN(U358+T359,153.9)</f>
        <v>7.4</v>
      </c>
      <c r="W359">
        <v>1671.3</v>
      </c>
      <c r="X359">
        <f t="shared" si="42"/>
        <v>48320.000000000007</v>
      </c>
      <c r="Y359">
        <v>15.312992954082175</v>
      </c>
    </row>
    <row r="360" spans="1:25" x14ac:dyDescent="0.25">
      <c r="A360">
        <v>7560</v>
      </c>
      <c r="B360">
        <v>24490</v>
      </c>
      <c r="C360" s="1">
        <v>43305</v>
      </c>
      <c r="G360">
        <v>25.1</v>
      </c>
      <c r="H360">
        <v>18.899999999999999</v>
      </c>
      <c r="I360">
        <v>30.8</v>
      </c>
      <c r="J360">
        <f t="shared" si="44"/>
        <v>3401.1000000000008</v>
      </c>
      <c r="K360">
        <f t="shared" si="45"/>
        <v>568</v>
      </c>
      <c r="M360">
        <v>0</v>
      </c>
      <c r="N360">
        <v>6.1</v>
      </c>
      <c r="O360">
        <f t="shared" si="43"/>
        <v>-6.1</v>
      </c>
      <c r="Q360">
        <v>324</v>
      </c>
      <c r="S360">
        <f t="shared" si="40"/>
        <v>0</v>
      </c>
      <c r="T360">
        <f t="shared" si="41"/>
        <v>0</v>
      </c>
      <c r="U360">
        <f t="shared" si="46"/>
        <v>7.4</v>
      </c>
      <c r="W360">
        <v>2485</v>
      </c>
      <c r="X360">
        <f t="shared" si="42"/>
        <v>50805.000000000007</v>
      </c>
      <c r="Y360">
        <v>15.272281453431647</v>
      </c>
    </row>
    <row r="361" spans="1:25" x14ac:dyDescent="0.25">
      <c r="A361">
        <v>7560</v>
      </c>
      <c r="B361">
        <v>24490</v>
      </c>
      <c r="C361" s="1">
        <v>43306</v>
      </c>
      <c r="G361">
        <v>26</v>
      </c>
      <c r="H361">
        <v>20.399999999999999</v>
      </c>
      <c r="I361">
        <v>32</v>
      </c>
      <c r="J361">
        <f t="shared" si="44"/>
        <v>3427.1000000000008</v>
      </c>
      <c r="K361">
        <f t="shared" si="45"/>
        <v>594</v>
      </c>
      <c r="M361">
        <v>0.1</v>
      </c>
      <c r="N361">
        <v>6</v>
      </c>
      <c r="O361">
        <f t="shared" si="43"/>
        <v>-5.9</v>
      </c>
      <c r="Q361">
        <v>325</v>
      </c>
      <c r="S361">
        <f t="shared" si="40"/>
        <v>0</v>
      </c>
      <c r="T361">
        <f t="shared" si="41"/>
        <v>0.1</v>
      </c>
      <c r="U361">
        <f t="shared" si="46"/>
        <v>7.5</v>
      </c>
      <c r="W361">
        <v>2271.1999999999998</v>
      </c>
      <c r="X361">
        <f t="shared" si="42"/>
        <v>53076.200000000004</v>
      </c>
      <c r="Y361">
        <v>15.230661991828143</v>
      </c>
    </row>
    <row r="362" spans="1:25" x14ac:dyDescent="0.25">
      <c r="A362">
        <v>7560</v>
      </c>
      <c r="B362">
        <v>24490</v>
      </c>
      <c r="C362" s="1">
        <v>43307</v>
      </c>
      <c r="G362">
        <v>27.9</v>
      </c>
      <c r="H362">
        <v>20.9</v>
      </c>
      <c r="I362">
        <v>34.5</v>
      </c>
      <c r="J362">
        <f t="shared" si="44"/>
        <v>3455.0000000000009</v>
      </c>
      <c r="K362">
        <f t="shared" si="45"/>
        <v>621.9</v>
      </c>
      <c r="M362">
        <v>0.2</v>
      </c>
      <c r="N362">
        <v>6.9</v>
      </c>
      <c r="O362">
        <f t="shared" si="43"/>
        <v>-6.7</v>
      </c>
      <c r="Q362">
        <v>326</v>
      </c>
      <c r="S362">
        <f t="shared" si="40"/>
        <v>0</v>
      </c>
      <c r="T362">
        <f t="shared" si="41"/>
        <v>0.2</v>
      </c>
      <c r="U362">
        <f t="shared" si="46"/>
        <v>7.7</v>
      </c>
      <c r="W362">
        <v>2368.1</v>
      </c>
      <c r="X362">
        <f t="shared" si="42"/>
        <v>55444.3</v>
      </c>
      <c r="Y362">
        <v>15.188159739620232</v>
      </c>
    </row>
    <row r="363" spans="1:25" x14ac:dyDescent="0.25">
      <c r="A363">
        <v>7560</v>
      </c>
      <c r="B363">
        <v>24490</v>
      </c>
      <c r="C363" s="1">
        <v>43308</v>
      </c>
      <c r="G363">
        <v>27.8</v>
      </c>
      <c r="H363">
        <v>23.4</v>
      </c>
      <c r="I363">
        <v>35.6</v>
      </c>
      <c r="J363">
        <f t="shared" si="44"/>
        <v>3482.8000000000011</v>
      </c>
      <c r="K363">
        <f t="shared" si="45"/>
        <v>649.69999999999993</v>
      </c>
      <c r="M363">
        <v>4.4000000000000004</v>
      </c>
      <c r="N363">
        <v>8.1</v>
      </c>
      <c r="O363">
        <f t="shared" si="43"/>
        <v>-3.6999999999999993</v>
      </c>
      <c r="Q363">
        <v>327</v>
      </c>
      <c r="S363">
        <f t="shared" si="40"/>
        <v>0</v>
      </c>
      <c r="T363">
        <f t="shared" si="41"/>
        <v>4.4000000000000004</v>
      </c>
      <c r="U363">
        <f t="shared" si="46"/>
        <v>12.100000000000001</v>
      </c>
      <c r="W363">
        <v>2642.7</v>
      </c>
      <c r="X363">
        <f t="shared" si="42"/>
        <v>58087</v>
      </c>
      <c r="Y363">
        <v>15.144799764153762</v>
      </c>
    </row>
    <row r="364" spans="1:25" x14ac:dyDescent="0.25">
      <c r="A364">
        <v>7560</v>
      </c>
      <c r="B364">
        <v>24490</v>
      </c>
      <c r="C364" s="1">
        <v>43309</v>
      </c>
      <c r="G364">
        <v>21.1</v>
      </c>
      <c r="H364">
        <v>19.7</v>
      </c>
      <c r="I364">
        <v>23.9</v>
      </c>
      <c r="J364">
        <f t="shared" si="44"/>
        <v>3503.900000000001</v>
      </c>
      <c r="K364">
        <f t="shared" si="45"/>
        <v>670.8</v>
      </c>
      <c r="M364">
        <v>0</v>
      </c>
      <c r="N364">
        <v>4.4000000000000004</v>
      </c>
      <c r="O364">
        <f t="shared" si="43"/>
        <v>-4.4000000000000004</v>
      </c>
      <c r="Q364">
        <v>328</v>
      </c>
      <c r="S364">
        <f t="shared" si="40"/>
        <v>0</v>
      </c>
      <c r="T364">
        <f t="shared" si="41"/>
        <v>0</v>
      </c>
      <c r="U364">
        <f t="shared" si="46"/>
        <v>12.100000000000001</v>
      </c>
      <c r="W364">
        <v>1682.5</v>
      </c>
      <c r="X364">
        <f t="shared" si="42"/>
        <v>59769.5</v>
      </c>
      <c r="Y364">
        <v>15.100606991774628</v>
      </c>
    </row>
    <row r="365" spans="1:25" x14ac:dyDescent="0.25">
      <c r="A365">
        <v>7560</v>
      </c>
      <c r="B365">
        <v>24490</v>
      </c>
      <c r="C365" s="1">
        <v>43310</v>
      </c>
      <c r="G365">
        <v>22</v>
      </c>
      <c r="H365">
        <v>16</v>
      </c>
      <c r="I365">
        <v>27.2</v>
      </c>
      <c r="J365">
        <f t="shared" si="44"/>
        <v>3525.900000000001</v>
      </c>
      <c r="K365">
        <f t="shared" si="45"/>
        <v>692.8</v>
      </c>
      <c r="M365">
        <v>0</v>
      </c>
      <c r="N365">
        <v>4.5</v>
      </c>
      <c r="O365">
        <f t="shared" si="43"/>
        <v>-4.5</v>
      </c>
      <c r="Q365">
        <v>329</v>
      </c>
      <c r="S365">
        <f t="shared" si="40"/>
        <v>0</v>
      </c>
      <c r="T365">
        <f t="shared" si="41"/>
        <v>0</v>
      </c>
      <c r="U365">
        <f t="shared" si="46"/>
        <v>12.100000000000001</v>
      </c>
      <c r="W365">
        <v>1615.4</v>
      </c>
      <c r="X365">
        <f t="shared" si="42"/>
        <v>61384.9</v>
      </c>
      <c r="Y365">
        <v>15.055606172163884</v>
      </c>
    </row>
    <row r="366" spans="1:25" x14ac:dyDescent="0.25">
      <c r="A366">
        <v>7560</v>
      </c>
      <c r="B366">
        <v>24490</v>
      </c>
      <c r="C366" s="1">
        <v>43311</v>
      </c>
      <c r="G366">
        <v>23</v>
      </c>
      <c r="H366">
        <v>17.3</v>
      </c>
      <c r="I366">
        <v>27.5</v>
      </c>
      <c r="J366">
        <f t="shared" si="44"/>
        <v>3548.900000000001</v>
      </c>
      <c r="K366">
        <f t="shared" si="45"/>
        <v>715.8</v>
      </c>
      <c r="M366">
        <v>0</v>
      </c>
      <c r="N366">
        <v>5.6</v>
      </c>
      <c r="O366">
        <f t="shared" si="43"/>
        <v>-5.6</v>
      </c>
      <c r="Q366">
        <v>330</v>
      </c>
      <c r="S366">
        <f t="shared" si="40"/>
        <v>0</v>
      </c>
      <c r="T366">
        <f t="shared" si="41"/>
        <v>0</v>
      </c>
      <c r="U366">
        <f t="shared" si="46"/>
        <v>12.100000000000001</v>
      </c>
      <c r="W366">
        <v>2398.5</v>
      </c>
      <c r="X366">
        <f t="shared" si="42"/>
        <v>63783.4</v>
      </c>
      <c r="Y366">
        <v>15.0098218450193</v>
      </c>
    </row>
    <row r="367" spans="1:25" x14ac:dyDescent="0.25">
      <c r="A367">
        <v>7560</v>
      </c>
      <c r="B367">
        <v>24490</v>
      </c>
      <c r="C367" s="1">
        <v>43312</v>
      </c>
      <c r="G367">
        <v>24.1</v>
      </c>
      <c r="H367">
        <v>18.7</v>
      </c>
      <c r="I367">
        <v>28.8</v>
      </c>
      <c r="J367">
        <f t="shared" si="44"/>
        <v>3573.0000000000009</v>
      </c>
      <c r="K367">
        <f t="shared" si="45"/>
        <v>739.9</v>
      </c>
      <c r="M367">
        <v>0</v>
      </c>
      <c r="N367">
        <v>4.7</v>
      </c>
      <c r="O367">
        <f t="shared" si="43"/>
        <v>-4.7</v>
      </c>
      <c r="Q367">
        <v>331</v>
      </c>
      <c r="S367">
        <f t="shared" si="40"/>
        <v>0</v>
      </c>
      <c r="T367">
        <f t="shared" si="41"/>
        <v>0</v>
      </c>
      <c r="U367">
        <f t="shared" si="46"/>
        <v>12.100000000000001</v>
      </c>
      <c r="W367">
        <v>1746</v>
      </c>
      <c r="X367">
        <f t="shared" si="42"/>
        <v>65529.4</v>
      </c>
    </row>
  </sheetData>
  <mergeCells count="10">
    <mergeCell ref="G2:L2"/>
    <mergeCell ref="M2:V2"/>
    <mergeCell ref="W2:Z2"/>
    <mergeCell ref="F312:F334"/>
    <mergeCell ref="F296:F311"/>
    <mergeCell ref="F273:F295"/>
    <mergeCell ref="F252:F272"/>
    <mergeCell ref="F219:F251"/>
    <mergeCell ref="F100:F218"/>
    <mergeCell ref="F37:F99"/>
  </mergeCells>
  <conditionalFormatting sqref="O4:O367">
    <cfRule type="cellIs" dxfId="30" priority="31" operator="lessThan">
      <formula>0</formula>
    </cfRule>
  </conditionalFormatting>
  <conditionalFormatting sqref="W4:W367">
    <cfRule type="cellIs" dxfId="29" priority="30" operator="lessThan">
      <formula>900</formula>
    </cfRule>
  </conditionalFormatting>
  <conditionalFormatting sqref="T4:T367">
    <cfRule type="cellIs" dxfId="28" priority="29" operator="lessThan">
      <formula>0</formula>
    </cfRule>
  </conditionalFormatting>
  <conditionalFormatting sqref="G4:I367">
    <cfRule type="cellIs" dxfId="27" priority="28" operator="greaterThanOrEqual">
      <formula>25</formula>
    </cfRule>
    <cfRule type="cellIs" dxfId="26" priority="27" operator="between">
      <formula>5</formula>
      <formula>0</formula>
    </cfRule>
    <cfRule type="cellIs" dxfId="25" priority="26" operator="lessThan">
      <formula>0</formula>
    </cfRule>
  </conditionalFormatting>
  <conditionalFormatting sqref="U37:U367">
    <cfRule type="cellIs" dxfId="24" priority="25" operator="lessThanOrEqual">
      <formula>51.3</formula>
    </cfRule>
    <cfRule type="cellIs" dxfId="23" priority="24" operator="equal">
      <formula>0</formula>
    </cfRule>
  </conditionalFormatting>
  <conditionalFormatting sqref="Y4:Y366">
    <cfRule type="cellIs" dxfId="22" priority="23" operator="lessThan">
      <formula>9</formula>
    </cfRule>
  </conditionalFormatting>
  <conditionalFormatting sqref="L38 L46 L50 L48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8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01 L109 L113 L111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01">
    <cfRule type="cellIs" dxfId="15" priority="16" operator="lessThan">
      <formula>9</formula>
    </cfRule>
  </conditionalFormatting>
  <conditionalFormatting sqref="L220 L228 L232 L230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20">
    <cfRule type="cellIs" dxfId="12" priority="13" operator="lessThan">
      <formula>9</formula>
    </cfRule>
  </conditionalFormatting>
  <conditionalFormatting sqref="L253 L265 L263 L261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53">
    <cfRule type="cellIs" dxfId="9" priority="10" operator="lessThan">
      <formula>9</formula>
    </cfRule>
  </conditionalFormatting>
  <conditionalFormatting sqref="L274 L282 L284 L286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4">
    <cfRule type="cellIs" dxfId="6" priority="7" operator="lessThan">
      <formula>9</formula>
    </cfRule>
  </conditionalFormatting>
  <conditionalFormatting sqref="L297 L307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7">
    <cfRule type="cellIs" dxfId="3" priority="4" operator="lessThan">
      <formula>9</formula>
    </cfRule>
  </conditionalFormatting>
  <conditionalFormatting sqref="L313 L323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3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R2N18CUP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2019-11-19T14:56:26Z</dcterms:created>
  <dcterms:modified xsi:type="dcterms:W3CDTF">2019-11-19T15:06:31Z</dcterms:modified>
</cp:coreProperties>
</file>