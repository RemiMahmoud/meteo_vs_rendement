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ocuments\AA_FICHIERS_ELABORATION_IPC\Actualisation_2019_N\R2018\"/>
    </mc:Choice>
  </mc:AlternateContent>
  <bookViews>
    <workbookView xWindow="0" yWindow="0" windowWidth="19200" windowHeight="10860"/>
  </bookViews>
  <sheets>
    <sheet name="SYN18CH2" sheetId="1" r:id="rId1"/>
  </sheets>
  <calcPr calcId="162913"/>
</workbook>
</file>

<file path=xl/calcChain.xml><?xml version="1.0" encoding="utf-8"?>
<calcChain xmlns="http://schemas.openxmlformats.org/spreadsheetml/2006/main">
  <c r="AB240" i="1" l="1"/>
  <c r="AB238" i="1"/>
  <c r="AB236" i="1"/>
  <c r="AB234" i="1"/>
  <c r="AB232" i="1"/>
  <c r="AA240" i="1"/>
  <c r="AA232" i="1"/>
  <c r="AA228" i="1"/>
  <c r="AA220" i="1"/>
  <c r="V323" i="1" l="1"/>
  <c r="V321" i="1"/>
  <c r="V319" i="1"/>
  <c r="L321" i="1"/>
  <c r="L319" i="1"/>
  <c r="L317" i="1"/>
  <c r="V306" i="1"/>
  <c r="V304" i="1"/>
  <c r="V302" i="1"/>
  <c r="L304" i="1"/>
  <c r="L302" i="1"/>
  <c r="L300" i="1"/>
  <c r="V283" i="1"/>
  <c r="V281" i="1"/>
  <c r="V279" i="1"/>
  <c r="L281" i="1"/>
  <c r="L279" i="1"/>
  <c r="L277" i="1"/>
  <c r="V262" i="1"/>
  <c r="V260" i="1"/>
  <c r="V258" i="1"/>
  <c r="L260" i="1"/>
  <c r="L258" i="1"/>
  <c r="L256" i="1"/>
  <c r="V228" i="1"/>
  <c r="V226" i="1"/>
  <c r="V224" i="1"/>
  <c r="L226" i="1"/>
  <c r="L224" i="1"/>
  <c r="L222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297" i="1"/>
  <c r="X314" i="1"/>
  <c r="K314" i="1"/>
  <c r="X297" i="1"/>
  <c r="K297" i="1"/>
  <c r="X274" i="1"/>
  <c r="K274" i="1"/>
  <c r="K253" i="1"/>
  <c r="X253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19" i="1"/>
  <c r="X249" i="1"/>
  <c r="X250" i="1" s="1"/>
  <c r="X251" i="1" s="1"/>
  <c r="X252" i="1" s="1"/>
  <c r="K249" i="1"/>
  <c r="K250" i="1"/>
  <c r="K251" i="1"/>
  <c r="K252" i="1" s="1"/>
  <c r="K219" i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X254" i="1" l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K254" i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L130" i="1"/>
  <c r="L128" i="1"/>
  <c r="L126" i="1"/>
  <c r="L37" i="1"/>
  <c r="L35" i="1"/>
  <c r="L33" i="1"/>
  <c r="Z317" i="1"/>
  <c r="Z300" i="1"/>
  <c r="Z277" i="1"/>
  <c r="Z256" i="1"/>
  <c r="Z222" i="1"/>
  <c r="Z126" i="1"/>
  <c r="Z33" i="1"/>
  <c r="S296" i="1" l="1"/>
  <c r="T296" i="1" s="1"/>
  <c r="S302" i="1"/>
  <c r="T302" i="1" s="1"/>
  <c r="S304" i="1"/>
  <c r="T304" i="1" s="1"/>
  <c r="S310" i="1"/>
  <c r="T310" i="1" s="1"/>
  <c r="S312" i="1"/>
  <c r="T312" i="1" s="1"/>
  <c r="S318" i="1"/>
  <c r="T318" i="1" s="1"/>
  <c r="S320" i="1"/>
  <c r="T320" i="1" s="1"/>
  <c r="S326" i="1"/>
  <c r="T326" i="1" s="1"/>
  <c r="S328" i="1"/>
  <c r="T328" i="1" s="1"/>
  <c r="S334" i="1"/>
  <c r="T334" i="1" s="1"/>
  <c r="S336" i="1"/>
  <c r="T336" i="1" s="1"/>
  <c r="S342" i="1"/>
  <c r="T342" i="1" s="1"/>
  <c r="S344" i="1"/>
  <c r="T344" i="1" s="1"/>
  <c r="S350" i="1"/>
  <c r="T350" i="1" s="1"/>
  <c r="S352" i="1"/>
  <c r="T352" i="1" s="1"/>
  <c r="X219" i="1"/>
  <c r="S224" i="1"/>
  <c r="T224" i="1" s="1"/>
  <c r="S227" i="1"/>
  <c r="T227" i="1" s="1"/>
  <c r="S232" i="1"/>
  <c r="T232" i="1" s="1"/>
  <c r="S235" i="1"/>
  <c r="T235" i="1" s="1"/>
  <c r="S240" i="1"/>
  <c r="T240" i="1" s="1"/>
  <c r="S243" i="1"/>
  <c r="T243" i="1" s="1"/>
  <c r="S248" i="1"/>
  <c r="T248" i="1" s="1"/>
  <c r="S219" i="1"/>
  <c r="T219" i="1" s="1"/>
  <c r="X123" i="1"/>
  <c r="K123" i="1"/>
  <c r="R36" i="1"/>
  <c r="R37" i="1"/>
  <c r="R38" i="1"/>
  <c r="R39" i="1"/>
  <c r="R40" i="1"/>
  <c r="R41" i="1"/>
  <c r="S41" i="1" s="1"/>
  <c r="T41" i="1" s="1"/>
  <c r="R42" i="1"/>
  <c r="R43" i="1"/>
  <c r="S43" i="1" s="1"/>
  <c r="T43" i="1" s="1"/>
  <c r="R44" i="1"/>
  <c r="R45" i="1"/>
  <c r="R46" i="1"/>
  <c r="R47" i="1"/>
  <c r="R48" i="1"/>
  <c r="R49" i="1"/>
  <c r="S49" i="1" s="1"/>
  <c r="T49" i="1" s="1"/>
  <c r="R50" i="1"/>
  <c r="R51" i="1"/>
  <c r="S51" i="1" s="1"/>
  <c r="T51" i="1" s="1"/>
  <c r="R52" i="1"/>
  <c r="R53" i="1"/>
  <c r="R54" i="1"/>
  <c r="R55" i="1"/>
  <c r="R56" i="1"/>
  <c r="R57" i="1"/>
  <c r="S57" i="1" s="1"/>
  <c r="T57" i="1" s="1"/>
  <c r="R58" i="1"/>
  <c r="R59" i="1"/>
  <c r="S59" i="1" s="1"/>
  <c r="T59" i="1" s="1"/>
  <c r="R60" i="1"/>
  <c r="R61" i="1"/>
  <c r="R62" i="1"/>
  <c r="R63" i="1"/>
  <c r="R64" i="1"/>
  <c r="R65" i="1"/>
  <c r="S65" i="1" s="1"/>
  <c r="T65" i="1" s="1"/>
  <c r="R66" i="1"/>
  <c r="R67" i="1"/>
  <c r="S67" i="1" s="1"/>
  <c r="T67" i="1" s="1"/>
  <c r="R68" i="1"/>
  <c r="R69" i="1"/>
  <c r="R70" i="1"/>
  <c r="R71" i="1"/>
  <c r="R72" i="1"/>
  <c r="R73" i="1"/>
  <c r="S73" i="1" s="1"/>
  <c r="T73" i="1" s="1"/>
  <c r="R74" i="1"/>
  <c r="R75" i="1"/>
  <c r="S75" i="1" s="1"/>
  <c r="T75" i="1" s="1"/>
  <c r="R76" i="1"/>
  <c r="R77" i="1"/>
  <c r="R78" i="1"/>
  <c r="R79" i="1"/>
  <c r="R80" i="1"/>
  <c r="R81" i="1"/>
  <c r="S81" i="1" s="1"/>
  <c r="T81" i="1" s="1"/>
  <c r="R82" i="1"/>
  <c r="R83" i="1"/>
  <c r="S83" i="1" s="1"/>
  <c r="T83" i="1" s="1"/>
  <c r="R84" i="1"/>
  <c r="R85" i="1"/>
  <c r="R86" i="1"/>
  <c r="R87" i="1"/>
  <c r="R88" i="1"/>
  <c r="R89" i="1"/>
  <c r="S89" i="1" s="1"/>
  <c r="T89" i="1" s="1"/>
  <c r="R90" i="1"/>
  <c r="R91" i="1"/>
  <c r="S91" i="1" s="1"/>
  <c r="T91" i="1" s="1"/>
  <c r="R92" i="1"/>
  <c r="R93" i="1"/>
  <c r="R94" i="1"/>
  <c r="R95" i="1"/>
  <c r="R96" i="1"/>
  <c r="R97" i="1"/>
  <c r="S97" i="1" s="1"/>
  <c r="T97" i="1" s="1"/>
  <c r="R98" i="1"/>
  <c r="R99" i="1"/>
  <c r="S99" i="1" s="1"/>
  <c r="T99" i="1" s="1"/>
  <c r="R100" i="1"/>
  <c r="R101" i="1"/>
  <c r="R102" i="1"/>
  <c r="R103" i="1"/>
  <c r="R104" i="1"/>
  <c r="R105" i="1"/>
  <c r="S105" i="1" s="1"/>
  <c r="T105" i="1" s="1"/>
  <c r="R106" i="1"/>
  <c r="R107" i="1"/>
  <c r="S107" i="1" s="1"/>
  <c r="T107" i="1" s="1"/>
  <c r="R108" i="1"/>
  <c r="R109" i="1"/>
  <c r="R110" i="1"/>
  <c r="R111" i="1"/>
  <c r="R112" i="1"/>
  <c r="R113" i="1"/>
  <c r="S113" i="1" s="1"/>
  <c r="T113" i="1" s="1"/>
  <c r="R114" i="1"/>
  <c r="R115" i="1"/>
  <c r="S115" i="1" s="1"/>
  <c r="T115" i="1" s="1"/>
  <c r="R116" i="1"/>
  <c r="R117" i="1"/>
  <c r="R118" i="1"/>
  <c r="R119" i="1"/>
  <c r="R120" i="1"/>
  <c r="R121" i="1"/>
  <c r="S121" i="1" s="1"/>
  <c r="T121" i="1" s="1"/>
  <c r="R122" i="1"/>
  <c r="R35" i="1"/>
  <c r="K30" i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J30" i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X30" i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R1" i="1"/>
  <c r="T11" i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30" i="1"/>
  <c r="T30" i="1" s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S37" i="1"/>
  <c r="T37" i="1" s="1"/>
  <c r="S38" i="1"/>
  <c r="T38" i="1" s="1"/>
  <c r="S39" i="1"/>
  <c r="T39" i="1" s="1"/>
  <c r="S40" i="1"/>
  <c r="T40" i="1" s="1"/>
  <c r="S42" i="1"/>
  <c r="T42" i="1" s="1"/>
  <c r="S44" i="1"/>
  <c r="T44" i="1" s="1"/>
  <c r="S45" i="1"/>
  <c r="T45" i="1" s="1"/>
  <c r="S46" i="1"/>
  <c r="T46" i="1" s="1"/>
  <c r="S47" i="1"/>
  <c r="T47" i="1" s="1"/>
  <c r="S48" i="1"/>
  <c r="T48" i="1" s="1"/>
  <c r="S50" i="1"/>
  <c r="T50" i="1" s="1"/>
  <c r="S52" i="1"/>
  <c r="T52" i="1" s="1"/>
  <c r="S53" i="1"/>
  <c r="T53" i="1" s="1"/>
  <c r="S54" i="1"/>
  <c r="T54" i="1" s="1"/>
  <c r="S55" i="1"/>
  <c r="T55" i="1" s="1"/>
  <c r="S56" i="1"/>
  <c r="T56" i="1" s="1"/>
  <c r="S58" i="1"/>
  <c r="T58" i="1" s="1"/>
  <c r="S60" i="1"/>
  <c r="T60" i="1" s="1"/>
  <c r="S61" i="1"/>
  <c r="T61" i="1" s="1"/>
  <c r="S62" i="1"/>
  <c r="T62" i="1" s="1"/>
  <c r="S63" i="1"/>
  <c r="T63" i="1" s="1"/>
  <c r="S64" i="1"/>
  <c r="T64" i="1" s="1"/>
  <c r="S66" i="1"/>
  <c r="T66" i="1" s="1"/>
  <c r="S68" i="1"/>
  <c r="T68" i="1" s="1"/>
  <c r="S69" i="1"/>
  <c r="T69" i="1" s="1"/>
  <c r="S70" i="1"/>
  <c r="T70" i="1" s="1"/>
  <c r="S71" i="1"/>
  <c r="T71" i="1" s="1"/>
  <c r="S72" i="1"/>
  <c r="T72" i="1" s="1"/>
  <c r="S74" i="1"/>
  <c r="T74" i="1" s="1"/>
  <c r="S76" i="1"/>
  <c r="T76" i="1" s="1"/>
  <c r="S77" i="1"/>
  <c r="T77" i="1" s="1"/>
  <c r="S78" i="1"/>
  <c r="T78" i="1" s="1"/>
  <c r="S79" i="1"/>
  <c r="T79" i="1" s="1"/>
  <c r="S80" i="1"/>
  <c r="T80" i="1" s="1"/>
  <c r="S82" i="1"/>
  <c r="T82" i="1" s="1"/>
  <c r="S84" i="1"/>
  <c r="T84" i="1" s="1"/>
  <c r="S85" i="1"/>
  <c r="T85" i="1" s="1"/>
  <c r="S86" i="1"/>
  <c r="T86" i="1" s="1"/>
  <c r="S87" i="1"/>
  <c r="T87" i="1" s="1"/>
  <c r="S88" i="1"/>
  <c r="T88" i="1" s="1"/>
  <c r="S90" i="1"/>
  <c r="T90" i="1" s="1"/>
  <c r="S92" i="1"/>
  <c r="T92" i="1" s="1"/>
  <c r="S93" i="1"/>
  <c r="T93" i="1" s="1"/>
  <c r="S94" i="1"/>
  <c r="T94" i="1" s="1"/>
  <c r="S95" i="1"/>
  <c r="T95" i="1" s="1"/>
  <c r="S96" i="1"/>
  <c r="T96" i="1" s="1"/>
  <c r="S98" i="1"/>
  <c r="T98" i="1" s="1"/>
  <c r="S100" i="1"/>
  <c r="T100" i="1" s="1"/>
  <c r="S101" i="1"/>
  <c r="T101" i="1" s="1"/>
  <c r="S102" i="1"/>
  <c r="T102" i="1" s="1"/>
  <c r="S103" i="1"/>
  <c r="T103" i="1" s="1"/>
  <c r="S104" i="1"/>
  <c r="T104" i="1" s="1"/>
  <c r="S106" i="1"/>
  <c r="T106" i="1" s="1"/>
  <c r="S108" i="1"/>
  <c r="T108" i="1" s="1"/>
  <c r="S109" i="1"/>
  <c r="T109" i="1" s="1"/>
  <c r="S110" i="1"/>
  <c r="T110" i="1" s="1"/>
  <c r="S111" i="1"/>
  <c r="T111" i="1" s="1"/>
  <c r="S112" i="1"/>
  <c r="T112" i="1" s="1"/>
  <c r="S114" i="1"/>
  <c r="T114" i="1" s="1"/>
  <c r="S116" i="1"/>
  <c r="T116" i="1" s="1"/>
  <c r="S117" i="1"/>
  <c r="T117" i="1" s="1"/>
  <c r="S118" i="1"/>
  <c r="T118" i="1" s="1"/>
  <c r="S119" i="1"/>
  <c r="T119" i="1" s="1"/>
  <c r="S120" i="1"/>
  <c r="T120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6" i="1"/>
  <c r="T216" i="1" s="1"/>
  <c r="S217" i="1"/>
  <c r="T217" i="1" s="1"/>
  <c r="S218" i="1"/>
  <c r="T218" i="1" s="1"/>
  <c r="S220" i="1"/>
  <c r="T220" i="1" s="1"/>
  <c r="S221" i="1"/>
  <c r="T221" i="1" s="1"/>
  <c r="S222" i="1"/>
  <c r="T222" i="1" s="1"/>
  <c r="S223" i="1"/>
  <c r="T223" i="1" s="1"/>
  <c r="S225" i="1"/>
  <c r="T225" i="1" s="1"/>
  <c r="S226" i="1"/>
  <c r="T226" i="1" s="1"/>
  <c r="S228" i="1"/>
  <c r="T228" i="1" s="1"/>
  <c r="S229" i="1"/>
  <c r="T229" i="1" s="1"/>
  <c r="S230" i="1"/>
  <c r="T230" i="1" s="1"/>
  <c r="S231" i="1"/>
  <c r="T231" i="1" s="1"/>
  <c r="S233" i="1"/>
  <c r="T233" i="1" s="1"/>
  <c r="S234" i="1"/>
  <c r="T234" i="1" s="1"/>
  <c r="S236" i="1"/>
  <c r="T236" i="1" s="1"/>
  <c r="S237" i="1"/>
  <c r="T237" i="1" s="1"/>
  <c r="S238" i="1"/>
  <c r="T238" i="1" s="1"/>
  <c r="S239" i="1"/>
  <c r="T239" i="1" s="1"/>
  <c r="S241" i="1"/>
  <c r="T241" i="1" s="1"/>
  <c r="S242" i="1"/>
  <c r="T242" i="1" s="1"/>
  <c r="S244" i="1"/>
  <c r="T244" i="1" s="1"/>
  <c r="S245" i="1"/>
  <c r="T245" i="1" s="1"/>
  <c r="S246" i="1"/>
  <c r="T246" i="1" s="1"/>
  <c r="S247" i="1"/>
  <c r="T247" i="1" s="1"/>
  <c r="S249" i="1"/>
  <c r="T249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T293" i="1" s="1"/>
  <c r="S294" i="1"/>
  <c r="T294" i="1" s="1"/>
  <c r="S295" i="1"/>
  <c r="T295" i="1" s="1"/>
  <c r="S297" i="1"/>
  <c r="T297" i="1" s="1"/>
  <c r="S298" i="1"/>
  <c r="T298" i="1" s="1"/>
  <c r="S299" i="1"/>
  <c r="T299" i="1" s="1"/>
  <c r="S300" i="1"/>
  <c r="T300" i="1" s="1"/>
  <c r="S301" i="1"/>
  <c r="T301" i="1" s="1"/>
  <c r="S303" i="1"/>
  <c r="T303" i="1" s="1"/>
  <c r="S305" i="1"/>
  <c r="T305" i="1" s="1"/>
  <c r="S306" i="1"/>
  <c r="T306" i="1" s="1"/>
  <c r="S307" i="1"/>
  <c r="T307" i="1" s="1"/>
  <c r="S308" i="1"/>
  <c r="T308" i="1" s="1"/>
  <c r="S309" i="1"/>
  <c r="T309" i="1" s="1"/>
  <c r="S311" i="1"/>
  <c r="T311" i="1" s="1"/>
  <c r="S313" i="1"/>
  <c r="T313" i="1" s="1"/>
  <c r="S314" i="1"/>
  <c r="T314" i="1" s="1"/>
  <c r="S315" i="1"/>
  <c r="T315" i="1" s="1"/>
  <c r="S316" i="1"/>
  <c r="T316" i="1" s="1"/>
  <c r="S317" i="1"/>
  <c r="T317" i="1" s="1"/>
  <c r="S319" i="1"/>
  <c r="T319" i="1" s="1"/>
  <c r="S321" i="1"/>
  <c r="T321" i="1" s="1"/>
  <c r="S322" i="1"/>
  <c r="T322" i="1" s="1"/>
  <c r="S323" i="1"/>
  <c r="T323" i="1" s="1"/>
  <c r="S324" i="1"/>
  <c r="T324" i="1" s="1"/>
  <c r="S325" i="1"/>
  <c r="T325" i="1" s="1"/>
  <c r="S327" i="1"/>
  <c r="T327" i="1" s="1"/>
  <c r="S329" i="1"/>
  <c r="T329" i="1" s="1"/>
  <c r="S330" i="1"/>
  <c r="T330" i="1" s="1"/>
  <c r="S331" i="1"/>
  <c r="T331" i="1" s="1"/>
  <c r="S332" i="1"/>
  <c r="T332" i="1" s="1"/>
  <c r="S333" i="1"/>
  <c r="T333" i="1" s="1"/>
  <c r="S335" i="1"/>
  <c r="T335" i="1" s="1"/>
  <c r="S337" i="1"/>
  <c r="T337" i="1" s="1"/>
  <c r="S338" i="1"/>
  <c r="T338" i="1" s="1"/>
  <c r="S339" i="1"/>
  <c r="T339" i="1" s="1"/>
  <c r="S340" i="1"/>
  <c r="T340" i="1" s="1"/>
  <c r="S341" i="1"/>
  <c r="T341" i="1" s="1"/>
  <c r="S343" i="1"/>
  <c r="T343" i="1" s="1"/>
  <c r="S345" i="1"/>
  <c r="T345" i="1" s="1"/>
  <c r="S346" i="1"/>
  <c r="T346" i="1" s="1"/>
  <c r="S347" i="1"/>
  <c r="T347" i="1" s="1"/>
  <c r="S348" i="1"/>
  <c r="T348" i="1" s="1"/>
  <c r="S349" i="1"/>
  <c r="T349" i="1" s="1"/>
  <c r="S351" i="1"/>
  <c r="T351" i="1" s="1"/>
  <c r="S353" i="1"/>
  <c r="T353" i="1" s="1"/>
  <c r="S354" i="1"/>
  <c r="T354" i="1" s="1"/>
  <c r="S355" i="1"/>
  <c r="T355" i="1" s="1"/>
  <c r="S356" i="1"/>
  <c r="T356" i="1" s="1"/>
  <c r="S357" i="1"/>
  <c r="T357" i="1" s="1"/>
  <c r="S358" i="1"/>
  <c r="T358" i="1" s="1"/>
  <c r="S359" i="1"/>
  <c r="T359" i="1" s="1"/>
  <c r="S360" i="1"/>
  <c r="T360" i="1" s="1"/>
  <c r="S361" i="1"/>
  <c r="T361" i="1" s="1"/>
  <c r="S362" i="1"/>
  <c r="T362" i="1" s="1"/>
  <c r="S363" i="1"/>
  <c r="T363" i="1" s="1"/>
  <c r="S364" i="1"/>
  <c r="T364" i="1" s="1"/>
  <c r="S365" i="1"/>
  <c r="T365" i="1" s="1"/>
  <c r="S366" i="1"/>
  <c r="T366" i="1" s="1"/>
  <c r="S367" i="1"/>
  <c r="T367" i="1" s="1"/>
  <c r="S4" i="1"/>
  <c r="T4" i="1" s="1"/>
  <c r="O5" i="1"/>
  <c r="O6" i="1"/>
  <c r="O7" i="1"/>
  <c r="O8" i="1"/>
  <c r="O9" i="1"/>
  <c r="O10" i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4" i="1"/>
  <c r="U30" i="1" l="1"/>
  <c r="K124" i="1"/>
  <c r="K125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6" i="1" s="1"/>
  <c r="K217" i="1" s="1"/>
  <c r="K218" i="1" s="1"/>
  <c r="U31" i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l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V39" i="1"/>
  <c r="V41" i="1" s="1"/>
  <c r="V37" i="1"/>
  <c r="V35" i="1"/>
  <c r="V130" i="1" l="1"/>
  <c r="V128" i="1"/>
  <c r="V132" i="1"/>
  <c r="V134" i="1" s="1"/>
  <c r="U220" i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V230" i="1" l="1"/>
  <c r="U251" i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V264" i="1" l="1"/>
  <c r="U272" i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l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V285" i="1"/>
  <c r="V308" i="1" l="1"/>
  <c r="U313" i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67" i="1" s="1"/>
  <c r="V325" i="1" l="1"/>
</calcChain>
</file>

<file path=xl/sharedStrings.xml><?xml version="1.0" encoding="utf-8"?>
<sst xmlns="http://schemas.openxmlformats.org/spreadsheetml/2006/main" count="163" uniqueCount="59">
  <si>
    <t>LAMBX</t>
  </si>
  <si>
    <t>LAMBY</t>
  </si>
  <si>
    <t>DATE</t>
  </si>
  <si>
    <t>PRELIQ_Q</t>
  </si>
  <si>
    <t>T_Q</t>
  </si>
  <si>
    <t>SSI_Q</t>
  </si>
  <si>
    <t>ETP_Q</t>
  </si>
  <si>
    <t>TINF_H_Q</t>
  </si>
  <si>
    <t>TSUP_H_Q</t>
  </si>
  <si>
    <t>FLORAISON</t>
  </si>
  <si>
    <t>VERN</t>
  </si>
  <si>
    <t>PERIODE</t>
  </si>
  <si>
    <t>GDD/P</t>
  </si>
  <si>
    <t>GDD/C</t>
  </si>
  <si>
    <t>IPC</t>
  </si>
  <si>
    <t>P-ETP</t>
  </si>
  <si>
    <t>RU init</t>
  </si>
  <si>
    <t>i</t>
  </si>
  <si>
    <t>kc</t>
  </si>
  <si>
    <t>ETM</t>
  </si>
  <si>
    <t>P-ETM</t>
  </si>
  <si>
    <t>WSCi</t>
  </si>
  <si>
    <t>SSI/p</t>
  </si>
  <si>
    <t>Photopériod</t>
  </si>
  <si>
    <t>Temperature</t>
  </si>
  <si>
    <t>Water</t>
  </si>
  <si>
    <t>SOLAR</t>
  </si>
  <si>
    <t>RU</t>
  </si>
  <si>
    <t>1/3</t>
  </si>
  <si>
    <t>H</t>
  </si>
  <si>
    <t>Semis</t>
  </si>
  <si>
    <t>Levée</t>
  </si>
  <si>
    <t>FLO</t>
  </si>
  <si>
    <t>FINFLO</t>
  </si>
  <si>
    <t>Récolte</t>
  </si>
  <si>
    <t>s</t>
  </si>
  <si>
    <t>f</t>
  </si>
  <si>
    <t>LGDD</t>
  </si>
  <si>
    <t>TMN</t>
  </si>
  <si>
    <t>TMIN</t>
  </si>
  <si>
    <t>TMAX</t>
  </si>
  <si>
    <t>NBD_HT</t>
  </si>
  <si>
    <t>NBD_LT</t>
  </si>
  <si>
    <t>NBD_FR</t>
  </si>
  <si>
    <t>NBD_WD</t>
  </si>
  <si>
    <t>NBD_WS</t>
  </si>
  <si>
    <t>WSC_MIN</t>
  </si>
  <si>
    <t>WSC_MAX</t>
  </si>
  <si>
    <t>WSC_MN</t>
  </si>
  <si>
    <t>SSR</t>
  </si>
  <si>
    <t>QPT</t>
  </si>
  <si>
    <t>NBD_DSR</t>
  </si>
  <si>
    <t>NBD_VERN</t>
  </si>
  <si>
    <t>N20</t>
  </si>
  <si>
    <t>WSC_I</t>
  </si>
  <si>
    <t>BI</t>
  </si>
  <si>
    <t>DRF</t>
  </si>
  <si>
    <t>TS</t>
  </si>
  <si>
    <t>IRF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</si>
</sst>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5FC9"/>
        <bgColor indexed="64"/>
      </patternFill>
    </fill>
    <fill>
      <patternFill patternType="solid">
        <fgColor rgb="FFC67DFF"/>
        <bgColor indexed="64"/>
      </patternFill>
    </fill>
    <fill>
      <patternFill patternType="solid">
        <fgColor rgb="FF05A6FF"/>
        <bgColor indexed="64"/>
      </patternFill>
    </fill>
    <fill>
      <patternFill patternType="solid">
        <fgColor rgb="FF0ABFC6"/>
        <bgColor indexed="64"/>
      </patternFill>
    </fill>
    <fill>
      <patternFill patternType="solid">
        <fgColor rgb="FF00CC67"/>
        <bgColor indexed="64"/>
      </patternFill>
    </fill>
    <fill>
      <patternFill patternType="solid">
        <fgColor rgb="FF7BAE02"/>
        <bgColor indexed="64"/>
      </patternFill>
    </fill>
    <fill>
      <patternFill patternType="solid">
        <fgColor rgb="FFCF9C0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9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6" fillId="0" borderId="0" xfId="0" applyFont="1"/>
    <xf numFmtId="0" fontId="16" fillId="0" borderId="0" xfId="0" quotePrefix="1" applyFont="1"/>
    <xf numFmtId="164" fontId="16" fillId="0" borderId="0" xfId="0" applyNumberFormat="1" applyFont="1"/>
    <xf numFmtId="14" fontId="0" fillId="0" borderId="0" xfId="0" applyNumberFormat="1"/>
    <xf numFmtId="0" fontId="16" fillId="0" borderId="10" xfId="0" applyFont="1" applyBorder="1"/>
    <xf numFmtId="14" fontId="16" fillId="0" borderId="10" xfId="0" applyNumberFormat="1" applyFont="1" applyBorder="1"/>
    <xf numFmtId="0" fontId="16" fillId="33" borderId="11" xfId="0" applyFont="1" applyFill="1" applyBorder="1"/>
    <xf numFmtId="0" fontId="0" fillId="0" borderId="11" xfId="0" applyBorder="1"/>
    <xf numFmtId="164" fontId="0" fillId="0" borderId="11" xfId="0" applyNumberFormat="1" applyBorder="1"/>
    <xf numFmtId="0" fontId="0" fillId="0" borderId="11" xfId="0" applyFont="1" applyBorder="1"/>
    <xf numFmtId="0" fontId="16" fillId="33" borderId="0" xfId="0" applyFont="1" applyFill="1"/>
    <xf numFmtId="0" fontId="16" fillId="34" borderId="11" xfId="0" applyFont="1" applyFill="1" applyBorder="1"/>
    <xf numFmtId="0" fontId="16" fillId="34" borderId="0" xfId="0" applyFont="1" applyFill="1"/>
    <xf numFmtId="0" fontId="16" fillId="35" borderId="11" xfId="0" applyFont="1" applyFill="1" applyBorder="1"/>
    <xf numFmtId="0" fontId="16" fillId="35" borderId="0" xfId="0" applyFont="1" applyFill="1"/>
    <xf numFmtId="0" fontId="16" fillId="36" borderId="11" xfId="0" applyFont="1" applyFill="1" applyBorder="1"/>
    <xf numFmtId="0" fontId="0" fillId="0" borderId="11" xfId="0" applyFill="1" applyBorder="1"/>
    <xf numFmtId="0" fontId="16" fillId="36" borderId="0" xfId="0" applyFont="1" applyFill="1"/>
    <xf numFmtId="0" fontId="16" fillId="37" borderId="11" xfId="0" applyFont="1" applyFill="1" applyBorder="1"/>
    <xf numFmtId="0" fontId="16" fillId="37" borderId="0" xfId="0" applyFont="1" applyFill="1"/>
    <xf numFmtId="0" fontId="16" fillId="38" borderId="11" xfId="0" applyFont="1" applyFill="1" applyBorder="1"/>
    <xf numFmtId="0" fontId="16" fillId="38" borderId="0" xfId="0" applyFont="1" applyFill="1"/>
    <xf numFmtId="0" fontId="16" fillId="39" borderId="11" xfId="0" applyFont="1" applyFill="1" applyBorder="1"/>
    <xf numFmtId="0" fontId="16" fillId="39" borderId="0" xfId="0" applyFont="1" applyFill="1"/>
    <xf numFmtId="0" fontId="0" fillId="0" borderId="0" xfId="0" applyFont="1" applyBorder="1"/>
    <xf numFmtId="14" fontId="0" fillId="0" borderId="0" xfId="0" applyNumberFormat="1" applyFont="1" applyBorder="1"/>
    <xf numFmtId="0" fontId="16" fillId="36" borderId="12" xfId="0" applyFont="1" applyFill="1" applyBorder="1"/>
    <xf numFmtId="0" fontId="16" fillId="36" borderId="10" xfId="0" applyFont="1" applyFill="1" applyBorder="1"/>
    <xf numFmtId="0" fontId="0" fillId="0" borderId="10" xfId="0" applyBorder="1"/>
    <xf numFmtId="0" fontId="16" fillId="0" borderId="0" xfId="0" applyFont="1" applyAlignment="1">
      <alignment horizontal="center"/>
    </xf>
    <xf numFmtId="0" fontId="0" fillId="40" borderId="0" xfId="0" applyFill="1"/>
    <xf numFmtId="14" fontId="0" fillId="40" borderId="0" xfId="0" applyNumberFormat="1" applyFill="1"/>
    <xf numFmtId="0" fontId="0" fillId="40" borderId="11" xfId="0" applyFill="1" applyBorder="1"/>
    <xf numFmtId="164" fontId="0" fillId="40" borderId="0" xfId="0" applyNumberFormat="1" applyFill="1"/>
    <xf numFmtId="0" fontId="0" fillId="41" borderId="0" xfId="0" applyFill="1"/>
    <xf numFmtId="0" fontId="0" fillId="41" borderId="0" xfId="0" applyFont="1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1"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rgb="FFFFC000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7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7"/>
  <sheetViews>
    <sheetView tabSelected="1" zoomScale="90" zoomScaleNormal="90" workbookViewId="0">
      <pane xSplit="6" ySplit="3" topLeftCell="J216" activePane="bottomRight" state="frozen"/>
      <selection pane="topRight" activeCell="G1" sqref="G1"/>
      <selection pane="bottomLeft" activeCell="A4" sqref="A4"/>
      <selection pane="bottomRight" activeCell="AB240" sqref="AB240"/>
    </sheetView>
  </sheetViews>
  <sheetFormatPr baseColWidth="10" defaultRowHeight="15" x14ac:dyDescent="0.25"/>
  <sheetData>
    <row r="1" spans="1:26" s="3" customFormat="1" x14ac:dyDescent="0.25">
      <c r="O1" s="3" t="s">
        <v>27</v>
      </c>
      <c r="P1" s="3">
        <v>218.9</v>
      </c>
      <c r="Q1" s="4" t="s">
        <v>28</v>
      </c>
      <c r="R1" s="5">
        <f>P1/3</f>
        <v>72.966666666666669</v>
      </c>
    </row>
    <row r="2" spans="1:26" s="3" customFormat="1" x14ac:dyDescent="0.25">
      <c r="G2" s="32" t="s">
        <v>24</v>
      </c>
      <c r="H2" s="32"/>
      <c r="I2" s="32"/>
      <c r="J2" s="32"/>
      <c r="K2" s="32"/>
      <c r="L2" s="32"/>
      <c r="M2" s="32" t="s">
        <v>25</v>
      </c>
      <c r="N2" s="32"/>
      <c r="O2" s="32"/>
      <c r="P2" s="32"/>
      <c r="Q2" s="32"/>
      <c r="R2" s="32"/>
      <c r="S2" s="32"/>
      <c r="T2" s="32"/>
      <c r="U2" s="32"/>
      <c r="V2" s="32"/>
      <c r="W2" s="32" t="s">
        <v>26</v>
      </c>
      <c r="X2" s="32"/>
      <c r="Y2" s="32"/>
      <c r="Z2" s="32"/>
    </row>
    <row r="3" spans="1:26" s="3" customFormat="1" x14ac:dyDescent="0.25">
      <c r="A3" s="3" t="s">
        <v>0</v>
      </c>
      <c r="B3" s="3" t="s">
        <v>1</v>
      </c>
      <c r="C3" s="3" t="s">
        <v>2</v>
      </c>
      <c r="D3" s="3" t="s">
        <v>9</v>
      </c>
      <c r="E3" s="3" t="s">
        <v>10</v>
      </c>
      <c r="F3" s="3" t="s">
        <v>11</v>
      </c>
      <c r="G3" s="3" t="s">
        <v>4</v>
      </c>
      <c r="H3" s="3" t="s">
        <v>7</v>
      </c>
      <c r="I3" s="3" t="s">
        <v>8</v>
      </c>
      <c r="J3" s="3" t="s">
        <v>13</v>
      </c>
      <c r="K3" s="3" t="s">
        <v>12</v>
      </c>
      <c r="L3" s="3" t="s">
        <v>14</v>
      </c>
      <c r="M3" s="3" t="s">
        <v>3</v>
      </c>
      <c r="N3" s="3" t="s">
        <v>6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14</v>
      </c>
      <c r="W3" s="3" t="s">
        <v>5</v>
      </c>
      <c r="X3" s="3" t="s">
        <v>22</v>
      </c>
      <c r="Y3" s="3" t="s">
        <v>23</v>
      </c>
      <c r="Z3" s="3" t="s">
        <v>14</v>
      </c>
    </row>
    <row r="4" spans="1:26" x14ac:dyDescent="0.25">
      <c r="A4">
        <v>5240</v>
      </c>
      <c r="B4">
        <v>23690</v>
      </c>
      <c r="C4" s="6">
        <v>42949</v>
      </c>
      <c r="G4">
        <v>21.4</v>
      </c>
      <c r="H4">
        <v>14.3</v>
      </c>
      <c r="I4">
        <v>27.1</v>
      </c>
      <c r="M4">
        <v>0.1</v>
      </c>
      <c r="N4">
        <v>2.8</v>
      </c>
      <c r="O4">
        <f>M4-N4</f>
        <v>-2.6999999999999997</v>
      </c>
      <c r="P4">
        <v>0</v>
      </c>
      <c r="S4">
        <f>R4*N4</f>
        <v>0</v>
      </c>
      <c r="T4">
        <f>M4-S4</f>
        <v>0.1</v>
      </c>
      <c r="W4">
        <v>1110</v>
      </c>
    </row>
    <row r="5" spans="1:26" x14ac:dyDescent="0.25">
      <c r="A5">
        <v>5240</v>
      </c>
      <c r="B5">
        <v>23690</v>
      </c>
      <c r="C5" s="6">
        <v>42950</v>
      </c>
      <c r="G5">
        <v>21.5</v>
      </c>
      <c r="H5">
        <v>18.7</v>
      </c>
      <c r="I5">
        <v>24.7</v>
      </c>
      <c r="M5">
        <v>0.1</v>
      </c>
      <c r="N5">
        <v>3.9</v>
      </c>
      <c r="O5">
        <f t="shared" ref="O5:O68" si="0">M5-N5</f>
        <v>-3.8</v>
      </c>
      <c r="P5">
        <v>0</v>
      </c>
      <c r="S5">
        <f t="shared" ref="S5:S68" si="1">R5*N5</f>
        <v>0</v>
      </c>
      <c r="T5">
        <f t="shared" ref="T5:T68" si="2">M5-S5</f>
        <v>0.1</v>
      </c>
      <c r="W5">
        <v>1100.4000000000001</v>
      </c>
    </row>
    <row r="6" spans="1:26" x14ac:dyDescent="0.25">
      <c r="A6">
        <v>5240</v>
      </c>
      <c r="B6">
        <v>23690</v>
      </c>
      <c r="C6" s="6">
        <v>42951</v>
      </c>
      <c r="G6">
        <v>20.399999999999999</v>
      </c>
      <c r="H6">
        <v>16.8</v>
      </c>
      <c r="I6">
        <v>23.9</v>
      </c>
      <c r="M6">
        <v>0.1</v>
      </c>
      <c r="N6">
        <v>2.5</v>
      </c>
      <c r="O6">
        <f t="shared" si="0"/>
        <v>-2.4</v>
      </c>
      <c r="P6">
        <v>0</v>
      </c>
      <c r="S6">
        <f t="shared" si="1"/>
        <v>0</v>
      </c>
      <c r="T6">
        <f t="shared" si="2"/>
        <v>0.1</v>
      </c>
      <c r="W6">
        <v>857.4</v>
      </c>
    </row>
    <row r="7" spans="1:26" x14ac:dyDescent="0.25">
      <c r="A7">
        <v>5240</v>
      </c>
      <c r="B7">
        <v>23690</v>
      </c>
      <c r="C7" s="6">
        <v>42952</v>
      </c>
      <c r="G7">
        <v>18.5</v>
      </c>
      <c r="H7">
        <v>15.3</v>
      </c>
      <c r="I7">
        <v>22.1</v>
      </c>
      <c r="M7">
        <v>0.1</v>
      </c>
      <c r="N7">
        <v>2.9</v>
      </c>
      <c r="O7">
        <f t="shared" si="0"/>
        <v>-2.8</v>
      </c>
      <c r="P7">
        <v>0</v>
      </c>
      <c r="S7">
        <f t="shared" si="1"/>
        <v>0</v>
      </c>
      <c r="T7">
        <f t="shared" si="2"/>
        <v>0.1</v>
      </c>
      <c r="W7">
        <v>1294.8</v>
      </c>
    </row>
    <row r="8" spans="1:26" x14ac:dyDescent="0.25">
      <c r="A8">
        <v>5240</v>
      </c>
      <c r="B8">
        <v>23690</v>
      </c>
      <c r="C8" s="6">
        <v>42953</v>
      </c>
      <c r="G8">
        <v>17</v>
      </c>
      <c r="H8">
        <v>11.2</v>
      </c>
      <c r="I8">
        <v>23</v>
      </c>
      <c r="M8">
        <v>0</v>
      </c>
      <c r="N8">
        <v>4.3</v>
      </c>
      <c r="O8">
        <f t="shared" si="0"/>
        <v>-4.3</v>
      </c>
      <c r="P8">
        <v>0</v>
      </c>
      <c r="S8">
        <f t="shared" si="1"/>
        <v>0</v>
      </c>
      <c r="T8">
        <f t="shared" si="2"/>
        <v>0</v>
      </c>
      <c r="W8">
        <v>2271.6</v>
      </c>
    </row>
    <row r="9" spans="1:26" x14ac:dyDescent="0.25">
      <c r="A9">
        <v>5240</v>
      </c>
      <c r="B9">
        <v>23690</v>
      </c>
      <c r="C9" s="6">
        <v>42954</v>
      </c>
      <c r="G9">
        <v>19.3</v>
      </c>
      <c r="H9">
        <v>12.5</v>
      </c>
      <c r="I9">
        <v>25.1</v>
      </c>
      <c r="M9">
        <v>0.5</v>
      </c>
      <c r="N9">
        <v>4.4000000000000004</v>
      </c>
      <c r="O9">
        <f t="shared" si="0"/>
        <v>-3.9000000000000004</v>
      </c>
      <c r="P9">
        <v>0</v>
      </c>
      <c r="S9">
        <f t="shared" si="1"/>
        <v>0</v>
      </c>
      <c r="T9">
        <f t="shared" si="2"/>
        <v>0.5</v>
      </c>
      <c r="W9">
        <v>2164.8000000000002</v>
      </c>
    </row>
    <row r="10" spans="1:26" x14ac:dyDescent="0.25">
      <c r="A10">
        <v>5240</v>
      </c>
      <c r="B10">
        <v>23690</v>
      </c>
      <c r="C10" s="6">
        <v>42955</v>
      </c>
      <c r="G10">
        <v>15.8</v>
      </c>
      <c r="H10">
        <v>14.1</v>
      </c>
      <c r="I10">
        <v>17.399999999999999</v>
      </c>
      <c r="M10">
        <v>2.5</v>
      </c>
      <c r="N10">
        <v>0.9</v>
      </c>
      <c r="O10">
        <f t="shared" si="0"/>
        <v>1.6</v>
      </c>
      <c r="P10">
        <f>P9+O10</f>
        <v>1.6</v>
      </c>
      <c r="S10">
        <f t="shared" si="1"/>
        <v>0</v>
      </c>
      <c r="T10">
        <f t="shared" si="2"/>
        <v>2.5</v>
      </c>
      <c r="W10">
        <v>357.9</v>
      </c>
    </row>
    <row r="11" spans="1:26" x14ac:dyDescent="0.25">
      <c r="A11">
        <v>5240</v>
      </c>
      <c r="B11">
        <v>23690</v>
      </c>
      <c r="C11" s="6">
        <v>42956</v>
      </c>
      <c r="G11">
        <v>12.9</v>
      </c>
      <c r="H11">
        <v>10.9</v>
      </c>
      <c r="I11">
        <v>14.4</v>
      </c>
      <c r="M11">
        <v>13.4</v>
      </c>
      <c r="N11">
        <v>0.9</v>
      </c>
      <c r="O11">
        <f t="shared" si="0"/>
        <v>12.5</v>
      </c>
      <c r="P11">
        <f t="shared" ref="P11:P28" si="3">P10+O11</f>
        <v>14.1</v>
      </c>
      <c r="S11">
        <f t="shared" si="1"/>
        <v>0</v>
      </c>
      <c r="T11">
        <f t="shared" si="2"/>
        <v>13.4</v>
      </c>
      <c r="W11">
        <v>595.1</v>
      </c>
    </row>
    <row r="12" spans="1:26" x14ac:dyDescent="0.25">
      <c r="A12">
        <v>5240</v>
      </c>
      <c r="B12">
        <v>23690</v>
      </c>
      <c r="C12" s="6">
        <v>42957</v>
      </c>
      <c r="G12">
        <v>14.6</v>
      </c>
      <c r="H12">
        <v>12.1</v>
      </c>
      <c r="I12">
        <v>17.7</v>
      </c>
      <c r="M12">
        <v>5.2</v>
      </c>
      <c r="N12">
        <v>1.3</v>
      </c>
      <c r="O12">
        <f t="shared" si="0"/>
        <v>3.9000000000000004</v>
      </c>
      <c r="P12">
        <f t="shared" si="3"/>
        <v>18</v>
      </c>
      <c r="S12">
        <f t="shared" si="1"/>
        <v>0</v>
      </c>
      <c r="T12">
        <f t="shared" si="2"/>
        <v>5.2</v>
      </c>
      <c r="W12">
        <v>861.4</v>
      </c>
    </row>
    <row r="13" spans="1:26" x14ac:dyDescent="0.25">
      <c r="A13">
        <v>5240</v>
      </c>
      <c r="B13">
        <v>23690</v>
      </c>
      <c r="C13" s="6">
        <v>42958</v>
      </c>
      <c r="G13">
        <v>16</v>
      </c>
      <c r="H13">
        <v>13</v>
      </c>
      <c r="I13">
        <v>19.7</v>
      </c>
      <c r="M13">
        <v>0</v>
      </c>
      <c r="N13">
        <v>2.5</v>
      </c>
      <c r="O13">
        <f t="shared" si="0"/>
        <v>-2.5</v>
      </c>
      <c r="P13">
        <f t="shared" si="3"/>
        <v>15.5</v>
      </c>
      <c r="S13">
        <f t="shared" si="1"/>
        <v>0</v>
      </c>
      <c r="T13">
        <f t="shared" si="2"/>
        <v>0</v>
      </c>
      <c r="W13">
        <v>1372.7</v>
      </c>
    </row>
    <row r="14" spans="1:26" x14ac:dyDescent="0.25">
      <c r="A14">
        <v>5240</v>
      </c>
      <c r="B14">
        <v>23690</v>
      </c>
      <c r="C14" s="6">
        <v>42959</v>
      </c>
      <c r="G14">
        <v>16.2</v>
      </c>
      <c r="H14">
        <v>13.1</v>
      </c>
      <c r="I14">
        <v>18.399999999999999</v>
      </c>
      <c r="M14">
        <v>1.9</v>
      </c>
      <c r="N14">
        <v>1.1000000000000001</v>
      </c>
      <c r="O14">
        <f t="shared" si="0"/>
        <v>0.79999999999999982</v>
      </c>
      <c r="P14">
        <f t="shared" si="3"/>
        <v>16.3</v>
      </c>
      <c r="S14">
        <f t="shared" si="1"/>
        <v>0</v>
      </c>
      <c r="T14">
        <f t="shared" si="2"/>
        <v>1.9</v>
      </c>
      <c r="W14">
        <v>541.79999999999995</v>
      </c>
    </row>
    <row r="15" spans="1:26" x14ac:dyDescent="0.25">
      <c r="A15">
        <v>5240</v>
      </c>
      <c r="B15">
        <v>23690</v>
      </c>
      <c r="C15" s="6">
        <v>42960</v>
      </c>
      <c r="G15">
        <v>16.2</v>
      </c>
      <c r="H15">
        <v>11.9</v>
      </c>
      <c r="I15">
        <v>20.100000000000001</v>
      </c>
      <c r="M15">
        <v>0</v>
      </c>
      <c r="N15">
        <v>2.6</v>
      </c>
      <c r="O15">
        <f t="shared" si="0"/>
        <v>-2.6</v>
      </c>
      <c r="P15">
        <f t="shared" si="3"/>
        <v>13.700000000000001</v>
      </c>
      <c r="S15">
        <f t="shared" si="1"/>
        <v>0</v>
      </c>
      <c r="T15">
        <f t="shared" si="2"/>
        <v>0</v>
      </c>
      <c r="W15">
        <v>1460.1</v>
      </c>
    </row>
    <row r="16" spans="1:26" x14ac:dyDescent="0.25">
      <c r="A16">
        <v>5240</v>
      </c>
      <c r="B16">
        <v>23690</v>
      </c>
      <c r="C16" s="6">
        <v>42961</v>
      </c>
      <c r="G16">
        <v>19.399999999999999</v>
      </c>
      <c r="H16">
        <v>11.1</v>
      </c>
      <c r="I16">
        <v>25.9</v>
      </c>
      <c r="M16">
        <v>0</v>
      </c>
      <c r="N16">
        <v>2.5</v>
      </c>
      <c r="O16">
        <f t="shared" si="0"/>
        <v>-2.5</v>
      </c>
      <c r="P16">
        <f t="shared" si="3"/>
        <v>11.200000000000001</v>
      </c>
      <c r="S16">
        <f t="shared" si="1"/>
        <v>0</v>
      </c>
      <c r="T16">
        <f t="shared" si="2"/>
        <v>0</v>
      </c>
      <c r="W16">
        <v>1245.5999999999999</v>
      </c>
    </row>
    <row r="17" spans="1:26" x14ac:dyDescent="0.25">
      <c r="A17">
        <v>5240</v>
      </c>
      <c r="B17">
        <v>23690</v>
      </c>
      <c r="C17" s="6">
        <v>42962</v>
      </c>
      <c r="G17">
        <v>21.5</v>
      </c>
      <c r="H17">
        <v>18.8</v>
      </c>
      <c r="I17">
        <v>25.4</v>
      </c>
      <c r="M17">
        <v>5.5</v>
      </c>
      <c r="N17">
        <v>2.5</v>
      </c>
      <c r="O17">
        <f t="shared" si="0"/>
        <v>3</v>
      </c>
      <c r="P17">
        <f t="shared" si="3"/>
        <v>14.200000000000001</v>
      </c>
      <c r="S17">
        <f t="shared" si="1"/>
        <v>0</v>
      </c>
      <c r="T17">
        <f t="shared" si="2"/>
        <v>5.5</v>
      </c>
      <c r="W17">
        <v>1261.8</v>
      </c>
    </row>
    <row r="18" spans="1:26" x14ac:dyDescent="0.25">
      <c r="A18">
        <v>5240</v>
      </c>
      <c r="B18">
        <v>23690</v>
      </c>
      <c r="C18" s="6">
        <v>42963</v>
      </c>
      <c r="G18">
        <v>19.100000000000001</v>
      </c>
      <c r="H18">
        <v>14.1</v>
      </c>
      <c r="I18">
        <v>23.5</v>
      </c>
      <c r="M18">
        <v>0.3</v>
      </c>
      <c r="N18">
        <v>3</v>
      </c>
      <c r="O18">
        <f t="shared" si="0"/>
        <v>-2.7</v>
      </c>
      <c r="P18">
        <f t="shared" si="3"/>
        <v>11.5</v>
      </c>
      <c r="S18">
        <f t="shared" si="1"/>
        <v>0</v>
      </c>
      <c r="T18">
        <f t="shared" si="2"/>
        <v>0.3</v>
      </c>
      <c r="W18">
        <v>1631.3</v>
      </c>
    </row>
    <row r="19" spans="1:26" x14ac:dyDescent="0.25">
      <c r="A19">
        <v>5240</v>
      </c>
      <c r="B19">
        <v>23690</v>
      </c>
      <c r="C19" s="6">
        <v>42964</v>
      </c>
      <c r="G19">
        <v>19.3</v>
      </c>
      <c r="H19">
        <v>16</v>
      </c>
      <c r="I19">
        <v>22.4</v>
      </c>
      <c r="M19">
        <v>18.399999999999999</v>
      </c>
      <c r="N19">
        <v>1.2</v>
      </c>
      <c r="O19">
        <f t="shared" si="0"/>
        <v>17.2</v>
      </c>
      <c r="P19">
        <f t="shared" si="3"/>
        <v>28.7</v>
      </c>
      <c r="S19">
        <f t="shared" si="1"/>
        <v>0</v>
      </c>
      <c r="T19">
        <f t="shared" si="2"/>
        <v>18.399999999999999</v>
      </c>
      <c r="W19">
        <v>504</v>
      </c>
    </row>
    <row r="20" spans="1:26" x14ac:dyDescent="0.25">
      <c r="A20">
        <v>5240</v>
      </c>
      <c r="B20">
        <v>23690</v>
      </c>
      <c r="C20" s="6">
        <v>42965</v>
      </c>
      <c r="G20">
        <v>17.5</v>
      </c>
      <c r="H20">
        <v>17.2</v>
      </c>
      <c r="I20">
        <v>19.100000000000001</v>
      </c>
      <c r="M20">
        <v>11.3</v>
      </c>
      <c r="N20">
        <v>1.3</v>
      </c>
      <c r="O20">
        <f t="shared" si="0"/>
        <v>10</v>
      </c>
      <c r="P20">
        <f t="shared" si="3"/>
        <v>38.700000000000003</v>
      </c>
      <c r="S20">
        <f t="shared" si="1"/>
        <v>0</v>
      </c>
      <c r="T20">
        <f t="shared" si="2"/>
        <v>11.3</v>
      </c>
      <c r="W20">
        <v>578.1</v>
      </c>
    </row>
    <row r="21" spans="1:26" x14ac:dyDescent="0.25">
      <c r="A21">
        <v>5240</v>
      </c>
      <c r="B21">
        <v>23690</v>
      </c>
      <c r="C21" s="6">
        <v>42966</v>
      </c>
      <c r="G21">
        <v>15.2</v>
      </c>
      <c r="H21">
        <v>11.3</v>
      </c>
      <c r="I21">
        <v>19.3</v>
      </c>
      <c r="M21">
        <v>0</v>
      </c>
      <c r="N21">
        <v>2.6</v>
      </c>
      <c r="O21">
        <f t="shared" si="0"/>
        <v>-2.6</v>
      </c>
      <c r="P21">
        <f t="shared" si="3"/>
        <v>36.1</v>
      </c>
      <c r="S21">
        <f t="shared" si="1"/>
        <v>0</v>
      </c>
      <c r="T21">
        <f t="shared" si="2"/>
        <v>0</v>
      </c>
      <c r="W21">
        <v>1587.7</v>
      </c>
    </row>
    <row r="22" spans="1:26" x14ac:dyDescent="0.25">
      <c r="A22">
        <v>5240</v>
      </c>
      <c r="B22">
        <v>23690</v>
      </c>
      <c r="C22" s="6">
        <v>42967</v>
      </c>
      <c r="G22">
        <v>15.9</v>
      </c>
      <c r="H22">
        <v>9.6</v>
      </c>
      <c r="I22">
        <v>19.899999999999999</v>
      </c>
      <c r="M22">
        <v>0</v>
      </c>
      <c r="N22">
        <v>2</v>
      </c>
      <c r="O22">
        <f t="shared" si="0"/>
        <v>-2</v>
      </c>
      <c r="P22">
        <f t="shared" si="3"/>
        <v>34.1</v>
      </c>
      <c r="S22">
        <f t="shared" si="1"/>
        <v>0</v>
      </c>
      <c r="T22">
        <f t="shared" si="2"/>
        <v>0</v>
      </c>
      <c r="W22">
        <v>1057.7</v>
      </c>
    </row>
    <row r="23" spans="1:26" x14ac:dyDescent="0.25">
      <c r="A23">
        <v>5240</v>
      </c>
      <c r="B23">
        <v>23690</v>
      </c>
      <c r="C23" s="6">
        <v>42968</v>
      </c>
      <c r="G23">
        <v>20.3</v>
      </c>
      <c r="H23">
        <v>16.600000000000001</v>
      </c>
      <c r="I23">
        <v>23.8</v>
      </c>
      <c r="M23">
        <v>0</v>
      </c>
      <c r="N23">
        <v>1.8</v>
      </c>
      <c r="O23">
        <f t="shared" si="0"/>
        <v>-1.8</v>
      </c>
      <c r="P23">
        <f t="shared" si="3"/>
        <v>32.300000000000004</v>
      </c>
      <c r="S23">
        <f t="shared" si="1"/>
        <v>0</v>
      </c>
      <c r="T23">
        <f t="shared" si="2"/>
        <v>0</v>
      </c>
      <c r="W23">
        <v>828.7</v>
      </c>
    </row>
    <row r="24" spans="1:26" x14ac:dyDescent="0.25">
      <c r="A24">
        <v>5240</v>
      </c>
      <c r="B24">
        <v>23690</v>
      </c>
      <c r="C24" s="6">
        <v>42969</v>
      </c>
      <c r="G24">
        <v>21.8</v>
      </c>
      <c r="H24">
        <v>16.2</v>
      </c>
      <c r="I24">
        <v>26.7</v>
      </c>
      <c r="M24">
        <v>0.2</v>
      </c>
      <c r="N24">
        <v>3.8</v>
      </c>
      <c r="O24">
        <f t="shared" si="0"/>
        <v>-3.5999999999999996</v>
      </c>
      <c r="P24">
        <f t="shared" si="3"/>
        <v>28.700000000000003</v>
      </c>
      <c r="S24">
        <f t="shared" si="1"/>
        <v>0</v>
      </c>
      <c r="T24">
        <f t="shared" si="2"/>
        <v>0.2</v>
      </c>
      <c r="W24">
        <v>1837.1</v>
      </c>
    </row>
    <row r="25" spans="1:26" x14ac:dyDescent="0.25">
      <c r="A25">
        <v>5240</v>
      </c>
      <c r="B25">
        <v>23690</v>
      </c>
      <c r="C25" s="6">
        <v>42970</v>
      </c>
      <c r="G25">
        <v>20.100000000000001</v>
      </c>
      <c r="H25">
        <v>16.7</v>
      </c>
      <c r="I25">
        <v>24.6</v>
      </c>
      <c r="M25">
        <v>0.1</v>
      </c>
      <c r="N25">
        <v>2.2000000000000002</v>
      </c>
      <c r="O25">
        <f t="shared" si="0"/>
        <v>-2.1</v>
      </c>
      <c r="P25">
        <f t="shared" si="3"/>
        <v>26.6</v>
      </c>
      <c r="S25">
        <f t="shared" si="1"/>
        <v>0</v>
      </c>
      <c r="T25">
        <f t="shared" si="2"/>
        <v>0.1</v>
      </c>
      <c r="W25">
        <v>1047.3</v>
      </c>
    </row>
    <row r="26" spans="1:26" x14ac:dyDescent="0.25">
      <c r="A26">
        <v>5240</v>
      </c>
      <c r="B26">
        <v>23690</v>
      </c>
      <c r="C26" s="6">
        <v>42971</v>
      </c>
      <c r="G26">
        <v>18.899999999999999</v>
      </c>
      <c r="H26">
        <v>13.6</v>
      </c>
      <c r="I26">
        <v>22.7</v>
      </c>
      <c r="M26">
        <v>0.8</v>
      </c>
      <c r="N26">
        <v>1.6</v>
      </c>
      <c r="O26">
        <f t="shared" si="0"/>
        <v>-0.8</v>
      </c>
      <c r="P26">
        <f t="shared" si="3"/>
        <v>25.8</v>
      </c>
      <c r="S26">
        <f t="shared" si="1"/>
        <v>0</v>
      </c>
      <c r="T26">
        <f t="shared" si="2"/>
        <v>0.8</v>
      </c>
      <c r="W26">
        <v>825.4</v>
      </c>
    </row>
    <row r="27" spans="1:26" x14ac:dyDescent="0.25">
      <c r="A27">
        <v>5240</v>
      </c>
      <c r="B27">
        <v>23690</v>
      </c>
      <c r="C27" s="6">
        <v>42972</v>
      </c>
      <c r="G27">
        <v>19</v>
      </c>
      <c r="H27">
        <v>16.399999999999999</v>
      </c>
      <c r="I27">
        <v>22.5</v>
      </c>
      <c r="M27">
        <v>7.1</v>
      </c>
      <c r="N27">
        <v>1.6</v>
      </c>
      <c r="O27">
        <f t="shared" si="0"/>
        <v>5.5</v>
      </c>
      <c r="P27">
        <f t="shared" si="3"/>
        <v>31.3</v>
      </c>
      <c r="S27">
        <f t="shared" si="1"/>
        <v>0</v>
      </c>
      <c r="T27">
        <f t="shared" si="2"/>
        <v>7.1</v>
      </c>
      <c r="W27">
        <v>820.1</v>
      </c>
    </row>
    <row r="28" spans="1:26" x14ac:dyDescent="0.25">
      <c r="A28">
        <v>5240</v>
      </c>
      <c r="B28">
        <v>23690</v>
      </c>
      <c r="C28" s="6">
        <v>42973</v>
      </c>
      <c r="G28">
        <v>21.3</v>
      </c>
      <c r="H28">
        <v>16.399999999999999</v>
      </c>
      <c r="I28">
        <v>26.4</v>
      </c>
      <c r="M28">
        <v>7.9</v>
      </c>
      <c r="N28">
        <v>1.9</v>
      </c>
      <c r="O28">
        <f t="shared" si="0"/>
        <v>6</v>
      </c>
      <c r="P28">
        <f t="shared" si="3"/>
        <v>37.299999999999997</v>
      </c>
      <c r="S28">
        <f t="shared" si="1"/>
        <v>0</v>
      </c>
      <c r="T28">
        <f t="shared" si="2"/>
        <v>7.9</v>
      </c>
      <c r="W28">
        <v>863.2</v>
      </c>
    </row>
    <row r="29" spans="1:26" s="7" customFormat="1" ht="15.75" thickBot="1" x14ac:dyDescent="0.3">
      <c r="A29" s="7">
        <v>5240</v>
      </c>
      <c r="B29" s="7">
        <v>23690</v>
      </c>
      <c r="C29" s="8">
        <v>42974</v>
      </c>
      <c r="G29" s="7">
        <v>22.2</v>
      </c>
      <c r="H29" s="7">
        <v>17.7</v>
      </c>
      <c r="I29" s="7">
        <v>26.3</v>
      </c>
      <c r="M29" s="7">
        <v>0.5</v>
      </c>
      <c r="N29" s="7">
        <v>3.4</v>
      </c>
      <c r="O29" s="7">
        <f t="shared" si="0"/>
        <v>-2.9</v>
      </c>
      <c r="P29" s="7">
        <f>P28+O29</f>
        <v>34.4</v>
      </c>
      <c r="S29" s="7">
        <f t="shared" si="1"/>
        <v>0</v>
      </c>
      <c r="T29" s="7">
        <f t="shared" si="2"/>
        <v>0.5</v>
      </c>
      <c r="W29" s="7">
        <v>1707.6</v>
      </c>
    </row>
    <row r="30" spans="1:26" x14ac:dyDescent="0.25">
      <c r="A30">
        <v>5240</v>
      </c>
      <c r="B30">
        <v>23690</v>
      </c>
      <c r="C30" s="6">
        <v>42975</v>
      </c>
      <c r="D30" t="s">
        <v>30</v>
      </c>
      <c r="G30">
        <v>22.8</v>
      </c>
      <c r="H30">
        <v>17</v>
      </c>
      <c r="I30">
        <v>27.9</v>
      </c>
      <c r="J30">
        <f>G30</f>
        <v>22.8</v>
      </c>
      <c r="K30">
        <f>G30</f>
        <v>22.8</v>
      </c>
      <c r="L30" s="9" t="s">
        <v>37</v>
      </c>
      <c r="M30">
        <v>0.1</v>
      </c>
      <c r="N30">
        <v>2.7</v>
      </c>
      <c r="O30">
        <f t="shared" si="0"/>
        <v>-2.6</v>
      </c>
      <c r="Q30">
        <v>1</v>
      </c>
      <c r="R30">
        <v>0.35</v>
      </c>
      <c r="S30">
        <f t="shared" si="1"/>
        <v>0.94499999999999995</v>
      </c>
      <c r="T30">
        <f t="shared" si="2"/>
        <v>-0.84499999999999997</v>
      </c>
      <c r="U30">
        <f>P29+T30</f>
        <v>33.555</v>
      </c>
      <c r="V30" s="13" t="s">
        <v>44</v>
      </c>
      <c r="W30">
        <v>1271.3</v>
      </c>
      <c r="X30">
        <f>W30</f>
        <v>1271.3</v>
      </c>
      <c r="Y30">
        <v>13.402955299177178</v>
      </c>
      <c r="Z30" s="13" t="s">
        <v>49</v>
      </c>
    </row>
    <row r="31" spans="1:26" x14ac:dyDescent="0.25">
      <c r="A31">
        <v>5240</v>
      </c>
      <c r="B31">
        <v>23690</v>
      </c>
      <c r="C31" s="6">
        <v>42976</v>
      </c>
      <c r="G31">
        <v>24.9</v>
      </c>
      <c r="H31">
        <v>18.7</v>
      </c>
      <c r="I31">
        <v>30.6</v>
      </c>
      <c r="J31">
        <f>J30+G31</f>
        <v>47.7</v>
      </c>
      <c r="K31">
        <f>K30+G31</f>
        <v>47.7</v>
      </c>
      <c r="L31" s="10">
        <v>1118.5999999999999</v>
      </c>
      <c r="M31">
        <v>0</v>
      </c>
      <c r="N31">
        <v>4.2</v>
      </c>
      <c r="O31">
        <f t="shared" si="0"/>
        <v>-4.2</v>
      </c>
      <c r="Q31">
        <v>2</v>
      </c>
      <c r="R31">
        <v>0.35</v>
      </c>
      <c r="S31">
        <f t="shared" si="1"/>
        <v>1.47</v>
      </c>
      <c r="T31">
        <f t="shared" si="2"/>
        <v>-1.47</v>
      </c>
      <c r="U31">
        <f>MIN(U30+T31,218.9)</f>
        <v>32.085000000000001</v>
      </c>
      <c r="V31">
        <v>0</v>
      </c>
      <c r="W31">
        <v>1857.8</v>
      </c>
      <c r="X31">
        <f>X30+W31</f>
        <v>3129.1</v>
      </c>
      <c r="Y31">
        <v>13.344796089632904</v>
      </c>
      <c r="Z31">
        <v>57572.7</v>
      </c>
    </row>
    <row r="32" spans="1:26" x14ac:dyDescent="0.25">
      <c r="A32">
        <v>5240</v>
      </c>
      <c r="B32">
        <v>23690</v>
      </c>
      <c r="C32" s="6">
        <v>42977</v>
      </c>
      <c r="G32">
        <v>16.8</v>
      </c>
      <c r="H32">
        <v>14.4</v>
      </c>
      <c r="I32">
        <v>19.600000000000001</v>
      </c>
      <c r="J32">
        <f t="shared" ref="J32:J95" si="4">J31+G32</f>
        <v>64.5</v>
      </c>
      <c r="K32">
        <f t="shared" ref="K32:K95" si="5">K31+G32</f>
        <v>64.5</v>
      </c>
      <c r="L32" s="9" t="s">
        <v>38</v>
      </c>
      <c r="M32">
        <v>6.1</v>
      </c>
      <c r="N32">
        <v>0.6</v>
      </c>
      <c r="O32">
        <f t="shared" si="0"/>
        <v>5.5</v>
      </c>
      <c r="Q32">
        <v>3</v>
      </c>
      <c r="R32">
        <v>0.35</v>
      </c>
      <c r="S32">
        <f t="shared" si="1"/>
        <v>0.21</v>
      </c>
      <c r="T32">
        <f t="shared" si="2"/>
        <v>5.89</v>
      </c>
      <c r="U32">
        <f t="shared" ref="U32:U95" si="6">MIN(U31+T32,218.9)</f>
        <v>37.975000000000001</v>
      </c>
      <c r="V32" s="13" t="s">
        <v>45</v>
      </c>
      <c r="W32">
        <v>298.7</v>
      </c>
      <c r="X32">
        <f t="shared" ref="X32:X95" si="7">X31+W32</f>
        <v>3427.7999999999997</v>
      </c>
      <c r="Y32">
        <v>13.286425210371936</v>
      </c>
      <c r="Z32" s="13" t="s">
        <v>50</v>
      </c>
    </row>
    <row r="33" spans="1:26" x14ac:dyDescent="0.25">
      <c r="A33">
        <v>5240</v>
      </c>
      <c r="B33">
        <v>23690</v>
      </c>
      <c r="C33" s="6">
        <v>42978</v>
      </c>
      <c r="G33">
        <v>14.8</v>
      </c>
      <c r="H33">
        <v>10.9</v>
      </c>
      <c r="I33">
        <v>18.100000000000001</v>
      </c>
      <c r="J33">
        <f t="shared" si="4"/>
        <v>79.3</v>
      </c>
      <c r="K33">
        <f t="shared" si="5"/>
        <v>79.3</v>
      </c>
      <c r="L33" s="11">
        <f>AVERAGE(G30:G122)</f>
        <v>12.027956989247308</v>
      </c>
      <c r="M33">
        <v>0.5</v>
      </c>
      <c r="N33">
        <v>1.7</v>
      </c>
      <c r="O33">
        <f t="shared" si="0"/>
        <v>-1.2</v>
      </c>
      <c r="Q33">
        <v>4</v>
      </c>
      <c r="R33">
        <v>0.35</v>
      </c>
      <c r="S33">
        <f t="shared" si="1"/>
        <v>0.59499999999999997</v>
      </c>
      <c r="T33">
        <f t="shared" si="2"/>
        <v>-9.4999999999999973E-2</v>
      </c>
      <c r="U33">
        <f t="shared" si="6"/>
        <v>37.880000000000003</v>
      </c>
      <c r="V33">
        <v>16</v>
      </c>
      <c r="W33">
        <v>1064.3</v>
      </c>
      <c r="X33">
        <f t="shared" si="7"/>
        <v>4492.0999999999995</v>
      </c>
      <c r="Y33">
        <v>13.227854415463099</v>
      </c>
      <c r="Z33">
        <f>(Z31/100)/L31</f>
        <v>0.51468532093688546</v>
      </c>
    </row>
    <row r="34" spans="1:26" x14ac:dyDescent="0.25">
      <c r="A34">
        <v>5240</v>
      </c>
      <c r="B34">
        <v>23690</v>
      </c>
      <c r="C34" s="6">
        <v>42979</v>
      </c>
      <c r="D34" t="s">
        <v>31</v>
      </c>
      <c r="G34">
        <v>14.7</v>
      </c>
      <c r="H34">
        <v>11.4</v>
      </c>
      <c r="I34">
        <v>19.100000000000001</v>
      </c>
      <c r="J34">
        <f t="shared" si="4"/>
        <v>94</v>
      </c>
      <c r="K34">
        <f t="shared" si="5"/>
        <v>94</v>
      </c>
      <c r="L34" s="9" t="s">
        <v>39</v>
      </c>
      <c r="M34">
        <v>0.9</v>
      </c>
      <c r="N34">
        <v>1.6</v>
      </c>
      <c r="O34">
        <f t="shared" si="0"/>
        <v>-0.70000000000000007</v>
      </c>
      <c r="Q34" s="3">
        <v>5</v>
      </c>
      <c r="R34">
        <v>0.35</v>
      </c>
      <c r="S34">
        <f t="shared" si="1"/>
        <v>0.55999999999999994</v>
      </c>
      <c r="T34">
        <f t="shared" si="2"/>
        <v>0.34000000000000008</v>
      </c>
      <c r="U34">
        <f t="shared" si="6"/>
        <v>38.220000000000006</v>
      </c>
      <c r="V34" s="13" t="s">
        <v>46</v>
      </c>
      <c r="W34">
        <v>1117.8</v>
      </c>
      <c r="X34">
        <f t="shared" si="7"/>
        <v>5609.9</v>
      </c>
      <c r="Y34">
        <v>13.169095147088768</v>
      </c>
      <c r="Z34" s="13" t="s">
        <v>51</v>
      </c>
    </row>
    <row r="35" spans="1:26" x14ac:dyDescent="0.25">
      <c r="A35">
        <v>5240</v>
      </c>
      <c r="B35">
        <v>23690</v>
      </c>
      <c r="C35" s="6">
        <v>42980</v>
      </c>
      <c r="G35">
        <v>14.8</v>
      </c>
      <c r="H35">
        <v>11.4</v>
      </c>
      <c r="I35">
        <v>19.8</v>
      </c>
      <c r="J35">
        <f t="shared" si="4"/>
        <v>108.8</v>
      </c>
      <c r="K35">
        <f t="shared" si="5"/>
        <v>108.8</v>
      </c>
      <c r="L35" s="12">
        <f>MIN(H30:H122)</f>
        <v>-2.5</v>
      </c>
      <c r="M35">
        <v>0.2</v>
      </c>
      <c r="N35">
        <v>2.5</v>
      </c>
      <c r="O35">
        <f t="shared" si="0"/>
        <v>-2.2999999999999998</v>
      </c>
      <c r="Q35">
        <v>6</v>
      </c>
      <c r="R35">
        <f>0.35+((Q35-5)/88)*(1-0.35)</f>
        <v>0.35738636363636361</v>
      </c>
      <c r="S35">
        <f t="shared" si="1"/>
        <v>0.89346590909090906</v>
      </c>
      <c r="T35">
        <f t="shared" si="2"/>
        <v>-0.69346590909090899</v>
      </c>
      <c r="U35">
        <f t="shared" si="6"/>
        <v>37.526534090909095</v>
      </c>
      <c r="V35" s="1">
        <f>MIN(U30:U122)</f>
        <v>32.085000000000001</v>
      </c>
      <c r="W35">
        <v>1461.1</v>
      </c>
      <c r="X35">
        <f t="shared" si="7"/>
        <v>7071</v>
      </c>
      <c r="Y35">
        <v>13.110158547985401</v>
      </c>
      <c r="Z35">
        <v>70</v>
      </c>
    </row>
    <row r="36" spans="1:26" x14ac:dyDescent="0.25">
      <c r="A36">
        <v>5240</v>
      </c>
      <c r="B36">
        <v>23690</v>
      </c>
      <c r="C36" s="6">
        <v>42981</v>
      </c>
      <c r="G36">
        <v>15.2</v>
      </c>
      <c r="H36">
        <v>9.6999999999999993</v>
      </c>
      <c r="I36">
        <v>20.5</v>
      </c>
      <c r="J36">
        <f t="shared" si="4"/>
        <v>124</v>
      </c>
      <c r="K36">
        <f t="shared" si="5"/>
        <v>124</v>
      </c>
      <c r="L36" s="9" t="s">
        <v>40</v>
      </c>
      <c r="M36">
        <v>1</v>
      </c>
      <c r="N36">
        <v>2.2999999999999998</v>
      </c>
      <c r="O36">
        <f t="shared" si="0"/>
        <v>-1.2999999999999998</v>
      </c>
      <c r="Q36">
        <v>7</v>
      </c>
      <c r="R36">
        <f t="shared" ref="R36:R99" si="8">0.35+((Q36-5)/88)*(1-0.35)</f>
        <v>0.36477272727272725</v>
      </c>
      <c r="S36">
        <f t="shared" si="1"/>
        <v>0.83897727272727263</v>
      </c>
      <c r="T36">
        <f t="shared" si="2"/>
        <v>0.16102272727272737</v>
      </c>
      <c r="U36">
        <f t="shared" si="6"/>
        <v>37.687556818181825</v>
      </c>
      <c r="V36" s="13" t="s">
        <v>47</v>
      </c>
      <c r="W36">
        <v>1276.5</v>
      </c>
      <c r="X36">
        <f t="shared" si="7"/>
        <v>8347.5</v>
      </c>
      <c r="Y36">
        <v>13.05105547424011</v>
      </c>
    </row>
    <row r="37" spans="1:26" x14ac:dyDescent="0.25">
      <c r="A37">
        <v>5240</v>
      </c>
      <c r="B37">
        <v>23690</v>
      </c>
      <c r="C37" s="6">
        <v>42982</v>
      </c>
      <c r="G37">
        <v>18.399999999999999</v>
      </c>
      <c r="H37">
        <v>14.3</v>
      </c>
      <c r="I37">
        <v>21</v>
      </c>
      <c r="J37">
        <f t="shared" si="4"/>
        <v>142.4</v>
      </c>
      <c r="K37">
        <f t="shared" si="5"/>
        <v>142.4</v>
      </c>
      <c r="L37" s="10">
        <f>MAX(I30:I122)</f>
        <v>30.6</v>
      </c>
      <c r="M37">
        <v>0</v>
      </c>
      <c r="N37">
        <v>1.3</v>
      </c>
      <c r="O37">
        <f t="shared" si="0"/>
        <v>-1.3</v>
      </c>
      <c r="Q37">
        <v>8</v>
      </c>
      <c r="R37">
        <f t="shared" si="8"/>
        <v>0.37215909090909088</v>
      </c>
      <c r="S37">
        <f t="shared" si="1"/>
        <v>0.48380681818181814</v>
      </c>
      <c r="T37">
        <f t="shared" si="2"/>
        <v>-0.48380681818181814</v>
      </c>
      <c r="U37">
        <f t="shared" si="6"/>
        <v>37.203750000000007</v>
      </c>
      <c r="V37" s="1">
        <f>MAX(U30:U122)</f>
        <v>130.12647727272733</v>
      </c>
      <c r="W37">
        <v>575.20000000000005</v>
      </c>
      <c r="X37">
        <f t="shared" si="7"/>
        <v>8922.7000000000007</v>
      </c>
      <c r="Y37">
        <v>12.991796508411177</v>
      </c>
    </row>
    <row r="38" spans="1:26" x14ac:dyDescent="0.25">
      <c r="A38">
        <v>5240</v>
      </c>
      <c r="B38">
        <v>23690</v>
      </c>
      <c r="C38" s="6">
        <v>42983</v>
      </c>
      <c r="G38">
        <v>19</v>
      </c>
      <c r="H38">
        <v>17.3</v>
      </c>
      <c r="I38">
        <v>20.9</v>
      </c>
      <c r="J38">
        <f t="shared" si="4"/>
        <v>161.4</v>
      </c>
      <c r="K38">
        <f t="shared" si="5"/>
        <v>161.4</v>
      </c>
      <c r="L38" s="9" t="s">
        <v>41</v>
      </c>
      <c r="M38">
        <v>0</v>
      </c>
      <c r="N38">
        <v>1.4</v>
      </c>
      <c r="O38">
        <f t="shared" si="0"/>
        <v>-1.4</v>
      </c>
      <c r="Q38">
        <v>9</v>
      </c>
      <c r="R38">
        <f t="shared" si="8"/>
        <v>0.37954545454545452</v>
      </c>
      <c r="S38">
        <f t="shared" si="1"/>
        <v>0.53136363636363626</v>
      </c>
      <c r="T38">
        <f t="shared" si="2"/>
        <v>-0.53136363636363626</v>
      </c>
      <c r="U38">
        <f t="shared" si="6"/>
        <v>36.67238636363637</v>
      </c>
      <c r="V38" s="13" t="s">
        <v>48</v>
      </c>
      <c r="W38">
        <v>745.5</v>
      </c>
      <c r="X38">
        <f t="shared" si="7"/>
        <v>9668.2000000000007</v>
      </c>
      <c r="Y38">
        <v>12.932391972942522</v>
      </c>
    </row>
    <row r="39" spans="1:26" x14ac:dyDescent="0.25">
      <c r="A39">
        <v>5240</v>
      </c>
      <c r="B39">
        <v>23690</v>
      </c>
      <c r="C39" s="6">
        <v>42984</v>
      </c>
      <c r="G39">
        <v>15.7</v>
      </c>
      <c r="H39">
        <v>12.1</v>
      </c>
      <c r="I39">
        <v>19.399999999999999</v>
      </c>
      <c r="J39">
        <f t="shared" si="4"/>
        <v>177.1</v>
      </c>
      <c r="K39">
        <f t="shared" si="5"/>
        <v>177.1</v>
      </c>
      <c r="L39" s="10">
        <v>2</v>
      </c>
      <c r="M39">
        <v>0</v>
      </c>
      <c r="N39">
        <v>1.9</v>
      </c>
      <c r="O39">
        <f t="shared" si="0"/>
        <v>-1.9</v>
      </c>
      <c r="Q39">
        <v>10</v>
      </c>
      <c r="R39">
        <f t="shared" si="8"/>
        <v>0.38693181818181815</v>
      </c>
      <c r="S39">
        <f t="shared" si="1"/>
        <v>0.73517045454545449</v>
      </c>
      <c r="T39">
        <f t="shared" si="2"/>
        <v>-0.73517045454545449</v>
      </c>
      <c r="U39">
        <f t="shared" si="6"/>
        <v>35.937215909090916</v>
      </c>
      <c r="V39" s="1">
        <f>AVERAGE(U30:U122)</f>
        <v>97.697975317693121</v>
      </c>
      <c r="W39">
        <v>912.2</v>
      </c>
      <c r="X39">
        <f t="shared" si="7"/>
        <v>10580.400000000001</v>
      </c>
      <c r="Y39">
        <v>12.872851943844292</v>
      </c>
    </row>
    <row r="40" spans="1:26" x14ac:dyDescent="0.25">
      <c r="A40">
        <v>5240</v>
      </c>
      <c r="B40">
        <v>23690</v>
      </c>
      <c r="C40" s="6">
        <v>42985</v>
      </c>
      <c r="G40">
        <v>15</v>
      </c>
      <c r="H40">
        <v>10.7</v>
      </c>
      <c r="I40">
        <v>17.899999999999999</v>
      </c>
      <c r="J40">
        <f t="shared" si="4"/>
        <v>192.1</v>
      </c>
      <c r="K40">
        <f t="shared" si="5"/>
        <v>192.1</v>
      </c>
      <c r="L40" s="9" t="s">
        <v>42</v>
      </c>
      <c r="M40">
        <v>0</v>
      </c>
      <c r="N40">
        <v>1.2</v>
      </c>
      <c r="O40">
        <f t="shared" si="0"/>
        <v>-1.2</v>
      </c>
      <c r="Q40">
        <v>11</v>
      </c>
      <c r="R40">
        <f t="shared" si="8"/>
        <v>0.39431818181818179</v>
      </c>
      <c r="S40">
        <f t="shared" si="1"/>
        <v>0.47318181818181815</v>
      </c>
      <c r="T40">
        <f t="shared" si="2"/>
        <v>-0.47318181818181815</v>
      </c>
      <c r="U40">
        <f t="shared" si="6"/>
        <v>35.464034090909095</v>
      </c>
      <c r="W40">
        <v>660.6</v>
      </c>
      <c r="X40">
        <f t="shared" si="7"/>
        <v>11241.000000000002</v>
      </c>
      <c r="Y40">
        <v>12.813186264613581</v>
      </c>
    </row>
    <row r="41" spans="1:26" x14ac:dyDescent="0.25">
      <c r="A41">
        <v>5240</v>
      </c>
      <c r="B41">
        <v>23690</v>
      </c>
      <c r="C41" s="6">
        <v>42986</v>
      </c>
      <c r="G41">
        <v>15.6</v>
      </c>
      <c r="H41">
        <v>14.6</v>
      </c>
      <c r="I41">
        <v>18.5</v>
      </c>
      <c r="J41">
        <f t="shared" si="4"/>
        <v>207.7</v>
      </c>
      <c r="K41">
        <f t="shared" si="5"/>
        <v>207.7</v>
      </c>
      <c r="L41" s="10">
        <v>21</v>
      </c>
      <c r="M41">
        <v>20.6</v>
      </c>
      <c r="N41">
        <v>1.4</v>
      </c>
      <c r="O41">
        <f t="shared" si="0"/>
        <v>19.200000000000003</v>
      </c>
      <c r="Q41">
        <v>12</v>
      </c>
      <c r="R41">
        <f t="shared" si="8"/>
        <v>0.40170454545454543</v>
      </c>
      <c r="S41">
        <f t="shared" si="1"/>
        <v>0.56238636363636352</v>
      </c>
      <c r="T41">
        <f t="shared" si="2"/>
        <v>20.037613636363638</v>
      </c>
      <c r="U41">
        <f t="shared" si="6"/>
        <v>55.501647727272733</v>
      </c>
      <c r="V41" s="2">
        <f>(V39*100)/218.9</f>
        <v>44.631327235127053</v>
      </c>
      <c r="W41">
        <v>290.39999999999998</v>
      </c>
      <c r="X41">
        <f t="shared" si="7"/>
        <v>11531.400000000001</v>
      </c>
      <c r="Y41">
        <v>12.753404560371308</v>
      </c>
    </row>
    <row r="42" spans="1:26" x14ac:dyDescent="0.25">
      <c r="A42">
        <v>5240</v>
      </c>
      <c r="B42">
        <v>23690</v>
      </c>
      <c r="C42" s="6">
        <v>42987</v>
      </c>
      <c r="G42">
        <v>13.7</v>
      </c>
      <c r="H42">
        <v>12.6</v>
      </c>
      <c r="I42">
        <v>17</v>
      </c>
      <c r="J42">
        <f t="shared" si="4"/>
        <v>221.39999999999998</v>
      </c>
      <c r="K42">
        <f t="shared" si="5"/>
        <v>221.39999999999998</v>
      </c>
      <c r="L42" s="9" t="s">
        <v>43</v>
      </c>
      <c r="M42">
        <v>2.6</v>
      </c>
      <c r="N42">
        <v>1.8</v>
      </c>
      <c r="O42">
        <f t="shared" si="0"/>
        <v>0.8</v>
      </c>
      <c r="Q42">
        <v>13</v>
      </c>
      <c r="R42">
        <f t="shared" si="8"/>
        <v>0.40909090909090906</v>
      </c>
      <c r="S42">
        <f t="shared" si="1"/>
        <v>0.73636363636363633</v>
      </c>
      <c r="T42">
        <f t="shared" si="2"/>
        <v>1.8636363636363638</v>
      </c>
      <c r="U42">
        <f t="shared" si="6"/>
        <v>57.3652840909091</v>
      </c>
      <c r="W42">
        <v>787.3</v>
      </c>
      <c r="X42">
        <f t="shared" si="7"/>
        <v>12318.7</v>
      </c>
      <c r="Y42">
        <v>12.693516252192932</v>
      </c>
    </row>
    <row r="43" spans="1:26" x14ac:dyDescent="0.25">
      <c r="A43">
        <v>5240</v>
      </c>
      <c r="B43">
        <v>23690</v>
      </c>
      <c r="C43" s="6">
        <v>42988</v>
      </c>
      <c r="G43">
        <v>14.1</v>
      </c>
      <c r="H43">
        <v>9.9</v>
      </c>
      <c r="I43">
        <v>16.600000000000001</v>
      </c>
      <c r="J43">
        <f t="shared" si="4"/>
        <v>235.49999999999997</v>
      </c>
      <c r="K43">
        <f t="shared" si="5"/>
        <v>235.49999999999997</v>
      </c>
      <c r="L43" s="10">
        <v>1</v>
      </c>
      <c r="M43">
        <v>1.2</v>
      </c>
      <c r="N43">
        <v>0.9</v>
      </c>
      <c r="O43">
        <f t="shared" si="0"/>
        <v>0.29999999999999993</v>
      </c>
      <c r="Q43">
        <v>14</v>
      </c>
      <c r="R43">
        <f t="shared" si="8"/>
        <v>0.4164772727272727</v>
      </c>
      <c r="S43">
        <f t="shared" si="1"/>
        <v>0.37482954545454544</v>
      </c>
      <c r="T43">
        <f t="shared" si="2"/>
        <v>0.82517045454545457</v>
      </c>
      <c r="U43">
        <f t="shared" si="6"/>
        <v>58.190454545454557</v>
      </c>
      <c r="W43">
        <v>569</v>
      </c>
      <c r="X43">
        <f t="shared" si="7"/>
        <v>12887.7</v>
      </c>
      <c r="Y43">
        <v>12.633530571612397</v>
      </c>
    </row>
    <row r="44" spans="1:26" x14ac:dyDescent="0.25">
      <c r="A44">
        <v>5240</v>
      </c>
      <c r="B44">
        <v>23690</v>
      </c>
      <c r="C44" s="6">
        <v>42989</v>
      </c>
      <c r="G44">
        <v>14</v>
      </c>
      <c r="H44">
        <v>12</v>
      </c>
      <c r="I44">
        <v>16.5</v>
      </c>
      <c r="J44">
        <f t="shared" si="4"/>
        <v>249.49999999999997</v>
      </c>
      <c r="K44">
        <f t="shared" si="5"/>
        <v>249.49999999999997</v>
      </c>
      <c r="M44">
        <v>0.8</v>
      </c>
      <c r="N44">
        <v>1.9</v>
      </c>
      <c r="O44">
        <f t="shared" si="0"/>
        <v>-1.0999999999999999</v>
      </c>
      <c r="Q44">
        <v>15</v>
      </c>
      <c r="R44">
        <f t="shared" si="8"/>
        <v>0.42386363636363633</v>
      </c>
      <c r="S44">
        <f t="shared" si="1"/>
        <v>0.80534090909090894</v>
      </c>
      <c r="T44">
        <f t="shared" si="2"/>
        <v>-5.3409090909088963E-3</v>
      </c>
      <c r="U44">
        <f t="shared" si="6"/>
        <v>58.185113636363646</v>
      </c>
      <c r="W44">
        <v>944.4</v>
      </c>
      <c r="X44">
        <f t="shared" si="7"/>
        <v>13832.1</v>
      </c>
      <c r="Y44">
        <v>12.57345657528022</v>
      </c>
    </row>
    <row r="45" spans="1:26" x14ac:dyDescent="0.25">
      <c r="A45">
        <v>5240</v>
      </c>
      <c r="B45">
        <v>23690</v>
      </c>
      <c r="C45" s="6">
        <v>42990</v>
      </c>
      <c r="G45">
        <v>14.2</v>
      </c>
      <c r="H45">
        <v>10.6</v>
      </c>
      <c r="I45">
        <v>16.7</v>
      </c>
      <c r="J45">
        <f t="shared" si="4"/>
        <v>263.7</v>
      </c>
      <c r="K45">
        <f t="shared" si="5"/>
        <v>263.7</v>
      </c>
      <c r="M45">
        <v>0.9</v>
      </c>
      <c r="N45">
        <v>1.5</v>
      </c>
      <c r="O45">
        <f t="shared" si="0"/>
        <v>-0.6</v>
      </c>
      <c r="Q45">
        <v>16</v>
      </c>
      <c r="R45">
        <f t="shared" si="8"/>
        <v>0.43124999999999997</v>
      </c>
      <c r="S45">
        <f t="shared" si="1"/>
        <v>0.64687499999999998</v>
      </c>
      <c r="T45">
        <f t="shared" si="2"/>
        <v>0.25312500000000004</v>
      </c>
      <c r="U45">
        <f t="shared" si="6"/>
        <v>58.438238636363643</v>
      </c>
      <c r="W45">
        <v>730.3</v>
      </c>
      <c r="X45">
        <f t="shared" si="7"/>
        <v>14562.4</v>
      </c>
      <c r="Y45">
        <v>12.513303159758118</v>
      </c>
    </row>
    <row r="46" spans="1:26" x14ac:dyDescent="0.25">
      <c r="A46">
        <v>5240</v>
      </c>
      <c r="B46">
        <v>23690</v>
      </c>
      <c r="C46" s="6">
        <v>42991</v>
      </c>
      <c r="G46">
        <v>15.3</v>
      </c>
      <c r="H46">
        <v>14.3</v>
      </c>
      <c r="I46">
        <v>16.600000000000001</v>
      </c>
      <c r="J46">
        <f t="shared" si="4"/>
        <v>279</v>
      </c>
      <c r="K46">
        <f t="shared" si="5"/>
        <v>279</v>
      </c>
      <c r="M46">
        <v>35.5</v>
      </c>
      <c r="N46">
        <v>1</v>
      </c>
      <c r="O46">
        <f t="shared" si="0"/>
        <v>34.5</v>
      </c>
      <c r="Q46">
        <v>17</v>
      </c>
      <c r="R46">
        <f t="shared" si="8"/>
        <v>0.4386363636363636</v>
      </c>
      <c r="S46">
        <f t="shared" si="1"/>
        <v>0.4386363636363636</v>
      </c>
      <c r="T46">
        <f t="shared" si="2"/>
        <v>35.061363636363637</v>
      </c>
      <c r="U46">
        <f t="shared" si="6"/>
        <v>93.499602272727287</v>
      </c>
      <c r="W46">
        <v>406.3</v>
      </c>
      <c r="X46">
        <f t="shared" si="7"/>
        <v>14968.699999999999</v>
      </c>
      <c r="Y46">
        <v>12.453079076433829</v>
      </c>
    </row>
    <row r="47" spans="1:26" x14ac:dyDescent="0.25">
      <c r="A47">
        <v>5240</v>
      </c>
      <c r="B47">
        <v>23690</v>
      </c>
      <c r="C47" s="6">
        <v>42992</v>
      </c>
      <c r="G47">
        <v>12.5</v>
      </c>
      <c r="H47">
        <v>10.9</v>
      </c>
      <c r="I47">
        <v>15</v>
      </c>
      <c r="J47">
        <f t="shared" si="4"/>
        <v>291.5</v>
      </c>
      <c r="K47">
        <f t="shared" si="5"/>
        <v>291.5</v>
      </c>
      <c r="M47">
        <v>0.6</v>
      </c>
      <c r="N47">
        <v>1.6</v>
      </c>
      <c r="O47">
        <f t="shared" si="0"/>
        <v>-1</v>
      </c>
      <c r="Q47">
        <v>18</v>
      </c>
      <c r="R47">
        <f t="shared" si="8"/>
        <v>0.44602272727272729</v>
      </c>
      <c r="S47">
        <f t="shared" si="1"/>
        <v>0.71363636363636374</v>
      </c>
      <c r="T47">
        <f t="shared" si="2"/>
        <v>-0.11363636363636376</v>
      </c>
      <c r="U47">
        <f t="shared" si="6"/>
        <v>93.385965909090928</v>
      </c>
      <c r="W47">
        <v>907</v>
      </c>
      <c r="X47">
        <f t="shared" si="7"/>
        <v>15875.699999999999</v>
      </c>
      <c r="Y47">
        <v>12.392792946541046</v>
      </c>
    </row>
    <row r="48" spans="1:26" x14ac:dyDescent="0.25">
      <c r="A48">
        <v>5240</v>
      </c>
      <c r="B48">
        <v>23690</v>
      </c>
      <c r="C48" s="6">
        <v>42993</v>
      </c>
      <c r="G48">
        <v>11.1</v>
      </c>
      <c r="H48">
        <v>8</v>
      </c>
      <c r="I48">
        <v>15.8</v>
      </c>
      <c r="J48">
        <f t="shared" si="4"/>
        <v>302.60000000000002</v>
      </c>
      <c r="K48">
        <f t="shared" si="5"/>
        <v>302.60000000000002</v>
      </c>
      <c r="M48">
        <v>1.2</v>
      </c>
      <c r="N48">
        <v>1.8</v>
      </c>
      <c r="O48">
        <f t="shared" si="0"/>
        <v>-0.60000000000000009</v>
      </c>
      <c r="Q48">
        <v>19</v>
      </c>
      <c r="R48">
        <f t="shared" si="8"/>
        <v>0.45340909090909087</v>
      </c>
      <c r="S48">
        <f t="shared" si="1"/>
        <v>0.81613636363636355</v>
      </c>
      <c r="T48">
        <f t="shared" si="2"/>
        <v>0.38386363636363641</v>
      </c>
      <c r="U48">
        <f t="shared" si="6"/>
        <v>93.76982954545457</v>
      </c>
      <c r="W48">
        <v>1379.1</v>
      </c>
      <c r="X48">
        <f t="shared" si="7"/>
        <v>17254.8</v>
      </c>
      <c r="Y48">
        <v>12.332453276270449</v>
      </c>
    </row>
    <row r="49" spans="1:25" x14ac:dyDescent="0.25">
      <c r="A49">
        <v>5240</v>
      </c>
      <c r="B49">
        <v>23690</v>
      </c>
      <c r="C49" s="6">
        <v>42994</v>
      </c>
      <c r="G49">
        <v>10.4</v>
      </c>
      <c r="H49">
        <v>6</v>
      </c>
      <c r="I49">
        <v>13.9</v>
      </c>
      <c r="J49">
        <f t="shared" si="4"/>
        <v>313</v>
      </c>
      <c r="K49">
        <f t="shared" si="5"/>
        <v>313</v>
      </c>
      <c r="M49">
        <v>2.7</v>
      </c>
      <c r="N49">
        <v>0.5</v>
      </c>
      <c r="O49">
        <f t="shared" si="0"/>
        <v>2.2000000000000002</v>
      </c>
      <c r="Q49">
        <v>20</v>
      </c>
      <c r="R49">
        <f t="shared" si="8"/>
        <v>0.46079545454545451</v>
      </c>
      <c r="S49">
        <f t="shared" si="1"/>
        <v>0.23039772727272725</v>
      </c>
      <c r="T49">
        <f t="shared" si="2"/>
        <v>2.4696022727272728</v>
      </c>
      <c r="U49">
        <f t="shared" si="6"/>
        <v>96.239431818181842</v>
      </c>
      <c r="W49">
        <v>481.6</v>
      </c>
      <c r="X49">
        <f t="shared" si="7"/>
        <v>17736.399999999998</v>
      </c>
      <c r="Y49">
        <v>12.272068471958809</v>
      </c>
    </row>
    <row r="50" spans="1:25" x14ac:dyDescent="0.25">
      <c r="A50">
        <v>5240</v>
      </c>
      <c r="B50">
        <v>23690</v>
      </c>
      <c r="C50" s="6">
        <v>42995</v>
      </c>
      <c r="G50">
        <v>10.4</v>
      </c>
      <c r="H50">
        <v>9.1</v>
      </c>
      <c r="I50">
        <v>12.4</v>
      </c>
      <c r="J50">
        <f t="shared" si="4"/>
        <v>323.39999999999998</v>
      </c>
      <c r="K50">
        <f t="shared" si="5"/>
        <v>323.39999999999998</v>
      </c>
      <c r="M50">
        <v>2.9</v>
      </c>
      <c r="N50">
        <v>0.8</v>
      </c>
      <c r="O50">
        <f t="shared" si="0"/>
        <v>2.0999999999999996</v>
      </c>
      <c r="Q50">
        <v>21</v>
      </c>
      <c r="R50">
        <f t="shared" si="8"/>
        <v>0.46818181818181814</v>
      </c>
      <c r="S50">
        <f t="shared" si="1"/>
        <v>0.37454545454545451</v>
      </c>
      <c r="T50">
        <f t="shared" si="2"/>
        <v>2.5254545454545454</v>
      </c>
      <c r="U50">
        <f t="shared" si="6"/>
        <v>98.764886363636393</v>
      </c>
      <c r="W50">
        <v>671.9</v>
      </c>
      <c r="X50">
        <f t="shared" si="7"/>
        <v>18408.3</v>
      </c>
      <c r="Y50">
        <v>12.21164685534402</v>
      </c>
    </row>
    <row r="51" spans="1:25" x14ac:dyDescent="0.25">
      <c r="A51">
        <v>5240</v>
      </c>
      <c r="B51">
        <v>23690</v>
      </c>
      <c r="C51" s="6">
        <v>42996</v>
      </c>
      <c r="G51">
        <v>10.6</v>
      </c>
      <c r="H51">
        <v>5.4</v>
      </c>
      <c r="I51">
        <v>15.4</v>
      </c>
      <c r="J51">
        <f t="shared" si="4"/>
        <v>334</v>
      </c>
      <c r="K51">
        <f t="shared" si="5"/>
        <v>334</v>
      </c>
      <c r="M51">
        <v>5.9</v>
      </c>
      <c r="N51">
        <v>1.2</v>
      </c>
      <c r="O51">
        <f t="shared" si="0"/>
        <v>4.7</v>
      </c>
      <c r="Q51">
        <v>22</v>
      </c>
      <c r="R51">
        <f t="shared" si="8"/>
        <v>0.47556818181818183</v>
      </c>
      <c r="S51">
        <f t="shared" si="1"/>
        <v>0.57068181818181818</v>
      </c>
      <c r="T51">
        <f t="shared" si="2"/>
        <v>5.3293181818181825</v>
      </c>
      <c r="U51">
        <f t="shared" si="6"/>
        <v>104.09420454545457</v>
      </c>
      <c r="W51">
        <v>886.4</v>
      </c>
      <c r="X51">
        <f t="shared" si="7"/>
        <v>19294.7</v>
      </c>
      <c r="Y51">
        <v>12.151196678874637</v>
      </c>
    </row>
    <row r="52" spans="1:25" x14ac:dyDescent="0.25">
      <c r="A52">
        <v>5240</v>
      </c>
      <c r="B52">
        <v>23690</v>
      </c>
      <c r="C52" s="6">
        <v>42997</v>
      </c>
      <c r="G52">
        <v>10.9</v>
      </c>
      <c r="H52">
        <v>9.3000000000000007</v>
      </c>
      <c r="I52">
        <v>14.7</v>
      </c>
      <c r="J52">
        <f t="shared" si="4"/>
        <v>344.9</v>
      </c>
      <c r="K52">
        <f t="shared" si="5"/>
        <v>344.9</v>
      </c>
      <c r="M52">
        <v>0.5</v>
      </c>
      <c r="N52">
        <v>1.2</v>
      </c>
      <c r="O52">
        <f t="shared" si="0"/>
        <v>-0.7</v>
      </c>
      <c r="Q52">
        <v>23</v>
      </c>
      <c r="R52">
        <f t="shared" si="8"/>
        <v>0.48295454545454541</v>
      </c>
      <c r="S52">
        <f t="shared" si="1"/>
        <v>0.57954545454545447</v>
      </c>
      <c r="T52">
        <f t="shared" si="2"/>
        <v>-7.9545454545454475E-2</v>
      </c>
      <c r="U52">
        <f t="shared" si="6"/>
        <v>104.01465909090912</v>
      </c>
      <c r="W52">
        <v>715.3</v>
      </c>
      <c r="X52">
        <f t="shared" si="7"/>
        <v>20010</v>
      </c>
      <c r="Y52">
        <v>12.090726141063135</v>
      </c>
    </row>
    <row r="53" spans="1:25" x14ac:dyDescent="0.25">
      <c r="A53">
        <v>5240</v>
      </c>
      <c r="B53">
        <v>23690</v>
      </c>
      <c r="C53" s="6">
        <v>42998</v>
      </c>
      <c r="G53">
        <v>11.3</v>
      </c>
      <c r="H53">
        <v>5.5</v>
      </c>
      <c r="I53">
        <v>17.100000000000001</v>
      </c>
      <c r="J53">
        <f t="shared" si="4"/>
        <v>356.2</v>
      </c>
      <c r="K53">
        <f t="shared" si="5"/>
        <v>356.2</v>
      </c>
      <c r="M53">
        <v>0</v>
      </c>
      <c r="N53">
        <v>0.7</v>
      </c>
      <c r="O53">
        <f t="shared" si="0"/>
        <v>-0.7</v>
      </c>
      <c r="Q53">
        <v>24</v>
      </c>
      <c r="R53">
        <f t="shared" si="8"/>
        <v>0.49034090909090911</v>
      </c>
      <c r="S53">
        <f t="shared" si="1"/>
        <v>0.34323863636363633</v>
      </c>
      <c r="T53">
        <f t="shared" si="2"/>
        <v>-0.34323863636363633</v>
      </c>
      <c r="U53">
        <f t="shared" si="6"/>
        <v>103.67142045454548</v>
      </c>
      <c r="W53">
        <v>485.5</v>
      </c>
      <c r="X53">
        <f t="shared" si="7"/>
        <v>20495.5</v>
      </c>
      <c r="Y53">
        <v>12.030243401872648</v>
      </c>
    </row>
    <row r="54" spans="1:25" x14ac:dyDescent="0.25">
      <c r="A54">
        <v>5240</v>
      </c>
      <c r="B54">
        <v>23690</v>
      </c>
      <c r="C54" s="6">
        <v>42999</v>
      </c>
      <c r="G54">
        <v>13.4</v>
      </c>
      <c r="H54">
        <v>6.2</v>
      </c>
      <c r="I54">
        <v>19.7</v>
      </c>
      <c r="J54">
        <f t="shared" si="4"/>
        <v>369.59999999999997</v>
      </c>
      <c r="K54">
        <f t="shared" si="5"/>
        <v>369.59999999999997</v>
      </c>
      <c r="M54">
        <v>0.1</v>
      </c>
      <c r="N54">
        <v>2.7</v>
      </c>
      <c r="O54">
        <f t="shared" si="0"/>
        <v>-2.6</v>
      </c>
      <c r="Q54">
        <v>25</v>
      </c>
      <c r="R54">
        <f t="shared" si="8"/>
        <v>0.49772727272727268</v>
      </c>
      <c r="S54">
        <f t="shared" si="1"/>
        <v>1.3438636363636363</v>
      </c>
      <c r="T54">
        <f t="shared" si="2"/>
        <v>-1.2438636363636362</v>
      </c>
      <c r="U54">
        <f t="shared" si="6"/>
        <v>102.42755681818184</v>
      </c>
      <c r="W54">
        <v>1610.2</v>
      </c>
      <c r="X54">
        <f t="shared" si="7"/>
        <v>22105.7</v>
      </c>
      <c r="Y54">
        <v>11.969756598127352</v>
      </c>
    </row>
    <row r="55" spans="1:25" x14ac:dyDescent="0.25">
      <c r="A55">
        <v>5240</v>
      </c>
      <c r="B55">
        <v>23690</v>
      </c>
      <c r="C55" s="6">
        <v>43000</v>
      </c>
      <c r="G55">
        <v>13.6</v>
      </c>
      <c r="H55">
        <v>12.6</v>
      </c>
      <c r="I55">
        <v>17.3</v>
      </c>
      <c r="J55">
        <f t="shared" si="4"/>
        <v>383.2</v>
      </c>
      <c r="K55">
        <f t="shared" si="5"/>
        <v>383.2</v>
      </c>
      <c r="M55">
        <v>0</v>
      </c>
      <c r="N55">
        <v>1.6</v>
      </c>
      <c r="O55">
        <f t="shared" si="0"/>
        <v>-1.6</v>
      </c>
      <c r="Q55">
        <v>26</v>
      </c>
      <c r="R55">
        <f t="shared" si="8"/>
        <v>0.50511363636363638</v>
      </c>
      <c r="S55">
        <f t="shared" si="1"/>
        <v>0.80818181818181822</v>
      </c>
      <c r="T55">
        <f t="shared" si="2"/>
        <v>-0.80818181818181822</v>
      </c>
      <c r="U55">
        <f t="shared" si="6"/>
        <v>101.61937500000002</v>
      </c>
      <c r="W55">
        <v>834.5</v>
      </c>
      <c r="X55">
        <f t="shared" si="7"/>
        <v>22940.2</v>
      </c>
      <c r="Y55">
        <v>11.909273858936865</v>
      </c>
    </row>
    <row r="56" spans="1:25" x14ac:dyDescent="0.25">
      <c r="A56">
        <v>5240</v>
      </c>
      <c r="B56">
        <v>23690</v>
      </c>
      <c r="C56" s="6">
        <v>43001</v>
      </c>
      <c r="G56">
        <v>12.9</v>
      </c>
      <c r="H56">
        <v>6.5</v>
      </c>
      <c r="I56">
        <v>18.600000000000001</v>
      </c>
      <c r="J56">
        <f t="shared" si="4"/>
        <v>396.09999999999997</v>
      </c>
      <c r="K56">
        <f t="shared" si="5"/>
        <v>396.09999999999997</v>
      </c>
      <c r="M56">
        <v>0.1</v>
      </c>
      <c r="N56">
        <v>1.8</v>
      </c>
      <c r="O56">
        <f t="shared" si="0"/>
        <v>-1.7</v>
      </c>
      <c r="Q56">
        <v>27</v>
      </c>
      <c r="R56">
        <f t="shared" si="8"/>
        <v>0.51249999999999996</v>
      </c>
      <c r="S56">
        <f t="shared" si="1"/>
        <v>0.92249999999999999</v>
      </c>
      <c r="T56">
        <f t="shared" si="2"/>
        <v>-0.82250000000000001</v>
      </c>
      <c r="U56">
        <f t="shared" si="6"/>
        <v>100.79687500000001</v>
      </c>
      <c r="W56">
        <v>1254.9000000000001</v>
      </c>
      <c r="X56">
        <f t="shared" si="7"/>
        <v>24195.100000000002</v>
      </c>
      <c r="Y56">
        <v>11.848803321125363</v>
      </c>
    </row>
    <row r="57" spans="1:25" x14ac:dyDescent="0.25">
      <c r="A57">
        <v>5240</v>
      </c>
      <c r="B57">
        <v>23690</v>
      </c>
      <c r="C57" s="6">
        <v>43002</v>
      </c>
      <c r="G57">
        <v>16.399999999999999</v>
      </c>
      <c r="H57">
        <v>10.8</v>
      </c>
      <c r="I57">
        <v>22.2</v>
      </c>
      <c r="J57">
        <f t="shared" si="4"/>
        <v>412.49999999999994</v>
      </c>
      <c r="K57">
        <f t="shared" si="5"/>
        <v>412.49999999999994</v>
      </c>
      <c r="M57">
        <v>0</v>
      </c>
      <c r="N57">
        <v>2.5</v>
      </c>
      <c r="O57">
        <f t="shared" si="0"/>
        <v>-2.5</v>
      </c>
      <c r="Q57">
        <v>28</v>
      </c>
      <c r="R57">
        <f t="shared" si="8"/>
        <v>0.51988636363636365</v>
      </c>
      <c r="S57">
        <f t="shared" si="1"/>
        <v>1.2997159090909092</v>
      </c>
      <c r="T57">
        <f t="shared" si="2"/>
        <v>-1.2997159090909092</v>
      </c>
      <c r="U57">
        <f t="shared" si="6"/>
        <v>99.497159090909108</v>
      </c>
      <c r="W57">
        <v>1259</v>
      </c>
      <c r="X57">
        <f t="shared" si="7"/>
        <v>25454.100000000002</v>
      </c>
      <c r="Y57">
        <v>11.78835314465598</v>
      </c>
    </row>
    <row r="58" spans="1:25" x14ac:dyDescent="0.25">
      <c r="A58">
        <v>5240</v>
      </c>
      <c r="B58">
        <v>23690</v>
      </c>
      <c r="C58" s="6">
        <v>43003</v>
      </c>
      <c r="G58">
        <v>16.3</v>
      </c>
      <c r="H58">
        <v>13</v>
      </c>
      <c r="I58">
        <v>20</v>
      </c>
      <c r="J58">
        <f t="shared" si="4"/>
        <v>428.79999999999995</v>
      </c>
      <c r="K58">
        <f t="shared" si="5"/>
        <v>428.79999999999995</v>
      </c>
      <c r="M58">
        <v>0.9</v>
      </c>
      <c r="N58">
        <v>0.8</v>
      </c>
      <c r="O58">
        <f t="shared" si="0"/>
        <v>9.9999999999999978E-2</v>
      </c>
      <c r="Q58">
        <v>29</v>
      </c>
      <c r="R58">
        <f t="shared" si="8"/>
        <v>0.52727272727272723</v>
      </c>
      <c r="S58">
        <f t="shared" si="1"/>
        <v>0.42181818181818181</v>
      </c>
      <c r="T58">
        <f t="shared" si="2"/>
        <v>0.47818181818181821</v>
      </c>
      <c r="U58">
        <f t="shared" si="6"/>
        <v>99.975340909090932</v>
      </c>
      <c r="W58">
        <v>514.20000000000005</v>
      </c>
      <c r="X58">
        <f t="shared" si="7"/>
        <v>25968.300000000003</v>
      </c>
      <c r="Y58">
        <v>11.727931528041191</v>
      </c>
    </row>
    <row r="59" spans="1:25" x14ac:dyDescent="0.25">
      <c r="A59">
        <v>5240</v>
      </c>
      <c r="B59">
        <v>23690</v>
      </c>
      <c r="C59" s="6">
        <v>43004</v>
      </c>
      <c r="G59">
        <v>15.8</v>
      </c>
      <c r="H59">
        <v>14.4</v>
      </c>
      <c r="I59">
        <v>18.7</v>
      </c>
      <c r="J59">
        <f t="shared" si="4"/>
        <v>444.59999999999997</v>
      </c>
      <c r="K59">
        <f t="shared" si="5"/>
        <v>444.59999999999997</v>
      </c>
      <c r="M59">
        <v>0.2</v>
      </c>
      <c r="N59">
        <v>1</v>
      </c>
      <c r="O59">
        <f t="shared" si="0"/>
        <v>-0.8</v>
      </c>
      <c r="Q59">
        <v>30</v>
      </c>
      <c r="R59">
        <f t="shared" si="8"/>
        <v>0.53465909090909092</v>
      </c>
      <c r="S59">
        <f t="shared" si="1"/>
        <v>0.53465909090909092</v>
      </c>
      <c r="T59">
        <f t="shared" si="2"/>
        <v>-0.33465909090909091</v>
      </c>
      <c r="U59">
        <f t="shared" si="6"/>
        <v>99.640681818181847</v>
      </c>
      <c r="W59">
        <v>555.70000000000005</v>
      </c>
      <c r="X59">
        <f t="shared" si="7"/>
        <v>26524.000000000004</v>
      </c>
      <c r="Y59">
        <v>11.667546723729549</v>
      </c>
    </row>
    <row r="60" spans="1:25" x14ac:dyDescent="0.25">
      <c r="A60">
        <v>5240</v>
      </c>
      <c r="B60">
        <v>23690</v>
      </c>
      <c r="C60" s="6">
        <v>43005</v>
      </c>
      <c r="G60">
        <v>14.8</v>
      </c>
      <c r="H60">
        <v>10.7</v>
      </c>
      <c r="I60">
        <v>18.3</v>
      </c>
      <c r="J60">
        <f t="shared" si="4"/>
        <v>459.4</v>
      </c>
      <c r="K60">
        <f t="shared" si="5"/>
        <v>459.4</v>
      </c>
      <c r="M60">
        <v>1.3</v>
      </c>
      <c r="N60">
        <v>0.6</v>
      </c>
      <c r="O60">
        <f t="shared" si="0"/>
        <v>0.70000000000000007</v>
      </c>
      <c r="Q60">
        <v>31</v>
      </c>
      <c r="R60">
        <f t="shared" si="8"/>
        <v>0.5420454545454545</v>
      </c>
      <c r="S60">
        <f t="shared" si="1"/>
        <v>0.3252272727272727</v>
      </c>
      <c r="T60">
        <f t="shared" si="2"/>
        <v>0.97477272727272735</v>
      </c>
      <c r="U60">
        <f t="shared" si="6"/>
        <v>100.61545454545457</v>
      </c>
      <c r="W60">
        <v>433.8</v>
      </c>
      <c r="X60">
        <f t="shared" si="7"/>
        <v>26957.800000000003</v>
      </c>
      <c r="Y60">
        <v>11.607207053458952</v>
      </c>
    </row>
    <row r="61" spans="1:25" x14ac:dyDescent="0.25">
      <c r="A61">
        <v>5240</v>
      </c>
      <c r="B61">
        <v>23690</v>
      </c>
      <c r="C61" s="6">
        <v>43006</v>
      </c>
      <c r="G61">
        <v>16.899999999999999</v>
      </c>
      <c r="H61">
        <v>14.9</v>
      </c>
      <c r="I61">
        <v>18.7</v>
      </c>
      <c r="J61">
        <f t="shared" si="4"/>
        <v>476.29999999999995</v>
      </c>
      <c r="K61">
        <f t="shared" si="5"/>
        <v>476.29999999999995</v>
      </c>
      <c r="M61">
        <v>0.2</v>
      </c>
      <c r="N61">
        <v>0.5</v>
      </c>
      <c r="O61">
        <f t="shared" si="0"/>
        <v>-0.3</v>
      </c>
      <c r="Q61">
        <v>32</v>
      </c>
      <c r="R61">
        <f t="shared" si="8"/>
        <v>0.54943181818181819</v>
      </c>
      <c r="S61">
        <f t="shared" si="1"/>
        <v>0.27471590909090909</v>
      </c>
      <c r="T61">
        <f t="shared" si="2"/>
        <v>-7.4715909090909083E-2</v>
      </c>
      <c r="U61">
        <f t="shared" si="6"/>
        <v>100.54073863636366</v>
      </c>
      <c r="W61">
        <v>281.3</v>
      </c>
      <c r="X61">
        <f t="shared" si="7"/>
        <v>27239.100000000002</v>
      </c>
      <c r="Y61">
        <v>11.546920923566169</v>
      </c>
    </row>
    <row r="62" spans="1:25" x14ac:dyDescent="0.25">
      <c r="A62">
        <v>5240</v>
      </c>
      <c r="B62">
        <v>23690</v>
      </c>
      <c r="C62" s="6">
        <v>43007</v>
      </c>
      <c r="G62">
        <v>18.100000000000001</v>
      </c>
      <c r="H62">
        <v>14.8</v>
      </c>
      <c r="I62">
        <v>23.2</v>
      </c>
      <c r="J62">
        <f t="shared" si="4"/>
        <v>494.4</v>
      </c>
      <c r="K62">
        <f t="shared" si="5"/>
        <v>494.4</v>
      </c>
      <c r="M62">
        <v>4.9000000000000004</v>
      </c>
      <c r="N62">
        <v>2.2999999999999998</v>
      </c>
      <c r="O62">
        <f t="shared" si="0"/>
        <v>2.6000000000000005</v>
      </c>
      <c r="Q62">
        <v>33</v>
      </c>
      <c r="R62">
        <f t="shared" si="8"/>
        <v>0.55681818181818177</v>
      </c>
      <c r="S62">
        <f t="shared" si="1"/>
        <v>1.280681818181818</v>
      </c>
      <c r="T62">
        <f t="shared" si="2"/>
        <v>3.6193181818181825</v>
      </c>
      <c r="U62">
        <f t="shared" si="6"/>
        <v>104.16005681818184</v>
      </c>
      <c r="W62">
        <v>1062.8</v>
      </c>
      <c r="X62">
        <f t="shared" si="7"/>
        <v>28301.9</v>
      </c>
      <c r="Y62">
        <v>11.486696840241882</v>
      </c>
    </row>
    <row r="63" spans="1:25" x14ac:dyDescent="0.25">
      <c r="A63">
        <v>5240</v>
      </c>
      <c r="B63">
        <v>23690</v>
      </c>
      <c r="C63" s="6">
        <v>43008</v>
      </c>
      <c r="G63">
        <v>14.6</v>
      </c>
      <c r="H63">
        <v>12.5</v>
      </c>
      <c r="I63">
        <v>17.2</v>
      </c>
      <c r="J63">
        <f t="shared" si="4"/>
        <v>509</v>
      </c>
      <c r="K63">
        <f t="shared" si="5"/>
        <v>509</v>
      </c>
      <c r="M63">
        <v>0.3</v>
      </c>
      <c r="N63">
        <v>1.4</v>
      </c>
      <c r="O63">
        <f t="shared" si="0"/>
        <v>-1.0999999999999999</v>
      </c>
      <c r="Q63">
        <v>34</v>
      </c>
      <c r="R63">
        <f t="shared" si="8"/>
        <v>0.56420454545454546</v>
      </c>
      <c r="S63">
        <f t="shared" si="1"/>
        <v>0.78988636363636355</v>
      </c>
      <c r="T63">
        <f t="shared" si="2"/>
        <v>-0.48988636363636356</v>
      </c>
      <c r="U63">
        <f t="shared" si="6"/>
        <v>103.67017045454548</v>
      </c>
      <c r="W63">
        <v>631.6</v>
      </c>
      <c r="X63">
        <f t="shared" si="7"/>
        <v>28933.5</v>
      </c>
      <c r="Y63">
        <v>11.426543424719782</v>
      </c>
    </row>
    <row r="64" spans="1:25" x14ac:dyDescent="0.25">
      <c r="A64">
        <v>5240</v>
      </c>
      <c r="B64">
        <v>23690</v>
      </c>
      <c r="C64" s="6">
        <v>43009</v>
      </c>
      <c r="G64">
        <v>14.1</v>
      </c>
      <c r="H64">
        <v>12.7</v>
      </c>
      <c r="I64">
        <v>15.8</v>
      </c>
      <c r="J64">
        <f t="shared" si="4"/>
        <v>523.1</v>
      </c>
      <c r="K64">
        <f t="shared" si="5"/>
        <v>523.1</v>
      </c>
      <c r="M64">
        <v>2.8</v>
      </c>
      <c r="N64">
        <v>0.5</v>
      </c>
      <c r="O64">
        <f t="shared" si="0"/>
        <v>2.2999999999999998</v>
      </c>
      <c r="Q64">
        <v>35</v>
      </c>
      <c r="R64">
        <f t="shared" si="8"/>
        <v>0.57159090909090904</v>
      </c>
      <c r="S64">
        <f t="shared" si="1"/>
        <v>0.28579545454545452</v>
      </c>
      <c r="T64">
        <f t="shared" si="2"/>
        <v>2.5142045454545454</v>
      </c>
      <c r="U64">
        <f t="shared" si="6"/>
        <v>106.18437500000003</v>
      </c>
      <c r="W64">
        <v>134.69999999999999</v>
      </c>
      <c r="X64">
        <f t="shared" si="7"/>
        <v>29068.2</v>
      </c>
      <c r="Y64">
        <v>11.366469428387603</v>
      </c>
    </row>
    <row r="65" spans="1:25" x14ac:dyDescent="0.25">
      <c r="A65">
        <v>5240</v>
      </c>
      <c r="B65">
        <v>23690</v>
      </c>
      <c r="C65" s="6">
        <v>43010</v>
      </c>
      <c r="G65">
        <v>15.9</v>
      </c>
      <c r="H65">
        <v>14.9</v>
      </c>
      <c r="I65">
        <v>17.2</v>
      </c>
      <c r="J65">
        <f t="shared" si="4"/>
        <v>539</v>
      </c>
      <c r="K65">
        <f t="shared" si="5"/>
        <v>539</v>
      </c>
      <c r="M65">
        <v>6.4</v>
      </c>
      <c r="N65">
        <v>0.7</v>
      </c>
      <c r="O65">
        <f t="shared" si="0"/>
        <v>5.7</v>
      </c>
      <c r="Q65">
        <v>36</v>
      </c>
      <c r="R65">
        <f t="shared" si="8"/>
        <v>0.57897727272727273</v>
      </c>
      <c r="S65">
        <f t="shared" si="1"/>
        <v>0.4052840909090909</v>
      </c>
      <c r="T65">
        <f t="shared" si="2"/>
        <v>5.9947159090909095</v>
      </c>
      <c r="U65">
        <f t="shared" si="6"/>
        <v>112.17909090909095</v>
      </c>
      <c r="W65">
        <v>351.5</v>
      </c>
      <c r="X65">
        <f t="shared" si="7"/>
        <v>29419.7</v>
      </c>
      <c r="Y65">
        <v>11.306483747807066</v>
      </c>
    </row>
    <row r="66" spans="1:25" x14ac:dyDescent="0.25">
      <c r="A66">
        <v>5240</v>
      </c>
      <c r="B66">
        <v>23690</v>
      </c>
      <c r="C66" s="6">
        <v>43011</v>
      </c>
      <c r="G66">
        <v>12.1</v>
      </c>
      <c r="H66">
        <v>10.4</v>
      </c>
      <c r="I66">
        <v>16.5</v>
      </c>
      <c r="J66">
        <f t="shared" si="4"/>
        <v>551.1</v>
      </c>
      <c r="K66">
        <f t="shared" si="5"/>
        <v>551.1</v>
      </c>
      <c r="M66">
        <v>0.1</v>
      </c>
      <c r="N66">
        <v>1.9</v>
      </c>
      <c r="O66">
        <f t="shared" si="0"/>
        <v>-1.7999999999999998</v>
      </c>
      <c r="Q66">
        <v>37</v>
      </c>
      <c r="R66">
        <f t="shared" si="8"/>
        <v>0.58636363636363642</v>
      </c>
      <c r="S66">
        <f t="shared" si="1"/>
        <v>1.1140909090909092</v>
      </c>
      <c r="T66">
        <f t="shared" si="2"/>
        <v>-1.0140909090909092</v>
      </c>
      <c r="U66">
        <f t="shared" si="6"/>
        <v>111.16500000000003</v>
      </c>
      <c r="W66">
        <v>1055</v>
      </c>
      <c r="X66">
        <f t="shared" si="7"/>
        <v>30474.7</v>
      </c>
      <c r="Y66">
        <v>11.24659543962869</v>
      </c>
    </row>
    <row r="67" spans="1:25" x14ac:dyDescent="0.25">
      <c r="A67">
        <v>5240</v>
      </c>
      <c r="B67">
        <v>23690</v>
      </c>
      <c r="C67" s="6">
        <v>43012</v>
      </c>
      <c r="G67">
        <v>11.3</v>
      </c>
      <c r="H67">
        <v>6.2</v>
      </c>
      <c r="I67">
        <v>16.7</v>
      </c>
      <c r="J67">
        <f t="shared" si="4"/>
        <v>562.4</v>
      </c>
      <c r="K67">
        <f t="shared" si="5"/>
        <v>562.4</v>
      </c>
      <c r="M67">
        <v>0.1</v>
      </c>
      <c r="N67">
        <v>1</v>
      </c>
      <c r="O67">
        <f t="shared" si="0"/>
        <v>-0.9</v>
      </c>
      <c r="Q67">
        <v>38</v>
      </c>
      <c r="R67">
        <f t="shared" si="8"/>
        <v>0.59375</v>
      </c>
      <c r="S67">
        <f t="shared" si="1"/>
        <v>0.59375</v>
      </c>
      <c r="T67">
        <f t="shared" si="2"/>
        <v>-0.49375000000000002</v>
      </c>
      <c r="U67">
        <f t="shared" si="6"/>
        <v>110.67125000000003</v>
      </c>
      <c r="W67">
        <v>618.4</v>
      </c>
      <c r="X67">
        <f t="shared" si="7"/>
        <v>31093.100000000002</v>
      </c>
      <c r="Y67">
        <v>11.186813735386421</v>
      </c>
    </row>
    <row r="68" spans="1:25" x14ac:dyDescent="0.25">
      <c r="A68">
        <v>5240</v>
      </c>
      <c r="B68">
        <v>23690</v>
      </c>
      <c r="C68" s="6">
        <v>43013</v>
      </c>
      <c r="G68">
        <v>11.3</v>
      </c>
      <c r="H68">
        <v>8.8000000000000007</v>
      </c>
      <c r="I68">
        <v>14.6</v>
      </c>
      <c r="J68">
        <f t="shared" si="4"/>
        <v>573.69999999999993</v>
      </c>
      <c r="K68">
        <f t="shared" si="5"/>
        <v>573.69999999999993</v>
      </c>
      <c r="M68">
        <v>1.3</v>
      </c>
      <c r="N68">
        <v>0.9</v>
      </c>
      <c r="O68">
        <f t="shared" si="0"/>
        <v>0.4</v>
      </c>
      <c r="Q68">
        <v>39</v>
      </c>
      <c r="R68">
        <f t="shared" si="8"/>
        <v>0.60113636363636358</v>
      </c>
      <c r="S68">
        <f t="shared" si="1"/>
        <v>0.54102272727272727</v>
      </c>
      <c r="T68">
        <f t="shared" si="2"/>
        <v>0.75897727272727278</v>
      </c>
      <c r="U68">
        <f t="shared" si="6"/>
        <v>111.43022727272731</v>
      </c>
      <c r="W68">
        <v>462.6</v>
      </c>
      <c r="X68">
        <f t="shared" si="7"/>
        <v>31555.7</v>
      </c>
      <c r="Y68">
        <v>11.127148056155708</v>
      </c>
    </row>
    <row r="69" spans="1:25" x14ac:dyDescent="0.25">
      <c r="A69">
        <v>5240</v>
      </c>
      <c r="B69">
        <v>23690</v>
      </c>
      <c r="C69" s="6">
        <v>43014</v>
      </c>
      <c r="G69">
        <v>9.1999999999999993</v>
      </c>
      <c r="H69">
        <v>5.8</v>
      </c>
      <c r="I69">
        <v>14.6</v>
      </c>
      <c r="J69">
        <f t="shared" si="4"/>
        <v>582.9</v>
      </c>
      <c r="K69">
        <f t="shared" si="5"/>
        <v>582.9</v>
      </c>
      <c r="M69">
        <v>0.1</v>
      </c>
      <c r="N69">
        <v>1.6</v>
      </c>
      <c r="O69">
        <f t="shared" ref="O69:O132" si="9">M69-N69</f>
        <v>-1.5</v>
      </c>
      <c r="Q69">
        <v>40</v>
      </c>
      <c r="R69">
        <f t="shared" si="8"/>
        <v>0.60852272727272727</v>
      </c>
      <c r="S69">
        <f t="shared" ref="S69:S132" si="10">R69*N69</f>
        <v>0.97363636363636363</v>
      </c>
      <c r="T69">
        <f t="shared" ref="T69:T132" si="11">M69-S69</f>
        <v>-0.87363636363636366</v>
      </c>
      <c r="U69">
        <f t="shared" si="6"/>
        <v>110.55659090909094</v>
      </c>
      <c r="W69">
        <v>1038.5</v>
      </c>
      <c r="X69">
        <f t="shared" si="7"/>
        <v>32594.2</v>
      </c>
      <c r="Y69">
        <v>11.067608027057476</v>
      </c>
    </row>
    <row r="70" spans="1:25" x14ac:dyDescent="0.25">
      <c r="A70">
        <v>5240</v>
      </c>
      <c r="B70">
        <v>23690</v>
      </c>
      <c r="C70" s="6">
        <v>43015</v>
      </c>
      <c r="G70">
        <v>10.4</v>
      </c>
      <c r="H70">
        <v>3.6</v>
      </c>
      <c r="I70">
        <v>14.9</v>
      </c>
      <c r="J70">
        <f t="shared" si="4"/>
        <v>593.29999999999995</v>
      </c>
      <c r="K70">
        <f t="shared" si="5"/>
        <v>593.29999999999995</v>
      </c>
      <c r="M70">
        <v>1.8</v>
      </c>
      <c r="N70">
        <v>1.6</v>
      </c>
      <c r="O70">
        <f t="shared" si="9"/>
        <v>0.19999999999999996</v>
      </c>
      <c r="Q70">
        <v>41</v>
      </c>
      <c r="R70">
        <f t="shared" si="8"/>
        <v>0.61590909090909096</v>
      </c>
      <c r="S70">
        <f t="shared" si="10"/>
        <v>0.98545454545454558</v>
      </c>
      <c r="T70">
        <f t="shared" si="11"/>
        <v>0.81454545454545446</v>
      </c>
      <c r="U70">
        <f t="shared" si="6"/>
        <v>111.3711363636364</v>
      </c>
      <c r="W70">
        <v>1199.5</v>
      </c>
      <c r="X70">
        <f t="shared" si="7"/>
        <v>33793.699999999997</v>
      </c>
      <c r="Y70">
        <v>11.008203491588823</v>
      </c>
    </row>
    <row r="71" spans="1:25" x14ac:dyDescent="0.25">
      <c r="A71">
        <v>5240</v>
      </c>
      <c r="B71">
        <v>23690</v>
      </c>
      <c r="C71" s="6">
        <v>43016</v>
      </c>
      <c r="G71">
        <v>13</v>
      </c>
      <c r="H71">
        <v>11</v>
      </c>
      <c r="I71">
        <v>15.6</v>
      </c>
      <c r="J71">
        <f t="shared" si="4"/>
        <v>606.29999999999995</v>
      </c>
      <c r="K71">
        <f t="shared" si="5"/>
        <v>606.29999999999995</v>
      </c>
      <c r="M71">
        <v>0.1</v>
      </c>
      <c r="N71">
        <v>0.4</v>
      </c>
      <c r="O71">
        <f t="shared" si="9"/>
        <v>-0.30000000000000004</v>
      </c>
      <c r="Q71">
        <v>42</v>
      </c>
      <c r="R71">
        <f t="shared" si="8"/>
        <v>0.62329545454545454</v>
      </c>
      <c r="S71">
        <f t="shared" si="10"/>
        <v>0.24931818181818183</v>
      </c>
      <c r="T71">
        <f t="shared" si="11"/>
        <v>-0.14931818181818182</v>
      </c>
      <c r="U71">
        <f t="shared" si="6"/>
        <v>111.22181818181821</v>
      </c>
      <c r="W71">
        <v>204.2</v>
      </c>
      <c r="X71">
        <f t="shared" si="7"/>
        <v>33997.899999999994</v>
      </c>
      <c r="Y71">
        <v>10.94894452575989</v>
      </c>
    </row>
    <row r="72" spans="1:25" x14ac:dyDescent="0.25">
      <c r="A72">
        <v>5240</v>
      </c>
      <c r="B72">
        <v>23690</v>
      </c>
      <c r="C72" s="6">
        <v>43017</v>
      </c>
      <c r="G72">
        <v>13.4</v>
      </c>
      <c r="H72">
        <v>9.6</v>
      </c>
      <c r="I72">
        <v>16.3</v>
      </c>
      <c r="J72">
        <f t="shared" si="4"/>
        <v>619.69999999999993</v>
      </c>
      <c r="K72">
        <f t="shared" si="5"/>
        <v>619.69999999999993</v>
      </c>
      <c r="M72">
        <v>0</v>
      </c>
      <c r="N72">
        <v>0.6</v>
      </c>
      <c r="O72">
        <f t="shared" si="9"/>
        <v>-0.6</v>
      </c>
      <c r="Q72">
        <v>43</v>
      </c>
      <c r="R72">
        <f t="shared" si="8"/>
        <v>0.63068181818181812</v>
      </c>
      <c r="S72">
        <f t="shared" si="10"/>
        <v>0.37840909090909086</v>
      </c>
      <c r="T72">
        <f t="shared" si="11"/>
        <v>-0.37840909090909086</v>
      </c>
      <c r="U72">
        <f t="shared" si="6"/>
        <v>110.84340909090912</v>
      </c>
      <c r="W72">
        <v>464.2</v>
      </c>
      <c r="X72">
        <f t="shared" si="7"/>
        <v>34462.099999999991</v>
      </c>
      <c r="Y72">
        <v>10.889841452014597</v>
      </c>
    </row>
    <row r="73" spans="1:25" x14ac:dyDescent="0.25">
      <c r="A73">
        <v>5240</v>
      </c>
      <c r="B73">
        <v>23690</v>
      </c>
      <c r="C73" s="6">
        <v>43018</v>
      </c>
      <c r="G73">
        <v>14.2</v>
      </c>
      <c r="H73">
        <v>13.2</v>
      </c>
      <c r="I73">
        <v>15.4</v>
      </c>
      <c r="J73">
        <f t="shared" si="4"/>
        <v>633.9</v>
      </c>
      <c r="K73">
        <f t="shared" si="5"/>
        <v>633.9</v>
      </c>
      <c r="M73">
        <v>0.3</v>
      </c>
      <c r="N73">
        <v>0.7</v>
      </c>
      <c r="O73">
        <f t="shared" si="9"/>
        <v>-0.39999999999999997</v>
      </c>
      <c r="Q73">
        <v>44</v>
      </c>
      <c r="R73">
        <f t="shared" si="8"/>
        <v>0.63806818181818181</v>
      </c>
      <c r="S73">
        <f t="shared" si="10"/>
        <v>0.44664772727272722</v>
      </c>
      <c r="T73">
        <f t="shared" si="11"/>
        <v>-0.14664772727272724</v>
      </c>
      <c r="U73">
        <f t="shared" si="6"/>
        <v>110.6967613636364</v>
      </c>
      <c r="W73">
        <v>183.6</v>
      </c>
      <c r="X73">
        <f t="shared" si="7"/>
        <v>34645.69999999999</v>
      </c>
      <c r="Y73">
        <v>10.830904852911228</v>
      </c>
    </row>
    <row r="74" spans="1:25" x14ac:dyDescent="0.25">
      <c r="A74">
        <v>5240</v>
      </c>
      <c r="B74">
        <v>23690</v>
      </c>
      <c r="C74" s="6">
        <v>43019</v>
      </c>
      <c r="G74">
        <v>15.1</v>
      </c>
      <c r="H74">
        <v>13.2</v>
      </c>
      <c r="I74">
        <v>17.3</v>
      </c>
      <c r="J74">
        <f t="shared" si="4"/>
        <v>649</v>
      </c>
      <c r="K74">
        <f t="shared" si="5"/>
        <v>649</v>
      </c>
      <c r="M74">
        <v>0</v>
      </c>
      <c r="N74">
        <v>1</v>
      </c>
      <c r="O74">
        <f t="shared" si="9"/>
        <v>-1</v>
      </c>
      <c r="Q74">
        <v>45</v>
      </c>
      <c r="R74">
        <f t="shared" si="8"/>
        <v>0.6454545454545455</v>
      </c>
      <c r="S74">
        <f t="shared" si="10"/>
        <v>0.6454545454545455</v>
      </c>
      <c r="T74">
        <f t="shared" si="11"/>
        <v>-0.6454545454545455</v>
      </c>
      <c r="U74">
        <f t="shared" si="6"/>
        <v>110.05130681818186</v>
      </c>
      <c r="W74">
        <v>266.89999999999998</v>
      </c>
      <c r="X74">
        <f t="shared" si="7"/>
        <v>34912.599999999991</v>
      </c>
      <c r="Y74">
        <v>10.772145584536901</v>
      </c>
    </row>
    <row r="75" spans="1:25" x14ac:dyDescent="0.25">
      <c r="A75">
        <v>5240</v>
      </c>
      <c r="B75">
        <v>23690</v>
      </c>
      <c r="C75" s="6">
        <v>43020</v>
      </c>
      <c r="G75">
        <v>15.8</v>
      </c>
      <c r="H75">
        <v>14.2</v>
      </c>
      <c r="I75">
        <v>19.100000000000001</v>
      </c>
      <c r="J75">
        <f t="shared" si="4"/>
        <v>664.8</v>
      </c>
      <c r="K75">
        <f t="shared" si="5"/>
        <v>664.8</v>
      </c>
      <c r="M75">
        <v>0.1</v>
      </c>
      <c r="N75">
        <v>1.5</v>
      </c>
      <c r="O75">
        <f t="shared" si="9"/>
        <v>-1.4</v>
      </c>
      <c r="Q75">
        <v>46</v>
      </c>
      <c r="R75">
        <f t="shared" si="8"/>
        <v>0.65284090909090908</v>
      </c>
      <c r="S75">
        <f t="shared" si="10"/>
        <v>0.97926136363636362</v>
      </c>
      <c r="T75">
        <f t="shared" si="11"/>
        <v>-0.87926136363636365</v>
      </c>
      <c r="U75">
        <f t="shared" si="6"/>
        <v>109.1720454545455</v>
      </c>
      <c r="W75">
        <v>664.8</v>
      </c>
      <c r="X75">
        <f t="shared" si="7"/>
        <v>35577.399999999994</v>
      </c>
      <c r="Y75">
        <v>10.713574789628067</v>
      </c>
    </row>
    <row r="76" spans="1:25" x14ac:dyDescent="0.25">
      <c r="A76">
        <v>5240</v>
      </c>
      <c r="B76">
        <v>23690</v>
      </c>
      <c r="C76" s="6">
        <v>43021</v>
      </c>
      <c r="G76">
        <v>15.1</v>
      </c>
      <c r="H76">
        <v>13</v>
      </c>
      <c r="I76">
        <v>20.3</v>
      </c>
      <c r="J76">
        <f t="shared" si="4"/>
        <v>679.9</v>
      </c>
      <c r="K76">
        <f t="shared" si="5"/>
        <v>679.9</v>
      </c>
      <c r="M76">
        <v>0.1</v>
      </c>
      <c r="N76">
        <v>1.7</v>
      </c>
      <c r="O76">
        <f t="shared" si="9"/>
        <v>-1.5999999999999999</v>
      </c>
      <c r="Q76">
        <v>47</v>
      </c>
      <c r="R76">
        <f t="shared" si="8"/>
        <v>0.66022727272727266</v>
      </c>
      <c r="S76">
        <f t="shared" si="10"/>
        <v>1.1223863636363636</v>
      </c>
      <c r="T76">
        <f t="shared" si="11"/>
        <v>-1.0223863636363635</v>
      </c>
      <c r="U76">
        <f t="shared" si="6"/>
        <v>108.14965909090914</v>
      </c>
      <c r="W76">
        <v>907.7</v>
      </c>
      <c r="X76">
        <f t="shared" si="7"/>
        <v>36485.099999999991</v>
      </c>
      <c r="Y76">
        <v>10.655203910367096</v>
      </c>
    </row>
    <row r="77" spans="1:25" x14ac:dyDescent="0.25">
      <c r="A77">
        <v>5240</v>
      </c>
      <c r="B77">
        <v>23690</v>
      </c>
      <c r="C77" s="6">
        <v>43022</v>
      </c>
      <c r="G77">
        <v>14.6</v>
      </c>
      <c r="H77">
        <v>8.8000000000000007</v>
      </c>
      <c r="I77">
        <v>21.3</v>
      </c>
      <c r="J77">
        <f t="shared" si="4"/>
        <v>694.5</v>
      </c>
      <c r="K77">
        <f t="shared" si="5"/>
        <v>694.5</v>
      </c>
      <c r="M77">
        <v>0.2</v>
      </c>
      <c r="N77">
        <v>2.2999999999999998</v>
      </c>
      <c r="O77">
        <f t="shared" si="9"/>
        <v>-2.0999999999999996</v>
      </c>
      <c r="Q77">
        <v>48</v>
      </c>
      <c r="R77">
        <f t="shared" si="8"/>
        <v>0.66761363636363635</v>
      </c>
      <c r="S77">
        <f t="shared" si="10"/>
        <v>1.5355113636363635</v>
      </c>
      <c r="T77">
        <f t="shared" si="11"/>
        <v>-1.3355113636363636</v>
      </c>
      <c r="U77">
        <f t="shared" si="6"/>
        <v>106.81414772727278</v>
      </c>
      <c r="W77">
        <v>1316.3</v>
      </c>
      <c r="X77">
        <f t="shared" si="7"/>
        <v>37801.399999999994</v>
      </c>
      <c r="Y77">
        <v>10.597044700822822</v>
      </c>
    </row>
    <row r="78" spans="1:25" x14ac:dyDescent="0.25">
      <c r="A78">
        <v>5240</v>
      </c>
      <c r="B78">
        <v>23690</v>
      </c>
      <c r="C78" s="6">
        <v>43023</v>
      </c>
      <c r="G78">
        <v>16.8</v>
      </c>
      <c r="H78">
        <v>10.7</v>
      </c>
      <c r="I78">
        <v>21.4</v>
      </c>
      <c r="J78">
        <f t="shared" si="4"/>
        <v>711.3</v>
      </c>
      <c r="K78">
        <f t="shared" si="5"/>
        <v>711.3</v>
      </c>
      <c r="M78">
        <v>0.1</v>
      </c>
      <c r="N78">
        <v>2</v>
      </c>
      <c r="O78">
        <f t="shared" si="9"/>
        <v>-1.9</v>
      </c>
      <c r="Q78">
        <v>49</v>
      </c>
      <c r="R78">
        <f t="shared" si="8"/>
        <v>0.67500000000000004</v>
      </c>
      <c r="S78">
        <f t="shared" si="10"/>
        <v>1.35</v>
      </c>
      <c r="T78">
        <f t="shared" si="11"/>
        <v>-1.25</v>
      </c>
      <c r="U78">
        <f t="shared" si="6"/>
        <v>105.56414772727278</v>
      </c>
      <c r="W78">
        <v>1229.0999999999999</v>
      </c>
      <c r="X78">
        <f t="shared" si="7"/>
        <v>39030.499999999993</v>
      </c>
      <c r="Y78">
        <v>10.539109239000664</v>
      </c>
    </row>
    <row r="79" spans="1:25" x14ac:dyDescent="0.25">
      <c r="A79">
        <v>5240</v>
      </c>
      <c r="B79">
        <v>23690</v>
      </c>
      <c r="C79" s="6">
        <v>43024</v>
      </c>
      <c r="G79">
        <v>17.899999999999999</v>
      </c>
      <c r="H79">
        <v>13.9</v>
      </c>
      <c r="I79">
        <v>23.3</v>
      </c>
      <c r="J79">
        <f t="shared" si="4"/>
        <v>729.19999999999993</v>
      </c>
      <c r="K79">
        <f t="shared" si="5"/>
        <v>729.19999999999993</v>
      </c>
      <c r="M79">
        <v>0</v>
      </c>
      <c r="N79">
        <v>2.6</v>
      </c>
      <c r="O79">
        <f t="shared" si="9"/>
        <v>-2.6</v>
      </c>
      <c r="Q79">
        <v>50</v>
      </c>
      <c r="R79">
        <f t="shared" si="8"/>
        <v>0.68238636363636362</v>
      </c>
      <c r="S79">
        <f t="shared" si="10"/>
        <v>1.7742045454545454</v>
      </c>
      <c r="T79">
        <f t="shared" si="11"/>
        <v>-1.7742045454545454</v>
      </c>
      <c r="U79">
        <f t="shared" si="6"/>
        <v>103.78994318181823</v>
      </c>
      <c r="W79">
        <v>1214.0999999999999</v>
      </c>
      <c r="X79">
        <f t="shared" si="7"/>
        <v>40244.599999999991</v>
      </c>
      <c r="Y79">
        <v>10.48140993846568</v>
      </c>
    </row>
    <row r="80" spans="1:25" x14ac:dyDescent="0.25">
      <c r="A80">
        <v>5240</v>
      </c>
      <c r="B80">
        <v>23690</v>
      </c>
      <c r="C80" s="6">
        <v>43025</v>
      </c>
      <c r="G80">
        <v>15.5</v>
      </c>
      <c r="H80">
        <v>9.8000000000000007</v>
      </c>
      <c r="I80">
        <v>20.6</v>
      </c>
      <c r="J80">
        <f t="shared" si="4"/>
        <v>744.69999999999993</v>
      </c>
      <c r="K80">
        <f t="shared" si="5"/>
        <v>744.69999999999993</v>
      </c>
      <c r="M80">
        <v>0.2</v>
      </c>
      <c r="N80">
        <v>1.9</v>
      </c>
      <c r="O80">
        <f t="shared" si="9"/>
        <v>-1.7</v>
      </c>
      <c r="Q80">
        <v>51</v>
      </c>
      <c r="R80">
        <f t="shared" si="8"/>
        <v>0.6897727272727272</v>
      </c>
      <c r="S80">
        <f t="shared" si="10"/>
        <v>1.3105681818181816</v>
      </c>
      <c r="T80">
        <f t="shared" si="11"/>
        <v>-1.1105681818181816</v>
      </c>
      <c r="U80">
        <f t="shared" si="6"/>
        <v>102.67937500000005</v>
      </c>
      <c r="W80">
        <v>1226.8</v>
      </c>
      <c r="X80">
        <f t="shared" si="7"/>
        <v>41471.399999999994</v>
      </c>
      <c r="Y80">
        <v>10.423959559499476</v>
      </c>
    </row>
    <row r="81" spans="1:25" x14ac:dyDescent="0.25">
      <c r="A81">
        <v>5240</v>
      </c>
      <c r="B81">
        <v>23690</v>
      </c>
      <c r="C81" s="6">
        <v>43026</v>
      </c>
      <c r="G81">
        <v>15.3</v>
      </c>
      <c r="H81">
        <v>11.6</v>
      </c>
      <c r="I81">
        <v>19.8</v>
      </c>
      <c r="J81">
        <f t="shared" si="4"/>
        <v>759.99999999999989</v>
      </c>
      <c r="K81">
        <f t="shared" si="5"/>
        <v>759.99999999999989</v>
      </c>
      <c r="M81">
        <v>0.1</v>
      </c>
      <c r="N81">
        <v>0.8</v>
      </c>
      <c r="O81">
        <f t="shared" si="9"/>
        <v>-0.70000000000000007</v>
      </c>
      <c r="Q81">
        <v>52</v>
      </c>
      <c r="R81">
        <f t="shared" si="8"/>
        <v>0.69715909090909089</v>
      </c>
      <c r="S81">
        <f t="shared" si="10"/>
        <v>0.55772727272727274</v>
      </c>
      <c r="T81">
        <f t="shared" si="11"/>
        <v>-0.45772727272727276</v>
      </c>
      <c r="U81">
        <f t="shared" si="6"/>
        <v>102.22164772727278</v>
      </c>
      <c r="W81">
        <v>350</v>
      </c>
      <c r="X81">
        <f t="shared" si="7"/>
        <v>41821.399999999994</v>
      </c>
      <c r="Y81">
        <v>10.366771219749429</v>
      </c>
    </row>
    <row r="82" spans="1:25" x14ac:dyDescent="0.25">
      <c r="A82">
        <v>5240</v>
      </c>
      <c r="B82">
        <v>23690</v>
      </c>
      <c r="C82" s="6">
        <v>43027</v>
      </c>
      <c r="G82">
        <v>15.4</v>
      </c>
      <c r="H82">
        <v>12.5</v>
      </c>
      <c r="I82">
        <v>19.600000000000001</v>
      </c>
      <c r="J82">
        <f t="shared" si="4"/>
        <v>775.39999999999986</v>
      </c>
      <c r="K82">
        <f t="shared" si="5"/>
        <v>775.39999999999986</v>
      </c>
      <c r="M82">
        <v>7.8</v>
      </c>
      <c r="N82">
        <v>1.3</v>
      </c>
      <c r="O82">
        <f t="shared" si="9"/>
        <v>6.5</v>
      </c>
      <c r="Q82">
        <v>53</v>
      </c>
      <c r="R82">
        <f t="shared" si="8"/>
        <v>0.70454545454545459</v>
      </c>
      <c r="S82">
        <f t="shared" si="10"/>
        <v>0.91590909090909101</v>
      </c>
      <c r="T82">
        <f t="shared" si="11"/>
        <v>6.8840909090909088</v>
      </c>
      <c r="U82">
        <f t="shared" si="6"/>
        <v>109.1057386363637</v>
      </c>
      <c r="W82">
        <v>400.4</v>
      </c>
      <c r="X82">
        <f t="shared" si="7"/>
        <v>42221.799999999996</v>
      </c>
      <c r="Y82">
        <v>10.309858404326237</v>
      </c>
    </row>
    <row r="83" spans="1:25" x14ac:dyDescent="0.25">
      <c r="A83">
        <v>5240</v>
      </c>
      <c r="B83">
        <v>23690</v>
      </c>
      <c r="C83" s="6">
        <v>43028</v>
      </c>
      <c r="G83">
        <v>12.7</v>
      </c>
      <c r="H83">
        <v>10.3</v>
      </c>
      <c r="I83">
        <v>15</v>
      </c>
      <c r="J83">
        <f t="shared" si="4"/>
        <v>788.09999999999991</v>
      </c>
      <c r="K83">
        <f t="shared" si="5"/>
        <v>788.09999999999991</v>
      </c>
      <c r="M83">
        <v>0.6</v>
      </c>
      <c r="N83">
        <v>1.3</v>
      </c>
      <c r="O83">
        <f t="shared" si="9"/>
        <v>-0.70000000000000007</v>
      </c>
      <c r="Q83">
        <v>54</v>
      </c>
      <c r="R83">
        <f t="shared" si="8"/>
        <v>0.71193181818181817</v>
      </c>
      <c r="S83">
        <f t="shared" si="10"/>
        <v>0.92551136363636366</v>
      </c>
      <c r="T83">
        <f t="shared" si="11"/>
        <v>-0.32551136363636368</v>
      </c>
      <c r="U83">
        <f t="shared" si="6"/>
        <v>108.78022727272733</v>
      </c>
      <c r="W83">
        <v>725.5</v>
      </c>
      <c r="X83">
        <f t="shared" si="7"/>
        <v>42947.299999999996</v>
      </c>
      <c r="Y83">
        <v>10.253234975303217</v>
      </c>
    </row>
    <row r="84" spans="1:25" x14ac:dyDescent="0.25">
      <c r="A84">
        <v>5240</v>
      </c>
      <c r="B84">
        <v>23690</v>
      </c>
      <c r="C84" s="6">
        <v>43029</v>
      </c>
      <c r="G84">
        <v>12.9</v>
      </c>
      <c r="H84">
        <v>11</v>
      </c>
      <c r="I84">
        <v>16</v>
      </c>
      <c r="J84">
        <f t="shared" si="4"/>
        <v>800.99999999999989</v>
      </c>
      <c r="K84">
        <f t="shared" si="5"/>
        <v>800.99999999999989</v>
      </c>
      <c r="M84">
        <v>1</v>
      </c>
      <c r="N84">
        <v>1.5</v>
      </c>
      <c r="O84">
        <f t="shared" si="9"/>
        <v>-0.5</v>
      </c>
      <c r="Q84">
        <v>55</v>
      </c>
      <c r="R84">
        <f t="shared" si="8"/>
        <v>0.71931818181818186</v>
      </c>
      <c r="S84">
        <f t="shared" si="10"/>
        <v>1.0789772727272728</v>
      </c>
      <c r="T84">
        <f t="shared" si="11"/>
        <v>-7.897727272727284E-2</v>
      </c>
      <c r="U84">
        <f t="shared" si="6"/>
        <v>108.70125000000006</v>
      </c>
      <c r="W84">
        <v>551.29999999999995</v>
      </c>
      <c r="X84">
        <f t="shared" si="7"/>
        <v>43498.6</v>
      </c>
      <c r="Y84">
        <v>10.196915180568283</v>
      </c>
    </row>
    <row r="85" spans="1:25" x14ac:dyDescent="0.25">
      <c r="A85">
        <v>5240</v>
      </c>
      <c r="B85">
        <v>23690</v>
      </c>
      <c r="C85" s="6">
        <v>43030</v>
      </c>
      <c r="G85">
        <v>10</v>
      </c>
      <c r="H85">
        <v>8.6</v>
      </c>
      <c r="I85">
        <v>11.8</v>
      </c>
      <c r="J85">
        <f t="shared" si="4"/>
        <v>810.99999999999989</v>
      </c>
      <c r="K85">
        <f t="shared" si="5"/>
        <v>810.99999999999989</v>
      </c>
      <c r="M85">
        <v>0.4</v>
      </c>
      <c r="N85">
        <v>1.1000000000000001</v>
      </c>
      <c r="O85">
        <f t="shared" si="9"/>
        <v>-0.70000000000000007</v>
      </c>
      <c r="Q85">
        <v>56</v>
      </c>
      <c r="R85">
        <f t="shared" si="8"/>
        <v>0.72670454545454555</v>
      </c>
      <c r="S85">
        <f t="shared" si="10"/>
        <v>0.79937500000000017</v>
      </c>
      <c r="T85">
        <f t="shared" si="11"/>
        <v>-0.39937500000000015</v>
      </c>
      <c r="U85">
        <f t="shared" si="6"/>
        <v>108.30187500000005</v>
      </c>
      <c r="W85">
        <v>570.29999999999995</v>
      </c>
      <c r="X85">
        <f t="shared" si="7"/>
        <v>44068.9</v>
      </c>
      <c r="Y85">
        <v>10.140913661976978</v>
      </c>
    </row>
    <row r="86" spans="1:25" x14ac:dyDescent="0.25">
      <c r="A86">
        <v>5240</v>
      </c>
      <c r="B86">
        <v>23690</v>
      </c>
      <c r="C86" s="6">
        <v>43031</v>
      </c>
      <c r="G86">
        <v>12.2</v>
      </c>
      <c r="H86">
        <v>9.6999999999999993</v>
      </c>
      <c r="I86">
        <v>14.3</v>
      </c>
      <c r="J86">
        <f t="shared" si="4"/>
        <v>823.19999999999993</v>
      </c>
      <c r="K86">
        <f t="shared" si="5"/>
        <v>823.19999999999993</v>
      </c>
      <c r="M86">
        <v>2.2000000000000002</v>
      </c>
      <c r="N86">
        <v>0.6</v>
      </c>
      <c r="O86">
        <f t="shared" si="9"/>
        <v>1.6</v>
      </c>
      <c r="Q86">
        <v>57</v>
      </c>
      <c r="R86">
        <f t="shared" si="8"/>
        <v>0.73409090909090913</v>
      </c>
      <c r="S86">
        <f t="shared" si="10"/>
        <v>0.44045454545454549</v>
      </c>
      <c r="T86">
        <f t="shared" si="11"/>
        <v>1.7595454545454547</v>
      </c>
      <c r="U86">
        <f t="shared" si="6"/>
        <v>110.06142045454551</v>
      </c>
      <c r="W86">
        <v>271.39999999999998</v>
      </c>
      <c r="X86">
        <f t="shared" si="7"/>
        <v>44340.3</v>
      </c>
      <c r="Y86">
        <v>10.085245462752324</v>
      </c>
    </row>
    <row r="87" spans="1:25" x14ac:dyDescent="0.25">
      <c r="A87">
        <v>5240</v>
      </c>
      <c r="B87">
        <v>23690</v>
      </c>
      <c r="C87" s="6">
        <v>43032</v>
      </c>
      <c r="G87">
        <v>15.3</v>
      </c>
      <c r="H87">
        <v>12.9</v>
      </c>
      <c r="I87">
        <v>17.100000000000001</v>
      </c>
      <c r="J87">
        <f t="shared" si="4"/>
        <v>838.49999999999989</v>
      </c>
      <c r="K87">
        <f t="shared" si="5"/>
        <v>838.49999999999989</v>
      </c>
      <c r="M87">
        <v>0.1</v>
      </c>
      <c r="N87">
        <v>0.2</v>
      </c>
      <c r="O87">
        <f t="shared" si="9"/>
        <v>-0.1</v>
      </c>
      <c r="Q87">
        <v>58</v>
      </c>
      <c r="R87">
        <f t="shared" si="8"/>
        <v>0.74147727272727271</v>
      </c>
      <c r="S87">
        <f t="shared" si="10"/>
        <v>0.14829545454545454</v>
      </c>
      <c r="T87">
        <f t="shared" si="11"/>
        <v>-4.829545454545453E-2</v>
      </c>
      <c r="U87">
        <f t="shared" si="6"/>
        <v>110.01312500000006</v>
      </c>
      <c r="W87">
        <v>163.30000000000001</v>
      </c>
      <c r="X87">
        <f t="shared" si="7"/>
        <v>44503.600000000006</v>
      </c>
      <c r="Y87">
        <v>10.029926034074906</v>
      </c>
    </row>
    <row r="88" spans="1:25" x14ac:dyDescent="0.25">
      <c r="A88">
        <v>5240</v>
      </c>
      <c r="B88">
        <v>23690</v>
      </c>
      <c r="C88" s="6">
        <v>43033</v>
      </c>
      <c r="G88">
        <v>14</v>
      </c>
      <c r="H88">
        <v>13</v>
      </c>
      <c r="I88">
        <v>16.899999999999999</v>
      </c>
      <c r="J88">
        <f t="shared" si="4"/>
        <v>852.49999999999989</v>
      </c>
      <c r="K88">
        <f t="shared" si="5"/>
        <v>852.49999999999989</v>
      </c>
      <c r="M88">
        <v>0.2</v>
      </c>
      <c r="N88">
        <v>0.6</v>
      </c>
      <c r="O88">
        <f t="shared" si="9"/>
        <v>-0.39999999999999997</v>
      </c>
      <c r="Q88">
        <v>59</v>
      </c>
      <c r="R88">
        <f t="shared" si="8"/>
        <v>0.74886363636363629</v>
      </c>
      <c r="S88">
        <f t="shared" si="10"/>
        <v>0.44931818181818178</v>
      </c>
      <c r="T88">
        <f t="shared" si="11"/>
        <v>-0.24931818181818177</v>
      </c>
      <c r="U88">
        <f t="shared" si="6"/>
        <v>109.76380681818188</v>
      </c>
      <c r="W88">
        <v>259</v>
      </c>
      <c r="X88">
        <f t="shared" si="7"/>
        <v>44762.600000000006</v>
      </c>
      <c r="Y88">
        <v>9.9749712408040718</v>
      </c>
    </row>
    <row r="89" spans="1:25" x14ac:dyDescent="0.25">
      <c r="A89">
        <v>5240</v>
      </c>
      <c r="B89">
        <v>23690</v>
      </c>
      <c r="C89" s="6">
        <v>43034</v>
      </c>
      <c r="G89">
        <v>12.5</v>
      </c>
      <c r="H89">
        <v>9.9</v>
      </c>
      <c r="I89">
        <v>14.9</v>
      </c>
      <c r="J89">
        <f t="shared" si="4"/>
        <v>864.99999999999989</v>
      </c>
      <c r="K89">
        <f t="shared" si="5"/>
        <v>864.99999999999989</v>
      </c>
      <c r="M89">
        <v>0.1</v>
      </c>
      <c r="N89">
        <v>0.5</v>
      </c>
      <c r="O89">
        <f t="shared" si="9"/>
        <v>-0.4</v>
      </c>
      <c r="Q89">
        <v>60</v>
      </c>
      <c r="R89">
        <f t="shared" si="8"/>
        <v>0.75624999999999998</v>
      </c>
      <c r="S89">
        <f t="shared" si="10"/>
        <v>0.37812499999999999</v>
      </c>
      <c r="T89">
        <f t="shared" si="11"/>
        <v>-0.27812499999999996</v>
      </c>
      <c r="U89">
        <f t="shared" si="6"/>
        <v>109.48568181818187</v>
      </c>
      <c r="W89">
        <v>247.1</v>
      </c>
      <c r="X89">
        <f t="shared" si="7"/>
        <v>45009.700000000004</v>
      </c>
      <c r="Y89">
        <v>9.9203973662688369</v>
      </c>
    </row>
    <row r="90" spans="1:25" x14ac:dyDescent="0.25">
      <c r="A90">
        <v>5240</v>
      </c>
      <c r="B90">
        <v>23690</v>
      </c>
      <c r="C90" s="6">
        <v>43035</v>
      </c>
      <c r="G90">
        <v>11.3</v>
      </c>
      <c r="H90">
        <v>9.4</v>
      </c>
      <c r="I90">
        <v>16</v>
      </c>
      <c r="J90">
        <f t="shared" si="4"/>
        <v>876.29999999999984</v>
      </c>
      <c r="K90">
        <f t="shared" si="5"/>
        <v>876.29999999999984</v>
      </c>
      <c r="M90">
        <v>0.2</v>
      </c>
      <c r="N90">
        <v>0.9</v>
      </c>
      <c r="O90">
        <f t="shared" si="9"/>
        <v>-0.7</v>
      </c>
      <c r="Q90">
        <v>61</v>
      </c>
      <c r="R90">
        <f t="shared" si="8"/>
        <v>0.76363636363636367</v>
      </c>
      <c r="S90">
        <f t="shared" si="10"/>
        <v>0.68727272727272737</v>
      </c>
      <c r="T90">
        <f t="shared" si="11"/>
        <v>-0.48727272727272736</v>
      </c>
      <c r="U90">
        <f t="shared" si="6"/>
        <v>108.99840909090915</v>
      </c>
      <c r="W90">
        <v>440.6</v>
      </c>
      <c r="X90">
        <f t="shared" si="7"/>
        <v>45450.3</v>
      </c>
      <c r="Y90">
        <v>9.866221116064871</v>
      </c>
    </row>
    <row r="91" spans="1:25" x14ac:dyDescent="0.25">
      <c r="A91">
        <v>5240</v>
      </c>
      <c r="B91">
        <v>23690</v>
      </c>
      <c r="C91" s="6">
        <v>43036</v>
      </c>
      <c r="G91">
        <v>9</v>
      </c>
      <c r="H91">
        <v>4.4000000000000004</v>
      </c>
      <c r="I91">
        <v>12.4</v>
      </c>
      <c r="J91">
        <f t="shared" si="4"/>
        <v>885.29999999999984</v>
      </c>
      <c r="K91">
        <f t="shared" si="5"/>
        <v>885.29999999999984</v>
      </c>
      <c r="M91">
        <v>0.1</v>
      </c>
      <c r="N91">
        <v>0.9</v>
      </c>
      <c r="O91">
        <f t="shared" si="9"/>
        <v>-0.8</v>
      </c>
      <c r="Q91">
        <v>62</v>
      </c>
      <c r="R91">
        <f t="shared" si="8"/>
        <v>0.77102272727272725</v>
      </c>
      <c r="S91">
        <f t="shared" si="10"/>
        <v>0.69392045454545459</v>
      </c>
      <c r="T91">
        <f t="shared" si="11"/>
        <v>-0.59392045454545461</v>
      </c>
      <c r="U91">
        <f t="shared" si="6"/>
        <v>108.40448863636369</v>
      </c>
      <c r="W91">
        <v>539.79999999999995</v>
      </c>
      <c r="X91">
        <f t="shared" si="7"/>
        <v>45990.100000000006</v>
      </c>
      <c r="Y91">
        <v>9.8124596207919037</v>
      </c>
    </row>
    <row r="92" spans="1:25" x14ac:dyDescent="0.25">
      <c r="A92">
        <v>5240</v>
      </c>
      <c r="B92">
        <v>23690</v>
      </c>
      <c r="C92" s="6">
        <v>43037</v>
      </c>
      <c r="G92">
        <v>11.3</v>
      </c>
      <c r="H92">
        <v>10.4</v>
      </c>
      <c r="I92">
        <v>14.7</v>
      </c>
      <c r="J92">
        <f t="shared" si="4"/>
        <v>896.5999999999998</v>
      </c>
      <c r="K92">
        <f t="shared" si="5"/>
        <v>896.5999999999998</v>
      </c>
      <c r="M92">
        <v>1.3</v>
      </c>
      <c r="N92">
        <v>0.8</v>
      </c>
      <c r="O92">
        <f t="shared" si="9"/>
        <v>0.5</v>
      </c>
      <c r="Q92">
        <v>63</v>
      </c>
      <c r="R92">
        <f t="shared" si="8"/>
        <v>0.77840909090909083</v>
      </c>
      <c r="S92">
        <f t="shared" si="10"/>
        <v>0.62272727272727268</v>
      </c>
      <c r="T92">
        <f t="shared" si="11"/>
        <v>0.67727272727272736</v>
      </c>
      <c r="U92">
        <f t="shared" si="6"/>
        <v>109.08176136363642</v>
      </c>
      <c r="W92">
        <v>243</v>
      </c>
      <c r="X92">
        <f t="shared" si="7"/>
        <v>46233.100000000006</v>
      </c>
      <c r="Y92">
        <v>9.7591304376640071</v>
      </c>
    </row>
    <row r="93" spans="1:25" x14ac:dyDescent="0.25">
      <c r="A93">
        <v>5240</v>
      </c>
      <c r="B93">
        <v>23690</v>
      </c>
      <c r="C93" s="6">
        <v>43038</v>
      </c>
      <c r="G93">
        <v>6.6</v>
      </c>
      <c r="H93">
        <v>3.3</v>
      </c>
      <c r="I93">
        <v>11.6</v>
      </c>
      <c r="J93">
        <f t="shared" si="4"/>
        <v>903.19999999999982</v>
      </c>
      <c r="K93">
        <f t="shared" si="5"/>
        <v>903.19999999999982</v>
      </c>
      <c r="M93">
        <v>0</v>
      </c>
      <c r="N93">
        <v>1.1000000000000001</v>
      </c>
      <c r="O93">
        <f t="shared" si="9"/>
        <v>-1.1000000000000001</v>
      </c>
      <c r="Q93">
        <v>64</v>
      </c>
      <c r="R93">
        <f t="shared" si="8"/>
        <v>0.78579545454545452</v>
      </c>
      <c r="S93">
        <f t="shared" si="10"/>
        <v>0.864375</v>
      </c>
      <c r="T93">
        <f t="shared" si="11"/>
        <v>-0.864375</v>
      </c>
      <c r="U93">
        <f t="shared" si="6"/>
        <v>108.21738636363642</v>
      </c>
      <c r="W93">
        <v>752.6</v>
      </c>
      <c r="X93">
        <f t="shared" si="7"/>
        <v>46985.700000000004</v>
      </c>
      <c r="Y93">
        <v>9.706251550923561</v>
      </c>
    </row>
    <row r="94" spans="1:25" x14ac:dyDescent="0.25">
      <c r="A94">
        <v>5240</v>
      </c>
      <c r="B94">
        <v>23690</v>
      </c>
      <c r="C94" s="6">
        <v>43039</v>
      </c>
      <c r="G94">
        <v>5.6</v>
      </c>
      <c r="H94">
        <v>1.1000000000000001</v>
      </c>
      <c r="I94">
        <v>11.5</v>
      </c>
      <c r="J94">
        <f t="shared" si="4"/>
        <v>908.79999999999984</v>
      </c>
      <c r="K94">
        <f t="shared" si="5"/>
        <v>908.79999999999984</v>
      </c>
      <c r="M94">
        <v>0.1</v>
      </c>
      <c r="N94">
        <v>1.2</v>
      </c>
      <c r="O94">
        <f t="shared" si="9"/>
        <v>-1.0999999999999999</v>
      </c>
      <c r="Q94">
        <v>65</v>
      </c>
      <c r="R94">
        <f t="shared" si="8"/>
        <v>0.79318181818181821</v>
      </c>
      <c r="S94">
        <f t="shared" si="10"/>
        <v>0.95181818181818179</v>
      </c>
      <c r="T94">
        <f t="shared" si="11"/>
        <v>-0.85181818181818181</v>
      </c>
      <c r="U94">
        <f t="shared" si="6"/>
        <v>107.36556818181823</v>
      </c>
      <c r="W94">
        <v>949.9</v>
      </c>
      <c r="X94">
        <f t="shared" si="7"/>
        <v>47935.600000000006</v>
      </c>
      <c r="Y94">
        <v>9.6538413709883688</v>
      </c>
    </row>
    <row r="95" spans="1:25" x14ac:dyDescent="0.25">
      <c r="A95">
        <v>5240</v>
      </c>
      <c r="B95">
        <v>23690</v>
      </c>
      <c r="C95" s="6">
        <v>43040</v>
      </c>
      <c r="G95">
        <v>7.9</v>
      </c>
      <c r="H95">
        <v>3</v>
      </c>
      <c r="I95">
        <v>13.3</v>
      </c>
      <c r="J95">
        <f t="shared" si="4"/>
        <v>916.69999999999982</v>
      </c>
      <c r="K95">
        <f t="shared" si="5"/>
        <v>916.69999999999982</v>
      </c>
      <c r="M95">
        <v>0</v>
      </c>
      <c r="N95">
        <v>1</v>
      </c>
      <c r="O95">
        <f t="shared" si="9"/>
        <v>-1</v>
      </c>
      <c r="Q95">
        <v>66</v>
      </c>
      <c r="R95">
        <f t="shared" si="8"/>
        <v>0.80056818181818179</v>
      </c>
      <c r="S95">
        <f t="shared" si="10"/>
        <v>0.80056818181818179</v>
      </c>
      <c r="T95">
        <f t="shared" si="11"/>
        <v>-0.80056818181818179</v>
      </c>
      <c r="U95">
        <f t="shared" si="6"/>
        <v>106.56500000000005</v>
      </c>
      <c r="W95">
        <v>630.1</v>
      </c>
      <c r="X95">
        <f t="shared" si="7"/>
        <v>48565.700000000004</v>
      </c>
      <c r="Y95">
        <v>9.6019187322603496</v>
      </c>
    </row>
    <row r="96" spans="1:25" x14ac:dyDescent="0.25">
      <c r="A96">
        <v>5240</v>
      </c>
      <c r="B96">
        <v>23690</v>
      </c>
      <c r="C96" s="6">
        <v>43041</v>
      </c>
      <c r="G96">
        <v>10.6</v>
      </c>
      <c r="H96">
        <v>7.9</v>
      </c>
      <c r="I96">
        <v>12.9</v>
      </c>
      <c r="J96">
        <f t="shared" ref="J96:J159" si="12">J95+G96</f>
        <v>927.29999999999984</v>
      </c>
      <c r="K96">
        <f t="shared" ref="K96:K159" si="13">K95+G96</f>
        <v>927.29999999999984</v>
      </c>
      <c r="M96">
        <v>0.1</v>
      </c>
      <c r="N96">
        <v>0.2</v>
      </c>
      <c r="O96">
        <f t="shared" si="9"/>
        <v>-0.1</v>
      </c>
      <c r="Q96">
        <v>67</v>
      </c>
      <c r="R96">
        <f t="shared" si="8"/>
        <v>0.80795454545454548</v>
      </c>
      <c r="S96">
        <f t="shared" si="10"/>
        <v>0.16159090909090912</v>
      </c>
      <c r="T96">
        <f t="shared" si="11"/>
        <v>-6.1590909090909113E-2</v>
      </c>
      <c r="U96">
        <f t="shared" ref="U96:U159" si="14">MIN(U95+T96,218.9)</f>
        <v>106.50340909090914</v>
      </c>
      <c r="W96">
        <v>96.4</v>
      </c>
      <c r="X96">
        <f t="shared" ref="X96:X159" si="15">X95+W96</f>
        <v>48662.100000000006</v>
      </c>
      <c r="Y96">
        <v>9.5505028895234396</v>
      </c>
    </row>
    <row r="97" spans="1:25" x14ac:dyDescent="0.25">
      <c r="A97">
        <v>5240</v>
      </c>
      <c r="B97">
        <v>23690</v>
      </c>
      <c r="C97" s="6">
        <v>43042</v>
      </c>
      <c r="G97">
        <v>11.3</v>
      </c>
      <c r="H97">
        <v>8</v>
      </c>
      <c r="I97">
        <v>14.7</v>
      </c>
      <c r="J97">
        <f t="shared" si="12"/>
        <v>938.5999999999998</v>
      </c>
      <c r="K97">
        <f t="shared" si="13"/>
        <v>938.5999999999998</v>
      </c>
      <c r="M97">
        <v>0.1</v>
      </c>
      <c r="N97">
        <v>1.2</v>
      </c>
      <c r="O97">
        <f t="shared" si="9"/>
        <v>-1.0999999999999999</v>
      </c>
      <c r="Q97">
        <v>68</v>
      </c>
      <c r="R97">
        <f t="shared" si="8"/>
        <v>0.81534090909090917</v>
      </c>
      <c r="S97">
        <f t="shared" si="10"/>
        <v>0.97840909090909101</v>
      </c>
      <c r="T97">
        <f t="shared" si="11"/>
        <v>-0.87840909090909103</v>
      </c>
      <c r="U97">
        <f t="shared" si="14"/>
        <v>105.62500000000006</v>
      </c>
      <c r="W97">
        <v>813.8</v>
      </c>
      <c r="X97">
        <f t="shared" si="15"/>
        <v>49475.900000000009</v>
      </c>
      <c r="Y97">
        <v>9.4996135128582306</v>
      </c>
    </row>
    <row r="98" spans="1:25" x14ac:dyDescent="0.25">
      <c r="A98">
        <v>5240</v>
      </c>
      <c r="B98">
        <v>23690</v>
      </c>
      <c r="C98" s="6">
        <v>43043</v>
      </c>
      <c r="G98">
        <v>11.6</v>
      </c>
      <c r="H98">
        <v>10.5</v>
      </c>
      <c r="I98">
        <v>14.8</v>
      </c>
      <c r="J98">
        <f t="shared" si="12"/>
        <v>950.19999999999982</v>
      </c>
      <c r="K98">
        <f t="shared" si="13"/>
        <v>950.19999999999982</v>
      </c>
      <c r="M98">
        <v>4.3</v>
      </c>
      <c r="N98">
        <v>0.8</v>
      </c>
      <c r="O98">
        <f t="shared" si="9"/>
        <v>3.5</v>
      </c>
      <c r="Q98">
        <v>69</v>
      </c>
      <c r="R98">
        <f t="shared" si="8"/>
        <v>0.82272727272727275</v>
      </c>
      <c r="S98">
        <f t="shared" si="10"/>
        <v>0.6581818181818182</v>
      </c>
      <c r="T98">
        <f t="shared" si="11"/>
        <v>3.6418181818181816</v>
      </c>
      <c r="U98">
        <f t="shared" si="14"/>
        <v>109.26681818181824</v>
      </c>
      <c r="W98">
        <v>149.1</v>
      </c>
      <c r="X98">
        <f t="shared" si="15"/>
        <v>49625.000000000007</v>
      </c>
      <c r="Y98">
        <v>9.449270681000824</v>
      </c>
    </row>
    <row r="99" spans="1:25" x14ac:dyDescent="0.25">
      <c r="A99">
        <v>5240</v>
      </c>
      <c r="B99">
        <v>23690</v>
      </c>
      <c r="C99" s="6">
        <v>43044</v>
      </c>
      <c r="G99">
        <v>6.5</v>
      </c>
      <c r="H99">
        <v>4.9000000000000004</v>
      </c>
      <c r="I99">
        <v>9.4</v>
      </c>
      <c r="J99">
        <f t="shared" si="12"/>
        <v>956.69999999999982</v>
      </c>
      <c r="K99">
        <f t="shared" si="13"/>
        <v>956.69999999999982</v>
      </c>
      <c r="M99">
        <v>0.1</v>
      </c>
      <c r="N99">
        <v>0.8</v>
      </c>
      <c r="O99">
        <f t="shared" si="9"/>
        <v>-0.70000000000000007</v>
      </c>
      <c r="Q99">
        <v>70</v>
      </c>
      <c r="R99">
        <f t="shared" si="8"/>
        <v>0.83011363636363633</v>
      </c>
      <c r="S99">
        <f t="shared" si="10"/>
        <v>0.66409090909090907</v>
      </c>
      <c r="T99">
        <f t="shared" si="11"/>
        <v>-0.56409090909090909</v>
      </c>
      <c r="U99">
        <f t="shared" si="14"/>
        <v>108.70272727272733</v>
      </c>
      <c r="W99">
        <v>681.7</v>
      </c>
      <c r="X99">
        <f t="shared" si="15"/>
        <v>50306.700000000004</v>
      </c>
      <c r="Y99">
        <v>9.3994948730742927</v>
      </c>
    </row>
    <row r="100" spans="1:25" x14ac:dyDescent="0.25">
      <c r="A100">
        <v>5240</v>
      </c>
      <c r="B100">
        <v>23690</v>
      </c>
      <c r="C100" s="6">
        <v>43045</v>
      </c>
      <c r="G100">
        <v>3.8</v>
      </c>
      <c r="H100">
        <v>1.3</v>
      </c>
      <c r="I100">
        <v>10.1</v>
      </c>
      <c r="J100">
        <f t="shared" si="12"/>
        <v>960.49999999999977</v>
      </c>
      <c r="K100">
        <f t="shared" si="13"/>
        <v>960.49999999999977</v>
      </c>
      <c r="M100">
        <v>0</v>
      </c>
      <c r="N100">
        <v>1</v>
      </c>
      <c r="O100">
        <f t="shared" si="9"/>
        <v>-1</v>
      </c>
      <c r="Q100">
        <v>71</v>
      </c>
      <c r="R100">
        <f t="shared" ref="R100:R122" si="16">0.35+((Q100-5)/88)*(1-0.35)</f>
        <v>0.83750000000000002</v>
      </c>
      <c r="S100">
        <f t="shared" si="10"/>
        <v>0.83750000000000002</v>
      </c>
      <c r="T100">
        <f t="shared" si="11"/>
        <v>-0.83750000000000002</v>
      </c>
      <c r="U100">
        <f t="shared" si="14"/>
        <v>107.86522727272732</v>
      </c>
      <c r="W100">
        <v>793.9</v>
      </c>
      <c r="X100">
        <f t="shared" si="15"/>
        <v>51100.600000000006</v>
      </c>
      <c r="Y100">
        <v>9.3503069586222161</v>
      </c>
    </row>
    <row r="101" spans="1:25" x14ac:dyDescent="0.25">
      <c r="A101">
        <v>5240</v>
      </c>
      <c r="B101">
        <v>23690</v>
      </c>
      <c r="C101" s="6">
        <v>43046</v>
      </c>
      <c r="G101">
        <v>2.4</v>
      </c>
      <c r="H101">
        <v>-2.5</v>
      </c>
      <c r="I101">
        <v>9</v>
      </c>
      <c r="J101">
        <f t="shared" si="12"/>
        <v>962.89999999999975</v>
      </c>
      <c r="K101">
        <f t="shared" si="13"/>
        <v>962.89999999999975</v>
      </c>
      <c r="M101">
        <v>1.6</v>
      </c>
      <c r="N101">
        <v>1.2</v>
      </c>
      <c r="O101">
        <f t="shared" si="9"/>
        <v>0.40000000000000013</v>
      </c>
      <c r="Q101">
        <v>72</v>
      </c>
      <c r="R101">
        <f t="shared" si="16"/>
        <v>0.8448863636363636</v>
      </c>
      <c r="S101">
        <f t="shared" si="10"/>
        <v>1.0138636363636362</v>
      </c>
      <c r="T101">
        <f t="shared" si="11"/>
        <v>0.5861363636363639</v>
      </c>
      <c r="U101">
        <f t="shared" si="14"/>
        <v>108.45136363636369</v>
      </c>
      <c r="W101">
        <v>898.9</v>
      </c>
      <c r="X101">
        <f t="shared" si="15"/>
        <v>51999.500000000007</v>
      </c>
      <c r="Y101">
        <v>9.3017281858757457</v>
      </c>
    </row>
    <row r="102" spans="1:25" x14ac:dyDescent="0.25">
      <c r="A102">
        <v>5240</v>
      </c>
      <c r="B102">
        <v>23690</v>
      </c>
      <c r="C102" s="6">
        <v>43047</v>
      </c>
      <c r="G102">
        <v>5.4</v>
      </c>
      <c r="H102">
        <v>1.7</v>
      </c>
      <c r="I102">
        <v>7.1</v>
      </c>
      <c r="J102">
        <f t="shared" si="12"/>
        <v>968.29999999999973</v>
      </c>
      <c r="K102">
        <f t="shared" si="13"/>
        <v>968.29999999999973</v>
      </c>
      <c r="M102">
        <v>1.2</v>
      </c>
      <c r="N102">
        <v>0.1</v>
      </c>
      <c r="O102">
        <f t="shared" si="9"/>
        <v>1.0999999999999999</v>
      </c>
      <c r="Q102">
        <v>73</v>
      </c>
      <c r="R102">
        <f t="shared" si="16"/>
        <v>0.85227272727272729</v>
      </c>
      <c r="S102">
        <f t="shared" si="10"/>
        <v>8.5227272727272735E-2</v>
      </c>
      <c r="T102">
        <f t="shared" si="11"/>
        <v>1.1147727272727272</v>
      </c>
      <c r="U102">
        <f t="shared" si="14"/>
        <v>109.56613636363642</v>
      </c>
      <c r="W102">
        <v>107.2</v>
      </c>
      <c r="X102">
        <f t="shared" si="15"/>
        <v>52106.700000000004</v>
      </c>
      <c r="Y102">
        <v>9.2537801681881753</v>
      </c>
    </row>
    <row r="103" spans="1:25" x14ac:dyDescent="0.25">
      <c r="A103">
        <v>5240</v>
      </c>
      <c r="B103">
        <v>23690</v>
      </c>
      <c r="C103" s="6">
        <v>43048</v>
      </c>
      <c r="G103">
        <v>8.1999999999999993</v>
      </c>
      <c r="H103">
        <v>6</v>
      </c>
      <c r="I103">
        <v>10.6</v>
      </c>
      <c r="J103">
        <f t="shared" si="12"/>
        <v>976.49999999999977</v>
      </c>
      <c r="K103">
        <f t="shared" si="13"/>
        <v>976.49999999999977</v>
      </c>
      <c r="M103">
        <v>0.6</v>
      </c>
      <c r="N103">
        <v>0.6</v>
      </c>
      <c r="O103">
        <f t="shared" si="9"/>
        <v>0</v>
      </c>
      <c r="Q103">
        <v>74</v>
      </c>
      <c r="R103">
        <f t="shared" si="16"/>
        <v>0.85965909090909087</v>
      </c>
      <c r="S103">
        <f t="shared" si="10"/>
        <v>0.5157954545454545</v>
      </c>
      <c r="T103">
        <f t="shared" si="11"/>
        <v>8.4204545454545476E-2</v>
      </c>
      <c r="U103">
        <f t="shared" si="14"/>
        <v>109.65034090909096</v>
      </c>
      <c r="W103">
        <v>355.2</v>
      </c>
      <c r="X103">
        <f t="shared" si="15"/>
        <v>52461.9</v>
      </c>
      <c r="Y103">
        <v>9.2064848685743268</v>
      </c>
    </row>
    <row r="104" spans="1:25" x14ac:dyDescent="0.25">
      <c r="A104">
        <v>5240</v>
      </c>
      <c r="B104">
        <v>23690</v>
      </c>
      <c r="C104" s="6">
        <v>43049</v>
      </c>
      <c r="G104">
        <v>9.6</v>
      </c>
      <c r="H104">
        <v>8.1999999999999993</v>
      </c>
      <c r="I104">
        <v>11.4</v>
      </c>
      <c r="J104">
        <f t="shared" si="12"/>
        <v>986.0999999999998</v>
      </c>
      <c r="K104">
        <f t="shared" si="13"/>
        <v>986.0999999999998</v>
      </c>
      <c r="M104">
        <v>1.4</v>
      </c>
      <c r="N104">
        <v>0.4</v>
      </c>
      <c r="O104">
        <f t="shared" si="9"/>
        <v>0.99999999999999989</v>
      </c>
      <c r="Q104">
        <v>75</v>
      </c>
      <c r="R104">
        <f t="shared" si="16"/>
        <v>0.86704545454545456</v>
      </c>
      <c r="S104">
        <f t="shared" si="10"/>
        <v>0.34681818181818186</v>
      </c>
      <c r="T104">
        <f t="shared" si="11"/>
        <v>1.053181818181818</v>
      </c>
      <c r="U104">
        <f t="shared" si="14"/>
        <v>110.70352272727277</v>
      </c>
      <c r="W104">
        <v>135</v>
      </c>
      <c r="X104">
        <f t="shared" si="15"/>
        <v>52596.9</v>
      </c>
      <c r="Y104">
        <v>9.1598645822960858</v>
      </c>
    </row>
    <row r="105" spans="1:25" x14ac:dyDescent="0.25">
      <c r="A105">
        <v>5240</v>
      </c>
      <c r="B105">
        <v>23690</v>
      </c>
      <c r="C105" s="6">
        <v>43050</v>
      </c>
      <c r="G105">
        <v>11</v>
      </c>
      <c r="H105">
        <v>8</v>
      </c>
      <c r="I105">
        <v>12.7</v>
      </c>
      <c r="J105">
        <f t="shared" si="12"/>
        <v>997.0999999999998</v>
      </c>
      <c r="K105">
        <f t="shared" si="13"/>
        <v>997.0999999999998</v>
      </c>
      <c r="M105">
        <v>4.7</v>
      </c>
      <c r="N105">
        <v>0.2</v>
      </c>
      <c r="O105">
        <f t="shared" si="9"/>
        <v>4.5</v>
      </c>
      <c r="Q105">
        <v>76</v>
      </c>
      <c r="R105">
        <f t="shared" si="16"/>
        <v>0.87443181818181814</v>
      </c>
      <c r="S105">
        <f t="shared" si="10"/>
        <v>0.17488636363636365</v>
      </c>
      <c r="T105">
        <f t="shared" si="11"/>
        <v>4.5251136363636366</v>
      </c>
      <c r="U105">
        <f t="shared" si="14"/>
        <v>115.22863636363641</v>
      </c>
      <c r="W105">
        <v>123.8</v>
      </c>
      <c r="X105">
        <f t="shared" si="15"/>
        <v>52720.700000000004</v>
      </c>
      <c r="Y105">
        <v>9.1139419174404566</v>
      </c>
    </row>
    <row r="106" spans="1:25" x14ac:dyDescent="0.25">
      <c r="A106">
        <v>5240</v>
      </c>
      <c r="B106">
        <v>23690</v>
      </c>
      <c r="C106" s="6">
        <v>43051</v>
      </c>
      <c r="G106">
        <v>8.1</v>
      </c>
      <c r="H106">
        <v>4.9000000000000004</v>
      </c>
      <c r="I106">
        <v>10.6</v>
      </c>
      <c r="J106">
        <f t="shared" si="12"/>
        <v>1005.1999999999998</v>
      </c>
      <c r="K106">
        <f t="shared" si="13"/>
        <v>1005.1999999999998</v>
      </c>
      <c r="M106">
        <v>3.7</v>
      </c>
      <c r="N106">
        <v>0.4</v>
      </c>
      <c r="O106">
        <f t="shared" si="9"/>
        <v>3.3000000000000003</v>
      </c>
      <c r="Q106">
        <v>77</v>
      </c>
      <c r="R106">
        <f t="shared" si="16"/>
        <v>0.88181818181818183</v>
      </c>
      <c r="S106">
        <f t="shared" si="10"/>
        <v>0.35272727272727278</v>
      </c>
      <c r="T106">
        <f t="shared" si="11"/>
        <v>3.3472727272727276</v>
      </c>
      <c r="U106">
        <f t="shared" si="14"/>
        <v>118.57590909090914</v>
      </c>
      <c r="W106">
        <v>394.1</v>
      </c>
      <c r="X106">
        <f t="shared" si="15"/>
        <v>53114.8</v>
      </c>
      <c r="Y106">
        <v>9.0687397734422106</v>
      </c>
    </row>
    <row r="107" spans="1:25" x14ac:dyDescent="0.25">
      <c r="A107">
        <v>5240</v>
      </c>
      <c r="B107">
        <v>23690</v>
      </c>
      <c r="C107" s="6">
        <v>43052</v>
      </c>
      <c r="G107">
        <v>5.4</v>
      </c>
      <c r="H107">
        <v>4.4000000000000004</v>
      </c>
      <c r="I107">
        <v>8.6999999999999993</v>
      </c>
      <c r="J107">
        <f t="shared" si="12"/>
        <v>1010.5999999999998</v>
      </c>
      <c r="K107">
        <f t="shared" si="13"/>
        <v>1010.5999999999998</v>
      </c>
      <c r="M107">
        <v>0.2</v>
      </c>
      <c r="N107">
        <v>0.9</v>
      </c>
      <c r="O107">
        <f t="shared" si="9"/>
        <v>-0.7</v>
      </c>
      <c r="Q107">
        <v>78</v>
      </c>
      <c r="R107">
        <f t="shared" si="16"/>
        <v>0.88920454545454553</v>
      </c>
      <c r="S107">
        <f t="shared" si="10"/>
        <v>0.80028409090909103</v>
      </c>
      <c r="T107">
        <f t="shared" si="11"/>
        <v>-0.60028409090909096</v>
      </c>
      <c r="U107">
        <f t="shared" si="14"/>
        <v>117.97562500000005</v>
      </c>
      <c r="W107">
        <v>376.4</v>
      </c>
      <c r="X107">
        <f t="shared" si="15"/>
        <v>53491.200000000004</v>
      </c>
      <c r="Y107">
        <v>9.024281317510086</v>
      </c>
    </row>
    <row r="108" spans="1:25" x14ac:dyDescent="0.25">
      <c r="A108">
        <v>5240</v>
      </c>
      <c r="B108">
        <v>23690</v>
      </c>
      <c r="C108" s="6">
        <v>43053</v>
      </c>
      <c r="E108" t="s">
        <v>35</v>
      </c>
      <c r="G108">
        <v>5.0999999999999996</v>
      </c>
      <c r="H108">
        <v>1</v>
      </c>
      <c r="I108">
        <v>10</v>
      </c>
      <c r="J108">
        <f t="shared" si="12"/>
        <v>1015.6999999999998</v>
      </c>
      <c r="K108">
        <f t="shared" si="13"/>
        <v>1015.6999999999998</v>
      </c>
      <c r="M108">
        <v>0</v>
      </c>
      <c r="N108">
        <v>0.8</v>
      </c>
      <c r="O108">
        <f t="shared" si="9"/>
        <v>-0.8</v>
      </c>
      <c r="Q108">
        <v>79</v>
      </c>
      <c r="R108">
        <f t="shared" si="16"/>
        <v>0.89659090909090911</v>
      </c>
      <c r="S108">
        <f t="shared" si="10"/>
        <v>0.71727272727272728</v>
      </c>
      <c r="T108">
        <f t="shared" si="11"/>
        <v>-0.71727272727272728</v>
      </c>
      <c r="U108">
        <f t="shared" si="14"/>
        <v>117.25835227272732</v>
      </c>
      <c r="W108">
        <v>594.20000000000005</v>
      </c>
      <c r="X108">
        <f t="shared" si="15"/>
        <v>54085.4</v>
      </c>
      <c r="Y108">
        <v>8.9805899589231597</v>
      </c>
    </row>
    <row r="109" spans="1:25" x14ac:dyDescent="0.25">
      <c r="A109">
        <v>5240</v>
      </c>
      <c r="B109">
        <v>23690</v>
      </c>
      <c r="C109" s="6">
        <v>43054</v>
      </c>
      <c r="G109">
        <v>6.3</v>
      </c>
      <c r="H109">
        <v>4.5</v>
      </c>
      <c r="I109">
        <v>9</v>
      </c>
      <c r="J109">
        <f t="shared" si="12"/>
        <v>1021.9999999999998</v>
      </c>
      <c r="K109">
        <f t="shared" si="13"/>
        <v>1021.9999999999998</v>
      </c>
      <c r="M109">
        <v>0.1</v>
      </c>
      <c r="N109">
        <v>0.3</v>
      </c>
      <c r="O109">
        <f t="shared" si="9"/>
        <v>-0.19999999999999998</v>
      </c>
      <c r="Q109">
        <v>80</v>
      </c>
      <c r="R109">
        <f t="shared" si="16"/>
        <v>0.90397727272727268</v>
      </c>
      <c r="S109">
        <f t="shared" si="10"/>
        <v>0.27119318181818181</v>
      </c>
      <c r="T109">
        <f t="shared" si="11"/>
        <v>-0.1711931818181818</v>
      </c>
      <c r="U109">
        <f t="shared" si="14"/>
        <v>117.08715909090914</v>
      </c>
      <c r="W109">
        <v>106.6</v>
      </c>
      <c r="X109">
        <f t="shared" si="15"/>
        <v>54192</v>
      </c>
      <c r="Y109">
        <v>8.9376893211727335</v>
      </c>
    </row>
    <row r="110" spans="1:25" x14ac:dyDescent="0.25">
      <c r="A110">
        <v>5240</v>
      </c>
      <c r="B110">
        <v>23690</v>
      </c>
      <c r="C110" s="6">
        <v>43055</v>
      </c>
      <c r="G110">
        <v>6.3</v>
      </c>
      <c r="H110">
        <v>2.8</v>
      </c>
      <c r="I110">
        <v>9.9</v>
      </c>
      <c r="J110">
        <f t="shared" si="12"/>
        <v>1028.2999999999997</v>
      </c>
      <c r="K110">
        <f t="shared" si="13"/>
        <v>1028.2999999999997</v>
      </c>
      <c r="M110">
        <v>0</v>
      </c>
      <c r="N110">
        <v>0.4</v>
      </c>
      <c r="O110">
        <f t="shared" si="9"/>
        <v>-0.4</v>
      </c>
      <c r="Q110">
        <v>81</v>
      </c>
      <c r="R110">
        <f t="shared" si="16"/>
        <v>0.91136363636363638</v>
      </c>
      <c r="S110">
        <f t="shared" si="10"/>
        <v>0.36454545454545456</v>
      </c>
      <c r="T110">
        <f t="shared" si="11"/>
        <v>-0.36454545454545456</v>
      </c>
      <c r="U110">
        <f t="shared" si="14"/>
        <v>116.72261363636369</v>
      </c>
      <c r="W110">
        <v>281.89999999999998</v>
      </c>
      <c r="X110">
        <f t="shared" si="15"/>
        <v>54473.9</v>
      </c>
      <c r="Y110">
        <v>8.8956032119349384</v>
      </c>
    </row>
    <row r="111" spans="1:25" x14ac:dyDescent="0.25">
      <c r="A111">
        <v>5240</v>
      </c>
      <c r="B111">
        <v>23690</v>
      </c>
      <c r="C111" s="6">
        <v>43056</v>
      </c>
      <c r="G111">
        <v>7.8</v>
      </c>
      <c r="H111">
        <v>4.8</v>
      </c>
      <c r="I111">
        <v>10.8</v>
      </c>
      <c r="J111">
        <f t="shared" si="12"/>
        <v>1036.0999999999997</v>
      </c>
      <c r="K111">
        <f t="shared" si="13"/>
        <v>1036.0999999999997</v>
      </c>
      <c r="M111">
        <v>0</v>
      </c>
      <c r="N111">
        <v>0.2</v>
      </c>
      <c r="O111">
        <f t="shared" si="9"/>
        <v>-0.2</v>
      </c>
      <c r="Q111">
        <v>82</v>
      </c>
      <c r="R111">
        <f t="shared" si="16"/>
        <v>0.91874999999999996</v>
      </c>
      <c r="S111">
        <f t="shared" si="10"/>
        <v>0.18375</v>
      </c>
      <c r="T111">
        <f t="shared" si="11"/>
        <v>-0.18375</v>
      </c>
      <c r="U111">
        <f t="shared" si="14"/>
        <v>116.53886363636369</v>
      </c>
      <c r="W111">
        <v>136.80000000000001</v>
      </c>
      <c r="X111">
        <f t="shared" si="15"/>
        <v>54610.700000000004</v>
      </c>
      <c r="Y111">
        <v>8.854355590869984</v>
      </c>
    </row>
    <row r="112" spans="1:25" x14ac:dyDescent="0.25">
      <c r="A112">
        <v>5240</v>
      </c>
      <c r="B112">
        <v>23690</v>
      </c>
      <c r="C112" s="6">
        <v>43057</v>
      </c>
      <c r="G112">
        <v>5.4</v>
      </c>
      <c r="H112">
        <v>2.4</v>
      </c>
      <c r="I112">
        <v>7.3</v>
      </c>
      <c r="J112">
        <f t="shared" si="12"/>
        <v>1041.4999999999998</v>
      </c>
      <c r="K112">
        <f t="shared" si="13"/>
        <v>1041.4999999999998</v>
      </c>
      <c r="M112">
        <v>0.1</v>
      </c>
      <c r="N112">
        <v>0.2</v>
      </c>
      <c r="O112">
        <f t="shared" si="9"/>
        <v>-0.1</v>
      </c>
      <c r="Q112">
        <v>83</v>
      </c>
      <c r="R112">
        <f t="shared" si="16"/>
        <v>0.92613636363636365</v>
      </c>
      <c r="S112">
        <f t="shared" si="10"/>
        <v>0.18522727272727274</v>
      </c>
      <c r="T112">
        <f t="shared" si="11"/>
        <v>-8.5227272727272735E-2</v>
      </c>
      <c r="U112">
        <f t="shared" si="14"/>
        <v>116.45363636363642</v>
      </c>
      <c r="W112">
        <v>168.6</v>
      </c>
      <c r="X112">
        <f t="shared" si="15"/>
        <v>54779.3</v>
      </c>
      <c r="Y112">
        <v>8.8139705352558178</v>
      </c>
    </row>
    <row r="113" spans="1:26" x14ac:dyDescent="0.25">
      <c r="A113">
        <v>5240</v>
      </c>
      <c r="B113">
        <v>23690</v>
      </c>
      <c r="C113" s="6">
        <v>43058</v>
      </c>
      <c r="G113">
        <v>6.3</v>
      </c>
      <c r="H113">
        <v>3.8</v>
      </c>
      <c r="I113">
        <v>9.4</v>
      </c>
      <c r="J113">
        <f t="shared" si="12"/>
        <v>1047.7999999999997</v>
      </c>
      <c r="K113">
        <f t="shared" si="13"/>
        <v>1047.7999999999997</v>
      </c>
      <c r="M113">
        <v>0.2</v>
      </c>
      <c r="N113">
        <v>0.4</v>
      </c>
      <c r="O113">
        <f t="shared" si="9"/>
        <v>-0.2</v>
      </c>
      <c r="Q113">
        <v>84</v>
      </c>
      <c r="R113">
        <f t="shared" si="16"/>
        <v>0.93352272727272723</v>
      </c>
      <c r="S113">
        <f t="shared" si="10"/>
        <v>0.37340909090909091</v>
      </c>
      <c r="T113">
        <f t="shared" si="11"/>
        <v>-0.1734090909090909</v>
      </c>
      <c r="U113">
        <f t="shared" si="14"/>
        <v>116.28022727272733</v>
      </c>
      <c r="W113">
        <v>226</v>
      </c>
      <c r="X113">
        <f t="shared" si="15"/>
        <v>55005.3</v>
      </c>
      <c r="Y113">
        <v>8.7744722034768614</v>
      </c>
    </row>
    <row r="114" spans="1:26" x14ac:dyDescent="0.25">
      <c r="A114">
        <v>5240</v>
      </c>
      <c r="B114">
        <v>23690</v>
      </c>
      <c r="C114" s="6">
        <v>43059</v>
      </c>
      <c r="G114">
        <v>7.4</v>
      </c>
      <c r="H114">
        <v>3.8</v>
      </c>
      <c r="I114">
        <v>9.4</v>
      </c>
      <c r="J114">
        <f t="shared" si="12"/>
        <v>1055.1999999999998</v>
      </c>
      <c r="K114">
        <f t="shared" si="13"/>
        <v>1055.1999999999998</v>
      </c>
      <c r="M114">
        <v>0</v>
      </c>
      <c r="N114">
        <v>0.1</v>
      </c>
      <c r="O114">
        <f t="shared" si="9"/>
        <v>-0.1</v>
      </c>
      <c r="Q114">
        <v>85</v>
      </c>
      <c r="R114">
        <f t="shared" si="16"/>
        <v>0.94090909090909092</v>
      </c>
      <c r="S114">
        <f t="shared" si="10"/>
        <v>9.40909090909091E-2</v>
      </c>
      <c r="T114">
        <f t="shared" si="11"/>
        <v>-9.40909090909091E-2</v>
      </c>
      <c r="U114">
        <f t="shared" si="14"/>
        <v>116.18613636363642</v>
      </c>
      <c r="W114">
        <v>103.5</v>
      </c>
      <c r="X114">
        <f t="shared" si="15"/>
        <v>55108.800000000003</v>
      </c>
      <c r="Y114">
        <v>8.735884796402333</v>
      </c>
    </row>
    <row r="115" spans="1:26" x14ac:dyDescent="0.25">
      <c r="A115">
        <v>5240</v>
      </c>
      <c r="B115">
        <v>23690</v>
      </c>
      <c r="C115" s="6">
        <v>43060</v>
      </c>
      <c r="G115">
        <v>9.1999999999999993</v>
      </c>
      <c r="H115">
        <v>8</v>
      </c>
      <c r="I115">
        <v>10.199999999999999</v>
      </c>
      <c r="J115">
        <f t="shared" si="12"/>
        <v>1064.3999999999999</v>
      </c>
      <c r="K115">
        <f t="shared" si="13"/>
        <v>1064.3999999999999</v>
      </c>
      <c r="M115">
        <v>0</v>
      </c>
      <c r="N115">
        <v>0.4</v>
      </c>
      <c r="O115">
        <f t="shared" si="9"/>
        <v>-0.4</v>
      </c>
      <c r="Q115">
        <v>86</v>
      </c>
      <c r="R115">
        <f t="shared" si="16"/>
        <v>0.9482954545454545</v>
      </c>
      <c r="S115">
        <f t="shared" si="10"/>
        <v>0.37931818181818183</v>
      </c>
      <c r="T115">
        <f t="shared" si="11"/>
        <v>-0.37931818181818183</v>
      </c>
      <c r="U115">
        <f t="shared" si="14"/>
        <v>115.80681818181824</v>
      </c>
      <c r="W115">
        <v>144.4</v>
      </c>
      <c r="X115">
        <f t="shared" si="15"/>
        <v>55253.200000000004</v>
      </c>
      <c r="Y115">
        <v>8.6982325167033743</v>
      </c>
    </row>
    <row r="116" spans="1:26" x14ac:dyDescent="0.25">
      <c r="A116">
        <v>5240</v>
      </c>
      <c r="B116">
        <v>23690</v>
      </c>
      <c r="C116" s="6">
        <v>43061</v>
      </c>
      <c r="G116">
        <v>9.8000000000000007</v>
      </c>
      <c r="H116">
        <v>7.4</v>
      </c>
      <c r="I116">
        <v>12.5</v>
      </c>
      <c r="J116">
        <f t="shared" si="12"/>
        <v>1074.1999999999998</v>
      </c>
      <c r="K116">
        <f t="shared" si="13"/>
        <v>1074.1999999999998</v>
      </c>
      <c r="M116">
        <v>0</v>
      </c>
      <c r="N116">
        <v>1.4</v>
      </c>
      <c r="O116">
        <f t="shared" si="9"/>
        <v>-1.4</v>
      </c>
      <c r="Q116">
        <v>87</v>
      </c>
      <c r="R116">
        <f t="shared" si="16"/>
        <v>0.95568181818181819</v>
      </c>
      <c r="S116">
        <f t="shared" si="10"/>
        <v>1.3379545454545454</v>
      </c>
      <c r="T116">
        <f t="shared" si="11"/>
        <v>-1.3379545454545454</v>
      </c>
      <c r="U116">
        <f t="shared" si="14"/>
        <v>114.46886363636369</v>
      </c>
      <c r="W116">
        <v>656.5</v>
      </c>
      <c r="X116">
        <f t="shared" si="15"/>
        <v>55909.700000000004</v>
      </c>
      <c r="Y116">
        <v>8.6615395261739803</v>
      </c>
    </row>
    <row r="117" spans="1:26" x14ac:dyDescent="0.25">
      <c r="A117">
        <v>5240</v>
      </c>
      <c r="B117">
        <v>23690</v>
      </c>
      <c r="C117" s="6">
        <v>43062</v>
      </c>
      <c r="G117">
        <v>12.8</v>
      </c>
      <c r="H117">
        <v>10</v>
      </c>
      <c r="I117">
        <v>14.5</v>
      </c>
      <c r="J117">
        <f t="shared" si="12"/>
        <v>1086.9999999999998</v>
      </c>
      <c r="K117">
        <f t="shared" si="13"/>
        <v>1086.9999999999998</v>
      </c>
      <c r="M117">
        <v>6.7</v>
      </c>
      <c r="N117">
        <v>1</v>
      </c>
      <c r="O117">
        <f t="shared" si="9"/>
        <v>5.7</v>
      </c>
      <c r="Q117">
        <v>88</v>
      </c>
      <c r="R117">
        <f t="shared" si="16"/>
        <v>0.96306818181818188</v>
      </c>
      <c r="S117">
        <f t="shared" si="10"/>
        <v>0.96306818181818188</v>
      </c>
      <c r="T117">
        <f t="shared" si="11"/>
        <v>5.7369318181818185</v>
      </c>
      <c r="U117">
        <f t="shared" si="14"/>
        <v>120.20579545454551</v>
      </c>
      <c r="W117">
        <v>158.69999999999999</v>
      </c>
      <c r="X117">
        <f t="shared" si="15"/>
        <v>56068.4</v>
      </c>
      <c r="Y117">
        <v>8.625829901137017</v>
      </c>
    </row>
    <row r="118" spans="1:26" x14ac:dyDescent="0.25">
      <c r="A118">
        <v>5240</v>
      </c>
      <c r="B118">
        <v>23690</v>
      </c>
      <c r="C118" s="6">
        <v>43063</v>
      </c>
      <c r="G118">
        <v>10.199999999999999</v>
      </c>
      <c r="H118">
        <v>9.1999999999999993</v>
      </c>
      <c r="I118">
        <v>11.4</v>
      </c>
      <c r="J118">
        <f t="shared" si="12"/>
        <v>1097.1999999999998</v>
      </c>
      <c r="K118">
        <f t="shared" si="13"/>
        <v>1097.1999999999998</v>
      </c>
      <c r="M118">
        <v>1.8</v>
      </c>
      <c r="N118">
        <v>0.3</v>
      </c>
      <c r="O118">
        <f t="shared" si="9"/>
        <v>1.5</v>
      </c>
      <c r="Q118">
        <v>89</v>
      </c>
      <c r="R118">
        <f t="shared" si="16"/>
        <v>0.97045454545454546</v>
      </c>
      <c r="S118">
        <f t="shared" si="10"/>
        <v>0.29113636363636364</v>
      </c>
      <c r="T118">
        <f t="shared" si="11"/>
        <v>1.5088636363636363</v>
      </c>
      <c r="U118">
        <f t="shared" si="14"/>
        <v>121.71465909090915</v>
      </c>
      <c r="W118">
        <v>268</v>
      </c>
      <c r="X118">
        <f t="shared" si="15"/>
        <v>56336.4</v>
      </c>
      <c r="Y118">
        <v>8.5911275860338971</v>
      </c>
    </row>
    <row r="119" spans="1:26" x14ac:dyDescent="0.25">
      <c r="A119">
        <v>5240</v>
      </c>
      <c r="B119">
        <v>23690</v>
      </c>
      <c r="C119" s="6">
        <v>43064</v>
      </c>
      <c r="E119">
        <v>1</v>
      </c>
      <c r="G119">
        <v>4.5999999999999996</v>
      </c>
      <c r="H119">
        <v>2.8</v>
      </c>
      <c r="I119">
        <v>6.1</v>
      </c>
      <c r="J119">
        <f t="shared" si="12"/>
        <v>1101.7999999999997</v>
      </c>
      <c r="K119">
        <f t="shared" si="13"/>
        <v>1101.7999999999997</v>
      </c>
      <c r="M119">
        <v>0.1</v>
      </c>
      <c r="N119">
        <v>0.2</v>
      </c>
      <c r="O119">
        <f t="shared" si="9"/>
        <v>-0.1</v>
      </c>
      <c r="Q119">
        <v>90</v>
      </c>
      <c r="R119">
        <f t="shared" si="16"/>
        <v>0.97784090909090915</v>
      </c>
      <c r="S119">
        <f t="shared" si="10"/>
        <v>0.19556818181818184</v>
      </c>
      <c r="T119">
        <f t="shared" si="11"/>
        <v>-9.556818181818183E-2</v>
      </c>
      <c r="U119">
        <f t="shared" si="14"/>
        <v>121.61909090909097</v>
      </c>
      <c r="W119">
        <v>259.60000000000002</v>
      </c>
      <c r="X119">
        <f t="shared" si="15"/>
        <v>56596</v>
      </c>
      <c r="Y119">
        <v>8.5574563453140264</v>
      </c>
    </row>
    <row r="120" spans="1:26" x14ac:dyDescent="0.25">
      <c r="A120">
        <v>5240</v>
      </c>
      <c r="B120">
        <v>23690</v>
      </c>
      <c r="C120" s="6">
        <v>43065</v>
      </c>
      <c r="E120">
        <v>2</v>
      </c>
      <c r="G120">
        <v>4</v>
      </c>
      <c r="H120">
        <v>1.3</v>
      </c>
      <c r="I120">
        <v>6</v>
      </c>
      <c r="J120">
        <f t="shared" si="12"/>
        <v>1105.7999999999997</v>
      </c>
      <c r="K120">
        <f t="shared" si="13"/>
        <v>1105.7999999999997</v>
      </c>
      <c r="M120">
        <v>0.1</v>
      </c>
      <c r="N120">
        <v>0.3</v>
      </c>
      <c r="O120">
        <f t="shared" si="9"/>
        <v>-0.19999999999999998</v>
      </c>
      <c r="Q120">
        <v>91</v>
      </c>
      <c r="R120">
        <f t="shared" si="16"/>
        <v>0.98522727272727273</v>
      </c>
      <c r="S120">
        <f t="shared" si="10"/>
        <v>0.29556818181818179</v>
      </c>
      <c r="T120">
        <f t="shared" si="11"/>
        <v>-0.19556818181818178</v>
      </c>
      <c r="U120">
        <f t="shared" si="14"/>
        <v>121.42352272727278</v>
      </c>
      <c r="W120">
        <v>349.5</v>
      </c>
      <c r="X120">
        <f t="shared" si="15"/>
        <v>56945.5</v>
      </c>
      <c r="Y120">
        <v>8.5248397137581957</v>
      </c>
    </row>
    <row r="121" spans="1:26" x14ac:dyDescent="0.25">
      <c r="A121">
        <v>5240</v>
      </c>
      <c r="B121">
        <v>23690</v>
      </c>
      <c r="C121" s="6">
        <v>43066</v>
      </c>
      <c r="G121">
        <v>6.8</v>
      </c>
      <c r="H121">
        <v>4.4000000000000004</v>
      </c>
      <c r="I121">
        <v>8.6999999999999993</v>
      </c>
      <c r="J121">
        <f t="shared" si="12"/>
        <v>1112.5999999999997</v>
      </c>
      <c r="K121">
        <f t="shared" si="13"/>
        <v>1112.5999999999997</v>
      </c>
      <c r="M121">
        <v>9.1</v>
      </c>
      <c r="N121">
        <v>0.4</v>
      </c>
      <c r="O121">
        <f t="shared" si="9"/>
        <v>8.6999999999999993</v>
      </c>
      <c r="Q121">
        <v>92</v>
      </c>
      <c r="R121">
        <f t="shared" si="16"/>
        <v>0.99261363636363642</v>
      </c>
      <c r="S121">
        <f t="shared" si="10"/>
        <v>0.39704545454545459</v>
      </c>
      <c r="T121">
        <f t="shared" si="11"/>
        <v>8.7029545454545456</v>
      </c>
      <c r="U121">
        <f t="shared" si="14"/>
        <v>130.12647727272733</v>
      </c>
      <c r="W121">
        <v>124.7</v>
      </c>
      <c r="X121">
        <f t="shared" si="15"/>
        <v>57070.2</v>
      </c>
      <c r="Y121">
        <v>8.4933009453885013</v>
      </c>
    </row>
    <row r="122" spans="1:26" s="7" customFormat="1" ht="15.75" thickBot="1" x14ac:dyDescent="0.3">
      <c r="A122" s="7">
        <v>5240</v>
      </c>
      <c r="B122" s="7">
        <v>23690</v>
      </c>
      <c r="C122" s="8">
        <v>43067</v>
      </c>
      <c r="G122" s="7">
        <v>6</v>
      </c>
      <c r="H122" s="7">
        <v>4.8</v>
      </c>
      <c r="I122" s="7">
        <v>9.1999999999999993</v>
      </c>
      <c r="J122" s="7">
        <f t="shared" si="12"/>
        <v>1118.5999999999997</v>
      </c>
      <c r="K122" s="7">
        <f t="shared" si="13"/>
        <v>1118.5999999999997</v>
      </c>
      <c r="M122" s="7">
        <v>0.5</v>
      </c>
      <c r="N122" s="7">
        <v>0.6</v>
      </c>
      <c r="O122" s="7">
        <f t="shared" si="9"/>
        <v>-9.9999999999999978E-2</v>
      </c>
      <c r="Q122" s="7">
        <v>93</v>
      </c>
      <c r="R122" s="7">
        <f t="shared" si="16"/>
        <v>1</v>
      </c>
      <c r="S122" s="7">
        <f t="shared" si="10"/>
        <v>0.6</v>
      </c>
      <c r="T122" s="7">
        <f t="shared" si="11"/>
        <v>-9.9999999999999978E-2</v>
      </c>
      <c r="U122" s="7">
        <f t="shared" si="14"/>
        <v>130.02647727272733</v>
      </c>
      <c r="W122" s="7">
        <v>502.5</v>
      </c>
      <c r="X122" s="7">
        <f t="shared" si="15"/>
        <v>57572.7</v>
      </c>
      <c r="Y122" s="7">
        <v>8.4628629611355457</v>
      </c>
    </row>
    <row r="123" spans="1:26" x14ac:dyDescent="0.25">
      <c r="A123">
        <v>5240</v>
      </c>
      <c r="B123">
        <v>23690</v>
      </c>
      <c r="C123" s="6">
        <v>43068</v>
      </c>
      <c r="D123" t="s">
        <v>29</v>
      </c>
      <c r="E123">
        <v>3</v>
      </c>
      <c r="G123">
        <v>2.5</v>
      </c>
      <c r="H123">
        <v>0.5</v>
      </c>
      <c r="I123">
        <v>5.4</v>
      </c>
      <c r="J123">
        <f t="shared" si="12"/>
        <v>1121.0999999999997</v>
      </c>
      <c r="K123">
        <f>G123</f>
        <v>2.5</v>
      </c>
      <c r="L123" s="14" t="s">
        <v>37</v>
      </c>
      <c r="M123">
        <v>0.2</v>
      </c>
      <c r="N123">
        <v>0.3</v>
      </c>
      <c r="O123">
        <f t="shared" si="9"/>
        <v>-9.9999999999999978E-2</v>
      </c>
      <c r="Q123">
        <v>94</v>
      </c>
      <c r="R123">
        <v>1</v>
      </c>
      <c r="S123">
        <f t="shared" si="10"/>
        <v>0.3</v>
      </c>
      <c r="T123">
        <f t="shared" si="11"/>
        <v>-9.9999999999999978E-2</v>
      </c>
      <c r="U123">
        <f t="shared" si="14"/>
        <v>129.92647727272734</v>
      </c>
      <c r="V123" s="15" t="s">
        <v>44</v>
      </c>
      <c r="W123">
        <v>288.89999999999998</v>
      </c>
      <c r="X123">
        <f>W123</f>
        <v>288.89999999999998</v>
      </c>
      <c r="Y123">
        <v>8.433548295451903</v>
      </c>
      <c r="Z123" s="15" t="s">
        <v>49</v>
      </c>
    </row>
    <row r="124" spans="1:26" x14ac:dyDescent="0.25">
      <c r="A124">
        <v>5240</v>
      </c>
      <c r="B124">
        <v>23690</v>
      </c>
      <c r="C124" s="6">
        <v>43069</v>
      </c>
      <c r="E124">
        <v>4</v>
      </c>
      <c r="G124">
        <v>1.7</v>
      </c>
      <c r="H124">
        <v>0.9</v>
      </c>
      <c r="I124">
        <v>3.4</v>
      </c>
      <c r="J124">
        <f t="shared" si="12"/>
        <v>1122.7999999999997</v>
      </c>
      <c r="K124">
        <f t="shared" si="13"/>
        <v>4.2</v>
      </c>
      <c r="L124" s="10">
        <v>441.1</v>
      </c>
      <c r="M124">
        <v>1</v>
      </c>
      <c r="N124">
        <v>0.3</v>
      </c>
      <c r="O124">
        <f t="shared" si="9"/>
        <v>0.7</v>
      </c>
      <c r="Q124">
        <v>95</v>
      </c>
      <c r="R124">
        <v>1</v>
      </c>
      <c r="S124">
        <f t="shared" si="10"/>
        <v>0.3</v>
      </c>
      <c r="T124">
        <f t="shared" si="11"/>
        <v>0.7</v>
      </c>
      <c r="U124">
        <f t="shared" si="14"/>
        <v>130.62647727272733</v>
      </c>
      <c r="V124">
        <v>0</v>
      </c>
      <c r="W124">
        <v>197.2</v>
      </c>
      <c r="X124">
        <f t="shared" si="15"/>
        <v>486.09999999999997</v>
      </c>
      <c r="Y124">
        <v>8.4053790420785308</v>
      </c>
      <c r="Z124">
        <v>29120.2</v>
      </c>
    </row>
    <row r="125" spans="1:26" x14ac:dyDescent="0.25">
      <c r="A125">
        <v>5240</v>
      </c>
      <c r="B125">
        <v>23690</v>
      </c>
      <c r="C125" s="6">
        <v>43070</v>
      </c>
      <c r="E125">
        <v>5</v>
      </c>
      <c r="G125">
        <v>0.8</v>
      </c>
      <c r="H125">
        <v>0.1</v>
      </c>
      <c r="I125">
        <v>1.7</v>
      </c>
      <c r="J125">
        <f t="shared" si="12"/>
        <v>1123.5999999999997</v>
      </c>
      <c r="K125">
        <f t="shared" si="13"/>
        <v>5</v>
      </c>
      <c r="L125" s="14" t="s">
        <v>38</v>
      </c>
      <c r="M125">
        <v>1.2</v>
      </c>
      <c r="N125">
        <v>0.2</v>
      </c>
      <c r="O125">
        <f t="shared" si="9"/>
        <v>1</v>
      </c>
      <c r="Q125">
        <v>96</v>
      </c>
      <c r="R125">
        <v>1</v>
      </c>
      <c r="S125">
        <f t="shared" si="10"/>
        <v>0.2</v>
      </c>
      <c r="T125">
        <f t="shared" si="11"/>
        <v>1</v>
      </c>
      <c r="U125">
        <f t="shared" si="14"/>
        <v>131.62647727272733</v>
      </c>
      <c r="V125" s="15" t="s">
        <v>45</v>
      </c>
      <c r="W125">
        <v>94.7</v>
      </c>
      <c r="X125">
        <f t="shared" si="15"/>
        <v>580.79999999999995</v>
      </c>
      <c r="Y125">
        <v>8.3783767991879188</v>
      </c>
      <c r="Z125" s="15" t="s">
        <v>50</v>
      </c>
    </row>
    <row r="126" spans="1:26" x14ac:dyDescent="0.25">
      <c r="A126">
        <v>5240</v>
      </c>
      <c r="B126">
        <v>23690</v>
      </c>
      <c r="C126" s="6">
        <v>43071</v>
      </c>
      <c r="E126">
        <v>6</v>
      </c>
      <c r="G126">
        <v>-1</v>
      </c>
      <c r="H126">
        <v>-1.4</v>
      </c>
      <c r="I126">
        <v>-0.2</v>
      </c>
      <c r="J126">
        <v>1123.5999999999999</v>
      </c>
      <c r="K126">
        <v>5</v>
      </c>
      <c r="L126" s="11">
        <f>AVERAGE(G123:G218)</f>
        <v>4.3229166666666687</v>
      </c>
      <c r="M126">
        <v>0</v>
      </c>
      <c r="N126">
        <v>0.2</v>
      </c>
      <c r="O126">
        <f t="shared" si="9"/>
        <v>-0.2</v>
      </c>
      <c r="Q126">
        <v>97</v>
      </c>
      <c r="R126">
        <v>1</v>
      </c>
      <c r="S126">
        <f t="shared" si="10"/>
        <v>0.2</v>
      </c>
      <c r="T126">
        <f t="shared" si="11"/>
        <v>-0.2</v>
      </c>
      <c r="U126">
        <f t="shared" si="14"/>
        <v>131.42647727272734</v>
      </c>
      <c r="V126">
        <v>0</v>
      </c>
      <c r="W126">
        <v>106.7</v>
      </c>
      <c r="X126">
        <f t="shared" si="15"/>
        <v>687.5</v>
      </c>
      <c r="Y126">
        <v>8.3525626141438369</v>
      </c>
      <c r="Z126">
        <f>(Z124/100)/L124</f>
        <v>0.66017229653139875</v>
      </c>
    </row>
    <row r="127" spans="1:26" x14ac:dyDescent="0.25">
      <c r="A127">
        <v>5240</v>
      </c>
      <c r="B127">
        <v>23690</v>
      </c>
      <c r="C127" s="6">
        <v>43072</v>
      </c>
      <c r="E127">
        <v>7</v>
      </c>
      <c r="G127">
        <v>0.7</v>
      </c>
      <c r="H127">
        <v>-2.9</v>
      </c>
      <c r="I127">
        <v>4.7</v>
      </c>
      <c r="J127">
        <f t="shared" si="12"/>
        <v>1124.3</v>
      </c>
      <c r="K127">
        <f t="shared" si="13"/>
        <v>5.7</v>
      </c>
      <c r="L127" s="14" t="s">
        <v>39</v>
      </c>
      <c r="M127">
        <v>1.5</v>
      </c>
      <c r="N127">
        <v>0.3</v>
      </c>
      <c r="O127">
        <f t="shared" si="9"/>
        <v>1.2</v>
      </c>
      <c r="Q127">
        <v>98</v>
      </c>
      <c r="R127">
        <v>1</v>
      </c>
      <c r="S127">
        <f t="shared" si="10"/>
        <v>0.3</v>
      </c>
      <c r="T127">
        <f t="shared" si="11"/>
        <v>1.2</v>
      </c>
      <c r="U127">
        <f t="shared" si="14"/>
        <v>132.62647727272733</v>
      </c>
      <c r="V127" s="15" t="s">
        <v>46</v>
      </c>
      <c r="W127">
        <v>126.5</v>
      </c>
      <c r="X127">
        <f t="shared" si="15"/>
        <v>814</v>
      </c>
      <c r="Y127">
        <v>8.3279569281326626</v>
      </c>
      <c r="Z127" s="15" t="s">
        <v>51</v>
      </c>
    </row>
    <row r="128" spans="1:26" x14ac:dyDescent="0.25">
      <c r="A128">
        <v>5240</v>
      </c>
      <c r="B128">
        <v>23690</v>
      </c>
      <c r="C128" s="6">
        <v>43073</v>
      </c>
      <c r="G128">
        <v>6.3</v>
      </c>
      <c r="H128">
        <v>2.7</v>
      </c>
      <c r="I128">
        <v>9.1999999999999993</v>
      </c>
      <c r="J128">
        <f t="shared" si="12"/>
        <v>1130.5999999999999</v>
      </c>
      <c r="K128">
        <f t="shared" si="13"/>
        <v>12</v>
      </c>
      <c r="L128" s="12">
        <f>MIN(H123:H218)</f>
        <v>-8.6999999999999993</v>
      </c>
      <c r="M128">
        <v>0</v>
      </c>
      <c r="N128">
        <v>0.3</v>
      </c>
      <c r="O128">
        <f t="shared" si="9"/>
        <v>-0.3</v>
      </c>
      <c r="Q128">
        <v>99</v>
      </c>
      <c r="R128">
        <v>1</v>
      </c>
      <c r="S128">
        <f t="shared" si="10"/>
        <v>0.3</v>
      </c>
      <c r="T128">
        <f t="shared" si="11"/>
        <v>-0.3</v>
      </c>
      <c r="U128">
        <f t="shared" si="14"/>
        <v>132.32647727272732</v>
      </c>
      <c r="V128" s="1">
        <f>MIN(U123:U218)</f>
        <v>129.92647727272734</v>
      </c>
      <c r="W128">
        <v>305.39999999999998</v>
      </c>
      <c r="X128">
        <f t="shared" si="15"/>
        <v>1119.4000000000001</v>
      </c>
      <c r="Y128">
        <v>8.304579520934686</v>
      </c>
      <c r="Z128">
        <v>87</v>
      </c>
    </row>
    <row r="129" spans="1:26" x14ac:dyDescent="0.25">
      <c r="A129">
        <v>5240</v>
      </c>
      <c r="B129">
        <v>23690</v>
      </c>
      <c r="C129" s="6">
        <v>43074</v>
      </c>
      <c r="G129">
        <v>5.8</v>
      </c>
      <c r="H129">
        <v>3.9</v>
      </c>
      <c r="I129">
        <v>7</v>
      </c>
      <c r="J129">
        <f t="shared" si="12"/>
        <v>1136.3999999999999</v>
      </c>
      <c r="K129">
        <f t="shared" si="13"/>
        <v>17.8</v>
      </c>
      <c r="L129" s="14" t="s">
        <v>40</v>
      </c>
      <c r="M129">
        <v>0</v>
      </c>
      <c r="N129">
        <v>0.1</v>
      </c>
      <c r="O129">
        <f t="shared" si="9"/>
        <v>-0.1</v>
      </c>
      <c r="Q129">
        <v>100</v>
      </c>
      <c r="R129">
        <v>1</v>
      </c>
      <c r="S129">
        <f t="shared" si="10"/>
        <v>0.1</v>
      </c>
      <c r="T129">
        <f t="shared" si="11"/>
        <v>-0.1</v>
      </c>
      <c r="U129">
        <f t="shared" si="14"/>
        <v>132.22647727272732</v>
      </c>
      <c r="V129" s="15" t="s">
        <v>47</v>
      </c>
      <c r="W129">
        <v>143.4</v>
      </c>
      <c r="X129">
        <f t="shared" si="15"/>
        <v>1262.8000000000002</v>
      </c>
      <c r="Y129">
        <v>8.2824494561157014</v>
      </c>
      <c r="Z129" t="s">
        <v>52</v>
      </c>
    </row>
    <row r="130" spans="1:26" x14ac:dyDescent="0.25">
      <c r="A130">
        <v>5240</v>
      </c>
      <c r="B130">
        <v>23690</v>
      </c>
      <c r="C130" s="6">
        <v>43075</v>
      </c>
      <c r="E130">
        <v>8</v>
      </c>
      <c r="G130">
        <v>3.6</v>
      </c>
      <c r="H130">
        <v>1.4</v>
      </c>
      <c r="I130">
        <v>5.3</v>
      </c>
      <c r="J130">
        <f t="shared" si="12"/>
        <v>1139.9999999999998</v>
      </c>
      <c r="K130">
        <f t="shared" si="13"/>
        <v>21.400000000000002</v>
      </c>
      <c r="L130" s="10">
        <f>MAX(I123:I218)</f>
        <v>14</v>
      </c>
      <c r="M130">
        <v>0</v>
      </c>
      <c r="N130">
        <v>0.2</v>
      </c>
      <c r="O130">
        <f t="shared" si="9"/>
        <v>-0.2</v>
      </c>
      <c r="Q130">
        <v>101</v>
      </c>
      <c r="R130">
        <v>1</v>
      </c>
      <c r="S130">
        <f t="shared" si="10"/>
        <v>0.2</v>
      </c>
      <c r="T130">
        <f t="shared" si="11"/>
        <v>-0.2</v>
      </c>
      <c r="U130">
        <f t="shared" si="14"/>
        <v>132.02647727272733</v>
      </c>
      <c r="V130" s="1">
        <f>MAX(U123:U218)</f>
        <v>218.9</v>
      </c>
      <c r="W130">
        <v>81.2</v>
      </c>
      <c r="X130">
        <f t="shared" si="15"/>
        <v>1344.0000000000002</v>
      </c>
      <c r="Y130">
        <v>8.261585026928989</v>
      </c>
      <c r="Z130">
        <v>24</v>
      </c>
    </row>
    <row r="131" spans="1:26" x14ac:dyDescent="0.25">
      <c r="A131">
        <v>5240</v>
      </c>
      <c r="B131">
        <v>23690</v>
      </c>
      <c r="C131" s="6">
        <v>43076</v>
      </c>
      <c r="E131">
        <v>9</v>
      </c>
      <c r="G131">
        <v>4.0999999999999996</v>
      </c>
      <c r="H131">
        <v>1</v>
      </c>
      <c r="I131">
        <v>8.1</v>
      </c>
      <c r="J131">
        <f t="shared" si="12"/>
        <v>1144.0999999999997</v>
      </c>
      <c r="K131">
        <f t="shared" si="13"/>
        <v>25.5</v>
      </c>
      <c r="L131" s="14" t="s">
        <v>41</v>
      </c>
      <c r="M131">
        <v>3.9</v>
      </c>
      <c r="N131">
        <v>0.3</v>
      </c>
      <c r="O131">
        <f t="shared" si="9"/>
        <v>3.6</v>
      </c>
      <c r="Q131">
        <v>102</v>
      </c>
      <c r="R131">
        <v>1</v>
      </c>
      <c r="S131">
        <f t="shared" si="10"/>
        <v>0.3</v>
      </c>
      <c r="T131">
        <f t="shared" si="11"/>
        <v>3.6</v>
      </c>
      <c r="U131">
        <f t="shared" si="14"/>
        <v>135.62647727272733</v>
      </c>
      <c r="V131" s="15" t="s">
        <v>48</v>
      </c>
      <c r="W131">
        <v>74.8</v>
      </c>
      <c r="X131">
        <f t="shared" si="15"/>
        <v>1418.8000000000002</v>
      </c>
      <c r="Y131">
        <v>8.2420037032254374</v>
      </c>
    </row>
    <row r="132" spans="1:26" x14ac:dyDescent="0.25">
      <c r="A132">
        <v>5240</v>
      </c>
      <c r="B132">
        <v>23690</v>
      </c>
      <c r="C132" s="6">
        <v>43077</v>
      </c>
      <c r="E132">
        <v>10</v>
      </c>
      <c r="G132">
        <v>2.9</v>
      </c>
      <c r="H132">
        <v>1.4</v>
      </c>
      <c r="I132">
        <v>4.9000000000000004</v>
      </c>
      <c r="J132">
        <f t="shared" si="12"/>
        <v>1146.9999999999998</v>
      </c>
      <c r="K132">
        <f t="shared" si="13"/>
        <v>28.4</v>
      </c>
      <c r="L132" s="10">
        <v>0</v>
      </c>
      <c r="M132">
        <v>0.6</v>
      </c>
      <c r="N132">
        <v>0.4</v>
      </c>
      <c r="O132">
        <f t="shared" si="9"/>
        <v>0.19999999999999996</v>
      </c>
      <c r="Q132">
        <v>103</v>
      </c>
      <c r="R132">
        <v>1</v>
      </c>
      <c r="S132">
        <f t="shared" si="10"/>
        <v>0.4</v>
      </c>
      <c r="T132">
        <f t="shared" si="11"/>
        <v>0.19999999999999996</v>
      </c>
      <c r="U132">
        <f t="shared" si="14"/>
        <v>135.82647727272732</v>
      </c>
      <c r="V132" s="1">
        <f>AVERAGE(U123:U218)</f>
        <v>197.64902225378776</v>
      </c>
      <c r="W132">
        <v>149.1</v>
      </c>
      <c r="X132">
        <f t="shared" si="15"/>
        <v>1567.9</v>
      </c>
      <c r="Y132">
        <v>8.2237220796747508</v>
      </c>
    </row>
    <row r="133" spans="1:26" x14ac:dyDescent="0.25">
      <c r="A133">
        <v>5240</v>
      </c>
      <c r="B133">
        <v>23690</v>
      </c>
      <c r="C133" s="6">
        <v>43078</v>
      </c>
      <c r="E133">
        <v>11</v>
      </c>
      <c r="G133">
        <v>1.4</v>
      </c>
      <c r="H133">
        <v>-0.3</v>
      </c>
      <c r="I133">
        <v>2.5</v>
      </c>
      <c r="J133">
        <f t="shared" si="12"/>
        <v>1148.3999999999999</v>
      </c>
      <c r="K133">
        <f t="shared" si="13"/>
        <v>29.799999999999997</v>
      </c>
      <c r="L133" s="14" t="s">
        <v>42</v>
      </c>
      <c r="M133">
        <v>7.9</v>
      </c>
      <c r="N133">
        <v>0.2</v>
      </c>
      <c r="O133">
        <f t="shared" ref="O133:O196" si="17">M133-N133</f>
        <v>7.7</v>
      </c>
      <c r="Q133">
        <v>104</v>
      </c>
      <c r="R133">
        <v>1</v>
      </c>
      <c r="S133">
        <f t="shared" ref="S133:S196" si="18">R133*N133</f>
        <v>0.2</v>
      </c>
      <c r="T133">
        <f t="shared" ref="T133:T196" si="19">M133-S133</f>
        <v>7.7</v>
      </c>
      <c r="U133">
        <f t="shared" si="14"/>
        <v>143.52647727272731</v>
      </c>
      <c r="W133">
        <v>266.60000000000002</v>
      </c>
      <c r="X133">
        <f t="shared" si="15"/>
        <v>1834.5</v>
      </c>
      <c r="Y133">
        <v>8.2067558256031408</v>
      </c>
    </row>
    <row r="134" spans="1:26" x14ac:dyDescent="0.25">
      <c r="A134">
        <v>5240</v>
      </c>
      <c r="B134">
        <v>23690</v>
      </c>
      <c r="C134" s="6">
        <v>43079</v>
      </c>
      <c r="G134">
        <v>6.4</v>
      </c>
      <c r="H134">
        <v>1.8</v>
      </c>
      <c r="I134">
        <v>9.6</v>
      </c>
      <c r="J134">
        <f t="shared" si="12"/>
        <v>1154.8</v>
      </c>
      <c r="K134">
        <f t="shared" si="13"/>
        <v>36.199999999999996</v>
      </c>
      <c r="L134" s="10">
        <v>50</v>
      </c>
      <c r="M134">
        <v>14.3</v>
      </c>
      <c r="N134">
        <v>0.6</v>
      </c>
      <c r="O134">
        <f t="shared" si="17"/>
        <v>13.700000000000001</v>
      </c>
      <c r="Q134">
        <v>105</v>
      </c>
      <c r="R134">
        <v>1</v>
      </c>
      <c r="S134">
        <f t="shared" si="18"/>
        <v>0.6</v>
      </c>
      <c r="T134">
        <f t="shared" si="19"/>
        <v>13.700000000000001</v>
      </c>
      <c r="U134">
        <f t="shared" si="14"/>
        <v>157.22647727272729</v>
      </c>
      <c r="V134" s="2">
        <f>(V132*100)/218.9</f>
        <v>90.291924282223746</v>
      </c>
      <c r="W134">
        <v>272.3</v>
      </c>
      <c r="X134">
        <f t="shared" si="15"/>
        <v>2106.8000000000002</v>
      </c>
      <c r="Y134">
        <v>8.1911196367525818</v>
      </c>
    </row>
    <row r="135" spans="1:26" x14ac:dyDescent="0.25">
      <c r="A135">
        <v>5240</v>
      </c>
      <c r="B135">
        <v>23690</v>
      </c>
      <c r="C135" s="6">
        <v>43080</v>
      </c>
      <c r="G135">
        <v>5.6</v>
      </c>
      <c r="H135">
        <v>3.3</v>
      </c>
      <c r="I135">
        <v>8.5</v>
      </c>
      <c r="J135">
        <f t="shared" si="12"/>
        <v>1160.3999999999999</v>
      </c>
      <c r="K135">
        <f t="shared" si="13"/>
        <v>41.8</v>
      </c>
      <c r="L135" s="14" t="s">
        <v>43</v>
      </c>
      <c r="M135">
        <v>1.3</v>
      </c>
      <c r="N135">
        <v>0.3</v>
      </c>
      <c r="O135">
        <f t="shared" si="17"/>
        <v>1</v>
      </c>
      <c r="Q135">
        <v>106</v>
      </c>
      <c r="R135">
        <v>1</v>
      </c>
      <c r="S135">
        <f t="shared" si="18"/>
        <v>0.3</v>
      </c>
      <c r="T135">
        <f t="shared" si="19"/>
        <v>1</v>
      </c>
      <c r="U135">
        <f t="shared" si="14"/>
        <v>158.22647727272729</v>
      </c>
      <c r="W135">
        <v>91.3</v>
      </c>
      <c r="X135">
        <f t="shared" si="15"/>
        <v>2198.1000000000004</v>
      </c>
      <c r="Y135">
        <v>8.1768271892634523</v>
      </c>
    </row>
    <row r="136" spans="1:26" x14ac:dyDescent="0.25">
      <c r="A136">
        <v>5240</v>
      </c>
      <c r="B136">
        <v>23690</v>
      </c>
      <c r="C136" s="6">
        <v>43081</v>
      </c>
      <c r="E136">
        <v>12</v>
      </c>
      <c r="G136">
        <v>2.4</v>
      </c>
      <c r="H136">
        <v>0.5</v>
      </c>
      <c r="I136">
        <v>4.7</v>
      </c>
      <c r="J136">
        <f t="shared" si="12"/>
        <v>1162.8</v>
      </c>
      <c r="K136">
        <f t="shared" si="13"/>
        <v>44.199999999999996</v>
      </c>
      <c r="L136" s="10">
        <v>22</v>
      </c>
      <c r="M136">
        <v>1.6</v>
      </c>
      <c r="N136">
        <v>0.4</v>
      </c>
      <c r="O136">
        <f t="shared" si="17"/>
        <v>1.2000000000000002</v>
      </c>
      <c r="Q136">
        <v>107</v>
      </c>
      <c r="R136">
        <v>1</v>
      </c>
      <c r="S136">
        <f t="shared" si="18"/>
        <v>0.4</v>
      </c>
      <c r="T136">
        <f t="shared" si="19"/>
        <v>1.2000000000000002</v>
      </c>
      <c r="U136">
        <f t="shared" si="14"/>
        <v>159.42647727272728</v>
      </c>
      <c r="W136">
        <v>441.1</v>
      </c>
      <c r="X136">
        <f t="shared" si="15"/>
        <v>2639.2000000000003</v>
      </c>
      <c r="Y136">
        <v>8.1638910961758544</v>
      </c>
    </row>
    <row r="137" spans="1:26" x14ac:dyDescent="0.25">
      <c r="A137">
        <v>5240</v>
      </c>
      <c r="B137">
        <v>23690</v>
      </c>
      <c r="C137" s="6">
        <v>43082</v>
      </c>
      <c r="G137">
        <v>6.6</v>
      </c>
      <c r="H137">
        <v>2</v>
      </c>
      <c r="I137">
        <v>8.6999999999999993</v>
      </c>
      <c r="J137">
        <f t="shared" si="12"/>
        <v>1169.3999999999999</v>
      </c>
      <c r="K137">
        <f t="shared" si="13"/>
        <v>50.8</v>
      </c>
      <c r="M137">
        <v>7.5</v>
      </c>
      <c r="N137">
        <v>0.1</v>
      </c>
      <c r="O137">
        <f t="shared" si="17"/>
        <v>7.4</v>
      </c>
      <c r="Q137">
        <v>108</v>
      </c>
      <c r="R137">
        <v>1</v>
      </c>
      <c r="S137">
        <f t="shared" si="18"/>
        <v>0.1</v>
      </c>
      <c r="T137">
        <f t="shared" si="19"/>
        <v>7.4</v>
      </c>
      <c r="U137">
        <f t="shared" si="14"/>
        <v>166.82647727272729</v>
      </c>
      <c r="W137">
        <v>75.099999999999994</v>
      </c>
      <c r="X137">
        <f t="shared" si="15"/>
        <v>2714.3</v>
      </c>
      <c r="Y137">
        <v>8.1523228667354992</v>
      </c>
    </row>
    <row r="138" spans="1:26" x14ac:dyDescent="0.25">
      <c r="A138">
        <v>5240</v>
      </c>
      <c r="B138">
        <v>23690</v>
      </c>
      <c r="C138" s="6">
        <v>43083</v>
      </c>
      <c r="G138">
        <v>5.7</v>
      </c>
      <c r="H138">
        <v>4.5</v>
      </c>
      <c r="I138">
        <v>7.4</v>
      </c>
      <c r="J138">
        <f t="shared" si="12"/>
        <v>1175.0999999999999</v>
      </c>
      <c r="K138">
        <f t="shared" si="13"/>
        <v>56.5</v>
      </c>
      <c r="M138">
        <v>1.2</v>
      </c>
      <c r="N138">
        <v>0.7</v>
      </c>
      <c r="O138">
        <f t="shared" si="17"/>
        <v>0.5</v>
      </c>
      <c r="Q138">
        <v>109</v>
      </c>
      <c r="R138">
        <v>1</v>
      </c>
      <c r="S138">
        <f t="shared" si="18"/>
        <v>0.7</v>
      </c>
      <c r="T138">
        <f t="shared" si="19"/>
        <v>0.5</v>
      </c>
      <c r="U138">
        <f t="shared" si="14"/>
        <v>167.32647727272729</v>
      </c>
      <c r="W138">
        <v>215.6</v>
      </c>
      <c r="X138">
        <f t="shared" si="15"/>
        <v>2929.9</v>
      </c>
      <c r="Y138">
        <v>8.1421328687772583</v>
      </c>
    </row>
    <row r="139" spans="1:26" x14ac:dyDescent="0.25">
      <c r="A139">
        <v>5240</v>
      </c>
      <c r="B139">
        <v>23690</v>
      </c>
      <c r="C139" s="6">
        <v>43084</v>
      </c>
      <c r="E139">
        <v>13</v>
      </c>
      <c r="G139">
        <v>4.0999999999999996</v>
      </c>
      <c r="H139">
        <v>3.3</v>
      </c>
      <c r="I139">
        <v>5.2</v>
      </c>
      <c r="J139">
        <f t="shared" si="12"/>
        <v>1179.1999999999998</v>
      </c>
      <c r="K139">
        <f t="shared" si="13"/>
        <v>60.6</v>
      </c>
      <c r="M139">
        <v>2.4</v>
      </c>
      <c r="N139">
        <v>0.3</v>
      </c>
      <c r="O139">
        <f t="shared" si="17"/>
        <v>2.1</v>
      </c>
      <c r="Q139">
        <v>110</v>
      </c>
      <c r="R139">
        <v>1</v>
      </c>
      <c r="S139">
        <f t="shared" si="18"/>
        <v>0.3</v>
      </c>
      <c r="T139">
        <f t="shared" si="19"/>
        <v>2.1</v>
      </c>
      <c r="U139">
        <f t="shared" si="14"/>
        <v>169.42647727272728</v>
      </c>
      <c r="W139">
        <v>154.5</v>
      </c>
      <c r="X139">
        <f t="shared" si="15"/>
        <v>3084.4</v>
      </c>
      <c r="Y139">
        <v>8.13333029444372</v>
      </c>
    </row>
    <row r="140" spans="1:26" x14ac:dyDescent="0.25">
      <c r="A140">
        <v>5240</v>
      </c>
      <c r="B140">
        <v>23690</v>
      </c>
      <c r="C140" s="6">
        <v>43085</v>
      </c>
      <c r="E140">
        <v>14</v>
      </c>
      <c r="G140">
        <v>3.1</v>
      </c>
      <c r="H140">
        <v>1.4</v>
      </c>
      <c r="I140">
        <v>5.0999999999999996</v>
      </c>
      <c r="J140">
        <f t="shared" si="12"/>
        <v>1182.2999999999997</v>
      </c>
      <c r="K140">
        <f t="shared" si="13"/>
        <v>63.7</v>
      </c>
      <c r="M140">
        <v>0.6</v>
      </c>
      <c r="N140">
        <v>0.3</v>
      </c>
      <c r="O140">
        <f t="shared" si="17"/>
        <v>0.3</v>
      </c>
      <c r="Q140">
        <v>111</v>
      </c>
      <c r="R140">
        <v>1</v>
      </c>
      <c r="S140">
        <f t="shared" si="18"/>
        <v>0.3</v>
      </c>
      <c r="T140">
        <f t="shared" si="19"/>
        <v>0.3</v>
      </c>
      <c r="U140">
        <f t="shared" si="14"/>
        <v>169.72647727272729</v>
      </c>
      <c r="W140">
        <v>170.2</v>
      </c>
      <c r="X140">
        <f t="shared" si="15"/>
        <v>3254.6</v>
      </c>
      <c r="Y140">
        <v>8.1259231294773091</v>
      </c>
    </row>
    <row r="141" spans="1:26" x14ac:dyDescent="0.25">
      <c r="A141">
        <v>5240</v>
      </c>
      <c r="B141">
        <v>23690</v>
      </c>
      <c r="C141" s="6">
        <v>43086</v>
      </c>
      <c r="E141">
        <v>15</v>
      </c>
      <c r="G141">
        <v>3</v>
      </c>
      <c r="H141">
        <v>0.3</v>
      </c>
      <c r="I141">
        <v>8.3000000000000007</v>
      </c>
      <c r="J141">
        <f t="shared" si="12"/>
        <v>1185.2999999999997</v>
      </c>
      <c r="K141">
        <f t="shared" si="13"/>
        <v>66.7</v>
      </c>
      <c r="M141">
        <v>2.2999999999999998</v>
      </c>
      <c r="N141">
        <v>0.3</v>
      </c>
      <c r="O141">
        <f t="shared" si="17"/>
        <v>1.9999999999999998</v>
      </c>
      <c r="Q141">
        <v>112</v>
      </c>
      <c r="R141">
        <v>1</v>
      </c>
      <c r="S141">
        <f t="shared" si="18"/>
        <v>0.3</v>
      </c>
      <c r="T141">
        <f t="shared" si="19"/>
        <v>1.9999999999999998</v>
      </c>
      <c r="U141">
        <f t="shared" si="14"/>
        <v>171.72647727272729</v>
      </c>
      <c r="W141">
        <v>274.2</v>
      </c>
      <c r="X141">
        <f t="shared" si="15"/>
        <v>3528.7999999999997</v>
      </c>
      <c r="Y141">
        <v>8.1199181263028812</v>
      </c>
    </row>
    <row r="142" spans="1:26" x14ac:dyDescent="0.25">
      <c r="A142">
        <v>5240</v>
      </c>
      <c r="B142">
        <v>23690</v>
      </c>
      <c r="C142" s="6">
        <v>43087</v>
      </c>
      <c r="G142">
        <v>5.8</v>
      </c>
      <c r="H142">
        <v>4.2</v>
      </c>
      <c r="I142">
        <v>8.1</v>
      </c>
      <c r="J142">
        <f t="shared" si="12"/>
        <v>1191.0999999999997</v>
      </c>
      <c r="K142">
        <f t="shared" si="13"/>
        <v>72.5</v>
      </c>
      <c r="M142">
        <v>0.4</v>
      </c>
      <c r="N142">
        <v>0.4</v>
      </c>
      <c r="O142">
        <f t="shared" si="17"/>
        <v>0</v>
      </c>
      <c r="Q142">
        <v>113</v>
      </c>
      <c r="R142">
        <v>1</v>
      </c>
      <c r="S142">
        <f t="shared" si="18"/>
        <v>0.4</v>
      </c>
      <c r="T142">
        <f t="shared" si="19"/>
        <v>0</v>
      </c>
      <c r="U142">
        <f t="shared" si="14"/>
        <v>171.72647727272729</v>
      </c>
      <c r="W142">
        <v>368.1</v>
      </c>
      <c r="X142">
        <f t="shared" si="15"/>
        <v>3896.8999999999996</v>
      </c>
      <c r="Y142">
        <v>8.1153207810933612</v>
      </c>
    </row>
    <row r="143" spans="1:26" x14ac:dyDescent="0.25">
      <c r="A143">
        <v>5240</v>
      </c>
      <c r="B143">
        <v>23690</v>
      </c>
      <c r="C143" s="6">
        <v>43088</v>
      </c>
      <c r="E143">
        <v>16</v>
      </c>
      <c r="G143">
        <v>2.1</v>
      </c>
      <c r="H143">
        <v>0.6</v>
      </c>
      <c r="I143">
        <v>4</v>
      </c>
      <c r="J143">
        <f t="shared" si="12"/>
        <v>1193.1999999999996</v>
      </c>
      <c r="K143">
        <f t="shared" si="13"/>
        <v>74.599999999999994</v>
      </c>
      <c r="M143">
        <v>0.2</v>
      </c>
      <c r="N143">
        <v>0.3</v>
      </c>
      <c r="O143">
        <f t="shared" si="17"/>
        <v>-9.9999999999999978E-2</v>
      </c>
      <c r="Q143">
        <v>114</v>
      </c>
      <c r="R143">
        <v>1</v>
      </c>
      <c r="S143">
        <f t="shared" si="18"/>
        <v>0.3</v>
      </c>
      <c r="T143">
        <f t="shared" si="19"/>
        <v>-9.9999999999999978E-2</v>
      </c>
      <c r="U143">
        <f t="shared" si="14"/>
        <v>171.6264772727273</v>
      </c>
      <c r="W143">
        <v>192.2</v>
      </c>
      <c r="X143">
        <f t="shared" si="15"/>
        <v>4089.0999999999995</v>
      </c>
      <c r="Y143">
        <v>8.1121353149843767</v>
      </c>
    </row>
    <row r="144" spans="1:26" x14ac:dyDescent="0.25">
      <c r="A144">
        <v>5240</v>
      </c>
      <c r="B144">
        <v>23690</v>
      </c>
      <c r="C144" s="6">
        <v>43089</v>
      </c>
      <c r="G144">
        <v>6.2</v>
      </c>
      <c r="H144">
        <v>2.2999999999999998</v>
      </c>
      <c r="I144">
        <v>8.3000000000000007</v>
      </c>
      <c r="J144">
        <f t="shared" si="12"/>
        <v>1199.3999999999996</v>
      </c>
      <c r="K144">
        <f t="shared" si="13"/>
        <v>80.8</v>
      </c>
      <c r="M144">
        <v>0.6</v>
      </c>
      <c r="N144">
        <v>0.2</v>
      </c>
      <c r="O144">
        <f t="shared" si="17"/>
        <v>0.39999999999999997</v>
      </c>
      <c r="Q144">
        <v>115</v>
      </c>
      <c r="R144">
        <v>1</v>
      </c>
      <c r="S144">
        <f t="shared" si="18"/>
        <v>0.2</v>
      </c>
      <c r="T144">
        <f t="shared" si="19"/>
        <v>0.39999999999999997</v>
      </c>
      <c r="U144">
        <f t="shared" si="14"/>
        <v>172.02647727272731</v>
      </c>
      <c r="W144">
        <v>117.1</v>
      </c>
      <c r="X144">
        <f t="shared" si="15"/>
        <v>4206.2</v>
      </c>
      <c r="Y144">
        <v>8.1103646595749908</v>
      </c>
    </row>
    <row r="145" spans="1:25" x14ac:dyDescent="0.25">
      <c r="A145">
        <v>5240</v>
      </c>
      <c r="B145">
        <v>23690</v>
      </c>
      <c r="C145" s="6">
        <v>43090</v>
      </c>
      <c r="G145">
        <v>8.5</v>
      </c>
      <c r="H145">
        <v>7.3</v>
      </c>
      <c r="I145">
        <v>9.3000000000000007</v>
      </c>
      <c r="J145">
        <f t="shared" si="12"/>
        <v>1207.8999999999996</v>
      </c>
      <c r="K145">
        <f t="shared" si="13"/>
        <v>89.3</v>
      </c>
      <c r="M145">
        <v>0.6</v>
      </c>
      <c r="N145">
        <v>0.1</v>
      </c>
      <c r="O145">
        <f t="shared" si="17"/>
        <v>0.5</v>
      </c>
      <c r="Q145">
        <v>116</v>
      </c>
      <c r="R145">
        <v>1</v>
      </c>
      <c r="S145">
        <f t="shared" si="18"/>
        <v>0.1</v>
      </c>
      <c r="T145">
        <f t="shared" si="19"/>
        <v>0.5</v>
      </c>
      <c r="U145">
        <f t="shared" si="14"/>
        <v>172.52647727272731</v>
      </c>
      <c r="W145">
        <v>40.4</v>
      </c>
      <c r="X145">
        <f t="shared" si="15"/>
        <v>4246.5999999999995</v>
      </c>
      <c r="Y145">
        <v>8.1100104468211551</v>
      </c>
    </row>
    <row r="146" spans="1:25" x14ac:dyDescent="0.25">
      <c r="A146">
        <v>5240</v>
      </c>
      <c r="B146">
        <v>23690</v>
      </c>
      <c r="C146" s="6">
        <v>43091</v>
      </c>
      <c r="G146">
        <v>8.8000000000000007</v>
      </c>
      <c r="H146">
        <v>7</v>
      </c>
      <c r="I146">
        <v>10.3</v>
      </c>
      <c r="J146">
        <f t="shared" si="12"/>
        <v>1216.6999999999996</v>
      </c>
      <c r="K146">
        <f t="shared" si="13"/>
        <v>98.1</v>
      </c>
      <c r="M146">
        <v>0.6</v>
      </c>
      <c r="N146">
        <v>0.1</v>
      </c>
      <c r="O146">
        <f t="shared" si="17"/>
        <v>0.5</v>
      </c>
      <c r="Q146">
        <v>117</v>
      </c>
      <c r="R146">
        <v>1</v>
      </c>
      <c r="S146">
        <f t="shared" si="18"/>
        <v>0.1</v>
      </c>
      <c r="T146">
        <f t="shared" si="19"/>
        <v>0.5</v>
      </c>
      <c r="U146">
        <f t="shared" si="14"/>
        <v>173.02647727272731</v>
      </c>
      <c r="W146">
        <v>80.2</v>
      </c>
      <c r="X146">
        <f t="shared" si="15"/>
        <v>4326.7999999999993</v>
      </c>
      <c r="Y146">
        <v>8.1110730033965659</v>
      </c>
    </row>
    <row r="147" spans="1:25" x14ac:dyDescent="0.25">
      <c r="A147">
        <v>5240</v>
      </c>
      <c r="B147">
        <v>23690</v>
      </c>
      <c r="C147" s="6">
        <v>43092</v>
      </c>
      <c r="G147">
        <v>8.3000000000000007</v>
      </c>
      <c r="H147">
        <v>8.1</v>
      </c>
      <c r="I147">
        <v>8.4</v>
      </c>
      <c r="J147">
        <f t="shared" si="12"/>
        <v>1224.9999999999995</v>
      </c>
      <c r="K147">
        <f t="shared" si="13"/>
        <v>106.39999999999999</v>
      </c>
      <c r="M147">
        <v>0.3</v>
      </c>
      <c r="N147">
        <v>0.1</v>
      </c>
      <c r="O147">
        <f t="shared" si="17"/>
        <v>0.19999999999999998</v>
      </c>
      <c r="Q147">
        <v>118</v>
      </c>
      <c r="R147">
        <v>1</v>
      </c>
      <c r="S147">
        <f t="shared" si="18"/>
        <v>0.1</v>
      </c>
      <c r="T147">
        <f t="shared" si="19"/>
        <v>0.19999999999999998</v>
      </c>
      <c r="U147">
        <f t="shared" si="14"/>
        <v>173.22647727272729</v>
      </c>
      <c r="W147">
        <v>110.4</v>
      </c>
      <c r="X147">
        <f t="shared" si="15"/>
        <v>4437.1999999999989</v>
      </c>
      <c r="Y147">
        <v>8.1135513495627443</v>
      </c>
    </row>
    <row r="148" spans="1:25" x14ac:dyDescent="0.25">
      <c r="A148">
        <v>5240</v>
      </c>
      <c r="B148">
        <v>23690</v>
      </c>
      <c r="C148" s="6">
        <v>43093</v>
      </c>
      <c r="G148">
        <v>7.6</v>
      </c>
      <c r="H148">
        <v>7.5</v>
      </c>
      <c r="I148">
        <v>8</v>
      </c>
      <c r="J148">
        <f t="shared" si="12"/>
        <v>1232.5999999999995</v>
      </c>
      <c r="K148">
        <f t="shared" si="13"/>
        <v>113.99999999999999</v>
      </c>
      <c r="M148">
        <v>0.4</v>
      </c>
      <c r="N148">
        <v>0.3</v>
      </c>
      <c r="O148">
        <f t="shared" si="17"/>
        <v>0.10000000000000003</v>
      </c>
      <c r="Q148">
        <v>119</v>
      </c>
      <c r="R148">
        <v>1</v>
      </c>
      <c r="S148">
        <f t="shared" si="18"/>
        <v>0.3</v>
      </c>
      <c r="T148">
        <f t="shared" si="19"/>
        <v>0.10000000000000003</v>
      </c>
      <c r="U148">
        <f t="shared" si="14"/>
        <v>173.32647727272729</v>
      </c>
      <c r="W148">
        <v>75.400000000000006</v>
      </c>
      <c r="X148">
        <f t="shared" si="15"/>
        <v>4512.5999999999985</v>
      </c>
      <c r="Y148">
        <v>8.1174432025567089</v>
      </c>
    </row>
    <row r="149" spans="1:25" x14ac:dyDescent="0.25">
      <c r="A149">
        <v>5240</v>
      </c>
      <c r="B149">
        <v>23690</v>
      </c>
      <c r="C149" s="6">
        <v>43094</v>
      </c>
      <c r="E149">
        <v>17</v>
      </c>
      <c r="G149">
        <v>4.7</v>
      </c>
      <c r="H149">
        <v>3.9</v>
      </c>
      <c r="I149">
        <v>5</v>
      </c>
      <c r="J149">
        <f t="shared" si="12"/>
        <v>1237.2999999999995</v>
      </c>
      <c r="K149">
        <f t="shared" si="13"/>
        <v>118.69999999999999</v>
      </c>
      <c r="M149">
        <v>3.1</v>
      </c>
      <c r="N149">
        <v>0</v>
      </c>
      <c r="O149">
        <f t="shared" si="17"/>
        <v>3.1</v>
      </c>
      <c r="Q149">
        <v>120</v>
      </c>
      <c r="R149">
        <v>1</v>
      </c>
      <c r="S149">
        <f t="shared" si="18"/>
        <v>0</v>
      </c>
      <c r="T149">
        <f t="shared" si="19"/>
        <v>3.1</v>
      </c>
      <c r="U149">
        <f t="shared" si="14"/>
        <v>176.42647727272728</v>
      </c>
      <c r="W149">
        <v>87.1</v>
      </c>
      <c r="X149">
        <f t="shared" si="15"/>
        <v>4599.6999999999989</v>
      </c>
      <c r="Y149">
        <v>8.1227449844711188</v>
      </c>
    </row>
    <row r="150" spans="1:25" x14ac:dyDescent="0.25">
      <c r="A150">
        <v>5240</v>
      </c>
      <c r="B150">
        <v>23690</v>
      </c>
      <c r="C150" s="6">
        <v>43095</v>
      </c>
      <c r="G150">
        <v>5.8</v>
      </c>
      <c r="H150">
        <v>3.8</v>
      </c>
      <c r="I150">
        <v>7.2</v>
      </c>
      <c r="J150">
        <f t="shared" si="12"/>
        <v>1243.0999999999995</v>
      </c>
      <c r="K150">
        <f t="shared" si="13"/>
        <v>124.49999999999999</v>
      </c>
      <c r="M150">
        <v>5.4</v>
      </c>
      <c r="N150">
        <v>0.3</v>
      </c>
      <c r="O150">
        <f t="shared" si="17"/>
        <v>5.1000000000000005</v>
      </c>
      <c r="Q150">
        <v>121</v>
      </c>
      <c r="R150">
        <v>1</v>
      </c>
      <c r="S150">
        <f t="shared" si="18"/>
        <v>0.3</v>
      </c>
      <c r="T150">
        <f t="shared" si="19"/>
        <v>5.1000000000000005</v>
      </c>
      <c r="U150">
        <f t="shared" si="14"/>
        <v>181.52647727272728</v>
      </c>
      <c r="W150">
        <v>299.10000000000002</v>
      </c>
      <c r="X150">
        <f t="shared" si="15"/>
        <v>4898.7999999999993</v>
      </c>
      <c r="Y150">
        <v>8.1294518345685436</v>
      </c>
    </row>
    <row r="151" spans="1:25" x14ac:dyDescent="0.25">
      <c r="A151">
        <v>5240</v>
      </c>
      <c r="B151">
        <v>23690</v>
      </c>
      <c r="C151" s="6">
        <v>43096</v>
      </c>
      <c r="E151">
        <v>18</v>
      </c>
      <c r="G151">
        <v>3.7</v>
      </c>
      <c r="H151">
        <v>2.6</v>
      </c>
      <c r="I151">
        <v>4.5999999999999996</v>
      </c>
      <c r="J151">
        <f t="shared" si="12"/>
        <v>1246.7999999999995</v>
      </c>
      <c r="K151">
        <f t="shared" si="13"/>
        <v>128.19999999999999</v>
      </c>
      <c r="M151">
        <v>1.4</v>
      </c>
      <c r="N151">
        <v>0.3</v>
      </c>
      <c r="O151">
        <f t="shared" si="17"/>
        <v>1.0999999999999999</v>
      </c>
      <c r="Q151">
        <v>122</v>
      </c>
      <c r="R151">
        <v>1</v>
      </c>
      <c r="S151">
        <f t="shared" si="18"/>
        <v>0.3</v>
      </c>
      <c r="T151">
        <f t="shared" si="19"/>
        <v>1.0999999999999999</v>
      </c>
      <c r="U151">
        <f t="shared" si="14"/>
        <v>182.62647727272727</v>
      </c>
      <c r="W151">
        <v>158.69999999999999</v>
      </c>
      <c r="X151">
        <f t="shared" si="15"/>
        <v>5057.4999999999991</v>
      </c>
      <c r="Y151">
        <v>8.1375576259390527</v>
      </c>
    </row>
    <row r="152" spans="1:25" x14ac:dyDescent="0.25">
      <c r="A152">
        <v>5240</v>
      </c>
      <c r="B152">
        <v>23690</v>
      </c>
      <c r="C152" s="6">
        <v>43097</v>
      </c>
      <c r="E152">
        <v>19</v>
      </c>
      <c r="G152">
        <v>1.8</v>
      </c>
      <c r="H152">
        <v>0.9</v>
      </c>
      <c r="I152">
        <v>4.4000000000000004</v>
      </c>
      <c r="J152">
        <f t="shared" si="12"/>
        <v>1248.5999999999995</v>
      </c>
      <c r="K152">
        <f t="shared" si="13"/>
        <v>130</v>
      </c>
      <c r="M152">
        <v>0.2</v>
      </c>
      <c r="N152">
        <v>0.5</v>
      </c>
      <c r="O152">
        <f t="shared" si="17"/>
        <v>-0.3</v>
      </c>
      <c r="Q152">
        <v>123</v>
      </c>
      <c r="R152">
        <v>1</v>
      </c>
      <c r="S152">
        <f t="shared" si="18"/>
        <v>0.5</v>
      </c>
      <c r="T152">
        <f t="shared" si="19"/>
        <v>-0.3</v>
      </c>
      <c r="U152">
        <f t="shared" si="14"/>
        <v>182.32647727272726</v>
      </c>
      <c r="W152">
        <v>375.2</v>
      </c>
      <c r="X152">
        <f t="shared" si="15"/>
        <v>5432.6999999999989</v>
      </c>
      <c r="Y152">
        <v>8.1470549863790556</v>
      </c>
    </row>
    <row r="153" spans="1:25" x14ac:dyDescent="0.25">
      <c r="A153">
        <v>5240</v>
      </c>
      <c r="B153">
        <v>23690</v>
      </c>
      <c r="C153" s="6">
        <v>43098</v>
      </c>
      <c r="G153">
        <v>5.2</v>
      </c>
      <c r="H153">
        <v>0.4</v>
      </c>
      <c r="I153">
        <v>12.5</v>
      </c>
      <c r="J153">
        <f t="shared" si="12"/>
        <v>1253.7999999999995</v>
      </c>
      <c r="K153">
        <f t="shared" si="13"/>
        <v>135.19999999999999</v>
      </c>
      <c r="M153">
        <v>10.199999999999999</v>
      </c>
      <c r="N153">
        <v>0.7</v>
      </c>
      <c r="O153">
        <f t="shared" si="17"/>
        <v>9.5</v>
      </c>
      <c r="Q153">
        <v>124</v>
      </c>
      <c r="R153">
        <v>1</v>
      </c>
      <c r="S153">
        <f t="shared" si="18"/>
        <v>0.7</v>
      </c>
      <c r="T153">
        <f t="shared" si="19"/>
        <v>9.5</v>
      </c>
      <c r="U153">
        <f t="shared" si="14"/>
        <v>191.82647727272726</v>
      </c>
      <c r="W153">
        <v>79.900000000000006</v>
      </c>
      <c r="X153">
        <f t="shared" si="15"/>
        <v>5512.5999999999985</v>
      </c>
      <c r="Y153">
        <v>8.1579353233396503</v>
      </c>
    </row>
    <row r="154" spans="1:25" x14ac:dyDescent="0.25">
      <c r="A154">
        <v>5240</v>
      </c>
      <c r="B154">
        <v>23690</v>
      </c>
      <c r="C154" s="6">
        <v>43099</v>
      </c>
      <c r="G154">
        <v>12.5</v>
      </c>
      <c r="H154">
        <v>7.9</v>
      </c>
      <c r="I154">
        <v>13.6</v>
      </c>
      <c r="J154">
        <f t="shared" si="12"/>
        <v>1266.2999999999995</v>
      </c>
      <c r="K154">
        <f t="shared" si="13"/>
        <v>147.69999999999999</v>
      </c>
      <c r="M154">
        <v>0.5</v>
      </c>
      <c r="N154">
        <v>0</v>
      </c>
      <c r="O154">
        <f t="shared" si="17"/>
        <v>0.5</v>
      </c>
      <c r="Q154">
        <v>125</v>
      </c>
      <c r="R154">
        <v>1</v>
      </c>
      <c r="S154">
        <f t="shared" si="18"/>
        <v>0</v>
      </c>
      <c r="T154">
        <f t="shared" si="19"/>
        <v>0.5</v>
      </c>
      <c r="U154">
        <f t="shared" si="14"/>
        <v>192.32647727272726</v>
      </c>
      <c r="W154">
        <v>54.8</v>
      </c>
      <c r="X154">
        <f t="shared" si="15"/>
        <v>5567.3999999999987</v>
      </c>
      <c r="Y154">
        <v>8.170188852764932</v>
      </c>
    </row>
    <row r="155" spans="1:25" x14ac:dyDescent="0.25">
      <c r="A155">
        <v>5240</v>
      </c>
      <c r="B155">
        <v>23690</v>
      </c>
      <c r="C155" s="6">
        <v>43100</v>
      </c>
      <c r="G155">
        <v>11.5</v>
      </c>
      <c r="H155">
        <v>9.6999999999999993</v>
      </c>
      <c r="I155">
        <v>14</v>
      </c>
      <c r="J155">
        <f t="shared" si="12"/>
        <v>1277.7999999999995</v>
      </c>
      <c r="K155">
        <f t="shared" si="13"/>
        <v>159.19999999999999</v>
      </c>
      <c r="M155">
        <v>1.8</v>
      </c>
      <c r="N155">
        <v>1.3</v>
      </c>
      <c r="O155">
        <f t="shared" si="17"/>
        <v>0.5</v>
      </c>
      <c r="Q155">
        <v>126</v>
      </c>
      <c r="R155">
        <v>1</v>
      </c>
      <c r="S155">
        <f t="shared" si="18"/>
        <v>1.3</v>
      </c>
      <c r="T155">
        <f t="shared" si="19"/>
        <v>0.5</v>
      </c>
      <c r="U155">
        <f t="shared" si="14"/>
        <v>192.82647727272726</v>
      </c>
      <c r="W155">
        <v>117.6</v>
      </c>
      <c r="X155">
        <f t="shared" si="15"/>
        <v>5684.9999999999991</v>
      </c>
      <c r="Y155">
        <v>8.1838046316151587</v>
      </c>
    </row>
    <row r="156" spans="1:25" x14ac:dyDescent="0.25">
      <c r="A156">
        <v>5240</v>
      </c>
      <c r="B156">
        <v>23690</v>
      </c>
      <c r="C156" s="6">
        <v>43101</v>
      </c>
      <c r="G156">
        <v>7.1</v>
      </c>
      <c r="H156">
        <v>6</v>
      </c>
      <c r="I156">
        <v>7.7</v>
      </c>
      <c r="J156">
        <f t="shared" si="12"/>
        <v>1284.8999999999994</v>
      </c>
      <c r="K156">
        <f t="shared" si="13"/>
        <v>166.29999999999998</v>
      </c>
      <c r="M156">
        <v>10</v>
      </c>
      <c r="N156">
        <v>0.6</v>
      </c>
      <c r="O156">
        <f t="shared" si="17"/>
        <v>9.4</v>
      </c>
      <c r="Q156">
        <v>127</v>
      </c>
      <c r="R156">
        <v>1</v>
      </c>
      <c r="S156">
        <f t="shared" si="18"/>
        <v>0.6</v>
      </c>
      <c r="T156">
        <f t="shared" si="19"/>
        <v>9.4</v>
      </c>
      <c r="U156">
        <f t="shared" si="14"/>
        <v>202.22647727272727</v>
      </c>
      <c r="W156">
        <v>117.9</v>
      </c>
      <c r="X156">
        <f t="shared" si="15"/>
        <v>5802.8999999999987</v>
      </c>
      <c r="Y156">
        <v>8.1987705938467865</v>
      </c>
    </row>
    <row r="157" spans="1:25" x14ac:dyDescent="0.25">
      <c r="A157">
        <v>5240</v>
      </c>
      <c r="B157">
        <v>23690</v>
      </c>
      <c r="C157" s="6">
        <v>43102</v>
      </c>
      <c r="G157">
        <v>8</v>
      </c>
      <c r="H157">
        <v>4.5</v>
      </c>
      <c r="I157">
        <v>11.9</v>
      </c>
      <c r="J157">
        <f t="shared" si="12"/>
        <v>1292.8999999999994</v>
      </c>
      <c r="K157">
        <f t="shared" si="13"/>
        <v>174.29999999999998</v>
      </c>
      <c r="M157">
        <v>3.4</v>
      </c>
      <c r="N157">
        <v>0.4</v>
      </c>
      <c r="O157">
        <f t="shared" si="17"/>
        <v>3</v>
      </c>
      <c r="Q157">
        <v>128</v>
      </c>
      <c r="R157">
        <v>1</v>
      </c>
      <c r="S157">
        <f t="shared" si="18"/>
        <v>0.4</v>
      </c>
      <c r="T157">
        <f t="shared" si="19"/>
        <v>3</v>
      </c>
      <c r="U157">
        <f t="shared" si="14"/>
        <v>205.22647727272727</v>
      </c>
      <c r="W157">
        <v>98.7</v>
      </c>
      <c r="X157">
        <f t="shared" si="15"/>
        <v>5901.5999999999985</v>
      </c>
      <c r="Y157">
        <v>8.2150735896009568</v>
      </c>
    </row>
    <row r="158" spans="1:25" x14ac:dyDescent="0.25">
      <c r="A158">
        <v>5240</v>
      </c>
      <c r="B158">
        <v>23690</v>
      </c>
      <c r="C158" s="6">
        <v>43103</v>
      </c>
      <c r="G158">
        <v>9.3000000000000007</v>
      </c>
      <c r="H158">
        <v>8</v>
      </c>
      <c r="I158">
        <v>12.9</v>
      </c>
      <c r="J158">
        <f t="shared" si="12"/>
        <v>1302.1999999999994</v>
      </c>
      <c r="K158">
        <f t="shared" si="13"/>
        <v>183.6</v>
      </c>
      <c r="M158">
        <v>7.6</v>
      </c>
      <c r="N158">
        <v>1.4</v>
      </c>
      <c r="O158">
        <f t="shared" si="17"/>
        <v>6.1999999999999993</v>
      </c>
      <c r="Q158">
        <v>129</v>
      </c>
      <c r="R158">
        <v>1</v>
      </c>
      <c r="S158">
        <f t="shared" si="18"/>
        <v>1.4</v>
      </c>
      <c r="T158">
        <f t="shared" si="19"/>
        <v>6.1999999999999993</v>
      </c>
      <c r="U158">
        <f t="shared" si="14"/>
        <v>211.42647727272725</v>
      </c>
      <c r="W158">
        <v>88.4</v>
      </c>
      <c r="X158">
        <f t="shared" si="15"/>
        <v>5989.9999999999982</v>
      </c>
      <c r="Y158">
        <v>8.2326994273349161</v>
      </c>
    </row>
    <row r="159" spans="1:25" x14ac:dyDescent="0.25">
      <c r="A159">
        <v>5240</v>
      </c>
      <c r="B159">
        <v>23690</v>
      </c>
      <c r="C159" s="6">
        <v>43104</v>
      </c>
      <c r="G159">
        <v>11.4</v>
      </c>
      <c r="H159">
        <v>8.1</v>
      </c>
      <c r="I159">
        <v>13.3</v>
      </c>
      <c r="J159">
        <f t="shared" si="12"/>
        <v>1313.5999999999995</v>
      </c>
      <c r="K159">
        <f t="shared" si="13"/>
        <v>195</v>
      </c>
      <c r="M159">
        <v>4</v>
      </c>
      <c r="N159">
        <v>0.2</v>
      </c>
      <c r="O159">
        <f t="shared" si="17"/>
        <v>3.8</v>
      </c>
      <c r="Q159">
        <v>130</v>
      </c>
      <c r="R159">
        <v>1</v>
      </c>
      <c r="S159">
        <f t="shared" si="18"/>
        <v>0.2</v>
      </c>
      <c r="T159">
        <f t="shared" si="19"/>
        <v>3.8</v>
      </c>
      <c r="U159">
        <f t="shared" si="14"/>
        <v>215.22647727272727</v>
      </c>
      <c r="W159">
        <v>92.9</v>
      </c>
      <c r="X159">
        <f t="shared" si="15"/>
        <v>6082.8999999999978</v>
      </c>
      <c r="Y159">
        <v>8.2516329186164228</v>
      </c>
    </row>
    <row r="160" spans="1:25" x14ac:dyDescent="0.25">
      <c r="A160">
        <v>5240</v>
      </c>
      <c r="B160">
        <v>23690</v>
      </c>
      <c r="C160" s="6">
        <v>43105</v>
      </c>
      <c r="G160">
        <v>8.1</v>
      </c>
      <c r="H160">
        <v>6.8</v>
      </c>
      <c r="I160">
        <v>9.9</v>
      </c>
      <c r="J160">
        <f t="shared" ref="J160:J223" si="20">J159+G160</f>
        <v>1321.6999999999994</v>
      </c>
      <c r="K160">
        <f t="shared" ref="K160:K223" si="21">K159+G160</f>
        <v>203.1</v>
      </c>
      <c r="M160">
        <v>0.8</v>
      </c>
      <c r="N160">
        <v>0.4</v>
      </c>
      <c r="O160">
        <f t="shared" si="17"/>
        <v>0.4</v>
      </c>
      <c r="Q160">
        <v>131</v>
      </c>
      <c r="R160">
        <v>1</v>
      </c>
      <c r="S160">
        <f t="shared" si="18"/>
        <v>0.4</v>
      </c>
      <c r="T160">
        <f t="shared" si="19"/>
        <v>0.4</v>
      </c>
      <c r="U160">
        <f t="shared" ref="U160:U223" si="22">MIN(U159+T160,218.9)</f>
        <v>215.62647727272727</v>
      </c>
      <c r="W160">
        <v>63.5</v>
      </c>
      <c r="X160">
        <f t="shared" ref="X160:X223" si="23">X159+W160</f>
        <v>6146.3999999999978</v>
      </c>
      <c r="Y160">
        <v>8.2718579252902078</v>
      </c>
    </row>
    <row r="161" spans="1:25" x14ac:dyDescent="0.25">
      <c r="A161">
        <v>5240</v>
      </c>
      <c r="B161">
        <v>23690</v>
      </c>
      <c r="C161" s="6">
        <v>43106</v>
      </c>
      <c r="G161">
        <v>5.9</v>
      </c>
      <c r="H161">
        <v>5.0999999999999996</v>
      </c>
      <c r="I161">
        <v>6.4</v>
      </c>
      <c r="J161">
        <f t="shared" si="20"/>
        <v>1327.5999999999995</v>
      </c>
      <c r="K161">
        <f t="shared" si="21"/>
        <v>209</v>
      </c>
      <c r="M161">
        <v>4.4000000000000004</v>
      </c>
      <c r="N161">
        <v>0.1</v>
      </c>
      <c r="O161">
        <f t="shared" si="17"/>
        <v>4.3000000000000007</v>
      </c>
      <c r="Q161">
        <v>132</v>
      </c>
      <c r="R161">
        <v>1</v>
      </c>
      <c r="S161">
        <f t="shared" si="18"/>
        <v>0.1</v>
      </c>
      <c r="T161">
        <f t="shared" si="19"/>
        <v>4.3000000000000007</v>
      </c>
      <c r="U161">
        <f t="shared" si="22"/>
        <v>218.9</v>
      </c>
      <c r="W161">
        <v>128.1</v>
      </c>
      <c r="X161">
        <f t="shared" si="23"/>
        <v>6274.4999999999982</v>
      </c>
      <c r="Y161">
        <v>8.2933574087174851</v>
      </c>
    </row>
    <row r="162" spans="1:25" x14ac:dyDescent="0.25">
      <c r="A162">
        <v>5240</v>
      </c>
      <c r="B162">
        <v>23690</v>
      </c>
      <c r="C162" s="6">
        <v>43107</v>
      </c>
      <c r="G162">
        <v>5.9</v>
      </c>
      <c r="H162">
        <v>5.8</v>
      </c>
      <c r="I162">
        <v>6.1</v>
      </c>
      <c r="J162">
        <f t="shared" si="20"/>
        <v>1333.4999999999995</v>
      </c>
      <c r="K162">
        <f t="shared" si="21"/>
        <v>214.9</v>
      </c>
      <c r="M162">
        <v>0.6</v>
      </c>
      <c r="N162">
        <v>0.3</v>
      </c>
      <c r="O162">
        <f t="shared" si="17"/>
        <v>0.3</v>
      </c>
      <c r="Q162">
        <v>133</v>
      </c>
      <c r="R162">
        <v>1</v>
      </c>
      <c r="S162">
        <f t="shared" si="18"/>
        <v>0.3</v>
      </c>
      <c r="T162">
        <f t="shared" si="19"/>
        <v>0.3</v>
      </c>
      <c r="U162">
        <f t="shared" si="22"/>
        <v>218.9</v>
      </c>
      <c r="W162">
        <v>57.9</v>
      </c>
      <c r="X162">
        <f t="shared" si="23"/>
        <v>6332.3999999999978</v>
      </c>
      <c r="Y162">
        <v>8.3161134807847343</v>
      </c>
    </row>
    <row r="163" spans="1:25" x14ac:dyDescent="0.25">
      <c r="A163">
        <v>5240</v>
      </c>
      <c r="B163">
        <v>23690</v>
      </c>
      <c r="C163" s="6">
        <v>43108</v>
      </c>
      <c r="G163">
        <v>5.5</v>
      </c>
      <c r="H163">
        <v>5.2</v>
      </c>
      <c r="I163">
        <v>6.9</v>
      </c>
      <c r="J163">
        <f t="shared" si="20"/>
        <v>1338.9999999999995</v>
      </c>
      <c r="K163">
        <f t="shared" si="21"/>
        <v>220.4</v>
      </c>
      <c r="M163">
        <v>0</v>
      </c>
      <c r="N163">
        <v>0.4</v>
      </c>
      <c r="O163">
        <f t="shared" si="17"/>
        <v>-0.4</v>
      </c>
      <c r="Q163">
        <v>134</v>
      </c>
      <c r="R163">
        <v>1</v>
      </c>
      <c r="S163">
        <f t="shared" si="18"/>
        <v>0.4</v>
      </c>
      <c r="T163">
        <f t="shared" si="19"/>
        <v>-0.4</v>
      </c>
      <c r="U163">
        <f t="shared" si="22"/>
        <v>218.5</v>
      </c>
      <c r="W163">
        <v>131.69999999999999</v>
      </c>
      <c r="X163">
        <f t="shared" si="23"/>
        <v>6464.0999999999976</v>
      </c>
      <c r="Y163">
        <v>8.3401074563761259</v>
      </c>
    </row>
    <row r="164" spans="1:25" x14ac:dyDescent="0.25">
      <c r="A164">
        <v>5240</v>
      </c>
      <c r="B164">
        <v>23690</v>
      </c>
      <c r="C164" s="6">
        <v>43109</v>
      </c>
      <c r="G164">
        <v>5.5</v>
      </c>
      <c r="H164">
        <v>3.5</v>
      </c>
      <c r="I164">
        <v>7.4</v>
      </c>
      <c r="J164">
        <f t="shared" si="20"/>
        <v>1344.4999999999995</v>
      </c>
      <c r="K164">
        <f t="shared" si="21"/>
        <v>225.9</v>
      </c>
      <c r="M164">
        <v>3.8</v>
      </c>
      <c r="N164">
        <v>0.2</v>
      </c>
      <c r="O164">
        <f t="shared" si="17"/>
        <v>3.5999999999999996</v>
      </c>
      <c r="Q164">
        <v>135</v>
      </c>
      <c r="R164">
        <v>1</v>
      </c>
      <c r="S164">
        <f t="shared" si="18"/>
        <v>0.2</v>
      </c>
      <c r="T164">
        <f t="shared" si="19"/>
        <v>3.5999999999999996</v>
      </c>
      <c r="U164">
        <f t="shared" si="22"/>
        <v>218.9</v>
      </c>
      <c r="W164">
        <v>127.7</v>
      </c>
      <c r="X164">
        <f t="shared" si="23"/>
        <v>6591.7999999999975</v>
      </c>
      <c r="Y164">
        <v>8.3653199070050626</v>
      </c>
    </row>
    <row r="165" spans="1:25" x14ac:dyDescent="0.25">
      <c r="A165">
        <v>5240</v>
      </c>
      <c r="B165">
        <v>23690</v>
      </c>
      <c r="C165" s="6">
        <v>43110</v>
      </c>
      <c r="G165">
        <v>6.3</v>
      </c>
      <c r="H165">
        <v>5.9</v>
      </c>
      <c r="I165">
        <v>8.1</v>
      </c>
      <c r="J165">
        <f t="shared" si="20"/>
        <v>1350.7999999999995</v>
      </c>
      <c r="K165">
        <f t="shared" si="21"/>
        <v>232.20000000000002</v>
      </c>
      <c r="M165">
        <v>0.4</v>
      </c>
      <c r="N165">
        <v>0.3</v>
      </c>
      <c r="O165">
        <f t="shared" si="17"/>
        <v>0.10000000000000003</v>
      </c>
      <c r="Q165">
        <v>136</v>
      </c>
      <c r="R165">
        <v>1</v>
      </c>
      <c r="S165">
        <f t="shared" si="18"/>
        <v>0.3</v>
      </c>
      <c r="T165">
        <f t="shared" si="19"/>
        <v>0.10000000000000003</v>
      </c>
      <c r="U165">
        <f t="shared" si="22"/>
        <v>218.9</v>
      </c>
      <c r="W165">
        <v>109.7</v>
      </c>
      <c r="X165">
        <f t="shared" si="23"/>
        <v>6701.4999999999973</v>
      </c>
      <c r="Y165">
        <v>8.3917307153041989</v>
      </c>
    </row>
    <row r="166" spans="1:25" x14ac:dyDescent="0.25">
      <c r="A166">
        <v>5240</v>
      </c>
      <c r="B166">
        <v>23690</v>
      </c>
      <c r="C166" s="6">
        <v>43111</v>
      </c>
      <c r="G166">
        <v>5.4</v>
      </c>
      <c r="H166">
        <v>3.2</v>
      </c>
      <c r="I166">
        <v>7.4</v>
      </c>
      <c r="J166">
        <f t="shared" si="20"/>
        <v>1356.1999999999996</v>
      </c>
      <c r="K166">
        <f t="shared" si="21"/>
        <v>237.60000000000002</v>
      </c>
      <c r="M166">
        <v>0.1</v>
      </c>
      <c r="N166">
        <v>0.1</v>
      </c>
      <c r="O166">
        <f t="shared" si="17"/>
        <v>0</v>
      </c>
      <c r="Q166">
        <v>137</v>
      </c>
      <c r="R166">
        <v>1</v>
      </c>
      <c r="S166">
        <f t="shared" si="18"/>
        <v>0.1</v>
      </c>
      <c r="T166">
        <f t="shared" si="19"/>
        <v>0</v>
      </c>
      <c r="U166">
        <f t="shared" si="22"/>
        <v>218.9</v>
      </c>
      <c r="W166">
        <v>100</v>
      </c>
      <c r="X166">
        <f t="shared" si="23"/>
        <v>6801.4999999999973</v>
      </c>
      <c r="Y166">
        <v>8.4193191300796837</v>
      </c>
    </row>
    <row r="167" spans="1:25" x14ac:dyDescent="0.25">
      <c r="A167">
        <v>5240</v>
      </c>
      <c r="B167">
        <v>23690</v>
      </c>
      <c r="C167" s="6">
        <v>43112</v>
      </c>
      <c r="E167">
        <v>20</v>
      </c>
      <c r="G167">
        <v>4.7</v>
      </c>
      <c r="H167">
        <v>4.5</v>
      </c>
      <c r="I167">
        <v>5.5</v>
      </c>
      <c r="J167">
        <f t="shared" si="20"/>
        <v>1360.8999999999996</v>
      </c>
      <c r="K167">
        <f t="shared" si="21"/>
        <v>242.3</v>
      </c>
      <c r="M167">
        <v>0</v>
      </c>
      <c r="N167">
        <v>0.2</v>
      </c>
      <c r="O167">
        <f t="shared" si="17"/>
        <v>-0.2</v>
      </c>
      <c r="Q167">
        <v>138</v>
      </c>
      <c r="R167">
        <v>1</v>
      </c>
      <c r="S167">
        <f t="shared" si="18"/>
        <v>0.2</v>
      </c>
      <c r="T167">
        <f t="shared" si="19"/>
        <v>-0.2</v>
      </c>
      <c r="U167">
        <f t="shared" si="22"/>
        <v>218.70000000000002</v>
      </c>
      <c r="W167">
        <v>108.6</v>
      </c>
      <c r="X167">
        <f t="shared" si="23"/>
        <v>6910.0999999999976</v>
      </c>
      <c r="Y167">
        <v>8.4480638216441921</v>
      </c>
    </row>
    <row r="168" spans="1:25" x14ac:dyDescent="0.25">
      <c r="A168">
        <v>5240</v>
      </c>
      <c r="B168">
        <v>23690</v>
      </c>
      <c r="C168" s="6">
        <v>43113</v>
      </c>
      <c r="E168">
        <v>21</v>
      </c>
      <c r="G168">
        <v>2.9</v>
      </c>
      <c r="H168">
        <v>2.5</v>
      </c>
      <c r="I168">
        <v>3.7</v>
      </c>
      <c r="J168">
        <f t="shared" si="20"/>
        <v>1363.7999999999997</v>
      </c>
      <c r="K168">
        <f t="shared" si="21"/>
        <v>245.20000000000002</v>
      </c>
      <c r="M168">
        <v>0</v>
      </c>
      <c r="N168">
        <v>0.2</v>
      </c>
      <c r="O168">
        <f t="shared" si="17"/>
        <v>-0.2</v>
      </c>
      <c r="Q168">
        <v>139</v>
      </c>
      <c r="R168">
        <v>1</v>
      </c>
      <c r="S168">
        <f t="shared" si="18"/>
        <v>0.2</v>
      </c>
      <c r="T168">
        <f t="shared" si="19"/>
        <v>-0.2</v>
      </c>
      <c r="U168">
        <f t="shared" si="22"/>
        <v>218.50000000000003</v>
      </c>
      <c r="W168">
        <v>135.80000000000001</v>
      </c>
      <c r="X168">
        <f t="shared" si="23"/>
        <v>7045.8999999999978</v>
      </c>
      <c r="Y168">
        <v>8.4779429371541237</v>
      </c>
    </row>
    <row r="169" spans="1:25" x14ac:dyDescent="0.25">
      <c r="A169">
        <v>5240</v>
      </c>
      <c r="B169">
        <v>23690</v>
      </c>
      <c r="C169" s="6">
        <v>43114</v>
      </c>
      <c r="E169">
        <v>22</v>
      </c>
      <c r="G169">
        <v>2.8</v>
      </c>
      <c r="H169">
        <v>0</v>
      </c>
      <c r="I169">
        <v>4.5999999999999996</v>
      </c>
      <c r="J169">
        <f t="shared" si="20"/>
        <v>1366.5999999999997</v>
      </c>
      <c r="K169">
        <f t="shared" si="21"/>
        <v>248.00000000000003</v>
      </c>
      <c r="M169">
        <v>0</v>
      </c>
      <c r="N169">
        <v>0.1</v>
      </c>
      <c r="O169">
        <f t="shared" si="17"/>
        <v>-0.1</v>
      </c>
      <c r="Q169">
        <v>140</v>
      </c>
      <c r="R169">
        <v>1</v>
      </c>
      <c r="S169">
        <f t="shared" si="18"/>
        <v>0.1</v>
      </c>
      <c r="T169">
        <f t="shared" si="19"/>
        <v>-0.1</v>
      </c>
      <c r="U169">
        <f t="shared" si="22"/>
        <v>218.40000000000003</v>
      </c>
      <c r="W169">
        <v>135.19999999999999</v>
      </c>
      <c r="X169">
        <f t="shared" si="23"/>
        <v>7181.0999999999976</v>
      </c>
      <c r="Y169">
        <v>8.5089341556891238</v>
      </c>
    </row>
    <row r="170" spans="1:25" x14ac:dyDescent="0.25">
      <c r="A170">
        <v>5240</v>
      </c>
      <c r="B170">
        <v>23690</v>
      </c>
      <c r="C170" s="6">
        <v>43115</v>
      </c>
      <c r="G170">
        <v>6.9</v>
      </c>
      <c r="H170">
        <v>3.8</v>
      </c>
      <c r="I170">
        <v>9.8000000000000007</v>
      </c>
      <c r="J170">
        <f t="shared" si="20"/>
        <v>1373.4999999999998</v>
      </c>
      <c r="K170">
        <f t="shared" si="21"/>
        <v>254.90000000000003</v>
      </c>
      <c r="M170">
        <v>9.5</v>
      </c>
      <c r="N170">
        <v>0.3</v>
      </c>
      <c r="O170">
        <f t="shared" si="17"/>
        <v>9.1999999999999993</v>
      </c>
      <c r="Q170">
        <v>141</v>
      </c>
      <c r="R170">
        <v>1</v>
      </c>
      <c r="S170">
        <f t="shared" si="18"/>
        <v>0.3</v>
      </c>
      <c r="T170">
        <f t="shared" si="19"/>
        <v>9.1999999999999993</v>
      </c>
      <c r="U170">
        <f t="shared" si="22"/>
        <v>218.9</v>
      </c>
      <c r="W170">
        <v>116.8</v>
      </c>
      <c r="X170">
        <f t="shared" si="23"/>
        <v>7297.8999999999978</v>
      </c>
      <c r="Y170">
        <v>8.5410147428262935</v>
      </c>
    </row>
    <row r="171" spans="1:25" x14ac:dyDescent="0.25">
      <c r="A171">
        <v>5240</v>
      </c>
      <c r="B171">
        <v>23690</v>
      </c>
      <c r="C171" s="6">
        <v>43116</v>
      </c>
      <c r="G171">
        <v>7.9</v>
      </c>
      <c r="H171">
        <v>7.1</v>
      </c>
      <c r="I171">
        <v>9.6999999999999993</v>
      </c>
      <c r="J171">
        <f t="shared" si="20"/>
        <v>1381.3999999999999</v>
      </c>
      <c r="K171">
        <f t="shared" si="21"/>
        <v>262.8</v>
      </c>
      <c r="M171">
        <v>4.9000000000000004</v>
      </c>
      <c r="N171">
        <v>0.8</v>
      </c>
      <c r="O171">
        <f t="shared" si="17"/>
        <v>4.1000000000000005</v>
      </c>
      <c r="Q171">
        <v>142</v>
      </c>
      <c r="R171">
        <v>1</v>
      </c>
      <c r="S171">
        <f t="shared" si="18"/>
        <v>0.8</v>
      </c>
      <c r="T171">
        <f t="shared" si="19"/>
        <v>4.1000000000000005</v>
      </c>
      <c r="U171">
        <f t="shared" si="22"/>
        <v>218.9</v>
      </c>
      <c r="W171">
        <v>173.2</v>
      </c>
      <c r="X171">
        <f t="shared" si="23"/>
        <v>7471.0999999999976</v>
      </c>
      <c r="Y171">
        <v>8.5741616044771902</v>
      </c>
    </row>
    <row r="172" spans="1:25" x14ac:dyDescent="0.25">
      <c r="A172">
        <v>5240</v>
      </c>
      <c r="B172">
        <v>23690</v>
      </c>
      <c r="C172" s="6">
        <v>43117</v>
      </c>
      <c r="E172">
        <v>23</v>
      </c>
      <c r="G172">
        <v>4.9000000000000004</v>
      </c>
      <c r="H172">
        <v>2.8</v>
      </c>
      <c r="I172">
        <v>9.3000000000000007</v>
      </c>
      <c r="J172">
        <f t="shared" si="20"/>
        <v>1386.3</v>
      </c>
      <c r="K172">
        <f t="shared" si="21"/>
        <v>267.7</v>
      </c>
      <c r="M172">
        <v>1.2</v>
      </c>
      <c r="N172">
        <v>1.2</v>
      </c>
      <c r="O172">
        <f t="shared" si="17"/>
        <v>0</v>
      </c>
      <c r="Q172">
        <v>143</v>
      </c>
      <c r="R172">
        <v>1</v>
      </c>
      <c r="S172">
        <f t="shared" si="18"/>
        <v>1.2</v>
      </c>
      <c r="T172">
        <f t="shared" si="19"/>
        <v>0</v>
      </c>
      <c r="U172">
        <f t="shared" si="22"/>
        <v>218.9</v>
      </c>
      <c r="W172">
        <v>538.1</v>
      </c>
      <c r="X172">
        <f t="shared" si="23"/>
        <v>8009.199999999998</v>
      </c>
      <c r="Y172">
        <v>8.6083513397722236</v>
      </c>
    </row>
    <row r="173" spans="1:25" x14ac:dyDescent="0.25">
      <c r="A173">
        <v>5240</v>
      </c>
      <c r="B173">
        <v>23690</v>
      </c>
      <c r="C173" s="6">
        <v>43118</v>
      </c>
      <c r="G173">
        <v>8.9</v>
      </c>
      <c r="H173">
        <v>5</v>
      </c>
      <c r="I173">
        <v>11.8</v>
      </c>
      <c r="J173">
        <f t="shared" si="20"/>
        <v>1395.2</v>
      </c>
      <c r="K173">
        <f t="shared" si="21"/>
        <v>276.59999999999997</v>
      </c>
      <c r="M173">
        <v>5.0999999999999996</v>
      </c>
      <c r="N173">
        <v>0.3</v>
      </c>
      <c r="O173">
        <f t="shared" si="17"/>
        <v>4.8</v>
      </c>
      <c r="Q173">
        <v>144</v>
      </c>
      <c r="R173">
        <v>1</v>
      </c>
      <c r="S173">
        <f t="shared" si="18"/>
        <v>0.3</v>
      </c>
      <c r="T173">
        <f t="shared" si="19"/>
        <v>4.8</v>
      </c>
      <c r="U173">
        <f t="shared" si="22"/>
        <v>218.9</v>
      </c>
      <c r="W173">
        <v>85.6</v>
      </c>
      <c r="X173">
        <f t="shared" si="23"/>
        <v>8094.7999999999984</v>
      </c>
      <c r="Y173">
        <v>8.6435602927945823</v>
      </c>
    </row>
    <row r="174" spans="1:25" x14ac:dyDescent="0.25">
      <c r="A174">
        <v>5240</v>
      </c>
      <c r="B174">
        <v>23690</v>
      </c>
      <c r="C174" s="6">
        <v>43119</v>
      </c>
      <c r="E174">
        <v>24</v>
      </c>
      <c r="G174">
        <v>4.5999999999999996</v>
      </c>
      <c r="H174">
        <v>4</v>
      </c>
      <c r="I174">
        <v>6.1</v>
      </c>
      <c r="J174">
        <f t="shared" si="20"/>
        <v>1399.8</v>
      </c>
      <c r="K174">
        <f t="shared" si="21"/>
        <v>281.2</v>
      </c>
      <c r="M174">
        <v>2.7</v>
      </c>
      <c r="N174">
        <v>0.5</v>
      </c>
      <c r="O174">
        <f t="shared" si="17"/>
        <v>2.2000000000000002</v>
      </c>
      <c r="Q174">
        <v>145</v>
      </c>
      <c r="R174">
        <v>1</v>
      </c>
      <c r="S174">
        <f t="shared" si="18"/>
        <v>0.5</v>
      </c>
      <c r="T174">
        <f t="shared" si="19"/>
        <v>2.2000000000000002</v>
      </c>
      <c r="U174">
        <f t="shared" si="22"/>
        <v>218.9</v>
      </c>
      <c r="W174">
        <v>233.1</v>
      </c>
      <c r="X174">
        <f t="shared" si="23"/>
        <v>8327.8999999999978</v>
      </c>
      <c r="Y174">
        <v>8.6797646029838074</v>
      </c>
    </row>
    <row r="175" spans="1:25" x14ac:dyDescent="0.25">
      <c r="A175">
        <v>5240</v>
      </c>
      <c r="B175">
        <v>23690</v>
      </c>
      <c r="C175" s="6">
        <v>43120</v>
      </c>
      <c r="G175">
        <v>8</v>
      </c>
      <c r="H175">
        <v>3</v>
      </c>
      <c r="I175">
        <v>10.8</v>
      </c>
      <c r="J175">
        <f t="shared" si="20"/>
        <v>1407.8</v>
      </c>
      <c r="K175">
        <f t="shared" si="21"/>
        <v>289.2</v>
      </c>
      <c r="M175">
        <v>8.5</v>
      </c>
      <c r="N175">
        <v>0.1</v>
      </c>
      <c r="O175">
        <f t="shared" si="17"/>
        <v>8.4</v>
      </c>
      <c r="Q175">
        <v>146</v>
      </c>
      <c r="R175">
        <v>1</v>
      </c>
      <c r="S175">
        <f t="shared" si="18"/>
        <v>0.1</v>
      </c>
      <c r="T175">
        <f t="shared" si="19"/>
        <v>8.4</v>
      </c>
      <c r="U175">
        <f t="shared" si="22"/>
        <v>218.9</v>
      </c>
      <c r="W175">
        <v>103.6</v>
      </c>
      <c r="X175">
        <f t="shared" si="23"/>
        <v>8431.4999999999982</v>
      </c>
      <c r="Y175">
        <v>8.7169402540472678</v>
      </c>
    </row>
    <row r="176" spans="1:25" x14ac:dyDescent="0.25">
      <c r="A176">
        <v>5240</v>
      </c>
      <c r="B176">
        <v>23690</v>
      </c>
      <c r="C176" s="6">
        <v>43121</v>
      </c>
      <c r="G176">
        <v>8.5</v>
      </c>
      <c r="H176">
        <v>5.9</v>
      </c>
      <c r="I176">
        <v>11.5</v>
      </c>
      <c r="J176">
        <f t="shared" si="20"/>
        <v>1416.3</v>
      </c>
      <c r="K176">
        <f t="shared" si="21"/>
        <v>297.7</v>
      </c>
      <c r="M176">
        <v>4.5</v>
      </c>
      <c r="N176">
        <v>0.3</v>
      </c>
      <c r="O176">
        <f t="shared" si="17"/>
        <v>4.2</v>
      </c>
      <c r="Q176">
        <v>147</v>
      </c>
      <c r="R176">
        <v>1</v>
      </c>
      <c r="S176">
        <f t="shared" si="18"/>
        <v>0.3</v>
      </c>
      <c r="T176">
        <f t="shared" si="19"/>
        <v>4.2</v>
      </c>
      <c r="U176">
        <f t="shared" si="22"/>
        <v>218.9</v>
      </c>
      <c r="W176">
        <v>139.4</v>
      </c>
      <c r="X176">
        <f t="shared" si="23"/>
        <v>8570.8999999999978</v>
      </c>
      <c r="Y176">
        <v>8.7550631212362511</v>
      </c>
    </row>
    <row r="177" spans="1:25" x14ac:dyDescent="0.25">
      <c r="A177">
        <v>5240</v>
      </c>
      <c r="B177">
        <v>23690</v>
      </c>
      <c r="C177" s="6">
        <v>43122</v>
      </c>
      <c r="G177">
        <v>10.199999999999999</v>
      </c>
      <c r="H177">
        <v>7.6</v>
      </c>
      <c r="I177">
        <v>12.2</v>
      </c>
      <c r="J177">
        <f t="shared" si="20"/>
        <v>1426.5</v>
      </c>
      <c r="K177">
        <f t="shared" si="21"/>
        <v>307.89999999999998</v>
      </c>
      <c r="M177">
        <v>3.7</v>
      </c>
      <c r="N177">
        <v>0.2</v>
      </c>
      <c r="O177">
        <f t="shared" si="17"/>
        <v>3.5</v>
      </c>
      <c r="Q177">
        <v>148</v>
      </c>
      <c r="R177">
        <v>1</v>
      </c>
      <c r="S177">
        <f t="shared" si="18"/>
        <v>0.2</v>
      </c>
      <c r="T177">
        <f t="shared" si="19"/>
        <v>3.5</v>
      </c>
      <c r="U177">
        <f t="shared" si="22"/>
        <v>218.9</v>
      </c>
      <c r="W177">
        <v>139.4</v>
      </c>
      <c r="X177">
        <f t="shared" si="23"/>
        <v>8710.2999999999975</v>
      </c>
      <c r="Y177">
        <v>8.7941090168615208</v>
      </c>
    </row>
    <row r="178" spans="1:25" x14ac:dyDescent="0.25">
      <c r="A178">
        <v>5240</v>
      </c>
      <c r="B178">
        <v>23690</v>
      </c>
      <c r="C178" s="6">
        <v>43123</v>
      </c>
      <c r="G178">
        <v>9.1</v>
      </c>
      <c r="H178">
        <v>7.1</v>
      </c>
      <c r="I178">
        <v>11.1</v>
      </c>
      <c r="J178">
        <f t="shared" si="20"/>
        <v>1435.6</v>
      </c>
      <c r="K178">
        <f t="shared" si="21"/>
        <v>317</v>
      </c>
      <c r="M178">
        <v>0.5</v>
      </c>
      <c r="N178">
        <v>0.3</v>
      </c>
      <c r="O178">
        <f t="shared" si="17"/>
        <v>0.2</v>
      </c>
      <c r="Q178">
        <v>149</v>
      </c>
      <c r="R178">
        <v>1</v>
      </c>
      <c r="S178">
        <f t="shared" si="18"/>
        <v>0.3</v>
      </c>
      <c r="T178">
        <f t="shared" si="19"/>
        <v>0.2</v>
      </c>
      <c r="U178">
        <f t="shared" si="22"/>
        <v>218.9</v>
      </c>
      <c r="W178">
        <v>80.7</v>
      </c>
      <c r="X178">
        <f t="shared" si="23"/>
        <v>8790.9999999999982</v>
      </c>
      <c r="Y178">
        <v>8.8340537339410634</v>
      </c>
    </row>
    <row r="179" spans="1:25" x14ac:dyDescent="0.25">
      <c r="A179">
        <v>5240</v>
      </c>
      <c r="B179">
        <v>23690</v>
      </c>
      <c r="C179" s="6">
        <v>43124</v>
      </c>
      <c r="G179">
        <v>11.2</v>
      </c>
      <c r="H179">
        <v>10.9</v>
      </c>
      <c r="I179">
        <v>12</v>
      </c>
      <c r="J179">
        <f t="shared" si="20"/>
        <v>1446.8</v>
      </c>
      <c r="K179">
        <f t="shared" si="21"/>
        <v>328.2</v>
      </c>
      <c r="M179">
        <v>3.7</v>
      </c>
      <c r="N179">
        <v>0.6</v>
      </c>
      <c r="O179">
        <f t="shared" si="17"/>
        <v>3.1</v>
      </c>
      <c r="Q179">
        <v>150</v>
      </c>
      <c r="R179">
        <v>1</v>
      </c>
      <c r="S179">
        <f t="shared" si="18"/>
        <v>0.6</v>
      </c>
      <c r="T179">
        <f t="shared" si="19"/>
        <v>3.1</v>
      </c>
      <c r="U179">
        <f t="shared" si="22"/>
        <v>218.9</v>
      </c>
      <c r="W179">
        <v>97.2</v>
      </c>
      <c r="X179">
        <f t="shared" si="23"/>
        <v>8888.1999999999989</v>
      </c>
      <c r="Y179">
        <v>8.8748730878901902</v>
      </c>
    </row>
    <row r="180" spans="1:25" x14ac:dyDescent="0.25">
      <c r="A180">
        <v>5240</v>
      </c>
      <c r="B180">
        <v>23690</v>
      </c>
      <c r="C180" s="6">
        <v>43125</v>
      </c>
      <c r="G180">
        <v>8</v>
      </c>
      <c r="H180">
        <v>7.6</v>
      </c>
      <c r="I180">
        <v>8.1999999999999993</v>
      </c>
      <c r="J180">
        <f t="shared" si="20"/>
        <v>1454.8</v>
      </c>
      <c r="K180">
        <f t="shared" si="21"/>
        <v>336.2</v>
      </c>
      <c r="M180">
        <v>2.1</v>
      </c>
      <c r="N180">
        <v>0.3</v>
      </c>
      <c r="O180">
        <f t="shared" si="17"/>
        <v>1.8</v>
      </c>
      <c r="Q180">
        <v>151</v>
      </c>
      <c r="R180">
        <v>1</v>
      </c>
      <c r="S180">
        <f t="shared" si="18"/>
        <v>0.3</v>
      </c>
      <c r="T180">
        <f t="shared" si="19"/>
        <v>1.8</v>
      </c>
      <c r="U180">
        <f t="shared" si="22"/>
        <v>218.9</v>
      </c>
      <c r="W180">
        <v>254.7</v>
      </c>
      <c r="X180">
        <f t="shared" si="23"/>
        <v>9142.9</v>
      </c>
      <c r="Y180">
        <v>8.916542956180928</v>
      </c>
    </row>
    <row r="181" spans="1:25" x14ac:dyDescent="0.25">
      <c r="A181">
        <v>5240</v>
      </c>
      <c r="B181">
        <v>23690</v>
      </c>
      <c r="C181" s="6">
        <v>43126</v>
      </c>
      <c r="E181" t="s">
        <v>36</v>
      </c>
      <c r="G181">
        <v>5.8</v>
      </c>
      <c r="H181">
        <v>5</v>
      </c>
      <c r="I181">
        <v>7.1</v>
      </c>
      <c r="J181">
        <f t="shared" si="20"/>
        <v>1460.6</v>
      </c>
      <c r="K181">
        <f t="shared" si="21"/>
        <v>342</v>
      </c>
      <c r="M181">
        <v>1.2</v>
      </c>
      <c r="N181">
        <v>0.4</v>
      </c>
      <c r="O181">
        <f t="shared" si="17"/>
        <v>0.79999999999999993</v>
      </c>
      <c r="Q181">
        <v>152</v>
      </c>
      <c r="R181">
        <v>1</v>
      </c>
      <c r="S181">
        <f t="shared" si="18"/>
        <v>0.4</v>
      </c>
      <c r="T181">
        <f t="shared" si="19"/>
        <v>0.79999999999999993</v>
      </c>
      <c r="U181">
        <f t="shared" si="22"/>
        <v>218.9</v>
      </c>
      <c r="W181">
        <v>345.9</v>
      </c>
      <c r="X181">
        <f t="shared" si="23"/>
        <v>9488.7999999999993</v>
      </c>
      <c r="Y181">
        <v>8.9590393159137118</v>
      </c>
    </row>
    <row r="182" spans="1:25" x14ac:dyDescent="0.25">
      <c r="A182">
        <v>5240</v>
      </c>
      <c r="B182">
        <v>23690</v>
      </c>
      <c r="C182" s="6">
        <v>43127</v>
      </c>
      <c r="G182">
        <v>3.8</v>
      </c>
      <c r="H182">
        <v>3.2</v>
      </c>
      <c r="I182">
        <v>5.5</v>
      </c>
      <c r="J182">
        <f t="shared" si="20"/>
        <v>1464.3999999999999</v>
      </c>
      <c r="K182">
        <f t="shared" si="21"/>
        <v>345.8</v>
      </c>
      <c r="M182">
        <v>0.2</v>
      </c>
      <c r="N182">
        <v>0.3</v>
      </c>
      <c r="O182">
        <f t="shared" si="17"/>
        <v>-9.9999999999999978E-2</v>
      </c>
      <c r="Q182">
        <v>153</v>
      </c>
      <c r="R182">
        <v>1</v>
      </c>
      <c r="S182">
        <f t="shared" si="18"/>
        <v>0.3</v>
      </c>
      <c r="T182">
        <f t="shared" si="19"/>
        <v>-9.9999999999999978E-2</v>
      </c>
      <c r="U182">
        <f t="shared" si="22"/>
        <v>218.8</v>
      </c>
      <c r="W182">
        <v>186.7</v>
      </c>
      <c r="X182">
        <f t="shared" si="23"/>
        <v>9675.5</v>
      </c>
      <c r="Y182">
        <v>9.0023382792595985</v>
      </c>
    </row>
    <row r="183" spans="1:25" x14ac:dyDescent="0.25">
      <c r="A183">
        <v>5240</v>
      </c>
      <c r="B183">
        <v>23690</v>
      </c>
      <c r="C183" s="6">
        <v>43128</v>
      </c>
      <c r="G183">
        <v>7.9</v>
      </c>
      <c r="H183">
        <v>4.0999999999999996</v>
      </c>
      <c r="I183">
        <v>9.6999999999999993</v>
      </c>
      <c r="J183">
        <f t="shared" si="20"/>
        <v>1472.3</v>
      </c>
      <c r="K183">
        <f t="shared" si="21"/>
        <v>353.7</v>
      </c>
      <c r="M183">
        <v>0.3</v>
      </c>
      <c r="N183">
        <v>0.1</v>
      </c>
      <c r="O183">
        <f t="shared" si="17"/>
        <v>0.19999999999999998</v>
      </c>
      <c r="Q183">
        <v>154</v>
      </c>
      <c r="R183">
        <v>1</v>
      </c>
      <c r="S183">
        <f t="shared" si="18"/>
        <v>0.1</v>
      </c>
      <c r="T183">
        <f t="shared" si="19"/>
        <v>0.19999999999999998</v>
      </c>
      <c r="U183">
        <f t="shared" si="22"/>
        <v>218.9</v>
      </c>
      <c r="W183">
        <v>122.2</v>
      </c>
      <c r="X183">
        <f t="shared" si="23"/>
        <v>9797.7000000000007</v>
      </c>
      <c r="Y183">
        <v>9.0464161267455694</v>
      </c>
    </row>
    <row r="184" spans="1:25" x14ac:dyDescent="0.25">
      <c r="A184">
        <v>5240</v>
      </c>
      <c r="B184">
        <v>23690</v>
      </c>
      <c r="C184" s="6">
        <v>43129</v>
      </c>
      <c r="G184">
        <v>9.3000000000000007</v>
      </c>
      <c r="H184">
        <v>8.9</v>
      </c>
      <c r="I184">
        <v>9.9</v>
      </c>
      <c r="J184">
        <f t="shared" si="20"/>
        <v>1481.6</v>
      </c>
      <c r="K184">
        <f t="shared" si="21"/>
        <v>363</v>
      </c>
      <c r="M184">
        <v>0.2</v>
      </c>
      <c r="N184">
        <v>0.3</v>
      </c>
      <c r="O184">
        <f t="shared" si="17"/>
        <v>-9.9999999999999978E-2</v>
      </c>
      <c r="Q184">
        <v>155</v>
      </c>
      <c r="R184">
        <v>1</v>
      </c>
      <c r="S184">
        <f t="shared" si="18"/>
        <v>0.3</v>
      </c>
      <c r="T184">
        <f t="shared" si="19"/>
        <v>-9.9999999999999978E-2</v>
      </c>
      <c r="U184">
        <f t="shared" si="22"/>
        <v>218.8</v>
      </c>
      <c r="W184">
        <v>104.3</v>
      </c>
      <c r="X184">
        <f t="shared" si="23"/>
        <v>9902</v>
      </c>
      <c r="Y184">
        <v>9.0912493383688222</v>
      </c>
    </row>
    <row r="185" spans="1:25" x14ac:dyDescent="0.25">
      <c r="A185">
        <v>5240</v>
      </c>
      <c r="B185">
        <v>23690</v>
      </c>
      <c r="C185" s="6">
        <v>43130</v>
      </c>
      <c r="G185">
        <v>9</v>
      </c>
      <c r="H185">
        <v>8.1999999999999993</v>
      </c>
      <c r="I185">
        <v>10</v>
      </c>
      <c r="J185">
        <f t="shared" si="20"/>
        <v>1490.6</v>
      </c>
      <c r="K185">
        <f t="shared" si="21"/>
        <v>372</v>
      </c>
      <c r="M185">
        <v>0.3</v>
      </c>
      <c r="N185">
        <v>0.2</v>
      </c>
      <c r="O185">
        <f t="shared" si="17"/>
        <v>9.9999999999999978E-2</v>
      </c>
      <c r="Q185">
        <v>156</v>
      </c>
      <c r="R185">
        <v>1</v>
      </c>
      <c r="S185">
        <f t="shared" si="18"/>
        <v>0.2</v>
      </c>
      <c r="T185">
        <f t="shared" si="19"/>
        <v>9.9999999999999978E-2</v>
      </c>
      <c r="U185">
        <f t="shared" si="22"/>
        <v>218.9</v>
      </c>
      <c r="W185">
        <v>90.2</v>
      </c>
      <c r="X185">
        <f t="shared" si="23"/>
        <v>9992.2000000000007</v>
      </c>
      <c r="Y185">
        <v>9.1368146225383065</v>
      </c>
    </row>
    <row r="186" spans="1:25" x14ac:dyDescent="0.25">
      <c r="A186">
        <v>5240</v>
      </c>
      <c r="B186">
        <v>23690</v>
      </c>
      <c r="C186" s="6">
        <v>43131</v>
      </c>
      <c r="G186">
        <v>7.1</v>
      </c>
      <c r="H186">
        <v>6.9</v>
      </c>
      <c r="I186">
        <v>8.3000000000000007</v>
      </c>
      <c r="J186">
        <f t="shared" si="20"/>
        <v>1497.6999999999998</v>
      </c>
      <c r="K186">
        <f t="shared" si="21"/>
        <v>379.1</v>
      </c>
      <c r="M186">
        <v>10.3</v>
      </c>
      <c r="N186">
        <v>0.4</v>
      </c>
      <c r="O186">
        <f t="shared" si="17"/>
        <v>9.9</v>
      </c>
      <c r="Q186">
        <v>157</v>
      </c>
      <c r="R186">
        <v>1</v>
      </c>
      <c r="S186">
        <f t="shared" si="18"/>
        <v>0.4</v>
      </c>
      <c r="T186">
        <f t="shared" si="19"/>
        <v>9.9</v>
      </c>
      <c r="U186">
        <f t="shared" si="22"/>
        <v>218.9</v>
      </c>
      <c r="W186">
        <v>123.9</v>
      </c>
      <c r="X186">
        <f t="shared" si="23"/>
        <v>10116.1</v>
      </c>
      <c r="Y186">
        <v>9.1830889428531144</v>
      </c>
    </row>
    <row r="187" spans="1:25" x14ac:dyDescent="0.25">
      <c r="A187">
        <v>5240</v>
      </c>
      <c r="B187">
        <v>23690</v>
      </c>
      <c r="C187" s="6">
        <v>43132</v>
      </c>
      <c r="G187">
        <v>3.8</v>
      </c>
      <c r="H187">
        <v>2.4</v>
      </c>
      <c r="I187">
        <v>7</v>
      </c>
      <c r="J187">
        <f t="shared" si="20"/>
        <v>1501.4999999999998</v>
      </c>
      <c r="K187">
        <f t="shared" si="21"/>
        <v>382.90000000000003</v>
      </c>
      <c r="M187">
        <v>0.5</v>
      </c>
      <c r="N187">
        <v>0.7</v>
      </c>
      <c r="O187">
        <f t="shared" si="17"/>
        <v>-0.19999999999999996</v>
      </c>
      <c r="Q187">
        <v>158</v>
      </c>
      <c r="R187">
        <v>1</v>
      </c>
      <c r="S187">
        <f t="shared" si="18"/>
        <v>0.7</v>
      </c>
      <c r="T187">
        <f t="shared" si="19"/>
        <v>-0.19999999999999996</v>
      </c>
      <c r="U187">
        <f t="shared" si="22"/>
        <v>218.70000000000002</v>
      </c>
      <c r="W187">
        <v>349</v>
      </c>
      <c r="X187">
        <f t="shared" si="23"/>
        <v>10465.1</v>
      </c>
      <c r="Y187">
        <v>9.2300495427375324</v>
      </c>
    </row>
    <row r="188" spans="1:25" x14ac:dyDescent="0.25">
      <c r="A188">
        <v>5240</v>
      </c>
      <c r="B188">
        <v>23690</v>
      </c>
      <c r="C188" s="6">
        <v>43133</v>
      </c>
      <c r="G188">
        <v>3.3</v>
      </c>
      <c r="H188">
        <v>1.3</v>
      </c>
      <c r="I188">
        <v>6.2</v>
      </c>
      <c r="J188">
        <f t="shared" si="20"/>
        <v>1504.7999999999997</v>
      </c>
      <c r="K188">
        <f t="shared" si="21"/>
        <v>386.20000000000005</v>
      </c>
      <c r="M188">
        <v>0.7</v>
      </c>
      <c r="N188">
        <v>0.5</v>
      </c>
      <c r="O188">
        <f t="shared" si="17"/>
        <v>0.19999999999999996</v>
      </c>
      <c r="Q188">
        <v>159</v>
      </c>
      <c r="R188">
        <v>1</v>
      </c>
      <c r="S188">
        <f t="shared" si="18"/>
        <v>0.5</v>
      </c>
      <c r="T188">
        <f t="shared" si="19"/>
        <v>0.19999999999999996</v>
      </c>
      <c r="U188">
        <f t="shared" si="22"/>
        <v>218.9</v>
      </c>
      <c r="W188">
        <v>529.1</v>
      </c>
      <c r="X188">
        <f t="shared" si="23"/>
        <v>10994.2</v>
      </c>
      <c r="Y188">
        <v>9.2776739679619649</v>
      </c>
    </row>
    <row r="189" spans="1:25" x14ac:dyDescent="0.25">
      <c r="A189">
        <v>5240</v>
      </c>
      <c r="B189">
        <v>23690</v>
      </c>
      <c r="C189" s="6">
        <v>43134</v>
      </c>
      <c r="G189">
        <v>3.1</v>
      </c>
      <c r="H189">
        <v>0.9</v>
      </c>
      <c r="I189">
        <v>4.4000000000000004</v>
      </c>
      <c r="J189">
        <f t="shared" si="20"/>
        <v>1507.8999999999996</v>
      </c>
      <c r="K189">
        <f t="shared" si="21"/>
        <v>389.30000000000007</v>
      </c>
      <c r="M189">
        <v>3.7</v>
      </c>
      <c r="N189">
        <v>0</v>
      </c>
      <c r="O189">
        <f t="shared" si="17"/>
        <v>3.7</v>
      </c>
      <c r="Q189">
        <v>160</v>
      </c>
      <c r="R189">
        <v>1</v>
      </c>
      <c r="S189">
        <f t="shared" si="18"/>
        <v>0</v>
      </c>
      <c r="T189">
        <f t="shared" si="19"/>
        <v>3.7</v>
      </c>
      <c r="U189">
        <f t="shared" si="22"/>
        <v>218.9</v>
      </c>
      <c r="W189">
        <v>129.69999999999999</v>
      </c>
      <c r="X189">
        <f t="shared" si="23"/>
        <v>11123.900000000001</v>
      </c>
      <c r="Y189">
        <v>9.3259400870869715</v>
      </c>
    </row>
    <row r="190" spans="1:25" x14ac:dyDescent="0.25">
      <c r="A190">
        <v>5240</v>
      </c>
      <c r="B190">
        <v>23690</v>
      </c>
      <c r="C190" s="6">
        <v>43135</v>
      </c>
      <c r="G190">
        <v>1.3</v>
      </c>
      <c r="H190">
        <v>0.7</v>
      </c>
      <c r="I190">
        <v>1.9</v>
      </c>
      <c r="J190">
        <f t="shared" si="20"/>
        <v>1509.1999999999996</v>
      </c>
      <c r="K190">
        <f t="shared" si="21"/>
        <v>390.60000000000008</v>
      </c>
      <c r="M190">
        <v>0.9</v>
      </c>
      <c r="N190">
        <v>0.2</v>
      </c>
      <c r="O190">
        <f t="shared" si="17"/>
        <v>0.7</v>
      </c>
      <c r="Q190">
        <v>161</v>
      </c>
      <c r="R190">
        <v>1</v>
      </c>
      <c r="S190">
        <f t="shared" si="18"/>
        <v>0.2</v>
      </c>
      <c r="T190">
        <f t="shared" si="19"/>
        <v>0.7</v>
      </c>
      <c r="U190">
        <f t="shared" si="22"/>
        <v>218.9</v>
      </c>
      <c r="W190">
        <v>260.8</v>
      </c>
      <c r="X190">
        <f t="shared" si="23"/>
        <v>11384.7</v>
      </c>
      <c r="Y190">
        <v>9.3748261098751247</v>
      </c>
    </row>
    <row r="191" spans="1:25" x14ac:dyDescent="0.25">
      <c r="A191">
        <v>5240</v>
      </c>
      <c r="B191">
        <v>23690</v>
      </c>
      <c r="C191" s="6">
        <v>43136</v>
      </c>
      <c r="G191">
        <v>-0.8</v>
      </c>
      <c r="H191">
        <v>-2.2999999999999998</v>
      </c>
      <c r="I191">
        <v>-0.1</v>
      </c>
      <c r="J191">
        <v>1509.2</v>
      </c>
      <c r="K191">
        <v>390.6</v>
      </c>
      <c r="M191">
        <v>0</v>
      </c>
      <c r="N191">
        <v>0.2</v>
      </c>
      <c r="O191">
        <f t="shared" si="17"/>
        <v>-0.2</v>
      </c>
      <c r="Q191">
        <v>162</v>
      </c>
      <c r="R191">
        <v>1</v>
      </c>
      <c r="S191">
        <f t="shared" si="18"/>
        <v>0.2</v>
      </c>
      <c r="T191">
        <f t="shared" si="19"/>
        <v>-0.2</v>
      </c>
      <c r="U191">
        <f t="shared" si="22"/>
        <v>218.70000000000002</v>
      </c>
      <c r="W191">
        <v>188.2</v>
      </c>
      <c r="X191">
        <f t="shared" si="23"/>
        <v>11572.900000000001</v>
      </c>
      <c r="Y191">
        <v>9.4243106037214996</v>
      </c>
    </row>
    <row r="192" spans="1:25" x14ac:dyDescent="0.25">
      <c r="A192">
        <v>5240</v>
      </c>
      <c r="B192">
        <v>23690</v>
      </c>
      <c r="C192" s="6">
        <v>43137</v>
      </c>
      <c r="G192">
        <v>-0.9</v>
      </c>
      <c r="H192">
        <v>-1.4</v>
      </c>
      <c r="I192">
        <v>-0.4</v>
      </c>
      <c r="J192">
        <v>1509.2</v>
      </c>
      <c r="K192">
        <v>390.6</v>
      </c>
      <c r="M192">
        <v>0.4</v>
      </c>
      <c r="N192">
        <v>0.2</v>
      </c>
      <c r="O192">
        <f t="shared" si="17"/>
        <v>0.2</v>
      </c>
      <c r="Q192">
        <v>163</v>
      </c>
      <c r="R192">
        <v>1</v>
      </c>
      <c r="S192">
        <f t="shared" si="18"/>
        <v>0.2</v>
      </c>
      <c r="T192">
        <f t="shared" si="19"/>
        <v>0.2</v>
      </c>
      <c r="U192">
        <f t="shared" si="22"/>
        <v>218.9</v>
      </c>
      <c r="W192">
        <v>93.9</v>
      </c>
      <c r="X192">
        <f t="shared" si="23"/>
        <v>11666.800000000001</v>
      </c>
      <c r="Y192">
        <v>9.4743725081590942</v>
      </c>
    </row>
    <row r="193" spans="1:25" x14ac:dyDescent="0.25">
      <c r="A193">
        <v>5240</v>
      </c>
      <c r="B193">
        <v>23690</v>
      </c>
      <c r="C193" s="6">
        <v>43138</v>
      </c>
      <c r="G193">
        <v>-1.9</v>
      </c>
      <c r="H193">
        <v>-2.2999999999999998</v>
      </c>
      <c r="I193">
        <v>-1.1000000000000001</v>
      </c>
      <c r="J193">
        <v>1509.2</v>
      </c>
      <c r="K193">
        <v>390.6</v>
      </c>
      <c r="M193">
        <v>0</v>
      </c>
      <c r="N193">
        <v>0.3</v>
      </c>
      <c r="O193">
        <f t="shared" si="17"/>
        <v>-0.3</v>
      </c>
      <c r="Q193">
        <v>164</v>
      </c>
      <c r="R193">
        <v>1</v>
      </c>
      <c r="S193">
        <f t="shared" si="18"/>
        <v>0.3</v>
      </c>
      <c r="T193">
        <f t="shared" si="19"/>
        <v>-0.3</v>
      </c>
      <c r="U193">
        <f t="shared" si="22"/>
        <v>218.6</v>
      </c>
      <c r="W193">
        <v>119.1</v>
      </c>
      <c r="X193">
        <f t="shared" si="23"/>
        <v>11785.900000000001</v>
      </c>
      <c r="Y193">
        <v>9.5249911474999553</v>
      </c>
    </row>
    <row r="194" spans="1:25" x14ac:dyDescent="0.25">
      <c r="A194">
        <v>5240</v>
      </c>
      <c r="B194">
        <v>23690</v>
      </c>
      <c r="C194" s="6">
        <v>43139</v>
      </c>
      <c r="G194">
        <v>-3.8</v>
      </c>
      <c r="H194">
        <v>-7.6</v>
      </c>
      <c r="I194">
        <v>2.1</v>
      </c>
      <c r="J194">
        <v>1509.2</v>
      </c>
      <c r="K194">
        <v>390.6</v>
      </c>
      <c r="M194">
        <v>0</v>
      </c>
      <c r="N194">
        <v>0.8</v>
      </c>
      <c r="O194">
        <f t="shared" si="17"/>
        <v>-0.8</v>
      </c>
      <c r="Q194">
        <v>165</v>
      </c>
      <c r="R194">
        <v>1</v>
      </c>
      <c r="S194">
        <f t="shared" si="18"/>
        <v>0.8</v>
      </c>
      <c r="T194">
        <f t="shared" si="19"/>
        <v>-0.8</v>
      </c>
      <c r="U194">
        <f t="shared" si="22"/>
        <v>217.79999999999998</v>
      </c>
      <c r="W194">
        <v>861.4</v>
      </c>
      <c r="X194">
        <f t="shared" si="23"/>
        <v>12647.300000000001</v>
      </c>
      <c r="Y194">
        <v>9.5761462416764314</v>
      </c>
    </row>
    <row r="195" spans="1:25" x14ac:dyDescent="0.25">
      <c r="A195">
        <v>5240</v>
      </c>
      <c r="B195">
        <v>23690</v>
      </c>
      <c r="C195" s="6">
        <v>43140</v>
      </c>
      <c r="G195">
        <v>-2.4</v>
      </c>
      <c r="H195">
        <v>-6.3</v>
      </c>
      <c r="I195">
        <v>0</v>
      </c>
      <c r="J195">
        <v>1509.2</v>
      </c>
      <c r="K195">
        <v>390.6</v>
      </c>
      <c r="M195">
        <v>0.4</v>
      </c>
      <c r="N195">
        <v>0.1</v>
      </c>
      <c r="O195">
        <f t="shared" si="17"/>
        <v>0.30000000000000004</v>
      </c>
      <c r="Q195">
        <v>166</v>
      </c>
      <c r="R195">
        <v>1</v>
      </c>
      <c r="S195">
        <f t="shared" si="18"/>
        <v>0.1</v>
      </c>
      <c r="T195">
        <f t="shared" si="19"/>
        <v>0.30000000000000004</v>
      </c>
      <c r="U195">
        <f t="shared" si="22"/>
        <v>218.1</v>
      </c>
      <c r="W195">
        <v>125.3</v>
      </c>
      <c r="X195">
        <f t="shared" si="23"/>
        <v>12772.6</v>
      </c>
      <c r="Y195">
        <v>9.6278179153499952</v>
      </c>
    </row>
    <row r="196" spans="1:25" x14ac:dyDescent="0.25">
      <c r="A196">
        <v>5240</v>
      </c>
      <c r="B196">
        <v>23690</v>
      </c>
      <c r="C196" s="6">
        <v>43141</v>
      </c>
      <c r="G196">
        <v>-0.3</v>
      </c>
      <c r="H196">
        <v>-6.3</v>
      </c>
      <c r="I196">
        <v>3.9</v>
      </c>
      <c r="J196">
        <v>1509.2</v>
      </c>
      <c r="K196">
        <v>390.6</v>
      </c>
      <c r="M196">
        <v>2.2000000000000002</v>
      </c>
      <c r="N196">
        <v>0.6</v>
      </c>
      <c r="O196">
        <f t="shared" si="17"/>
        <v>1.6</v>
      </c>
      <c r="Q196">
        <v>167</v>
      </c>
      <c r="R196">
        <v>1</v>
      </c>
      <c r="S196">
        <f t="shared" si="18"/>
        <v>0.6</v>
      </c>
      <c r="T196">
        <f t="shared" si="19"/>
        <v>1.6</v>
      </c>
      <c r="U196">
        <f t="shared" si="22"/>
        <v>218.9</v>
      </c>
      <c r="W196">
        <v>820.7</v>
      </c>
      <c r="X196">
        <f t="shared" si="23"/>
        <v>13593.300000000001</v>
      </c>
      <c r="Y196">
        <v>9.6799867053571695</v>
      </c>
    </row>
    <row r="197" spans="1:25" x14ac:dyDescent="0.25">
      <c r="A197">
        <v>5240</v>
      </c>
      <c r="B197">
        <v>23690</v>
      </c>
      <c r="C197" s="6">
        <v>43142</v>
      </c>
      <c r="G197">
        <v>3.6</v>
      </c>
      <c r="H197">
        <v>2.2000000000000002</v>
      </c>
      <c r="I197">
        <v>6.5</v>
      </c>
      <c r="J197">
        <f t="shared" si="20"/>
        <v>1512.8</v>
      </c>
      <c r="K197">
        <f t="shared" si="21"/>
        <v>394.20000000000005</v>
      </c>
      <c r="M197">
        <v>1</v>
      </c>
      <c r="N197">
        <v>0.9</v>
      </c>
      <c r="O197">
        <f t="shared" ref="O197:O260" si="24">M197-N197</f>
        <v>9.9999999999999978E-2</v>
      </c>
      <c r="Q197">
        <v>168</v>
      </c>
      <c r="R197">
        <v>1</v>
      </c>
      <c r="S197">
        <f t="shared" ref="S197:S260" si="25">R197*N197</f>
        <v>0.9</v>
      </c>
      <c r="T197">
        <f t="shared" ref="T197:T260" si="26">M197-S197</f>
        <v>9.9999999999999978E-2</v>
      </c>
      <c r="U197">
        <f t="shared" si="22"/>
        <v>218.9</v>
      </c>
      <c r="W197">
        <v>682.8</v>
      </c>
      <c r="X197">
        <f t="shared" si="23"/>
        <v>14276.1</v>
      </c>
      <c r="Y197">
        <v>9.7326335665637558</v>
      </c>
    </row>
    <row r="198" spans="1:25" x14ac:dyDescent="0.25">
      <c r="A198">
        <v>5240</v>
      </c>
      <c r="B198">
        <v>23690</v>
      </c>
      <c r="C198" s="6">
        <v>43143</v>
      </c>
      <c r="G198">
        <v>1.8</v>
      </c>
      <c r="H198">
        <v>-0.8</v>
      </c>
      <c r="I198">
        <v>4.9000000000000004</v>
      </c>
      <c r="J198">
        <f t="shared" si="20"/>
        <v>1514.6</v>
      </c>
      <c r="K198">
        <f t="shared" si="21"/>
        <v>396.00000000000006</v>
      </c>
      <c r="M198">
        <v>0</v>
      </c>
      <c r="N198">
        <v>0.9</v>
      </c>
      <c r="O198">
        <f t="shared" si="24"/>
        <v>-0.9</v>
      </c>
      <c r="Q198">
        <v>169</v>
      </c>
      <c r="R198">
        <v>1</v>
      </c>
      <c r="S198">
        <f t="shared" si="25"/>
        <v>0.9</v>
      </c>
      <c r="T198">
        <f t="shared" si="26"/>
        <v>-0.9</v>
      </c>
      <c r="U198">
        <f t="shared" si="22"/>
        <v>218</v>
      </c>
      <c r="W198">
        <v>1050.4000000000001</v>
      </c>
      <c r="X198">
        <f t="shared" si="23"/>
        <v>15326.5</v>
      </c>
      <c r="Y198">
        <v>9.7857398761995142</v>
      </c>
    </row>
    <row r="199" spans="1:25" x14ac:dyDescent="0.25">
      <c r="A199">
        <v>5240</v>
      </c>
      <c r="B199">
        <v>23690</v>
      </c>
      <c r="C199" s="6">
        <v>43144</v>
      </c>
      <c r="G199">
        <v>0.4</v>
      </c>
      <c r="H199">
        <v>-0.9</v>
      </c>
      <c r="I199">
        <v>1.9</v>
      </c>
      <c r="J199">
        <f t="shared" si="20"/>
        <v>1515</v>
      </c>
      <c r="K199">
        <f t="shared" si="21"/>
        <v>396.40000000000003</v>
      </c>
      <c r="M199">
        <v>0.7</v>
      </c>
      <c r="N199">
        <v>0.4</v>
      </c>
      <c r="O199">
        <f t="shared" si="24"/>
        <v>0.29999999999999993</v>
      </c>
      <c r="Q199">
        <v>170</v>
      </c>
      <c r="R199">
        <v>1</v>
      </c>
      <c r="S199">
        <f t="shared" si="25"/>
        <v>0.4</v>
      </c>
      <c r="T199">
        <f t="shared" si="26"/>
        <v>0.29999999999999993</v>
      </c>
      <c r="U199">
        <f t="shared" si="22"/>
        <v>218.3</v>
      </c>
      <c r="W199">
        <v>384.3</v>
      </c>
      <c r="X199">
        <f t="shared" si="23"/>
        <v>15710.8</v>
      </c>
      <c r="Y199">
        <v>9.839287436745769</v>
      </c>
    </row>
    <row r="200" spans="1:25" x14ac:dyDescent="0.25">
      <c r="A200">
        <v>5240</v>
      </c>
      <c r="B200">
        <v>23690</v>
      </c>
      <c r="C200" s="6">
        <v>43145</v>
      </c>
      <c r="G200">
        <v>1.4</v>
      </c>
      <c r="H200">
        <v>-2.2999999999999998</v>
      </c>
      <c r="I200">
        <v>7.8</v>
      </c>
      <c r="J200">
        <f t="shared" si="20"/>
        <v>1516.4</v>
      </c>
      <c r="K200">
        <f t="shared" si="21"/>
        <v>397.8</v>
      </c>
      <c r="M200">
        <v>5.0999999999999996</v>
      </c>
      <c r="N200">
        <v>0.6</v>
      </c>
      <c r="O200">
        <f t="shared" si="24"/>
        <v>4.5</v>
      </c>
      <c r="Q200">
        <v>171</v>
      </c>
      <c r="R200">
        <v>1</v>
      </c>
      <c r="S200">
        <f t="shared" si="25"/>
        <v>0.6</v>
      </c>
      <c r="T200">
        <f t="shared" si="26"/>
        <v>4.5</v>
      </c>
      <c r="U200">
        <f t="shared" si="22"/>
        <v>218.9</v>
      </c>
      <c r="W200">
        <v>226.1</v>
      </c>
      <c r="X200">
        <f t="shared" si="23"/>
        <v>15936.9</v>
      </c>
      <c r="Y200">
        <v>9.8932584774485353</v>
      </c>
    </row>
    <row r="201" spans="1:25" x14ac:dyDescent="0.25">
      <c r="A201">
        <v>5240</v>
      </c>
      <c r="B201">
        <v>23690</v>
      </c>
      <c r="C201" s="6">
        <v>43146</v>
      </c>
      <c r="G201">
        <v>8</v>
      </c>
      <c r="H201">
        <v>3.8</v>
      </c>
      <c r="I201">
        <v>11.4</v>
      </c>
      <c r="J201">
        <f t="shared" si="20"/>
        <v>1524.4</v>
      </c>
      <c r="K201">
        <f t="shared" si="21"/>
        <v>405.8</v>
      </c>
      <c r="M201">
        <v>3.2</v>
      </c>
      <c r="N201">
        <v>0.2</v>
      </c>
      <c r="O201">
        <f t="shared" si="24"/>
        <v>3</v>
      </c>
      <c r="Q201">
        <v>172</v>
      </c>
      <c r="R201">
        <v>1</v>
      </c>
      <c r="S201">
        <f t="shared" si="25"/>
        <v>0.2</v>
      </c>
      <c r="T201">
        <f t="shared" si="26"/>
        <v>3</v>
      </c>
      <c r="U201">
        <f t="shared" si="22"/>
        <v>218.9</v>
      </c>
      <c r="W201">
        <v>148.69999999999999</v>
      </c>
      <c r="X201">
        <f t="shared" si="23"/>
        <v>16085.6</v>
      </c>
      <c r="Y201">
        <v>9.9476356545290674</v>
      </c>
    </row>
    <row r="202" spans="1:25" x14ac:dyDescent="0.25">
      <c r="A202">
        <v>5240</v>
      </c>
      <c r="B202">
        <v>23690</v>
      </c>
      <c r="C202" s="6">
        <v>43147</v>
      </c>
      <c r="G202">
        <v>4.3</v>
      </c>
      <c r="H202">
        <v>-0.5</v>
      </c>
      <c r="I202">
        <v>7.6</v>
      </c>
      <c r="J202">
        <f t="shared" si="20"/>
        <v>1528.7</v>
      </c>
      <c r="K202">
        <f t="shared" si="21"/>
        <v>410.1</v>
      </c>
      <c r="M202">
        <v>2.7</v>
      </c>
      <c r="N202">
        <v>0.6</v>
      </c>
      <c r="O202">
        <f t="shared" si="24"/>
        <v>2.1</v>
      </c>
      <c r="Q202">
        <v>173</v>
      </c>
      <c r="R202">
        <v>1</v>
      </c>
      <c r="S202">
        <f t="shared" si="25"/>
        <v>0.6</v>
      </c>
      <c r="T202">
        <f t="shared" si="26"/>
        <v>2.1</v>
      </c>
      <c r="U202">
        <f t="shared" si="22"/>
        <v>218.9</v>
      </c>
      <c r="W202">
        <v>785.1</v>
      </c>
      <c r="X202">
        <f t="shared" si="23"/>
        <v>16870.7</v>
      </c>
      <c r="Y202">
        <v>10.002402050162992</v>
      </c>
    </row>
    <row r="203" spans="1:25" x14ac:dyDescent="0.25">
      <c r="A203">
        <v>5240</v>
      </c>
      <c r="B203">
        <v>23690</v>
      </c>
      <c r="C203" s="6">
        <v>43148</v>
      </c>
      <c r="G203">
        <v>3.9</v>
      </c>
      <c r="H203">
        <v>3.5</v>
      </c>
      <c r="I203">
        <v>6.2</v>
      </c>
      <c r="J203">
        <f t="shared" si="20"/>
        <v>1532.6000000000001</v>
      </c>
      <c r="K203">
        <f t="shared" si="21"/>
        <v>414</v>
      </c>
      <c r="M203">
        <v>0.9</v>
      </c>
      <c r="N203">
        <v>0.5</v>
      </c>
      <c r="O203">
        <f t="shared" si="24"/>
        <v>0.4</v>
      </c>
      <c r="Q203">
        <v>174</v>
      </c>
      <c r="R203">
        <v>1</v>
      </c>
      <c r="S203">
        <f t="shared" si="25"/>
        <v>0.5</v>
      </c>
      <c r="T203">
        <f t="shared" si="26"/>
        <v>0.4</v>
      </c>
      <c r="U203">
        <f t="shared" si="22"/>
        <v>218.9</v>
      </c>
      <c r="W203">
        <v>229.1</v>
      </c>
      <c r="X203">
        <f t="shared" si="23"/>
        <v>17099.8</v>
      </c>
      <c r="Y203">
        <v>10.057541170297934</v>
      </c>
    </row>
    <row r="204" spans="1:25" x14ac:dyDescent="0.25">
      <c r="A204">
        <v>5240</v>
      </c>
      <c r="B204">
        <v>23690</v>
      </c>
      <c r="C204" s="6">
        <v>43149</v>
      </c>
      <c r="G204">
        <v>2.2999999999999998</v>
      </c>
      <c r="H204">
        <v>-1.4</v>
      </c>
      <c r="I204">
        <v>6.6</v>
      </c>
      <c r="J204">
        <f t="shared" si="20"/>
        <v>1534.9</v>
      </c>
      <c r="K204">
        <f t="shared" si="21"/>
        <v>416.3</v>
      </c>
      <c r="M204">
        <v>0.1</v>
      </c>
      <c r="N204">
        <v>0.7</v>
      </c>
      <c r="O204">
        <f t="shared" si="24"/>
        <v>-0.6</v>
      </c>
      <c r="Q204">
        <v>175</v>
      </c>
      <c r="R204">
        <v>1</v>
      </c>
      <c r="S204">
        <f t="shared" si="25"/>
        <v>0.7</v>
      </c>
      <c r="T204">
        <f t="shared" si="26"/>
        <v>-0.6</v>
      </c>
      <c r="U204">
        <f t="shared" si="22"/>
        <v>218.3</v>
      </c>
      <c r="W204">
        <v>667.6</v>
      </c>
      <c r="X204">
        <f t="shared" si="23"/>
        <v>17767.399999999998</v>
      </c>
      <c r="Y204">
        <v>10.113036941377972</v>
      </c>
    </row>
    <row r="205" spans="1:25" x14ac:dyDescent="0.25">
      <c r="A205">
        <v>5240</v>
      </c>
      <c r="B205">
        <v>23690</v>
      </c>
      <c r="C205" s="6">
        <v>43150</v>
      </c>
      <c r="G205">
        <v>4.8</v>
      </c>
      <c r="H205">
        <v>0.7</v>
      </c>
      <c r="I205">
        <v>7.7</v>
      </c>
      <c r="J205">
        <f t="shared" si="20"/>
        <v>1539.7</v>
      </c>
      <c r="K205">
        <f t="shared" si="21"/>
        <v>421.1</v>
      </c>
      <c r="M205">
        <v>5.7</v>
      </c>
      <c r="N205">
        <v>0.2</v>
      </c>
      <c r="O205">
        <f t="shared" si="24"/>
        <v>5.5</v>
      </c>
      <c r="Q205">
        <v>176</v>
      </c>
      <c r="R205">
        <v>1</v>
      </c>
      <c r="S205">
        <f t="shared" si="25"/>
        <v>0.2</v>
      </c>
      <c r="T205">
        <f t="shared" si="26"/>
        <v>5.5</v>
      </c>
      <c r="U205">
        <f t="shared" si="22"/>
        <v>218.9</v>
      </c>
      <c r="W205">
        <v>130.5</v>
      </c>
      <c r="X205">
        <f t="shared" si="23"/>
        <v>17897.899999999998</v>
      </c>
      <c r="Y205">
        <v>10.168873706041612</v>
      </c>
    </row>
    <row r="206" spans="1:25" x14ac:dyDescent="0.25">
      <c r="A206">
        <v>5240</v>
      </c>
      <c r="B206">
        <v>23690</v>
      </c>
      <c r="C206" s="6">
        <v>43151</v>
      </c>
      <c r="G206">
        <v>5.3</v>
      </c>
      <c r="H206">
        <v>5.2</v>
      </c>
      <c r="I206">
        <v>5.8</v>
      </c>
      <c r="J206">
        <f t="shared" si="20"/>
        <v>1545</v>
      </c>
      <c r="K206">
        <f t="shared" si="21"/>
        <v>426.40000000000003</v>
      </c>
      <c r="M206">
        <v>4.2</v>
      </c>
      <c r="N206">
        <v>0.2</v>
      </c>
      <c r="O206">
        <f t="shared" si="24"/>
        <v>4</v>
      </c>
      <c r="Q206">
        <v>177</v>
      </c>
      <c r="R206">
        <v>1</v>
      </c>
      <c r="S206">
        <f t="shared" si="25"/>
        <v>0.2</v>
      </c>
      <c r="T206">
        <f t="shared" si="26"/>
        <v>4</v>
      </c>
      <c r="U206">
        <f t="shared" si="22"/>
        <v>218.9</v>
      </c>
      <c r="W206">
        <v>156.80000000000001</v>
      </c>
      <c r="X206">
        <f t="shared" si="23"/>
        <v>18054.699999999997</v>
      </c>
      <c r="Y206">
        <v>10.225036217857912</v>
      </c>
    </row>
    <row r="207" spans="1:25" x14ac:dyDescent="0.25">
      <c r="A207">
        <v>5240</v>
      </c>
      <c r="B207">
        <v>23690</v>
      </c>
      <c r="C207" s="6">
        <v>43152</v>
      </c>
      <c r="G207">
        <v>1.5</v>
      </c>
      <c r="H207">
        <v>0</v>
      </c>
      <c r="I207">
        <v>3.3</v>
      </c>
      <c r="J207">
        <f t="shared" si="20"/>
        <v>1546.5</v>
      </c>
      <c r="K207">
        <f t="shared" si="21"/>
        <v>427.90000000000003</v>
      </c>
      <c r="M207">
        <v>0</v>
      </c>
      <c r="N207">
        <v>0.8</v>
      </c>
      <c r="O207">
        <f t="shared" si="24"/>
        <v>-0.8</v>
      </c>
      <c r="Q207">
        <v>178</v>
      </c>
      <c r="R207">
        <v>1</v>
      </c>
      <c r="S207">
        <f t="shared" si="25"/>
        <v>0.8</v>
      </c>
      <c r="T207">
        <f t="shared" si="26"/>
        <v>-0.8</v>
      </c>
      <c r="U207">
        <f t="shared" si="22"/>
        <v>218.1</v>
      </c>
      <c r="W207">
        <v>949.9</v>
      </c>
      <c r="X207">
        <f t="shared" si="23"/>
        <v>19004.599999999999</v>
      </c>
      <c r="Y207">
        <v>10.281509635163324</v>
      </c>
    </row>
    <row r="208" spans="1:25" x14ac:dyDescent="0.25">
      <c r="A208">
        <v>5240</v>
      </c>
      <c r="B208">
        <v>23690</v>
      </c>
      <c r="C208" s="6">
        <v>43153</v>
      </c>
      <c r="G208">
        <v>0.2</v>
      </c>
      <c r="H208">
        <v>-2</v>
      </c>
      <c r="I208">
        <v>2.2999999999999998</v>
      </c>
      <c r="J208">
        <f t="shared" si="20"/>
        <v>1546.7</v>
      </c>
      <c r="K208">
        <f t="shared" si="21"/>
        <v>428.1</v>
      </c>
      <c r="M208">
        <v>0</v>
      </c>
      <c r="N208">
        <v>0.9</v>
      </c>
      <c r="O208">
        <f t="shared" si="24"/>
        <v>-0.9</v>
      </c>
      <c r="Q208">
        <v>179</v>
      </c>
      <c r="R208">
        <v>1</v>
      </c>
      <c r="S208">
        <f t="shared" si="25"/>
        <v>0.9</v>
      </c>
      <c r="T208">
        <f t="shared" si="26"/>
        <v>-0.9</v>
      </c>
      <c r="U208">
        <f t="shared" si="22"/>
        <v>217.2</v>
      </c>
      <c r="W208">
        <v>1198.4000000000001</v>
      </c>
      <c r="X208">
        <f t="shared" si="23"/>
        <v>20203</v>
      </c>
      <c r="Y208">
        <v>10.338279514059474</v>
      </c>
    </row>
    <row r="209" spans="1:27" x14ac:dyDescent="0.25">
      <c r="A209">
        <v>5240</v>
      </c>
      <c r="B209">
        <v>23690</v>
      </c>
      <c r="C209" s="6">
        <v>43154</v>
      </c>
      <c r="G209">
        <v>0</v>
      </c>
      <c r="H209">
        <v>-2.7</v>
      </c>
      <c r="I209">
        <v>2.2999999999999998</v>
      </c>
      <c r="J209">
        <f t="shared" si="20"/>
        <v>1546.7</v>
      </c>
      <c r="K209">
        <f t="shared" si="21"/>
        <v>428.1</v>
      </c>
      <c r="M209">
        <v>0</v>
      </c>
      <c r="N209">
        <v>1.2</v>
      </c>
      <c r="O209">
        <f t="shared" si="24"/>
        <v>-1.2</v>
      </c>
      <c r="Q209">
        <v>180</v>
      </c>
      <c r="R209">
        <v>1</v>
      </c>
      <c r="S209">
        <f t="shared" si="25"/>
        <v>1.2</v>
      </c>
      <c r="T209">
        <f t="shared" si="26"/>
        <v>-1.2</v>
      </c>
      <c r="U209">
        <f t="shared" si="22"/>
        <v>216</v>
      </c>
      <c r="W209">
        <v>1300.4000000000001</v>
      </c>
      <c r="X209">
        <f t="shared" si="23"/>
        <v>21503.4</v>
      </c>
      <c r="Y209">
        <v>10.395331800629794</v>
      </c>
    </row>
    <row r="210" spans="1:27" x14ac:dyDescent="0.25">
      <c r="A210">
        <v>5240</v>
      </c>
      <c r="B210">
        <v>23690</v>
      </c>
      <c r="C210" s="6">
        <v>43155</v>
      </c>
      <c r="G210">
        <v>0.5</v>
      </c>
      <c r="H210">
        <v>-2.6</v>
      </c>
      <c r="I210">
        <v>2.2999999999999998</v>
      </c>
      <c r="J210">
        <f t="shared" si="20"/>
        <v>1547.2</v>
      </c>
      <c r="K210">
        <f t="shared" si="21"/>
        <v>428.6</v>
      </c>
      <c r="M210">
        <v>0</v>
      </c>
      <c r="N210">
        <v>1.2</v>
      </c>
      <c r="O210">
        <f t="shared" si="24"/>
        <v>-1.2</v>
      </c>
      <c r="Q210">
        <v>181</v>
      </c>
      <c r="R210">
        <v>1</v>
      </c>
      <c r="S210">
        <f t="shared" si="25"/>
        <v>1.2</v>
      </c>
      <c r="T210">
        <f t="shared" si="26"/>
        <v>-1.2</v>
      </c>
      <c r="U210">
        <f t="shared" si="22"/>
        <v>214.8</v>
      </c>
      <c r="W210">
        <v>1294.5999999999999</v>
      </c>
      <c r="X210">
        <f t="shared" si="23"/>
        <v>22798</v>
      </c>
      <c r="Y210">
        <v>10.452652822430414</v>
      </c>
    </row>
    <row r="211" spans="1:27" x14ac:dyDescent="0.25">
      <c r="A211">
        <v>5240</v>
      </c>
      <c r="B211">
        <v>23690</v>
      </c>
      <c r="C211" s="6">
        <v>43156</v>
      </c>
      <c r="G211">
        <v>-0.4</v>
      </c>
      <c r="H211">
        <v>-2.4</v>
      </c>
      <c r="I211">
        <v>1.6</v>
      </c>
      <c r="J211">
        <v>1547.2</v>
      </c>
      <c r="K211">
        <v>428.6</v>
      </c>
      <c r="M211">
        <v>0</v>
      </c>
      <c r="N211">
        <v>1.6</v>
      </c>
      <c r="O211">
        <f t="shared" si="24"/>
        <v>-1.6</v>
      </c>
      <c r="Q211">
        <v>182</v>
      </c>
      <c r="R211">
        <v>1</v>
      </c>
      <c r="S211">
        <f t="shared" si="25"/>
        <v>1.6</v>
      </c>
      <c r="T211">
        <f t="shared" si="26"/>
        <v>-1.6</v>
      </c>
      <c r="U211">
        <f t="shared" si="22"/>
        <v>213.20000000000002</v>
      </c>
      <c r="W211">
        <v>1450.8</v>
      </c>
      <c r="X211">
        <f t="shared" si="23"/>
        <v>24248.799999999999</v>
      </c>
      <c r="Y211">
        <v>10.510229279308223</v>
      </c>
    </row>
    <row r="212" spans="1:27" x14ac:dyDescent="0.25">
      <c r="A212">
        <v>5240</v>
      </c>
      <c r="B212">
        <v>23690</v>
      </c>
      <c r="C212" s="6">
        <v>43157</v>
      </c>
      <c r="G212">
        <v>-3.3</v>
      </c>
      <c r="H212">
        <v>-5.0999999999999996</v>
      </c>
      <c r="I212">
        <v>-1.3</v>
      </c>
      <c r="J212">
        <v>1547.2</v>
      </c>
      <c r="K212">
        <v>428.6</v>
      </c>
      <c r="M212">
        <v>0</v>
      </c>
      <c r="N212">
        <v>1.3</v>
      </c>
      <c r="O212">
        <f t="shared" si="24"/>
        <v>-1.3</v>
      </c>
      <c r="Q212">
        <v>183</v>
      </c>
      <c r="R212">
        <v>1</v>
      </c>
      <c r="S212">
        <f t="shared" si="25"/>
        <v>1.3</v>
      </c>
      <c r="T212">
        <f t="shared" si="26"/>
        <v>-1.3</v>
      </c>
      <c r="U212">
        <f t="shared" si="22"/>
        <v>211.9</v>
      </c>
      <c r="W212">
        <v>1387.4</v>
      </c>
      <c r="X212">
        <f t="shared" si="23"/>
        <v>25636.2</v>
      </c>
      <c r="Y212">
        <v>10.568048233596462</v>
      </c>
    </row>
    <row r="213" spans="1:27" x14ac:dyDescent="0.25">
      <c r="A213">
        <v>5240</v>
      </c>
      <c r="B213">
        <v>23690</v>
      </c>
      <c r="C213" s="6">
        <v>43158</v>
      </c>
      <c r="G213">
        <v>-5.5</v>
      </c>
      <c r="H213">
        <v>-7.1</v>
      </c>
      <c r="I213">
        <v>-3.9</v>
      </c>
      <c r="J213">
        <v>1547.2</v>
      </c>
      <c r="K213">
        <v>428.6</v>
      </c>
      <c r="M213">
        <v>0</v>
      </c>
      <c r="N213">
        <v>0.8</v>
      </c>
      <c r="O213">
        <f t="shared" si="24"/>
        <v>-0.8</v>
      </c>
      <c r="Q213">
        <v>184</v>
      </c>
      <c r="R213">
        <v>1</v>
      </c>
      <c r="S213">
        <f t="shared" si="25"/>
        <v>0.8</v>
      </c>
      <c r="T213">
        <f t="shared" si="26"/>
        <v>-0.8</v>
      </c>
      <c r="U213">
        <f t="shared" si="22"/>
        <v>211.1</v>
      </c>
      <c r="W213">
        <v>1369.9</v>
      </c>
      <c r="X213">
        <f t="shared" si="23"/>
        <v>27006.100000000002</v>
      </c>
      <c r="Y213">
        <v>10.626097099735683</v>
      </c>
    </row>
    <row r="214" spans="1:27" x14ac:dyDescent="0.25">
      <c r="A214">
        <v>5240</v>
      </c>
      <c r="B214">
        <v>23690</v>
      </c>
      <c r="C214" s="6">
        <v>43159</v>
      </c>
      <c r="G214">
        <v>-4.9000000000000004</v>
      </c>
      <c r="H214">
        <v>-8.6999999999999993</v>
      </c>
      <c r="I214">
        <v>-2.5</v>
      </c>
      <c r="J214">
        <v>1547.2</v>
      </c>
      <c r="K214">
        <v>428.6</v>
      </c>
      <c r="M214">
        <v>0</v>
      </c>
      <c r="N214">
        <v>1.1000000000000001</v>
      </c>
      <c r="O214">
        <f t="shared" si="24"/>
        <v>-1.1000000000000001</v>
      </c>
      <c r="Q214">
        <v>185</v>
      </c>
      <c r="R214">
        <v>1</v>
      </c>
      <c r="S214">
        <f t="shared" si="25"/>
        <v>1.1000000000000001</v>
      </c>
      <c r="T214">
        <f t="shared" si="26"/>
        <v>-1.1000000000000001</v>
      </c>
      <c r="U214">
        <f t="shared" si="22"/>
        <v>210</v>
      </c>
      <c r="W214">
        <v>1126.2</v>
      </c>
      <c r="X214">
        <f t="shared" si="23"/>
        <v>28132.300000000003</v>
      </c>
      <c r="Y214">
        <v>10.684363633365338</v>
      </c>
    </row>
    <row r="215" spans="1:27" x14ac:dyDescent="0.25">
      <c r="A215">
        <v>5240</v>
      </c>
      <c r="B215">
        <v>23690</v>
      </c>
      <c r="C215" s="6">
        <v>43160</v>
      </c>
      <c r="G215">
        <v>-0.9</v>
      </c>
      <c r="H215">
        <v>-4.2</v>
      </c>
      <c r="I215">
        <v>1.6</v>
      </c>
      <c r="J215">
        <v>1547.2</v>
      </c>
      <c r="K215">
        <v>428.6</v>
      </c>
      <c r="M215">
        <v>1.3</v>
      </c>
      <c r="N215">
        <v>0.5</v>
      </c>
      <c r="O215">
        <f t="shared" si="24"/>
        <v>0.8</v>
      </c>
      <c r="Q215">
        <v>186</v>
      </c>
      <c r="R215">
        <v>1</v>
      </c>
      <c r="S215">
        <f t="shared" si="25"/>
        <v>0.5</v>
      </c>
      <c r="T215">
        <f t="shared" si="26"/>
        <v>0.8</v>
      </c>
      <c r="U215">
        <f t="shared" si="22"/>
        <v>210.8</v>
      </c>
      <c r="W215">
        <v>214.4</v>
      </c>
      <c r="X215">
        <f t="shared" si="23"/>
        <v>28346.700000000004</v>
      </c>
      <c r="Y215">
        <v>10.742835919928769</v>
      </c>
    </row>
    <row r="216" spans="1:27" x14ac:dyDescent="0.25">
      <c r="A216">
        <v>5240</v>
      </c>
      <c r="B216">
        <v>23690</v>
      </c>
      <c r="C216" s="6">
        <v>43161</v>
      </c>
      <c r="G216">
        <v>3.3</v>
      </c>
      <c r="H216">
        <v>0.7</v>
      </c>
      <c r="I216">
        <v>7.1</v>
      </c>
      <c r="J216">
        <f t="shared" si="20"/>
        <v>1550.5</v>
      </c>
      <c r="K216">
        <f t="shared" si="21"/>
        <v>431.90000000000003</v>
      </c>
      <c r="M216">
        <v>1</v>
      </c>
      <c r="N216">
        <v>0.6</v>
      </c>
      <c r="O216">
        <f t="shared" si="24"/>
        <v>0.4</v>
      </c>
      <c r="Q216">
        <v>187</v>
      </c>
      <c r="R216">
        <v>1</v>
      </c>
      <c r="S216">
        <f t="shared" si="25"/>
        <v>0.6</v>
      </c>
      <c r="T216">
        <f t="shared" si="26"/>
        <v>0.4</v>
      </c>
      <c r="U216">
        <f t="shared" si="22"/>
        <v>211.20000000000002</v>
      </c>
      <c r="W216">
        <v>303.2</v>
      </c>
      <c r="X216">
        <f t="shared" si="23"/>
        <v>28649.900000000005</v>
      </c>
      <c r="Y216">
        <v>10.801502362831869</v>
      </c>
    </row>
    <row r="217" spans="1:27" x14ac:dyDescent="0.25">
      <c r="A217">
        <v>5240</v>
      </c>
      <c r="B217">
        <v>23690</v>
      </c>
      <c r="C217" s="6">
        <v>43162</v>
      </c>
      <c r="G217">
        <v>4.5</v>
      </c>
      <c r="H217">
        <v>0.2</v>
      </c>
      <c r="I217">
        <v>7.3</v>
      </c>
      <c r="J217">
        <f t="shared" si="20"/>
        <v>1555</v>
      </c>
      <c r="K217">
        <f t="shared" si="21"/>
        <v>436.40000000000003</v>
      </c>
      <c r="M217">
        <v>2.2999999999999998</v>
      </c>
      <c r="N217">
        <v>0.2</v>
      </c>
      <c r="O217">
        <f t="shared" si="24"/>
        <v>2.0999999999999996</v>
      </c>
      <c r="Q217">
        <v>188</v>
      </c>
      <c r="R217">
        <v>1</v>
      </c>
      <c r="S217">
        <f t="shared" si="25"/>
        <v>0.2</v>
      </c>
      <c r="T217">
        <f t="shared" si="26"/>
        <v>2.0999999999999996</v>
      </c>
      <c r="U217">
        <f t="shared" si="22"/>
        <v>213.3</v>
      </c>
      <c r="W217">
        <v>274.5</v>
      </c>
      <c r="X217">
        <f t="shared" si="23"/>
        <v>28924.400000000005</v>
      </c>
      <c r="Y217">
        <v>10.860351671193323</v>
      </c>
    </row>
    <row r="218" spans="1:27" s="7" customFormat="1" ht="15.75" thickBot="1" x14ac:dyDescent="0.3">
      <c r="A218" s="7">
        <v>5240</v>
      </c>
      <c r="B218" s="7">
        <v>23690</v>
      </c>
      <c r="C218" s="8">
        <v>43163</v>
      </c>
      <c r="D218" s="7" t="s">
        <v>29</v>
      </c>
      <c r="G218" s="7">
        <v>4.7</v>
      </c>
      <c r="H218" s="7">
        <v>2.4</v>
      </c>
      <c r="I218" s="7">
        <v>5.8</v>
      </c>
      <c r="J218" s="7">
        <f t="shared" si="20"/>
        <v>1559.7</v>
      </c>
      <c r="K218" s="7">
        <f t="shared" si="21"/>
        <v>441.1</v>
      </c>
      <c r="M218" s="7">
        <v>13.5</v>
      </c>
      <c r="N218" s="7">
        <v>0.2</v>
      </c>
      <c r="O218" s="7">
        <f t="shared" si="24"/>
        <v>13.3</v>
      </c>
      <c r="Q218" s="7">
        <v>189</v>
      </c>
      <c r="R218" s="7">
        <v>1</v>
      </c>
      <c r="S218" s="7">
        <f t="shared" si="25"/>
        <v>0.2</v>
      </c>
      <c r="T218" s="7">
        <f t="shared" si="26"/>
        <v>13.3</v>
      </c>
      <c r="U218" s="7">
        <f t="shared" si="22"/>
        <v>218.9</v>
      </c>
      <c r="W218" s="7">
        <v>195.8</v>
      </c>
      <c r="X218" s="7">
        <f t="shared" si="23"/>
        <v>29120.200000000004</v>
      </c>
      <c r="Y218" s="7">
        <v>10.91937284722189</v>
      </c>
    </row>
    <row r="219" spans="1:27" x14ac:dyDescent="0.25">
      <c r="A219">
        <v>5240</v>
      </c>
      <c r="B219">
        <v>23690</v>
      </c>
      <c r="C219" s="6">
        <v>43164</v>
      </c>
      <c r="G219">
        <v>7.3</v>
      </c>
      <c r="H219">
        <v>3.2</v>
      </c>
      <c r="I219">
        <v>10.9</v>
      </c>
      <c r="J219">
        <f t="shared" si="20"/>
        <v>1567</v>
      </c>
      <c r="K219">
        <f>G219</f>
        <v>7.3</v>
      </c>
      <c r="L219" s="16" t="s">
        <v>37</v>
      </c>
      <c r="M219">
        <v>0</v>
      </c>
      <c r="N219">
        <v>0.4</v>
      </c>
      <c r="O219">
        <f t="shared" si="24"/>
        <v>-0.4</v>
      </c>
      <c r="Q219">
        <v>190</v>
      </c>
      <c r="R219">
        <f>1+((Q219-189)/34)*(1.15-1)</f>
        <v>1.0044117647058823</v>
      </c>
      <c r="S219">
        <f t="shared" si="25"/>
        <v>0.40176470588235297</v>
      </c>
      <c r="T219">
        <f t="shared" si="26"/>
        <v>-0.40176470588235297</v>
      </c>
      <c r="U219">
        <f t="shared" si="22"/>
        <v>218.49823529411765</v>
      </c>
      <c r="V219" s="17" t="s">
        <v>44</v>
      </c>
      <c r="W219">
        <v>333.2</v>
      </c>
      <c r="X219">
        <f>W219</f>
        <v>333.2</v>
      </c>
      <c r="Y219">
        <v>10.978555173253991</v>
      </c>
      <c r="Z219" s="17" t="s">
        <v>49</v>
      </c>
      <c r="AA219" s="3" t="s">
        <v>54</v>
      </c>
    </row>
    <row r="220" spans="1:27" x14ac:dyDescent="0.25">
      <c r="A220">
        <v>5240</v>
      </c>
      <c r="B220">
        <v>23690</v>
      </c>
      <c r="C220" s="6">
        <v>43165</v>
      </c>
      <c r="G220">
        <v>6.5</v>
      </c>
      <c r="H220">
        <v>4.9000000000000004</v>
      </c>
      <c r="I220">
        <v>9.1</v>
      </c>
      <c r="J220">
        <f t="shared" si="20"/>
        <v>1573.5</v>
      </c>
      <c r="K220">
        <f t="shared" si="21"/>
        <v>13.8</v>
      </c>
      <c r="L220" s="10">
        <v>254.3</v>
      </c>
      <c r="M220" s="37">
        <v>4.8</v>
      </c>
      <c r="N220">
        <v>0.5</v>
      </c>
      <c r="O220">
        <f t="shared" si="24"/>
        <v>4.3</v>
      </c>
      <c r="Q220">
        <v>191</v>
      </c>
      <c r="R220">
        <f t="shared" ref="R220:R252" si="27">1+((Q220-189)/34)*(1.15-1)</f>
        <v>1.0088235294117647</v>
      </c>
      <c r="S220">
        <f t="shared" si="25"/>
        <v>0.50441176470588234</v>
      </c>
      <c r="T220">
        <f t="shared" si="26"/>
        <v>4.295588235294117</v>
      </c>
      <c r="U220">
        <f t="shared" si="22"/>
        <v>218.9</v>
      </c>
      <c r="V220">
        <v>0</v>
      </c>
      <c r="W220">
        <v>310.3</v>
      </c>
      <c r="X220">
        <f t="shared" si="23"/>
        <v>643.5</v>
      </c>
      <c r="Y220">
        <v>11.037888198482589</v>
      </c>
      <c r="Z220">
        <v>21681.200000000001</v>
      </c>
      <c r="AA220">
        <f>AVERAGE(U227:U240)</f>
        <v>216.54688025210083</v>
      </c>
    </row>
    <row r="221" spans="1:27" x14ac:dyDescent="0.25">
      <c r="A221">
        <v>5240</v>
      </c>
      <c r="B221">
        <v>23690</v>
      </c>
      <c r="C221" s="6">
        <v>43166</v>
      </c>
      <c r="G221">
        <v>5.6</v>
      </c>
      <c r="H221">
        <v>4.4000000000000004</v>
      </c>
      <c r="I221">
        <v>7.4</v>
      </c>
      <c r="J221">
        <f t="shared" si="20"/>
        <v>1579.1</v>
      </c>
      <c r="K221">
        <f t="shared" si="21"/>
        <v>19.399999999999999</v>
      </c>
      <c r="L221" s="16" t="s">
        <v>38</v>
      </c>
      <c r="M221" s="37">
        <v>2</v>
      </c>
      <c r="N221">
        <v>0.6</v>
      </c>
      <c r="O221">
        <f t="shared" si="24"/>
        <v>1.4</v>
      </c>
      <c r="Q221">
        <v>192</v>
      </c>
      <c r="R221">
        <f t="shared" si="27"/>
        <v>1.013235294117647</v>
      </c>
      <c r="S221">
        <f t="shared" si="25"/>
        <v>0.60794117647058821</v>
      </c>
      <c r="T221">
        <f t="shared" si="26"/>
        <v>1.3920588235294118</v>
      </c>
      <c r="U221">
        <f t="shared" si="22"/>
        <v>218.9</v>
      </c>
      <c r="V221" s="17" t="s">
        <v>45</v>
      </c>
      <c r="W221">
        <v>497.9</v>
      </c>
      <c r="X221">
        <f t="shared" si="23"/>
        <v>1141.4000000000001</v>
      </c>
      <c r="Y221">
        <v>11.097361725406321</v>
      </c>
      <c r="Z221" s="17" t="s">
        <v>50</v>
      </c>
      <c r="AA221" s="3" t="s">
        <v>55</v>
      </c>
    </row>
    <row r="222" spans="1:27" x14ac:dyDescent="0.25">
      <c r="A222">
        <v>5240</v>
      </c>
      <c r="B222">
        <v>23690</v>
      </c>
      <c r="C222" s="6">
        <v>43167</v>
      </c>
      <c r="G222">
        <v>6.4</v>
      </c>
      <c r="H222">
        <v>3.9</v>
      </c>
      <c r="I222">
        <v>9.4</v>
      </c>
      <c r="J222">
        <f t="shared" si="20"/>
        <v>1585.5</v>
      </c>
      <c r="K222">
        <f t="shared" si="21"/>
        <v>25.799999999999997</v>
      </c>
      <c r="L222" s="11">
        <f>AVERAGE(G219:G252)</f>
        <v>7.4794117647058815</v>
      </c>
      <c r="M222" s="37">
        <v>0.3</v>
      </c>
      <c r="N222">
        <v>0.5</v>
      </c>
      <c r="O222">
        <f t="shared" si="24"/>
        <v>-0.2</v>
      </c>
      <c r="Q222">
        <v>193</v>
      </c>
      <c r="R222">
        <f t="shared" si="27"/>
        <v>1.0176470588235293</v>
      </c>
      <c r="S222">
        <f t="shared" si="25"/>
        <v>0.50882352941176467</v>
      </c>
      <c r="T222">
        <f t="shared" si="26"/>
        <v>-0.20882352941176469</v>
      </c>
      <c r="U222">
        <f t="shared" si="22"/>
        <v>218.69117647058823</v>
      </c>
      <c r="V222">
        <v>0</v>
      </c>
      <c r="W222">
        <v>276.89999999999998</v>
      </c>
      <c r="X222">
        <f t="shared" si="23"/>
        <v>1418.3000000000002</v>
      </c>
      <c r="Y222">
        <v>11.156965796025707</v>
      </c>
      <c r="Z222">
        <f>(Z220/100)/L220</f>
        <v>0.8525835627211954</v>
      </c>
      <c r="AA222">
        <v>0</v>
      </c>
    </row>
    <row r="223" spans="1:27" x14ac:dyDescent="0.25">
      <c r="A223">
        <v>5240</v>
      </c>
      <c r="B223">
        <v>23690</v>
      </c>
      <c r="C223" s="6">
        <v>43168</v>
      </c>
      <c r="G223">
        <v>9.9</v>
      </c>
      <c r="H223">
        <v>5.2</v>
      </c>
      <c r="I223">
        <v>12.5</v>
      </c>
      <c r="J223">
        <f t="shared" si="20"/>
        <v>1595.4</v>
      </c>
      <c r="K223">
        <f t="shared" si="21"/>
        <v>35.699999999999996</v>
      </c>
      <c r="L223" s="16" t="s">
        <v>39</v>
      </c>
      <c r="M223" s="37">
        <v>3.5</v>
      </c>
      <c r="N223">
        <v>0.7</v>
      </c>
      <c r="O223">
        <f t="shared" si="24"/>
        <v>2.8</v>
      </c>
      <c r="Q223">
        <v>194</v>
      </c>
      <c r="R223">
        <f t="shared" si="27"/>
        <v>1.0220588235294117</v>
      </c>
      <c r="S223">
        <f t="shared" si="25"/>
        <v>0.71544117647058814</v>
      </c>
      <c r="T223">
        <f t="shared" si="26"/>
        <v>2.7845588235294119</v>
      </c>
      <c r="U223">
        <f t="shared" si="22"/>
        <v>218.9</v>
      </c>
      <c r="V223" s="17" t="s">
        <v>46</v>
      </c>
      <c r="W223">
        <v>688.3</v>
      </c>
      <c r="X223">
        <f t="shared" si="23"/>
        <v>2106.6000000000004</v>
      </c>
      <c r="Y223">
        <v>11.216690677811471</v>
      </c>
      <c r="Z223" s="17" t="s">
        <v>51</v>
      </c>
      <c r="AA223" s="3" t="s">
        <v>56</v>
      </c>
    </row>
    <row r="224" spans="1:27" x14ac:dyDescent="0.25">
      <c r="A224">
        <v>5240</v>
      </c>
      <c r="B224">
        <v>23690</v>
      </c>
      <c r="C224" s="6">
        <v>43169</v>
      </c>
      <c r="G224">
        <v>12.7</v>
      </c>
      <c r="H224">
        <v>10.1</v>
      </c>
      <c r="I224">
        <v>14.7</v>
      </c>
      <c r="J224">
        <f t="shared" ref="J224:J287" si="28">J223+G224</f>
        <v>1608.1000000000001</v>
      </c>
      <c r="K224">
        <f t="shared" ref="K224:K287" si="29">K223+G224</f>
        <v>48.399999999999991</v>
      </c>
      <c r="L224" s="12">
        <f>MIN(H219:H252)</f>
        <v>-1.9</v>
      </c>
      <c r="M224" s="37">
        <v>20.8</v>
      </c>
      <c r="N224">
        <v>0.4</v>
      </c>
      <c r="O224">
        <f t="shared" si="24"/>
        <v>20.400000000000002</v>
      </c>
      <c r="Q224">
        <v>195</v>
      </c>
      <c r="R224">
        <f t="shared" si="27"/>
        <v>1.026470588235294</v>
      </c>
      <c r="S224">
        <f t="shared" si="25"/>
        <v>0.41058823529411764</v>
      </c>
      <c r="T224">
        <f t="shared" si="26"/>
        <v>20.389411764705883</v>
      </c>
      <c r="U224">
        <f t="shared" ref="U224:U287" si="30">MIN(U223+T224,218.9)</f>
        <v>218.9</v>
      </c>
      <c r="V224" s="1">
        <f>MIN(U219:U252)</f>
        <v>213.20014705882355</v>
      </c>
      <c r="W224">
        <v>189.8</v>
      </c>
      <c r="X224">
        <f t="shared" ref="X224:X287" si="31">X223+W224</f>
        <v>2296.4000000000005</v>
      </c>
      <c r="Y224">
        <v>11.27652684946805</v>
      </c>
      <c r="Z224">
        <v>29</v>
      </c>
      <c r="AA224">
        <v>7</v>
      </c>
    </row>
    <row r="225" spans="1:28" x14ac:dyDescent="0.25">
      <c r="A225">
        <v>5240</v>
      </c>
      <c r="B225">
        <v>23690</v>
      </c>
      <c r="C225" s="6">
        <v>43170</v>
      </c>
      <c r="G225">
        <v>12.6</v>
      </c>
      <c r="H225">
        <v>10.199999999999999</v>
      </c>
      <c r="I225">
        <v>16.2</v>
      </c>
      <c r="J225">
        <f t="shared" si="28"/>
        <v>1620.7</v>
      </c>
      <c r="K225">
        <f t="shared" si="29"/>
        <v>60.999999999999993</v>
      </c>
      <c r="L225" s="16" t="s">
        <v>40</v>
      </c>
      <c r="M225" s="37">
        <v>0.3</v>
      </c>
      <c r="N225">
        <v>1.8</v>
      </c>
      <c r="O225">
        <f t="shared" si="24"/>
        <v>-1.5</v>
      </c>
      <c r="Q225">
        <v>196</v>
      </c>
      <c r="R225">
        <f t="shared" si="27"/>
        <v>1.0308823529411764</v>
      </c>
      <c r="S225">
        <f t="shared" si="25"/>
        <v>1.8555882352941175</v>
      </c>
      <c r="T225">
        <f t="shared" si="26"/>
        <v>-1.5555882352941175</v>
      </c>
      <c r="U225">
        <f t="shared" si="30"/>
        <v>217.34441176470588</v>
      </c>
      <c r="V225" s="17" t="s">
        <v>47</v>
      </c>
      <c r="W225">
        <v>835.2</v>
      </c>
      <c r="X225">
        <f t="shared" si="31"/>
        <v>3131.6000000000004</v>
      </c>
      <c r="Y225">
        <v>11.336464986513802</v>
      </c>
      <c r="AA225" s="3" t="s">
        <v>57</v>
      </c>
    </row>
    <row r="226" spans="1:28" x14ac:dyDescent="0.25">
      <c r="A226">
        <v>5240</v>
      </c>
      <c r="B226">
        <v>23690</v>
      </c>
      <c r="C226" s="6">
        <v>43171</v>
      </c>
      <c r="G226">
        <v>9.6999999999999993</v>
      </c>
      <c r="H226">
        <v>8.6</v>
      </c>
      <c r="I226">
        <v>11.6</v>
      </c>
      <c r="J226">
        <f t="shared" si="28"/>
        <v>1630.4</v>
      </c>
      <c r="K226">
        <f t="shared" si="29"/>
        <v>70.699999999999989</v>
      </c>
      <c r="L226" s="10">
        <f>MAX(I219:I252)</f>
        <v>16.399999999999999</v>
      </c>
      <c r="M226" s="37">
        <v>2.7</v>
      </c>
      <c r="N226">
        <v>1.1000000000000001</v>
      </c>
      <c r="O226">
        <f t="shared" si="24"/>
        <v>1.6</v>
      </c>
      <c r="Q226">
        <v>197</v>
      </c>
      <c r="R226">
        <f t="shared" si="27"/>
        <v>1.0352941176470587</v>
      </c>
      <c r="S226">
        <f t="shared" si="25"/>
        <v>1.1388235294117646</v>
      </c>
      <c r="T226">
        <f t="shared" si="26"/>
        <v>1.5611764705882356</v>
      </c>
      <c r="U226">
        <f t="shared" si="30"/>
        <v>218.9</v>
      </c>
      <c r="V226" s="1">
        <f>MAX(U219:U252)</f>
        <v>218.9</v>
      </c>
      <c r="W226">
        <v>221.8</v>
      </c>
      <c r="X226">
        <f t="shared" si="31"/>
        <v>3353.4000000000005</v>
      </c>
      <c r="Y226">
        <v>11.396495946697689</v>
      </c>
      <c r="AA226">
        <v>0</v>
      </c>
    </row>
    <row r="227" spans="1:28" x14ac:dyDescent="0.25">
      <c r="A227">
        <v>5240</v>
      </c>
      <c r="B227">
        <v>23690</v>
      </c>
      <c r="C227" s="6">
        <v>43172</v>
      </c>
      <c r="G227">
        <v>7.8</v>
      </c>
      <c r="H227">
        <v>7</v>
      </c>
      <c r="I227">
        <v>10.7</v>
      </c>
      <c r="J227">
        <f t="shared" si="28"/>
        <v>1638.2</v>
      </c>
      <c r="K227">
        <f t="shared" si="29"/>
        <v>78.499999999999986</v>
      </c>
      <c r="L227" s="16" t="s">
        <v>41</v>
      </c>
      <c r="M227" s="37">
        <v>1</v>
      </c>
      <c r="N227">
        <v>1.3</v>
      </c>
      <c r="O227">
        <f t="shared" si="24"/>
        <v>-0.30000000000000004</v>
      </c>
      <c r="Q227">
        <v>198</v>
      </c>
      <c r="R227">
        <f t="shared" si="27"/>
        <v>1.0397058823529413</v>
      </c>
      <c r="S227">
        <f t="shared" si="25"/>
        <v>1.3516176470588237</v>
      </c>
      <c r="T227">
        <f t="shared" si="26"/>
        <v>-0.3516176470588237</v>
      </c>
      <c r="U227" s="37">
        <f t="shared" si="30"/>
        <v>218.54838235294119</v>
      </c>
      <c r="V227" s="17" t="s">
        <v>48</v>
      </c>
      <c r="W227">
        <v>785.5</v>
      </c>
      <c r="X227">
        <f t="shared" si="31"/>
        <v>4138.9000000000005</v>
      </c>
      <c r="Y227">
        <v>11.456610755270802</v>
      </c>
      <c r="AA227" s="3" t="s">
        <v>58</v>
      </c>
    </row>
    <row r="228" spans="1:28" x14ac:dyDescent="0.25">
      <c r="A228">
        <v>5240</v>
      </c>
      <c r="B228">
        <v>23690</v>
      </c>
      <c r="C228" s="6">
        <v>43173</v>
      </c>
      <c r="G228">
        <v>7.9</v>
      </c>
      <c r="H228">
        <v>2.1</v>
      </c>
      <c r="I228">
        <v>13.1</v>
      </c>
      <c r="J228">
        <f t="shared" si="28"/>
        <v>1646.1000000000001</v>
      </c>
      <c r="K228">
        <f t="shared" si="29"/>
        <v>86.399999999999991</v>
      </c>
      <c r="L228" s="10">
        <v>0</v>
      </c>
      <c r="M228" s="37">
        <v>9.4</v>
      </c>
      <c r="N228">
        <v>2</v>
      </c>
      <c r="O228">
        <f t="shared" si="24"/>
        <v>7.4</v>
      </c>
      <c r="Q228">
        <v>199</v>
      </c>
      <c r="R228">
        <f t="shared" si="27"/>
        <v>1.0441176470588236</v>
      </c>
      <c r="S228">
        <f t="shared" si="25"/>
        <v>2.0882352941176472</v>
      </c>
      <c r="T228">
        <f t="shared" si="26"/>
        <v>7.3117647058823536</v>
      </c>
      <c r="U228" s="37">
        <f t="shared" si="30"/>
        <v>218.9</v>
      </c>
      <c r="V228" s="1">
        <f>AVERAGE(U219:U252)</f>
        <v>217.4340224913494</v>
      </c>
      <c r="W228">
        <v>1385.4</v>
      </c>
      <c r="X228">
        <f t="shared" si="31"/>
        <v>5524.3000000000011</v>
      </c>
      <c r="Y228">
        <v>11.516800590129673</v>
      </c>
      <c r="AA228">
        <f>SUM(M231:M240)</f>
        <v>3.3</v>
      </c>
    </row>
    <row r="229" spans="1:28" x14ac:dyDescent="0.25">
      <c r="A229">
        <v>5240</v>
      </c>
      <c r="B229">
        <v>23690</v>
      </c>
      <c r="C229" s="6">
        <v>43174</v>
      </c>
      <c r="G229">
        <v>9.1</v>
      </c>
      <c r="H229">
        <v>7.8</v>
      </c>
      <c r="I229">
        <v>11</v>
      </c>
      <c r="J229">
        <f t="shared" si="28"/>
        <v>1655.2</v>
      </c>
      <c r="K229">
        <f t="shared" si="29"/>
        <v>95.499999999999986</v>
      </c>
      <c r="L229" s="16" t="s">
        <v>42</v>
      </c>
      <c r="M229" s="37">
        <v>0.8</v>
      </c>
      <c r="N229">
        <v>1</v>
      </c>
      <c r="O229">
        <f t="shared" si="24"/>
        <v>-0.19999999999999996</v>
      </c>
      <c r="Q229">
        <v>200</v>
      </c>
      <c r="R229">
        <f t="shared" si="27"/>
        <v>1.0485294117647059</v>
      </c>
      <c r="S229">
        <f t="shared" si="25"/>
        <v>1.0485294117647059</v>
      </c>
      <c r="T229">
        <f t="shared" si="26"/>
        <v>-0.24852941176470589</v>
      </c>
      <c r="U229" s="37">
        <f t="shared" si="30"/>
        <v>218.6514705882353</v>
      </c>
      <c r="W229">
        <v>594.20000000000005</v>
      </c>
      <c r="X229">
        <f t="shared" si="31"/>
        <v>6118.5000000000009</v>
      </c>
      <c r="Y229">
        <v>11.57705676684709</v>
      </c>
    </row>
    <row r="230" spans="1:28" s="33" customFormat="1" x14ac:dyDescent="0.25">
      <c r="A230" s="33">
        <v>5240</v>
      </c>
      <c r="B230" s="33">
        <v>23690</v>
      </c>
      <c r="C230" s="34">
        <v>43175</v>
      </c>
      <c r="D230" s="33" t="s">
        <v>53</v>
      </c>
      <c r="G230" s="33">
        <v>7.4</v>
      </c>
      <c r="H230" s="33">
        <v>6</v>
      </c>
      <c r="I230" s="33">
        <v>9.9</v>
      </c>
      <c r="J230" s="33">
        <f t="shared" si="28"/>
        <v>1662.6000000000001</v>
      </c>
      <c r="K230" s="33">
        <f t="shared" si="29"/>
        <v>102.89999999999999</v>
      </c>
      <c r="L230" s="35">
        <v>14</v>
      </c>
      <c r="M230" s="33">
        <v>2</v>
      </c>
      <c r="N230" s="33">
        <v>0.4</v>
      </c>
      <c r="O230" s="33">
        <f t="shared" si="24"/>
        <v>1.6</v>
      </c>
      <c r="Q230" s="33">
        <v>201</v>
      </c>
      <c r="R230" s="33">
        <f t="shared" si="27"/>
        <v>1.0529411764705883</v>
      </c>
      <c r="S230" s="33">
        <f t="shared" si="25"/>
        <v>0.42117647058823532</v>
      </c>
      <c r="T230" s="33">
        <f t="shared" si="26"/>
        <v>1.5788235294117647</v>
      </c>
      <c r="U230" s="33">
        <f t="shared" si="30"/>
        <v>218.9</v>
      </c>
      <c r="V230" s="36">
        <f>(V228*100)/218.9</f>
        <v>99.330298077363807</v>
      </c>
      <c r="W230" s="33">
        <v>322.5</v>
      </c>
      <c r="X230" s="33">
        <f t="shared" si="31"/>
        <v>6441.0000000000009</v>
      </c>
      <c r="Y230" s="33">
        <v>11.637370723604921</v>
      </c>
    </row>
    <row r="231" spans="1:28" x14ac:dyDescent="0.25">
      <c r="A231">
        <v>5240</v>
      </c>
      <c r="B231">
        <v>23690</v>
      </c>
      <c r="C231" s="6">
        <v>43176</v>
      </c>
      <c r="G231">
        <v>3.2</v>
      </c>
      <c r="H231">
        <v>1.3</v>
      </c>
      <c r="I231">
        <v>7.1</v>
      </c>
      <c r="J231">
        <f t="shared" si="28"/>
        <v>1665.8000000000002</v>
      </c>
      <c r="K231">
        <f t="shared" si="29"/>
        <v>106.1</v>
      </c>
      <c r="L231" s="16" t="s">
        <v>43</v>
      </c>
      <c r="M231" s="37">
        <v>0</v>
      </c>
      <c r="N231">
        <v>0.4</v>
      </c>
      <c r="O231">
        <f t="shared" si="24"/>
        <v>-0.4</v>
      </c>
      <c r="Q231">
        <v>202</v>
      </c>
      <c r="R231">
        <f t="shared" si="27"/>
        <v>1.0573529411764706</v>
      </c>
      <c r="S231">
        <f t="shared" si="25"/>
        <v>0.42294117647058826</v>
      </c>
      <c r="T231">
        <f t="shared" si="26"/>
        <v>-0.42294117647058826</v>
      </c>
      <c r="U231" s="37">
        <f t="shared" si="30"/>
        <v>218.4770588235294</v>
      </c>
      <c r="W231">
        <v>261.3</v>
      </c>
      <c r="X231">
        <f t="shared" si="31"/>
        <v>6702.3000000000011</v>
      </c>
      <c r="Y231">
        <v>11.697734006042475</v>
      </c>
      <c r="AA231" s="3" t="s">
        <v>54</v>
      </c>
      <c r="AB231" s="3" t="s">
        <v>54</v>
      </c>
    </row>
    <row r="232" spans="1:28" x14ac:dyDescent="0.25">
      <c r="A232">
        <v>5240</v>
      </c>
      <c r="B232">
        <v>23690</v>
      </c>
      <c r="C232" s="6">
        <v>43177</v>
      </c>
      <c r="G232">
        <v>0.6</v>
      </c>
      <c r="H232">
        <v>0.6</v>
      </c>
      <c r="I232">
        <v>1</v>
      </c>
      <c r="J232">
        <f t="shared" si="28"/>
        <v>1666.4</v>
      </c>
      <c r="K232">
        <f t="shared" si="29"/>
        <v>106.69999999999999</v>
      </c>
      <c r="L232" s="10">
        <v>4</v>
      </c>
      <c r="M232" s="37">
        <v>0</v>
      </c>
      <c r="N232">
        <v>0.4</v>
      </c>
      <c r="O232">
        <f t="shared" si="24"/>
        <v>-0.4</v>
      </c>
      <c r="Q232">
        <v>203</v>
      </c>
      <c r="R232">
        <f t="shared" si="27"/>
        <v>1.0617647058823529</v>
      </c>
      <c r="S232">
        <f t="shared" si="25"/>
        <v>0.42470588235294121</v>
      </c>
      <c r="T232">
        <f t="shared" si="26"/>
        <v>-0.42470588235294121</v>
      </c>
      <c r="U232" s="37">
        <f t="shared" si="30"/>
        <v>218.05235294117645</v>
      </c>
      <c r="W232">
        <v>262.2</v>
      </c>
      <c r="X232">
        <f t="shared" si="31"/>
        <v>6964.5000000000009</v>
      </c>
      <c r="Y232">
        <v>11.758138252032962</v>
      </c>
      <c r="AA232">
        <f>AVERAGE(U238:U251)</f>
        <v>216.90393907563029</v>
      </c>
      <c r="AB232" s="3">
        <f>(AA220*(20/40))+(AA232*(20/40))</f>
        <v>216.72540966386555</v>
      </c>
    </row>
    <row r="233" spans="1:28" x14ac:dyDescent="0.25">
      <c r="A233">
        <v>5240</v>
      </c>
      <c r="B233">
        <v>23690</v>
      </c>
      <c r="C233" s="6">
        <v>43178</v>
      </c>
      <c r="G233">
        <v>0.1</v>
      </c>
      <c r="H233">
        <v>-1.1000000000000001</v>
      </c>
      <c r="I233">
        <v>0.7</v>
      </c>
      <c r="J233">
        <f t="shared" si="28"/>
        <v>1666.5</v>
      </c>
      <c r="K233">
        <f t="shared" si="29"/>
        <v>106.79999999999998</v>
      </c>
      <c r="M233" s="37">
        <v>0</v>
      </c>
      <c r="N233">
        <v>0.5</v>
      </c>
      <c r="O233">
        <f t="shared" si="24"/>
        <v>-0.5</v>
      </c>
      <c r="Q233">
        <v>204</v>
      </c>
      <c r="R233">
        <f t="shared" si="27"/>
        <v>1.0661764705882353</v>
      </c>
      <c r="S233">
        <f t="shared" si="25"/>
        <v>0.53308823529411764</v>
      </c>
      <c r="T233">
        <f t="shared" si="26"/>
        <v>-0.53308823529411764</v>
      </c>
      <c r="U233" s="37">
        <f t="shared" si="30"/>
        <v>217.51926470588234</v>
      </c>
      <c r="W233">
        <v>564</v>
      </c>
      <c r="X233">
        <f t="shared" si="31"/>
        <v>7528.5000000000009</v>
      </c>
      <c r="Y233">
        <v>11.818575176399829</v>
      </c>
      <c r="AA233" s="3" t="s">
        <v>55</v>
      </c>
      <c r="AB233" s="3" t="s">
        <v>55</v>
      </c>
    </row>
    <row r="234" spans="1:28" x14ac:dyDescent="0.25">
      <c r="A234">
        <v>5240</v>
      </c>
      <c r="B234">
        <v>23690</v>
      </c>
      <c r="C234" s="6">
        <v>43179</v>
      </c>
      <c r="G234">
        <v>1.9</v>
      </c>
      <c r="H234">
        <v>-1.9</v>
      </c>
      <c r="I234">
        <v>5.6</v>
      </c>
      <c r="J234">
        <f t="shared" si="28"/>
        <v>1668.4</v>
      </c>
      <c r="K234">
        <f t="shared" si="29"/>
        <v>108.69999999999999</v>
      </c>
      <c r="M234" s="37">
        <v>0</v>
      </c>
      <c r="N234">
        <v>0.8</v>
      </c>
      <c r="O234">
        <f t="shared" si="24"/>
        <v>-0.8</v>
      </c>
      <c r="Q234">
        <v>205</v>
      </c>
      <c r="R234">
        <f t="shared" si="27"/>
        <v>1.0705882352941176</v>
      </c>
      <c r="S234">
        <f t="shared" si="25"/>
        <v>0.85647058823529409</v>
      </c>
      <c r="T234">
        <f t="shared" si="26"/>
        <v>-0.85647058823529409</v>
      </c>
      <c r="U234" s="37">
        <f t="shared" si="30"/>
        <v>216.66279411764705</v>
      </c>
      <c r="W234">
        <v>755</v>
      </c>
      <c r="X234">
        <f t="shared" si="31"/>
        <v>8283.5</v>
      </c>
      <c r="Y234">
        <v>11.879036555584047</v>
      </c>
      <c r="AA234">
        <v>6</v>
      </c>
      <c r="AB234" s="3">
        <f>(AA222*(20/40))+(AA234*(20/40))</f>
        <v>3</v>
      </c>
    </row>
    <row r="235" spans="1:28" x14ac:dyDescent="0.25">
      <c r="A235">
        <v>5240</v>
      </c>
      <c r="B235">
        <v>23690</v>
      </c>
      <c r="C235" s="6">
        <v>43180</v>
      </c>
      <c r="G235">
        <v>2.7</v>
      </c>
      <c r="H235">
        <v>-0.3</v>
      </c>
      <c r="I235">
        <v>6.2</v>
      </c>
      <c r="J235">
        <f t="shared" si="28"/>
        <v>1671.1000000000001</v>
      </c>
      <c r="K235">
        <f t="shared" si="29"/>
        <v>111.39999999999999</v>
      </c>
      <c r="M235" s="37">
        <v>0</v>
      </c>
      <c r="N235">
        <v>1</v>
      </c>
      <c r="O235">
        <f t="shared" si="24"/>
        <v>-1</v>
      </c>
      <c r="Q235">
        <v>206</v>
      </c>
      <c r="R235">
        <f t="shared" si="27"/>
        <v>1.075</v>
      </c>
      <c r="S235">
        <f t="shared" si="25"/>
        <v>1.075</v>
      </c>
      <c r="T235">
        <f t="shared" si="26"/>
        <v>-1.075</v>
      </c>
      <c r="U235" s="37">
        <f t="shared" si="30"/>
        <v>215.58779411764706</v>
      </c>
      <c r="W235">
        <v>872.7</v>
      </c>
      <c r="X235">
        <f t="shared" si="31"/>
        <v>9156.2000000000007</v>
      </c>
      <c r="Y235">
        <v>11.939514212272858</v>
      </c>
      <c r="AA235" s="3" t="s">
        <v>56</v>
      </c>
      <c r="AB235" s="3" t="s">
        <v>56</v>
      </c>
    </row>
    <row r="236" spans="1:28" x14ac:dyDescent="0.25">
      <c r="A236">
        <v>5240</v>
      </c>
      <c r="B236">
        <v>23690</v>
      </c>
      <c r="C236" s="6">
        <v>43181</v>
      </c>
      <c r="G236">
        <v>4.3</v>
      </c>
      <c r="H236">
        <v>-0.6</v>
      </c>
      <c r="I236">
        <v>7.3</v>
      </c>
      <c r="J236">
        <f t="shared" si="28"/>
        <v>1675.4</v>
      </c>
      <c r="K236">
        <f t="shared" si="29"/>
        <v>115.69999999999999</v>
      </c>
      <c r="M236" s="37">
        <v>0</v>
      </c>
      <c r="N236">
        <v>0.6</v>
      </c>
      <c r="O236">
        <f t="shared" si="24"/>
        <v>-0.6</v>
      </c>
      <c r="Q236">
        <v>207</v>
      </c>
      <c r="R236">
        <f t="shared" si="27"/>
        <v>1.0794117647058823</v>
      </c>
      <c r="S236">
        <f t="shared" si="25"/>
        <v>0.64764705882352935</v>
      </c>
      <c r="T236">
        <f t="shared" si="26"/>
        <v>-0.64764705882352935</v>
      </c>
      <c r="U236" s="37">
        <f t="shared" si="30"/>
        <v>214.94014705882353</v>
      </c>
      <c r="W236">
        <v>365.4</v>
      </c>
      <c r="X236">
        <f t="shared" si="31"/>
        <v>9521.6</v>
      </c>
      <c r="Y236">
        <v>12</v>
      </c>
      <c r="AA236">
        <v>2</v>
      </c>
      <c r="AB236" s="3">
        <f>(AA224*(20/40))+(AA236*(20/40))</f>
        <v>4.5</v>
      </c>
    </row>
    <row r="237" spans="1:28" x14ac:dyDescent="0.25">
      <c r="A237">
        <v>5240</v>
      </c>
      <c r="B237">
        <v>23690</v>
      </c>
      <c r="C237" s="6">
        <v>43182</v>
      </c>
      <c r="G237">
        <v>5.2</v>
      </c>
      <c r="H237">
        <v>4</v>
      </c>
      <c r="I237">
        <v>6.1</v>
      </c>
      <c r="J237">
        <f t="shared" si="28"/>
        <v>1680.6000000000001</v>
      </c>
      <c r="K237">
        <f t="shared" si="29"/>
        <v>120.89999999999999</v>
      </c>
      <c r="M237" s="37">
        <v>0.7</v>
      </c>
      <c r="N237">
        <v>0.5</v>
      </c>
      <c r="O237">
        <f t="shared" si="24"/>
        <v>0.19999999999999996</v>
      </c>
      <c r="Q237">
        <v>208</v>
      </c>
      <c r="R237">
        <f t="shared" si="27"/>
        <v>1.0838235294117646</v>
      </c>
      <c r="S237">
        <f t="shared" si="25"/>
        <v>0.54191176470588232</v>
      </c>
      <c r="T237">
        <f t="shared" si="26"/>
        <v>0.15808823529411764</v>
      </c>
      <c r="U237" s="37">
        <f t="shared" si="30"/>
        <v>215.09823529411764</v>
      </c>
      <c r="W237">
        <v>323.5</v>
      </c>
      <c r="X237">
        <f t="shared" si="31"/>
        <v>9845.1</v>
      </c>
      <c r="Y237">
        <v>12.060485787727142</v>
      </c>
      <c r="AA237" s="3" t="s">
        <v>57</v>
      </c>
      <c r="AB237" s="3" t="s">
        <v>57</v>
      </c>
    </row>
    <row r="238" spans="1:28" x14ac:dyDescent="0.25">
      <c r="A238">
        <v>5240</v>
      </c>
      <c r="B238">
        <v>23690</v>
      </c>
      <c r="C238" s="6">
        <v>43183</v>
      </c>
      <c r="G238">
        <v>8.6999999999999993</v>
      </c>
      <c r="H238">
        <v>4.9000000000000004</v>
      </c>
      <c r="I238">
        <v>11.5</v>
      </c>
      <c r="J238">
        <f t="shared" si="28"/>
        <v>1689.3000000000002</v>
      </c>
      <c r="K238">
        <f t="shared" si="29"/>
        <v>129.6</v>
      </c>
      <c r="M238" s="37">
        <v>0</v>
      </c>
      <c r="N238">
        <v>1.3</v>
      </c>
      <c r="O238">
        <f t="shared" si="24"/>
        <v>-1.3</v>
      </c>
      <c r="Q238">
        <v>209</v>
      </c>
      <c r="R238">
        <f t="shared" si="27"/>
        <v>1.088235294117647</v>
      </c>
      <c r="S238">
        <f t="shared" si="25"/>
        <v>1.414705882352941</v>
      </c>
      <c r="T238">
        <f t="shared" si="26"/>
        <v>-1.414705882352941</v>
      </c>
      <c r="U238" s="37">
        <f t="shared" si="30"/>
        <v>213.68352941176471</v>
      </c>
      <c r="W238">
        <v>1104.8</v>
      </c>
      <c r="X238">
        <f t="shared" si="31"/>
        <v>10949.9</v>
      </c>
      <c r="Y238">
        <v>12.120963444415953</v>
      </c>
      <c r="AA238">
        <v>6</v>
      </c>
      <c r="AB238" s="3">
        <f>(AA226*(20/40))+(AA238*(20/40))</f>
        <v>3</v>
      </c>
    </row>
    <row r="239" spans="1:28" x14ac:dyDescent="0.25">
      <c r="A239">
        <v>5240</v>
      </c>
      <c r="B239">
        <v>23690</v>
      </c>
      <c r="C239" s="6">
        <v>43184</v>
      </c>
      <c r="G239">
        <v>10.1</v>
      </c>
      <c r="H239">
        <v>6.5</v>
      </c>
      <c r="I239">
        <v>14.1</v>
      </c>
      <c r="J239">
        <f t="shared" si="28"/>
        <v>1699.4</v>
      </c>
      <c r="K239">
        <f t="shared" si="29"/>
        <v>139.69999999999999</v>
      </c>
      <c r="M239" s="37">
        <v>0.5</v>
      </c>
      <c r="N239">
        <v>0.9</v>
      </c>
      <c r="O239">
        <f t="shared" si="24"/>
        <v>-0.4</v>
      </c>
      <c r="Q239">
        <v>210</v>
      </c>
      <c r="R239">
        <f t="shared" si="27"/>
        <v>1.0926470588235293</v>
      </c>
      <c r="S239">
        <f t="shared" si="25"/>
        <v>0.98338235294117637</v>
      </c>
      <c r="T239">
        <f t="shared" si="26"/>
        <v>-0.48338235294117637</v>
      </c>
      <c r="U239" s="37">
        <f t="shared" si="30"/>
        <v>213.20014705882355</v>
      </c>
      <c r="W239">
        <v>440.2</v>
      </c>
      <c r="X239">
        <f t="shared" si="31"/>
        <v>11390.1</v>
      </c>
      <c r="Y239">
        <v>12.181424823600171</v>
      </c>
      <c r="AA239" s="3" t="s">
        <v>58</v>
      </c>
      <c r="AB239" s="3" t="s">
        <v>58</v>
      </c>
    </row>
    <row r="240" spans="1:28" x14ac:dyDescent="0.25">
      <c r="A240">
        <v>5240</v>
      </c>
      <c r="B240">
        <v>23690</v>
      </c>
      <c r="C240" s="6">
        <v>43185</v>
      </c>
      <c r="G240">
        <v>9</v>
      </c>
      <c r="H240">
        <v>5.8</v>
      </c>
      <c r="I240">
        <v>12.7</v>
      </c>
      <c r="J240">
        <f t="shared" si="28"/>
        <v>1708.4</v>
      </c>
      <c r="K240">
        <f t="shared" si="29"/>
        <v>148.69999999999999</v>
      </c>
      <c r="M240" s="37">
        <v>2.1</v>
      </c>
      <c r="N240">
        <v>1.7</v>
      </c>
      <c r="O240">
        <f t="shared" si="24"/>
        <v>0.40000000000000013</v>
      </c>
      <c r="Q240">
        <v>211</v>
      </c>
      <c r="R240">
        <f t="shared" si="27"/>
        <v>1.0970588235294116</v>
      </c>
      <c r="S240">
        <f t="shared" si="25"/>
        <v>1.8649999999999998</v>
      </c>
      <c r="T240">
        <f t="shared" si="26"/>
        <v>0.23500000000000032</v>
      </c>
      <c r="U240" s="37">
        <f t="shared" si="30"/>
        <v>213.43514705882356</v>
      </c>
      <c r="W240">
        <v>1251.4000000000001</v>
      </c>
      <c r="X240">
        <f t="shared" si="31"/>
        <v>12641.5</v>
      </c>
      <c r="Y240">
        <v>12.241861747967038</v>
      </c>
      <c r="AA240">
        <f>SUM(M242:M251)</f>
        <v>23.900000000000002</v>
      </c>
      <c r="AB240" s="3">
        <f>(AA228*(20/40))+(AA240*(20/40))</f>
        <v>13.600000000000001</v>
      </c>
    </row>
    <row r="241" spans="1:26" s="33" customFormat="1" x14ac:dyDescent="0.25">
      <c r="A241" s="33">
        <v>5240</v>
      </c>
      <c r="B241" s="33">
        <v>23690</v>
      </c>
      <c r="C241" s="34">
        <v>43186</v>
      </c>
      <c r="D241" s="33" t="s">
        <v>53</v>
      </c>
      <c r="G241" s="33">
        <v>8.4</v>
      </c>
      <c r="H241" s="33">
        <v>4.9000000000000004</v>
      </c>
      <c r="I241" s="33">
        <v>11.7</v>
      </c>
      <c r="J241" s="33">
        <f t="shared" si="28"/>
        <v>1716.8000000000002</v>
      </c>
      <c r="K241" s="33">
        <f t="shared" si="29"/>
        <v>157.1</v>
      </c>
      <c r="M241" s="33">
        <v>3.2</v>
      </c>
      <c r="N241" s="33">
        <v>0.5</v>
      </c>
      <c r="O241" s="33">
        <f t="shared" si="24"/>
        <v>2.7</v>
      </c>
      <c r="Q241" s="33">
        <v>212</v>
      </c>
      <c r="R241" s="33">
        <f t="shared" si="27"/>
        <v>1.101470588235294</v>
      </c>
      <c r="S241" s="33">
        <f t="shared" si="25"/>
        <v>0.55073529411764699</v>
      </c>
      <c r="T241" s="33">
        <f t="shared" si="26"/>
        <v>2.6492647058823531</v>
      </c>
      <c r="U241" s="33">
        <f t="shared" si="30"/>
        <v>216.08441176470592</v>
      </c>
      <c r="W241" s="33">
        <v>380.1</v>
      </c>
      <c r="X241" s="33">
        <f t="shared" si="31"/>
        <v>13021.6</v>
      </c>
      <c r="Y241" s="33">
        <v>12.302265993957525</v>
      </c>
    </row>
    <row r="242" spans="1:26" x14ac:dyDescent="0.25">
      <c r="A242">
        <v>5240</v>
      </c>
      <c r="B242">
        <v>23690</v>
      </c>
      <c r="C242" s="6">
        <v>43187</v>
      </c>
      <c r="G242">
        <v>8.5</v>
      </c>
      <c r="H242">
        <v>6.8</v>
      </c>
      <c r="I242">
        <v>12.6</v>
      </c>
      <c r="J242">
        <f t="shared" si="28"/>
        <v>1725.3000000000002</v>
      </c>
      <c r="K242">
        <f t="shared" si="29"/>
        <v>165.6</v>
      </c>
      <c r="M242" s="37">
        <v>4</v>
      </c>
      <c r="N242">
        <v>0.9</v>
      </c>
      <c r="O242">
        <f t="shared" si="24"/>
        <v>3.1</v>
      </c>
      <c r="Q242">
        <v>213</v>
      </c>
      <c r="R242">
        <f t="shared" si="27"/>
        <v>1.1058823529411763</v>
      </c>
      <c r="S242">
        <f t="shared" si="25"/>
        <v>0.99529411764705866</v>
      </c>
      <c r="T242">
        <f t="shared" si="26"/>
        <v>3.0047058823529413</v>
      </c>
      <c r="U242" s="37">
        <f t="shared" si="30"/>
        <v>218.9</v>
      </c>
      <c r="W242">
        <v>265.39999999999998</v>
      </c>
      <c r="X242">
        <f t="shared" si="31"/>
        <v>13287</v>
      </c>
      <c r="Y242">
        <v>12.362629276395078</v>
      </c>
    </row>
    <row r="243" spans="1:26" x14ac:dyDescent="0.25">
      <c r="A243">
        <v>5240</v>
      </c>
      <c r="B243">
        <v>23690</v>
      </c>
      <c r="C243" s="6">
        <v>43188</v>
      </c>
      <c r="G243">
        <v>5.6</v>
      </c>
      <c r="H243">
        <v>1.1000000000000001</v>
      </c>
      <c r="I243">
        <v>10</v>
      </c>
      <c r="J243">
        <f t="shared" si="28"/>
        <v>1730.9</v>
      </c>
      <c r="K243">
        <f t="shared" si="29"/>
        <v>171.2</v>
      </c>
      <c r="M243" s="37">
        <v>5</v>
      </c>
      <c r="N243">
        <v>0.8</v>
      </c>
      <c r="O243">
        <f t="shared" si="24"/>
        <v>4.2</v>
      </c>
      <c r="Q243">
        <v>214</v>
      </c>
      <c r="R243">
        <f t="shared" si="27"/>
        <v>1.1102941176470589</v>
      </c>
      <c r="S243">
        <f t="shared" si="25"/>
        <v>0.88823529411764712</v>
      </c>
      <c r="T243">
        <f t="shared" si="26"/>
        <v>4.1117647058823525</v>
      </c>
      <c r="U243" s="37">
        <f t="shared" si="30"/>
        <v>218.9</v>
      </c>
      <c r="W243">
        <v>769.9</v>
      </c>
      <c r="X243">
        <f t="shared" si="31"/>
        <v>14056.9</v>
      </c>
      <c r="Y243">
        <v>12.422943233152909</v>
      </c>
    </row>
    <row r="244" spans="1:26" x14ac:dyDescent="0.25">
      <c r="A244">
        <v>5240</v>
      </c>
      <c r="B244">
        <v>23690</v>
      </c>
      <c r="C244" s="6">
        <v>43189</v>
      </c>
      <c r="G244">
        <v>6.3</v>
      </c>
      <c r="H244">
        <v>4.8</v>
      </c>
      <c r="I244">
        <v>8.4</v>
      </c>
      <c r="J244">
        <f t="shared" si="28"/>
        <v>1737.2</v>
      </c>
      <c r="K244">
        <f t="shared" si="29"/>
        <v>177.5</v>
      </c>
      <c r="M244" s="37">
        <v>2</v>
      </c>
      <c r="N244">
        <v>0.6</v>
      </c>
      <c r="O244">
        <f t="shared" si="24"/>
        <v>1.4</v>
      </c>
      <c r="Q244">
        <v>215</v>
      </c>
      <c r="R244">
        <f t="shared" si="27"/>
        <v>1.1147058823529412</v>
      </c>
      <c r="S244">
        <f t="shared" si="25"/>
        <v>0.66882352941176471</v>
      </c>
      <c r="T244">
        <f t="shared" si="26"/>
        <v>1.3311764705882352</v>
      </c>
      <c r="U244" s="37">
        <f t="shared" si="30"/>
        <v>218.9</v>
      </c>
      <c r="W244">
        <v>409</v>
      </c>
      <c r="X244">
        <f t="shared" si="31"/>
        <v>14465.9</v>
      </c>
      <c r="Y244">
        <v>12.483199409870327</v>
      </c>
    </row>
    <row r="245" spans="1:26" x14ac:dyDescent="0.25">
      <c r="A245">
        <v>5240</v>
      </c>
      <c r="B245">
        <v>23690</v>
      </c>
      <c r="C245" s="6">
        <v>43190</v>
      </c>
      <c r="G245">
        <v>6.1</v>
      </c>
      <c r="H245">
        <v>3.2</v>
      </c>
      <c r="I245">
        <v>8.6</v>
      </c>
      <c r="J245">
        <f t="shared" si="28"/>
        <v>1743.3</v>
      </c>
      <c r="K245">
        <f t="shared" si="29"/>
        <v>183.6</v>
      </c>
      <c r="M245" s="37">
        <v>0.9</v>
      </c>
      <c r="N245">
        <v>0.4</v>
      </c>
      <c r="O245">
        <f t="shared" si="24"/>
        <v>0.5</v>
      </c>
      <c r="Q245">
        <v>216</v>
      </c>
      <c r="R245">
        <f t="shared" si="27"/>
        <v>1.1191176470588236</v>
      </c>
      <c r="S245">
        <f t="shared" si="25"/>
        <v>0.44764705882352945</v>
      </c>
      <c r="T245">
        <f t="shared" si="26"/>
        <v>0.45235294117647057</v>
      </c>
      <c r="U245" s="37">
        <f t="shared" si="30"/>
        <v>218.9</v>
      </c>
      <c r="W245">
        <v>457.4</v>
      </c>
      <c r="X245">
        <f t="shared" si="31"/>
        <v>14923.3</v>
      </c>
      <c r="Y245">
        <v>12.543389244729198</v>
      </c>
    </row>
    <row r="246" spans="1:26" x14ac:dyDescent="0.25">
      <c r="A246">
        <v>5240</v>
      </c>
      <c r="B246">
        <v>23690</v>
      </c>
      <c r="C246" s="6">
        <v>43191</v>
      </c>
      <c r="G246">
        <v>7.9</v>
      </c>
      <c r="H246">
        <v>5.3</v>
      </c>
      <c r="I246">
        <v>9.9</v>
      </c>
      <c r="J246">
        <f t="shared" si="28"/>
        <v>1751.2</v>
      </c>
      <c r="K246">
        <f t="shared" si="29"/>
        <v>191.5</v>
      </c>
      <c r="M246" s="37">
        <v>0</v>
      </c>
      <c r="N246">
        <v>1.7</v>
      </c>
      <c r="O246">
        <f t="shared" si="24"/>
        <v>-1.7</v>
      </c>
      <c r="Q246">
        <v>217</v>
      </c>
      <c r="R246">
        <f t="shared" si="27"/>
        <v>1.1235294117647059</v>
      </c>
      <c r="S246">
        <f t="shared" si="25"/>
        <v>1.91</v>
      </c>
      <c r="T246">
        <f t="shared" si="26"/>
        <v>-1.91</v>
      </c>
      <c r="U246" s="37">
        <f t="shared" si="30"/>
        <v>216.99</v>
      </c>
      <c r="W246">
        <v>1405.6</v>
      </c>
      <c r="X246">
        <f t="shared" si="31"/>
        <v>16328.9</v>
      </c>
      <c r="Y246">
        <v>12.603504053302309</v>
      </c>
    </row>
    <row r="247" spans="1:26" x14ac:dyDescent="0.25">
      <c r="A247">
        <v>5240</v>
      </c>
      <c r="B247">
        <v>23690</v>
      </c>
      <c r="C247" s="6">
        <v>43192</v>
      </c>
      <c r="G247">
        <v>10.3</v>
      </c>
      <c r="H247">
        <v>6.2</v>
      </c>
      <c r="I247">
        <v>13.8</v>
      </c>
      <c r="J247">
        <f t="shared" si="28"/>
        <v>1761.5</v>
      </c>
      <c r="K247">
        <f t="shared" si="29"/>
        <v>201.8</v>
      </c>
      <c r="M247" s="37">
        <v>1.6</v>
      </c>
      <c r="N247">
        <v>1.3</v>
      </c>
      <c r="O247">
        <f t="shared" si="24"/>
        <v>0.30000000000000004</v>
      </c>
      <c r="Q247">
        <v>218</v>
      </c>
      <c r="R247">
        <f t="shared" si="27"/>
        <v>1.1279411764705882</v>
      </c>
      <c r="S247">
        <f t="shared" si="25"/>
        <v>1.4663235294117647</v>
      </c>
      <c r="T247">
        <f t="shared" si="26"/>
        <v>0.1336764705882354</v>
      </c>
      <c r="U247" s="37">
        <f t="shared" si="30"/>
        <v>217.12367647058824</v>
      </c>
      <c r="W247">
        <v>879.7</v>
      </c>
      <c r="X247">
        <f t="shared" si="31"/>
        <v>17208.599999999999</v>
      </c>
      <c r="Y247">
        <v>12.663535013486197</v>
      </c>
    </row>
    <row r="248" spans="1:26" x14ac:dyDescent="0.25">
      <c r="A248">
        <v>5240</v>
      </c>
      <c r="B248">
        <v>23690</v>
      </c>
      <c r="C248" s="6">
        <v>43193</v>
      </c>
      <c r="G248">
        <v>10.199999999999999</v>
      </c>
      <c r="H248">
        <v>9.6</v>
      </c>
      <c r="I248">
        <v>12.4</v>
      </c>
      <c r="J248">
        <f t="shared" si="28"/>
        <v>1771.7</v>
      </c>
      <c r="K248">
        <f t="shared" si="29"/>
        <v>212</v>
      </c>
      <c r="M248" s="37">
        <v>7.7</v>
      </c>
      <c r="N248">
        <v>1.2</v>
      </c>
      <c r="O248">
        <f t="shared" si="24"/>
        <v>6.5</v>
      </c>
      <c r="Q248">
        <v>219</v>
      </c>
      <c r="R248">
        <f t="shared" si="27"/>
        <v>1.1323529411764706</v>
      </c>
      <c r="S248">
        <f t="shared" si="25"/>
        <v>1.3588235294117645</v>
      </c>
      <c r="T248">
        <f t="shared" si="26"/>
        <v>6.3411764705882359</v>
      </c>
      <c r="U248" s="37">
        <f t="shared" si="30"/>
        <v>218.9</v>
      </c>
      <c r="W248">
        <v>468.7</v>
      </c>
      <c r="X248">
        <f t="shared" si="31"/>
        <v>17677.3</v>
      </c>
      <c r="Y248">
        <v>12.72347315053195</v>
      </c>
    </row>
    <row r="249" spans="1:26" s="27" customFormat="1" x14ac:dyDescent="0.25">
      <c r="A249" s="27">
        <v>5240</v>
      </c>
      <c r="B249" s="27">
        <v>23690</v>
      </c>
      <c r="C249" s="28">
        <v>43194</v>
      </c>
      <c r="G249" s="27">
        <v>10.199999999999999</v>
      </c>
      <c r="H249" s="27">
        <v>7.4</v>
      </c>
      <c r="I249" s="27">
        <v>12.5</v>
      </c>
      <c r="J249" s="27">
        <f t="shared" si="28"/>
        <v>1781.9</v>
      </c>
      <c r="K249">
        <f t="shared" si="29"/>
        <v>222.2</v>
      </c>
      <c r="M249" s="38">
        <v>2.6</v>
      </c>
      <c r="N249" s="27">
        <v>1</v>
      </c>
      <c r="O249" s="27">
        <f t="shared" si="24"/>
        <v>1.6</v>
      </c>
      <c r="Q249" s="27">
        <v>220</v>
      </c>
      <c r="R249">
        <f t="shared" si="27"/>
        <v>1.1367647058823529</v>
      </c>
      <c r="S249" s="27">
        <f t="shared" si="25"/>
        <v>1.1367647058823529</v>
      </c>
      <c r="T249" s="27">
        <f t="shared" si="26"/>
        <v>1.4632352941176472</v>
      </c>
      <c r="U249" s="38">
        <f t="shared" si="30"/>
        <v>218.9</v>
      </c>
      <c r="W249" s="27">
        <v>726.4</v>
      </c>
      <c r="X249">
        <f t="shared" si="31"/>
        <v>18403.7</v>
      </c>
      <c r="Y249" s="27">
        <v>12.783309322188529</v>
      </c>
    </row>
    <row r="250" spans="1:26" x14ac:dyDescent="0.25">
      <c r="A250">
        <v>5240</v>
      </c>
      <c r="B250">
        <v>23690</v>
      </c>
      <c r="C250" s="6">
        <v>43195</v>
      </c>
      <c r="G250">
        <v>7.7</v>
      </c>
      <c r="H250">
        <v>6</v>
      </c>
      <c r="I250">
        <v>9.6999999999999993</v>
      </c>
      <c r="J250">
        <f t="shared" si="28"/>
        <v>1789.6000000000001</v>
      </c>
      <c r="K250">
        <f t="shared" si="29"/>
        <v>229.89999999999998</v>
      </c>
      <c r="M250" s="37">
        <v>0.1</v>
      </c>
      <c r="N250">
        <v>0.9</v>
      </c>
      <c r="O250">
        <f t="shared" si="24"/>
        <v>-0.8</v>
      </c>
      <c r="Q250">
        <v>221</v>
      </c>
      <c r="R250">
        <f t="shared" si="27"/>
        <v>1.1411764705882352</v>
      </c>
      <c r="S250">
        <f t="shared" si="25"/>
        <v>1.0270588235294118</v>
      </c>
      <c r="T250">
        <f t="shared" si="26"/>
        <v>-0.92705882352941182</v>
      </c>
      <c r="U250" s="37">
        <f t="shared" si="30"/>
        <v>217.97294117647058</v>
      </c>
      <c r="W250">
        <v>646</v>
      </c>
      <c r="X250">
        <f t="shared" si="31"/>
        <v>19049.7</v>
      </c>
      <c r="Y250">
        <v>12.843034203974291</v>
      </c>
    </row>
    <row r="251" spans="1:26" x14ac:dyDescent="0.25">
      <c r="A251">
        <v>5240</v>
      </c>
      <c r="B251">
        <v>23690</v>
      </c>
      <c r="C251" s="6">
        <v>43196</v>
      </c>
      <c r="G251">
        <v>10.8</v>
      </c>
      <c r="H251">
        <v>4</v>
      </c>
      <c r="I251">
        <v>16.2</v>
      </c>
      <c r="J251">
        <f t="shared" si="28"/>
        <v>1800.4</v>
      </c>
      <c r="K251">
        <f t="shared" si="29"/>
        <v>240.7</v>
      </c>
      <c r="M251" s="37">
        <v>0</v>
      </c>
      <c r="N251">
        <v>2.8</v>
      </c>
      <c r="O251">
        <f t="shared" si="24"/>
        <v>-2.8</v>
      </c>
      <c r="Q251">
        <v>222</v>
      </c>
      <c r="R251">
        <f t="shared" si="27"/>
        <v>1.1455882352941176</v>
      </c>
      <c r="S251">
        <f t="shared" si="25"/>
        <v>3.2076470588235289</v>
      </c>
      <c r="T251">
        <f t="shared" si="26"/>
        <v>-3.2076470588235289</v>
      </c>
      <c r="U251" s="37">
        <f t="shared" si="30"/>
        <v>214.76529411764704</v>
      </c>
      <c r="W251">
        <v>2092.6999999999998</v>
      </c>
      <c r="X251">
        <f t="shared" si="31"/>
        <v>21142.400000000001</v>
      </c>
      <c r="Y251">
        <v>12.902638274593679</v>
      </c>
    </row>
    <row r="252" spans="1:26" s="7" customFormat="1" ht="15.75" thickBot="1" x14ac:dyDescent="0.3">
      <c r="A252" s="7">
        <v>5240</v>
      </c>
      <c r="B252" s="7">
        <v>23690</v>
      </c>
      <c r="C252" s="8">
        <v>43197</v>
      </c>
      <c r="G252" s="7">
        <v>13.6</v>
      </c>
      <c r="H252" s="7">
        <v>10.199999999999999</v>
      </c>
      <c r="I252" s="7">
        <v>16.399999999999999</v>
      </c>
      <c r="J252" s="7">
        <f t="shared" si="28"/>
        <v>1814</v>
      </c>
      <c r="K252" s="7">
        <f t="shared" si="29"/>
        <v>254.29999999999998</v>
      </c>
      <c r="M252" s="7">
        <v>2</v>
      </c>
      <c r="N252" s="7">
        <v>0.9</v>
      </c>
      <c r="O252" s="7">
        <f t="shared" si="24"/>
        <v>1.1000000000000001</v>
      </c>
      <c r="Q252" s="7">
        <v>223</v>
      </c>
      <c r="R252" s="7">
        <f t="shared" si="27"/>
        <v>1.1499999999999999</v>
      </c>
      <c r="S252" s="7">
        <f t="shared" si="25"/>
        <v>1.0349999999999999</v>
      </c>
      <c r="T252" s="7">
        <f t="shared" si="26"/>
        <v>0.96500000000000008</v>
      </c>
      <c r="U252" s="7">
        <f t="shared" si="30"/>
        <v>215.73029411764705</v>
      </c>
      <c r="W252" s="7">
        <v>538.79999999999995</v>
      </c>
      <c r="X252" s="7">
        <f t="shared" si="31"/>
        <v>21681.200000000001</v>
      </c>
      <c r="Y252" s="7">
        <v>12.962111801517409</v>
      </c>
    </row>
    <row r="253" spans="1:26" x14ac:dyDescent="0.25">
      <c r="A253">
        <v>5240</v>
      </c>
      <c r="B253">
        <v>23690</v>
      </c>
      <c r="C253" s="6">
        <v>43198</v>
      </c>
      <c r="D253" t="s">
        <v>32</v>
      </c>
      <c r="G253">
        <v>13.8</v>
      </c>
      <c r="H253">
        <v>10</v>
      </c>
      <c r="I253">
        <v>18.3</v>
      </c>
      <c r="J253">
        <f t="shared" si="28"/>
        <v>1827.8</v>
      </c>
      <c r="K253">
        <f>G253</f>
        <v>13.8</v>
      </c>
      <c r="L253" s="18" t="s">
        <v>37</v>
      </c>
      <c r="M253">
        <v>0.4</v>
      </c>
      <c r="N253">
        <v>1.1000000000000001</v>
      </c>
      <c r="O253">
        <f t="shared" si="24"/>
        <v>-0.70000000000000007</v>
      </c>
      <c r="Q253">
        <v>224</v>
      </c>
      <c r="R253">
        <v>1.1499999999999999</v>
      </c>
      <c r="S253">
        <f t="shared" si="25"/>
        <v>1.2649999999999999</v>
      </c>
      <c r="T253">
        <f t="shared" si="26"/>
        <v>-0.86499999999999988</v>
      </c>
      <c r="U253">
        <f t="shared" si="30"/>
        <v>214.86529411764704</v>
      </c>
      <c r="V253" s="20" t="s">
        <v>44</v>
      </c>
      <c r="W253">
        <v>421.6</v>
      </c>
      <c r="X253">
        <f>W253</f>
        <v>421.6</v>
      </c>
      <c r="Y253">
        <v>13.021444826746009</v>
      </c>
      <c r="Z253" s="20" t="s">
        <v>49</v>
      </c>
    </row>
    <row r="254" spans="1:26" x14ac:dyDescent="0.25">
      <c r="A254">
        <v>5240</v>
      </c>
      <c r="B254">
        <v>23690</v>
      </c>
      <c r="C254" s="6">
        <v>43199</v>
      </c>
      <c r="G254">
        <v>11.6</v>
      </c>
      <c r="H254">
        <v>11.1</v>
      </c>
      <c r="I254">
        <v>12.9</v>
      </c>
      <c r="J254">
        <f t="shared" si="28"/>
        <v>1839.3999999999999</v>
      </c>
      <c r="K254">
        <f t="shared" si="29"/>
        <v>25.4</v>
      </c>
      <c r="L254" s="10">
        <v>281.3</v>
      </c>
      <c r="M254">
        <v>4.4000000000000004</v>
      </c>
      <c r="N254">
        <v>0.4</v>
      </c>
      <c r="O254">
        <f t="shared" si="24"/>
        <v>4</v>
      </c>
      <c r="Q254">
        <v>225</v>
      </c>
      <c r="R254">
        <v>1.1499999999999999</v>
      </c>
      <c r="S254">
        <f t="shared" si="25"/>
        <v>0.45999999999999996</v>
      </c>
      <c r="T254">
        <f t="shared" si="26"/>
        <v>3.9400000000000004</v>
      </c>
      <c r="U254">
        <f t="shared" si="30"/>
        <v>218.80529411764704</v>
      </c>
      <c r="V254">
        <v>0</v>
      </c>
      <c r="W254">
        <v>284.7</v>
      </c>
      <c r="X254">
        <f t="shared" si="31"/>
        <v>706.3</v>
      </c>
      <c r="Y254">
        <v>13.080627152778108</v>
      </c>
      <c r="Z254">
        <v>29936.400000000001</v>
      </c>
    </row>
    <row r="255" spans="1:26" ht="15.75" thickBot="1" x14ac:dyDescent="0.3">
      <c r="A255">
        <v>5240</v>
      </c>
      <c r="B255">
        <v>23690</v>
      </c>
      <c r="C255" s="6">
        <v>43200</v>
      </c>
      <c r="G255">
        <v>10.4</v>
      </c>
      <c r="H255">
        <v>9.8000000000000007</v>
      </c>
      <c r="I255">
        <v>11.8</v>
      </c>
      <c r="J255">
        <f t="shared" si="28"/>
        <v>1849.8</v>
      </c>
      <c r="K255">
        <f t="shared" si="29"/>
        <v>35.799999999999997</v>
      </c>
      <c r="L255" s="29" t="s">
        <v>38</v>
      </c>
      <c r="M255">
        <v>0.4</v>
      </c>
      <c r="N255">
        <v>0.8</v>
      </c>
      <c r="O255">
        <f t="shared" si="24"/>
        <v>-0.4</v>
      </c>
      <c r="Q255">
        <v>226</v>
      </c>
      <c r="R255">
        <v>1.1499999999999999</v>
      </c>
      <c r="S255">
        <f t="shared" si="25"/>
        <v>0.91999999999999993</v>
      </c>
      <c r="T255">
        <f t="shared" si="26"/>
        <v>-0.51999999999999991</v>
      </c>
      <c r="U255">
        <f t="shared" si="30"/>
        <v>218.28529411764703</v>
      </c>
      <c r="V255" s="30" t="s">
        <v>45</v>
      </c>
      <c r="W255">
        <v>494.8</v>
      </c>
      <c r="X255">
        <f t="shared" si="31"/>
        <v>1201.0999999999999</v>
      </c>
      <c r="Y255">
        <v>13.139648328806677</v>
      </c>
      <c r="Z255" s="30" t="s">
        <v>50</v>
      </c>
    </row>
    <row r="256" spans="1:26" x14ac:dyDescent="0.25">
      <c r="A256">
        <v>5240</v>
      </c>
      <c r="B256">
        <v>23690</v>
      </c>
      <c r="C256" s="6">
        <v>43201</v>
      </c>
      <c r="G256">
        <v>11.5</v>
      </c>
      <c r="H256">
        <v>6.2</v>
      </c>
      <c r="I256">
        <v>16.399999999999999</v>
      </c>
      <c r="J256">
        <f t="shared" si="28"/>
        <v>1861.3</v>
      </c>
      <c r="K256">
        <f t="shared" si="29"/>
        <v>47.3</v>
      </c>
      <c r="L256" s="11">
        <f>AVERAGE(G253:G273)</f>
        <v>13.395238095238096</v>
      </c>
      <c r="M256">
        <v>0</v>
      </c>
      <c r="N256">
        <v>2.2000000000000002</v>
      </c>
      <c r="O256">
        <f t="shared" si="24"/>
        <v>-2.2000000000000002</v>
      </c>
      <c r="Q256">
        <v>227</v>
      </c>
      <c r="R256">
        <v>1.1499999999999999</v>
      </c>
      <c r="S256">
        <f t="shared" si="25"/>
        <v>2.5299999999999998</v>
      </c>
      <c r="T256">
        <f t="shared" si="26"/>
        <v>-2.5299999999999998</v>
      </c>
      <c r="U256">
        <f t="shared" si="30"/>
        <v>215.75529411764703</v>
      </c>
      <c r="V256">
        <v>0</v>
      </c>
      <c r="W256">
        <v>1743</v>
      </c>
      <c r="X256">
        <f t="shared" si="31"/>
        <v>2944.1</v>
      </c>
      <c r="Y256">
        <v>13.198497637168131</v>
      </c>
      <c r="Z256" s="1">
        <f>(Z254/100)/L254</f>
        <v>1.0642161393530041</v>
      </c>
    </row>
    <row r="257" spans="1:26" x14ac:dyDescent="0.25">
      <c r="A257">
        <v>5240</v>
      </c>
      <c r="B257">
        <v>23690</v>
      </c>
      <c r="C257" s="6">
        <v>43202</v>
      </c>
      <c r="G257">
        <v>10.8</v>
      </c>
      <c r="H257">
        <v>7.8</v>
      </c>
      <c r="I257">
        <v>15</v>
      </c>
      <c r="J257">
        <f t="shared" si="28"/>
        <v>1872.1</v>
      </c>
      <c r="K257">
        <f t="shared" si="29"/>
        <v>58.099999999999994</v>
      </c>
      <c r="L257" s="18" t="s">
        <v>39</v>
      </c>
      <c r="M257">
        <v>7.2</v>
      </c>
      <c r="N257">
        <v>0.9</v>
      </c>
      <c r="O257">
        <f t="shared" si="24"/>
        <v>6.3</v>
      </c>
      <c r="Q257">
        <v>228</v>
      </c>
      <c r="R257">
        <v>1.1499999999999999</v>
      </c>
      <c r="S257">
        <f t="shared" si="25"/>
        <v>1.0349999999999999</v>
      </c>
      <c r="T257">
        <f t="shared" si="26"/>
        <v>6.165</v>
      </c>
      <c r="U257">
        <f t="shared" si="30"/>
        <v>218.9</v>
      </c>
      <c r="V257" s="20" t="s">
        <v>46</v>
      </c>
      <c r="W257">
        <v>649.4</v>
      </c>
      <c r="X257">
        <f t="shared" si="31"/>
        <v>3593.5</v>
      </c>
      <c r="Y257">
        <v>13.257164080071231</v>
      </c>
      <c r="Z257" s="20" t="s">
        <v>51</v>
      </c>
    </row>
    <row r="258" spans="1:26" x14ac:dyDescent="0.25">
      <c r="A258">
        <v>5240</v>
      </c>
      <c r="B258">
        <v>23690</v>
      </c>
      <c r="C258" s="6">
        <v>43203</v>
      </c>
      <c r="G258">
        <v>12.1</v>
      </c>
      <c r="H258">
        <v>9.4</v>
      </c>
      <c r="I258">
        <v>15.1</v>
      </c>
      <c r="J258">
        <f t="shared" si="28"/>
        <v>1884.1999999999998</v>
      </c>
      <c r="K258">
        <f t="shared" si="29"/>
        <v>70.199999999999989</v>
      </c>
      <c r="L258" s="12">
        <f>MIN(H253:H273)</f>
        <v>6.1</v>
      </c>
      <c r="M258">
        <v>0.3</v>
      </c>
      <c r="N258">
        <v>1.5</v>
      </c>
      <c r="O258">
        <f t="shared" si="24"/>
        <v>-1.2</v>
      </c>
      <c r="Q258">
        <v>229</v>
      </c>
      <c r="R258">
        <v>1.1499999999999999</v>
      </c>
      <c r="S258">
        <f t="shared" si="25"/>
        <v>1.7249999999999999</v>
      </c>
      <c r="T258">
        <f t="shared" si="26"/>
        <v>-1.4249999999999998</v>
      </c>
      <c r="U258">
        <f t="shared" si="30"/>
        <v>217.47499999999999</v>
      </c>
      <c r="V258" s="1">
        <f>MIN(U253:U273)</f>
        <v>174.13500000000002</v>
      </c>
      <c r="W258">
        <v>1102.5</v>
      </c>
      <c r="X258">
        <f t="shared" si="31"/>
        <v>4696</v>
      </c>
      <c r="Y258">
        <v>13.315636366634662</v>
      </c>
      <c r="Z258">
        <v>6</v>
      </c>
    </row>
    <row r="259" spans="1:26" x14ac:dyDescent="0.25">
      <c r="A259">
        <v>5240</v>
      </c>
      <c r="B259">
        <v>23690</v>
      </c>
      <c r="C259" s="6">
        <v>43204</v>
      </c>
      <c r="G259">
        <v>11</v>
      </c>
      <c r="H259">
        <v>8</v>
      </c>
      <c r="I259">
        <v>14.2</v>
      </c>
      <c r="J259">
        <f t="shared" si="28"/>
        <v>1895.1999999999998</v>
      </c>
      <c r="K259">
        <f t="shared" si="29"/>
        <v>81.199999999999989</v>
      </c>
      <c r="L259" s="18" t="s">
        <v>40</v>
      </c>
      <c r="M259">
        <v>2.5</v>
      </c>
      <c r="N259">
        <v>0.7</v>
      </c>
      <c r="O259">
        <f t="shared" si="24"/>
        <v>1.8</v>
      </c>
      <c r="Q259">
        <v>230</v>
      </c>
      <c r="R259">
        <v>1.1499999999999999</v>
      </c>
      <c r="S259">
        <f t="shared" si="25"/>
        <v>0.80499999999999994</v>
      </c>
      <c r="T259">
        <f t="shared" si="26"/>
        <v>1.6950000000000001</v>
      </c>
      <c r="U259">
        <f t="shared" si="30"/>
        <v>218.9</v>
      </c>
      <c r="V259" s="20" t="s">
        <v>47</v>
      </c>
      <c r="W259">
        <v>672.8</v>
      </c>
      <c r="X259">
        <f t="shared" si="31"/>
        <v>5368.8</v>
      </c>
      <c r="Y259">
        <v>13.373902900264316</v>
      </c>
    </row>
    <row r="260" spans="1:26" x14ac:dyDescent="0.25">
      <c r="A260">
        <v>5240</v>
      </c>
      <c r="B260">
        <v>23690</v>
      </c>
      <c r="C260" s="6">
        <v>43205</v>
      </c>
      <c r="G260">
        <v>11.7</v>
      </c>
      <c r="H260">
        <v>7.6</v>
      </c>
      <c r="I260">
        <v>15.2</v>
      </c>
      <c r="J260">
        <f t="shared" si="28"/>
        <v>1906.8999999999999</v>
      </c>
      <c r="K260">
        <f t="shared" si="29"/>
        <v>92.899999999999991</v>
      </c>
      <c r="L260" s="10">
        <f>MAX(I253:I273)</f>
        <v>26.4</v>
      </c>
      <c r="M260">
        <v>0</v>
      </c>
      <c r="N260">
        <v>1.6</v>
      </c>
      <c r="O260">
        <f t="shared" si="24"/>
        <v>-1.6</v>
      </c>
      <c r="Q260">
        <v>231</v>
      </c>
      <c r="R260">
        <v>1.1499999999999999</v>
      </c>
      <c r="S260">
        <f t="shared" si="25"/>
        <v>1.8399999999999999</v>
      </c>
      <c r="T260">
        <f t="shared" si="26"/>
        <v>-1.8399999999999999</v>
      </c>
      <c r="U260">
        <f t="shared" si="30"/>
        <v>217.06</v>
      </c>
      <c r="V260" s="1">
        <f>MAX(U253:U273)</f>
        <v>218.9</v>
      </c>
      <c r="W260">
        <v>1378.8</v>
      </c>
      <c r="X260">
        <f t="shared" si="31"/>
        <v>6747.6</v>
      </c>
      <c r="Y260">
        <v>13.431951766403538</v>
      </c>
    </row>
    <row r="261" spans="1:26" x14ac:dyDescent="0.25">
      <c r="A261">
        <v>5240</v>
      </c>
      <c r="B261">
        <v>23690</v>
      </c>
      <c r="C261" s="6">
        <v>43206</v>
      </c>
      <c r="G261">
        <v>11</v>
      </c>
      <c r="H261">
        <v>7.1</v>
      </c>
      <c r="I261">
        <v>14.9</v>
      </c>
      <c r="J261">
        <f t="shared" si="28"/>
        <v>1917.8999999999999</v>
      </c>
      <c r="K261">
        <f t="shared" si="29"/>
        <v>103.89999999999999</v>
      </c>
      <c r="L261" s="18" t="s">
        <v>41</v>
      </c>
      <c r="M261">
        <v>0</v>
      </c>
      <c r="N261">
        <v>1.4</v>
      </c>
      <c r="O261">
        <f t="shared" ref="O261:O324" si="32">M261-N261</f>
        <v>-1.4</v>
      </c>
      <c r="Q261">
        <v>232</v>
      </c>
      <c r="R261">
        <v>1.1499999999999999</v>
      </c>
      <c r="S261">
        <f t="shared" ref="S261:S324" si="33">R261*N261</f>
        <v>1.6099999999999999</v>
      </c>
      <c r="T261">
        <f t="shared" ref="T261:T324" si="34">M261-S261</f>
        <v>-1.6099999999999999</v>
      </c>
      <c r="U261">
        <f t="shared" si="30"/>
        <v>215.45</v>
      </c>
      <c r="V261" s="20" t="s">
        <v>48</v>
      </c>
      <c r="W261">
        <v>1123.3</v>
      </c>
      <c r="X261">
        <f t="shared" si="31"/>
        <v>7870.9000000000005</v>
      </c>
      <c r="Y261">
        <v>13.489770720691777</v>
      </c>
    </row>
    <row r="262" spans="1:26" x14ac:dyDescent="0.25">
      <c r="A262">
        <v>5240</v>
      </c>
      <c r="B262">
        <v>23690</v>
      </c>
      <c r="C262" s="6">
        <v>43207</v>
      </c>
      <c r="G262">
        <v>13.3</v>
      </c>
      <c r="H262">
        <v>6.5</v>
      </c>
      <c r="I262">
        <v>19.399999999999999</v>
      </c>
      <c r="J262">
        <f t="shared" si="28"/>
        <v>1931.1999999999998</v>
      </c>
      <c r="K262">
        <f t="shared" si="29"/>
        <v>117.19999999999999</v>
      </c>
      <c r="L262" s="10">
        <v>2</v>
      </c>
      <c r="M262">
        <v>0</v>
      </c>
      <c r="N262">
        <v>3.6</v>
      </c>
      <c r="O262">
        <f t="shared" si="32"/>
        <v>-3.6</v>
      </c>
      <c r="Q262">
        <v>233</v>
      </c>
      <c r="R262">
        <v>1.1499999999999999</v>
      </c>
      <c r="S262">
        <f t="shared" si="33"/>
        <v>4.1399999999999997</v>
      </c>
      <c r="T262">
        <f t="shared" si="34"/>
        <v>-4.1399999999999997</v>
      </c>
      <c r="U262">
        <f t="shared" si="30"/>
        <v>211.31</v>
      </c>
      <c r="V262" s="1">
        <f>AVERAGE(U253:U273)</f>
        <v>201.06434173669467</v>
      </c>
      <c r="W262">
        <v>2321.4</v>
      </c>
      <c r="X262">
        <f t="shared" si="31"/>
        <v>10192.300000000001</v>
      </c>
      <c r="Y262">
        <v>13.547347177569586</v>
      </c>
    </row>
    <row r="263" spans="1:26" x14ac:dyDescent="0.25">
      <c r="A263">
        <v>5240</v>
      </c>
      <c r="B263">
        <v>23690</v>
      </c>
      <c r="C263" s="6">
        <v>43208</v>
      </c>
      <c r="G263">
        <v>15.9</v>
      </c>
      <c r="H263">
        <v>8</v>
      </c>
      <c r="I263">
        <v>23.1</v>
      </c>
      <c r="J263">
        <f t="shared" si="28"/>
        <v>1947.1</v>
      </c>
      <c r="K263">
        <f t="shared" si="29"/>
        <v>133.1</v>
      </c>
      <c r="L263" s="18" t="s">
        <v>42</v>
      </c>
      <c r="M263">
        <v>0</v>
      </c>
      <c r="N263">
        <v>4.3</v>
      </c>
      <c r="O263">
        <f t="shared" si="32"/>
        <v>-4.3</v>
      </c>
      <c r="Q263">
        <v>234</v>
      </c>
      <c r="R263">
        <v>1.1499999999999999</v>
      </c>
      <c r="S263">
        <f t="shared" si="33"/>
        <v>4.9449999999999994</v>
      </c>
      <c r="T263">
        <f t="shared" si="34"/>
        <v>-4.9449999999999994</v>
      </c>
      <c r="U263">
        <f t="shared" si="30"/>
        <v>206.36500000000001</v>
      </c>
      <c r="W263">
        <v>2424.9</v>
      </c>
      <c r="X263">
        <f t="shared" si="31"/>
        <v>12617.2</v>
      </c>
      <c r="Y263">
        <v>13.604668199370206</v>
      </c>
    </row>
    <row r="264" spans="1:26" x14ac:dyDescent="0.25">
      <c r="A264">
        <v>5240</v>
      </c>
      <c r="B264">
        <v>23690</v>
      </c>
      <c r="C264" s="6">
        <v>43209</v>
      </c>
      <c r="G264">
        <v>17.8</v>
      </c>
      <c r="H264">
        <v>10.9</v>
      </c>
      <c r="I264">
        <v>24.2</v>
      </c>
      <c r="J264">
        <f t="shared" si="28"/>
        <v>1964.8999999999999</v>
      </c>
      <c r="K264">
        <f t="shared" si="29"/>
        <v>150.9</v>
      </c>
      <c r="L264" s="10">
        <v>0</v>
      </c>
      <c r="M264">
        <v>0</v>
      </c>
      <c r="N264">
        <v>4.5</v>
      </c>
      <c r="O264">
        <f t="shared" si="32"/>
        <v>-4.5</v>
      </c>
      <c r="Q264">
        <v>235</v>
      </c>
      <c r="R264">
        <v>1.1499999999999999</v>
      </c>
      <c r="S264">
        <f t="shared" si="33"/>
        <v>5.1749999999999998</v>
      </c>
      <c r="T264">
        <f t="shared" si="34"/>
        <v>-5.1749999999999998</v>
      </c>
      <c r="U264">
        <f t="shared" si="30"/>
        <v>201.19</v>
      </c>
      <c r="V264" s="2">
        <f>(V262*100)/218.9</f>
        <v>91.852143324209521</v>
      </c>
      <c r="W264">
        <v>2395</v>
      </c>
      <c r="X264">
        <f t="shared" si="31"/>
        <v>15012.2</v>
      </c>
      <c r="Y264">
        <v>13.661720485940524</v>
      </c>
    </row>
    <row r="265" spans="1:26" x14ac:dyDescent="0.25">
      <c r="A265">
        <v>5240</v>
      </c>
      <c r="B265">
        <v>23690</v>
      </c>
      <c r="C265" s="6">
        <v>43210</v>
      </c>
      <c r="G265">
        <v>19.5</v>
      </c>
      <c r="H265">
        <v>12.4</v>
      </c>
      <c r="I265">
        <v>26.4</v>
      </c>
      <c r="J265">
        <f t="shared" si="28"/>
        <v>1984.3999999999999</v>
      </c>
      <c r="K265">
        <f t="shared" si="29"/>
        <v>170.4</v>
      </c>
      <c r="L265" s="18" t="s">
        <v>43</v>
      </c>
      <c r="M265">
        <v>0</v>
      </c>
      <c r="N265">
        <v>4.7</v>
      </c>
      <c r="O265">
        <f t="shared" si="32"/>
        <v>-4.7</v>
      </c>
      <c r="Q265">
        <v>236</v>
      </c>
      <c r="R265">
        <v>1.1499999999999999</v>
      </c>
      <c r="S265">
        <f t="shared" si="33"/>
        <v>5.4049999999999994</v>
      </c>
      <c r="T265">
        <f t="shared" si="34"/>
        <v>-5.4049999999999994</v>
      </c>
      <c r="U265">
        <f t="shared" si="30"/>
        <v>195.785</v>
      </c>
      <c r="W265">
        <v>2379.1999999999998</v>
      </c>
      <c r="X265">
        <f t="shared" si="31"/>
        <v>17391.400000000001</v>
      </c>
      <c r="Y265">
        <v>13.718490364836674</v>
      </c>
    </row>
    <row r="266" spans="1:26" x14ac:dyDescent="0.25">
      <c r="A266">
        <v>5240</v>
      </c>
      <c r="B266">
        <v>23690</v>
      </c>
      <c r="C266" s="6">
        <v>43211</v>
      </c>
      <c r="G266">
        <v>19.899999999999999</v>
      </c>
      <c r="H266">
        <v>14.5</v>
      </c>
      <c r="I266">
        <v>25.6</v>
      </c>
      <c r="J266">
        <f t="shared" si="28"/>
        <v>2004.3</v>
      </c>
      <c r="K266">
        <f t="shared" si="29"/>
        <v>190.3</v>
      </c>
      <c r="L266" s="19">
        <v>0</v>
      </c>
      <c r="M266">
        <v>0</v>
      </c>
      <c r="N266">
        <v>4.2</v>
      </c>
      <c r="O266">
        <f t="shared" si="32"/>
        <v>-4.2</v>
      </c>
      <c r="Q266">
        <v>237</v>
      </c>
      <c r="R266">
        <v>1.1499999999999999</v>
      </c>
      <c r="S266">
        <f t="shared" si="33"/>
        <v>4.83</v>
      </c>
      <c r="T266">
        <f t="shared" si="34"/>
        <v>-4.83</v>
      </c>
      <c r="U266">
        <f t="shared" si="30"/>
        <v>190.95499999999998</v>
      </c>
      <c r="W266">
        <v>2102.9</v>
      </c>
      <c r="X266">
        <f t="shared" si="31"/>
        <v>19494.300000000003</v>
      </c>
      <c r="Y266">
        <v>13.774963782142086</v>
      </c>
    </row>
    <row r="267" spans="1:26" x14ac:dyDescent="0.25">
      <c r="A267">
        <v>5240</v>
      </c>
      <c r="B267">
        <v>23690</v>
      </c>
      <c r="C267" s="6">
        <v>43212</v>
      </c>
      <c r="G267">
        <v>18.5</v>
      </c>
      <c r="H267">
        <v>14</v>
      </c>
      <c r="I267">
        <v>24.3</v>
      </c>
      <c r="J267">
        <f t="shared" si="28"/>
        <v>2022.8</v>
      </c>
      <c r="K267">
        <f t="shared" si="29"/>
        <v>208.8</v>
      </c>
      <c r="M267">
        <v>0.3</v>
      </c>
      <c r="N267">
        <v>4.3</v>
      </c>
      <c r="O267">
        <f t="shared" si="32"/>
        <v>-4</v>
      </c>
      <c r="Q267">
        <v>238</v>
      </c>
      <c r="R267">
        <v>1.1499999999999999</v>
      </c>
      <c r="S267">
        <f t="shared" si="33"/>
        <v>4.9449999999999994</v>
      </c>
      <c r="T267">
        <f t="shared" si="34"/>
        <v>-4.6449999999999996</v>
      </c>
      <c r="U267">
        <f t="shared" si="30"/>
        <v>186.30999999999997</v>
      </c>
      <c r="W267">
        <v>2209.6</v>
      </c>
      <c r="X267">
        <f t="shared" si="31"/>
        <v>21703.9</v>
      </c>
      <c r="Y267">
        <v>13.831126293958388</v>
      </c>
    </row>
    <row r="268" spans="1:26" x14ac:dyDescent="0.25">
      <c r="A268">
        <v>5240</v>
      </c>
      <c r="B268">
        <v>23690</v>
      </c>
      <c r="C268" s="6">
        <v>43213</v>
      </c>
      <c r="G268">
        <v>13.7</v>
      </c>
      <c r="H268">
        <v>10.8</v>
      </c>
      <c r="I268">
        <v>16.600000000000001</v>
      </c>
      <c r="J268">
        <f t="shared" si="28"/>
        <v>2036.5</v>
      </c>
      <c r="K268">
        <f t="shared" si="29"/>
        <v>222.5</v>
      </c>
      <c r="M268">
        <v>0.1</v>
      </c>
      <c r="N268">
        <v>1.5</v>
      </c>
      <c r="O268">
        <f t="shared" si="32"/>
        <v>-1.4</v>
      </c>
      <c r="Q268">
        <v>239</v>
      </c>
      <c r="R268">
        <v>1.1499999999999999</v>
      </c>
      <c r="S268">
        <f t="shared" si="33"/>
        <v>1.7249999999999999</v>
      </c>
      <c r="T268">
        <f t="shared" si="34"/>
        <v>-1.6249999999999998</v>
      </c>
      <c r="U268">
        <f t="shared" si="30"/>
        <v>184.68499999999997</v>
      </c>
      <c r="W268">
        <v>965.5</v>
      </c>
      <c r="X268">
        <f t="shared" si="31"/>
        <v>22669.4</v>
      </c>
      <c r="Y268">
        <v>13.886963058622026</v>
      </c>
    </row>
    <row r="269" spans="1:26" x14ac:dyDescent="0.25">
      <c r="A269">
        <v>5240</v>
      </c>
      <c r="B269">
        <v>23690</v>
      </c>
      <c r="C269" s="6">
        <v>43214</v>
      </c>
      <c r="G269">
        <v>13.3</v>
      </c>
      <c r="H269">
        <v>7.1</v>
      </c>
      <c r="I269">
        <v>18.7</v>
      </c>
      <c r="J269">
        <f t="shared" si="28"/>
        <v>2049.8000000000002</v>
      </c>
      <c r="K269">
        <f t="shared" si="29"/>
        <v>235.8</v>
      </c>
      <c r="M269">
        <v>0</v>
      </c>
      <c r="N269">
        <v>3</v>
      </c>
      <c r="O269">
        <f t="shared" si="32"/>
        <v>-3</v>
      </c>
      <c r="Q269">
        <v>240</v>
      </c>
      <c r="R269">
        <v>1.1499999999999999</v>
      </c>
      <c r="S269">
        <f t="shared" si="33"/>
        <v>3.4499999999999997</v>
      </c>
      <c r="T269">
        <f t="shared" si="34"/>
        <v>-3.4499999999999997</v>
      </c>
      <c r="U269">
        <f t="shared" si="30"/>
        <v>181.23499999999999</v>
      </c>
      <c r="W269">
        <v>1950.9</v>
      </c>
      <c r="X269">
        <f t="shared" si="31"/>
        <v>24620.300000000003</v>
      </c>
      <c r="Y269">
        <v>13.942458829702066</v>
      </c>
    </row>
    <row r="270" spans="1:26" s="27" customFormat="1" x14ac:dyDescent="0.25">
      <c r="A270" s="27">
        <v>5240</v>
      </c>
      <c r="B270" s="27">
        <v>23690</v>
      </c>
      <c r="C270" s="28">
        <v>43215</v>
      </c>
      <c r="D270"/>
      <c r="G270" s="27">
        <v>12.1</v>
      </c>
      <c r="H270" s="27">
        <v>10.5</v>
      </c>
      <c r="I270" s="27">
        <v>14.6</v>
      </c>
      <c r="J270" s="27">
        <f t="shared" si="28"/>
        <v>2061.9</v>
      </c>
      <c r="K270">
        <f t="shared" si="29"/>
        <v>247.9</v>
      </c>
      <c r="M270" s="27">
        <v>1.2</v>
      </c>
      <c r="N270" s="27">
        <v>1.1000000000000001</v>
      </c>
      <c r="O270" s="27">
        <f t="shared" si="32"/>
        <v>9.9999999999999867E-2</v>
      </c>
      <c r="Q270" s="27">
        <v>241</v>
      </c>
      <c r="R270" s="27">
        <v>1.1499999999999999</v>
      </c>
      <c r="S270" s="27">
        <f t="shared" si="33"/>
        <v>1.2649999999999999</v>
      </c>
      <c r="T270" s="27">
        <f t="shared" si="34"/>
        <v>-6.4999999999999947E-2</v>
      </c>
      <c r="U270" s="27">
        <f t="shared" si="30"/>
        <v>181.17</v>
      </c>
      <c r="W270" s="27">
        <v>574.79999999999995</v>
      </c>
      <c r="X270">
        <f t="shared" si="31"/>
        <v>25195.100000000002</v>
      </c>
      <c r="Y270" s="27">
        <v>13.997597949837006</v>
      </c>
    </row>
    <row r="271" spans="1:26" x14ac:dyDescent="0.25">
      <c r="A271">
        <v>5240</v>
      </c>
      <c r="B271">
        <v>23690</v>
      </c>
      <c r="C271" s="6">
        <v>43216</v>
      </c>
      <c r="G271">
        <v>10.1</v>
      </c>
      <c r="H271">
        <v>6.1</v>
      </c>
      <c r="I271">
        <v>13.9</v>
      </c>
      <c r="J271">
        <f t="shared" si="28"/>
        <v>2072</v>
      </c>
      <c r="K271">
        <f t="shared" si="29"/>
        <v>258</v>
      </c>
      <c r="M271">
        <v>0</v>
      </c>
      <c r="N271">
        <v>2.1</v>
      </c>
      <c r="O271">
        <f t="shared" si="32"/>
        <v>-2.1</v>
      </c>
      <c r="Q271">
        <v>242</v>
      </c>
      <c r="R271">
        <v>1.1499999999999999</v>
      </c>
      <c r="S271">
        <f t="shared" si="33"/>
        <v>2.415</v>
      </c>
      <c r="T271">
        <f t="shared" si="34"/>
        <v>-2.415</v>
      </c>
      <c r="U271">
        <f t="shared" si="30"/>
        <v>178.755</v>
      </c>
      <c r="W271">
        <v>1619.6</v>
      </c>
      <c r="X271">
        <f t="shared" si="31"/>
        <v>26814.7</v>
      </c>
      <c r="Y271">
        <v>14.052364345470931</v>
      </c>
    </row>
    <row r="272" spans="1:26" x14ac:dyDescent="0.25">
      <c r="A272">
        <v>5240</v>
      </c>
      <c r="B272">
        <v>23690</v>
      </c>
      <c r="C272" s="6">
        <v>43217</v>
      </c>
      <c r="G272">
        <v>11.8</v>
      </c>
      <c r="H272">
        <v>7</v>
      </c>
      <c r="I272">
        <v>17.399999999999999</v>
      </c>
      <c r="J272">
        <f t="shared" si="28"/>
        <v>2083.8000000000002</v>
      </c>
      <c r="K272">
        <f t="shared" si="29"/>
        <v>269.8</v>
      </c>
      <c r="M272">
        <v>0</v>
      </c>
      <c r="N272">
        <v>3.3</v>
      </c>
      <c r="O272">
        <f t="shared" si="32"/>
        <v>-3.3</v>
      </c>
      <c r="Q272">
        <v>243</v>
      </c>
      <c r="R272">
        <v>1.1499999999999999</v>
      </c>
      <c r="S272">
        <f t="shared" si="33"/>
        <v>3.7949999999999995</v>
      </c>
      <c r="T272">
        <f t="shared" si="34"/>
        <v>-3.7949999999999995</v>
      </c>
      <c r="U272">
        <f t="shared" si="30"/>
        <v>174.96</v>
      </c>
      <c r="W272">
        <v>1992.5</v>
      </c>
      <c r="X272">
        <f t="shared" si="31"/>
        <v>28807.200000000001</v>
      </c>
      <c r="Y272">
        <v>14.106741522551463</v>
      </c>
    </row>
    <row r="273" spans="1:26" s="7" customFormat="1" ht="15.75" thickBot="1" x14ac:dyDescent="0.3">
      <c r="A273" s="7">
        <v>5240</v>
      </c>
      <c r="B273" s="7">
        <v>23690</v>
      </c>
      <c r="C273" s="8">
        <v>43218</v>
      </c>
      <c r="D273" s="7" t="s">
        <v>33</v>
      </c>
      <c r="G273" s="7">
        <v>11.5</v>
      </c>
      <c r="H273" s="7">
        <v>9.3000000000000007</v>
      </c>
      <c r="I273" s="7">
        <v>13.8</v>
      </c>
      <c r="J273" s="7">
        <f t="shared" si="28"/>
        <v>2095.3000000000002</v>
      </c>
      <c r="K273" s="7">
        <f t="shared" si="29"/>
        <v>281.3</v>
      </c>
      <c r="M273" s="7">
        <v>0.9</v>
      </c>
      <c r="N273" s="7">
        <v>1.5</v>
      </c>
      <c r="O273" s="7">
        <f t="shared" si="32"/>
        <v>-0.6</v>
      </c>
      <c r="Q273" s="7">
        <v>244</v>
      </c>
      <c r="R273" s="7">
        <v>1.1499999999999999</v>
      </c>
      <c r="S273" s="7">
        <f t="shared" si="33"/>
        <v>1.7249999999999999</v>
      </c>
      <c r="T273" s="7">
        <f t="shared" si="34"/>
        <v>-0.82499999999999984</v>
      </c>
      <c r="U273" s="7">
        <f t="shared" si="30"/>
        <v>174.13500000000002</v>
      </c>
      <c r="W273" s="7">
        <v>1129.2</v>
      </c>
      <c r="X273" s="7">
        <f t="shared" si="31"/>
        <v>29936.400000000001</v>
      </c>
      <c r="Y273" s="7">
        <v>14.160712563254229</v>
      </c>
    </row>
    <row r="274" spans="1:26" x14ac:dyDescent="0.25">
      <c r="A274">
        <v>5240</v>
      </c>
      <c r="B274">
        <v>23690</v>
      </c>
      <c r="C274" s="6">
        <v>43219</v>
      </c>
      <c r="G274">
        <v>9.6</v>
      </c>
      <c r="H274">
        <v>8.9</v>
      </c>
      <c r="I274">
        <v>10.7</v>
      </c>
      <c r="J274">
        <f t="shared" si="28"/>
        <v>2104.9</v>
      </c>
      <c r="K274">
        <f>G274</f>
        <v>9.6</v>
      </c>
      <c r="L274" s="21" t="s">
        <v>37</v>
      </c>
      <c r="M274">
        <v>10.4</v>
      </c>
      <c r="N274">
        <v>0.6</v>
      </c>
      <c r="O274">
        <f t="shared" si="32"/>
        <v>9.8000000000000007</v>
      </c>
      <c r="Q274">
        <v>245</v>
      </c>
      <c r="R274">
        <v>1.1499999999999999</v>
      </c>
      <c r="S274">
        <f t="shared" si="33"/>
        <v>0.69</v>
      </c>
      <c r="T274">
        <f t="shared" si="34"/>
        <v>9.7100000000000009</v>
      </c>
      <c r="U274">
        <f t="shared" si="30"/>
        <v>183.84500000000003</v>
      </c>
      <c r="V274" s="22" t="s">
        <v>44</v>
      </c>
      <c r="W274">
        <v>349.7</v>
      </c>
      <c r="X274">
        <f>W274</f>
        <v>349.7</v>
      </c>
      <c r="Y274">
        <v>14.214260123800484</v>
      </c>
      <c r="Z274" s="22" t="s">
        <v>49</v>
      </c>
    </row>
    <row r="275" spans="1:26" x14ac:dyDescent="0.25">
      <c r="A275">
        <v>5240</v>
      </c>
      <c r="B275">
        <v>23690</v>
      </c>
      <c r="C275" s="6">
        <v>43220</v>
      </c>
      <c r="G275">
        <v>5.7</v>
      </c>
      <c r="H275">
        <v>5.2</v>
      </c>
      <c r="I275">
        <v>6</v>
      </c>
      <c r="J275">
        <f t="shared" si="28"/>
        <v>2110.6</v>
      </c>
      <c r="K275">
        <f t="shared" si="29"/>
        <v>15.3</v>
      </c>
      <c r="L275" s="10">
        <v>302</v>
      </c>
      <c r="M275">
        <v>4.3</v>
      </c>
      <c r="N275">
        <v>0.3</v>
      </c>
      <c r="O275">
        <f t="shared" si="32"/>
        <v>4</v>
      </c>
      <c r="Q275">
        <v>246</v>
      </c>
      <c r="R275">
        <v>1.1499999999999999</v>
      </c>
      <c r="S275">
        <f t="shared" si="33"/>
        <v>0.34499999999999997</v>
      </c>
      <c r="T275">
        <f t="shared" si="34"/>
        <v>3.9550000000000001</v>
      </c>
      <c r="U275">
        <f t="shared" si="30"/>
        <v>187.80000000000004</v>
      </c>
      <c r="V275">
        <v>0</v>
      </c>
      <c r="W275">
        <v>385.4</v>
      </c>
      <c r="X275">
        <f t="shared" si="31"/>
        <v>735.09999999999991</v>
      </c>
      <c r="Y275">
        <v>14.267366433436242</v>
      </c>
      <c r="Z275">
        <v>41118.9</v>
      </c>
    </row>
    <row r="276" spans="1:26" x14ac:dyDescent="0.25">
      <c r="A276">
        <v>5240</v>
      </c>
      <c r="B276">
        <v>23690</v>
      </c>
      <c r="C276" s="6">
        <v>43221</v>
      </c>
      <c r="G276">
        <v>7.7</v>
      </c>
      <c r="H276">
        <v>3.4</v>
      </c>
      <c r="I276">
        <v>11.9</v>
      </c>
      <c r="J276">
        <f t="shared" si="28"/>
        <v>2118.2999999999997</v>
      </c>
      <c r="K276">
        <f t="shared" si="29"/>
        <v>23</v>
      </c>
      <c r="L276" s="21" t="s">
        <v>38</v>
      </c>
      <c r="M276">
        <v>0</v>
      </c>
      <c r="N276">
        <v>2.1</v>
      </c>
      <c r="O276">
        <f t="shared" si="32"/>
        <v>-2.1</v>
      </c>
      <c r="Q276">
        <v>247</v>
      </c>
      <c r="R276">
        <v>1.1499999999999999</v>
      </c>
      <c r="S276">
        <f t="shared" si="33"/>
        <v>2.415</v>
      </c>
      <c r="T276">
        <f t="shared" si="34"/>
        <v>-2.415</v>
      </c>
      <c r="U276">
        <f t="shared" si="30"/>
        <v>185.38500000000005</v>
      </c>
      <c r="V276" s="22" t="s">
        <v>45</v>
      </c>
      <c r="W276">
        <v>1920.3</v>
      </c>
      <c r="X276">
        <f t="shared" si="31"/>
        <v>2655.3999999999996</v>
      </c>
      <c r="Y276">
        <v>14.32001329464283</v>
      </c>
      <c r="Z276" s="22" t="s">
        <v>50</v>
      </c>
    </row>
    <row r="277" spans="1:26" x14ac:dyDescent="0.25">
      <c r="A277">
        <v>5240</v>
      </c>
      <c r="B277">
        <v>23690</v>
      </c>
      <c r="C277" s="6">
        <v>43222</v>
      </c>
      <c r="G277">
        <v>9.6999999999999993</v>
      </c>
      <c r="H277">
        <v>3.8</v>
      </c>
      <c r="I277">
        <v>14.2</v>
      </c>
      <c r="J277">
        <f t="shared" si="28"/>
        <v>2127.9999999999995</v>
      </c>
      <c r="K277">
        <f t="shared" si="29"/>
        <v>32.700000000000003</v>
      </c>
      <c r="L277" s="11">
        <f>AVERAGE(G274:G296)</f>
        <v>13.130434782608699</v>
      </c>
      <c r="M277">
        <v>0</v>
      </c>
      <c r="N277">
        <v>1.5</v>
      </c>
      <c r="O277">
        <f t="shared" si="32"/>
        <v>-1.5</v>
      </c>
      <c r="Q277">
        <v>248</v>
      </c>
      <c r="R277">
        <v>1.1499999999999999</v>
      </c>
      <c r="S277">
        <f t="shared" si="33"/>
        <v>1.7249999999999999</v>
      </c>
      <c r="T277">
        <f t="shared" si="34"/>
        <v>-1.7249999999999999</v>
      </c>
      <c r="U277">
        <f t="shared" si="30"/>
        <v>183.66000000000005</v>
      </c>
      <c r="V277">
        <v>0</v>
      </c>
      <c r="W277">
        <v>1099.9000000000001</v>
      </c>
      <c r="X277">
        <f t="shared" si="31"/>
        <v>3755.2999999999997</v>
      </c>
      <c r="Y277">
        <v>14.372182084650003</v>
      </c>
      <c r="Z277">
        <f>(Z275/100)/L275</f>
        <v>1.3615529801324504</v>
      </c>
    </row>
    <row r="278" spans="1:26" x14ac:dyDescent="0.25">
      <c r="A278">
        <v>5240</v>
      </c>
      <c r="B278">
        <v>23690</v>
      </c>
      <c r="C278" s="6">
        <v>43223</v>
      </c>
      <c r="G278">
        <v>10.4</v>
      </c>
      <c r="H278">
        <v>6.2</v>
      </c>
      <c r="I278">
        <v>15.3</v>
      </c>
      <c r="J278">
        <f t="shared" si="28"/>
        <v>2138.3999999999996</v>
      </c>
      <c r="K278">
        <f t="shared" si="29"/>
        <v>43.1</v>
      </c>
      <c r="L278" s="21" t="s">
        <v>39</v>
      </c>
      <c r="M278">
        <v>0.1</v>
      </c>
      <c r="N278">
        <v>2.6</v>
      </c>
      <c r="O278">
        <f t="shared" si="32"/>
        <v>-2.5</v>
      </c>
      <c r="Q278">
        <v>249</v>
      </c>
      <c r="R278">
        <v>1.1499999999999999</v>
      </c>
      <c r="S278">
        <f t="shared" si="33"/>
        <v>2.9899999999999998</v>
      </c>
      <c r="T278">
        <f t="shared" si="34"/>
        <v>-2.8899999999999997</v>
      </c>
      <c r="U278">
        <f t="shared" si="30"/>
        <v>180.77000000000007</v>
      </c>
      <c r="V278" s="22" t="s">
        <v>46</v>
      </c>
      <c r="W278">
        <v>1651.1</v>
      </c>
      <c r="X278">
        <f t="shared" si="31"/>
        <v>5406.4</v>
      </c>
      <c r="Y278">
        <v>14.423853758323567</v>
      </c>
      <c r="Z278" s="22" t="s">
        <v>51</v>
      </c>
    </row>
    <row r="279" spans="1:26" x14ac:dyDescent="0.25">
      <c r="A279">
        <v>5240</v>
      </c>
      <c r="B279">
        <v>23690</v>
      </c>
      <c r="C279" s="6">
        <v>43224</v>
      </c>
      <c r="G279">
        <v>11.6</v>
      </c>
      <c r="H279">
        <v>5.4</v>
      </c>
      <c r="I279">
        <v>17.100000000000001</v>
      </c>
      <c r="J279">
        <f t="shared" si="28"/>
        <v>2149.9999999999995</v>
      </c>
      <c r="K279">
        <f t="shared" si="29"/>
        <v>54.7</v>
      </c>
      <c r="L279" s="12">
        <f>MIN(H274:H296)</f>
        <v>3.4</v>
      </c>
      <c r="M279">
        <v>0</v>
      </c>
      <c r="N279">
        <v>4</v>
      </c>
      <c r="O279">
        <f t="shared" si="32"/>
        <v>-4</v>
      </c>
      <c r="Q279">
        <v>250</v>
      </c>
      <c r="R279">
        <v>1.1499999999999999</v>
      </c>
      <c r="S279">
        <f t="shared" si="33"/>
        <v>4.5999999999999996</v>
      </c>
      <c r="T279">
        <f t="shared" si="34"/>
        <v>-4.5999999999999996</v>
      </c>
      <c r="U279">
        <f t="shared" si="30"/>
        <v>176.17000000000007</v>
      </c>
      <c r="V279" s="1">
        <f>MIN(U274:U296)</f>
        <v>121.28000000000003</v>
      </c>
      <c r="W279">
        <v>2665.4</v>
      </c>
      <c r="X279">
        <f t="shared" si="31"/>
        <v>8071.7999999999993</v>
      </c>
      <c r="Y279">
        <v>14.475008852500045</v>
      </c>
      <c r="Z279">
        <v>5</v>
      </c>
    </row>
    <row r="280" spans="1:26" x14ac:dyDescent="0.25">
      <c r="A280">
        <v>5240</v>
      </c>
      <c r="B280">
        <v>23690</v>
      </c>
      <c r="C280" s="6">
        <v>43225</v>
      </c>
      <c r="G280">
        <v>15.4</v>
      </c>
      <c r="H280">
        <v>7.6</v>
      </c>
      <c r="I280">
        <v>21.2</v>
      </c>
      <c r="J280">
        <f t="shared" si="28"/>
        <v>2165.3999999999996</v>
      </c>
      <c r="K280">
        <f t="shared" si="29"/>
        <v>70.100000000000009</v>
      </c>
      <c r="L280" s="21" t="s">
        <v>40</v>
      </c>
      <c r="M280">
        <v>0</v>
      </c>
      <c r="N280">
        <v>4.3</v>
      </c>
      <c r="O280">
        <f t="shared" si="32"/>
        <v>-4.3</v>
      </c>
      <c r="Q280">
        <v>251</v>
      </c>
      <c r="R280">
        <v>1.1499999999999999</v>
      </c>
      <c r="S280">
        <f t="shared" si="33"/>
        <v>4.9449999999999994</v>
      </c>
      <c r="T280">
        <f t="shared" si="34"/>
        <v>-4.9449999999999994</v>
      </c>
      <c r="U280">
        <f t="shared" si="30"/>
        <v>171.22500000000008</v>
      </c>
      <c r="V280" s="22" t="s">
        <v>47</v>
      </c>
      <c r="W280">
        <v>2709</v>
      </c>
      <c r="X280">
        <f t="shared" si="31"/>
        <v>10780.8</v>
      </c>
      <c r="Y280">
        <v>14.525627491840906</v>
      </c>
    </row>
    <row r="281" spans="1:26" x14ac:dyDescent="0.25">
      <c r="A281">
        <v>5240</v>
      </c>
      <c r="B281">
        <v>23690</v>
      </c>
      <c r="C281" s="6">
        <v>43226</v>
      </c>
      <c r="G281">
        <v>19</v>
      </c>
      <c r="H281">
        <v>12.4</v>
      </c>
      <c r="I281">
        <v>25</v>
      </c>
      <c r="J281">
        <f t="shared" si="28"/>
        <v>2184.3999999999996</v>
      </c>
      <c r="K281">
        <f t="shared" si="29"/>
        <v>89.100000000000009</v>
      </c>
      <c r="L281" s="10">
        <f>MAX(I274:I296)</f>
        <v>25.4</v>
      </c>
      <c r="M281">
        <v>0</v>
      </c>
      <c r="N281">
        <v>4.9000000000000004</v>
      </c>
      <c r="O281">
        <f t="shared" si="32"/>
        <v>-4.9000000000000004</v>
      </c>
      <c r="Q281">
        <v>252</v>
      </c>
      <c r="R281">
        <v>1.1499999999999999</v>
      </c>
      <c r="S281">
        <f t="shared" si="33"/>
        <v>5.6349999999999998</v>
      </c>
      <c r="T281">
        <f t="shared" si="34"/>
        <v>-5.6349999999999998</v>
      </c>
      <c r="U281">
        <f t="shared" si="30"/>
        <v>165.59000000000009</v>
      </c>
      <c r="V281" s="1">
        <f>MAX(U274:U296)</f>
        <v>187.80000000000004</v>
      </c>
      <c r="W281">
        <v>2682.1</v>
      </c>
      <c r="X281">
        <f t="shared" si="31"/>
        <v>13462.9</v>
      </c>
      <c r="Y281">
        <v>14.5756893962785</v>
      </c>
    </row>
    <row r="282" spans="1:26" x14ac:dyDescent="0.25">
      <c r="A282">
        <v>5240</v>
      </c>
      <c r="B282">
        <v>23690</v>
      </c>
      <c r="C282" s="6">
        <v>43227</v>
      </c>
      <c r="G282">
        <v>19.100000000000001</v>
      </c>
      <c r="H282">
        <v>14.1</v>
      </c>
      <c r="I282">
        <v>25.4</v>
      </c>
      <c r="J282">
        <f t="shared" si="28"/>
        <v>2203.4999999999995</v>
      </c>
      <c r="K282">
        <f t="shared" si="29"/>
        <v>108.20000000000002</v>
      </c>
      <c r="L282" s="21" t="s">
        <v>41</v>
      </c>
      <c r="M282">
        <v>0</v>
      </c>
      <c r="N282">
        <v>5.6</v>
      </c>
      <c r="O282">
        <f t="shared" si="32"/>
        <v>-5.6</v>
      </c>
      <c r="Q282">
        <v>253</v>
      </c>
      <c r="R282">
        <v>1.1499999999999999</v>
      </c>
      <c r="S282">
        <f t="shared" si="33"/>
        <v>6.4399999999999995</v>
      </c>
      <c r="T282">
        <f t="shared" si="34"/>
        <v>-6.4399999999999995</v>
      </c>
      <c r="U282">
        <f t="shared" si="30"/>
        <v>159.15000000000009</v>
      </c>
      <c r="V282" s="22" t="s">
        <v>48</v>
      </c>
      <c r="W282">
        <v>2786.2</v>
      </c>
      <c r="X282">
        <f t="shared" si="31"/>
        <v>16249.099999999999</v>
      </c>
      <c r="Y282">
        <v>14.625173890124875</v>
      </c>
    </row>
    <row r="283" spans="1:26" x14ac:dyDescent="0.25">
      <c r="A283">
        <v>5240</v>
      </c>
      <c r="B283">
        <v>23690</v>
      </c>
      <c r="C283" s="6">
        <v>43228</v>
      </c>
      <c r="G283">
        <v>18.399999999999999</v>
      </c>
      <c r="H283">
        <v>12.4</v>
      </c>
      <c r="I283">
        <v>25.1</v>
      </c>
      <c r="J283">
        <f t="shared" si="28"/>
        <v>2221.8999999999996</v>
      </c>
      <c r="K283">
        <f t="shared" si="29"/>
        <v>126.60000000000002</v>
      </c>
      <c r="L283" s="10">
        <v>3</v>
      </c>
      <c r="M283">
        <v>0</v>
      </c>
      <c r="N283">
        <v>4.9000000000000004</v>
      </c>
      <c r="O283">
        <f t="shared" si="32"/>
        <v>-4.9000000000000004</v>
      </c>
      <c r="Q283">
        <v>254</v>
      </c>
      <c r="R283">
        <v>1.1499999999999999</v>
      </c>
      <c r="S283">
        <f t="shared" si="33"/>
        <v>5.6349999999999998</v>
      </c>
      <c r="T283">
        <f t="shared" si="34"/>
        <v>-5.6349999999999998</v>
      </c>
      <c r="U283">
        <f t="shared" si="30"/>
        <v>153.5150000000001</v>
      </c>
      <c r="V283" s="1">
        <f>AVERAGE(U274:U296)</f>
        <v>154.77673913043489</v>
      </c>
      <c r="W283">
        <v>2424.9</v>
      </c>
      <c r="X283">
        <f t="shared" si="31"/>
        <v>18674</v>
      </c>
      <c r="Y283">
        <v>14.674059912913028</v>
      </c>
    </row>
    <row r="284" spans="1:26" x14ac:dyDescent="0.25">
      <c r="A284">
        <v>5240</v>
      </c>
      <c r="B284">
        <v>23690</v>
      </c>
      <c r="C284" s="6">
        <v>43229</v>
      </c>
      <c r="G284">
        <v>15.4</v>
      </c>
      <c r="H284">
        <v>12</v>
      </c>
      <c r="I284">
        <v>19.3</v>
      </c>
      <c r="J284">
        <f t="shared" si="28"/>
        <v>2237.2999999999997</v>
      </c>
      <c r="K284">
        <f t="shared" si="29"/>
        <v>142.00000000000003</v>
      </c>
      <c r="L284" s="21" t="s">
        <v>42</v>
      </c>
      <c r="M284">
        <v>0</v>
      </c>
      <c r="N284">
        <v>1.9</v>
      </c>
      <c r="O284">
        <f t="shared" si="32"/>
        <v>-1.9</v>
      </c>
      <c r="Q284">
        <v>255</v>
      </c>
      <c r="R284">
        <v>1.1499999999999999</v>
      </c>
      <c r="S284">
        <f t="shared" si="33"/>
        <v>2.1849999999999996</v>
      </c>
      <c r="T284">
        <f t="shared" si="34"/>
        <v>-2.1849999999999996</v>
      </c>
      <c r="U284">
        <f t="shared" si="30"/>
        <v>151.3300000000001</v>
      </c>
      <c r="W284">
        <v>896.4</v>
      </c>
      <c r="X284">
        <f t="shared" si="31"/>
        <v>19570.400000000001</v>
      </c>
      <c r="Y284">
        <v>14.722326032038033</v>
      </c>
    </row>
    <row r="285" spans="1:26" x14ac:dyDescent="0.25">
      <c r="A285">
        <v>5240</v>
      </c>
      <c r="B285">
        <v>23690</v>
      </c>
      <c r="C285" s="6">
        <v>43230</v>
      </c>
      <c r="G285">
        <v>12.4</v>
      </c>
      <c r="H285">
        <v>10.8</v>
      </c>
      <c r="I285">
        <v>14.9</v>
      </c>
      <c r="J285">
        <f t="shared" si="28"/>
        <v>2249.6999999999998</v>
      </c>
      <c r="K285">
        <f t="shared" si="29"/>
        <v>154.40000000000003</v>
      </c>
      <c r="L285" s="10">
        <v>2</v>
      </c>
      <c r="M285">
        <v>0</v>
      </c>
      <c r="N285">
        <v>2.9</v>
      </c>
      <c r="O285">
        <f t="shared" si="32"/>
        <v>-2.9</v>
      </c>
      <c r="Q285">
        <v>256</v>
      </c>
      <c r="R285">
        <v>1.1499999999999999</v>
      </c>
      <c r="S285">
        <f t="shared" si="33"/>
        <v>3.3349999999999995</v>
      </c>
      <c r="T285">
        <f t="shared" si="34"/>
        <v>-3.3349999999999995</v>
      </c>
      <c r="U285">
        <f t="shared" si="30"/>
        <v>147.99500000000009</v>
      </c>
      <c r="V285" s="2">
        <f>(V283*100)/218.9</f>
        <v>70.706596222217854</v>
      </c>
      <c r="W285">
        <v>1714.4</v>
      </c>
      <c r="X285">
        <f t="shared" si="31"/>
        <v>21284.800000000003</v>
      </c>
      <c r="Y285">
        <v>14.769950457262466</v>
      </c>
    </row>
    <row r="286" spans="1:26" x14ac:dyDescent="0.25">
      <c r="A286">
        <v>5240</v>
      </c>
      <c r="B286">
        <v>23690</v>
      </c>
      <c r="C286" s="6">
        <v>43231</v>
      </c>
      <c r="G286">
        <v>14.4</v>
      </c>
      <c r="H286">
        <v>7.1</v>
      </c>
      <c r="I286">
        <v>19.3</v>
      </c>
      <c r="J286">
        <f t="shared" si="28"/>
        <v>2264.1</v>
      </c>
      <c r="K286">
        <f t="shared" si="29"/>
        <v>168.80000000000004</v>
      </c>
      <c r="L286" s="21" t="s">
        <v>43</v>
      </c>
      <c r="M286">
        <v>0</v>
      </c>
      <c r="N286">
        <v>3.4</v>
      </c>
      <c r="O286">
        <f t="shared" si="32"/>
        <v>-3.4</v>
      </c>
      <c r="Q286">
        <v>257</v>
      </c>
      <c r="R286">
        <v>1.1499999999999999</v>
      </c>
      <c r="S286">
        <f t="shared" si="33"/>
        <v>3.9099999999999997</v>
      </c>
      <c r="T286">
        <f t="shared" si="34"/>
        <v>-3.9099999999999997</v>
      </c>
      <c r="U286">
        <f t="shared" si="30"/>
        <v>144.08500000000009</v>
      </c>
      <c r="W286">
        <v>2194.1</v>
      </c>
      <c r="X286">
        <f t="shared" si="31"/>
        <v>23478.9</v>
      </c>
      <c r="Y286">
        <v>14.816911057146886</v>
      </c>
    </row>
    <row r="287" spans="1:26" x14ac:dyDescent="0.25">
      <c r="A287">
        <v>5240</v>
      </c>
      <c r="B287">
        <v>23690</v>
      </c>
      <c r="C287" s="6">
        <v>43232</v>
      </c>
      <c r="G287">
        <v>11.7</v>
      </c>
      <c r="H287">
        <v>9.1999999999999993</v>
      </c>
      <c r="I287">
        <v>15.5</v>
      </c>
      <c r="J287">
        <f t="shared" si="28"/>
        <v>2275.7999999999997</v>
      </c>
      <c r="K287">
        <f t="shared" si="29"/>
        <v>180.50000000000003</v>
      </c>
      <c r="L287" s="19">
        <v>0</v>
      </c>
      <c r="M287">
        <v>4.7</v>
      </c>
      <c r="N287">
        <v>1.2</v>
      </c>
      <c r="O287">
        <f t="shared" si="32"/>
        <v>3.5</v>
      </c>
      <c r="Q287">
        <v>258</v>
      </c>
      <c r="R287">
        <v>1.1499999999999999</v>
      </c>
      <c r="S287">
        <f t="shared" si="33"/>
        <v>1.38</v>
      </c>
      <c r="T287">
        <f t="shared" si="34"/>
        <v>3.3200000000000003</v>
      </c>
      <c r="U287">
        <f t="shared" si="30"/>
        <v>147.40500000000009</v>
      </c>
      <c r="W287">
        <v>820.9</v>
      </c>
      <c r="X287">
        <f t="shared" si="31"/>
        <v>24299.800000000003</v>
      </c>
      <c r="Y287">
        <v>14.863185377461692</v>
      </c>
    </row>
    <row r="288" spans="1:26" x14ac:dyDescent="0.25">
      <c r="A288">
        <v>5240</v>
      </c>
      <c r="B288">
        <v>23690</v>
      </c>
      <c r="C288" s="6">
        <v>43233</v>
      </c>
      <c r="G288">
        <v>11.1</v>
      </c>
      <c r="H288">
        <v>7.9</v>
      </c>
      <c r="I288">
        <v>14.5</v>
      </c>
      <c r="J288">
        <f t="shared" ref="J288:J351" si="35">J287+G288</f>
        <v>2286.8999999999996</v>
      </c>
      <c r="K288">
        <f t="shared" ref="K288:K351" si="36">K287+G288</f>
        <v>191.60000000000002</v>
      </c>
      <c r="M288">
        <v>0</v>
      </c>
      <c r="N288">
        <v>2</v>
      </c>
      <c r="O288">
        <f t="shared" si="32"/>
        <v>-2</v>
      </c>
      <c r="Q288">
        <v>259</v>
      </c>
      <c r="R288">
        <v>1.1499999999999999</v>
      </c>
      <c r="S288">
        <f t="shared" si="33"/>
        <v>2.2999999999999998</v>
      </c>
      <c r="T288">
        <f t="shared" si="34"/>
        <v>-2.2999999999999998</v>
      </c>
      <c r="U288">
        <f t="shared" ref="U288:U351" si="37">MIN(U287+T288,218.9)</f>
        <v>145.10500000000008</v>
      </c>
      <c r="W288">
        <v>1496.8</v>
      </c>
      <c r="X288">
        <f t="shared" ref="X288:X351" si="38">X287+W288</f>
        <v>25796.600000000002</v>
      </c>
      <c r="Y288">
        <v>14.908750661631176</v>
      </c>
    </row>
    <row r="289" spans="1:26" x14ac:dyDescent="0.25">
      <c r="A289">
        <v>5240</v>
      </c>
      <c r="B289">
        <v>23690</v>
      </c>
      <c r="C289" s="6">
        <v>43234</v>
      </c>
      <c r="G289">
        <v>11.9</v>
      </c>
      <c r="H289">
        <v>9</v>
      </c>
      <c r="I289">
        <v>14.1</v>
      </c>
      <c r="J289">
        <f t="shared" si="35"/>
        <v>2298.7999999999997</v>
      </c>
      <c r="K289">
        <f t="shared" si="36"/>
        <v>203.50000000000003</v>
      </c>
      <c r="M289">
        <v>2.9</v>
      </c>
      <c r="N289">
        <v>0.8</v>
      </c>
      <c r="O289">
        <f t="shared" si="32"/>
        <v>2.0999999999999996</v>
      </c>
      <c r="Q289">
        <v>260</v>
      </c>
      <c r="R289">
        <v>1.1499999999999999</v>
      </c>
      <c r="S289">
        <f t="shared" si="33"/>
        <v>0.91999999999999993</v>
      </c>
      <c r="T289">
        <f t="shared" si="34"/>
        <v>1.98</v>
      </c>
      <c r="U289">
        <f t="shared" si="37"/>
        <v>147.08500000000006</v>
      </c>
      <c r="W289">
        <v>420.9</v>
      </c>
      <c r="X289">
        <f t="shared" si="38"/>
        <v>26217.500000000004</v>
      </c>
      <c r="Y289">
        <v>14.953583873254429</v>
      </c>
    </row>
    <row r="290" spans="1:26" x14ac:dyDescent="0.25">
      <c r="A290">
        <v>5240</v>
      </c>
      <c r="B290">
        <v>23690</v>
      </c>
      <c r="C290" s="6">
        <v>43235</v>
      </c>
      <c r="G290">
        <v>14.2</v>
      </c>
      <c r="H290">
        <v>10.4</v>
      </c>
      <c r="I290">
        <v>17.8</v>
      </c>
      <c r="J290">
        <f t="shared" si="35"/>
        <v>2312.9999999999995</v>
      </c>
      <c r="K290">
        <f t="shared" si="36"/>
        <v>217.70000000000002</v>
      </c>
      <c r="M290">
        <v>0.1</v>
      </c>
      <c r="N290">
        <v>1.9</v>
      </c>
      <c r="O290">
        <f t="shared" si="32"/>
        <v>-1.7999999999999998</v>
      </c>
      <c r="Q290">
        <v>261</v>
      </c>
      <c r="R290">
        <v>1.1499999999999999</v>
      </c>
      <c r="S290">
        <f t="shared" si="33"/>
        <v>2.1849999999999996</v>
      </c>
      <c r="T290">
        <f t="shared" si="34"/>
        <v>-2.0849999999999995</v>
      </c>
      <c r="U290">
        <f t="shared" si="37"/>
        <v>145.00000000000006</v>
      </c>
      <c r="W290">
        <v>1317</v>
      </c>
      <c r="X290">
        <f t="shared" si="38"/>
        <v>27534.500000000004</v>
      </c>
      <c r="Y290">
        <v>14.9976617207404</v>
      </c>
    </row>
    <row r="291" spans="1:26" x14ac:dyDescent="0.25">
      <c r="A291">
        <v>5240</v>
      </c>
      <c r="B291">
        <v>23690</v>
      </c>
      <c r="C291" s="6">
        <v>43236</v>
      </c>
      <c r="G291">
        <v>15.1</v>
      </c>
      <c r="H291">
        <v>11.1</v>
      </c>
      <c r="I291">
        <v>20.3</v>
      </c>
      <c r="J291">
        <f t="shared" si="35"/>
        <v>2328.0999999999995</v>
      </c>
      <c r="K291">
        <f t="shared" si="36"/>
        <v>232.8</v>
      </c>
      <c r="M291">
        <v>0.1</v>
      </c>
      <c r="N291">
        <v>3.8</v>
      </c>
      <c r="O291">
        <f t="shared" si="32"/>
        <v>-3.6999999999999997</v>
      </c>
      <c r="Q291">
        <v>262</v>
      </c>
      <c r="R291">
        <v>1.1499999999999999</v>
      </c>
      <c r="S291">
        <f t="shared" si="33"/>
        <v>4.3699999999999992</v>
      </c>
      <c r="T291">
        <f t="shared" si="34"/>
        <v>-4.2699999999999996</v>
      </c>
      <c r="U291">
        <f t="shared" si="37"/>
        <v>140.73000000000005</v>
      </c>
      <c r="W291">
        <v>2485.5</v>
      </c>
      <c r="X291">
        <f t="shared" si="38"/>
        <v>30020.000000000004</v>
      </c>
      <c r="Y291">
        <v>15.040960684086288</v>
      </c>
    </row>
    <row r="292" spans="1:26" x14ac:dyDescent="0.25">
      <c r="A292">
        <v>5240</v>
      </c>
      <c r="B292">
        <v>23690</v>
      </c>
      <c r="C292" s="6">
        <v>43237</v>
      </c>
      <c r="G292">
        <v>13.3</v>
      </c>
      <c r="H292">
        <v>9.6999999999999993</v>
      </c>
      <c r="I292">
        <v>17.3</v>
      </c>
      <c r="J292">
        <f t="shared" si="35"/>
        <v>2341.3999999999996</v>
      </c>
      <c r="K292">
        <f t="shared" si="36"/>
        <v>246.10000000000002</v>
      </c>
      <c r="M292">
        <v>0</v>
      </c>
      <c r="N292">
        <v>3.2</v>
      </c>
      <c r="O292">
        <f t="shared" si="32"/>
        <v>-3.2</v>
      </c>
      <c r="Q292">
        <v>263</v>
      </c>
      <c r="R292">
        <v>1.1499999999999999</v>
      </c>
      <c r="S292">
        <f t="shared" si="33"/>
        <v>3.6799999999999997</v>
      </c>
      <c r="T292">
        <f t="shared" si="34"/>
        <v>-3.6799999999999997</v>
      </c>
      <c r="U292">
        <f t="shared" si="37"/>
        <v>137.05000000000004</v>
      </c>
      <c r="W292">
        <v>2011.3</v>
      </c>
      <c r="X292">
        <f t="shared" si="38"/>
        <v>32031.300000000003</v>
      </c>
      <c r="Y292">
        <v>15.083457043819072</v>
      </c>
    </row>
    <row r="293" spans="1:26" x14ac:dyDescent="0.25">
      <c r="A293">
        <v>5240</v>
      </c>
      <c r="B293">
        <v>23690</v>
      </c>
      <c r="C293" s="6">
        <v>43238</v>
      </c>
      <c r="G293">
        <v>11.8</v>
      </c>
      <c r="H293">
        <v>6.3</v>
      </c>
      <c r="I293">
        <v>16.899999999999999</v>
      </c>
      <c r="J293">
        <f t="shared" si="35"/>
        <v>2353.1999999999998</v>
      </c>
      <c r="K293">
        <f t="shared" si="36"/>
        <v>257.90000000000003</v>
      </c>
      <c r="M293">
        <v>0.1</v>
      </c>
      <c r="N293">
        <v>3.6</v>
      </c>
      <c r="O293">
        <f t="shared" si="32"/>
        <v>-3.5</v>
      </c>
      <c r="Q293">
        <v>264</v>
      </c>
      <c r="R293">
        <v>1.1499999999999999</v>
      </c>
      <c r="S293">
        <f t="shared" si="33"/>
        <v>4.1399999999999997</v>
      </c>
      <c r="T293">
        <f t="shared" si="34"/>
        <v>-4.04</v>
      </c>
      <c r="U293">
        <f t="shared" si="37"/>
        <v>133.01000000000005</v>
      </c>
      <c r="W293">
        <v>2442</v>
      </c>
      <c r="X293">
        <f t="shared" si="38"/>
        <v>34473.300000000003</v>
      </c>
      <c r="Y293">
        <v>15.12512691210981</v>
      </c>
    </row>
    <row r="294" spans="1:26" s="27" customFormat="1" x14ac:dyDescent="0.25">
      <c r="A294" s="27">
        <v>5240</v>
      </c>
      <c r="B294" s="27">
        <v>23690</v>
      </c>
      <c r="C294" s="28">
        <v>43239</v>
      </c>
      <c r="G294" s="27">
        <v>13</v>
      </c>
      <c r="H294" s="27">
        <v>7.6</v>
      </c>
      <c r="I294" s="27">
        <v>18</v>
      </c>
      <c r="J294" s="27">
        <f t="shared" si="35"/>
        <v>2366.1999999999998</v>
      </c>
      <c r="K294">
        <f t="shared" si="36"/>
        <v>270.90000000000003</v>
      </c>
      <c r="M294" s="27">
        <v>0</v>
      </c>
      <c r="N294" s="27">
        <v>3.9</v>
      </c>
      <c r="O294" s="27">
        <f t="shared" si="32"/>
        <v>-3.9</v>
      </c>
      <c r="Q294" s="27">
        <v>265</v>
      </c>
      <c r="R294" s="27">
        <v>1.1499999999999999</v>
      </c>
      <c r="S294" s="27">
        <f t="shared" si="33"/>
        <v>4.4849999999999994</v>
      </c>
      <c r="T294" s="27">
        <f t="shared" si="34"/>
        <v>-4.4849999999999994</v>
      </c>
      <c r="U294" s="27">
        <f t="shared" si="37"/>
        <v>128.52500000000003</v>
      </c>
      <c r="W294" s="27">
        <v>2595.9</v>
      </c>
      <c r="X294">
        <f t="shared" si="38"/>
        <v>37069.200000000004</v>
      </c>
      <c r="Y294" s="27">
        <v>15.165946266058935</v>
      </c>
    </row>
    <row r="295" spans="1:26" x14ac:dyDescent="0.25">
      <c r="A295">
        <v>5240</v>
      </c>
      <c r="B295">
        <v>23690</v>
      </c>
      <c r="C295" s="6">
        <v>43240</v>
      </c>
      <c r="G295">
        <v>14.6</v>
      </c>
      <c r="H295">
        <v>7.4</v>
      </c>
      <c r="I295">
        <v>21</v>
      </c>
      <c r="J295">
        <f t="shared" si="35"/>
        <v>2380.7999999999997</v>
      </c>
      <c r="K295">
        <f t="shared" si="36"/>
        <v>285.50000000000006</v>
      </c>
      <c r="M295">
        <v>0</v>
      </c>
      <c r="N295">
        <v>3.8</v>
      </c>
      <c r="O295">
        <f t="shared" si="32"/>
        <v>-3.8</v>
      </c>
      <c r="Q295">
        <v>266</v>
      </c>
      <c r="R295">
        <v>1.1499999999999999</v>
      </c>
      <c r="S295">
        <f t="shared" si="33"/>
        <v>4.3699999999999992</v>
      </c>
      <c r="T295">
        <f t="shared" si="34"/>
        <v>-4.3699999999999992</v>
      </c>
      <c r="U295">
        <f t="shared" si="37"/>
        <v>124.15500000000003</v>
      </c>
      <c r="W295">
        <v>2479.9</v>
      </c>
      <c r="X295">
        <f t="shared" si="38"/>
        <v>39549.100000000006</v>
      </c>
      <c r="Y295">
        <v>15.205890983138479</v>
      </c>
    </row>
    <row r="296" spans="1:26" s="7" customFormat="1" ht="15.75" thickBot="1" x14ac:dyDescent="0.3">
      <c r="A296" s="7">
        <v>5240</v>
      </c>
      <c r="B296" s="7">
        <v>23690</v>
      </c>
      <c r="C296" s="8">
        <v>43241</v>
      </c>
      <c r="D296" s="7">
        <v>300</v>
      </c>
      <c r="G296" s="7">
        <v>16.5</v>
      </c>
      <c r="H296" s="7">
        <v>11.4</v>
      </c>
      <c r="I296" s="7">
        <v>21.2</v>
      </c>
      <c r="J296" s="7">
        <f t="shared" si="35"/>
        <v>2397.2999999999997</v>
      </c>
      <c r="K296" s="7">
        <f t="shared" si="36"/>
        <v>302.00000000000006</v>
      </c>
      <c r="M296" s="7">
        <v>0</v>
      </c>
      <c r="N296" s="7">
        <v>2.5</v>
      </c>
      <c r="O296" s="7">
        <f t="shared" si="32"/>
        <v>-2.5</v>
      </c>
      <c r="Q296" s="7">
        <v>267</v>
      </c>
      <c r="R296" s="7">
        <v>1.1499999999999999</v>
      </c>
      <c r="S296" s="7">
        <f t="shared" si="33"/>
        <v>2.875</v>
      </c>
      <c r="T296" s="7">
        <f t="shared" si="34"/>
        <v>-2.875</v>
      </c>
      <c r="U296" s="7">
        <f t="shared" si="37"/>
        <v>121.28000000000003</v>
      </c>
      <c r="W296" s="7">
        <v>1569.8</v>
      </c>
      <c r="X296" s="7">
        <f t="shared" si="38"/>
        <v>41118.900000000009</v>
      </c>
      <c r="Y296" s="7">
        <v>15.244936878763749</v>
      </c>
    </row>
    <row r="297" spans="1:26" x14ac:dyDescent="0.25">
      <c r="A297">
        <v>5240</v>
      </c>
      <c r="B297">
        <v>23690</v>
      </c>
      <c r="C297" s="6">
        <v>43242</v>
      </c>
      <c r="G297">
        <v>15.8</v>
      </c>
      <c r="H297">
        <v>12.4</v>
      </c>
      <c r="I297">
        <v>21.8</v>
      </c>
      <c r="J297">
        <f t="shared" si="35"/>
        <v>2413.1</v>
      </c>
      <c r="K297">
        <f>G297</f>
        <v>15.8</v>
      </c>
      <c r="L297" s="23" t="s">
        <v>37</v>
      </c>
      <c r="M297">
        <v>6.3</v>
      </c>
      <c r="N297">
        <v>3.5</v>
      </c>
      <c r="O297">
        <f t="shared" si="32"/>
        <v>2.8</v>
      </c>
      <c r="Q297">
        <v>268</v>
      </c>
      <c r="R297">
        <f>1.15+((Q297-267)/60)*(0.35-1.15)</f>
        <v>1.1366666666666665</v>
      </c>
      <c r="S297">
        <f t="shared" si="33"/>
        <v>3.9783333333333326</v>
      </c>
      <c r="T297">
        <f t="shared" si="34"/>
        <v>2.3216666666666672</v>
      </c>
      <c r="U297">
        <f t="shared" si="37"/>
        <v>123.6016666666667</v>
      </c>
      <c r="V297" s="24" t="s">
        <v>44</v>
      </c>
      <c r="W297">
        <v>2027</v>
      </c>
      <c r="X297">
        <f>W297</f>
        <v>2027</v>
      </c>
      <c r="Y297">
        <v>15.283059745952732</v>
      </c>
      <c r="Z297" s="24" t="s">
        <v>49</v>
      </c>
    </row>
    <row r="298" spans="1:26" x14ac:dyDescent="0.25">
      <c r="A298">
        <v>5240</v>
      </c>
      <c r="B298">
        <v>23690</v>
      </c>
      <c r="C298" s="6">
        <v>43243</v>
      </c>
      <c r="G298">
        <v>15.5</v>
      </c>
      <c r="H298">
        <v>11.5</v>
      </c>
      <c r="I298">
        <v>18.899999999999999</v>
      </c>
      <c r="J298">
        <f t="shared" si="35"/>
        <v>2428.6</v>
      </c>
      <c r="K298">
        <f t="shared" si="36"/>
        <v>31.3</v>
      </c>
      <c r="L298" s="10">
        <v>308.5</v>
      </c>
      <c r="M298">
        <v>0</v>
      </c>
      <c r="N298">
        <v>1.8</v>
      </c>
      <c r="O298">
        <f t="shared" si="32"/>
        <v>-1.8</v>
      </c>
      <c r="Q298">
        <v>269</v>
      </c>
      <c r="R298">
        <f t="shared" ref="R298:R356" si="39">1.15+((Q298-267)/60)*(0.35-1.15)</f>
        <v>1.1233333333333333</v>
      </c>
      <c r="S298">
        <f t="shared" si="33"/>
        <v>2.0219999999999998</v>
      </c>
      <c r="T298">
        <f t="shared" si="34"/>
        <v>-2.0219999999999998</v>
      </c>
      <c r="U298">
        <f t="shared" si="37"/>
        <v>121.5796666666667</v>
      </c>
      <c r="V298">
        <v>0</v>
      </c>
      <c r="W298">
        <v>1203.5999999999999</v>
      </c>
      <c r="X298">
        <f t="shared" si="38"/>
        <v>3230.6</v>
      </c>
      <c r="Y298">
        <v>15.320235397016191</v>
      </c>
      <c r="Z298">
        <v>20316.099999999999</v>
      </c>
    </row>
    <row r="299" spans="1:26" x14ac:dyDescent="0.25">
      <c r="A299">
        <v>5240</v>
      </c>
      <c r="B299">
        <v>23690</v>
      </c>
      <c r="C299" s="6">
        <v>43244</v>
      </c>
      <c r="G299">
        <v>17</v>
      </c>
      <c r="H299">
        <v>13.1</v>
      </c>
      <c r="I299">
        <v>21.9</v>
      </c>
      <c r="J299">
        <f t="shared" si="35"/>
        <v>2445.6</v>
      </c>
      <c r="K299">
        <f t="shared" si="36"/>
        <v>48.3</v>
      </c>
      <c r="L299" s="23" t="s">
        <v>38</v>
      </c>
      <c r="M299">
        <v>0.1</v>
      </c>
      <c r="N299">
        <v>2</v>
      </c>
      <c r="O299">
        <f t="shared" si="32"/>
        <v>-1.9</v>
      </c>
      <c r="Q299">
        <v>270</v>
      </c>
      <c r="R299">
        <f t="shared" si="39"/>
        <v>1.1099999999999999</v>
      </c>
      <c r="S299">
        <f t="shared" si="33"/>
        <v>2.2199999999999998</v>
      </c>
      <c r="T299">
        <f t="shared" si="34"/>
        <v>-2.1199999999999997</v>
      </c>
      <c r="U299">
        <f t="shared" si="37"/>
        <v>119.45966666666669</v>
      </c>
      <c r="V299" s="24" t="s">
        <v>45</v>
      </c>
      <c r="W299">
        <v>1249.8</v>
      </c>
      <c r="X299">
        <f t="shared" si="38"/>
        <v>4480.3999999999996</v>
      </c>
      <c r="Y299">
        <v>15.356439707205418</v>
      </c>
      <c r="Z299" s="24" t="s">
        <v>50</v>
      </c>
    </row>
    <row r="300" spans="1:26" x14ac:dyDescent="0.25">
      <c r="A300">
        <v>5240</v>
      </c>
      <c r="B300">
        <v>23690</v>
      </c>
      <c r="C300" s="6">
        <v>43245</v>
      </c>
      <c r="G300">
        <v>17</v>
      </c>
      <c r="H300">
        <v>12.6</v>
      </c>
      <c r="I300">
        <v>24.4</v>
      </c>
      <c r="J300">
        <f t="shared" si="35"/>
        <v>2462.6</v>
      </c>
      <c r="K300">
        <f t="shared" si="36"/>
        <v>65.3</v>
      </c>
      <c r="L300" s="11">
        <f>AVERAGE(G297:G313)</f>
        <v>18.147058823529413</v>
      </c>
      <c r="M300">
        <v>10.7</v>
      </c>
      <c r="N300">
        <v>2.5</v>
      </c>
      <c r="O300">
        <f t="shared" si="32"/>
        <v>8.1999999999999993</v>
      </c>
      <c r="Q300">
        <v>271</v>
      </c>
      <c r="R300">
        <f t="shared" si="39"/>
        <v>1.0966666666666667</v>
      </c>
      <c r="S300">
        <f t="shared" si="33"/>
        <v>2.7416666666666667</v>
      </c>
      <c r="T300">
        <f t="shared" si="34"/>
        <v>7.9583333333333321</v>
      </c>
      <c r="U300">
        <f t="shared" si="37"/>
        <v>127.41800000000002</v>
      </c>
      <c r="V300">
        <v>0</v>
      </c>
      <c r="W300">
        <v>993.9</v>
      </c>
      <c r="X300">
        <f t="shared" si="38"/>
        <v>5474.2999999999993</v>
      </c>
      <c r="Y300">
        <v>15.391648660227776</v>
      </c>
      <c r="Z300">
        <f>(Z298/100)/L298</f>
        <v>0.65854457050243098</v>
      </c>
    </row>
    <row r="301" spans="1:26" x14ac:dyDescent="0.25">
      <c r="A301">
        <v>5240</v>
      </c>
      <c r="B301">
        <v>23690</v>
      </c>
      <c r="C301" s="6">
        <v>43246</v>
      </c>
      <c r="G301">
        <v>20</v>
      </c>
      <c r="H301">
        <v>14.9</v>
      </c>
      <c r="I301">
        <v>25.4</v>
      </c>
      <c r="J301">
        <f t="shared" si="35"/>
        <v>2482.6</v>
      </c>
      <c r="K301">
        <f t="shared" si="36"/>
        <v>85.3</v>
      </c>
      <c r="L301" s="23" t="s">
        <v>39</v>
      </c>
      <c r="M301">
        <v>0.1</v>
      </c>
      <c r="N301">
        <v>2.2999999999999998</v>
      </c>
      <c r="O301">
        <f t="shared" si="32"/>
        <v>-2.1999999999999997</v>
      </c>
      <c r="Q301">
        <v>272</v>
      </c>
      <c r="R301">
        <f t="shared" si="39"/>
        <v>1.0833333333333333</v>
      </c>
      <c r="S301">
        <f t="shared" si="33"/>
        <v>2.4916666666666663</v>
      </c>
      <c r="T301">
        <f t="shared" si="34"/>
        <v>-2.3916666666666662</v>
      </c>
      <c r="U301">
        <f t="shared" si="37"/>
        <v>125.02633333333335</v>
      </c>
      <c r="V301" s="24" t="s">
        <v>46</v>
      </c>
      <c r="W301">
        <v>1318.3</v>
      </c>
      <c r="X301">
        <f t="shared" si="38"/>
        <v>6792.5999999999995</v>
      </c>
      <c r="Y301">
        <v>15.42583839552281</v>
      </c>
      <c r="Z301" s="24" t="s">
        <v>51</v>
      </c>
    </row>
    <row r="302" spans="1:26" x14ac:dyDescent="0.25">
      <c r="A302">
        <v>5240</v>
      </c>
      <c r="B302">
        <v>23690</v>
      </c>
      <c r="C302" s="6">
        <v>43247</v>
      </c>
      <c r="G302">
        <v>20.100000000000001</v>
      </c>
      <c r="H302">
        <v>15.2</v>
      </c>
      <c r="I302">
        <v>25.4</v>
      </c>
      <c r="J302">
        <f t="shared" si="35"/>
        <v>2502.6999999999998</v>
      </c>
      <c r="K302">
        <f t="shared" si="36"/>
        <v>105.4</v>
      </c>
      <c r="L302" s="12">
        <f>MIN(H297:H313)</f>
        <v>11.5</v>
      </c>
      <c r="M302">
        <v>2.5</v>
      </c>
      <c r="N302">
        <v>3.2</v>
      </c>
      <c r="O302">
        <f t="shared" si="32"/>
        <v>-0.70000000000000018</v>
      </c>
      <c r="Q302">
        <v>273</v>
      </c>
      <c r="R302">
        <f t="shared" si="39"/>
        <v>1.0699999999999998</v>
      </c>
      <c r="S302">
        <f t="shared" si="33"/>
        <v>3.4239999999999995</v>
      </c>
      <c r="T302">
        <f t="shared" si="34"/>
        <v>-0.92399999999999949</v>
      </c>
      <c r="U302">
        <f t="shared" si="37"/>
        <v>124.10233333333335</v>
      </c>
      <c r="V302" s="1">
        <f>MIN(U297:U313)</f>
        <v>119.45966666666669</v>
      </c>
      <c r="W302">
        <v>1853.7</v>
      </c>
      <c r="X302">
        <f t="shared" si="38"/>
        <v>8646.2999999999993</v>
      </c>
      <c r="Y302">
        <v>15.458985257173708</v>
      </c>
      <c r="Z302">
        <v>3</v>
      </c>
    </row>
    <row r="303" spans="1:26" x14ac:dyDescent="0.25">
      <c r="A303">
        <v>5240</v>
      </c>
      <c r="B303">
        <v>23690</v>
      </c>
      <c r="C303" s="6">
        <v>43248</v>
      </c>
      <c r="G303">
        <v>19.399999999999999</v>
      </c>
      <c r="H303">
        <v>17.5</v>
      </c>
      <c r="I303">
        <v>24.8</v>
      </c>
      <c r="J303">
        <f t="shared" si="35"/>
        <v>2522.1</v>
      </c>
      <c r="K303">
        <f t="shared" si="36"/>
        <v>124.80000000000001</v>
      </c>
      <c r="L303" s="23" t="s">
        <v>40</v>
      </c>
      <c r="M303">
        <v>15.5</v>
      </c>
      <c r="N303">
        <v>2.2000000000000002</v>
      </c>
      <c r="O303">
        <f t="shared" si="32"/>
        <v>13.3</v>
      </c>
      <c r="Q303">
        <v>274</v>
      </c>
      <c r="R303">
        <f t="shared" si="39"/>
        <v>1.0566666666666666</v>
      </c>
      <c r="S303">
        <f t="shared" si="33"/>
        <v>2.3246666666666669</v>
      </c>
      <c r="T303">
        <f t="shared" si="34"/>
        <v>13.175333333333333</v>
      </c>
      <c r="U303">
        <f t="shared" si="37"/>
        <v>137.27766666666668</v>
      </c>
      <c r="V303" s="24" t="s">
        <v>47</v>
      </c>
      <c r="W303">
        <v>1110.3</v>
      </c>
      <c r="X303">
        <f t="shared" si="38"/>
        <v>9756.5999999999985</v>
      </c>
      <c r="Y303">
        <v>15.491065844310876</v>
      </c>
    </row>
    <row r="304" spans="1:26" x14ac:dyDescent="0.25">
      <c r="A304">
        <v>5240</v>
      </c>
      <c r="B304">
        <v>23690</v>
      </c>
      <c r="C304" s="6">
        <v>43249</v>
      </c>
      <c r="G304">
        <v>16.7</v>
      </c>
      <c r="H304">
        <v>15.6</v>
      </c>
      <c r="I304">
        <v>19.399999999999999</v>
      </c>
      <c r="J304">
        <f t="shared" si="35"/>
        <v>2538.7999999999997</v>
      </c>
      <c r="K304">
        <f t="shared" si="36"/>
        <v>141.5</v>
      </c>
      <c r="L304" s="10">
        <f>MAX(I297:I313)</f>
        <v>25.4</v>
      </c>
      <c r="M304">
        <v>11.5</v>
      </c>
      <c r="N304">
        <v>1.8</v>
      </c>
      <c r="O304">
        <f t="shared" si="32"/>
        <v>9.6999999999999993</v>
      </c>
      <c r="Q304">
        <v>275</v>
      </c>
      <c r="R304">
        <f t="shared" si="39"/>
        <v>1.0433333333333332</v>
      </c>
      <c r="S304">
        <f t="shared" si="33"/>
        <v>1.8779999999999999</v>
      </c>
      <c r="T304">
        <f t="shared" si="34"/>
        <v>9.6219999999999999</v>
      </c>
      <c r="U304">
        <f t="shared" si="37"/>
        <v>146.89966666666669</v>
      </c>
      <c r="V304" s="1">
        <f>MAX(U297:U313)</f>
        <v>167.04200000000006</v>
      </c>
      <c r="W304">
        <v>1025.8</v>
      </c>
      <c r="X304">
        <f t="shared" si="38"/>
        <v>10782.399999999998</v>
      </c>
      <c r="Y304">
        <v>15.522057062845874</v>
      </c>
    </row>
    <row r="305" spans="1:26" x14ac:dyDescent="0.25">
      <c r="A305">
        <v>5240</v>
      </c>
      <c r="B305">
        <v>23690</v>
      </c>
      <c r="C305" s="6">
        <v>43250</v>
      </c>
      <c r="G305">
        <v>18.899999999999999</v>
      </c>
      <c r="H305">
        <v>15.1</v>
      </c>
      <c r="I305">
        <v>22.1</v>
      </c>
      <c r="J305">
        <f t="shared" si="35"/>
        <v>2557.6999999999998</v>
      </c>
      <c r="K305">
        <f t="shared" si="36"/>
        <v>160.4</v>
      </c>
      <c r="L305" s="23" t="s">
        <v>41</v>
      </c>
      <c r="M305">
        <v>4.3</v>
      </c>
      <c r="N305">
        <v>2.5</v>
      </c>
      <c r="O305">
        <f t="shared" si="32"/>
        <v>1.7999999999999998</v>
      </c>
      <c r="Q305">
        <v>276</v>
      </c>
      <c r="R305">
        <f t="shared" si="39"/>
        <v>1.03</v>
      </c>
      <c r="S305">
        <f t="shared" si="33"/>
        <v>2.5750000000000002</v>
      </c>
      <c r="T305">
        <f t="shared" si="34"/>
        <v>1.7249999999999996</v>
      </c>
      <c r="U305">
        <f t="shared" si="37"/>
        <v>148.62466666666668</v>
      </c>
      <c r="V305" s="24" t="s">
        <v>48</v>
      </c>
      <c r="W305">
        <v>1480.4</v>
      </c>
      <c r="X305">
        <f t="shared" si="38"/>
        <v>12262.799999999997</v>
      </c>
      <c r="Y305">
        <v>15.551936178355808</v>
      </c>
    </row>
    <row r="306" spans="1:26" x14ac:dyDescent="0.25">
      <c r="A306">
        <v>5240</v>
      </c>
      <c r="B306">
        <v>23690</v>
      </c>
      <c r="C306" s="6">
        <v>43251</v>
      </c>
      <c r="G306">
        <v>18.3</v>
      </c>
      <c r="H306">
        <v>16.2</v>
      </c>
      <c r="I306">
        <v>21.9</v>
      </c>
      <c r="J306">
        <f t="shared" si="35"/>
        <v>2576</v>
      </c>
      <c r="K306">
        <f t="shared" si="36"/>
        <v>178.70000000000002</v>
      </c>
      <c r="L306" s="10">
        <v>2</v>
      </c>
      <c r="M306">
        <v>4.8</v>
      </c>
      <c r="N306">
        <v>2.1</v>
      </c>
      <c r="O306">
        <f t="shared" si="32"/>
        <v>2.6999999999999997</v>
      </c>
      <c r="Q306">
        <v>277</v>
      </c>
      <c r="R306">
        <f t="shared" si="39"/>
        <v>1.0166666666666666</v>
      </c>
      <c r="S306">
        <f t="shared" si="33"/>
        <v>2.1349999999999998</v>
      </c>
      <c r="T306">
        <f t="shared" si="34"/>
        <v>2.665</v>
      </c>
      <c r="U306">
        <f t="shared" si="37"/>
        <v>151.28966666666668</v>
      </c>
      <c r="V306" s="1">
        <f>AVERAGE(U297:U313)</f>
        <v>142.7556862745098</v>
      </c>
      <c r="W306">
        <v>1195</v>
      </c>
      <c r="X306">
        <f t="shared" si="38"/>
        <v>13457.799999999997</v>
      </c>
      <c r="Y306">
        <v>15.580680869920316</v>
      </c>
    </row>
    <row r="307" spans="1:26" x14ac:dyDescent="0.25">
      <c r="A307">
        <v>5240</v>
      </c>
      <c r="B307">
        <v>23690</v>
      </c>
      <c r="C307" s="6">
        <v>43252</v>
      </c>
      <c r="G307">
        <v>17.3</v>
      </c>
      <c r="H307">
        <v>14.8</v>
      </c>
      <c r="I307">
        <v>19.7</v>
      </c>
      <c r="J307">
        <f t="shared" si="35"/>
        <v>2593.3000000000002</v>
      </c>
      <c r="K307">
        <f t="shared" si="36"/>
        <v>196.00000000000003</v>
      </c>
      <c r="L307" s="23" t="s">
        <v>42</v>
      </c>
      <c r="M307">
        <v>1.9</v>
      </c>
      <c r="N307">
        <v>1</v>
      </c>
      <c r="O307">
        <f t="shared" si="32"/>
        <v>0.89999999999999991</v>
      </c>
      <c r="Q307">
        <v>278</v>
      </c>
      <c r="R307">
        <f t="shared" si="39"/>
        <v>1.0033333333333332</v>
      </c>
      <c r="S307">
        <f t="shared" si="33"/>
        <v>1.0033333333333332</v>
      </c>
      <c r="T307">
        <f t="shared" si="34"/>
        <v>0.89666666666666672</v>
      </c>
      <c r="U307">
        <f t="shared" si="37"/>
        <v>152.18633333333335</v>
      </c>
      <c r="W307">
        <v>591.1</v>
      </c>
      <c r="X307">
        <f t="shared" si="38"/>
        <v>14048.899999999998</v>
      </c>
      <c r="Y307">
        <v>15.608269284695798</v>
      </c>
    </row>
    <row r="308" spans="1:26" x14ac:dyDescent="0.25">
      <c r="A308">
        <v>5240</v>
      </c>
      <c r="B308">
        <v>23690</v>
      </c>
      <c r="C308" s="6">
        <v>43253</v>
      </c>
      <c r="G308">
        <v>18.600000000000001</v>
      </c>
      <c r="H308">
        <v>14.6</v>
      </c>
      <c r="I308">
        <v>22.9</v>
      </c>
      <c r="J308">
        <f t="shared" si="35"/>
        <v>2611.9</v>
      </c>
      <c r="K308">
        <f t="shared" si="36"/>
        <v>214.60000000000002</v>
      </c>
      <c r="L308" s="10">
        <v>0</v>
      </c>
      <c r="M308">
        <v>0</v>
      </c>
      <c r="N308">
        <v>2</v>
      </c>
      <c r="O308">
        <f t="shared" si="32"/>
        <v>-2</v>
      </c>
      <c r="Q308">
        <v>279</v>
      </c>
      <c r="R308">
        <f t="shared" si="39"/>
        <v>0.98999999999999988</v>
      </c>
      <c r="S308">
        <f t="shared" si="33"/>
        <v>1.9799999999999998</v>
      </c>
      <c r="T308">
        <f t="shared" si="34"/>
        <v>-1.9799999999999998</v>
      </c>
      <c r="U308">
        <f t="shared" si="37"/>
        <v>150.20633333333336</v>
      </c>
      <c r="V308" s="2">
        <f>(V306*100)/218.9</f>
        <v>65.21502342371393</v>
      </c>
      <c r="W308">
        <v>1125.5</v>
      </c>
      <c r="X308">
        <f t="shared" si="38"/>
        <v>15174.399999999998</v>
      </c>
      <c r="Y308">
        <v>15.634680092994936</v>
      </c>
    </row>
    <row r="309" spans="1:26" x14ac:dyDescent="0.25">
      <c r="A309">
        <v>5240</v>
      </c>
      <c r="B309">
        <v>23690</v>
      </c>
      <c r="C309" s="6">
        <v>43254</v>
      </c>
      <c r="G309">
        <v>20.2</v>
      </c>
      <c r="H309">
        <v>15.3</v>
      </c>
      <c r="I309">
        <v>24.2</v>
      </c>
      <c r="J309">
        <f t="shared" si="35"/>
        <v>2632.1</v>
      </c>
      <c r="K309">
        <f t="shared" si="36"/>
        <v>234.8</v>
      </c>
      <c r="L309" s="23" t="s">
        <v>43</v>
      </c>
      <c r="M309">
        <v>0.7</v>
      </c>
      <c r="N309">
        <v>2.9</v>
      </c>
      <c r="O309">
        <f t="shared" si="32"/>
        <v>-2.2000000000000002</v>
      </c>
      <c r="Q309">
        <v>280</v>
      </c>
      <c r="R309">
        <f t="shared" si="39"/>
        <v>0.97666666666666657</v>
      </c>
      <c r="S309">
        <f t="shared" si="33"/>
        <v>2.8323333333333331</v>
      </c>
      <c r="T309">
        <f t="shared" si="34"/>
        <v>-2.1323333333333334</v>
      </c>
      <c r="U309">
        <f t="shared" si="37"/>
        <v>148.07400000000004</v>
      </c>
      <c r="W309">
        <v>1776.9</v>
      </c>
      <c r="X309">
        <f t="shared" si="38"/>
        <v>16951.3</v>
      </c>
      <c r="Y309">
        <v>15.659892543623872</v>
      </c>
    </row>
    <row r="310" spans="1:26" x14ac:dyDescent="0.25">
      <c r="A310">
        <v>5240</v>
      </c>
      <c r="B310">
        <v>23690</v>
      </c>
      <c r="C310" s="6">
        <v>43255</v>
      </c>
      <c r="G310">
        <v>19.899999999999999</v>
      </c>
      <c r="H310">
        <v>16.7</v>
      </c>
      <c r="I310">
        <v>23.8</v>
      </c>
      <c r="J310">
        <f t="shared" si="35"/>
        <v>2652</v>
      </c>
      <c r="K310">
        <f t="shared" si="36"/>
        <v>254.70000000000002</v>
      </c>
      <c r="L310" s="19">
        <v>0</v>
      </c>
      <c r="M310">
        <v>9.6</v>
      </c>
      <c r="N310">
        <v>1.8</v>
      </c>
      <c r="O310">
        <f t="shared" si="32"/>
        <v>7.8</v>
      </c>
      <c r="Q310">
        <v>281</v>
      </c>
      <c r="R310">
        <f t="shared" si="39"/>
        <v>0.96333333333333326</v>
      </c>
      <c r="S310">
        <f t="shared" si="33"/>
        <v>1.734</v>
      </c>
      <c r="T310">
        <f t="shared" si="34"/>
        <v>7.8659999999999997</v>
      </c>
      <c r="U310">
        <f t="shared" si="37"/>
        <v>155.94000000000005</v>
      </c>
      <c r="W310">
        <v>1146.2</v>
      </c>
      <c r="X310">
        <f t="shared" si="38"/>
        <v>18097.5</v>
      </c>
      <c r="Y310">
        <v>15.683886519215267</v>
      </c>
    </row>
    <row r="311" spans="1:26" s="27" customFormat="1" x14ac:dyDescent="0.25">
      <c r="A311" s="27">
        <v>5240</v>
      </c>
      <c r="B311" s="27">
        <v>23690</v>
      </c>
      <c r="C311" s="28">
        <v>43256</v>
      </c>
      <c r="G311" s="27">
        <v>17.100000000000001</v>
      </c>
      <c r="H311" s="27">
        <v>16.399999999999999</v>
      </c>
      <c r="I311" s="27">
        <v>18.600000000000001</v>
      </c>
      <c r="J311" s="27">
        <f t="shared" si="35"/>
        <v>2669.1</v>
      </c>
      <c r="K311">
        <f t="shared" si="36"/>
        <v>271.8</v>
      </c>
      <c r="M311" s="27">
        <v>8.3000000000000007</v>
      </c>
      <c r="N311" s="27">
        <v>0.9</v>
      </c>
      <c r="O311" s="27">
        <f t="shared" si="32"/>
        <v>7.4</v>
      </c>
      <c r="Q311" s="27">
        <v>282</v>
      </c>
      <c r="R311">
        <f t="shared" si="39"/>
        <v>0.95</v>
      </c>
      <c r="S311" s="27">
        <f t="shared" si="33"/>
        <v>0.85499999999999998</v>
      </c>
      <c r="T311" s="27">
        <f t="shared" si="34"/>
        <v>7.4450000000000003</v>
      </c>
      <c r="U311" s="27">
        <f t="shared" si="37"/>
        <v>163.38500000000005</v>
      </c>
      <c r="W311" s="27">
        <v>363.5</v>
      </c>
      <c r="X311">
        <f t="shared" si="38"/>
        <v>18461</v>
      </c>
      <c r="Y311" s="27">
        <v>15.706642591282513</v>
      </c>
    </row>
    <row r="312" spans="1:26" x14ac:dyDescent="0.25">
      <c r="A312">
        <v>5240</v>
      </c>
      <c r="B312">
        <v>23690</v>
      </c>
      <c r="C312" s="6">
        <v>43257</v>
      </c>
      <c r="G312">
        <v>17.7</v>
      </c>
      <c r="H312">
        <v>14.9</v>
      </c>
      <c r="I312">
        <v>20</v>
      </c>
      <c r="J312">
        <f t="shared" si="35"/>
        <v>2686.7999999999997</v>
      </c>
      <c r="K312">
        <f t="shared" si="36"/>
        <v>289.5</v>
      </c>
      <c r="M312">
        <v>4.5</v>
      </c>
      <c r="N312">
        <v>0.9</v>
      </c>
      <c r="O312">
        <f t="shared" si="32"/>
        <v>3.6</v>
      </c>
      <c r="Q312">
        <v>283</v>
      </c>
      <c r="R312">
        <f t="shared" si="39"/>
        <v>0.93666666666666654</v>
      </c>
      <c r="S312">
        <f t="shared" si="33"/>
        <v>0.84299999999999986</v>
      </c>
      <c r="T312">
        <f t="shared" si="34"/>
        <v>3.657</v>
      </c>
      <c r="U312">
        <f t="shared" si="37"/>
        <v>167.04200000000006</v>
      </c>
      <c r="W312">
        <v>453.1</v>
      </c>
      <c r="X312">
        <f t="shared" si="38"/>
        <v>18914.099999999999</v>
      </c>
      <c r="Y312">
        <v>15.72814207470979</v>
      </c>
    </row>
    <row r="313" spans="1:26" s="7" customFormat="1" ht="15.75" thickBot="1" x14ac:dyDescent="0.3">
      <c r="A313" s="7">
        <v>5240</v>
      </c>
      <c r="B313" s="7">
        <v>23690</v>
      </c>
      <c r="C313" s="8">
        <v>43258</v>
      </c>
      <c r="D313" s="7">
        <v>600</v>
      </c>
      <c r="G313" s="7">
        <v>19</v>
      </c>
      <c r="H313" s="7">
        <v>15.2</v>
      </c>
      <c r="I313" s="7">
        <v>23.6</v>
      </c>
      <c r="J313" s="7">
        <f t="shared" si="35"/>
        <v>2705.7999999999997</v>
      </c>
      <c r="K313" s="7">
        <f t="shared" si="36"/>
        <v>308.5</v>
      </c>
      <c r="M313" s="7">
        <v>0</v>
      </c>
      <c r="N313" s="7">
        <v>2.5</v>
      </c>
      <c r="O313" s="7">
        <f t="shared" si="32"/>
        <v>-2.5</v>
      </c>
      <c r="Q313" s="7">
        <v>284</v>
      </c>
      <c r="R313" s="7">
        <f t="shared" si="39"/>
        <v>0.92333333333333323</v>
      </c>
      <c r="S313" s="7">
        <f t="shared" si="33"/>
        <v>2.3083333333333331</v>
      </c>
      <c r="T313" s="7">
        <f t="shared" si="34"/>
        <v>-2.3083333333333331</v>
      </c>
      <c r="U313" s="7">
        <f t="shared" si="37"/>
        <v>164.73366666666672</v>
      </c>
      <c r="W313" s="7">
        <v>1402</v>
      </c>
      <c r="X313" s="7">
        <f t="shared" si="38"/>
        <v>20316.099999999999</v>
      </c>
      <c r="Y313" s="7">
        <v>15.748367081383577</v>
      </c>
    </row>
    <row r="314" spans="1:26" x14ac:dyDescent="0.25">
      <c r="A314">
        <v>5240</v>
      </c>
      <c r="B314">
        <v>23690</v>
      </c>
      <c r="C314" s="6">
        <v>43259</v>
      </c>
      <c r="G314">
        <v>20.3</v>
      </c>
      <c r="H314">
        <v>15.6</v>
      </c>
      <c r="I314">
        <v>23.8</v>
      </c>
      <c r="J314">
        <f t="shared" si="35"/>
        <v>2726.1</v>
      </c>
      <c r="K314">
        <f>G314</f>
        <v>20.3</v>
      </c>
      <c r="L314" s="25" t="s">
        <v>37</v>
      </c>
      <c r="M314">
        <v>0</v>
      </c>
      <c r="N314">
        <v>3.2</v>
      </c>
      <c r="O314">
        <f t="shared" si="32"/>
        <v>-3.2</v>
      </c>
      <c r="Q314">
        <v>285</v>
      </c>
      <c r="R314">
        <f t="shared" si="39"/>
        <v>0.90999999999999992</v>
      </c>
      <c r="S314">
        <f t="shared" si="33"/>
        <v>2.9119999999999999</v>
      </c>
      <c r="T314">
        <f t="shared" si="34"/>
        <v>-2.9119999999999999</v>
      </c>
      <c r="U314">
        <f t="shared" si="37"/>
        <v>161.82166666666672</v>
      </c>
      <c r="V314" s="26" t="s">
        <v>44</v>
      </c>
      <c r="W314">
        <v>1827.2</v>
      </c>
      <c r="X314">
        <f>W314</f>
        <v>1827.2</v>
      </c>
      <c r="Y314">
        <v>15.767300572665086</v>
      </c>
      <c r="Z314" s="26" t="s">
        <v>49</v>
      </c>
    </row>
    <row r="315" spans="1:26" x14ac:dyDescent="0.25">
      <c r="A315">
        <v>5240</v>
      </c>
      <c r="B315">
        <v>23690</v>
      </c>
      <c r="C315" s="6">
        <v>43260</v>
      </c>
      <c r="G315">
        <v>19.8</v>
      </c>
      <c r="H315">
        <v>16.899999999999999</v>
      </c>
      <c r="I315">
        <v>23.7</v>
      </c>
      <c r="J315">
        <f t="shared" si="35"/>
        <v>2745.9</v>
      </c>
      <c r="K315">
        <f t="shared" si="36"/>
        <v>40.1</v>
      </c>
      <c r="L315" s="10">
        <v>404.2</v>
      </c>
      <c r="M315">
        <v>4.0999999999999996</v>
      </c>
      <c r="N315">
        <v>3.3</v>
      </c>
      <c r="O315">
        <f t="shared" si="32"/>
        <v>0.79999999999999982</v>
      </c>
      <c r="Q315">
        <v>286</v>
      </c>
      <c r="R315">
        <f t="shared" si="39"/>
        <v>0.89666666666666661</v>
      </c>
      <c r="S315">
        <f t="shared" si="33"/>
        <v>2.9589999999999996</v>
      </c>
      <c r="T315">
        <f t="shared" si="34"/>
        <v>1.141</v>
      </c>
      <c r="U315">
        <f t="shared" si="37"/>
        <v>162.96266666666671</v>
      </c>
      <c r="V315">
        <v>0</v>
      </c>
      <c r="W315">
        <v>1941.8</v>
      </c>
      <c r="X315">
        <f t="shared" si="38"/>
        <v>3769</v>
      </c>
      <c r="Y315">
        <v>15.784926410399043</v>
      </c>
      <c r="Z315">
        <v>39742</v>
      </c>
    </row>
    <row r="316" spans="1:26" x14ac:dyDescent="0.25">
      <c r="A316">
        <v>5240</v>
      </c>
      <c r="B316">
        <v>23690</v>
      </c>
      <c r="C316" s="6">
        <v>43261</v>
      </c>
      <c r="G316">
        <v>19.100000000000001</v>
      </c>
      <c r="H316">
        <v>16.5</v>
      </c>
      <c r="I316">
        <v>21.3</v>
      </c>
      <c r="J316">
        <f t="shared" si="35"/>
        <v>2765</v>
      </c>
      <c r="K316">
        <f t="shared" si="36"/>
        <v>59.2</v>
      </c>
      <c r="L316" s="25" t="s">
        <v>38</v>
      </c>
      <c r="M316">
        <v>5.5</v>
      </c>
      <c r="N316">
        <v>1.4</v>
      </c>
      <c r="O316">
        <f t="shared" si="32"/>
        <v>4.0999999999999996</v>
      </c>
      <c r="Q316">
        <v>287</v>
      </c>
      <c r="R316">
        <f t="shared" si="39"/>
        <v>0.8833333333333333</v>
      </c>
      <c r="S316">
        <f t="shared" si="33"/>
        <v>1.2366666666666666</v>
      </c>
      <c r="T316">
        <f t="shared" si="34"/>
        <v>4.2633333333333336</v>
      </c>
      <c r="U316">
        <f t="shared" si="37"/>
        <v>167.22600000000003</v>
      </c>
      <c r="V316" s="26" t="s">
        <v>45</v>
      </c>
      <c r="W316">
        <v>713.1</v>
      </c>
      <c r="X316">
        <f t="shared" si="38"/>
        <v>4482.1000000000004</v>
      </c>
      <c r="Y316">
        <v>15.801229406153213</v>
      </c>
      <c r="Z316" s="26" t="s">
        <v>50</v>
      </c>
    </row>
    <row r="317" spans="1:26" x14ac:dyDescent="0.25">
      <c r="A317">
        <v>5240</v>
      </c>
      <c r="B317">
        <v>23690</v>
      </c>
      <c r="C317" s="6">
        <v>43262</v>
      </c>
      <c r="G317">
        <v>18.899999999999999</v>
      </c>
      <c r="H317">
        <v>17.399999999999999</v>
      </c>
      <c r="I317">
        <v>21.5</v>
      </c>
      <c r="J317">
        <f t="shared" si="35"/>
        <v>2783.9</v>
      </c>
      <c r="K317">
        <f t="shared" si="36"/>
        <v>78.099999999999994</v>
      </c>
      <c r="L317" s="11">
        <f>AVERAGE(G314:G335)</f>
        <v>18.372727272727275</v>
      </c>
      <c r="M317">
        <v>31.7</v>
      </c>
      <c r="N317">
        <v>1.3</v>
      </c>
      <c r="O317">
        <f t="shared" si="32"/>
        <v>30.4</v>
      </c>
      <c r="Q317">
        <v>288</v>
      </c>
      <c r="R317">
        <f t="shared" si="39"/>
        <v>0.86999999999999988</v>
      </c>
      <c r="S317">
        <f t="shared" si="33"/>
        <v>1.1309999999999998</v>
      </c>
      <c r="T317">
        <f t="shared" si="34"/>
        <v>30.568999999999999</v>
      </c>
      <c r="U317">
        <f t="shared" si="37"/>
        <v>197.79500000000002</v>
      </c>
      <c r="V317">
        <v>0</v>
      </c>
      <c r="W317">
        <v>487.8</v>
      </c>
      <c r="X317">
        <f t="shared" si="38"/>
        <v>4969.9000000000005</v>
      </c>
      <c r="Y317">
        <v>15.81619536838484</v>
      </c>
      <c r="Z317">
        <f>(Z315/100)/L315</f>
        <v>0.98322612568035628</v>
      </c>
    </row>
    <row r="318" spans="1:26" x14ac:dyDescent="0.25">
      <c r="A318">
        <v>5240</v>
      </c>
      <c r="B318">
        <v>23690</v>
      </c>
      <c r="C318" s="6">
        <v>43263</v>
      </c>
      <c r="G318">
        <v>16.2</v>
      </c>
      <c r="H318">
        <v>15.9</v>
      </c>
      <c r="I318">
        <v>18.2</v>
      </c>
      <c r="J318">
        <f t="shared" si="35"/>
        <v>2800.1</v>
      </c>
      <c r="K318">
        <f t="shared" si="36"/>
        <v>94.3</v>
      </c>
      <c r="L318" s="25" t="s">
        <v>39</v>
      </c>
      <c r="M318">
        <v>1.6</v>
      </c>
      <c r="N318">
        <v>1.4</v>
      </c>
      <c r="O318">
        <f t="shared" si="32"/>
        <v>0.20000000000000018</v>
      </c>
      <c r="Q318">
        <v>289</v>
      </c>
      <c r="R318">
        <f t="shared" si="39"/>
        <v>0.85666666666666669</v>
      </c>
      <c r="S318">
        <f t="shared" si="33"/>
        <v>1.1993333333333334</v>
      </c>
      <c r="T318">
        <f t="shared" si="34"/>
        <v>0.40066666666666673</v>
      </c>
      <c r="U318">
        <f t="shared" si="37"/>
        <v>198.19566666666668</v>
      </c>
      <c r="V318" s="26" t="s">
        <v>46</v>
      </c>
      <c r="W318">
        <v>680.3</v>
      </c>
      <c r="X318">
        <f t="shared" si="38"/>
        <v>5650.2000000000007</v>
      </c>
      <c r="Y318">
        <v>15.829811147235068</v>
      </c>
      <c r="Z318" s="26" t="s">
        <v>51</v>
      </c>
    </row>
    <row r="319" spans="1:26" x14ac:dyDescent="0.25">
      <c r="A319">
        <v>5240</v>
      </c>
      <c r="B319">
        <v>23690</v>
      </c>
      <c r="C319" s="6">
        <v>43264</v>
      </c>
      <c r="G319">
        <v>13.7</v>
      </c>
      <c r="H319">
        <v>11.8</v>
      </c>
      <c r="I319">
        <v>16.8</v>
      </c>
      <c r="J319">
        <f t="shared" si="35"/>
        <v>2813.7999999999997</v>
      </c>
      <c r="K319">
        <f t="shared" si="36"/>
        <v>108</v>
      </c>
      <c r="L319" s="12">
        <f>MIN(H314:H335)</f>
        <v>9.9</v>
      </c>
      <c r="M319">
        <v>0.1</v>
      </c>
      <c r="N319">
        <v>1.7</v>
      </c>
      <c r="O319">
        <f t="shared" si="32"/>
        <v>-1.5999999999999999</v>
      </c>
      <c r="Q319">
        <v>290</v>
      </c>
      <c r="R319">
        <f t="shared" si="39"/>
        <v>0.84333333333333327</v>
      </c>
      <c r="S319">
        <f t="shared" si="33"/>
        <v>1.4336666666666664</v>
      </c>
      <c r="T319">
        <f t="shared" si="34"/>
        <v>-1.3336666666666663</v>
      </c>
      <c r="U319">
        <f t="shared" si="37"/>
        <v>196.86200000000002</v>
      </c>
      <c r="V319" s="1">
        <f>MIN(U314:U335)</f>
        <v>151.49600000000004</v>
      </c>
      <c r="W319">
        <v>1094.7</v>
      </c>
      <c r="X319">
        <f t="shared" si="38"/>
        <v>6744.9000000000005</v>
      </c>
      <c r="Y319">
        <v>15.842064676660348</v>
      </c>
      <c r="Z319">
        <v>6</v>
      </c>
    </row>
    <row r="320" spans="1:26" x14ac:dyDescent="0.25">
      <c r="A320">
        <v>5240</v>
      </c>
      <c r="B320">
        <v>23690</v>
      </c>
      <c r="C320" s="6">
        <v>43265</v>
      </c>
      <c r="G320">
        <v>15.2</v>
      </c>
      <c r="H320">
        <v>10</v>
      </c>
      <c r="I320">
        <v>18.3</v>
      </c>
      <c r="J320">
        <f t="shared" si="35"/>
        <v>2828.9999999999995</v>
      </c>
      <c r="K320">
        <f t="shared" si="36"/>
        <v>123.2</v>
      </c>
      <c r="L320" s="25" t="s">
        <v>40</v>
      </c>
      <c r="M320">
        <v>0.5</v>
      </c>
      <c r="N320">
        <v>1.9</v>
      </c>
      <c r="O320">
        <f t="shared" si="32"/>
        <v>-1.4</v>
      </c>
      <c r="Q320">
        <v>291</v>
      </c>
      <c r="R320">
        <f t="shared" si="39"/>
        <v>0.82999999999999985</v>
      </c>
      <c r="S320">
        <f t="shared" si="33"/>
        <v>1.5769999999999997</v>
      </c>
      <c r="T320">
        <f t="shared" si="34"/>
        <v>-1.0769999999999997</v>
      </c>
      <c r="U320">
        <f t="shared" si="37"/>
        <v>195.78500000000003</v>
      </c>
      <c r="V320" s="26" t="s">
        <v>47</v>
      </c>
      <c r="W320">
        <v>1326.9</v>
      </c>
      <c r="X320">
        <f t="shared" si="38"/>
        <v>8071.8000000000011</v>
      </c>
      <c r="Y320">
        <v>15.852945013620944</v>
      </c>
    </row>
    <row r="321" spans="1:25" x14ac:dyDescent="0.25">
      <c r="A321">
        <v>5240</v>
      </c>
      <c r="B321">
        <v>23690</v>
      </c>
      <c r="C321" s="6">
        <v>43266</v>
      </c>
      <c r="G321">
        <v>17.899999999999999</v>
      </c>
      <c r="H321">
        <v>14.7</v>
      </c>
      <c r="I321">
        <v>21.1</v>
      </c>
      <c r="J321">
        <f t="shared" si="35"/>
        <v>2846.8999999999996</v>
      </c>
      <c r="K321">
        <f t="shared" si="36"/>
        <v>141.1</v>
      </c>
      <c r="L321" s="10">
        <f>MAX(I314:I335)</f>
        <v>27.6</v>
      </c>
      <c r="M321">
        <v>0.1</v>
      </c>
      <c r="N321">
        <v>2</v>
      </c>
      <c r="O321">
        <f t="shared" si="32"/>
        <v>-1.9</v>
      </c>
      <c r="Q321">
        <v>292</v>
      </c>
      <c r="R321">
        <f t="shared" si="39"/>
        <v>0.81666666666666665</v>
      </c>
      <c r="S321">
        <f t="shared" si="33"/>
        <v>1.6333333333333333</v>
      </c>
      <c r="T321">
        <f t="shared" si="34"/>
        <v>-1.5333333333333332</v>
      </c>
      <c r="U321">
        <f t="shared" si="37"/>
        <v>194.25166666666669</v>
      </c>
      <c r="V321" s="1">
        <f>MAX(U314:U335)</f>
        <v>198.19566666666668</v>
      </c>
      <c r="W321">
        <v>860.9</v>
      </c>
      <c r="X321">
        <f t="shared" si="38"/>
        <v>8932.7000000000007</v>
      </c>
      <c r="Y321">
        <v>15.862442374060949</v>
      </c>
    </row>
    <row r="322" spans="1:25" x14ac:dyDescent="0.25">
      <c r="A322">
        <v>5240</v>
      </c>
      <c r="B322">
        <v>23690</v>
      </c>
      <c r="C322" s="6">
        <v>43267</v>
      </c>
      <c r="G322">
        <v>16.8</v>
      </c>
      <c r="H322">
        <v>13.1</v>
      </c>
      <c r="I322">
        <v>20.3</v>
      </c>
      <c r="J322">
        <f t="shared" si="35"/>
        <v>2863.7</v>
      </c>
      <c r="K322">
        <f t="shared" si="36"/>
        <v>157.9</v>
      </c>
      <c r="L322" s="25" t="s">
        <v>41</v>
      </c>
      <c r="M322">
        <v>0</v>
      </c>
      <c r="N322">
        <v>2.6</v>
      </c>
      <c r="O322">
        <f t="shared" si="32"/>
        <v>-2.6</v>
      </c>
      <c r="Q322">
        <v>293</v>
      </c>
      <c r="R322">
        <f t="shared" si="39"/>
        <v>0.80333333333333323</v>
      </c>
      <c r="S322">
        <f t="shared" si="33"/>
        <v>2.0886666666666667</v>
      </c>
      <c r="T322">
        <f t="shared" si="34"/>
        <v>-2.0886666666666667</v>
      </c>
      <c r="U322">
        <f t="shared" si="37"/>
        <v>192.16300000000004</v>
      </c>
      <c r="V322" s="26" t="s">
        <v>48</v>
      </c>
      <c r="W322">
        <v>1348.8</v>
      </c>
      <c r="X322">
        <f t="shared" si="38"/>
        <v>10281.5</v>
      </c>
      <c r="Y322">
        <v>15.870548165431456</v>
      </c>
    </row>
    <row r="323" spans="1:25" x14ac:dyDescent="0.25">
      <c r="A323">
        <v>5240</v>
      </c>
      <c r="B323">
        <v>23690</v>
      </c>
      <c r="C323" s="6">
        <v>43268</v>
      </c>
      <c r="G323">
        <v>16.600000000000001</v>
      </c>
      <c r="H323">
        <v>13.8</v>
      </c>
      <c r="I323">
        <v>19.2</v>
      </c>
      <c r="J323">
        <f t="shared" si="35"/>
        <v>2880.2999999999997</v>
      </c>
      <c r="K323">
        <f t="shared" si="36"/>
        <v>174.5</v>
      </c>
      <c r="L323" s="10">
        <v>5</v>
      </c>
      <c r="M323">
        <v>0</v>
      </c>
      <c r="N323">
        <v>1.9</v>
      </c>
      <c r="O323">
        <f t="shared" si="32"/>
        <v>-1.9</v>
      </c>
      <c r="Q323">
        <v>294</v>
      </c>
      <c r="R323">
        <f t="shared" si="39"/>
        <v>0.78999999999999992</v>
      </c>
      <c r="S323">
        <f t="shared" si="33"/>
        <v>1.5009999999999999</v>
      </c>
      <c r="T323">
        <f t="shared" si="34"/>
        <v>-1.5009999999999999</v>
      </c>
      <c r="U323">
        <f t="shared" si="37"/>
        <v>190.66200000000003</v>
      </c>
      <c r="V323" s="1">
        <f>AVERAGE(U314:U335)</f>
        <v>178.28630303030306</v>
      </c>
      <c r="W323">
        <v>951.6</v>
      </c>
      <c r="X323">
        <f t="shared" si="38"/>
        <v>11233.1</v>
      </c>
      <c r="Y323">
        <v>15.877255015528879</v>
      </c>
    </row>
    <row r="324" spans="1:25" x14ac:dyDescent="0.25">
      <c r="A324">
        <v>5240</v>
      </c>
      <c r="B324">
        <v>23690</v>
      </c>
      <c r="C324" s="6">
        <v>43269</v>
      </c>
      <c r="G324">
        <v>18.5</v>
      </c>
      <c r="H324">
        <v>15.4</v>
      </c>
      <c r="I324">
        <v>22.2</v>
      </c>
      <c r="J324">
        <f t="shared" si="35"/>
        <v>2898.7999999999997</v>
      </c>
      <c r="K324">
        <f t="shared" si="36"/>
        <v>193</v>
      </c>
      <c r="L324" s="25" t="s">
        <v>42</v>
      </c>
      <c r="M324">
        <v>0.1</v>
      </c>
      <c r="N324">
        <v>1.9</v>
      </c>
      <c r="O324">
        <f t="shared" si="32"/>
        <v>-1.7999999999999998</v>
      </c>
      <c r="Q324">
        <v>295</v>
      </c>
      <c r="R324">
        <f t="shared" si="39"/>
        <v>0.77666666666666662</v>
      </c>
      <c r="S324">
        <f t="shared" si="33"/>
        <v>1.4756666666666665</v>
      </c>
      <c r="T324">
        <f t="shared" si="34"/>
        <v>-1.3756666666666664</v>
      </c>
      <c r="U324">
        <f t="shared" si="37"/>
        <v>189.28633333333337</v>
      </c>
      <c r="W324">
        <v>821.2</v>
      </c>
      <c r="X324">
        <f t="shared" si="38"/>
        <v>12054.300000000001</v>
      </c>
      <c r="Y324">
        <v>15.882556797443291</v>
      </c>
    </row>
    <row r="325" spans="1:25" x14ac:dyDescent="0.25">
      <c r="A325">
        <v>5240</v>
      </c>
      <c r="B325">
        <v>23690</v>
      </c>
      <c r="C325" s="6">
        <v>43270</v>
      </c>
      <c r="G325">
        <v>19.100000000000001</v>
      </c>
      <c r="H325">
        <v>14.8</v>
      </c>
      <c r="I325">
        <v>23.9</v>
      </c>
      <c r="J325">
        <f t="shared" si="35"/>
        <v>2917.8999999999996</v>
      </c>
      <c r="K325">
        <f t="shared" si="36"/>
        <v>212.1</v>
      </c>
      <c r="L325" s="10">
        <v>0</v>
      </c>
      <c r="M325">
        <v>0.1</v>
      </c>
      <c r="N325">
        <v>1.7</v>
      </c>
      <c r="O325">
        <f t="shared" ref="O325:O367" si="40">M325-N325</f>
        <v>-1.5999999999999999</v>
      </c>
      <c r="Q325">
        <v>296</v>
      </c>
      <c r="R325">
        <f t="shared" si="39"/>
        <v>0.7633333333333332</v>
      </c>
      <c r="S325">
        <f t="shared" ref="S325:S367" si="41">R325*N325</f>
        <v>1.2976666666666663</v>
      </c>
      <c r="T325">
        <f t="shared" ref="T325:T367" si="42">M325-S325</f>
        <v>-1.1976666666666662</v>
      </c>
      <c r="U325">
        <f t="shared" si="37"/>
        <v>188.08866666666671</v>
      </c>
      <c r="V325" s="2">
        <f>(V323*100)/218.9</f>
        <v>81.446460954912311</v>
      </c>
      <c r="W325">
        <v>848.7</v>
      </c>
      <c r="X325">
        <f t="shared" si="38"/>
        <v>12903.000000000002</v>
      </c>
      <c r="Y325">
        <v>15.886448650437252</v>
      </c>
    </row>
    <row r="326" spans="1:25" x14ac:dyDescent="0.25">
      <c r="A326">
        <v>5240</v>
      </c>
      <c r="B326">
        <v>23690</v>
      </c>
      <c r="C326" s="6">
        <v>43271</v>
      </c>
      <c r="G326">
        <v>22</v>
      </c>
      <c r="H326">
        <v>16</v>
      </c>
      <c r="I326">
        <v>27.6</v>
      </c>
      <c r="J326">
        <f t="shared" si="35"/>
        <v>2939.8999999999996</v>
      </c>
      <c r="K326">
        <f t="shared" si="36"/>
        <v>234.1</v>
      </c>
      <c r="L326" s="25" t="s">
        <v>43</v>
      </c>
      <c r="M326">
        <v>0</v>
      </c>
      <c r="N326">
        <v>4.5</v>
      </c>
      <c r="O326">
        <f t="shared" si="40"/>
        <v>-4.5</v>
      </c>
      <c r="Q326">
        <v>297</v>
      </c>
      <c r="R326">
        <f t="shared" si="39"/>
        <v>0.75</v>
      </c>
      <c r="S326">
        <f t="shared" si="41"/>
        <v>3.375</v>
      </c>
      <c r="T326">
        <f t="shared" si="42"/>
        <v>-3.375</v>
      </c>
      <c r="U326">
        <f t="shared" si="37"/>
        <v>184.71366666666671</v>
      </c>
      <c r="W326">
        <v>2440.6</v>
      </c>
      <c r="X326">
        <f t="shared" si="38"/>
        <v>15343.600000000002</v>
      </c>
      <c r="Y326">
        <v>15.888926996603434</v>
      </c>
    </row>
    <row r="327" spans="1:25" x14ac:dyDescent="0.25">
      <c r="A327">
        <v>5240</v>
      </c>
      <c r="B327">
        <v>23690</v>
      </c>
      <c r="C327" s="6">
        <v>43272</v>
      </c>
      <c r="G327">
        <v>16.8</v>
      </c>
      <c r="H327">
        <v>15.9</v>
      </c>
      <c r="I327">
        <v>20.3</v>
      </c>
      <c r="J327">
        <f t="shared" si="35"/>
        <v>2956.7</v>
      </c>
      <c r="K327">
        <f t="shared" si="36"/>
        <v>250.9</v>
      </c>
      <c r="L327" s="19">
        <v>0</v>
      </c>
      <c r="M327">
        <v>0</v>
      </c>
      <c r="N327">
        <v>4.0999999999999996</v>
      </c>
      <c r="O327">
        <f t="shared" si="40"/>
        <v>-4.0999999999999996</v>
      </c>
      <c r="Q327">
        <v>298</v>
      </c>
      <c r="R327">
        <f t="shared" si="39"/>
        <v>0.73666666666666658</v>
      </c>
      <c r="S327">
        <f t="shared" si="41"/>
        <v>3.0203333333333329</v>
      </c>
      <c r="T327">
        <f t="shared" si="42"/>
        <v>-3.0203333333333329</v>
      </c>
      <c r="U327">
        <f t="shared" si="37"/>
        <v>181.69333333333338</v>
      </c>
      <c r="W327">
        <v>2006</v>
      </c>
      <c r="X327">
        <f t="shared" si="38"/>
        <v>17349.600000000002</v>
      </c>
      <c r="Y327">
        <v>15.889989553178843</v>
      </c>
    </row>
    <row r="328" spans="1:25" x14ac:dyDescent="0.25">
      <c r="A328">
        <v>5240</v>
      </c>
      <c r="B328">
        <v>23690</v>
      </c>
      <c r="C328" s="6">
        <v>43273</v>
      </c>
      <c r="G328">
        <v>15.2</v>
      </c>
      <c r="H328">
        <v>9.9</v>
      </c>
      <c r="I328">
        <v>19.600000000000001</v>
      </c>
      <c r="J328">
        <f t="shared" si="35"/>
        <v>2971.8999999999996</v>
      </c>
      <c r="K328">
        <f t="shared" si="36"/>
        <v>266.10000000000002</v>
      </c>
      <c r="M328">
        <v>0</v>
      </c>
      <c r="N328">
        <v>4.2</v>
      </c>
      <c r="O328">
        <f t="shared" si="40"/>
        <v>-4.2</v>
      </c>
      <c r="Q328">
        <v>299</v>
      </c>
      <c r="R328">
        <f t="shared" si="39"/>
        <v>0.72333333333333327</v>
      </c>
      <c r="S328">
        <f t="shared" si="41"/>
        <v>3.0379999999999998</v>
      </c>
      <c r="T328">
        <f t="shared" si="42"/>
        <v>-3.0379999999999998</v>
      </c>
      <c r="U328">
        <f t="shared" si="37"/>
        <v>178.65533333333337</v>
      </c>
      <c r="W328">
        <v>2381.9</v>
      </c>
      <c r="X328">
        <f t="shared" si="38"/>
        <v>19731.500000000004</v>
      </c>
      <c r="Y328">
        <v>15.889635340425009</v>
      </c>
    </row>
    <row r="329" spans="1:25" x14ac:dyDescent="0.25">
      <c r="A329">
        <v>5240</v>
      </c>
      <c r="B329">
        <v>23690</v>
      </c>
      <c r="C329" s="6">
        <v>43274</v>
      </c>
      <c r="G329">
        <v>15.8</v>
      </c>
      <c r="H329">
        <v>11.3</v>
      </c>
      <c r="I329">
        <v>20.3</v>
      </c>
      <c r="J329">
        <f t="shared" si="35"/>
        <v>2987.7</v>
      </c>
      <c r="K329">
        <f t="shared" si="36"/>
        <v>281.90000000000003</v>
      </c>
      <c r="M329">
        <v>0</v>
      </c>
      <c r="N329">
        <v>5.0999999999999996</v>
      </c>
      <c r="O329">
        <f t="shared" si="40"/>
        <v>-5.0999999999999996</v>
      </c>
      <c r="Q329">
        <v>300</v>
      </c>
      <c r="R329">
        <f t="shared" si="39"/>
        <v>0.71</v>
      </c>
      <c r="S329">
        <f t="shared" si="41"/>
        <v>3.6209999999999996</v>
      </c>
      <c r="T329">
        <f t="shared" si="42"/>
        <v>-3.6209999999999996</v>
      </c>
      <c r="U329">
        <f t="shared" si="37"/>
        <v>175.03433333333336</v>
      </c>
      <c r="W329">
        <v>2894.8</v>
      </c>
      <c r="X329">
        <f t="shared" si="38"/>
        <v>22626.300000000003</v>
      </c>
      <c r="Y329">
        <v>15.88786468501562</v>
      </c>
    </row>
    <row r="330" spans="1:25" x14ac:dyDescent="0.25">
      <c r="A330">
        <v>5240</v>
      </c>
      <c r="B330">
        <v>23690</v>
      </c>
      <c r="C330" s="6">
        <v>43275</v>
      </c>
      <c r="G330">
        <v>17.3</v>
      </c>
      <c r="H330">
        <v>12.5</v>
      </c>
      <c r="I330">
        <v>22</v>
      </c>
      <c r="J330">
        <f t="shared" si="35"/>
        <v>3005</v>
      </c>
      <c r="K330">
        <f t="shared" si="36"/>
        <v>299.20000000000005</v>
      </c>
      <c r="M330">
        <v>0</v>
      </c>
      <c r="N330">
        <v>5</v>
      </c>
      <c r="O330">
        <f t="shared" si="40"/>
        <v>-5</v>
      </c>
      <c r="Q330">
        <v>301</v>
      </c>
      <c r="R330">
        <f t="shared" si="39"/>
        <v>0.69666666666666655</v>
      </c>
      <c r="S330">
        <f t="shared" si="41"/>
        <v>3.4833333333333325</v>
      </c>
      <c r="T330">
        <f t="shared" si="42"/>
        <v>-3.4833333333333325</v>
      </c>
      <c r="U330">
        <f t="shared" si="37"/>
        <v>171.55100000000004</v>
      </c>
      <c r="W330">
        <v>2655.4</v>
      </c>
      <c r="X330">
        <f t="shared" si="38"/>
        <v>25281.700000000004</v>
      </c>
      <c r="Y330">
        <v>15.884679218906635</v>
      </c>
    </row>
    <row r="331" spans="1:25" x14ac:dyDescent="0.25">
      <c r="A331">
        <v>5240</v>
      </c>
      <c r="B331">
        <v>23690</v>
      </c>
      <c r="C331" s="6">
        <v>43276</v>
      </c>
      <c r="G331">
        <v>18.899999999999999</v>
      </c>
      <c r="H331">
        <v>12.9</v>
      </c>
      <c r="I331">
        <v>23.7</v>
      </c>
      <c r="J331">
        <f t="shared" si="35"/>
        <v>3023.9</v>
      </c>
      <c r="K331">
        <f t="shared" si="36"/>
        <v>318.10000000000002</v>
      </c>
      <c r="M331">
        <v>0</v>
      </c>
      <c r="N331">
        <v>5.7</v>
      </c>
      <c r="O331">
        <f t="shared" si="40"/>
        <v>-5.7</v>
      </c>
      <c r="Q331">
        <v>302</v>
      </c>
      <c r="R331">
        <f t="shared" si="39"/>
        <v>0.68333333333333324</v>
      </c>
      <c r="S331">
        <f t="shared" si="41"/>
        <v>3.8949999999999996</v>
      </c>
      <c r="T331">
        <f t="shared" si="42"/>
        <v>-3.8949999999999996</v>
      </c>
      <c r="U331">
        <f t="shared" si="37"/>
        <v>167.65600000000003</v>
      </c>
      <c r="W331">
        <v>3118.3</v>
      </c>
      <c r="X331">
        <f t="shared" si="38"/>
        <v>28400.000000000004</v>
      </c>
      <c r="Y331">
        <v>15.880081873697117</v>
      </c>
    </row>
    <row r="332" spans="1:25" x14ac:dyDescent="0.25">
      <c r="A332">
        <v>5240</v>
      </c>
      <c r="B332">
        <v>23690</v>
      </c>
      <c r="C332" s="6">
        <v>43277</v>
      </c>
      <c r="G332">
        <v>20.6</v>
      </c>
      <c r="H332">
        <v>15.4</v>
      </c>
      <c r="I332">
        <v>25.5</v>
      </c>
      <c r="J332">
        <f t="shared" si="35"/>
        <v>3044.5</v>
      </c>
      <c r="K332">
        <f t="shared" si="36"/>
        <v>338.70000000000005</v>
      </c>
      <c r="M332">
        <v>0</v>
      </c>
      <c r="N332">
        <v>6.6</v>
      </c>
      <c r="O332">
        <f t="shared" si="40"/>
        <v>-6.6</v>
      </c>
      <c r="Q332">
        <v>303</v>
      </c>
      <c r="R332">
        <f t="shared" si="39"/>
        <v>0.66999999999999993</v>
      </c>
      <c r="S332">
        <f t="shared" si="41"/>
        <v>4.4219999999999997</v>
      </c>
      <c r="T332">
        <f t="shared" si="42"/>
        <v>-4.4219999999999997</v>
      </c>
      <c r="U332">
        <f t="shared" si="37"/>
        <v>163.23400000000004</v>
      </c>
      <c r="W332">
        <v>3202.7</v>
      </c>
      <c r="X332">
        <f t="shared" si="38"/>
        <v>31602.700000000004</v>
      </c>
      <c r="Y332">
        <v>15.874076870522689</v>
      </c>
    </row>
    <row r="333" spans="1:25" x14ac:dyDescent="0.25">
      <c r="A333">
        <v>5240</v>
      </c>
      <c r="B333">
        <v>23690</v>
      </c>
      <c r="C333" s="6">
        <v>43278</v>
      </c>
      <c r="G333">
        <v>21.4</v>
      </c>
      <c r="H333">
        <v>15.3</v>
      </c>
      <c r="I333">
        <v>27.2</v>
      </c>
      <c r="J333">
        <f t="shared" si="35"/>
        <v>3065.9</v>
      </c>
      <c r="K333">
        <f t="shared" si="36"/>
        <v>360.1</v>
      </c>
      <c r="M333">
        <v>0</v>
      </c>
      <c r="N333">
        <v>6.7</v>
      </c>
      <c r="O333">
        <f t="shared" si="40"/>
        <v>-6.7</v>
      </c>
      <c r="Q333">
        <v>304</v>
      </c>
      <c r="R333">
        <f t="shared" si="39"/>
        <v>0.65666666666666662</v>
      </c>
      <c r="S333">
        <f t="shared" si="41"/>
        <v>4.3996666666666666</v>
      </c>
      <c r="T333">
        <f t="shared" si="42"/>
        <v>-4.3996666666666666</v>
      </c>
      <c r="U333">
        <f t="shared" si="37"/>
        <v>158.83433333333338</v>
      </c>
      <c r="W333">
        <v>3203.5</v>
      </c>
      <c r="X333">
        <f t="shared" si="38"/>
        <v>34806.200000000004</v>
      </c>
      <c r="Y333">
        <v>15.866669705556276</v>
      </c>
    </row>
    <row r="334" spans="1:25" s="27" customFormat="1" x14ac:dyDescent="0.25">
      <c r="A334" s="27">
        <v>5240</v>
      </c>
      <c r="B334" s="27">
        <v>23690</v>
      </c>
      <c r="C334" s="28">
        <v>43279</v>
      </c>
      <c r="G334" s="27">
        <v>21.6</v>
      </c>
      <c r="H334" s="27">
        <v>16.600000000000001</v>
      </c>
      <c r="I334" s="27">
        <v>26.5</v>
      </c>
      <c r="J334" s="27">
        <f t="shared" si="35"/>
        <v>3087.5</v>
      </c>
      <c r="K334">
        <f t="shared" si="36"/>
        <v>381.70000000000005</v>
      </c>
      <c r="M334" s="27">
        <v>0</v>
      </c>
      <c r="N334" s="27">
        <v>7</v>
      </c>
      <c r="O334" s="27">
        <f t="shared" si="40"/>
        <v>-7</v>
      </c>
      <c r="Q334" s="27">
        <v>305</v>
      </c>
      <c r="R334">
        <f t="shared" si="39"/>
        <v>0.64333333333333331</v>
      </c>
      <c r="S334" s="27">
        <f t="shared" si="41"/>
        <v>4.503333333333333</v>
      </c>
      <c r="T334" s="27">
        <f t="shared" si="42"/>
        <v>-4.503333333333333</v>
      </c>
      <c r="U334" s="27">
        <f t="shared" si="37"/>
        <v>154.33100000000005</v>
      </c>
      <c r="W334" s="27">
        <v>3130.5</v>
      </c>
      <c r="X334">
        <f t="shared" si="38"/>
        <v>37936.700000000004</v>
      </c>
      <c r="Y334" s="27">
        <v>15.85786713122274</v>
      </c>
    </row>
    <row r="335" spans="1:25" s="7" customFormat="1" ht="15.75" thickBot="1" x14ac:dyDescent="0.3">
      <c r="A335" s="7">
        <v>5240</v>
      </c>
      <c r="B335" s="7">
        <v>23690</v>
      </c>
      <c r="C335" s="8">
        <v>43280</v>
      </c>
      <c r="D335" s="7">
        <v>1000</v>
      </c>
      <c r="G335" s="7">
        <v>22.5</v>
      </c>
      <c r="H335" s="7">
        <v>16.3</v>
      </c>
      <c r="I335" s="7">
        <v>27.1</v>
      </c>
      <c r="J335" s="7">
        <f t="shared" si="35"/>
        <v>3110</v>
      </c>
      <c r="K335" s="7">
        <f t="shared" si="36"/>
        <v>404.20000000000005</v>
      </c>
      <c r="M335" s="7">
        <v>0</v>
      </c>
      <c r="N335" s="7">
        <v>4.5</v>
      </c>
      <c r="O335" s="7">
        <f t="shared" si="40"/>
        <v>-4.5</v>
      </c>
      <c r="Q335" s="7">
        <v>306</v>
      </c>
      <c r="R335" s="7">
        <f t="shared" si="39"/>
        <v>0.62999999999999989</v>
      </c>
      <c r="S335" s="7">
        <f t="shared" si="41"/>
        <v>2.8349999999999995</v>
      </c>
      <c r="T335" s="7">
        <f t="shared" si="42"/>
        <v>-2.8349999999999995</v>
      </c>
      <c r="U335" s="7">
        <f t="shared" si="37"/>
        <v>151.49600000000004</v>
      </c>
      <c r="W335" s="7">
        <v>1805.3</v>
      </c>
      <c r="X335" s="7">
        <f t="shared" si="38"/>
        <v>39742.000000000007</v>
      </c>
      <c r="Y335" s="7">
        <v>15.847677133264499</v>
      </c>
    </row>
    <row r="336" spans="1:25" x14ac:dyDescent="0.25">
      <c r="A336">
        <v>5240</v>
      </c>
      <c r="B336">
        <v>23690</v>
      </c>
      <c r="C336" s="6">
        <v>43281</v>
      </c>
      <c r="G336">
        <v>24.7</v>
      </c>
      <c r="H336">
        <v>19.2</v>
      </c>
      <c r="I336">
        <v>29.6</v>
      </c>
      <c r="J336">
        <f t="shared" si="35"/>
        <v>3134.7</v>
      </c>
      <c r="K336">
        <f t="shared" si="36"/>
        <v>428.90000000000003</v>
      </c>
      <c r="M336">
        <v>0</v>
      </c>
      <c r="N336">
        <v>5.2</v>
      </c>
      <c r="O336">
        <f t="shared" si="40"/>
        <v>-5.2</v>
      </c>
      <c r="Q336">
        <v>307</v>
      </c>
      <c r="R336">
        <f t="shared" si="39"/>
        <v>0.6166666666666667</v>
      </c>
      <c r="S336">
        <f t="shared" si="41"/>
        <v>3.206666666666667</v>
      </c>
      <c r="T336">
        <f t="shared" si="42"/>
        <v>-3.206666666666667</v>
      </c>
      <c r="U336">
        <f t="shared" si="37"/>
        <v>148.28933333333336</v>
      </c>
      <c r="W336">
        <v>2134.1999999999998</v>
      </c>
      <c r="X336">
        <f t="shared" si="38"/>
        <v>41876.200000000004</v>
      </c>
      <c r="Y336">
        <v>15.836108903824146</v>
      </c>
    </row>
    <row r="337" spans="1:25" x14ac:dyDescent="0.25">
      <c r="A337">
        <v>5240</v>
      </c>
      <c r="B337">
        <v>23690</v>
      </c>
      <c r="C337" s="6">
        <v>43282</v>
      </c>
      <c r="G337">
        <v>24.8</v>
      </c>
      <c r="H337">
        <v>20.5</v>
      </c>
      <c r="I337">
        <v>28.9</v>
      </c>
      <c r="J337">
        <f t="shared" si="35"/>
        <v>3159.5</v>
      </c>
      <c r="K337">
        <f t="shared" si="36"/>
        <v>453.70000000000005</v>
      </c>
      <c r="M337">
        <v>7.5</v>
      </c>
      <c r="N337">
        <v>1.9</v>
      </c>
      <c r="O337">
        <f t="shared" si="40"/>
        <v>5.6</v>
      </c>
      <c r="Q337">
        <v>308</v>
      </c>
      <c r="R337">
        <f t="shared" si="39"/>
        <v>0.60333333333333328</v>
      </c>
      <c r="S337">
        <f t="shared" si="41"/>
        <v>1.1463333333333332</v>
      </c>
      <c r="T337">
        <f t="shared" si="42"/>
        <v>6.3536666666666672</v>
      </c>
      <c r="U337">
        <f t="shared" si="37"/>
        <v>154.64300000000003</v>
      </c>
      <c r="W337">
        <v>939.6</v>
      </c>
      <c r="X337">
        <f t="shared" si="38"/>
        <v>42815.8</v>
      </c>
      <c r="Y337">
        <v>15.823172810736548</v>
      </c>
    </row>
    <row r="338" spans="1:25" x14ac:dyDescent="0.25">
      <c r="A338">
        <v>5240</v>
      </c>
      <c r="B338">
        <v>23690</v>
      </c>
      <c r="C338" s="6">
        <v>43283</v>
      </c>
      <c r="G338">
        <v>22.6</v>
      </c>
      <c r="H338">
        <v>20.100000000000001</v>
      </c>
      <c r="I338">
        <v>27</v>
      </c>
      <c r="J338">
        <f t="shared" si="35"/>
        <v>3182.1</v>
      </c>
      <c r="K338">
        <f t="shared" si="36"/>
        <v>476.30000000000007</v>
      </c>
      <c r="M338">
        <v>5</v>
      </c>
      <c r="N338">
        <v>5.0999999999999996</v>
      </c>
      <c r="O338">
        <f t="shared" si="40"/>
        <v>-9.9999999999999645E-2</v>
      </c>
      <c r="Q338">
        <v>309</v>
      </c>
      <c r="R338">
        <f t="shared" si="39"/>
        <v>0.59</v>
      </c>
      <c r="S338">
        <f t="shared" si="41"/>
        <v>3.0089999999999995</v>
      </c>
      <c r="T338">
        <f t="shared" si="42"/>
        <v>1.9910000000000005</v>
      </c>
      <c r="U338">
        <f t="shared" si="37"/>
        <v>156.63400000000004</v>
      </c>
      <c r="W338">
        <v>2366.6</v>
      </c>
      <c r="X338">
        <f t="shared" si="38"/>
        <v>45182.400000000001</v>
      </c>
      <c r="Y338">
        <v>15.808880363247416</v>
      </c>
    </row>
    <row r="339" spans="1:25" x14ac:dyDescent="0.25">
      <c r="A339">
        <v>5240</v>
      </c>
      <c r="B339">
        <v>23690</v>
      </c>
      <c r="C339" s="6">
        <v>43284</v>
      </c>
      <c r="G339">
        <v>22.4</v>
      </c>
      <c r="H339">
        <v>17.600000000000001</v>
      </c>
      <c r="I339">
        <v>27.3</v>
      </c>
      <c r="J339">
        <f t="shared" si="35"/>
        <v>3204.5</v>
      </c>
      <c r="K339">
        <f t="shared" si="36"/>
        <v>498.70000000000005</v>
      </c>
      <c r="M339">
        <v>0</v>
      </c>
      <c r="N339">
        <v>4.5999999999999996</v>
      </c>
      <c r="O339">
        <f t="shared" si="40"/>
        <v>-4.5999999999999996</v>
      </c>
      <c r="Q339">
        <v>310</v>
      </c>
      <c r="R339">
        <f t="shared" si="39"/>
        <v>0.57666666666666666</v>
      </c>
      <c r="S339">
        <f t="shared" si="41"/>
        <v>2.6526666666666663</v>
      </c>
      <c r="T339">
        <f t="shared" si="42"/>
        <v>-2.6526666666666663</v>
      </c>
      <c r="U339">
        <f t="shared" si="37"/>
        <v>153.98133333333337</v>
      </c>
      <c r="W339">
        <v>2168.8000000000002</v>
      </c>
      <c r="X339">
        <f t="shared" si="38"/>
        <v>47351.200000000004</v>
      </c>
      <c r="Y339">
        <v>15.793244174396857</v>
      </c>
    </row>
    <row r="340" spans="1:25" x14ac:dyDescent="0.25">
      <c r="A340">
        <v>5240</v>
      </c>
      <c r="B340">
        <v>23690</v>
      </c>
      <c r="C340" s="6">
        <v>43285</v>
      </c>
      <c r="G340">
        <v>22.9</v>
      </c>
      <c r="H340">
        <v>18.399999999999999</v>
      </c>
      <c r="I340">
        <v>27</v>
      </c>
      <c r="J340">
        <f t="shared" si="35"/>
        <v>3227.4</v>
      </c>
      <c r="K340">
        <f t="shared" si="36"/>
        <v>521.6</v>
      </c>
      <c r="M340">
        <v>0.5</v>
      </c>
      <c r="N340">
        <v>3.9</v>
      </c>
      <c r="O340">
        <f t="shared" si="40"/>
        <v>-3.4</v>
      </c>
      <c r="Q340">
        <v>311</v>
      </c>
      <c r="R340">
        <f t="shared" si="39"/>
        <v>0.56333333333333335</v>
      </c>
      <c r="S340">
        <f t="shared" si="41"/>
        <v>2.1970000000000001</v>
      </c>
      <c r="T340">
        <f t="shared" si="42"/>
        <v>-1.6970000000000001</v>
      </c>
      <c r="U340">
        <f t="shared" si="37"/>
        <v>152.28433333333336</v>
      </c>
      <c r="W340">
        <v>1787.4</v>
      </c>
      <c r="X340">
        <f t="shared" si="38"/>
        <v>49138.600000000006</v>
      </c>
      <c r="Y340">
        <v>15.776277920325247</v>
      </c>
    </row>
    <row r="341" spans="1:25" x14ac:dyDescent="0.25">
      <c r="A341">
        <v>5240</v>
      </c>
      <c r="B341">
        <v>23690</v>
      </c>
      <c r="C341" s="6">
        <v>43286</v>
      </c>
      <c r="G341">
        <v>20</v>
      </c>
      <c r="H341">
        <v>18.399999999999999</v>
      </c>
      <c r="I341">
        <v>22.8</v>
      </c>
      <c r="J341">
        <f t="shared" si="35"/>
        <v>3247.4</v>
      </c>
      <c r="K341">
        <f t="shared" si="36"/>
        <v>541.6</v>
      </c>
      <c r="M341">
        <v>3</v>
      </c>
      <c r="N341">
        <v>2.6</v>
      </c>
      <c r="O341">
        <f t="shared" si="40"/>
        <v>0.39999999999999991</v>
      </c>
      <c r="Q341">
        <v>312</v>
      </c>
      <c r="R341">
        <f t="shared" si="39"/>
        <v>0.54999999999999993</v>
      </c>
      <c r="S341">
        <f t="shared" si="41"/>
        <v>1.43</v>
      </c>
      <c r="T341">
        <f t="shared" si="42"/>
        <v>1.57</v>
      </c>
      <c r="U341">
        <f t="shared" si="37"/>
        <v>153.85433333333336</v>
      </c>
      <c r="W341">
        <v>1208.8</v>
      </c>
      <c r="X341">
        <f t="shared" si="38"/>
        <v>50347.400000000009</v>
      </c>
      <c r="Y341">
        <v>15.757996296774563</v>
      </c>
    </row>
    <row r="342" spans="1:25" x14ac:dyDescent="0.25">
      <c r="A342">
        <v>5240</v>
      </c>
      <c r="B342">
        <v>23690</v>
      </c>
      <c r="C342" s="6">
        <v>43287</v>
      </c>
      <c r="G342">
        <v>22.1</v>
      </c>
      <c r="H342">
        <v>16.899999999999999</v>
      </c>
      <c r="I342">
        <v>27.1</v>
      </c>
      <c r="J342">
        <f t="shared" si="35"/>
        <v>3269.5</v>
      </c>
      <c r="K342">
        <f t="shared" si="36"/>
        <v>563.70000000000005</v>
      </c>
      <c r="M342">
        <v>0</v>
      </c>
      <c r="N342">
        <v>5.3</v>
      </c>
      <c r="O342">
        <f t="shared" si="40"/>
        <v>-5.3</v>
      </c>
      <c r="Q342">
        <v>313</v>
      </c>
      <c r="R342">
        <f t="shared" si="39"/>
        <v>0.53666666666666663</v>
      </c>
      <c r="S342">
        <f t="shared" si="41"/>
        <v>2.8443333333333332</v>
      </c>
      <c r="T342">
        <f t="shared" si="42"/>
        <v>-2.8443333333333332</v>
      </c>
      <c r="U342">
        <f t="shared" si="37"/>
        <v>151.01000000000002</v>
      </c>
      <c r="W342">
        <v>2589.1</v>
      </c>
      <c r="X342">
        <f t="shared" si="38"/>
        <v>52936.500000000007</v>
      </c>
      <c r="Y342">
        <v>15.738414973071011</v>
      </c>
    </row>
    <row r="343" spans="1:25" x14ac:dyDescent="0.25">
      <c r="A343">
        <v>5240</v>
      </c>
      <c r="B343">
        <v>23690</v>
      </c>
      <c r="C343" s="6">
        <v>43288</v>
      </c>
      <c r="G343">
        <v>23.5</v>
      </c>
      <c r="H343">
        <v>17.899999999999999</v>
      </c>
      <c r="I343">
        <v>28.5</v>
      </c>
      <c r="J343">
        <f t="shared" si="35"/>
        <v>3293</v>
      </c>
      <c r="K343">
        <f t="shared" si="36"/>
        <v>587.20000000000005</v>
      </c>
      <c r="M343">
        <v>0</v>
      </c>
      <c r="N343">
        <v>5.5</v>
      </c>
      <c r="O343">
        <f t="shared" si="40"/>
        <v>-5.5</v>
      </c>
      <c r="Q343">
        <v>314</v>
      </c>
      <c r="R343">
        <f t="shared" si="39"/>
        <v>0.52333333333333332</v>
      </c>
      <c r="S343">
        <f t="shared" si="41"/>
        <v>2.8783333333333334</v>
      </c>
      <c r="T343">
        <f t="shared" si="42"/>
        <v>-2.8783333333333334</v>
      </c>
      <c r="U343">
        <f t="shared" si="37"/>
        <v>148.13166666666669</v>
      </c>
      <c r="W343">
        <v>2481.6999999999998</v>
      </c>
      <c r="X343">
        <f t="shared" si="38"/>
        <v>55418.200000000004</v>
      </c>
      <c r="Y343">
        <v>15.7175505438843</v>
      </c>
    </row>
    <row r="344" spans="1:25" x14ac:dyDescent="0.25">
      <c r="A344">
        <v>5240</v>
      </c>
      <c r="B344">
        <v>23690</v>
      </c>
      <c r="C344" s="6">
        <v>43289</v>
      </c>
      <c r="G344">
        <v>23.8</v>
      </c>
      <c r="H344">
        <v>18.899999999999999</v>
      </c>
      <c r="I344">
        <v>29.3</v>
      </c>
      <c r="J344">
        <f t="shared" si="35"/>
        <v>3316.8</v>
      </c>
      <c r="K344">
        <f t="shared" si="36"/>
        <v>611</v>
      </c>
      <c r="M344">
        <v>0</v>
      </c>
      <c r="N344">
        <v>4.2</v>
      </c>
      <c r="O344">
        <f t="shared" si="40"/>
        <v>-4.2</v>
      </c>
      <c r="Q344">
        <v>315</v>
      </c>
      <c r="R344">
        <f t="shared" si="39"/>
        <v>0.5099999999999999</v>
      </c>
      <c r="S344">
        <f t="shared" si="41"/>
        <v>2.1419999999999995</v>
      </c>
      <c r="T344">
        <f t="shared" si="42"/>
        <v>-2.1419999999999995</v>
      </c>
      <c r="U344">
        <f t="shared" si="37"/>
        <v>145.98966666666669</v>
      </c>
      <c r="W344">
        <v>1756.2</v>
      </c>
      <c r="X344">
        <f t="shared" si="38"/>
        <v>57174.400000000001</v>
      </c>
      <c r="Y344">
        <v>15.695420479065314</v>
      </c>
    </row>
    <row r="345" spans="1:25" x14ac:dyDescent="0.25">
      <c r="A345">
        <v>5240</v>
      </c>
      <c r="B345">
        <v>23690</v>
      </c>
      <c r="C345" s="6">
        <v>43290</v>
      </c>
      <c r="G345">
        <v>21.5</v>
      </c>
      <c r="H345">
        <v>17.8</v>
      </c>
      <c r="I345">
        <v>25.8</v>
      </c>
      <c r="J345">
        <f t="shared" si="35"/>
        <v>3338.3</v>
      </c>
      <c r="K345">
        <f t="shared" si="36"/>
        <v>632.5</v>
      </c>
      <c r="M345">
        <v>0</v>
      </c>
      <c r="N345">
        <v>5.9</v>
      </c>
      <c r="O345">
        <f t="shared" si="40"/>
        <v>-5.9</v>
      </c>
      <c r="Q345">
        <v>316</v>
      </c>
      <c r="R345">
        <f t="shared" si="39"/>
        <v>0.49666666666666659</v>
      </c>
      <c r="S345">
        <f t="shared" si="41"/>
        <v>2.930333333333333</v>
      </c>
      <c r="T345">
        <f t="shared" si="42"/>
        <v>-2.930333333333333</v>
      </c>
      <c r="U345">
        <f t="shared" si="37"/>
        <v>143.05933333333337</v>
      </c>
      <c r="W345">
        <v>2454.4</v>
      </c>
      <c r="X345">
        <f t="shared" si="38"/>
        <v>59628.800000000003</v>
      </c>
      <c r="Y345">
        <v>15.672043071867336</v>
      </c>
    </row>
    <row r="346" spans="1:25" x14ac:dyDescent="0.25">
      <c r="A346">
        <v>5240</v>
      </c>
      <c r="B346">
        <v>23690</v>
      </c>
      <c r="C346" s="6">
        <v>43291</v>
      </c>
      <c r="G346">
        <v>19</v>
      </c>
      <c r="H346">
        <v>16</v>
      </c>
      <c r="I346">
        <v>23.1</v>
      </c>
      <c r="J346">
        <f t="shared" si="35"/>
        <v>3357.3</v>
      </c>
      <c r="K346">
        <f t="shared" si="36"/>
        <v>651.5</v>
      </c>
      <c r="M346">
        <v>0</v>
      </c>
      <c r="N346">
        <v>3.4</v>
      </c>
      <c r="O346">
        <f t="shared" si="40"/>
        <v>-3.4</v>
      </c>
      <c r="Q346">
        <v>317</v>
      </c>
      <c r="R346">
        <f t="shared" si="39"/>
        <v>0.48333333333333328</v>
      </c>
      <c r="S346">
        <f t="shared" si="41"/>
        <v>1.6433333333333331</v>
      </c>
      <c r="T346">
        <f t="shared" si="42"/>
        <v>-1.6433333333333331</v>
      </c>
      <c r="U346">
        <f t="shared" si="37"/>
        <v>141.41600000000003</v>
      </c>
      <c r="W346">
        <v>1158.0999999999999</v>
      </c>
      <c r="X346">
        <f t="shared" si="38"/>
        <v>60786.9</v>
      </c>
      <c r="Y346">
        <v>15.647437385856163</v>
      </c>
    </row>
    <row r="347" spans="1:25" x14ac:dyDescent="0.25">
      <c r="A347">
        <v>5240</v>
      </c>
      <c r="B347">
        <v>23690</v>
      </c>
      <c r="C347" s="6">
        <v>43292</v>
      </c>
      <c r="G347">
        <v>17.7</v>
      </c>
      <c r="H347">
        <v>13.2</v>
      </c>
      <c r="I347">
        <v>21.2</v>
      </c>
      <c r="J347">
        <f t="shared" si="35"/>
        <v>3375</v>
      </c>
      <c r="K347">
        <f t="shared" si="36"/>
        <v>669.2</v>
      </c>
      <c r="M347">
        <v>0</v>
      </c>
      <c r="N347">
        <v>2.1</v>
      </c>
      <c r="O347">
        <f t="shared" si="40"/>
        <v>-2.1</v>
      </c>
      <c r="Q347">
        <v>318</v>
      </c>
      <c r="R347">
        <f t="shared" si="39"/>
        <v>0.47</v>
      </c>
      <c r="S347">
        <f t="shared" si="41"/>
        <v>0.98699999999999999</v>
      </c>
      <c r="T347">
        <f t="shared" si="42"/>
        <v>-0.98699999999999999</v>
      </c>
      <c r="U347">
        <f t="shared" si="37"/>
        <v>140.42900000000003</v>
      </c>
      <c r="W347">
        <v>778.2</v>
      </c>
      <c r="X347">
        <f t="shared" si="38"/>
        <v>61565.1</v>
      </c>
      <c r="Y347">
        <v>15.621623200812079</v>
      </c>
    </row>
    <row r="348" spans="1:25" x14ac:dyDescent="0.25">
      <c r="A348">
        <v>5240</v>
      </c>
      <c r="B348">
        <v>23690</v>
      </c>
      <c r="C348" s="6">
        <v>43293</v>
      </c>
      <c r="G348">
        <v>19.600000000000001</v>
      </c>
      <c r="H348">
        <v>14.6</v>
      </c>
      <c r="I348">
        <v>24.1</v>
      </c>
      <c r="J348">
        <f t="shared" si="35"/>
        <v>3394.6</v>
      </c>
      <c r="K348">
        <f t="shared" si="36"/>
        <v>688.80000000000007</v>
      </c>
      <c r="M348">
        <v>0</v>
      </c>
      <c r="N348">
        <v>2.5</v>
      </c>
      <c r="O348">
        <f t="shared" si="40"/>
        <v>-2.5</v>
      </c>
      <c r="Q348">
        <v>319</v>
      </c>
      <c r="R348">
        <f t="shared" si="39"/>
        <v>0.45666666666666667</v>
      </c>
      <c r="S348">
        <f t="shared" si="41"/>
        <v>1.1416666666666666</v>
      </c>
      <c r="T348">
        <f t="shared" si="42"/>
        <v>-1.1416666666666666</v>
      </c>
      <c r="U348">
        <f t="shared" si="37"/>
        <v>139.28733333333335</v>
      </c>
      <c r="W348">
        <v>886.9</v>
      </c>
      <c r="X348">
        <f t="shared" si="38"/>
        <v>62452</v>
      </c>
      <c r="Y348">
        <v>15.594620957921469</v>
      </c>
    </row>
    <row r="349" spans="1:25" x14ac:dyDescent="0.25">
      <c r="A349">
        <v>5240</v>
      </c>
      <c r="B349">
        <v>23690</v>
      </c>
      <c r="C349" s="6">
        <v>43294</v>
      </c>
      <c r="G349">
        <v>21.5</v>
      </c>
      <c r="H349">
        <v>17.399999999999999</v>
      </c>
      <c r="I349">
        <v>25.8</v>
      </c>
      <c r="J349">
        <f t="shared" si="35"/>
        <v>3416.1</v>
      </c>
      <c r="K349">
        <f t="shared" si="36"/>
        <v>710.30000000000007</v>
      </c>
      <c r="M349">
        <v>0.5</v>
      </c>
      <c r="N349">
        <v>3.4</v>
      </c>
      <c r="O349">
        <f t="shared" si="40"/>
        <v>-2.9</v>
      </c>
      <c r="Q349">
        <v>320</v>
      </c>
      <c r="R349">
        <f t="shared" si="39"/>
        <v>0.44333333333333336</v>
      </c>
      <c r="S349">
        <f t="shared" si="41"/>
        <v>1.5073333333333334</v>
      </c>
      <c r="T349">
        <f t="shared" si="42"/>
        <v>-1.0073333333333334</v>
      </c>
      <c r="U349">
        <f t="shared" si="37"/>
        <v>138.28000000000003</v>
      </c>
      <c r="W349">
        <v>1514.4</v>
      </c>
      <c r="X349">
        <f t="shared" si="38"/>
        <v>63966.400000000001</v>
      </c>
      <c r="Y349">
        <v>15.566451704548095</v>
      </c>
    </row>
    <row r="350" spans="1:25" x14ac:dyDescent="0.25">
      <c r="A350">
        <v>5240</v>
      </c>
      <c r="B350">
        <v>23690</v>
      </c>
      <c r="C350" s="6">
        <v>43295</v>
      </c>
      <c r="G350">
        <v>22.7</v>
      </c>
      <c r="H350">
        <v>17.399999999999999</v>
      </c>
      <c r="I350">
        <v>27.7</v>
      </c>
      <c r="J350">
        <f t="shared" si="35"/>
        <v>3438.7999999999997</v>
      </c>
      <c r="K350">
        <f t="shared" si="36"/>
        <v>733.00000000000011</v>
      </c>
      <c r="M350">
        <v>2.4</v>
      </c>
      <c r="N350">
        <v>4</v>
      </c>
      <c r="O350">
        <f t="shared" si="40"/>
        <v>-1.6</v>
      </c>
      <c r="Q350">
        <v>321</v>
      </c>
      <c r="R350">
        <f t="shared" si="39"/>
        <v>0.42999999999999994</v>
      </c>
      <c r="S350">
        <f t="shared" si="41"/>
        <v>1.7199999999999998</v>
      </c>
      <c r="T350">
        <f t="shared" si="42"/>
        <v>0.68000000000000016</v>
      </c>
      <c r="U350">
        <f t="shared" si="37"/>
        <v>138.96000000000004</v>
      </c>
      <c r="W350">
        <v>1746.5</v>
      </c>
      <c r="X350">
        <f t="shared" si="38"/>
        <v>65712.899999999994</v>
      </c>
      <c r="Y350">
        <v>15.537137038864454</v>
      </c>
    </row>
    <row r="351" spans="1:25" x14ac:dyDescent="0.25">
      <c r="A351">
        <v>5240</v>
      </c>
      <c r="B351">
        <v>23690</v>
      </c>
      <c r="C351" s="6">
        <v>43296</v>
      </c>
      <c r="G351">
        <v>23.2</v>
      </c>
      <c r="H351">
        <v>18.100000000000001</v>
      </c>
      <c r="I351">
        <v>29.3</v>
      </c>
      <c r="J351">
        <f t="shared" si="35"/>
        <v>3461.9999999999995</v>
      </c>
      <c r="K351">
        <f t="shared" si="36"/>
        <v>756.20000000000016</v>
      </c>
      <c r="M351">
        <v>2.4</v>
      </c>
      <c r="N351">
        <v>4.5</v>
      </c>
      <c r="O351">
        <f t="shared" si="40"/>
        <v>-2.1</v>
      </c>
      <c r="Q351">
        <v>322</v>
      </c>
      <c r="R351">
        <f t="shared" si="39"/>
        <v>0.41666666666666663</v>
      </c>
      <c r="S351">
        <f t="shared" si="41"/>
        <v>1.8749999999999998</v>
      </c>
      <c r="T351">
        <f t="shared" si="42"/>
        <v>0.52500000000000013</v>
      </c>
      <c r="U351">
        <f t="shared" si="37"/>
        <v>139.48500000000004</v>
      </c>
      <c r="W351">
        <v>1956.3</v>
      </c>
      <c r="X351">
        <f t="shared" si="38"/>
        <v>67669.2</v>
      </c>
      <c r="Y351">
        <v>15.506699054611497</v>
      </c>
    </row>
    <row r="352" spans="1:25" x14ac:dyDescent="0.25">
      <c r="A352">
        <v>5240</v>
      </c>
      <c r="B352">
        <v>23690</v>
      </c>
      <c r="C352" s="6">
        <v>43297</v>
      </c>
      <c r="G352">
        <v>22.7</v>
      </c>
      <c r="H352">
        <v>17.100000000000001</v>
      </c>
      <c r="I352">
        <v>27.9</v>
      </c>
      <c r="J352">
        <f t="shared" ref="J352:J367" si="43">J351+G352</f>
        <v>3484.6999999999994</v>
      </c>
      <c r="K352">
        <f t="shared" ref="K352:K367" si="44">K351+G352</f>
        <v>778.9000000000002</v>
      </c>
      <c r="M352">
        <v>0</v>
      </c>
      <c r="N352">
        <v>5.6</v>
      </c>
      <c r="O352">
        <f t="shared" si="40"/>
        <v>-5.6</v>
      </c>
      <c r="Q352">
        <v>323</v>
      </c>
      <c r="R352">
        <f t="shared" si="39"/>
        <v>0.40333333333333332</v>
      </c>
      <c r="S352">
        <f t="shared" si="41"/>
        <v>2.2586666666666666</v>
      </c>
      <c r="T352">
        <f t="shared" si="42"/>
        <v>-2.2586666666666666</v>
      </c>
      <c r="U352">
        <f t="shared" ref="U352:U367" si="45">MIN(U351+T352,218.9)</f>
        <v>137.22633333333337</v>
      </c>
      <c r="W352">
        <v>2323.4</v>
      </c>
      <c r="X352">
        <f t="shared" ref="X352:X367" si="46">X351+W352</f>
        <v>69992.599999999991</v>
      </c>
      <c r="Y352">
        <v>15.475160286241803</v>
      </c>
    </row>
    <row r="353" spans="1:25" x14ac:dyDescent="0.25">
      <c r="A353">
        <v>5240</v>
      </c>
      <c r="B353">
        <v>23690</v>
      </c>
      <c r="C353" s="6">
        <v>43298</v>
      </c>
      <c r="G353">
        <v>20.399999999999999</v>
      </c>
      <c r="H353">
        <v>17.3</v>
      </c>
      <c r="I353">
        <v>24.7</v>
      </c>
      <c r="J353">
        <f t="shared" si="43"/>
        <v>3505.0999999999995</v>
      </c>
      <c r="K353">
        <f t="shared" si="44"/>
        <v>799.30000000000018</v>
      </c>
      <c r="M353">
        <v>0</v>
      </c>
      <c r="N353">
        <v>3.8</v>
      </c>
      <c r="O353">
        <f t="shared" si="40"/>
        <v>-3.8</v>
      </c>
      <c r="Q353">
        <v>324</v>
      </c>
      <c r="R353">
        <f t="shared" si="39"/>
        <v>0.39</v>
      </c>
      <c r="S353">
        <f t="shared" si="41"/>
        <v>1.482</v>
      </c>
      <c r="T353">
        <f t="shared" si="42"/>
        <v>-1.482</v>
      </c>
      <c r="U353">
        <f t="shared" si="45"/>
        <v>135.74433333333337</v>
      </c>
      <c r="W353">
        <v>1770.3</v>
      </c>
      <c r="X353">
        <f t="shared" si="46"/>
        <v>71762.899999999994</v>
      </c>
      <c r="Y353">
        <v>15.442543654685974</v>
      </c>
    </row>
    <row r="354" spans="1:25" x14ac:dyDescent="0.25">
      <c r="A354">
        <v>5240</v>
      </c>
      <c r="B354">
        <v>23690</v>
      </c>
      <c r="C354" s="6">
        <v>43299</v>
      </c>
      <c r="G354">
        <v>21.7</v>
      </c>
      <c r="H354">
        <v>15.9</v>
      </c>
      <c r="I354">
        <v>27.1</v>
      </c>
      <c r="J354">
        <f t="shared" si="43"/>
        <v>3526.7999999999993</v>
      </c>
      <c r="K354">
        <f t="shared" si="44"/>
        <v>821.00000000000023</v>
      </c>
      <c r="M354">
        <v>0</v>
      </c>
      <c r="N354">
        <v>4.2</v>
      </c>
      <c r="O354">
        <f t="shared" si="40"/>
        <v>-4.2</v>
      </c>
      <c r="Q354">
        <v>325</v>
      </c>
      <c r="R354">
        <f t="shared" si="39"/>
        <v>0.37666666666666659</v>
      </c>
      <c r="S354">
        <f t="shared" si="41"/>
        <v>1.5819999999999999</v>
      </c>
      <c r="T354">
        <f t="shared" si="42"/>
        <v>-1.5819999999999999</v>
      </c>
      <c r="U354">
        <f t="shared" si="45"/>
        <v>134.16233333333338</v>
      </c>
      <c r="W354">
        <v>1738.7</v>
      </c>
      <c r="X354">
        <f t="shared" si="46"/>
        <v>73501.599999999991</v>
      </c>
      <c r="Y354">
        <v>15.408872413966099</v>
      </c>
    </row>
    <row r="355" spans="1:25" s="27" customFormat="1" x14ac:dyDescent="0.25">
      <c r="A355" s="27">
        <v>5240</v>
      </c>
      <c r="B355" s="27">
        <v>23690</v>
      </c>
      <c r="C355" s="28">
        <v>43300</v>
      </c>
      <c r="G355" s="27">
        <v>23.1</v>
      </c>
      <c r="H355" s="27">
        <v>17.399999999999999</v>
      </c>
      <c r="I355" s="27">
        <v>28.9</v>
      </c>
      <c r="J355" s="27">
        <f t="shared" si="43"/>
        <v>3549.8999999999992</v>
      </c>
      <c r="K355">
        <f t="shared" si="44"/>
        <v>844.10000000000025</v>
      </c>
      <c r="M355" s="27">
        <v>1.2</v>
      </c>
      <c r="N355" s="27">
        <v>3.1</v>
      </c>
      <c r="O355" s="27">
        <f t="shared" si="40"/>
        <v>-1.9000000000000001</v>
      </c>
      <c r="Q355" s="27">
        <v>326</v>
      </c>
      <c r="R355">
        <f t="shared" si="39"/>
        <v>0.3633333333333334</v>
      </c>
      <c r="S355" s="27">
        <f t="shared" si="41"/>
        <v>1.1263333333333336</v>
      </c>
      <c r="T355" s="27">
        <f t="shared" si="42"/>
        <v>7.3666666666666325E-2</v>
      </c>
      <c r="U355" s="27">
        <f t="shared" si="45"/>
        <v>134.23600000000005</v>
      </c>
      <c r="W355" s="27">
        <v>1183.0999999999999</v>
      </c>
      <c r="X355">
        <f t="shared" si="46"/>
        <v>74684.7</v>
      </c>
      <c r="Y355" s="27">
        <v>15.374170098862985</v>
      </c>
    </row>
    <row r="356" spans="1:25" s="7" customFormat="1" ht="15.75" thickBot="1" x14ac:dyDescent="0.3">
      <c r="A356" s="7">
        <v>5240</v>
      </c>
      <c r="B356" s="7">
        <v>23690</v>
      </c>
      <c r="C356" s="8">
        <v>43301</v>
      </c>
      <c r="D356" s="7" t="s">
        <v>34</v>
      </c>
      <c r="G356" s="7">
        <v>19.5</v>
      </c>
      <c r="H356" s="7">
        <v>17.899999999999999</v>
      </c>
      <c r="I356" s="7">
        <v>23.2</v>
      </c>
      <c r="J356" s="7">
        <f t="shared" si="43"/>
        <v>3569.3999999999992</v>
      </c>
      <c r="K356" s="31">
        <f t="shared" si="44"/>
        <v>863.60000000000025</v>
      </c>
      <c r="M356" s="7">
        <v>0.2</v>
      </c>
      <c r="N356" s="7">
        <v>1.8</v>
      </c>
      <c r="O356" s="7">
        <f t="shared" si="40"/>
        <v>-1.6</v>
      </c>
      <c r="Q356" s="7">
        <v>327</v>
      </c>
      <c r="R356" s="7">
        <f t="shared" si="39"/>
        <v>0.35</v>
      </c>
      <c r="S356" s="7">
        <f t="shared" si="41"/>
        <v>0.63</v>
      </c>
      <c r="T356" s="7">
        <f t="shared" si="42"/>
        <v>-0.43</v>
      </c>
      <c r="U356" s="7">
        <f t="shared" si="45"/>
        <v>133.80600000000004</v>
      </c>
      <c r="W356" s="7">
        <v>906</v>
      </c>
      <c r="X356" s="31">
        <f t="shared" si="46"/>
        <v>75590.7</v>
      </c>
    </row>
    <row r="357" spans="1:25" x14ac:dyDescent="0.25">
      <c r="A357">
        <v>5240</v>
      </c>
      <c r="B357">
        <v>23690</v>
      </c>
      <c r="C357" s="6">
        <v>43302</v>
      </c>
      <c r="G357">
        <v>19.3</v>
      </c>
      <c r="H357">
        <v>15.3</v>
      </c>
      <c r="I357">
        <v>23.2</v>
      </c>
      <c r="J357">
        <f t="shared" si="43"/>
        <v>3588.6999999999994</v>
      </c>
      <c r="K357">
        <f t="shared" si="44"/>
        <v>882.9000000000002</v>
      </c>
      <c r="M357">
        <v>0</v>
      </c>
      <c r="N357">
        <v>4.3</v>
      </c>
      <c r="O357">
        <f t="shared" si="40"/>
        <v>-4.3</v>
      </c>
      <c r="Q357">
        <v>328</v>
      </c>
      <c r="S357">
        <f t="shared" si="41"/>
        <v>0</v>
      </c>
      <c r="T357">
        <f t="shared" si="42"/>
        <v>0</v>
      </c>
      <c r="U357">
        <f t="shared" si="45"/>
        <v>133.80600000000004</v>
      </c>
      <c r="W357">
        <v>2402.1</v>
      </c>
      <c r="X357">
        <f t="shared" si="46"/>
        <v>77992.800000000003</v>
      </c>
    </row>
    <row r="358" spans="1:25" x14ac:dyDescent="0.25">
      <c r="A358">
        <v>5240</v>
      </c>
      <c r="B358">
        <v>23690</v>
      </c>
      <c r="C358" s="6">
        <v>43303</v>
      </c>
      <c r="G358">
        <v>20.7</v>
      </c>
      <c r="H358">
        <v>14.3</v>
      </c>
      <c r="I358">
        <v>26.4</v>
      </c>
      <c r="J358">
        <f t="shared" si="43"/>
        <v>3609.3999999999992</v>
      </c>
      <c r="K358">
        <f t="shared" si="44"/>
        <v>903.60000000000025</v>
      </c>
      <c r="M358">
        <v>0</v>
      </c>
      <c r="N358">
        <v>4.9000000000000004</v>
      </c>
      <c r="O358">
        <f t="shared" si="40"/>
        <v>-4.9000000000000004</v>
      </c>
      <c r="Q358">
        <v>329</v>
      </c>
      <c r="S358">
        <f t="shared" si="41"/>
        <v>0</v>
      </c>
      <c r="T358">
        <f t="shared" si="42"/>
        <v>0</v>
      </c>
      <c r="U358">
        <f t="shared" si="45"/>
        <v>133.80600000000004</v>
      </c>
      <c r="W358">
        <v>2431.6</v>
      </c>
      <c r="X358">
        <f t="shared" si="46"/>
        <v>80424.400000000009</v>
      </c>
    </row>
    <row r="359" spans="1:25" x14ac:dyDescent="0.25">
      <c r="A359">
        <v>5240</v>
      </c>
      <c r="B359">
        <v>23690</v>
      </c>
      <c r="C359" s="6">
        <v>43304</v>
      </c>
      <c r="G359">
        <v>23.4</v>
      </c>
      <c r="H359">
        <v>17.8</v>
      </c>
      <c r="I359">
        <v>28.6</v>
      </c>
      <c r="J359">
        <f t="shared" si="43"/>
        <v>3632.7999999999993</v>
      </c>
      <c r="K359">
        <f t="shared" si="44"/>
        <v>927.00000000000023</v>
      </c>
      <c r="M359">
        <v>0</v>
      </c>
      <c r="N359">
        <v>4.5</v>
      </c>
      <c r="O359">
        <f t="shared" si="40"/>
        <v>-4.5</v>
      </c>
      <c r="Q359">
        <v>330</v>
      </c>
      <c r="S359">
        <f t="shared" si="41"/>
        <v>0</v>
      </c>
      <c r="T359">
        <f t="shared" si="42"/>
        <v>0</v>
      </c>
      <c r="U359">
        <f t="shared" si="45"/>
        <v>133.80600000000004</v>
      </c>
      <c r="W359">
        <v>2061.5</v>
      </c>
      <c r="X359">
        <f t="shared" si="46"/>
        <v>82485.900000000009</v>
      </c>
    </row>
    <row r="360" spans="1:25" x14ac:dyDescent="0.25">
      <c r="A360">
        <v>5240</v>
      </c>
      <c r="B360">
        <v>23690</v>
      </c>
      <c r="C360" s="6">
        <v>43305</v>
      </c>
      <c r="G360">
        <v>24.3</v>
      </c>
      <c r="H360">
        <v>18.3</v>
      </c>
      <c r="I360">
        <v>29.6</v>
      </c>
      <c r="J360">
        <f t="shared" si="43"/>
        <v>3657.0999999999995</v>
      </c>
      <c r="K360">
        <f t="shared" si="44"/>
        <v>951.30000000000018</v>
      </c>
      <c r="M360">
        <v>0</v>
      </c>
      <c r="N360">
        <v>2.2999999999999998</v>
      </c>
      <c r="O360">
        <f t="shared" si="40"/>
        <v>-2.2999999999999998</v>
      </c>
      <c r="Q360">
        <v>331</v>
      </c>
      <c r="S360">
        <f t="shared" si="41"/>
        <v>0</v>
      </c>
      <c r="T360">
        <f t="shared" si="42"/>
        <v>0</v>
      </c>
      <c r="U360">
        <f t="shared" si="45"/>
        <v>133.80600000000004</v>
      </c>
      <c r="W360">
        <v>709.9</v>
      </c>
      <c r="X360">
        <f t="shared" si="46"/>
        <v>83195.8</v>
      </c>
    </row>
    <row r="361" spans="1:25" x14ac:dyDescent="0.25">
      <c r="A361">
        <v>5240</v>
      </c>
      <c r="B361">
        <v>23690</v>
      </c>
      <c r="C361" s="6">
        <v>43306</v>
      </c>
      <c r="G361">
        <v>25.2</v>
      </c>
      <c r="H361">
        <v>18.600000000000001</v>
      </c>
      <c r="I361">
        <v>30.9</v>
      </c>
      <c r="J361">
        <f t="shared" si="43"/>
        <v>3682.2999999999993</v>
      </c>
      <c r="K361">
        <f t="shared" si="44"/>
        <v>976.50000000000023</v>
      </c>
      <c r="M361">
        <v>0</v>
      </c>
      <c r="N361">
        <v>5.5</v>
      </c>
      <c r="O361">
        <f t="shared" si="40"/>
        <v>-5.5</v>
      </c>
      <c r="Q361">
        <v>332</v>
      </c>
      <c r="S361">
        <f t="shared" si="41"/>
        <v>0</v>
      </c>
      <c r="T361">
        <f t="shared" si="42"/>
        <v>0</v>
      </c>
      <c r="U361">
        <f t="shared" si="45"/>
        <v>133.80600000000004</v>
      </c>
      <c r="W361">
        <v>2396.3000000000002</v>
      </c>
      <c r="X361">
        <f t="shared" si="46"/>
        <v>85592.1</v>
      </c>
    </row>
    <row r="362" spans="1:25" x14ac:dyDescent="0.25">
      <c r="A362">
        <v>5240</v>
      </c>
      <c r="B362">
        <v>23690</v>
      </c>
      <c r="C362" s="6">
        <v>43307</v>
      </c>
      <c r="G362">
        <v>27</v>
      </c>
      <c r="H362">
        <v>20.100000000000001</v>
      </c>
      <c r="I362">
        <v>33.5</v>
      </c>
      <c r="J362">
        <f t="shared" si="43"/>
        <v>3709.2999999999993</v>
      </c>
      <c r="K362">
        <f t="shared" si="44"/>
        <v>1003.5000000000002</v>
      </c>
      <c r="M362">
        <v>0.5</v>
      </c>
      <c r="N362">
        <v>5.3</v>
      </c>
      <c r="O362">
        <f t="shared" si="40"/>
        <v>-4.8</v>
      </c>
      <c r="Q362">
        <v>333</v>
      </c>
      <c r="S362">
        <f t="shared" si="41"/>
        <v>0</v>
      </c>
      <c r="T362">
        <f t="shared" si="42"/>
        <v>0.5</v>
      </c>
      <c r="U362">
        <f t="shared" si="45"/>
        <v>134.30600000000004</v>
      </c>
      <c r="W362">
        <v>2132.3000000000002</v>
      </c>
      <c r="X362">
        <f t="shared" si="46"/>
        <v>87724.400000000009</v>
      </c>
    </row>
    <row r="363" spans="1:25" x14ac:dyDescent="0.25">
      <c r="A363">
        <v>5240</v>
      </c>
      <c r="B363">
        <v>23690</v>
      </c>
      <c r="C363" s="6">
        <v>43308</v>
      </c>
      <c r="G363">
        <v>25.4</v>
      </c>
      <c r="H363">
        <v>20.6</v>
      </c>
      <c r="I363">
        <v>33.299999999999997</v>
      </c>
      <c r="J363">
        <f t="shared" si="43"/>
        <v>3734.6999999999994</v>
      </c>
      <c r="K363">
        <f t="shared" si="44"/>
        <v>1028.9000000000003</v>
      </c>
      <c r="M363">
        <v>0</v>
      </c>
      <c r="N363">
        <v>5.5</v>
      </c>
      <c r="O363">
        <f t="shared" si="40"/>
        <v>-5.5</v>
      </c>
      <c r="Q363">
        <v>334</v>
      </c>
      <c r="S363">
        <f t="shared" si="41"/>
        <v>0</v>
      </c>
      <c r="T363">
        <f t="shared" si="42"/>
        <v>0</v>
      </c>
      <c r="U363">
        <f t="shared" si="45"/>
        <v>134.30600000000004</v>
      </c>
      <c r="W363">
        <v>2287.1</v>
      </c>
      <c r="X363">
        <f t="shared" si="46"/>
        <v>90011.500000000015</v>
      </c>
    </row>
    <row r="364" spans="1:25" x14ac:dyDescent="0.25">
      <c r="A364">
        <v>5240</v>
      </c>
      <c r="B364">
        <v>23690</v>
      </c>
      <c r="C364" s="6">
        <v>43309</v>
      </c>
      <c r="G364">
        <v>20.8</v>
      </c>
      <c r="H364">
        <v>18.899999999999999</v>
      </c>
      <c r="I364">
        <v>22.9</v>
      </c>
      <c r="J364">
        <f t="shared" si="43"/>
        <v>3755.4999999999995</v>
      </c>
      <c r="K364">
        <f t="shared" si="44"/>
        <v>1049.7000000000003</v>
      </c>
      <c r="M364">
        <v>0</v>
      </c>
      <c r="N364">
        <v>4.5</v>
      </c>
      <c r="O364">
        <f t="shared" si="40"/>
        <v>-4.5</v>
      </c>
      <c r="Q364">
        <v>335</v>
      </c>
      <c r="S364">
        <f t="shared" si="41"/>
        <v>0</v>
      </c>
      <c r="T364">
        <f t="shared" si="42"/>
        <v>0</v>
      </c>
      <c r="U364">
        <f t="shared" si="45"/>
        <v>134.30600000000004</v>
      </c>
      <c r="W364">
        <v>1815.3</v>
      </c>
      <c r="X364">
        <f t="shared" si="46"/>
        <v>91826.800000000017</v>
      </c>
    </row>
    <row r="365" spans="1:25" x14ac:dyDescent="0.25">
      <c r="A365">
        <v>5240</v>
      </c>
      <c r="B365">
        <v>23690</v>
      </c>
      <c r="C365" s="6">
        <v>43310</v>
      </c>
      <c r="G365">
        <v>21.3</v>
      </c>
      <c r="H365">
        <v>16.899999999999999</v>
      </c>
      <c r="I365">
        <v>25.4</v>
      </c>
      <c r="J365">
        <f t="shared" si="43"/>
        <v>3776.7999999999997</v>
      </c>
      <c r="K365">
        <f t="shared" si="44"/>
        <v>1071.0000000000002</v>
      </c>
      <c r="M365">
        <v>0</v>
      </c>
      <c r="N365">
        <v>3.6</v>
      </c>
      <c r="O365">
        <f t="shared" si="40"/>
        <v>-3.6</v>
      </c>
      <c r="Q365">
        <v>336</v>
      </c>
      <c r="S365">
        <f t="shared" si="41"/>
        <v>0</v>
      </c>
      <c r="T365">
        <f t="shared" si="42"/>
        <v>0</v>
      </c>
      <c r="U365">
        <f t="shared" si="45"/>
        <v>134.30600000000004</v>
      </c>
      <c r="W365">
        <v>1007.4</v>
      </c>
      <c r="X365">
        <f t="shared" si="46"/>
        <v>92834.200000000012</v>
      </c>
    </row>
    <row r="366" spans="1:25" x14ac:dyDescent="0.25">
      <c r="A366">
        <v>5240</v>
      </c>
      <c r="B366">
        <v>23690</v>
      </c>
      <c r="C366" s="6">
        <v>43311</v>
      </c>
      <c r="G366">
        <v>21.9</v>
      </c>
      <c r="H366">
        <v>18.600000000000001</v>
      </c>
      <c r="I366">
        <v>25.2</v>
      </c>
      <c r="J366">
        <f t="shared" si="43"/>
        <v>3798.7</v>
      </c>
      <c r="K366">
        <f t="shared" si="44"/>
        <v>1092.9000000000003</v>
      </c>
      <c r="M366">
        <v>0</v>
      </c>
      <c r="N366">
        <v>2.2999999999999998</v>
      </c>
      <c r="O366">
        <f t="shared" si="40"/>
        <v>-2.2999999999999998</v>
      </c>
      <c r="Q366">
        <v>337</v>
      </c>
      <c r="S366">
        <f t="shared" si="41"/>
        <v>0</v>
      </c>
      <c r="T366">
        <f t="shared" si="42"/>
        <v>0</v>
      </c>
      <c r="U366">
        <f t="shared" si="45"/>
        <v>134.30600000000004</v>
      </c>
      <c r="W366">
        <v>730.5</v>
      </c>
      <c r="X366">
        <f t="shared" si="46"/>
        <v>93564.700000000012</v>
      </c>
    </row>
    <row r="367" spans="1:25" x14ac:dyDescent="0.25">
      <c r="A367">
        <v>5240</v>
      </c>
      <c r="B367">
        <v>23690</v>
      </c>
      <c r="C367" s="6">
        <v>43312</v>
      </c>
      <c r="G367">
        <v>21.8</v>
      </c>
      <c r="H367">
        <v>18.899999999999999</v>
      </c>
      <c r="I367">
        <v>26</v>
      </c>
      <c r="J367">
        <f t="shared" si="43"/>
        <v>3820.5</v>
      </c>
      <c r="K367">
        <f t="shared" si="44"/>
        <v>1114.7000000000003</v>
      </c>
      <c r="M367">
        <v>0</v>
      </c>
      <c r="N367">
        <v>4.5</v>
      </c>
      <c r="O367">
        <f t="shared" si="40"/>
        <v>-4.5</v>
      </c>
      <c r="Q367">
        <v>338</v>
      </c>
      <c r="S367">
        <f t="shared" si="41"/>
        <v>0</v>
      </c>
      <c r="T367">
        <f t="shared" si="42"/>
        <v>0</v>
      </c>
      <c r="U367">
        <f t="shared" si="45"/>
        <v>134.30600000000004</v>
      </c>
      <c r="W367">
        <v>1956.2</v>
      </c>
      <c r="X367">
        <f t="shared" si="46"/>
        <v>95520.900000000009</v>
      </c>
    </row>
  </sheetData>
  <mergeCells count="3">
    <mergeCell ref="G2:L2"/>
    <mergeCell ref="M2:V2"/>
    <mergeCell ref="W2:Z2"/>
  </mergeCells>
  <conditionalFormatting sqref="O4:O367">
    <cfRule type="cellIs" dxfId="30" priority="31" operator="lessThan">
      <formula>0</formula>
    </cfRule>
  </conditionalFormatting>
  <conditionalFormatting sqref="T4:T367">
    <cfRule type="cellIs" dxfId="29" priority="30" operator="lessThan">
      <formula>0</formula>
    </cfRule>
  </conditionalFormatting>
  <conditionalFormatting sqref="W4:W367">
    <cfRule type="cellIs" dxfId="28" priority="29" operator="lessThan">
      <formula>900</formula>
    </cfRule>
  </conditionalFormatting>
  <conditionalFormatting sqref="U4:U1048576">
    <cfRule type="cellIs" dxfId="27" priority="27" operator="equal">
      <formula>0</formula>
    </cfRule>
    <cfRule type="cellIs" dxfId="26" priority="28" operator="lessThanOrEqual">
      <formula>73</formula>
    </cfRule>
  </conditionalFormatting>
  <conditionalFormatting sqref="G4:I367">
    <cfRule type="cellIs" dxfId="25" priority="24" operator="lessThan">
      <formula>0</formula>
    </cfRule>
    <cfRule type="cellIs" dxfId="24" priority="25" operator="between">
      <formula>5</formula>
      <formula>0</formula>
    </cfRule>
    <cfRule type="cellIs" dxfId="23" priority="26" operator="greaterThanOrEqual">
      <formula>25</formula>
    </cfRule>
  </conditionalFormatting>
  <conditionalFormatting sqref="Y30:Y355">
    <cfRule type="cellIs" dxfId="22" priority="23" operator="lessThan">
      <formula>9</formula>
    </cfRule>
  </conditionalFormatting>
  <conditionalFormatting sqref="L31 L39 L43 L41">
    <cfRule type="cellIs" dxfId="21" priority="21" operator="lessThanOrEqual">
      <formula>0</formula>
    </cfRule>
    <cfRule type="cellIs" dxfId="20" priority="22" operator="lessThanOrEqual">
      <formula>5</formula>
    </cfRule>
  </conditionalFormatting>
  <conditionalFormatting sqref="V31">
    <cfRule type="cellIs" dxfId="19" priority="19" operator="equal">
      <formula>0</formula>
    </cfRule>
    <cfRule type="cellIs" dxfId="18" priority="20" operator="lessThanOrEqual">
      <formula>63.2</formula>
    </cfRule>
  </conditionalFormatting>
  <conditionalFormatting sqref="L124 L132 L136 L134">
    <cfRule type="cellIs" dxfId="17" priority="17" operator="lessThanOrEqual">
      <formula>0</formula>
    </cfRule>
    <cfRule type="cellIs" dxfId="16" priority="18" operator="lessThanOrEqual">
      <formula>5</formula>
    </cfRule>
  </conditionalFormatting>
  <conditionalFormatting sqref="Z124">
    <cfRule type="cellIs" dxfId="15" priority="16" operator="lessThan">
      <formula>9</formula>
    </cfRule>
  </conditionalFormatting>
  <conditionalFormatting sqref="L220 L228 L232 L230">
    <cfRule type="cellIs" dxfId="14" priority="14" operator="lessThanOrEqual">
      <formula>0</formula>
    </cfRule>
    <cfRule type="cellIs" dxfId="13" priority="15" operator="lessThanOrEqual">
      <formula>5</formula>
    </cfRule>
  </conditionalFormatting>
  <conditionalFormatting sqref="Z220">
    <cfRule type="cellIs" dxfId="12" priority="13" operator="lessThan">
      <formula>9</formula>
    </cfRule>
  </conditionalFormatting>
  <conditionalFormatting sqref="L254 L266 L264 L262">
    <cfRule type="cellIs" dxfId="11" priority="11" operator="lessThanOrEqual">
      <formula>0</formula>
    </cfRule>
    <cfRule type="cellIs" dxfId="10" priority="12" operator="lessThanOrEqual">
      <formula>5</formula>
    </cfRule>
  </conditionalFormatting>
  <conditionalFormatting sqref="Z254">
    <cfRule type="cellIs" dxfId="9" priority="10" operator="lessThan">
      <formula>9</formula>
    </cfRule>
  </conditionalFormatting>
  <conditionalFormatting sqref="L275 L283 L285 L287">
    <cfRule type="cellIs" dxfId="8" priority="8" operator="lessThanOrEqual">
      <formula>0</formula>
    </cfRule>
    <cfRule type="cellIs" dxfId="7" priority="9" operator="lessThanOrEqual">
      <formula>5</formula>
    </cfRule>
  </conditionalFormatting>
  <conditionalFormatting sqref="Z275">
    <cfRule type="cellIs" dxfId="6" priority="7" operator="lessThan">
      <formula>9</formula>
    </cfRule>
  </conditionalFormatting>
  <conditionalFormatting sqref="L298 L308">
    <cfRule type="cellIs" dxfId="5" priority="5" operator="lessThanOrEqual">
      <formula>0</formula>
    </cfRule>
    <cfRule type="cellIs" dxfId="4" priority="6" operator="lessThanOrEqual">
      <formula>5</formula>
    </cfRule>
  </conditionalFormatting>
  <conditionalFormatting sqref="Z298">
    <cfRule type="cellIs" dxfId="3" priority="4" operator="lessThan">
      <formula>9</formula>
    </cfRule>
  </conditionalFormatting>
  <conditionalFormatting sqref="L315 L325">
    <cfRule type="cellIs" dxfId="2" priority="2" operator="lessThanOrEqual">
      <formula>0</formula>
    </cfRule>
    <cfRule type="cellIs" dxfId="1" priority="3" operator="lessThanOrEqual">
      <formula>5</formula>
    </cfRule>
  </conditionalFormatting>
  <conditionalFormatting sqref="Z315">
    <cfRule type="cellIs" dxfId="0" priority="1" operator="lessThan">
      <formula>9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SYN18CH2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adminigepp</cp:lastModifiedBy>
  <dcterms:created xsi:type="dcterms:W3CDTF">2019-11-13T16:45:07Z</dcterms:created>
  <dcterms:modified xsi:type="dcterms:W3CDTF">2019-11-27T15:55:18Z</dcterms:modified>
</cp:coreProperties>
</file>