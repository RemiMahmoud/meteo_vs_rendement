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LIM18CVCV" sheetId="1" r:id="rId1"/>
  </sheets>
  <calcPr calcId="162913"/>
</workbook>
</file>

<file path=xl/calcChain.xml><?xml version="1.0" encoding="utf-8"?>
<calcChain xmlns="http://schemas.openxmlformats.org/spreadsheetml/2006/main">
  <c r="AA233" i="1" l="1"/>
  <c r="AA225" i="1"/>
  <c r="Y316" i="1" l="1"/>
  <c r="K320" i="1" l="1"/>
  <c r="K318" i="1"/>
  <c r="K316" i="1"/>
  <c r="K303" i="1"/>
  <c r="K301" i="1"/>
  <c r="K299" i="1"/>
  <c r="K280" i="1"/>
  <c r="K278" i="1"/>
  <c r="K276" i="1"/>
  <c r="K259" i="1"/>
  <c r="K257" i="1"/>
  <c r="K255" i="1"/>
  <c r="K226" i="1"/>
  <c r="K224" i="1"/>
  <c r="K222" i="1"/>
  <c r="K130" i="1"/>
  <c r="K128" i="1"/>
  <c r="K126" i="1"/>
  <c r="K39" i="1"/>
  <c r="K37" i="1"/>
  <c r="K35" i="1"/>
  <c r="Y299" i="1"/>
  <c r="Y276" i="1"/>
  <c r="Y255" i="1"/>
  <c r="Y222" i="1"/>
  <c r="Y126" i="1"/>
  <c r="Y35" i="1"/>
  <c r="Q41" i="1" l="1"/>
  <c r="Q42" i="1"/>
  <c r="Q43" i="1"/>
  <c r="R43" i="1" s="1"/>
  <c r="S43" i="1" s="1"/>
  <c r="Q44" i="1"/>
  <c r="Q45" i="1"/>
  <c r="Q46" i="1"/>
  <c r="Q47" i="1"/>
  <c r="Q48" i="1"/>
  <c r="Q49" i="1"/>
  <c r="Q50" i="1"/>
  <c r="Q51" i="1"/>
  <c r="R51" i="1" s="1"/>
  <c r="S51" i="1" s="1"/>
  <c r="Q52" i="1"/>
  <c r="Q53" i="1"/>
  <c r="Q54" i="1"/>
  <c r="Q55" i="1"/>
  <c r="Q56" i="1"/>
  <c r="Q57" i="1"/>
  <c r="Q58" i="1"/>
  <c r="Q59" i="1"/>
  <c r="R59" i="1" s="1"/>
  <c r="S59" i="1" s="1"/>
  <c r="Q60" i="1"/>
  <c r="Q61" i="1"/>
  <c r="Q62" i="1"/>
  <c r="Q63" i="1"/>
  <c r="Q64" i="1"/>
  <c r="Q65" i="1"/>
  <c r="Q66" i="1"/>
  <c r="Q67" i="1"/>
  <c r="R67" i="1" s="1"/>
  <c r="S67" i="1" s="1"/>
  <c r="Q68" i="1"/>
  <c r="Q69" i="1"/>
  <c r="Q70" i="1"/>
  <c r="Q71" i="1"/>
  <c r="Q72" i="1"/>
  <c r="Q73" i="1"/>
  <c r="Q74" i="1"/>
  <c r="Q75" i="1"/>
  <c r="R75" i="1" s="1"/>
  <c r="S75" i="1" s="1"/>
  <c r="Q76" i="1"/>
  <c r="Q77" i="1"/>
  <c r="Q78" i="1"/>
  <c r="Q79" i="1"/>
  <c r="Q80" i="1"/>
  <c r="Q81" i="1"/>
  <c r="Q82" i="1"/>
  <c r="Q83" i="1"/>
  <c r="R83" i="1" s="1"/>
  <c r="S83" i="1" s="1"/>
  <c r="Q84" i="1"/>
  <c r="Q85" i="1"/>
  <c r="Q86" i="1"/>
  <c r="Q87" i="1"/>
  <c r="Q88" i="1"/>
  <c r="Q89" i="1"/>
  <c r="Q90" i="1"/>
  <c r="Q91" i="1"/>
  <c r="R91" i="1" s="1"/>
  <c r="S91" i="1" s="1"/>
  <c r="Q92" i="1"/>
  <c r="Q93" i="1"/>
  <c r="Q94" i="1"/>
  <c r="Q95" i="1"/>
  <c r="Q96" i="1"/>
  <c r="Q97" i="1"/>
  <c r="Q98" i="1"/>
  <c r="Q99" i="1"/>
  <c r="R99" i="1" s="1"/>
  <c r="S99" i="1" s="1"/>
  <c r="Q100" i="1"/>
  <c r="Q101" i="1"/>
  <c r="Q102" i="1"/>
  <c r="Q103" i="1"/>
  <c r="Q104" i="1"/>
  <c r="Q105" i="1"/>
  <c r="Q106" i="1"/>
  <c r="Q107" i="1"/>
  <c r="R107" i="1" s="1"/>
  <c r="S107" i="1" s="1"/>
  <c r="Q108" i="1"/>
  <c r="Q109" i="1"/>
  <c r="Q110" i="1"/>
  <c r="Q111" i="1"/>
  <c r="Q112" i="1"/>
  <c r="Q113" i="1"/>
  <c r="Q114" i="1"/>
  <c r="Q115" i="1"/>
  <c r="R115" i="1" s="1"/>
  <c r="S115" i="1" s="1"/>
  <c r="Q116" i="1"/>
  <c r="Q117" i="1"/>
  <c r="Q118" i="1"/>
  <c r="Q119" i="1"/>
  <c r="Q120" i="1"/>
  <c r="Q121" i="1"/>
  <c r="Q122" i="1"/>
  <c r="Q40" i="1"/>
  <c r="R40" i="1" s="1"/>
  <c r="S40" i="1" s="1"/>
  <c r="Q220" i="1"/>
  <c r="Q221" i="1"/>
  <c r="Q222" i="1"/>
  <c r="R222" i="1" s="1"/>
  <c r="S222" i="1" s="1"/>
  <c r="Q223" i="1"/>
  <c r="Q224" i="1"/>
  <c r="R224" i="1" s="1"/>
  <c r="S224" i="1" s="1"/>
  <c r="Q225" i="1"/>
  <c r="Q226" i="1"/>
  <c r="Q227" i="1"/>
  <c r="R227" i="1" s="1"/>
  <c r="S227" i="1" s="1"/>
  <c r="Q228" i="1"/>
  <c r="Q229" i="1"/>
  <c r="Q230" i="1"/>
  <c r="R230" i="1" s="1"/>
  <c r="S230" i="1" s="1"/>
  <c r="Q231" i="1"/>
  <c r="Q232" i="1"/>
  <c r="R232" i="1" s="1"/>
  <c r="S232" i="1" s="1"/>
  <c r="Q233" i="1"/>
  <c r="Q234" i="1"/>
  <c r="Q235" i="1"/>
  <c r="R235" i="1" s="1"/>
  <c r="S235" i="1" s="1"/>
  <c r="Q236" i="1"/>
  <c r="Q237" i="1"/>
  <c r="Q238" i="1"/>
  <c r="R238" i="1" s="1"/>
  <c r="S238" i="1" s="1"/>
  <c r="Q239" i="1"/>
  <c r="Q240" i="1"/>
  <c r="R240" i="1" s="1"/>
  <c r="S240" i="1" s="1"/>
  <c r="Q241" i="1"/>
  <c r="Q242" i="1"/>
  <c r="Q243" i="1"/>
  <c r="Q244" i="1"/>
  <c r="Q245" i="1"/>
  <c r="Q246" i="1"/>
  <c r="R246" i="1" s="1"/>
  <c r="S246" i="1" s="1"/>
  <c r="Q247" i="1"/>
  <c r="Q248" i="1"/>
  <c r="R248" i="1" s="1"/>
  <c r="S248" i="1" s="1"/>
  <c r="Q249" i="1"/>
  <c r="Q250" i="1"/>
  <c r="Q251" i="1"/>
  <c r="R251" i="1" s="1"/>
  <c r="S251" i="1" s="1"/>
  <c r="Q219" i="1"/>
  <c r="Q297" i="1"/>
  <c r="Q298" i="1"/>
  <c r="R298" i="1" s="1"/>
  <c r="S298" i="1" s="1"/>
  <c r="Q299" i="1"/>
  <c r="Q300" i="1"/>
  <c r="Q301" i="1"/>
  <c r="Q302" i="1"/>
  <c r="Q303" i="1"/>
  <c r="R303" i="1" s="1"/>
  <c r="S303" i="1" s="1"/>
  <c r="Q304" i="1"/>
  <c r="Q305" i="1"/>
  <c r="Q306" i="1"/>
  <c r="R306" i="1" s="1"/>
  <c r="S306" i="1" s="1"/>
  <c r="Q307" i="1"/>
  <c r="Q308" i="1"/>
  <c r="Q309" i="1"/>
  <c r="Q310" i="1"/>
  <c r="Q311" i="1"/>
  <c r="Q312" i="1"/>
  <c r="Q313" i="1"/>
  <c r="Q314" i="1"/>
  <c r="R314" i="1" s="1"/>
  <c r="S314" i="1" s="1"/>
  <c r="Q315" i="1"/>
  <c r="Q316" i="1"/>
  <c r="Q317" i="1"/>
  <c r="Q318" i="1"/>
  <c r="Q319" i="1"/>
  <c r="R319" i="1" s="1"/>
  <c r="S319" i="1" s="1"/>
  <c r="Q320" i="1"/>
  <c r="Q321" i="1"/>
  <c r="Q322" i="1"/>
  <c r="R322" i="1" s="1"/>
  <c r="S322" i="1" s="1"/>
  <c r="Q323" i="1"/>
  <c r="Q324" i="1"/>
  <c r="Q325" i="1"/>
  <c r="Q326" i="1"/>
  <c r="Q327" i="1"/>
  <c r="R327" i="1" s="1"/>
  <c r="S327" i="1" s="1"/>
  <c r="Q328" i="1"/>
  <c r="Q329" i="1"/>
  <c r="Q330" i="1"/>
  <c r="R330" i="1" s="1"/>
  <c r="S330" i="1" s="1"/>
  <c r="Q331" i="1"/>
  <c r="Q332" i="1"/>
  <c r="Q333" i="1"/>
  <c r="Q334" i="1"/>
  <c r="Q335" i="1"/>
  <c r="R335" i="1" s="1"/>
  <c r="S335" i="1" s="1"/>
  <c r="Q336" i="1"/>
  <c r="Q337" i="1"/>
  <c r="Q338" i="1"/>
  <c r="R338" i="1" s="1"/>
  <c r="S338" i="1" s="1"/>
  <c r="Q339" i="1"/>
  <c r="Q340" i="1"/>
  <c r="Q341" i="1"/>
  <c r="Q342" i="1"/>
  <c r="Q343" i="1"/>
  <c r="R343" i="1" s="1"/>
  <c r="S343" i="1" s="1"/>
  <c r="Q344" i="1"/>
  <c r="Q345" i="1"/>
  <c r="Q346" i="1"/>
  <c r="R346" i="1" s="1"/>
  <c r="S346" i="1" s="1"/>
  <c r="Q296" i="1"/>
  <c r="W335" i="1"/>
  <c r="J335" i="1"/>
  <c r="J313" i="1"/>
  <c r="W313" i="1"/>
  <c r="J296" i="1"/>
  <c r="W296" i="1"/>
  <c r="W273" i="1"/>
  <c r="J273" i="1"/>
  <c r="W252" i="1"/>
  <c r="W219" i="1"/>
  <c r="J252" i="1"/>
  <c r="J219" i="1"/>
  <c r="W123" i="1"/>
  <c r="J123" i="1"/>
  <c r="J32" i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I32" i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W34" i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33" i="1"/>
  <c r="W32" i="1"/>
  <c r="S39" i="1"/>
  <c r="S167" i="1"/>
  <c r="S225" i="1"/>
  <c r="S252" i="1"/>
  <c r="S332" i="1"/>
  <c r="S353" i="1"/>
  <c r="S361" i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R41" i="1"/>
  <c r="S41" i="1" s="1"/>
  <c r="R42" i="1"/>
  <c r="S42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3" i="1"/>
  <c r="S223" i="1" s="1"/>
  <c r="R225" i="1"/>
  <c r="R226" i="1"/>
  <c r="S226" i="1" s="1"/>
  <c r="R228" i="1"/>
  <c r="S228" i="1" s="1"/>
  <c r="R229" i="1"/>
  <c r="S229" i="1" s="1"/>
  <c r="R231" i="1"/>
  <c r="S231" i="1" s="1"/>
  <c r="R233" i="1"/>
  <c r="S233" i="1" s="1"/>
  <c r="R234" i="1"/>
  <c r="S234" i="1" s="1"/>
  <c r="R236" i="1"/>
  <c r="S236" i="1" s="1"/>
  <c r="R237" i="1"/>
  <c r="S237" i="1" s="1"/>
  <c r="R239" i="1"/>
  <c r="S239" i="1" s="1"/>
  <c r="R241" i="1"/>
  <c r="S241" i="1" s="1"/>
  <c r="R242" i="1"/>
  <c r="S242" i="1" s="1"/>
  <c r="R243" i="1"/>
  <c r="S243" i="1" s="1"/>
  <c r="R244" i="1"/>
  <c r="S244" i="1" s="1"/>
  <c r="R245" i="1"/>
  <c r="S245" i="1" s="1"/>
  <c r="R247" i="1"/>
  <c r="S247" i="1" s="1"/>
  <c r="R249" i="1"/>
  <c r="S249" i="1" s="1"/>
  <c r="R250" i="1"/>
  <c r="S250" i="1" s="1"/>
  <c r="R252" i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9" i="1"/>
  <c r="S299" i="1" s="1"/>
  <c r="R300" i="1"/>
  <c r="S300" i="1" s="1"/>
  <c r="R301" i="1"/>
  <c r="S301" i="1" s="1"/>
  <c r="R302" i="1"/>
  <c r="S302" i="1" s="1"/>
  <c r="R304" i="1"/>
  <c r="S304" i="1" s="1"/>
  <c r="R305" i="1"/>
  <c r="S305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5" i="1"/>
  <c r="S315" i="1" s="1"/>
  <c r="R316" i="1"/>
  <c r="S316" i="1" s="1"/>
  <c r="R317" i="1"/>
  <c r="S317" i="1" s="1"/>
  <c r="R318" i="1"/>
  <c r="S318" i="1" s="1"/>
  <c r="R320" i="1"/>
  <c r="S320" i="1" s="1"/>
  <c r="R321" i="1"/>
  <c r="S321" i="1" s="1"/>
  <c r="R323" i="1"/>
  <c r="S323" i="1" s="1"/>
  <c r="R324" i="1"/>
  <c r="S324" i="1" s="1"/>
  <c r="R325" i="1"/>
  <c r="S325" i="1" s="1"/>
  <c r="R326" i="1"/>
  <c r="S326" i="1" s="1"/>
  <c r="R328" i="1"/>
  <c r="S328" i="1" s="1"/>
  <c r="R329" i="1"/>
  <c r="S329" i="1" s="1"/>
  <c r="R331" i="1"/>
  <c r="S331" i="1" s="1"/>
  <c r="R332" i="1"/>
  <c r="R333" i="1"/>
  <c r="S333" i="1" s="1"/>
  <c r="R334" i="1"/>
  <c r="S334" i="1" s="1"/>
  <c r="R336" i="1"/>
  <c r="S336" i="1" s="1"/>
  <c r="R337" i="1"/>
  <c r="S337" i="1" s="1"/>
  <c r="R339" i="1"/>
  <c r="S339" i="1" s="1"/>
  <c r="R340" i="1"/>
  <c r="S340" i="1" s="1"/>
  <c r="R341" i="1"/>
  <c r="S341" i="1" s="1"/>
  <c r="R342" i="1"/>
  <c r="S342" i="1" s="1"/>
  <c r="R344" i="1"/>
  <c r="S344" i="1" s="1"/>
  <c r="R345" i="1"/>
  <c r="S345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4" i="1"/>
  <c r="S4" i="1" s="1"/>
  <c r="Q1" i="1"/>
  <c r="N5" i="1"/>
  <c r="N6" i="1"/>
  <c r="N7" i="1"/>
  <c r="N8" i="1"/>
  <c r="N9" i="1"/>
  <c r="N10" i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T32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4" i="1"/>
  <c r="T33" i="1" l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W124" i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J124" i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6" i="1" s="1"/>
  <c r="J217" i="1" s="1"/>
  <c r="J218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T124" i="1" l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U39" i="1"/>
  <c r="U41" i="1"/>
  <c r="U43" i="1" s="1"/>
  <c r="U37" i="1"/>
  <c r="U132" i="1" l="1"/>
  <c r="U134" i="1" s="1"/>
  <c r="U128" i="1"/>
  <c r="U130" i="1"/>
  <c r="T220" i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U226" i="1" l="1"/>
  <c r="U224" i="1"/>
  <c r="U228" i="1"/>
  <c r="U230" i="1" s="1"/>
  <c r="T253" i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U257" i="1" l="1"/>
  <c r="U259" i="1"/>
  <c r="U261" i="1"/>
  <c r="U263" i="1" s="1"/>
  <c r="T274" i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U278" i="1" l="1"/>
  <c r="T297" i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U280" i="1"/>
  <c r="U282" i="1"/>
  <c r="U284" i="1" s="1"/>
  <c r="U303" i="1" l="1"/>
  <c r="U305" i="1"/>
  <c r="U307" i="1" s="1"/>
  <c r="U301" i="1"/>
  <c r="T314" i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U320" i="1" l="1"/>
  <c r="U322" i="1"/>
  <c r="U324" i="1" s="1"/>
</calcChain>
</file>

<file path=xl/sharedStrings.xml><?xml version="1.0" encoding="utf-8"?>
<sst xmlns="http://schemas.openxmlformats.org/spreadsheetml/2006/main" count="156" uniqueCount="64">
  <si>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</si>
  <si>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</si>
  <si>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</si>
  <si>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</si>
  <si>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</si>
  <si>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</si>
  <si>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</si>
  <si>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</si>
  <si>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</si>
  <si>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</si>
  <si>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Période</t>
  </si>
  <si>
    <t>GDD_cumul</t>
  </si>
  <si>
    <t>GDD/période</t>
  </si>
  <si>
    <t>IPC</t>
  </si>
  <si>
    <t>P-ETP</t>
  </si>
  <si>
    <t>RU avant semis</t>
  </si>
  <si>
    <t>i</t>
  </si>
  <si>
    <t>kc</t>
  </si>
  <si>
    <t>ETM</t>
  </si>
  <si>
    <t>P-ETM</t>
  </si>
  <si>
    <t>WSCi</t>
  </si>
  <si>
    <t>SSI/période</t>
  </si>
  <si>
    <t>Photopériode</t>
  </si>
  <si>
    <t>TEMPERATURE</t>
  </si>
  <si>
    <t>WATER</t>
  </si>
  <si>
    <t>SOLAR</t>
  </si>
  <si>
    <t>RU</t>
  </si>
  <si>
    <t>1/3</t>
  </si>
  <si>
    <t>fh</t>
  </si>
  <si>
    <t>flo</t>
  </si>
  <si>
    <t>fin flo</t>
  </si>
  <si>
    <t>récolte</t>
  </si>
  <si>
    <t>Semis</t>
  </si>
  <si>
    <t>levée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</si>
  <si>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</si>
  <si>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</si>
  <si>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</si>
  <si>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</si>
  <si>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</si>
  <si>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</si>
  <si>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</si>
  <si>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</si>
  <si>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</si>
  <si>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</si>
  <si>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</si>
  <si>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</si>
  <si>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</si>
  <si>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</si>
  <si>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</si>
  <si>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</si>
  <si>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s</t>
  </si>
  <si>
    <t>FALL</t>
  </si>
  <si>
    <t>CLIMATIC WINTER</t>
  </si>
  <si>
    <t>BOLTING</t>
  </si>
  <si>
    <t>FLOWERING</t>
  </si>
  <si>
    <t>P300</t>
  </si>
  <si>
    <t>P600</t>
  </si>
  <si>
    <t>P1000</t>
  </si>
  <si>
    <t>N63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</si>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</sst>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35" borderId="13" xfId="0" applyFont="1" applyFill="1" applyBorder="1" applyAlignment="1">
      <alignment horizontal="center" vertical="center" textRotation="255"/>
    </xf>
    <xf numFmtId="0" fontId="16" fillId="35" borderId="11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/>
    </xf>
    <xf numFmtId="0" fontId="16" fillId="38" borderId="0" xfId="0" applyFont="1" applyFill="1" applyBorder="1" applyAlignment="1">
      <alignment horizontal="center" vertical="center"/>
    </xf>
    <xf numFmtId="0" fontId="16" fillId="38" borderId="10" xfId="0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0" fontId="16" fillId="39" borderId="0" xfId="0" applyFont="1" applyFill="1" applyBorder="1" applyAlignment="1">
      <alignment horizontal="center" vertical="center"/>
    </xf>
    <xf numFmtId="0" fontId="16" fillId="39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0" fillId="40" borderId="0" xfId="0" applyFill="1"/>
    <xf numFmtId="0" fontId="0" fillId="41" borderId="0" xfId="0" applyFill="1"/>
    <xf numFmtId="14" fontId="0" fillId="41" borderId="0" xfId="0" applyNumberFormat="1" applyFill="1"/>
    <xf numFmtId="164" fontId="0" fillId="41" borderId="11" xfId="0" applyNumberFormat="1" applyFill="1" applyBorder="1"/>
    <xf numFmtId="0" fontId="16" fillId="40" borderId="1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7"/>
  <sheetViews>
    <sheetView tabSelected="1" zoomScale="70" zoomScaleNormal="70" workbookViewId="0">
      <pane xSplit="5" ySplit="3" topLeftCell="J198" activePane="bottomRight" state="frozen"/>
      <selection pane="topRight" activeCell="F1" sqref="F1"/>
      <selection pane="bottomLeft" activeCell="A4" sqref="A4"/>
      <selection pane="bottomRight" activeCell="AA225" sqref="AA225"/>
    </sheetView>
  </sheetViews>
  <sheetFormatPr baseColWidth="10" defaultRowHeight="15" x14ac:dyDescent="0.25"/>
  <sheetData>
    <row r="1" spans="1:25" s="2" customFormat="1" x14ac:dyDescent="0.25">
      <c r="N1" s="2" t="s">
        <v>26</v>
      </c>
      <c r="O1" s="2">
        <v>153.9</v>
      </c>
      <c r="P1" s="3" t="s">
        <v>27</v>
      </c>
      <c r="Q1" s="2">
        <f>O1/3</f>
        <v>51.300000000000004</v>
      </c>
    </row>
    <row r="2" spans="1:25" s="2" customFormat="1" x14ac:dyDescent="0.25">
      <c r="F2" s="40" t="s">
        <v>23</v>
      </c>
      <c r="G2" s="40"/>
      <c r="H2" s="40"/>
      <c r="I2" s="40"/>
      <c r="J2" s="40"/>
      <c r="K2" s="40"/>
      <c r="L2" s="41" t="s">
        <v>24</v>
      </c>
      <c r="M2" s="41"/>
      <c r="N2" s="41"/>
      <c r="O2" s="41"/>
      <c r="P2" s="41"/>
      <c r="Q2" s="41"/>
      <c r="R2" s="41"/>
      <c r="S2" s="41"/>
      <c r="T2" s="41"/>
      <c r="U2" s="41"/>
      <c r="V2" s="40" t="s">
        <v>25</v>
      </c>
      <c r="W2" s="40"/>
      <c r="X2" s="40"/>
      <c r="Y2" s="40"/>
    </row>
    <row r="3" spans="1:25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4</v>
      </c>
      <c r="G3" s="2" t="s">
        <v>7</v>
      </c>
      <c r="H3" s="2" t="s">
        <v>8</v>
      </c>
      <c r="I3" s="2" t="s">
        <v>11</v>
      </c>
      <c r="J3" s="2" t="s">
        <v>12</v>
      </c>
      <c r="K3" s="2" t="s">
        <v>13</v>
      </c>
      <c r="L3" s="2" t="s">
        <v>3</v>
      </c>
      <c r="M3" s="2" t="s">
        <v>6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13</v>
      </c>
      <c r="V3" s="2" t="s">
        <v>5</v>
      </c>
      <c r="W3" s="2" t="s">
        <v>21</v>
      </c>
      <c r="X3" s="2" t="s">
        <v>22</v>
      </c>
      <c r="Y3" s="2" t="s">
        <v>13</v>
      </c>
    </row>
    <row r="4" spans="1:25" x14ac:dyDescent="0.25">
      <c r="A4">
        <v>5400</v>
      </c>
      <c r="B4">
        <v>24010</v>
      </c>
      <c r="C4" s="1">
        <v>42949</v>
      </c>
      <c r="F4">
        <v>21.5</v>
      </c>
      <c r="G4">
        <v>14.3</v>
      </c>
      <c r="H4">
        <v>27.2</v>
      </c>
      <c r="L4">
        <v>0.1</v>
      </c>
      <c r="M4">
        <v>2.8</v>
      </c>
      <c r="N4">
        <f>L4-M4</f>
        <v>-2.6999999999999997</v>
      </c>
      <c r="O4">
        <v>0</v>
      </c>
      <c r="R4">
        <f>Q4*M4</f>
        <v>0</v>
      </c>
      <c r="S4">
        <f>L4-R4</f>
        <v>0.1</v>
      </c>
      <c r="V4">
        <v>1111.4000000000001</v>
      </c>
    </row>
    <row r="5" spans="1:25" x14ac:dyDescent="0.25">
      <c r="A5">
        <v>5400</v>
      </c>
      <c r="B5">
        <v>24010</v>
      </c>
      <c r="C5" s="1">
        <v>42950</v>
      </c>
      <c r="F5">
        <v>21.7</v>
      </c>
      <c r="G5">
        <v>18.899999999999999</v>
      </c>
      <c r="H5">
        <v>24.9</v>
      </c>
      <c r="L5">
        <v>0.1</v>
      </c>
      <c r="M5">
        <v>3.9</v>
      </c>
      <c r="N5">
        <f t="shared" ref="N5:N68" si="0">L5-M5</f>
        <v>-3.8</v>
      </c>
      <c r="O5">
        <v>0</v>
      </c>
      <c r="R5">
        <f t="shared" ref="R5:R68" si="1">Q5*M5</f>
        <v>0</v>
      </c>
      <c r="S5">
        <f t="shared" ref="S5:S68" si="2">L5-R5</f>
        <v>0.1</v>
      </c>
      <c r="V5">
        <v>1101.5</v>
      </c>
    </row>
    <row r="6" spans="1:25" x14ac:dyDescent="0.25">
      <c r="A6">
        <v>5400</v>
      </c>
      <c r="B6">
        <v>24010</v>
      </c>
      <c r="C6" s="1">
        <v>42951</v>
      </c>
      <c r="F6">
        <v>20.6</v>
      </c>
      <c r="G6">
        <v>17</v>
      </c>
      <c r="H6">
        <v>24.1</v>
      </c>
      <c r="L6">
        <v>0.1</v>
      </c>
      <c r="M6">
        <v>2.5</v>
      </c>
      <c r="N6">
        <f t="shared" si="0"/>
        <v>-2.4</v>
      </c>
      <c r="O6">
        <v>0</v>
      </c>
      <c r="R6">
        <f t="shared" si="1"/>
        <v>0</v>
      </c>
      <c r="S6">
        <f t="shared" si="2"/>
        <v>0.1</v>
      </c>
      <c r="V6">
        <v>859.1</v>
      </c>
    </row>
    <row r="7" spans="1:25" x14ac:dyDescent="0.25">
      <c r="A7">
        <v>5400</v>
      </c>
      <c r="B7">
        <v>24010</v>
      </c>
      <c r="C7" s="1">
        <v>42952</v>
      </c>
      <c r="F7">
        <v>18.7</v>
      </c>
      <c r="G7">
        <v>15.6</v>
      </c>
      <c r="H7">
        <v>22.3</v>
      </c>
      <c r="L7">
        <v>0.1</v>
      </c>
      <c r="M7">
        <v>2.9</v>
      </c>
      <c r="N7">
        <f t="shared" si="0"/>
        <v>-2.8</v>
      </c>
      <c r="O7">
        <v>0</v>
      </c>
      <c r="R7">
        <f t="shared" si="1"/>
        <v>0</v>
      </c>
      <c r="S7">
        <f t="shared" si="2"/>
        <v>0.1</v>
      </c>
      <c r="V7">
        <v>1297.3</v>
      </c>
    </row>
    <row r="8" spans="1:25" x14ac:dyDescent="0.25">
      <c r="A8">
        <v>5400</v>
      </c>
      <c r="B8">
        <v>24010</v>
      </c>
      <c r="C8" s="1">
        <v>42953</v>
      </c>
      <c r="F8">
        <v>17.2</v>
      </c>
      <c r="G8">
        <v>11.4</v>
      </c>
      <c r="H8">
        <v>23.2</v>
      </c>
      <c r="L8">
        <v>0</v>
      </c>
      <c r="M8">
        <v>4.3</v>
      </c>
      <c r="N8">
        <f t="shared" si="0"/>
        <v>-4.3</v>
      </c>
      <c r="O8">
        <v>0</v>
      </c>
      <c r="R8">
        <f t="shared" si="1"/>
        <v>0</v>
      </c>
      <c r="S8">
        <f t="shared" si="2"/>
        <v>0</v>
      </c>
      <c r="V8">
        <v>2275.1</v>
      </c>
    </row>
    <row r="9" spans="1:25" x14ac:dyDescent="0.25">
      <c r="A9">
        <v>5400</v>
      </c>
      <c r="B9">
        <v>24010</v>
      </c>
      <c r="C9" s="1">
        <v>42954</v>
      </c>
      <c r="F9">
        <v>19.399999999999999</v>
      </c>
      <c r="G9">
        <v>12.6</v>
      </c>
      <c r="H9">
        <v>25.2</v>
      </c>
      <c r="L9">
        <v>0.5</v>
      </c>
      <c r="M9">
        <v>4.5</v>
      </c>
      <c r="N9">
        <f t="shared" si="0"/>
        <v>-4</v>
      </c>
      <c r="O9">
        <v>0</v>
      </c>
      <c r="R9">
        <f t="shared" si="1"/>
        <v>0</v>
      </c>
      <c r="S9">
        <f t="shared" si="2"/>
        <v>0.5</v>
      </c>
      <c r="V9">
        <v>2166.9</v>
      </c>
    </row>
    <row r="10" spans="1:25" x14ac:dyDescent="0.25">
      <c r="A10">
        <v>5400</v>
      </c>
      <c r="B10">
        <v>24010</v>
      </c>
      <c r="C10" s="1">
        <v>42955</v>
      </c>
      <c r="F10">
        <v>16</v>
      </c>
      <c r="G10">
        <v>14.2</v>
      </c>
      <c r="H10">
        <v>17.600000000000001</v>
      </c>
      <c r="L10">
        <v>2.5</v>
      </c>
      <c r="M10">
        <v>0.9</v>
      </c>
      <c r="N10">
        <f t="shared" si="0"/>
        <v>1.6</v>
      </c>
      <c r="O10">
        <f>O9+N10</f>
        <v>1.6</v>
      </c>
      <c r="R10">
        <f t="shared" si="1"/>
        <v>0</v>
      </c>
      <c r="S10">
        <f t="shared" si="2"/>
        <v>2.5</v>
      </c>
      <c r="V10">
        <v>358.1</v>
      </c>
    </row>
    <row r="11" spans="1:25" x14ac:dyDescent="0.25">
      <c r="A11">
        <v>5400</v>
      </c>
      <c r="B11">
        <v>24010</v>
      </c>
      <c r="C11" s="1">
        <v>42956</v>
      </c>
      <c r="F11">
        <v>13.1</v>
      </c>
      <c r="G11">
        <v>11.1</v>
      </c>
      <c r="H11">
        <v>14.6</v>
      </c>
      <c r="L11">
        <v>13.2</v>
      </c>
      <c r="M11">
        <v>0.9</v>
      </c>
      <c r="N11">
        <f t="shared" si="0"/>
        <v>12.299999999999999</v>
      </c>
      <c r="O11">
        <f t="shared" ref="O11:O31" si="3">O10+N11</f>
        <v>13.899999999999999</v>
      </c>
      <c r="R11">
        <f t="shared" si="1"/>
        <v>0</v>
      </c>
      <c r="S11">
        <f t="shared" si="2"/>
        <v>13.2</v>
      </c>
      <c r="V11">
        <v>594.20000000000005</v>
      </c>
    </row>
    <row r="12" spans="1:25" x14ac:dyDescent="0.25">
      <c r="A12">
        <v>5400</v>
      </c>
      <c r="B12">
        <v>24010</v>
      </c>
      <c r="C12" s="1">
        <v>42957</v>
      </c>
      <c r="F12">
        <v>14.8</v>
      </c>
      <c r="G12">
        <v>12.2</v>
      </c>
      <c r="H12">
        <v>18</v>
      </c>
      <c r="L12">
        <v>5.2</v>
      </c>
      <c r="M12">
        <v>1.3</v>
      </c>
      <c r="N12">
        <f t="shared" si="0"/>
        <v>3.9000000000000004</v>
      </c>
      <c r="O12">
        <f t="shared" si="3"/>
        <v>17.799999999999997</v>
      </c>
      <c r="R12">
        <f t="shared" si="1"/>
        <v>0</v>
      </c>
      <c r="S12">
        <f t="shared" si="2"/>
        <v>5.2</v>
      </c>
      <c r="V12">
        <v>862.3</v>
      </c>
    </row>
    <row r="13" spans="1:25" x14ac:dyDescent="0.25">
      <c r="A13">
        <v>5400</v>
      </c>
      <c r="B13">
        <v>24010</v>
      </c>
      <c r="C13" s="1">
        <v>42958</v>
      </c>
      <c r="F13">
        <v>16.100000000000001</v>
      </c>
      <c r="G13">
        <v>13.1</v>
      </c>
      <c r="H13">
        <v>19.8</v>
      </c>
      <c r="L13">
        <v>0</v>
      </c>
      <c r="M13">
        <v>2.5</v>
      </c>
      <c r="N13">
        <f t="shared" si="0"/>
        <v>-2.5</v>
      </c>
      <c r="O13">
        <f t="shared" si="3"/>
        <v>15.299999999999997</v>
      </c>
      <c r="R13">
        <f t="shared" si="1"/>
        <v>0</v>
      </c>
      <c r="S13">
        <f t="shared" si="2"/>
        <v>0</v>
      </c>
      <c r="V13">
        <v>1373.6</v>
      </c>
    </row>
    <row r="14" spans="1:25" x14ac:dyDescent="0.25">
      <c r="A14">
        <v>5400</v>
      </c>
      <c r="B14">
        <v>24010</v>
      </c>
      <c r="C14" s="1">
        <v>42959</v>
      </c>
      <c r="F14">
        <v>16.3</v>
      </c>
      <c r="G14">
        <v>13.2</v>
      </c>
      <c r="H14">
        <v>18.5</v>
      </c>
      <c r="L14">
        <v>1.9</v>
      </c>
      <c r="M14">
        <v>1.1000000000000001</v>
      </c>
      <c r="N14">
        <f t="shared" si="0"/>
        <v>0.79999999999999982</v>
      </c>
      <c r="O14">
        <f t="shared" si="3"/>
        <v>16.099999999999998</v>
      </c>
      <c r="R14">
        <f t="shared" si="1"/>
        <v>0</v>
      </c>
      <c r="S14">
        <f t="shared" si="2"/>
        <v>1.9</v>
      </c>
      <c r="V14">
        <v>541.9</v>
      </c>
    </row>
    <row r="15" spans="1:25" x14ac:dyDescent="0.25">
      <c r="A15">
        <v>5400</v>
      </c>
      <c r="B15">
        <v>24010</v>
      </c>
      <c r="C15" s="1">
        <v>42960</v>
      </c>
      <c r="F15">
        <v>16.3</v>
      </c>
      <c r="G15">
        <v>12.1</v>
      </c>
      <c r="H15">
        <v>20.3</v>
      </c>
      <c r="L15">
        <v>0</v>
      </c>
      <c r="M15">
        <v>2.7</v>
      </c>
      <c r="N15">
        <f t="shared" si="0"/>
        <v>-2.7</v>
      </c>
      <c r="O15">
        <f t="shared" si="3"/>
        <v>13.399999999999999</v>
      </c>
      <c r="R15">
        <f t="shared" si="1"/>
        <v>0</v>
      </c>
      <c r="S15">
        <f t="shared" si="2"/>
        <v>0</v>
      </c>
      <c r="V15">
        <v>1462</v>
      </c>
    </row>
    <row r="16" spans="1:25" x14ac:dyDescent="0.25">
      <c r="A16">
        <v>5400</v>
      </c>
      <c r="B16">
        <v>24010</v>
      </c>
      <c r="C16" s="1">
        <v>42961</v>
      </c>
      <c r="F16">
        <v>19.399999999999999</v>
      </c>
      <c r="G16">
        <v>11.1</v>
      </c>
      <c r="H16">
        <v>26</v>
      </c>
      <c r="L16">
        <v>0</v>
      </c>
      <c r="M16">
        <v>2.5</v>
      </c>
      <c r="N16">
        <f t="shared" si="0"/>
        <v>-2.5</v>
      </c>
      <c r="O16">
        <f t="shared" si="3"/>
        <v>10.899999999999999</v>
      </c>
      <c r="R16">
        <f t="shared" si="1"/>
        <v>0</v>
      </c>
      <c r="S16">
        <f t="shared" si="2"/>
        <v>0</v>
      </c>
      <c r="V16">
        <v>1247.3</v>
      </c>
    </row>
    <row r="17" spans="1:25" x14ac:dyDescent="0.25">
      <c r="A17">
        <v>5400</v>
      </c>
      <c r="B17">
        <v>24010</v>
      </c>
      <c r="C17" s="1">
        <v>42962</v>
      </c>
      <c r="F17">
        <v>21.6</v>
      </c>
      <c r="G17">
        <v>18.7</v>
      </c>
      <c r="H17">
        <v>25.6</v>
      </c>
      <c r="L17">
        <v>5.4</v>
      </c>
      <c r="M17">
        <v>2.5</v>
      </c>
      <c r="N17">
        <f t="shared" si="0"/>
        <v>2.9000000000000004</v>
      </c>
      <c r="O17">
        <f t="shared" si="3"/>
        <v>13.799999999999999</v>
      </c>
      <c r="R17">
        <f t="shared" si="1"/>
        <v>0</v>
      </c>
      <c r="S17">
        <f t="shared" si="2"/>
        <v>5.4</v>
      </c>
      <c r="V17">
        <v>1263.5</v>
      </c>
    </row>
    <row r="18" spans="1:25" x14ac:dyDescent="0.25">
      <c r="A18">
        <v>5400</v>
      </c>
      <c r="B18">
        <v>24010</v>
      </c>
      <c r="C18" s="1">
        <v>42963</v>
      </c>
      <c r="F18">
        <v>19.2</v>
      </c>
      <c r="G18">
        <v>14.2</v>
      </c>
      <c r="H18">
        <v>23.7</v>
      </c>
      <c r="L18">
        <v>0.3</v>
      </c>
      <c r="M18">
        <v>3</v>
      </c>
      <c r="N18">
        <f t="shared" si="0"/>
        <v>-2.7</v>
      </c>
      <c r="O18">
        <f t="shared" si="3"/>
        <v>11.099999999999998</v>
      </c>
      <c r="R18">
        <f t="shared" si="1"/>
        <v>0</v>
      </c>
      <c r="S18">
        <f t="shared" si="2"/>
        <v>0.3</v>
      </c>
      <c r="V18">
        <v>1633.3</v>
      </c>
    </row>
    <row r="19" spans="1:25" x14ac:dyDescent="0.25">
      <c r="A19">
        <v>5400</v>
      </c>
      <c r="B19">
        <v>24010</v>
      </c>
      <c r="C19" s="1">
        <v>42964</v>
      </c>
      <c r="F19">
        <v>19.5</v>
      </c>
      <c r="G19">
        <v>16</v>
      </c>
      <c r="H19">
        <v>22.6</v>
      </c>
      <c r="L19">
        <v>18.100000000000001</v>
      </c>
      <c r="M19">
        <v>1.2</v>
      </c>
      <c r="N19">
        <f t="shared" si="0"/>
        <v>16.900000000000002</v>
      </c>
      <c r="O19">
        <f t="shared" si="3"/>
        <v>28</v>
      </c>
      <c r="R19">
        <f t="shared" si="1"/>
        <v>0</v>
      </c>
      <c r="S19">
        <f t="shared" si="2"/>
        <v>18.100000000000001</v>
      </c>
      <c r="V19">
        <v>504.6</v>
      </c>
    </row>
    <row r="20" spans="1:25" x14ac:dyDescent="0.25">
      <c r="A20">
        <v>5400</v>
      </c>
      <c r="B20">
        <v>24010</v>
      </c>
      <c r="C20" s="1">
        <v>42965</v>
      </c>
      <c r="F20">
        <v>17.600000000000001</v>
      </c>
      <c r="G20">
        <v>17.399999999999999</v>
      </c>
      <c r="H20">
        <v>19.3</v>
      </c>
      <c r="L20">
        <v>11.1</v>
      </c>
      <c r="M20">
        <v>1.3</v>
      </c>
      <c r="N20">
        <f t="shared" si="0"/>
        <v>9.7999999999999989</v>
      </c>
      <c r="O20">
        <f t="shared" si="3"/>
        <v>37.799999999999997</v>
      </c>
      <c r="R20">
        <f t="shared" si="1"/>
        <v>0</v>
      </c>
      <c r="S20">
        <f t="shared" si="2"/>
        <v>11.1</v>
      </c>
      <c r="V20">
        <v>576.1</v>
      </c>
    </row>
    <row r="21" spans="1:25" x14ac:dyDescent="0.25">
      <c r="A21">
        <v>5400</v>
      </c>
      <c r="B21">
        <v>24010</v>
      </c>
      <c r="C21" s="1">
        <v>42966</v>
      </c>
      <c r="F21">
        <v>15.4</v>
      </c>
      <c r="G21">
        <v>11.4</v>
      </c>
      <c r="H21">
        <v>19.5</v>
      </c>
      <c r="L21">
        <v>0</v>
      </c>
      <c r="M21">
        <v>2.6</v>
      </c>
      <c r="N21">
        <f t="shared" si="0"/>
        <v>-2.6</v>
      </c>
      <c r="O21">
        <f t="shared" si="3"/>
        <v>35.199999999999996</v>
      </c>
      <c r="R21">
        <f t="shared" si="1"/>
        <v>0</v>
      </c>
      <c r="S21">
        <f t="shared" si="2"/>
        <v>0</v>
      </c>
      <c r="V21">
        <v>1590.1</v>
      </c>
    </row>
    <row r="22" spans="1:25" x14ac:dyDescent="0.25">
      <c r="A22">
        <v>5400</v>
      </c>
      <c r="B22">
        <v>24010</v>
      </c>
      <c r="C22" s="1">
        <v>42967</v>
      </c>
      <c r="F22">
        <v>16.100000000000001</v>
      </c>
      <c r="G22">
        <v>9.6999999999999993</v>
      </c>
      <c r="H22">
        <v>20.100000000000001</v>
      </c>
      <c r="L22">
        <v>0</v>
      </c>
      <c r="M22">
        <v>2</v>
      </c>
      <c r="N22">
        <f t="shared" si="0"/>
        <v>-2</v>
      </c>
      <c r="O22">
        <f t="shared" si="3"/>
        <v>33.199999999999996</v>
      </c>
      <c r="R22">
        <f t="shared" si="1"/>
        <v>0</v>
      </c>
      <c r="S22">
        <f t="shared" si="2"/>
        <v>0</v>
      </c>
      <c r="V22">
        <v>1059.0999999999999</v>
      </c>
    </row>
    <row r="23" spans="1:25" x14ac:dyDescent="0.25">
      <c r="A23">
        <v>5400</v>
      </c>
      <c r="B23">
        <v>24010</v>
      </c>
      <c r="C23" s="1">
        <v>42968</v>
      </c>
      <c r="F23">
        <v>20.5</v>
      </c>
      <c r="G23">
        <v>16.7</v>
      </c>
      <c r="H23">
        <v>24.1</v>
      </c>
      <c r="L23">
        <v>0</v>
      </c>
      <c r="M23">
        <v>1.8</v>
      </c>
      <c r="N23">
        <f t="shared" si="0"/>
        <v>-1.8</v>
      </c>
      <c r="O23">
        <f t="shared" si="3"/>
        <v>31.399999999999995</v>
      </c>
      <c r="R23">
        <f t="shared" si="1"/>
        <v>0</v>
      </c>
      <c r="S23">
        <f t="shared" si="2"/>
        <v>0</v>
      </c>
      <c r="V23">
        <v>830</v>
      </c>
    </row>
    <row r="24" spans="1:25" x14ac:dyDescent="0.25">
      <c r="A24">
        <v>5400</v>
      </c>
      <c r="B24">
        <v>24010</v>
      </c>
      <c r="C24" s="1">
        <v>42969</v>
      </c>
      <c r="F24">
        <v>21.9</v>
      </c>
      <c r="G24">
        <v>16.2</v>
      </c>
      <c r="H24">
        <v>26.8</v>
      </c>
      <c r="L24">
        <v>0.2</v>
      </c>
      <c r="M24">
        <v>3.9</v>
      </c>
      <c r="N24">
        <f t="shared" si="0"/>
        <v>-3.6999999999999997</v>
      </c>
      <c r="O24">
        <f t="shared" si="3"/>
        <v>27.699999999999996</v>
      </c>
      <c r="R24">
        <f t="shared" si="1"/>
        <v>0</v>
      </c>
      <c r="S24">
        <f t="shared" si="2"/>
        <v>0.2</v>
      </c>
      <c r="V24">
        <v>1838.9</v>
      </c>
    </row>
    <row r="25" spans="1:25" x14ac:dyDescent="0.25">
      <c r="A25">
        <v>5400</v>
      </c>
      <c r="B25">
        <v>24010</v>
      </c>
      <c r="C25" s="1">
        <v>42970</v>
      </c>
      <c r="F25">
        <v>20.100000000000001</v>
      </c>
      <c r="G25">
        <v>16.5</v>
      </c>
      <c r="H25">
        <v>24.4</v>
      </c>
      <c r="L25">
        <v>0.1</v>
      </c>
      <c r="M25">
        <v>2.2000000000000002</v>
      </c>
      <c r="N25">
        <f t="shared" si="0"/>
        <v>-2.1</v>
      </c>
      <c r="O25">
        <f t="shared" si="3"/>
        <v>25.599999999999994</v>
      </c>
      <c r="R25">
        <f t="shared" si="1"/>
        <v>0</v>
      </c>
      <c r="S25">
        <f t="shared" si="2"/>
        <v>0.1</v>
      </c>
      <c r="V25">
        <v>1048.0999999999999</v>
      </c>
    </row>
    <row r="26" spans="1:25" x14ac:dyDescent="0.25">
      <c r="A26">
        <v>5400</v>
      </c>
      <c r="B26">
        <v>24010</v>
      </c>
      <c r="C26" s="1">
        <v>42971</v>
      </c>
      <c r="F26">
        <v>19.100000000000001</v>
      </c>
      <c r="G26">
        <v>13.7</v>
      </c>
      <c r="H26">
        <v>22.9</v>
      </c>
      <c r="L26">
        <v>0.7</v>
      </c>
      <c r="M26">
        <v>1.6</v>
      </c>
      <c r="N26">
        <f t="shared" si="0"/>
        <v>-0.90000000000000013</v>
      </c>
      <c r="O26">
        <f t="shared" si="3"/>
        <v>24.699999999999996</v>
      </c>
      <c r="R26">
        <f t="shared" si="1"/>
        <v>0</v>
      </c>
      <c r="S26">
        <f t="shared" si="2"/>
        <v>0.7</v>
      </c>
      <c r="V26">
        <v>825.2</v>
      </c>
    </row>
    <row r="27" spans="1:25" x14ac:dyDescent="0.25">
      <c r="A27">
        <v>5400</v>
      </c>
      <c r="B27">
        <v>24010</v>
      </c>
      <c r="C27" s="1">
        <v>42972</v>
      </c>
      <c r="F27">
        <v>19.100000000000001</v>
      </c>
      <c r="G27">
        <v>16.5</v>
      </c>
      <c r="H27">
        <v>22.7</v>
      </c>
      <c r="L27">
        <v>7</v>
      </c>
      <c r="M27">
        <v>1.6</v>
      </c>
      <c r="N27">
        <f t="shared" si="0"/>
        <v>5.4</v>
      </c>
      <c r="O27">
        <f t="shared" si="3"/>
        <v>30.099999999999994</v>
      </c>
      <c r="R27">
        <f t="shared" si="1"/>
        <v>0</v>
      </c>
      <c r="S27">
        <f t="shared" si="2"/>
        <v>7</v>
      </c>
      <c r="V27">
        <v>821.2</v>
      </c>
    </row>
    <row r="28" spans="1:25" x14ac:dyDescent="0.25">
      <c r="A28">
        <v>5400</v>
      </c>
      <c r="B28">
        <v>24010</v>
      </c>
      <c r="C28" s="1">
        <v>42973</v>
      </c>
      <c r="F28">
        <v>21.3</v>
      </c>
      <c r="G28">
        <v>16.5</v>
      </c>
      <c r="H28">
        <v>26.2</v>
      </c>
      <c r="L28">
        <v>7.8</v>
      </c>
      <c r="M28">
        <v>1.9</v>
      </c>
      <c r="N28">
        <f t="shared" si="0"/>
        <v>5.9</v>
      </c>
      <c r="O28">
        <f t="shared" si="3"/>
        <v>35.999999999999993</v>
      </c>
      <c r="R28">
        <f t="shared" si="1"/>
        <v>0</v>
      </c>
      <c r="S28">
        <f t="shared" si="2"/>
        <v>7.8</v>
      </c>
      <c r="V28">
        <v>861.7</v>
      </c>
    </row>
    <row r="29" spans="1:25" x14ac:dyDescent="0.25">
      <c r="A29">
        <v>5400</v>
      </c>
      <c r="B29">
        <v>24010</v>
      </c>
      <c r="C29" s="1">
        <v>42974</v>
      </c>
      <c r="F29">
        <v>22.3</v>
      </c>
      <c r="G29">
        <v>17.8</v>
      </c>
      <c r="H29">
        <v>26.5</v>
      </c>
      <c r="L29">
        <v>0.5</v>
      </c>
      <c r="M29">
        <v>3.4</v>
      </c>
      <c r="N29">
        <f t="shared" si="0"/>
        <v>-2.9</v>
      </c>
      <c r="O29">
        <f t="shared" si="3"/>
        <v>33.099999999999994</v>
      </c>
      <c r="R29">
        <f t="shared" si="1"/>
        <v>0</v>
      </c>
      <c r="S29">
        <f t="shared" si="2"/>
        <v>0.5</v>
      </c>
      <c r="V29">
        <v>1708.7</v>
      </c>
    </row>
    <row r="30" spans="1:25" x14ac:dyDescent="0.25">
      <c r="A30">
        <v>5400</v>
      </c>
      <c r="B30">
        <v>24010</v>
      </c>
      <c r="C30" s="1">
        <v>42975</v>
      </c>
      <c r="F30">
        <v>22.8</v>
      </c>
      <c r="G30">
        <v>17</v>
      </c>
      <c r="H30">
        <v>28.2</v>
      </c>
      <c r="L30">
        <v>0.1</v>
      </c>
      <c r="M30">
        <v>2.7</v>
      </c>
      <c r="N30">
        <f t="shared" si="0"/>
        <v>-2.6</v>
      </c>
      <c r="O30">
        <f t="shared" si="3"/>
        <v>30.499999999999993</v>
      </c>
      <c r="R30">
        <f t="shared" si="1"/>
        <v>0</v>
      </c>
      <c r="S30">
        <f t="shared" si="2"/>
        <v>0.1</v>
      </c>
      <c r="V30">
        <v>1273</v>
      </c>
    </row>
    <row r="31" spans="1:25" s="4" customFormat="1" ht="15.75" thickBot="1" x14ac:dyDescent="0.3">
      <c r="A31" s="4">
        <v>5400</v>
      </c>
      <c r="B31" s="4">
        <v>24010</v>
      </c>
      <c r="C31" s="5">
        <v>42976</v>
      </c>
      <c r="F31" s="4">
        <v>24.9</v>
      </c>
      <c r="G31" s="4">
        <v>18.399999999999999</v>
      </c>
      <c r="H31" s="4">
        <v>30.8</v>
      </c>
      <c r="L31" s="4">
        <v>0</v>
      </c>
      <c r="M31" s="4">
        <v>4.2</v>
      </c>
      <c r="N31" s="4">
        <f t="shared" si="0"/>
        <v>-4.2</v>
      </c>
      <c r="O31" s="6">
        <f t="shared" si="3"/>
        <v>26.299999999999994</v>
      </c>
      <c r="R31" s="4">
        <f t="shared" si="1"/>
        <v>0</v>
      </c>
      <c r="S31" s="4">
        <f t="shared" si="2"/>
        <v>0</v>
      </c>
      <c r="V31" s="4">
        <v>1864.9</v>
      </c>
    </row>
    <row r="32" spans="1:25" x14ac:dyDescent="0.25">
      <c r="A32">
        <v>5400</v>
      </c>
      <c r="B32">
        <v>24010</v>
      </c>
      <c r="C32" s="1">
        <v>42977</v>
      </c>
      <c r="D32" t="s">
        <v>32</v>
      </c>
      <c r="E32" s="42" t="s">
        <v>51</v>
      </c>
      <c r="F32">
        <v>17</v>
      </c>
      <c r="G32">
        <v>14.6</v>
      </c>
      <c r="H32">
        <v>19.899999999999999</v>
      </c>
      <c r="I32">
        <f>F32</f>
        <v>17</v>
      </c>
      <c r="J32">
        <f>F32</f>
        <v>17</v>
      </c>
      <c r="K32" s="7" t="s">
        <v>34</v>
      </c>
      <c r="L32">
        <v>6</v>
      </c>
      <c r="M32">
        <v>0.6</v>
      </c>
      <c r="N32">
        <f t="shared" si="0"/>
        <v>5.4</v>
      </c>
      <c r="P32">
        <v>1</v>
      </c>
      <c r="Q32">
        <v>0.35</v>
      </c>
      <c r="R32">
        <f t="shared" si="1"/>
        <v>0.21</v>
      </c>
      <c r="S32">
        <f t="shared" si="2"/>
        <v>5.79</v>
      </c>
      <c r="T32">
        <f>O31+S32</f>
        <v>32.089999999999996</v>
      </c>
      <c r="U32" s="11" t="s">
        <v>41</v>
      </c>
      <c r="V32">
        <v>298.5</v>
      </c>
      <c r="W32">
        <f>V32</f>
        <v>298.5</v>
      </c>
      <c r="X32">
        <v>13.298664544657122</v>
      </c>
      <c r="Y32" s="11" t="s">
        <v>46</v>
      </c>
    </row>
    <row r="33" spans="1:25" x14ac:dyDescent="0.25">
      <c r="A33">
        <v>5400</v>
      </c>
      <c r="B33">
        <v>24010</v>
      </c>
      <c r="C33" s="1">
        <v>42978</v>
      </c>
      <c r="E33" s="43"/>
      <c r="F33">
        <v>14.9</v>
      </c>
      <c r="G33">
        <v>11.1</v>
      </c>
      <c r="H33">
        <v>18.3</v>
      </c>
      <c r="I33">
        <f>I32+F33</f>
        <v>31.9</v>
      </c>
      <c r="J33">
        <f>J32+F33</f>
        <v>31.9</v>
      </c>
      <c r="K33" s="8">
        <v>1082</v>
      </c>
      <c r="L33">
        <v>0.4</v>
      </c>
      <c r="M33">
        <v>1.7</v>
      </c>
      <c r="N33">
        <f t="shared" si="0"/>
        <v>-1.2999999999999998</v>
      </c>
      <c r="P33">
        <v>2</v>
      </c>
      <c r="Q33">
        <v>0.35</v>
      </c>
      <c r="R33">
        <f t="shared" si="1"/>
        <v>0.59499999999999997</v>
      </c>
      <c r="S33">
        <f t="shared" si="2"/>
        <v>-0.19499999999999995</v>
      </c>
      <c r="T33">
        <f>MIN(T32+S33,153.9)</f>
        <v>31.894999999999996</v>
      </c>
      <c r="U33">
        <v>0</v>
      </c>
      <c r="V33">
        <v>1065</v>
      </c>
      <c r="W33">
        <f>W32+V33</f>
        <v>1363.5</v>
      </c>
      <c r="X33">
        <v>13.239526402531686</v>
      </c>
      <c r="Y33">
        <v>54485.599999999999</v>
      </c>
    </row>
    <row r="34" spans="1:25" x14ac:dyDescent="0.25">
      <c r="A34">
        <v>5400</v>
      </c>
      <c r="B34">
        <v>24010</v>
      </c>
      <c r="C34" s="1">
        <v>42979</v>
      </c>
      <c r="E34" s="43"/>
      <c r="F34">
        <v>14.8</v>
      </c>
      <c r="G34">
        <v>11.5</v>
      </c>
      <c r="H34">
        <v>19.399999999999999</v>
      </c>
      <c r="I34">
        <f t="shared" ref="I34:I97" si="4">I33+F34</f>
        <v>46.7</v>
      </c>
      <c r="J34">
        <f t="shared" ref="J34:J97" si="5">J33+F34</f>
        <v>46.7</v>
      </c>
      <c r="K34" s="7" t="s">
        <v>35</v>
      </c>
      <c r="L34">
        <v>0.9</v>
      </c>
      <c r="M34">
        <v>1.6</v>
      </c>
      <c r="N34">
        <f t="shared" si="0"/>
        <v>-0.70000000000000007</v>
      </c>
      <c r="P34">
        <v>3</v>
      </c>
      <c r="Q34">
        <v>0.35</v>
      </c>
      <c r="R34">
        <f t="shared" si="1"/>
        <v>0.55999999999999994</v>
      </c>
      <c r="S34">
        <f t="shared" si="2"/>
        <v>0.34000000000000008</v>
      </c>
      <c r="T34">
        <f t="shared" ref="T34:T97" si="6">MIN(T33+S34,153.9)</f>
        <v>32.234999999999999</v>
      </c>
      <c r="U34" s="11" t="s">
        <v>42</v>
      </c>
      <c r="V34">
        <v>1119.9000000000001</v>
      </c>
      <c r="W34">
        <f t="shared" ref="W34:W97" si="7">W33+V34</f>
        <v>2483.4</v>
      </c>
      <c r="X34">
        <v>13.180199397289011</v>
      </c>
      <c r="Y34" s="11" t="s">
        <v>47</v>
      </c>
    </row>
    <row r="35" spans="1:25" x14ac:dyDescent="0.25">
      <c r="A35">
        <v>5400</v>
      </c>
      <c r="B35">
        <v>24010</v>
      </c>
      <c r="C35" s="1">
        <v>42980</v>
      </c>
      <c r="E35" s="43"/>
      <c r="F35">
        <v>15</v>
      </c>
      <c r="G35">
        <v>11.5</v>
      </c>
      <c r="H35">
        <v>20</v>
      </c>
      <c r="I35">
        <f t="shared" si="4"/>
        <v>61.7</v>
      </c>
      <c r="J35">
        <f t="shared" si="5"/>
        <v>61.7</v>
      </c>
      <c r="K35" s="9">
        <f>AVERAGE(F32:F122)</f>
        <v>11.890109890109887</v>
      </c>
      <c r="L35">
        <v>0.2</v>
      </c>
      <c r="M35">
        <v>2.6</v>
      </c>
      <c r="N35">
        <f t="shared" si="0"/>
        <v>-2.4</v>
      </c>
      <c r="P35">
        <v>4</v>
      </c>
      <c r="Q35">
        <v>0.35</v>
      </c>
      <c r="R35">
        <f t="shared" si="1"/>
        <v>0.90999999999999992</v>
      </c>
      <c r="S35">
        <f t="shared" si="2"/>
        <v>-0.71</v>
      </c>
      <c r="T35">
        <f t="shared" si="6"/>
        <v>31.524999999999999</v>
      </c>
      <c r="U35">
        <v>10</v>
      </c>
      <c r="V35">
        <v>1463.6</v>
      </c>
      <c r="W35">
        <f t="shared" si="7"/>
        <v>3947</v>
      </c>
      <c r="X35">
        <v>13.12069471906011</v>
      </c>
      <c r="Y35">
        <f>(Y33/100)/K33</f>
        <v>0.50356377079482439</v>
      </c>
    </row>
    <row r="36" spans="1:25" x14ac:dyDescent="0.25">
      <c r="A36">
        <v>5400</v>
      </c>
      <c r="B36">
        <v>24010</v>
      </c>
      <c r="C36" s="1">
        <v>42981</v>
      </c>
      <c r="E36" s="43"/>
      <c r="F36">
        <v>15.3</v>
      </c>
      <c r="G36">
        <v>9.6999999999999993</v>
      </c>
      <c r="H36">
        <v>20.7</v>
      </c>
      <c r="I36">
        <f t="shared" si="4"/>
        <v>77</v>
      </c>
      <c r="J36">
        <f t="shared" si="5"/>
        <v>77</v>
      </c>
      <c r="K36" s="7" t="s">
        <v>36</v>
      </c>
      <c r="L36">
        <v>1</v>
      </c>
      <c r="M36">
        <v>2.2999999999999998</v>
      </c>
      <c r="N36">
        <f t="shared" si="0"/>
        <v>-1.2999999999999998</v>
      </c>
      <c r="P36">
        <v>5</v>
      </c>
      <c r="Q36">
        <v>0.35</v>
      </c>
      <c r="R36">
        <f t="shared" si="1"/>
        <v>0.80499999999999994</v>
      </c>
      <c r="S36">
        <f t="shared" si="2"/>
        <v>0.19500000000000006</v>
      </c>
      <c r="T36">
        <f t="shared" si="6"/>
        <v>31.72</v>
      </c>
      <c r="U36" s="11" t="s">
        <v>43</v>
      </c>
      <c r="V36">
        <v>1278.2</v>
      </c>
      <c r="W36">
        <f t="shared" si="7"/>
        <v>5225.2</v>
      </c>
      <c r="X36">
        <v>13.061023266935466</v>
      </c>
      <c r="Y36" s="11" t="s">
        <v>48</v>
      </c>
    </row>
    <row r="37" spans="1:25" x14ac:dyDescent="0.25">
      <c r="A37">
        <v>5400</v>
      </c>
      <c r="B37">
        <v>24010</v>
      </c>
      <c r="C37" s="1">
        <v>42982</v>
      </c>
      <c r="E37" s="43"/>
      <c r="F37">
        <v>18.600000000000001</v>
      </c>
      <c r="G37">
        <v>14.5</v>
      </c>
      <c r="H37">
        <v>21.3</v>
      </c>
      <c r="I37">
        <f t="shared" si="4"/>
        <v>95.6</v>
      </c>
      <c r="J37">
        <f t="shared" si="5"/>
        <v>95.6</v>
      </c>
      <c r="K37" s="10">
        <f>MIN(G32:G122)</f>
        <v>-2.6</v>
      </c>
      <c r="L37">
        <v>0</v>
      </c>
      <c r="M37">
        <v>1.2</v>
      </c>
      <c r="N37">
        <f t="shared" si="0"/>
        <v>-1.2</v>
      </c>
      <c r="P37">
        <v>6</v>
      </c>
      <c r="Q37">
        <v>0.35</v>
      </c>
      <c r="R37">
        <f t="shared" si="1"/>
        <v>0.42</v>
      </c>
      <c r="S37">
        <f t="shared" si="2"/>
        <v>-0.42</v>
      </c>
      <c r="T37">
        <f t="shared" si="6"/>
        <v>31.299999999999997</v>
      </c>
      <c r="U37" s="12">
        <f>MIN(T32:T122)</f>
        <v>29.715602409638553</v>
      </c>
      <c r="V37">
        <v>575.79999999999995</v>
      </c>
      <c r="W37">
        <f t="shared" si="7"/>
        <v>5801</v>
      </c>
      <c r="X37">
        <v>13.001195662342676</v>
      </c>
      <c r="Y37">
        <v>70</v>
      </c>
    </row>
    <row r="38" spans="1:25" x14ac:dyDescent="0.25">
      <c r="A38">
        <v>5400</v>
      </c>
      <c r="B38">
        <v>24010</v>
      </c>
      <c r="C38" s="1">
        <v>42983</v>
      </c>
      <c r="E38" s="43"/>
      <c r="F38">
        <v>19.2</v>
      </c>
      <c r="G38">
        <v>17.399999999999999</v>
      </c>
      <c r="H38">
        <v>21.1</v>
      </c>
      <c r="I38">
        <f t="shared" si="4"/>
        <v>114.8</v>
      </c>
      <c r="J38">
        <f t="shared" si="5"/>
        <v>114.8</v>
      </c>
      <c r="K38" s="7" t="s">
        <v>37</v>
      </c>
      <c r="L38">
        <v>0</v>
      </c>
      <c r="M38">
        <v>1.4</v>
      </c>
      <c r="N38">
        <f t="shared" si="0"/>
        <v>-1.4</v>
      </c>
      <c r="P38">
        <v>7</v>
      </c>
      <c r="Q38">
        <v>0.35</v>
      </c>
      <c r="R38">
        <f t="shared" si="1"/>
        <v>0.48999999999999994</v>
      </c>
      <c r="S38">
        <f t="shared" si="2"/>
        <v>-0.48999999999999994</v>
      </c>
      <c r="T38">
        <f t="shared" si="6"/>
        <v>30.81</v>
      </c>
      <c r="U38" s="11" t="s">
        <v>44</v>
      </c>
      <c r="V38">
        <v>746.8</v>
      </c>
      <c r="W38">
        <f t="shared" si="7"/>
        <v>6547.8</v>
      </c>
      <c r="X38">
        <v>12.941222262713845</v>
      </c>
    </row>
    <row r="39" spans="1:25" x14ac:dyDescent="0.25">
      <c r="A39">
        <v>5400</v>
      </c>
      <c r="B39">
        <v>24010</v>
      </c>
      <c r="C39" s="1">
        <v>42984</v>
      </c>
      <c r="D39" t="s">
        <v>33</v>
      </c>
      <c r="E39" s="43"/>
      <c r="F39">
        <v>15.9</v>
      </c>
      <c r="G39">
        <v>12.3</v>
      </c>
      <c r="H39">
        <v>19.5</v>
      </c>
      <c r="I39">
        <f t="shared" si="4"/>
        <v>130.69999999999999</v>
      </c>
      <c r="J39">
        <f t="shared" si="5"/>
        <v>130.69999999999999</v>
      </c>
      <c r="K39" s="8">
        <f>MAX(H32:H122)</f>
        <v>23.5</v>
      </c>
      <c r="L39">
        <v>0</v>
      </c>
      <c r="M39">
        <v>1.9</v>
      </c>
      <c r="N39">
        <f t="shared" si="0"/>
        <v>-1.9</v>
      </c>
      <c r="P39">
        <v>8</v>
      </c>
      <c r="Q39">
        <v>0.35</v>
      </c>
      <c r="R39">
        <f t="shared" si="1"/>
        <v>0.66499999999999992</v>
      </c>
      <c r="S39">
        <f t="shared" si="2"/>
        <v>-0.66499999999999992</v>
      </c>
      <c r="T39">
        <f t="shared" si="6"/>
        <v>30.145</v>
      </c>
      <c r="U39" s="12">
        <f>MAX(T32:T122)</f>
        <v>123.14524096385543</v>
      </c>
      <c r="V39">
        <v>913.3</v>
      </c>
      <c r="W39">
        <f t="shared" si="7"/>
        <v>7461.1</v>
      </c>
      <c r="X39">
        <v>12.881113175414866</v>
      </c>
    </row>
    <row r="40" spans="1:25" x14ac:dyDescent="0.25">
      <c r="A40">
        <v>5400</v>
      </c>
      <c r="B40">
        <v>24010</v>
      </c>
      <c r="C40" s="1">
        <v>42985</v>
      </c>
      <c r="E40" s="43"/>
      <c r="F40">
        <v>15.1</v>
      </c>
      <c r="G40">
        <v>10.8</v>
      </c>
      <c r="H40">
        <v>18.100000000000001</v>
      </c>
      <c r="I40">
        <f t="shared" si="4"/>
        <v>145.79999999999998</v>
      </c>
      <c r="J40">
        <f t="shared" si="5"/>
        <v>145.79999999999998</v>
      </c>
      <c r="K40" s="7" t="s">
        <v>38</v>
      </c>
      <c r="L40">
        <v>0</v>
      </c>
      <c r="M40">
        <v>1.2</v>
      </c>
      <c r="N40">
        <f t="shared" si="0"/>
        <v>-1.2</v>
      </c>
      <c r="P40">
        <v>9</v>
      </c>
      <c r="Q40">
        <f>0.35+((P40-8)/83)*(1-0.35)</f>
        <v>0.35783132530120482</v>
      </c>
      <c r="R40">
        <f t="shared" si="1"/>
        <v>0.42939759036144576</v>
      </c>
      <c r="S40">
        <f t="shared" si="2"/>
        <v>-0.42939759036144576</v>
      </c>
      <c r="T40">
        <f t="shared" si="6"/>
        <v>29.715602409638553</v>
      </c>
      <c r="U40" s="11" t="s">
        <v>45</v>
      </c>
      <c r="V40">
        <v>661.4</v>
      </c>
      <c r="W40">
        <f t="shared" si="7"/>
        <v>8122.5</v>
      </c>
      <c r="X40">
        <v>12.820878271910685</v>
      </c>
    </row>
    <row r="41" spans="1:25" x14ac:dyDescent="0.25">
      <c r="A41">
        <v>5400</v>
      </c>
      <c r="B41">
        <v>24010</v>
      </c>
      <c r="C41" s="1">
        <v>42986</v>
      </c>
      <c r="E41" s="43"/>
      <c r="F41">
        <v>15.8</v>
      </c>
      <c r="G41">
        <v>14.8</v>
      </c>
      <c r="H41">
        <v>18.7</v>
      </c>
      <c r="I41">
        <f t="shared" si="4"/>
        <v>161.6</v>
      </c>
      <c r="J41">
        <f t="shared" si="5"/>
        <v>161.6</v>
      </c>
      <c r="K41" s="8">
        <v>0</v>
      </c>
      <c r="L41">
        <v>20.3</v>
      </c>
      <c r="M41">
        <v>1.4</v>
      </c>
      <c r="N41">
        <f t="shared" si="0"/>
        <v>18.900000000000002</v>
      </c>
      <c r="P41">
        <v>10</v>
      </c>
      <c r="Q41">
        <f t="shared" ref="Q41:Q104" si="8">0.35+((P41-8)/83)*(1-0.35)</f>
        <v>0.3656626506024096</v>
      </c>
      <c r="R41">
        <f t="shared" si="1"/>
        <v>0.51192771084337341</v>
      </c>
      <c r="S41">
        <f t="shared" si="2"/>
        <v>19.788072289156627</v>
      </c>
      <c r="T41">
        <f t="shared" si="6"/>
        <v>49.50367469879518</v>
      </c>
      <c r="U41" s="12">
        <f>AVERAGE(T32:T122)</f>
        <v>92.871374950350855</v>
      </c>
      <c r="V41">
        <v>290.8</v>
      </c>
      <c r="W41">
        <f t="shared" si="7"/>
        <v>8413.2999999999993</v>
      </c>
      <c r="X41">
        <v>12.760527202142569</v>
      </c>
    </row>
    <row r="42" spans="1:25" x14ac:dyDescent="0.25">
      <c r="A42">
        <v>5400</v>
      </c>
      <c r="B42">
        <v>24010</v>
      </c>
      <c r="C42" s="1">
        <v>42987</v>
      </c>
      <c r="E42" s="43"/>
      <c r="F42">
        <v>13.8</v>
      </c>
      <c r="G42">
        <v>12.8</v>
      </c>
      <c r="H42">
        <v>17.3</v>
      </c>
      <c r="I42">
        <f t="shared" si="4"/>
        <v>175.4</v>
      </c>
      <c r="J42">
        <f t="shared" si="5"/>
        <v>175.4</v>
      </c>
      <c r="K42" s="7" t="s">
        <v>39</v>
      </c>
      <c r="L42">
        <v>2.6</v>
      </c>
      <c r="M42">
        <v>1.8</v>
      </c>
      <c r="N42">
        <f t="shared" si="0"/>
        <v>0.8</v>
      </c>
      <c r="P42">
        <v>11</v>
      </c>
      <c r="Q42">
        <f t="shared" si="8"/>
        <v>0.37349397590361444</v>
      </c>
      <c r="R42">
        <f t="shared" si="1"/>
        <v>0.67228915662650601</v>
      </c>
      <c r="S42">
        <f t="shared" si="2"/>
        <v>1.927710843373494</v>
      </c>
      <c r="T42">
        <f t="shared" si="6"/>
        <v>51.431385542168677</v>
      </c>
      <c r="V42">
        <v>787.2</v>
      </c>
      <c r="W42">
        <f t="shared" si="7"/>
        <v>9200.5</v>
      </c>
      <c r="X42">
        <v>12.700069409095226</v>
      </c>
    </row>
    <row r="43" spans="1:25" x14ac:dyDescent="0.25">
      <c r="A43">
        <v>5400</v>
      </c>
      <c r="B43">
        <v>24010</v>
      </c>
      <c r="C43" s="1">
        <v>42988</v>
      </c>
      <c r="E43" s="43"/>
      <c r="F43">
        <v>14.2</v>
      </c>
      <c r="G43">
        <v>10</v>
      </c>
      <c r="H43">
        <v>16.8</v>
      </c>
      <c r="I43">
        <f t="shared" si="4"/>
        <v>189.6</v>
      </c>
      <c r="J43">
        <f t="shared" si="5"/>
        <v>189.6</v>
      </c>
      <c r="K43" s="8">
        <v>19</v>
      </c>
      <c r="L43">
        <v>1.2</v>
      </c>
      <c r="M43">
        <v>0.9</v>
      </c>
      <c r="N43">
        <f t="shared" si="0"/>
        <v>0.29999999999999993</v>
      </c>
      <c r="P43">
        <v>12</v>
      </c>
      <c r="Q43">
        <f t="shared" si="8"/>
        <v>0.38132530120481928</v>
      </c>
      <c r="R43">
        <f t="shared" si="1"/>
        <v>0.34319277108433738</v>
      </c>
      <c r="S43">
        <f t="shared" si="2"/>
        <v>0.85680722891566252</v>
      </c>
      <c r="T43">
        <f t="shared" si="6"/>
        <v>52.28819277108434</v>
      </c>
      <c r="U43" s="13">
        <f>(U41*100)/153.9</f>
        <v>60.345272872222779</v>
      </c>
      <c r="V43">
        <v>569.70000000000005</v>
      </c>
      <c r="W43">
        <f t="shared" si="7"/>
        <v>9770.2000000000007</v>
      </c>
      <c r="X43">
        <v>12.639514143533299</v>
      </c>
    </row>
    <row r="44" spans="1:25" x14ac:dyDescent="0.25">
      <c r="A44">
        <v>5400</v>
      </c>
      <c r="B44">
        <v>24010</v>
      </c>
      <c r="C44" s="1">
        <v>42989</v>
      </c>
      <c r="E44" s="43"/>
      <c r="F44">
        <v>14.2</v>
      </c>
      <c r="G44">
        <v>12.2</v>
      </c>
      <c r="H44">
        <v>16.7</v>
      </c>
      <c r="I44">
        <f t="shared" si="4"/>
        <v>203.79999999999998</v>
      </c>
      <c r="J44">
        <f t="shared" si="5"/>
        <v>203.79999999999998</v>
      </c>
      <c r="K44" s="7" t="s">
        <v>40</v>
      </c>
      <c r="L44">
        <v>0.8</v>
      </c>
      <c r="M44">
        <v>1.9</v>
      </c>
      <c r="N44">
        <f t="shared" si="0"/>
        <v>-1.0999999999999999</v>
      </c>
      <c r="P44">
        <v>13</v>
      </c>
      <c r="Q44">
        <f t="shared" si="8"/>
        <v>0.38915662650602406</v>
      </c>
      <c r="R44">
        <f t="shared" si="1"/>
        <v>0.7393975903614457</v>
      </c>
      <c r="S44">
        <f t="shared" si="2"/>
        <v>6.0602409638554344E-2</v>
      </c>
      <c r="T44">
        <f t="shared" si="6"/>
        <v>52.348795180722895</v>
      </c>
      <c r="V44">
        <v>946</v>
      </c>
      <c r="W44">
        <f t="shared" si="7"/>
        <v>10716.2</v>
      </c>
      <c r="X44">
        <v>12.578870478888314</v>
      </c>
    </row>
    <row r="45" spans="1:25" x14ac:dyDescent="0.25">
      <c r="A45">
        <v>5400</v>
      </c>
      <c r="B45">
        <v>24010</v>
      </c>
      <c r="C45" s="1">
        <v>42990</v>
      </c>
      <c r="E45" s="43"/>
      <c r="F45">
        <v>14.4</v>
      </c>
      <c r="G45">
        <v>10.8</v>
      </c>
      <c r="H45">
        <v>16.899999999999999</v>
      </c>
      <c r="I45">
        <f t="shared" si="4"/>
        <v>218.2</v>
      </c>
      <c r="J45">
        <f t="shared" si="5"/>
        <v>218.2</v>
      </c>
      <c r="K45" s="8">
        <v>1</v>
      </c>
      <c r="L45">
        <v>0.9</v>
      </c>
      <c r="M45">
        <v>1.5</v>
      </c>
      <c r="N45">
        <f t="shared" si="0"/>
        <v>-0.6</v>
      </c>
      <c r="P45">
        <v>14</v>
      </c>
      <c r="Q45">
        <f t="shared" si="8"/>
        <v>0.3969879518072289</v>
      </c>
      <c r="R45">
        <f t="shared" si="1"/>
        <v>0.59548192771084341</v>
      </c>
      <c r="S45">
        <f t="shared" si="2"/>
        <v>0.30451807228915662</v>
      </c>
      <c r="T45">
        <f t="shared" si="6"/>
        <v>52.653313253012051</v>
      </c>
      <c r="V45">
        <v>731.2</v>
      </c>
      <c r="W45">
        <f t="shared" si="7"/>
        <v>11447.400000000001</v>
      </c>
      <c r="X45">
        <v>12.518147326278688</v>
      </c>
    </row>
    <row r="46" spans="1:25" x14ac:dyDescent="0.25">
      <c r="A46">
        <v>5400</v>
      </c>
      <c r="B46">
        <v>24010</v>
      </c>
      <c r="C46" s="1">
        <v>42991</v>
      </c>
      <c r="E46" s="43"/>
      <c r="F46">
        <v>15.5</v>
      </c>
      <c r="G46">
        <v>14.6</v>
      </c>
      <c r="H46">
        <v>16.8</v>
      </c>
      <c r="I46">
        <f t="shared" si="4"/>
        <v>233.7</v>
      </c>
      <c r="J46">
        <f t="shared" si="5"/>
        <v>233.7</v>
      </c>
      <c r="L46">
        <v>35</v>
      </c>
      <c r="M46">
        <v>1</v>
      </c>
      <c r="N46">
        <f t="shared" si="0"/>
        <v>34</v>
      </c>
      <c r="P46">
        <v>15</v>
      </c>
      <c r="Q46">
        <f t="shared" si="8"/>
        <v>0.40481927710843368</v>
      </c>
      <c r="R46">
        <f t="shared" si="1"/>
        <v>0.40481927710843368</v>
      </c>
      <c r="S46">
        <f t="shared" si="2"/>
        <v>34.59518072289157</v>
      </c>
      <c r="T46">
        <f t="shared" si="6"/>
        <v>87.248493975903614</v>
      </c>
      <c r="V46">
        <v>404.7</v>
      </c>
      <c r="W46">
        <f t="shared" si="7"/>
        <v>11852.100000000002</v>
      </c>
      <c r="X46">
        <v>12.457353449646682</v>
      </c>
    </row>
    <row r="47" spans="1:25" x14ac:dyDescent="0.25">
      <c r="A47">
        <v>5400</v>
      </c>
      <c r="B47">
        <v>24010</v>
      </c>
      <c r="C47" s="1">
        <v>42992</v>
      </c>
      <c r="E47" s="43"/>
      <c r="F47">
        <v>12.7</v>
      </c>
      <c r="G47">
        <v>11.1</v>
      </c>
      <c r="H47">
        <v>15.2</v>
      </c>
      <c r="I47">
        <f t="shared" si="4"/>
        <v>246.39999999999998</v>
      </c>
      <c r="J47">
        <f t="shared" si="5"/>
        <v>246.39999999999998</v>
      </c>
      <c r="L47">
        <v>0.6</v>
      </c>
      <c r="M47">
        <v>1.6</v>
      </c>
      <c r="N47">
        <f t="shared" si="0"/>
        <v>-1</v>
      </c>
      <c r="P47">
        <v>16</v>
      </c>
      <c r="Q47">
        <f t="shared" si="8"/>
        <v>0.41265060240963852</v>
      </c>
      <c r="R47">
        <f t="shared" si="1"/>
        <v>0.66024096385542164</v>
      </c>
      <c r="S47">
        <f t="shared" si="2"/>
        <v>-6.0240963855421659E-2</v>
      </c>
      <c r="T47">
        <f t="shared" si="6"/>
        <v>87.188253012048193</v>
      </c>
      <c r="V47">
        <v>908.3</v>
      </c>
      <c r="W47">
        <f t="shared" si="7"/>
        <v>12760.400000000001</v>
      </c>
      <c r="X47">
        <v>12.396497480997468</v>
      </c>
    </row>
    <row r="48" spans="1:25" x14ac:dyDescent="0.25">
      <c r="A48">
        <v>5400</v>
      </c>
      <c r="B48">
        <v>24010</v>
      </c>
      <c r="C48" s="1">
        <v>42993</v>
      </c>
      <c r="E48" s="43"/>
      <c r="F48">
        <v>11.3</v>
      </c>
      <c r="G48">
        <v>8.1</v>
      </c>
      <c r="H48">
        <v>16.100000000000001</v>
      </c>
      <c r="I48">
        <f t="shared" si="4"/>
        <v>257.7</v>
      </c>
      <c r="J48">
        <f t="shared" si="5"/>
        <v>257.7</v>
      </c>
      <c r="L48">
        <v>1.2</v>
      </c>
      <c r="M48">
        <v>1.9</v>
      </c>
      <c r="N48">
        <f t="shared" si="0"/>
        <v>-0.7</v>
      </c>
      <c r="P48">
        <v>17</v>
      </c>
      <c r="Q48">
        <f t="shared" si="8"/>
        <v>0.42048192771084336</v>
      </c>
      <c r="R48">
        <f t="shared" si="1"/>
        <v>0.79891566265060232</v>
      </c>
      <c r="S48">
        <f t="shared" si="2"/>
        <v>0.40108433734939763</v>
      </c>
      <c r="T48">
        <f t="shared" si="6"/>
        <v>87.589337349397596</v>
      </c>
      <c r="V48">
        <v>1380.9</v>
      </c>
      <c r="W48">
        <f t="shared" si="7"/>
        <v>14141.300000000001</v>
      </c>
      <c r="X48">
        <v>12.335587935726561</v>
      </c>
    </row>
    <row r="49" spans="1:24" x14ac:dyDescent="0.25">
      <c r="A49">
        <v>5400</v>
      </c>
      <c r="B49">
        <v>24010</v>
      </c>
      <c r="C49" s="1">
        <v>42994</v>
      </c>
      <c r="E49" s="43"/>
      <c r="F49">
        <v>10.5</v>
      </c>
      <c r="G49">
        <v>6.1</v>
      </c>
      <c r="H49">
        <v>14.1</v>
      </c>
      <c r="I49">
        <f t="shared" si="4"/>
        <v>268.2</v>
      </c>
      <c r="J49">
        <f t="shared" si="5"/>
        <v>268.2</v>
      </c>
      <c r="L49">
        <v>2.6</v>
      </c>
      <c r="M49">
        <v>0.5</v>
      </c>
      <c r="N49">
        <f t="shared" si="0"/>
        <v>2.1</v>
      </c>
      <c r="P49">
        <v>18</v>
      </c>
      <c r="Q49">
        <f t="shared" si="8"/>
        <v>0.42831325301204815</v>
      </c>
      <c r="R49">
        <f t="shared" si="1"/>
        <v>0.21415662650602407</v>
      </c>
      <c r="S49">
        <f t="shared" si="2"/>
        <v>2.3858433734939761</v>
      </c>
      <c r="T49">
        <f t="shared" si="6"/>
        <v>89.975180722891565</v>
      </c>
      <c r="V49">
        <v>482.4</v>
      </c>
      <c r="W49">
        <f t="shared" si="7"/>
        <v>14623.7</v>
      </c>
      <c r="X49">
        <v>12.274633228022882</v>
      </c>
    </row>
    <row r="50" spans="1:24" x14ac:dyDescent="0.25">
      <c r="A50">
        <v>5400</v>
      </c>
      <c r="B50">
        <v>24010</v>
      </c>
      <c r="C50" s="1">
        <v>42995</v>
      </c>
      <c r="E50" s="43"/>
      <c r="F50">
        <v>10.6</v>
      </c>
      <c r="G50">
        <v>9.1</v>
      </c>
      <c r="H50">
        <v>12.7</v>
      </c>
      <c r="I50">
        <f t="shared" si="4"/>
        <v>278.8</v>
      </c>
      <c r="J50">
        <f t="shared" si="5"/>
        <v>278.8</v>
      </c>
      <c r="L50">
        <v>2.8</v>
      </c>
      <c r="M50">
        <v>0.8</v>
      </c>
      <c r="N50">
        <f t="shared" si="0"/>
        <v>1.9999999999999998</v>
      </c>
      <c r="P50">
        <v>19</v>
      </c>
      <c r="Q50">
        <f t="shared" si="8"/>
        <v>0.43614457831325298</v>
      </c>
      <c r="R50">
        <f t="shared" si="1"/>
        <v>0.34891566265060242</v>
      </c>
      <c r="S50">
        <f t="shared" si="2"/>
        <v>2.4510843373493976</v>
      </c>
      <c r="T50">
        <f t="shared" si="6"/>
        <v>92.426265060240965</v>
      </c>
      <c r="V50">
        <v>672.7</v>
      </c>
      <c r="W50">
        <f t="shared" si="7"/>
        <v>15296.400000000001</v>
      </c>
      <c r="X50">
        <v>12.213641686335599</v>
      </c>
    </row>
    <row r="51" spans="1:24" x14ac:dyDescent="0.25">
      <c r="A51">
        <v>5400</v>
      </c>
      <c r="B51">
        <v>24010</v>
      </c>
      <c r="C51" s="1">
        <v>42996</v>
      </c>
      <c r="E51" s="43"/>
      <c r="F51">
        <v>10.7</v>
      </c>
      <c r="G51">
        <v>5.4</v>
      </c>
      <c r="H51">
        <v>15.7</v>
      </c>
      <c r="I51">
        <f t="shared" si="4"/>
        <v>289.5</v>
      </c>
      <c r="J51">
        <f t="shared" si="5"/>
        <v>289.5</v>
      </c>
      <c r="L51">
        <v>5.8</v>
      </c>
      <c r="M51">
        <v>1.2</v>
      </c>
      <c r="N51">
        <f t="shared" si="0"/>
        <v>4.5999999999999996</v>
      </c>
      <c r="P51">
        <v>20</v>
      </c>
      <c r="Q51">
        <f t="shared" si="8"/>
        <v>0.44397590361445782</v>
      </c>
      <c r="R51">
        <f t="shared" si="1"/>
        <v>0.53277108433734932</v>
      </c>
      <c r="S51">
        <f t="shared" si="2"/>
        <v>5.2672289156626508</v>
      </c>
      <c r="T51">
        <f t="shared" si="6"/>
        <v>97.693493975903621</v>
      </c>
      <c r="V51">
        <v>887.1</v>
      </c>
      <c r="W51">
        <f t="shared" si="7"/>
        <v>16183.500000000002</v>
      </c>
      <c r="X51">
        <v>12.152621568893622</v>
      </c>
    </row>
    <row r="52" spans="1:24" x14ac:dyDescent="0.25">
      <c r="A52">
        <v>5400</v>
      </c>
      <c r="B52">
        <v>24010</v>
      </c>
      <c r="C52" s="1">
        <v>42997</v>
      </c>
      <c r="E52" s="43"/>
      <c r="F52">
        <v>11.1</v>
      </c>
      <c r="G52">
        <v>9.5</v>
      </c>
      <c r="H52">
        <v>14.9</v>
      </c>
      <c r="I52">
        <f t="shared" si="4"/>
        <v>300.60000000000002</v>
      </c>
      <c r="J52">
        <f t="shared" si="5"/>
        <v>300.60000000000002</v>
      </c>
      <c r="L52">
        <v>0.5</v>
      </c>
      <c r="M52">
        <v>1.3</v>
      </c>
      <c r="N52">
        <f t="shared" si="0"/>
        <v>-0.8</v>
      </c>
      <c r="P52">
        <v>21</v>
      </c>
      <c r="Q52">
        <f t="shared" si="8"/>
        <v>0.45180722891566261</v>
      </c>
      <c r="R52">
        <f t="shared" si="1"/>
        <v>0.58734939759036142</v>
      </c>
      <c r="S52">
        <f t="shared" si="2"/>
        <v>-8.7349397590361422E-2</v>
      </c>
      <c r="T52">
        <f t="shared" si="6"/>
        <v>97.606144578313263</v>
      </c>
      <c r="V52">
        <v>715.2</v>
      </c>
      <c r="W52">
        <f t="shared" si="7"/>
        <v>16898.7</v>
      </c>
      <c r="X52">
        <v>12.091581079267323</v>
      </c>
    </row>
    <row r="53" spans="1:24" x14ac:dyDescent="0.25">
      <c r="A53">
        <v>5400</v>
      </c>
      <c r="B53">
        <v>24010</v>
      </c>
      <c r="C53" s="1">
        <v>42998</v>
      </c>
      <c r="E53" s="43"/>
      <c r="F53">
        <v>11.4</v>
      </c>
      <c r="G53">
        <v>5.5</v>
      </c>
      <c r="H53">
        <v>17.3</v>
      </c>
      <c r="I53">
        <f t="shared" si="4"/>
        <v>312</v>
      </c>
      <c r="J53">
        <f t="shared" si="5"/>
        <v>312</v>
      </c>
      <c r="L53">
        <v>0</v>
      </c>
      <c r="M53">
        <v>0.7</v>
      </c>
      <c r="N53">
        <f t="shared" si="0"/>
        <v>-0.7</v>
      </c>
      <c r="P53">
        <v>22</v>
      </c>
      <c r="Q53">
        <f t="shared" si="8"/>
        <v>0.45963855421686745</v>
      </c>
      <c r="R53">
        <f t="shared" si="1"/>
        <v>0.32174698795180717</v>
      </c>
      <c r="S53">
        <f t="shared" si="2"/>
        <v>-0.32174698795180717</v>
      </c>
      <c r="T53">
        <f t="shared" si="6"/>
        <v>97.284397590361451</v>
      </c>
      <c r="V53">
        <v>486.7</v>
      </c>
      <c r="W53">
        <f t="shared" si="7"/>
        <v>17385.400000000001</v>
      </c>
      <c r="X53">
        <v>12.030528381962558</v>
      </c>
    </row>
    <row r="54" spans="1:24" x14ac:dyDescent="0.25">
      <c r="A54">
        <v>5400</v>
      </c>
      <c r="B54">
        <v>24010</v>
      </c>
      <c r="C54" s="1">
        <v>42999</v>
      </c>
      <c r="E54" s="43"/>
      <c r="F54">
        <v>13.4</v>
      </c>
      <c r="G54">
        <v>6.2</v>
      </c>
      <c r="H54">
        <v>19.8</v>
      </c>
      <c r="I54">
        <f t="shared" si="4"/>
        <v>325.39999999999998</v>
      </c>
      <c r="J54">
        <f t="shared" si="5"/>
        <v>325.39999999999998</v>
      </c>
      <c r="L54">
        <v>0.1</v>
      </c>
      <c r="M54">
        <v>2.7</v>
      </c>
      <c r="N54">
        <f t="shared" si="0"/>
        <v>-2.6</v>
      </c>
      <c r="P54">
        <v>23</v>
      </c>
      <c r="Q54">
        <f t="shared" si="8"/>
        <v>0.46746987951807228</v>
      </c>
      <c r="R54">
        <f t="shared" si="1"/>
        <v>1.2621686746987952</v>
      </c>
      <c r="S54">
        <f t="shared" si="2"/>
        <v>-1.1621686746987951</v>
      </c>
      <c r="T54">
        <f t="shared" si="6"/>
        <v>96.12222891566266</v>
      </c>
      <c r="V54">
        <v>1611.6</v>
      </c>
      <c r="W54">
        <f t="shared" si="7"/>
        <v>18997</v>
      </c>
      <c r="X54">
        <v>11.969471618037444</v>
      </c>
    </row>
    <row r="55" spans="1:24" x14ac:dyDescent="0.25">
      <c r="A55">
        <v>5400</v>
      </c>
      <c r="B55">
        <v>24010</v>
      </c>
      <c r="C55" s="1">
        <v>43000</v>
      </c>
      <c r="E55" s="43"/>
      <c r="F55">
        <v>13.6</v>
      </c>
      <c r="G55">
        <v>12.6</v>
      </c>
      <c r="H55">
        <v>17.5</v>
      </c>
      <c r="I55">
        <f t="shared" si="4"/>
        <v>339</v>
      </c>
      <c r="J55">
        <f t="shared" si="5"/>
        <v>339</v>
      </c>
      <c r="L55">
        <v>0</v>
      </c>
      <c r="M55">
        <v>1.6</v>
      </c>
      <c r="N55">
        <f t="shared" si="0"/>
        <v>-1.6</v>
      </c>
      <c r="P55">
        <v>24</v>
      </c>
      <c r="Q55">
        <f t="shared" si="8"/>
        <v>0.47530120481927707</v>
      </c>
      <c r="R55">
        <f t="shared" si="1"/>
        <v>0.76048192771084333</v>
      </c>
      <c r="S55">
        <f t="shared" si="2"/>
        <v>-0.76048192771084333</v>
      </c>
      <c r="T55">
        <f t="shared" si="6"/>
        <v>95.361746987951818</v>
      </c>
      <c r="V55">
        <v>835.4</v>
      </c>
      <c r="W55">
        <f t="shared" si="7"/>
        <v>19832.400000000001</v>
      </c>
      <c r="X55">
        <v>11.908418920732677</v>
      </c>
    </row>
    <row r="56" spans="1:24" x14ac:dyDescent="0.25">
      <c r="A56">
        <v>5400</v>
      </c>
      <c r="B56">
        <v>24010</v>
      </c>
      <c r="C56" s="1">
        <v>43001</v>
      </c>
      <c r="E56" s="43"/>
      <c r="F56">
        <v>12.9</v>
      </c>
      <c r="G56">
        <v>6.4</v>
      </c>
      <c r="H56">
        <v>18.7</v>
      </c>
      <c r="I56">
        <f t="shared" si="4"/>
        <v>351.9</v>
      </c>
      <c r="J56">
        <f t="shared" si="5"/>
        <v>351.9</v>
      </c>
      <c r="L56">
        <v>0.1</v>
      </c>
      <c r="M56">
        <v>1.8</v>
      </c>
      <c r="N56">
        <f t="shared" si="0"/>
        <v>-1.7</v>
      </c>
      <c r="P56">
        <v>25</v>
      </c>
      <c r="Q56">
        <f t="shared" si="8"/>
        <v>0.48313253012048191</v>
      </c>
      <c r="R56">
        <f t="shared" si="1"/>
        <v>0.86963855421686742</v>
      </c>
      <c r="S56">
        <f t="shared" si="2"/>
        <v>-0.76963855421686744</v>
      </c>
      <c r="T56">
        <f t="shared" si="6"/>
        <v>94.59210843373495</v>
      </c>
      <c r="V56">
        <v>1256.3</v>
      </c>
      <c r="W56">
        <f t="shared" si="7"/>
        <v>21088.7</v>
      </c>
      <c r="X56">
        <v>11.84737843110638</v>
      </c>
    </row>
    <row r="57" spans="1:24" x14ac:dyDescent="0.25">
      <c r="A57">
        <v>5400</v>
      </c>
      <c r="B57">
        <v>24010</v>
      </c>
      <c r="C57" s="1">
        <v>43002</v>
      </c>
      <c r="E57" s="43"/>
      <c r="F57">
        <v>16.5</v>
      </c>
      <c r="G57">
        <v>10.7</v>
      </c>
      <c r="H57">
        <v>22.3</v>
      </c>
      <c r="I57">
        <f t="shared" si="4"/>
        <v>368.4</v>
      </c>
      <c r="J57">
        <f t="shared" si="5"/>
        <v>368.4</v>
      </c>
      <c r="L57">
        <v>0</v>
      </c>
      <c r="M57">
        <v>2.5</v>
      </c>
      <c r="N57">
        <f t="shared" si="0"/>
        <v>-2.5</v>
      </c>
      <c r="P57">
        <v>26</v>
      </c>
      <c r="Q57">
        <f t="shared" si="8"/>
        <v>0.49096385542168675</v>
      </c>
      <c r="R57">
        <f t="shared" si="1"/>
        <v>1.2274096385542168</v>
      </c>
      <c r="S57">
        <f t="shared" si="2"/>
        <v>-1.2274096385542168</v>
      </c>
      <c r="T57">
        <f t="shared" si="6"/>
        <v>93.364698795180729</v>
      </c>
      <c r="V57">
        <v>1260</v>
      </c>
      <c r="W57">
        <f t="shared" si="7"/>
        <v>22348.7</v>
      </c>
      <c r="X57">
        <v>11.786358313664399</v>
      </c>
    </row>
    <row r="58" spans="1:24" x14ac:dyDescent="0.25">
      <c r="A58">
        <v>5400</v>
      </c>
      <c r="B58">
        <v>24010</v>
      </c>
      <c r="C58" s="1">
        <v>43003</v>
      </c>
      <c r="E58" s="43"/>
      <c r="F58">
        <v>16.399999999999999</v>
      </c>
      <c r="G58">
        <v>12.9</v>
      </c>
      <c r="H58">
        <v>20.2</v>
      </c>
      <c r="I58">
        <f t="shared" si="4"/>
        <v>384.79999999999995</v>
      </c>
      <c r="J58">
        <f t="shared" si="5"/>
        <v>384.79999999999995</v>
      </c>
      <c r="L58">
        <v>0.9</v>
      </c>
      <c r="M58">
        <v>0.8</v>
      </c>
      <c r="N58">
        <f t="shared" si="0"/>
        <v>9.9999999999999978E-2</v>
      </c>
      <c r="P58">
        <v>27</v>
      </c>
      <c r="Q58">
        <f t="shared" si="8"/>
        <v>0.49879518072289153</v>
      </c>
      <c r="R58">
        <f t="shared" si="1"/>
        <v>0.39903614457831327</v>
      </c>
      <c r="S58">
        <f t="shared" si="2"/>
        <v>0.50096385542168675</v>
      </c>
      <c r="T58">
        <f t="shared" si="6"/>
        <v>93.865662650602417</v>
      </c>
      <c r="V58">
        <v>515</v>
      </c>
      <c r="W58">
        <f t="shared" si="7"/>
        <v>22863.7</v>
      </c>
      <c r="X58">
        <v>11.725366771977116</v>
      </c>
    </row>
    <row r="59" spans="1:24" x14ac:dyDescent="0.25">
      <c r="A59">
        <v>5400</v>
      </c>
      <c r="B59">
        <v>24010</v>
      </c>
      <c r="C59" s="1">
        <v>43004</v>
      </c>
      <c r="E59" s="43"/>
      <c r="F59">
        <v>15.9</v>
      </c>
      <c r="G59">
        <v>14.6</v>
      </c>
      <c r="H59">
        <v>18.899999999999999</v>
      </c>
      <c r="I59">
        <f t="shared" si="4"/>
        <v>400.69999999999993</v>
      </c>
      <c r="J59">
        <f t="shared" si="5"/>
        <v>400.69999999999993</v>
      </c>
      <c r="L59">
        <v>0.2</v>
      </c>
      <c r="M59">
        <v>1.1000000000000001</v>
      </c>
      <c r="N59">
        <f t="shared" si="0"/>
        <v>-0.90000000000000013</v>
      </c>
      <c r="P59">
        <v>28</v>
      </c>
      <c r="Q59">
        <f t="shared" si="8"/>
        <v>0.50662650602409642</v>
      </c>
      <c r="R59">
        <f t="shared" si="1"/>
        <v>0.55728915662650613</v>
      </c>
      <c r="S59">
        <f t="shared" si="2"/>
        <v>-0.35728915662650612</v>
      </c>
      <c r="T59">
        <f t="shared" si="6"/>
        <v>93.50837349397591</v>
      </c>
      <c r="V59">
        <v>556.29999999999995</v>
      </c>
      <c r="W59">
        <f t="shared" si="7"/>
        <v>23420</v>
      </c>
      <c r="X59">
        <v>11.664412064273439</v>
      </c>
    </row>
    <row r="60" spans="1:24" x14ac:dyDescent="0.25">
      <c r="A60">
        <v>5400</v>
      </c>
      <c r="B60">
        <v>24010</v>
      </c>
      <c r="C60" s="1">
        <v>43005</v>
      </c>
      <c r="E60" s="43"/>
      <c r="F60">
        <v>14.9</v>
      </c>
      <c r="G60">
        <v>10.7</v>
      </c>
      <c r="H60">
        <v>18.5</v>
      </c>
      <c r="I60">
        <f t="shared" si="4"/>
        <v>415.59999999999991</v>
      </c>
      <c r="J60">
        <f t="shared" si="5"/>
        <v>415.59999999999991</v>
      </c>
      <c r="L60">
        <v>1.3</v>
      </c>
      <c r="M60">
        <v>0.6</v>
      </c>
      <c r="N60">
        <f t="shared" si="0"/>
        <v>0.70000000000000007</v>
      </c>
      <c r="P60">
        <v>29</v>
      </c>
      <c r="Q60">
        <f t="shared" si="8"/>
        <v>0.51445783132530121</v>
      </c>
      <c r="R60">
        <f t="shared" si="1"/>
        <v>0.30867469879518072</v>
      </c>
      <c r="S60">
        <f t="shared" si="2"/>
        <v>0.99132530120481932</v>
      </c>
      <c r="T60">
        <f t="shared" si="6"/>
        <v>94.499698795180734</v>
      </c>
      <c r="V60">
        <v>433.5</v>
      </c>
      <c r="W60">
        <f t="shared" si="7"/>
        <v>23853.5</v>
      </c>
      <c r="X60">
        <v>11.603502519002534</v>
      </c>
    </row>
    <row r="61" spans="1:24" x14ac:dyDescent="0.25">
      <c r="A61">
        <v>5400</v>
      </c>
      <c r="B61">
        <v>24010</v>
      </c>
      <c r="C61" s="1">
        <v>43006</v>
      </c>
      <c r="E61" s="43"/>
      <c r="F61">
        <v>17</v>
      </c>
      <c r="G61">
        <v>14.9</v>
      </c>
      <c r="H61">
        <v>18.8</v>
      </c>
      <c r="I61">
        <f t="shared" si="4"/>
        <v>432.59999999999991</v>
      </c>
      <c r="J61">
        <f t="shared" si="5"/>
        <v>432.59999999999991</v>
      </c>
      <c r="L61">
        <v>0.2</v>
      </c>
      <c r="M61">
        <v>0.5</v>
      </c>
      <c r="N61">
        <f t="shared" si="0"/>
        <v>-0.3</v>
      </c>
      <c r="P61">
        <v>30</v>
      </c>
      <c r="Q61">
        <f t="shared" si="8"/>
        <v>0.52228915662650599</v>
      </c>
      <c r="R61">
        <f t="shared" si="1"/>
        <v>0.261144578313253</v>
      </c>
      <c r="S61">
        <f t="shared" si="2"/>
        <v>-6.1144578313252984E-2</v>
      </c>
      <c r="T61">
        <f t="shared" si="6"/>
        <v>94.438554216867487</v>
      </c>
      <c r="V61">
        <v>281.8</v>
      </c>
      <c r="W61">
        <f t="shared" si="7"/>
        <v>24135.3</v>
      </c>
      <c r="X61">
        <v>11.542646550353316</v>
      </c>
    </row>
    <row r="62" spans="1:24" x14ac:dyDescent="0.25">
      <c r="A62">
        <v>5400</v>
      </c>
      <c r="B62">
        <v>24010</v>
      </c>
      <c r="C62" s="1">
        <v>43007</v>
      </c>
      <c r="E62" s="43"/>
      <c r="F62">
        <v>18.2</v>
      </c>
      <c r="G62">
        <v>14.8</v>
      </c>
      <c r="H62">
        <v>23.4</v>
      </c>
      <c r="I62">
        <f t="shared" si="4"/>
        <v>450.7999999999999</v>
      </c>
      <c r="J62">
        <f t="shared" si="5"/>
        <v>450.7999999999999</v>
      </c>
      <c r="L62">
        <v>4.8</v>
      </c>
      <c r="M62">
        <v>2.4</v>
      </c>
      <c r="N62">
        <f t="shared" si="0"/>
        <v>2.4</v>
      </c>
      <c r="P62">
        <v>31</v>
      </c>
      <c r="Q62">
        <f t="shared" si="8"/>
        <v>0.53012048192771077</v>
      </c>
      <c r="R62">
        <f t="shared" si="1"/>
        <v>1.2722891566265058</v>
      </c>
      <c r="S62">
        <f t="shared" si="2"/>
        <v>3.5277108433734941</v>
      </c>
      <c r="T62">
        <f t="shared" si="6"/>
        <v>97.966265060240985</v>
      </c>
      <c r="V62">
        <v>1064.0999999999999</v>
      </c>
      <c r="W62">
        <f t="shared" si="7"/>
        <v>25199.399999999998</v>
      </c>
      <c r="X62">
        <v>11.48185267372131</v>
      </c>
    </row>
    <row r="63" spans="1:24" x14ac:dyDescent="0.25">
      <c r="A63">
        <v>5400</v>
      </c>
      <c r="B63">
        <v>24010</v>
      </c>
      <c r="C63" s="1">
        <v>43008</v>
      </c>
      <c r="E63" s="43"/>
      <c r="F63">
        <v>14.7</v>
      </c>
      <c r="G63">
        <v>12.7</v>
      </c>
      <c r="H63">
        <v>17.3</v>
      </c>
      <c r="I63">
        <f t="shared" si="4"/>
        <v>465.49999999999989</v>
      </c>
      <c r="J63">
        <f t="shared" si="5"/>
        <v>465.49999999999989</v>
      </c>
      <c r="L63">
        <v>0.3</v>
      </c>
      <c r="M63">
        <v>1.4</v>
      </c>
      <c r="N63">
        <f t="shared" si="0"/>
        <v>-1.0999999999999999</v>
      </c>
      <c r="P63">
        <v>32</v>
      </c>
      <c r="Q63">
        <f t="shared" si="8"/>
        <v>0.53795180722891567</v>
      </c>
      <c r="R63">
        <f t="shared" si="1"/>
        <v>0.75313253012048187</v>
      </c>
      <c r="S63">
        <f t="shared" si="2"/>
        <v>-0.45313253012048188</v>
      </c>
      <c r="T63">
        <f t="shared" si="6"/>
        <v>97.513132530120501</v>
      </c>
      <c r="V63">
        <v>632.20000000000005</v>
      </c>
      <c r="W63">
        <f t="shared" si="7"/>
        <v>25831.599999999999</v>
      </c>
      <c r="X63">
        <v>11.421129521111686</v>
      </c>
    </row>
    <row r="64" spans="1:24" x14ac:dyDescent="0.25">
      <c r="A64">
        <v>5400</v>
      </c>
      <c r="B64">
        <v>24010</v>
      </c>
      <c r="C64" s="1">
        <v>43009</v>
      </c>
      <c r="E64" s="43"/>
      <c r="F64">
        <v>14.3</v>
      </c>
      <c r="G64">
        <v>12.8</v>
      </c>
      <c r="H64">
        <v>16</v>
      </c>
      <c r="I64">
        <f t="shared" si="4"/>
        <v>479.7999999999999</v>
      </c>
      <c r="J64">
        <f t="shared" si="5"/>
        <v>479.7999999999999</v>
      </c>
      <c r="L64">
        <v>2.8</v>
      </c>
      <c r="M64">
        <v>0.5</v>
      </c>
      <c r="N64">
        <f t="shared" si="0"/>
        <v>2.2999999999999998</v>
      </c>
      <c r="P64">
        <v>33</v>
      </c>
      <c r="Q64">
        <f t="shared" si="8"/>
        <v>0.54578313253012045</v>
      </c>
      <c r="R64">
        <f t="shared" si="1"/>
        <v>0.27289156626506023</v>
      </c>
      <c r="S64">
        <f t="shared" si="2"/>
        <v>2.5271084337349397</v>
      </c>
      <c r="T64">
        <f t="shared" si="6"/>
        <v>100.04024096385544</v>
      </c>
      <c r="V64">
        <v>133.80000000000001</v>
      </c>
      <c r="W64">
        <f t="shared" si="7"/>
        <v>25965.399999999998</v>
      </c>
      <c r="X64">
        <v>11.360485856466701</v>
      </c>
    </row>
    <row r="65" spans="1:24" x14ac:dyDescent="0.25">
      <c r="A65">
        <v>5400</v>
      </c>
      <c r="B65">
        <v>24010</v>
      </c>
      <c r="C65" s="1">
        <v>43010</v>
      </c>
      <c r="E65" s="43"/>
      <c r="F65">
        <v>16.100000000000001</v>
      </c>
      <c r="G65">
        <v>15.1</v>
      </c>
      <c r="H65">
        <v>17.3</v>
      </c>
      <c r="I65">
        <f t="shared" si="4"/>
        <v>495.89999999999992</v>
      </c>
      <c r="J65">
        <f t="shared" si="5"/>
        <v>495.89999999999992</v>
      </c>
      <c r="L65">
        <v>6.3</v>
      </c>
      <c r="M65">
        <v>0.7</v>
      </c>
      <c r="N65">
        <f t="shared" si="0"/>
        <v>5.6</v>
      </c>
      <c r="P65">
        <v>34</v>
      </c>
      <c r="Q65">
        <f t="shared" si="8"/>
        <v>0.55361445783132535</v>
      </c>
      <c r="R65">
        <f t="shared" si="1"/>
        <v>0.3875301204819277</v>
      </c>
      <c r="S65">
        <f t="shared" si="2"/>
        <v>5.9124698795180723</v>
      </c>
      <c r="T65">
        <f t="shared" si="6"/>
        <v>105.95271084337351</v>
      </c>
      <c r="V65">
        <v>351.9</v>
      </c>
      <c r="W65">
        <f t="shared" si="7"/>
        <v>26317.3</v>
      </c>
      <c r="X65">
        <v>11.299930590904772</v>
      </c>
    </row>
    <row r="66" spans="1:24" x14ac:dyDescent="0.25">
      <c r="A66">
        <v>5400</v>
      </c>
      <c r="B66">
        <v>24010</v>
      </c>
      <c r="C66" s="1">
        <v>43011</v>
      </c>
      <c r="E66" s="43"/>
      <c r="F66">
        <v>12.2</v>
      </c>
      <c r="G66">
        <v>10.6</v>
      </c>
      <c r="H66">
        <v>16.7</v>
      </c>
      <c r="I66">
        <f t="shared" si="4"/>
        <v>508.09999999999991</v>
      </c>
      <c r="J66">
        <f t="shared" si="5"/>
        <v>508.09999999999991</v>
      </c>
      <c r="L66">
        <v>0.1</v>
      </c>
      <c r="M66">
        <v>2</v>
      </c>
      <c r="N66">
        <f t="shared" si="0"/>
        <v>-1.9</v>
      </c>
      <c r="P66">
        <v>35</v>
      </c>
      <c r="Q66">
        <f t="shared" si="8"/>
        <v>0.56144578313253013</v>
      </c>
      <c r="R66">
        <f t="shared" si="1"/>
        <v>1.1228915662650603</v>
      </c>
      <c r="S66">
        <f t="shared" si="2"/>
        <v>-1.0228915662650602</v>
      </c>
      <c r="T66">
        <f t="shared" si="6"/>
        <v>104.92981927710845</v>
      </c>
      <c r="V66">
        <v>1056.4000000000001</v>
      </c>
      <c r="W66">
        <f t="shared" si="7"/>
        <v>27373.7</v>
      </c>
      <c r="X66">
        <v>11.239472797857431</v>
      </c>
    </row>
    <row r="67" spans="1:24" x14ac:dyDescent="0.25">
      <c r="A67">
        <v>5400</v>
      </c>
      <c r="B67">
        <v>24010</v>
      </c>
      <c r="C67" s="1">
        <v>43012</v>
      </c>
      <c r="E67" s="43"/>
      <c r="F67">
        <v>11.3</v>
      </c>
      <c r="G67">
        <v>6.2</v>
      </c>
      <c r="H67">
        <v>17</v>
      </c>
      <c r="I67">
        <f t="shared" si="4"/>
        <v>519.39999999999986</v>
      </c>
      <c r="J67">
        <f t="shared" si="5"/>
        <v>519.39999999999986</v>
      </c>
      <c r="L67">
        <v>0.1</v>
      </c>
      <c r="M67">
        <v>1.1000000000000001</v>
      </c>
      <c r="N67">
        <f t="shared" si="0"/>
        <v>-1</v>
      </c>
      <c r="P67">
        <v>36</v>
      </c>
      <c r="Q67">
        <f t="shared" si="8"/>
        <v>0.56927710843373491</v>
      </c>
      <c r="R67">
        <f t="shared" si="1"/>
        <v>0.62620481927710847</v>
      </c>
      <c r="S67">
        <f t="shared" si="2"/>
        <v>-0.52620481927710849</v>
      </c>
      <c r="T67">
        <f t="shared" si="6"/>
        <v>104.40361445783134</v>
      </c>
      <c r="V67">
        <v>619.1</v>
      </c>
      <c r="W67">
        <f t="shared" si="7"/>
        <v>27992.799999999999</v>
      </c>
      <c r="X67">
        <v>11.179121728089315</v>
      </c>
    </row>
    <row r="68" spans="1:24" x14ac:dyDescent="0.25">
      <c r="A68">
        <v>5400</v>
      </c>
      <c r="B68">
        <v>24010</v>
      </c>
      <c r="C68" s="1">
        <v>43013</v>
      </c>
      <c r="E68" s="43"/>
      <c r="F68">
        <v>11.5</v>
      </c>
      <c r="G68">
        <v>8.8000000000000007</v>
      </c>
      <c r="H68">
        <v>14.8</v>
      </c>
      <c r="I68">
        <f t="shared" si="4"/>
        <v>530.89999999999986</v>
      </c>
      <c r="J68">
        <f t="shared" si="5"/>
        <v>530.89999999999986</v>
      </c>
      <c r="L68">
        <v>1.3</v>
      </c>
      <c r="M68">
        <v>0.9</v>
      </c>
      <c r="N68">
        <f t="shared" si="0"/>
        <v>0.4</v>
      </c>
      <c r="P68">
        <v>37</v>
      </c>
      <c r="Q68">
        <f t="shared" si="8"/>
        <v>0.5771084337349397</v>
      </c>
      <c r="R68">
        <f t="shared" si="1"/>
        <v>0.51939759036144573</v>
      </c>
      <c r="S68">
        <f t="shared" si="2"/>
        <v>0.78060240963855432</v>
      </c>
      <c r="T68">
        <f t="shared" si="6"/>
        <v>105.1842168674699</v>
      </c>
      <c r="V68">
        <v>463</v>
      </c>
      <c r="W68">
        <f t="shared" si="7"/>
        <v>28455.8</v>
      </c>
      <c r="X68">
        <v>11.118886824585134</v>
      </c>
    </row>
    <row r="69" spans="1:24" x14ac:dyDescent="0.25">
      <c r="A69">
        <v>5400</v>
      </c>
      <c r="B69">
        <v>24010</v>
      </c>
      <c r="C69" s="1">
        <v>43014</v>
      </c>
      <c r="E69" s="43"/>
      <c r="F69">
        <v>9.3000000000000007</v>
      </c>
      <c r="G69">
        <v>5.8</v>
      </c>
      <c r="H69">
        <v>14.8</v>
      </c>
      <c r="I69">
        <f t="shared" si="4"/>
        <v>540.19999999999982</v>
      </c>
      <c r="J69">
        <f t="shared" si="5"/>
        <v>540.19999999999982</v>
      </c>
      <c r="L69">
        <v>0.1</v>
      </c>
      <c r="M69">
        <v>1.6</v>
      </c>
      <c r="N69">
        <f t="shared" ref="N69:N132" si="9">L69-M69</f>
        <v>-1.5</v>
      </c>
      <c r="P69">
        <v>38</v>
      </c>
      <c r="Q69">
        <f t="shared" si="8"/>
        <v>0.58493975903614459</v>
      </c>
      <c r="R69">
        <f t="shared" ref="R69:R132" si="10">Q69*M69</f>
        <v>0.93590361445783143</v>
      </c>
      <c r="S69">
        <f t="shared" ref="S69:S132" si="11">L69-R69</f>
        <v>-0.83590361445783146</v>
      </c>
      <c r="T69">
        <f t="shared" si="6"/>
        <v>104.34831325301207</v>
      </c>
      <c r="V69">
        <v>1040.2</v>
      </c>
      <c r="W69">
        <f t="shared" si="7"/>
        <v>29496</v>
      </c>
      <c r="X69">
        <v>11.058777737286155</v>
      </c>
    </row>
    <row r="70" spans="1:24" x14ac:dyDescent="0.25">
      <c r="A70">
        <v>5400</v>
      </c>
      <c r="B70">
        <v>24010</v>
      </c>
      <c r="C70" s="1">
        <v>43015</v>
      </c>
      <c r="E70" s="43"/>
      <c r="F70">
        <v>10.5</v>
      </c>
      <c r="G70">
        <v>3.6</v>
      </c>
      <c r="H70">
        <v>15.1</v>
      </c>
      <c r="I70">
        <f t="shared" si="4"/>
        <v>550.69999999999982</v>
      </c>
      <c r="J70">
        <f t="shared" si="5"/>
        <v>550.69999999999982</v>
      </c>
      <c r="L70">
        <v>1.8</v>
      </c>
      <c r="M70">
        <v>1.6</v>
      </c>
      <c r="N70">
        <f t="shared" si="9"/>
        <v>0.19999999999999996</v>
      </c>
      <c r="P70">
        <v>39</v>
      </c>
      <c r="Q70">
        <f t="shared" si="8"/>
        <v>0.59277108433734937</v>
      </c>
      <c r="R70">
        <f t="shared" si="10"/>
        <v>0.94843373493975902</v>
      </c>
      <c r="S70">
        <f t="shared" si="11"/>
        <v>0.85156626506024102</v>
      </c>
      <c r="T70">
        <f t="shared" si="6"/>
        <v>105.19987951807231</v>
      </c>
      <c r="V70">
        <v>1200.5</v>
      </c>
      <c r="W70">
        <f t="shared" si="7"/>
        <v>30696.5</v>
      </c>
      <c r="X70">
        <v>10.998804337657322</v>
      </c>
    </row>
    <row r="71" spans="1:24" x14ac:dyDescent="0.25">
      <c r="A71">
        <v>5400</v>
      </c>
      <c r="B71">
        <v>24010</v>
      </c>
      <c r="C71" s="1">
        <v>43016</v>
      </c>
      <c r="E71" s="43"/>
      <c r="F71">
        <v>13.2</v>
      </c>
      <c r="G71">
        <v>11.1</v>
      </c>
      <c r="H71">
        <v>15.8</v>
      </c>
      <c r="I71">
        <f t="shared" si="4"/>
        <v>563.89999999999986</v>
      </c>
      <c r="J71">
        <f t="shared" si="5"/>
        <v>563.89999999999986</v>
      </c>
      <c r="L71">
        <v>0.1</v>
      </c>
      <c r="M71">
        <v>0.4</v>
      </c>
      <c r="N71">
        <f t="shared" si="9"/>
        <v>-0.30000000000000004</v>
      </c>
      <c r="P71">
        <v>40</v>
      </c>
      <c r="Q71">
        <f t="shared" si="8"/>
        <v>0.60060240963855427</v>
      </c>
      <c r="R71">
        <f t="shared" si="10"/>
        <v>0.24024096385542171</v>
      </c>
      <c r="S71">
        <f t="shared" si="11"/>
        <v>-0.1402409638554217</v>
      </c>
      <c r="T71">
        <f t="shared" si="6"/>
        <v>105.05963855421689</v>
      </c>
      <c r="V71">
        <v>204.2</v>
      </c>
      <c r="W71">
        <f t="shared" si="7"/>
        <v>30900.7</v>
      </c>
      <c r="X71">
        <v>10.938976733064536</v>
      </c>
    </row>
    <row r="72" spans="1:24" x14ac:dyDescent="0.25">
      <c r="A72">
        <v>5400</v>
      </c>
      <c r="B72">
        <v>24010</v>
      </c>
      <c r="C72" s="1">
        <v>43017</v>
      </c>
      <c r="E72" s="43"/>
      <c r="F72">
        <v>13.6</v>
      </c>
      <c r="G72">
        <v>9.6999999999999993</v>
      </c>
      <c r="H72">
        <v>16.600000000000001</v>
      </c>
      <c r="I72">
        <f t="shared" si="4"/>
        <v>577.49999999999989</v>
      </c>
      <c r="J72">
        <f t="shared" si="5"/>
        <v>577.49999999999989</v>
      </c>
      <c r="L72">
        <v>0</v>
      </c>
      <c r="M72">
        <v>0.6</v>
      </c>
      <c r="N72">
        <f t="shared" si="9"/>
        <v>-0.6</v>
      </c>
      <c r="P72">
        <v>41</v>
      </c>
      <c r="Q72">
        <f t="shared" si="8"/>
        <v>0.60843373493975905</v>
      </c>
      <c r="R72">
        <f t="shared" si="10"/>
        <v>0.36506024096385542</v>
      </c>
      <c r="S72">
        <f t="shared" si="11"/>
        <v>-0.36506024096385542</v>
      </c>
      <c r="T72">
        <f t="shared" si="6"/>
        <v>104.69457831325303</v>
      </c>
      <c r="V72">
        <v>464.8</v>
      </c>
      <c r="W72">
        <f t="shared" si="7"/>
        <v>31365.5</v>
      </c>
      <c r="X72">
        <v>10.87930528093989</v>
      </c>
    </row>
    <row r="73" spans="1:24" x14ac:dyDescent="0.25">
      <c r="A73">
        <v>5400</v>
      </c>
      <c r="B73">
        <v>24010</v>
      </c>
      <c r="C73" s="1">
        <v>43018</v>
      </c>
      <c r="E73" s="43"/>
      <c r="F73">
        <v>14.4</v>
      </c>
      <c r="G73">
        <v>13.4</v>
      </c>
      <c r="H73">
        <v>15.6</v>
      </c>
      <c r="I73">
        <f t="shared" si="4"/>
        <v>591.89999999999986</v>
      </c>
      <c r="J73">
        <f t="shared" si="5"/>
        <v>591.89999999999986</v>
      </c>
      <c r="L73">
        <v>0.3</v>
      </c>
      <c r="M73">
        <v>0.7</v>
      </c>
      <c r="N73">
        <f t="shared" si="9"/>
        <v>-0.39999999999999997</v>
      </c>
      <c r="P73">
        <v>42</v>
      </c>
      <c r="Q73">
        <f t="shared" si="8"/>
        <v>0.61626506024096384</v>
      </c>
      <c r="R73">
        <f t="shared" si="10"/>
        <v>0.43138554216867464</v>
      </c>
      <c r="S73">
        <f t="shared" si="11"/>
        <v>-0.13138554216867465</v>
      </c>
      <c r="T73">
        <f t="shared" si="6"/>
        <v>104.56319277108436</v>
      </c>
      <c r="V73">
        <v>183.8</v>
      </c>
      <c r="W73">
        <f t="shared" si="7"/>
        <v>31549.3</v>
      </c>
      <c r="X73">
        <v>10.819800602710986</v>
      </c>
    </row>
    <row r="74" spans="1:24" x14ac:dyDescent="0.25">
      <c r="A74">
        <v>5400</v>
      </c>
      <c r="B74">
        <v>24010</v>
      </c>
      <c r="C74" s="1">
        <v>43019</v>
      </c>
      <c r="E74" s="43"/>
      <c r="F74">
        <v>15.2</v>
      </c>
      <c r="G74">
        <v>13.4</v>
      </c>
      <c r="H74">
        <v>17.600000000000001</v>
      </c>
      <c r="I74">
        <f t="shared" si="4"/>
        <v>607.09999999999991</v>
      </c>
      <c r="J74">
        <f t="shared" si="5"/>
        <v>607.09999999999991</v>
      </c>
      <c r="L74">
        <v>0</v>
      </c>
      <c r="M74">
        <v>1</v>
      </c>
      <c r="N74">
        <f t="shared" si="9"/>
        <v>-1</v>
      </c>
      <c r="P74">
        <v>43</v>
      </c>
      <c r="Q74">
        <f t="shared" si="8"/>
        <v>0.62409638554216862</v>
      </c>
      <c r="R74">
        <f t="shared" si="10"/>
        <v>0.62409638554216862</v>
      </c>
      <c r="S74">
        <f t="shared" si="11"/>
        <v>-0.62409638554216862</v>
      </c>
      <c r="T74">
        <f t="shared" si="6"/>
        <v>103.93909638554219</v>
      </c>
      <c r="V74">
        <v>267.2</v>
      </c>
      <c r="W74">
        <f t="shared" si="7"/>
        <v>31816.5</v>
      </c>
      <c r="X74">
        <v>10.760473597468312</v>
      </c>
    </row>
    <row r="75" spans="1:24" x14ac:dyDescent="0.25">
      <c r="A75">
        <v>5400</v>
      </c>
      <c r="B75">
        <v>24010</v>
      </c>
      <c r="C75" s="1">
        <v>43020</v>
      </c>
      <c r="E75" s="43"/>
      <c r="F75">
        <v>16</v>
      </c>
      <c r="G75">
        <v>14.3</v>
      </c>
      <c r="H75">
        <v>19.399999999999999</v>
      </c>
      <c r="I75">
        <f t="shared" si="4"/>
        <v>623.09999999999991</v>
      </c>
      <c r="J75">
        <f t="shared" si="5"/>
        <v>623.09999999999991</v>
      </c>
      <c r="L75">
        <v>0.1</v>
      </c>
      <c r="M75">
        <v>1.5</v>
      </c>
      <c r="N75">
        <f t="shared" si="9"/>
        <v>-1.4</v>
      </c>
      <c r="P75">
        <v>44</v>
      </c>
      <c r="Q75">
        <f t="shared" si="8"/>
        <v>0.63192771084337351</v>
      </c>
      <c r="R75">
        <f t="shared" si="10"/>
        <v>0.94789156626506021</v>
      </c>
      <c r="S75">
        <f t="shared" si="11"/>
        <v>-0.84789156626506024</v>
      </c>
      <c r="T75">
        <f t="shared" si="6"/>
        <v>103.09120481927712</v>
      </c>
      <c r="V75">
        <v>665.7</v>
      </c>
      <c r="W75">
        <f t="shared" si="7"/>
        <v>32482.2</v>
      </c>
      <c r="X75">
        <v>10.70133545534288</v>
      </c>
    </row>
    <row r="76" spans="1:24" x14ac:dyDescent="0.25">
      <c r="A76">
        <v>5400</v>
      </c>
      <c r="B76">
        <v>24010</v>
      </c>
      <c r="C76" s="1">
        <v>43021</v>
      </c>
      <c r="E76" s="43"/>
      <c r="F76">
        <v>15.1</v>
      </c>
      <c r="G76">
        <v>13</v>
      </c>
      <c r="H76">
        <v>20.6</v>
      </c>
      <c r="I76">
        <f t="shared" si="4"/>
        <v>638.19999999999993</v>
      </c>
      <c r="J76">
        <f t="shared" si="5"/>
        <v>638.19999999999993</v>
      </c>
      <c r="L76">
        <v>0.1</v>
      </c>
      <c r="M76">
        <v>1.7</v>
      </c>
      <c r="N76">
        <f t="shared" si="9"/>
        <v>-1.5999999999999999</v>
      </c>
      <c r="P76">
        <v>45</v>
      </c>
      <c r="Q76">
        <f t="shared" si="8"/>
        <v>0.6397590361445783</v>
      </c>
      <c r="R76">
        <f t="shared" si="10"/>
        <v>1.0875903614457831</v>
      </c>
      <c r="S76">
        <f t="shared" si="11"/>
        <v>-0.98759036144578316</v>
      </c>
      <c r="T76">
        <f t="shared" si="6"/>
        <v>102.10361445783134</v>
      </c>
      <c r="V76">
        <v>908.8</v>
      </c>
      <c r="W76">
        <f t="shared" si="7"/>
        <v>33391</v>
      </c>
      <c r="X76">
        <v>10.642397670564051</v>
      </c>
    </row>
    <row r="77" spans="1:24" x14ac:dyDescent="0.25">
      <c r="A77">
        <v>5400</v>
      </c>
      <c r="B77">
        <v>24010</v>
      </c>
      <c r="C77" s="1">
        <v>43022</v>
      </c>
      <c r="E77" s="43"/>
      <c r="F77">
        <v>14.5</v>
      </c>
      <c r="G77">
        <v>8.6</v>
      </c>
      <c r="H77">
        <v>21.6</v>
      </c>
      <c r="I77">
        <f t="shared" si="4"/>
        <v>652.69999999999993</v>
      </c>
      <c r="J77">
        <f t="shared" si="5"/>
        <v>652.69999999999993</v>
      </c>
      <c r="L77">
        <v>0.2</v>
      </c>
      <c r="M77">
        <v>2.4</v>
      </c>
      <c r="N77">
        <f t="shared" si="9"/>
        <v>-2.1999999999999997</v>
      </c>
      <c r="P77">
        <v>46</v>
      </c>
      <c r="Q77">
        <f t="shared" si="8"/>
        <v>0.64759036144578308</v>
      </c>
      <c r="R77">
        <f t="shared" si="10"/>
        <v>1.5542168674698793</v>
      </c>
      <c r="S77">
        <f t="shared" si="11"/>
        <v>-1.3542168674698793</v>
      </c>
      <c r="T77">
        <f t="shared" si="6"/>
        <v>100.74939759036147</v>
      </c>
      <c r="V77">
        <v>1316.8</v>
      </c>
      <c r="W77">
        <f t="shared" si="7"/>
        <v>34707.800000000003</v>
      </c>
      <c r="X77">
        <v>10.583672054165348</v>
      </c>
    </row>
    <row r="78" spans="1:24" x14ac:dyDescent="0.25">
      <c r="A78">
        <v>5400</v>
      </c>
      <c r="B78">
        <v>24010</v>
      </c>
      <c r="C78" s="1">
        <v>43023</v>
      </c>
      <c r="E78" s="43"/>
      <c r="F78">
        <v>16.8</v>
      </c>
      <c r="G78">
        <v>10.5</v>
      </c>
      <c r="H78">
        <v>21.6</v>
      </c>
      <c r="I78">
        <f t="shared" si="4"/>
        <v>669.49999999999989</v>
      </c>
      <c r="J78">
        <f t="shared" si="5"/>
        <v>669.49999999999989</v>
      </c>
      <c r="L78">
        <v>0.1</v>
      </c>
      <c r="M78">
        <v>2.1</v>
      </c>
      <c r="N78">
        <f t="shared" si="9"/>
        <v>-2</v>
      </c>
      <c r="P78">
        <v>47</v>
      </c>
      <c r="Q78">
        <f t="shared" si="8"/>
        <v>0.65542168674698797</v>
      </c>
      <c r="R78">
        <f t="shared" si="10"/>
        <v>1.3763855421686748</v>
      </c>
      <c r="S78">
        <f t="shared" si="11"/>
        <v>-1.2763855421686747</v>
      </c>
      <c r="T78">
        <f t="shared" si="6"/>
        <v>99.4730120481928</v>
      </c>
      <c r="V78">
        <v>1229.9000000000001</v>
      </c>
      <c r="W78">
        <f t="shared" si="7"/>
        <v>35937.700000000004</v>
      </c>
      <c r="X78">
        <v>10.525170746303651</v>
      </c>
    </row>
    <row r="79" spans="1:24" x14ac:dyDescent="0.25">
      <c r="A79">
        <v>5400</v>
      </c>
      <c r="B79">
        <v>24010</v>
      </c>
      <c r="C79" s="1">
        <v>43024</v>
      </c>
      <c r="E79" s="43"/>
      <c r="F79">
        <v>17.899999999999999</v>
      </c>
      <c r="G79">
        <v>13.8</v>
      </c>
      <c r="H79">
        <v>23.5</v>
      </c>
      <c r="I79">
        <f t="shared" si="4"/>
        <v>687.39999999999986</v>
      </c>
      <c r="J79">
        <f t="shared" si="5"/>
        <v>687.39999999999986</v>
      </c>
      <c r="L79">
        <v>0</v>
      </c>
      <c r="M79">
        <v>2.7</v>
      </c>
      <c r="N79">
        <f t="shared" si="9"/>
        <v>-2.7</v>
      </c>
      <c r="P79">
        <v>48</v>
      </c>
      <c r="Q79">
        <f t="shared" si="8"/>
        <v>0.66325301204819276</v>
      </c>
      <c r="R79">
        <f t="shared" si="10"/>
        <v>1.7907831325301207</v>
      </c>
      <c r="S79">
        <f t="shared" si="11"/>
        <v>-1.7907831325301207</v>
      </c>
      <c r="T79">
        <f t="shared" si="6"/>
        <v>97.682228915662677</v>
      </c>
      <c r="V79">
        <v>1214.8</v>
      </c>
      <c r="W79">
        <f t="shared" si="7"/>
        <v>37152.500000000007</v>
      </c>
      <c r="X79">
        <v>10.46690622815488</v>
      </c>
    </row>
    <row r="80" spans="1:24" x14ac:dyDescent="0.25">
      <c r="A80">
        <v>5400</v>
      </c>
      <c r="B80">
        <v>24010</v>
      </c>
      <c r="C80" s="1">
        <v>43025</v>
      </c>
      <c r="E80" s="43"/>
      <c r="F80">
        <v>15.5</v>
      </c>
      <c r="G80">
        <v>9.8000000000000007</v>
      </c>
      <c r="H80">
        <v>20.8</v>
      </c>
      <c r="I80">
        <f t="shared" si="4"/>
        <v>702.89999999999986</v>
      </c>
      <c r="J80">
        <f t="shared" si="5"/>
        <v>702.89999999999986</v>
      </c>
      <c r="L80">
        <v>0.2</v>
      </c>
      <c r="M80">
        <v>1.9</v>
      </c>
      <c r="N80">
        <f t="shared" si="9"/>
        <v>-1.7</v>
      </c>
      <c r="P80">
        <v>49</v>
      </c>
      <c r="Q80">
        <f t="shared" si="8"/>
        <v>0.67108433734939754</v>
      </c>
      <c r="R80">
        <f t="shared" si="10"/>
        <v>1.2750602409638552</v>
      </c>
      <c r="S80">
        <f t="shared" si="11"/>
        <v>-1.0750602409638552</v>
      </c>
      <c r="T80">
        <f t="shared" si="6"/>
        <v>96.607168674698826</v>
      </c>
      <c r="V80">
        <v>1227.5999999999999</v>
      </c>
      <c r="W80">
        <f t="shared" si="7"/>
        <v>38380.100000000006</v>
      </c>
      <c r="X80">
        <v>10.408891333346777</v>
      </c>
    </row>
    <row r="81" spans="1:24" x14ac:dyDescent="0.25">
      <c r="A81">
        <v>5400</v>
      </c>
      <c r="B81">
        <v>24010</v>
      </c>
      <c r="C81" s="1">
        <v>43026</v>
      </c>
      <c r="E81" s="43"/>
      <c r="F81">
        <v>15.4</v>
      </c>
      <c r="G81">
        <v>11.6</v>
      </c>
      <c r="H81">
        <v>20.100000000000001</v>
      </c>
      <c r="I81">
        <f t="shared" si="4"/>
        <v>718.29999999999984</v>
      </c>
      <c r="J81">
        <f t="shared" si="5"/>
        <v>718.29999999999984</v>
      </c>
      <c r="L81">
        <v>0.1</v>
      </c>
      <c r="M81">
        <v>0.8</v>
      </c>
      <c r="N81">
        <f t="shared" si="9"/>
        <v>-0.70000000000000007</v>
      </c>
      <c r="P81">
        <v>50</v>
      </c>
      <c r="Q81">
        <f t="shared" si="8"/>
        <v>0.67891566265060233</v>
      </c>
      <c r="R81">
        <f t="shared" si="10"/>
        <v>0.5431325301204819</v>
      </c>
      <c r="S81">
        <f t="shared" si="11"/>
        <v>-0.44313253012048193</v>
      </c>
      <c r="T81">
        <f t="shared" si="6"/>
        <v>96.164036144578347</v>
      </c>
      <c r="V81">
        <v>350.4</v>
      </c>
      <c r="W81">
        <f t="shared" si="7"/>
        <v>38730.500000000007</v>
      </c>
      <c r="X81">
        <v>10.351139258886818</v>
      </c>
    </row>
    <row r="82" spans="1:24" x14ac:dyDescent="0.25">
      <c r="A82">
        <v>5400</v>
      </c>
      <c r="B82">
        <v>24010</v>
      </c>
      <c r="C82" s="1">
        <v>43027</v>
      </c>
      <c r="E82" s="43"/>
      <c r="F82">
        <v>15.5</v>
      </c>
      <c r="G82">
        <v>12.4</v>
      </c>
      <c r="H82">
        <v>19.899999999999999</v>
      </c>
      <c r="I82">
        <f t="shared" si="4"/>
        <v>733.79999999999984</v>
      </c>
      <c r="J82">
        <f t="shared" si="5"/>
        <v>733.79999999999984</v>
      </c>
      <c r="L82">
        <v>7.7</v>
      </c>
      <c r="M82">
        <v>1.3</v>
      </c>
      <c r="N82">
        <f t="shared" si="9"/>
        <v>6.4</v>
      </c>
      <c r="P82">
        <v>51</v>
      </c>
      <c r="Q82">
        <f t="shared" si="8"/>
        <v>0.68674698795180722</v>
      </c>
      <c r="R82">
        <f t="shared" si="10"/>
        <v>0.89277108433734942</v>
      </c>
      <c r="S82">
        <f t="shared" si="11"/>
        <v>6.8072289156626509</v>
      </c>
      <c r="T82">
        <f t="shared" si="6"/>
        <v>102.971265060241</v>
      </c>
      <c r="V82">
        <v>400.1</v>
      </c>
      <c r="W82">
        <f t="shared" si="7"/>
        <v>39130.600000000006</v>
      </c>
      <c r="X82">
        <v>10.293663575540767</v>
      </c>
    </row>
    <row r="83" spans="1:24" x14ac:dyDescent="0.25">
      <c r="A83">
        <v>5400</v>
      </c>
      <c r="B83">
        <v>24010</v>
      </c>
      <c r="C83" s="1">
        <v>43028</v>
      </c>
      <c r="E83" s="43"/>
      <c r="F83">
        <v>12.8</v>
      </c>
      <c r="G83">
        <v>10.5</v>
      </c>
      <c r="H83">
        <v>15.2</v>
      </c>
      <c r="I83">
        <f t="shared" si="4"/>
        <v>746.5999999999998</v>
      </c>
      <c r="J83">
        <f t="shared" si="5"/>
        <v>746.5999999999998</v>
      </c>
      <c r="L83">
        <v>0.6</v>
      </c>
      <c r="M83">
        <v>1.3</v>
      </c>
      <c r="N83">
        <f t="shared" si="9"/>
        <v>-0.70000000000000007</v>
      </c>
      <c r="P83">
        <v>52</v>
      </c>
      <c r="Q83">
        <f t="shared" si="8"/>
        <v>0.69457831325301211</v>
      </c>
      <c r="R83">
        <f t="shared" si="10"/>
        <v>0.90295180722891577</v>
      </c>
      <c r="S83">
        <f t="shared" si="11"/>
        <v>-0.30295180722891579</v>
      </c>
      <c r="T83">
        <f t="shared" si="6"/>
        <v>102.66831325301207</v>
      </c>
      <c r="V83">
        <v>726.3</v>
      </c>
      <c r="W83">
        <f t="shared" si="7"/>
        <v>39856.900000000009</v>
      </c>
      <c r="X83">
        <v>10.236478237614731</v>
      </c>
    </row>
    <row r="84" spans="1:24" x14ac:dyDescent="0.25">
      <c r="A84">
        <v>5400</v>
      </c>
      <c r="B84">
        <v>24010</v>
      </c>
      <c r="C84" s="1">
        <v>43029</v>
      </c>
      <c r="E84" s="43"/>
      <c r="F84">
        <v>13</v>
      </c>
      <c r="G84">
        <v>11.2</v>
      </c>
      <c r="H84">
        <v>16.2</v>
      </c>
      <c r="I84">
        <f t="shared" si="4"/>
        <v>759.5999999999998</v>
      </c>
      <c r="J84">
        <f t="shared" si="5"/>
        <v>759.5999999999998</v>
      </c>
      <c r="L84">
        <v>0.9</v>
      </c>
      <c r="M84">
        <v>1.5</v>
      </c>
      <c r="N84">
        <f t="shared" si="9"/>
        <v>-0.6</v>
      </c>
      <c r="P84">
        <v>53</v>
      </c>
      <c r="Q84">
        <f t="shared" si="8"/>
        <v>0.7024096385542169</v>
      </c>
      <c r="R84">
        <f t="shared" si="10"/>
        <v>1.0536144578313253</v>
      </c>
      <c r="S84">
        <f t="shared" si="11"/>
        <v>-0.15361445783132532</v>
      </c>
      <c r="T84">
        <f t="shared" si="6"/>
        <v>102.51469879518075</v>
      </c>
      <c r="V84">
        <v>551.20000000000005</v>
      </c>
      <c r="W84">
        <f t="shared" si="7"/>
        <v>40408.100000000006</v>
      </c>
      <c r="X84">
        <v>10.179597592090943</v>
      </c>
    </row>
    <row r="85" spans="1:24" x14ac:dyDescent="0.25">
      <c r="A85">
        <v>5400</v>
      </c>
      <c r="B85">
        <v>24010</v>
      </c>
      <c r="C85" s="1">
        <v>43030</v>
      </c>
      <c r="E85" s="43"/>
      <c r="F85">
        <v>10.199999999999999</v>
      </c>
      <c r="G85">
        <v>8.8000000000000007</v>
      </c>
      <c r="H85">
        <v>12</v>
      </c>
      <c r="I85">
        <f t="shared" si="4"/>
        <v>769.79999999999984</v>
      </c>
      <c r="J85">
        <f t="shared" si="5"/>
        <v>769.79999999999984</v>
      </c>
      <c r="L85">
        <v>0.4</v>
      </c>
      <c r="M85">
        <v>1.1000000000000001</v>
      </c>
      <c r="N85">
        <f t="shared" si="9"/>
        <v>-0.70000000000000007</v>
      </c>
      <c r="P85">
        <v>54</v>
      </c>
      <c r="Q85">
        <f t="shared" si="8"/>
        <v>0.71024096385542168</v>
      </c>
      <c r="R85">
        <f t="shared" si="10"/>
        <v>0.78126506024096387</v>
      </c>
      <c r="S85">
        <f t="shared" si="11"/>
        <v>-0.38126506024096385</v>
      </c>
      <c r="T85">
        <f t="shared" si="6"/>
        <v>102.13343373493979</v>
      </c>
      <c r="V85">
        <v>571.1</v>
      </c>
      <c r="W85">
        <f t="shared" si="7"/>
        <v>40979.200000000004</v>
      </c>
      <c r="X85">
        <v>10.123036387064845</v>
      </c>
    </row>
    <row r="86" spans="1:24" x14ac:dyDescent="0.25">
      <c r="A86">
        <v>5400</v>
      </c>
      <c r="B86">
        <v>24010</v>
      </c>
      <c r="C86" s="1">
        <v>43031</v>
      </c>
      <c r="E86" s="43"/>
      <c r="F86">
        <v>12.4</v>
      </c>
      <c r="G86">
        <v>9.9</v>
      </c>
      <c r="H86">
        <v>14.4</v>
      </c>
      <c r="I86">
        <f t="shared" si="4"/>
        <v>782.19999999999982</v>
      </c>
      <c r="J86">
        <f t="shared" si="5"/>
        <v>782.19999999999982</v>
      </c>
      <c r="L86">
        <v>2.2000000000000002</v>
      </c>
      <c r="M86">
        <v>0.6</v>
      </c>
      <c r="N86">
        <f t="shared" si="9"/>
        <v>1.6</v>
      </c>
      <c r="P86">
        <v>55</v>
      </c>
      <c r="Q86">
        <f t="shared" si="8"/>
        <v>0.71807228915662646</v>
      </c>
      <c r="R86">
        <f t="shared" si="10"/>
        <v>0.43084337349397589</v>
      </c>
      <c r="S86">
        <f t="shared" si="11"/>
        <v>1.7691566265060243</v>
      </c>
      <c r="T86">
        <f t="shared" si="6"/>
        <v>103.9025903614458</v>
      </c>
      <c r="V86">
        <v>271.7</v>
      </c>
      <c r="W86">
        <f t="shared" si="7"/>
        <v>41250.9</v>
      </c>
      <c r="X86">
        <v>10.066809779428354</v>
      </c>
    </row>
    <row r="87" spans="1:24" x14ac:dyDescent="0.25">
      <c r="A87">
        <v>5400</v>
      </c>
      <c r="B87">
        <v>24010</v>
      </c>
      <c r="C87" s="1">
        <v>43032</v>
      </c>
      <c r="E87" s="43"/>
      <c r="F87">
        <v>15.5</v>
      </c>
      <c r="G87">
        <v>13.1</v>
      </c>
      <c r="H87">
        <v>17.3</v>
      </c>
      <c r="I87">
        <f t="shared" si="4"/>
        <v>797.69999999999982</v>
      </c>
      <c r="J87">
        <f t="shared" si="5"/>
        <v>797.69999999999982</v>
      </c>
      <c r="L87">
        <v>0.1</v>
      </c>
      <c r="M87">
        <v>0.2</v>
      </c>
      <c r="N87">
        <f t="shared" si="9"/>
        <v>-0.1</v>
      </c>
      <c r="P87">
        <v>56</v>
      </c>
      <c r="Q87">
        <f t="shared" si="8"/>
        <v>0.72590361445783125</v>
      </c>
      <c r="R87">
        <f t="shared" si="10"/>
        <v>0.14518072289156625</v>
      </c>
      <c r="S87">
        <f t="shared" si="11"/>
        <v>-4.5180722891566244E-2</v>
      </c>
      <c r="T87">
        <f t="shared" si="6"/>
        <v>103.85740963855423</v>
      </c>
      <c r="V87">
        <v>163.19999999999999</v>
      </c>
      <c r="W87">
        <f t="shared" si="7"/>
        <v>41414.1</v>
      </c>
      <c r="X87">
        <v>10.010933341741682</v>
      </c>
    </row>
    <row r="88" spans="1:24" x14ac:dyDescent="0.25">
      <c r="A88">
        <v>5400</v>
      </c>
      <c r="B88">
        <v>24010</v>
      </c>
      <c r="C88" s="1">
        <v>43033</v>
      </c>
      <c r="E88" s="43"/>
      <c r="F88">
        <v>14.1</v>
      </c>
      <c r="G88">
        <v>13.1</v>
      </c>
      <c r="H88">
        <v>17.100000000000001</v>
      </c>
      <c r="I88">
        <f t="shared" si="4"/>
        <v>811.79999999999984</v>
      </c>
      <c r="J88">
        <f t="shared" si="5"/>
        <v>811.79999999999984</v>
      </c>
      <c r="L88">
        <v>0.2</v>
      </c>
      <c r="M88">
        <v>0.6</v>
      </c>
      <c r="N88">
        <f t="shared" si="9"/>
        <v>-0.39999999999999997</v>
      </c>
      <c r="P88">
        <v>57</v>
      </c>
      <c r="Q88">
        <f t="shared" si="8"/>
        <v>0.73373493975903614</v>
      </c>
      <c r="R88">
        <f t="shared" si="10"/>
        <v>0.44024096385542166</v>
      </c>
      <c r="S88">
        <f t="shared" si="11"/>
        <v>-0.24024096385542165</v>
      </c>
      <c r="T88">
        <f t="shared" si="6"/>
        <v>103.6171686746988</v>
      </c>
      <c r="V88">
        <v>259</v>
      </c>
      <c r="W88">
        <f t="shared" si="7"/>
        <v>41673.1</v>
      </c>
      <c r="X88">
        <v>9.9554230682334346</v>
      </c>
    </row>
    <row r="89" spans="1:24" x14ac:dyDescent="0.25">
      <c r="A89">
        <v>5400</v>
      </c>
      <c r="B89">
        <v>24010</v>
      </c>
      <c r="C89" s="1">
        <v>43034</v>
      </c>
      <c r="E89" s="43"/>
      <c r="F89">
        <v>12.6</v>
      </c>
      <c r="G89">
        <v>9.9</v>
      </c>
      <c r="H89">
        <v>15</v>
      </c>
      <c r="I89">
        <f t="shared" si="4"/>
        <v>824.39999999999986</v>
      </c>
      <c r="J89">
        <f t="shared" si="5"/>
        <v>824.39999999999986</v>
      </c>
      <c r="L89">
        <v>0.1</v>
      </c>
      <c r="M89">
        <v>0.5</v>
      </c>
      <c r="N89">
        <f t="shared" si="9"/>
        <v>-0.4</v>
      </c>
      <c r="P89">
        <v>58</v>
      </c>
      <c r="Q89">
        <f t="shared" si="8"/>
        <v>0.74156626506024104</v>
      </c>
      <c r="R89">
        <f t="shared" si="10"/>
        <v>0.37078313253012052</v>
      </c>
      <c r="S89">
        <f t="shared" si="11"/>
        <v>-0.27078313253012054</v>
      </c>
      <c r="T89">
        <f t="shared" si="6"/>
        <v>103.34638554216868</v>
      </c>
      <c r="V89">
        <v>247.3</v>
      </c>
      <c r="W89">
        <f t="shared" si="7"/>
        <v>41920.400000000001</v>
      </c>
      <c r="X89">
        <v>9.900295379866316</v>
      </c>
    </row>
    <row r="90" spans="1:24" x14ac:dyDescent="0.25">
      <c r="A90">
        <v>5400</v>
      </c>
      <c r="B90">
        <v>24010</v>
      </c>
      <c r="C90" s="1">
        <v>43035</v>
      </c>
      <c r="E90" s="43"/>
      <c r="F90">
        <v>11.5</v>
      </c>
      <c r="G90">
        <v>9.4</v>
      </c>
      <c r="H90">
        <v>16.2</v>
      </c>
      <c r="I90">
        <f t="shared" si="4"/>
        <v>835.89999999999986</v>
      </c>
      <c r="J90">
        <f t="shared" si="5"/>
        <v>835.89999999999986</v>
      </c>
      <c r="L90">
        <v>0.2</v>
      </c>
      <c r="M90">
        <v>1</v>
      </c>
      <c r="N90">
        <f t="shared" si="9"/>
        <v>-0.8</v>
      </c>
      <c r="P90">
        <v>59</v>
      </c>
      <c r="Q90">
        <f t="shared" si="8"/>
        <v>0.74939759036144582</v>
      </c>
      <c r="R90">
        <f t="shared" si="10"/>
        <v>0.74939759036144582</v>
      </c>
      <c r="S90">
        <f t="shared" si="11"/>
        <v>-0.54939759036144586</v>
      </c>
      <c r="T90">
        <f t="shared" si="6"/>
        <v>102.79698795180722</v>
      </c>
      <c r="V90">
        <v>441.1</v>
      </c>
      <c r="W90">
        <f t="shared" si="7"/>
        <v>42361.5</v>
      </c>
      <c r="X90">
        <v>9.8455671284033706</v>
      </c>
    </row>
    <row r="91" spans="1:24" x14ac:dyDescent="0.25">
      <c r="A91">
        <v>5400</v>
      </c>
      <c r="B91">
        <v>24010</v>
      </c>
      <c r="C91" s="1">
        <v>43036</v>
      </c>
      <c r="E91" s="43"/>
      <c r="F91">
        <v>9.1</v>
      </c>
      <c r="G91">
        <v>4.3</v>
      </c>
      <c r="H91">
        <v>12.6</v>
      </c>
      <c r="I91">
        <f t="shared" si="4"/>
        <v>844.99999999999989</v>
      </c>
      <c r="J91">
        <f t="shared" si="5"/>
        <v>844.99999999999989</v>
      </c>
      <c r="L91">
        <v>0.1</v>
      </c>
      <c r="M91">
        <v>0.9</v>
      </c>
      <c r="N91">
        <f t="shared" si="9"/>
        <v>-0.8</v>
      </c>
      <c r="P91">
        <v>60</v>
      </c>
      <c r="Q91">
        <f t="shared" si="8"/>
        <v>0.7572289156626506</v>
      </c>
      <c r="R91">
        <f t="shared" si="10"/>
        <v>0.68150602409638561</v>
      </c>
      <c r="S91">
        <f t="shared" si="11"/>
        <v>-0.58150602409638563</v>
      </c>
      <c r="T91">
        <f t="shared" si="6"/>
        <v>102.21548192771084</v>
      </c>
      <c r="V91">
        <v>540.4</v>
      </c>
      <c r="W91">
        <f t="shared" si="7"/>
        <v>42901.9</v>
      </c>
      <c r="X91">
        <v>9.7912555994075436</v>
      </c>
    </row>
    <row r="92" spans="1:24" x14ac:dyDescent="0.25">
      <c r="A92">
        <v>5400</v>
      </c>
      <c r="B92">
        <v>24010</v>
      </c>
      <c r="C92" s="1">
        <v>43037</v>
      </c>
      <c r="E92" s="43"/>
      <c r="F92">
        <v>11.5</v>
      </c>
      <c r="G92">
        <v>10.6</v>
      </c>
      <c r="H92">
        <v>14.9</v>
      </c>
      <c r="I92">
        <f t="shared" si="4"/>
        <v>856.49999999999989</v>
      </c>
      <c r="J92">
        <f t="shared" si="5"/>
        <v>856.49999999999989</v>
      </c>
      <c r="L92">
        <v>1.3</v>
      </c>
      <c r="M92">
        <v>0.7</v>
      </c>
      <c r="N92">
        <f t="shared" si="9"/>
        <v>0.60000000000000009</v>
      </c>
      <c r="P92">
        <v>61</v>
      </c>
      <c r="Q92">
        <f t="shared" si="8"/>
        <v>0.76506024096385539</v>
      </c>
      <c r="R92">
        <f t="shared" si="10"/>
        <v>0.53554216867469873</v>
      </c>
      <c r="S92">
        <f t="shared" si="11"/>
        <v>0.76445783132530132</v>
      </c>
      <c r="T92">
        <f t="shared" si="6"/>
        <v>102.97993975903614</v>
      </c>
      <c r="V92">
        <v>242.1</v>
      </c>
      <c r="W92">
        <f t="shared" si="7"/>
        <v>43144</v>
      </c>
      <c r="X92">
        <v>9.7373785141053197</v>
      </c>
    </row>
    <row r="93" spans="1:24" x14ac:dyDescent="0.25">
      <c r="A93">
        <v>5400</v>
      </c>
      <c r="B93">
        <v>24010</v>
      </c>
      <c r="C93" s="1">
        <v>43038</v>
      </c>
      <c r="E93" s="43"/>
      <c r="F93">
        <v>6.7</v>
      </c>
      <c r="G93">
        <v>3.3</v>
      </c>
      <c r="H93">
        <v>11.9</v>
      </c>
      <c r="I93">
        <f t="shared" si="4"/>
        <v>863.19999999999993</v>
      </c>
      <c r="J93">
        <f t="shared" si="5"/>
        <v>863.19999999999993</v>
      </c>
      <c r="L93">
        <v>0</v>
      </c>
      <c r="M93">
        <v>1.2</v>
      </c>
      <c r="N93">
        <f t="shared" si="9"/>
        <v>-1.2</v>
      </c>
      <c r="P93">
        <v>62</v>
      </c>
      <c r="Q93">
        <f t="shared" si="8"/>
        <v>0.77289156626506017</v>
      </c>
      <c r="R93">
        <f t="shared" si="10"/>
        <v>0.92746987951807214</v>
      </c>
      <c r="S93">
        <f t="shared" si="11"/>
        <v>-0.92746987951807214</v>
      </c>
      <c r="T93">
        <f t="shared" si="6"/>
        <v>102.05246987951807</v>
      </c>
      <c r="V93">
        <v>753.5</v>
      </c>
      <c r="W93">
        <f t="shared" si="7"/>
        <v>43897.5</v>
      </c>
      <c r="X93">
        <v>9.6839540300433296</v>
      </c>
    </row>
    <row r="94" spans="1:24" x14ac:dyDescent="0.25">
      <c r="A94">
        <v>5400</v>
      </c>
      <c r="B94">
        <v>24010</v>
      </c>
      <c r="C94" s="1">
        <v>43039</v>
      </c>
      <c r="E94" s="43"/>
      <c r="F94">
        <v>5.6</v>
      </c>
      <c r="G94">
        <v>1</v>
      </c>
      <c r="H94">
        <v>11.7</v>
      </c>
      <c r="I94">
        <f t="shared" si="4"/>
        <v>868.8</v>
      </c>
      <c r="J94">
        <f t="shared" si="5"/>
        <v>868.8</v>
      </c>
      <c r="L94">
        <v>0.1</v>
      </c>
      <c r="M94">
        <v>1.3</v>
      </c>
      <c r="N94">
        <f t="shared" si="9"/>
        <v>-1.2</v>
      </c>
      <c r="P94">
        <v>63</v>
      </c>
      <c r="Q94">
        <f t="shared" si="8"/>
        <v>0.78072289156626506</v>
      </c>
      <c r="R94">
        <f t="shared" si="10"/>
        <v>1.0149397590361446</v>
      </c>
      <c r="S94">
        <f t="shared" si="11"/>
        <v>-0.91493975903614466</v>
      </c>
      <c r="T94">
        <f t="shared" si="6"/>
        <v>101.13753012048193</v>
      </c>
      <c r="V94">
        <v>950.5</v>
      </c>
      <c r="W94">
        <f t="shared" si="7"/>
        <v>44848</v>
      </c>
      <c r="X94">
        <v>9.6310007404654296</v>
      </c>
    </row>
    <row r="95" spans="1:24" x14ac:dyDescent="0.25">
      <c r="A95">
        <v>5400</v>
      </c>
      <c r="B95">
        <v>24010</v>
      </c>
      <c r="C95" s="1">
        <v>43040</v>
      </c>
      <c r="E95" s="43"/>
      <c r="F95">
        <v>8</v>
      </c>
      <c r="G95">
        <v>3</v>
      </c>
      <c r="H95">
        <v>13.5</v>
      </c>
      <c r="I95">
        <f t="shared" si="4"/>
        <v>876.8</v>
      </c>
      <c r="J95">
        <f t="shared" si="5"/>
        <v>876.8</v>
      </c>
      <c r="L95">
        <v>0</v>
      </c>
      <c r="M95">
        <v>1.1000000000000001</v>
      </c>
      <c r="N95">
        <f t="shared" si="9"/>
        <v>-1.1000000000000001</v>
      </c>
      <c r="P95">
        <v>64</v>
      </c>
      <c r="Q95">
        <f t="shared" si="8"/>
        <v>0.78855421686746985</v>
      </c>
      <c r="R95">
        <f t="shared" si="10"/>
        <v>0.86740963855421693</v>
      </c>
      <c r="S95">
        <f t="shared" si="11"/>
        <v>-0.86740963855421693</v>
      </c>
      <c r="T95">
        <f t="shared" si="6"/>
        <v>100.27012048192771</v>
      </c>
      <c r="V95">
        <v>630.6</v>
      </c>
      <c r="W95">
        <f t="shared" si="7"/>
        <v>45478.6</v>
      </c>
      <c r="X95">
        <v>9.5785376723364788</v>
      </c>
    </row>
    <row r="96" spans="1:24" x14ac:dyDescent="0.25">
      <c r="A96">
        <v>5400</v>
      </c>
      <c r="B96">
        <v>24010</v>
      </c>
      <c r="C96" s="1">
        <v>43041</v>
      </c>
      <c r="E96" s="43"/>
      <c r="F96">
        <v>10.7</v>
      </c>
      <c r="G96">
        <v>7.8</v>
      </c>
      <c r="H96">
        <v>13.1</v>
      </c>
      <c r="I96">
        <f t="shared" si="4"/>
        <v>887.5</v>
      </c>
      <c r="J96">
        <f t="shared" si="5"/>
        <v>887.5</v>
      </c>
      <c r="L96">
        <v>0.1</v>
      </c>
      <c r="M96">
        <v>0.2</v>
      </c>
      <c r="N96">
        <f t="shared" si="9"/>
        <v>-0.1</v>
      </c>
      <c r="P96">
        <v>65</v>
      </c>
      <c r="Q96">
        <f t="shared" si="8"/>
        <v>0.79638554216867474</v>
      </c>
      <c r="R96">
        <f t="shared" si="10"/>
        <v>0.15927710843373497</v>
      </c>
      <c r="S96">
        <f t="shared" si="11"/>
        <v>-5.927710843373496E-2</v>
      </c>
      <c r="T96">
        <f t="shared" si="6"/>
        <v>100.21084337349397</v>
      </c>
      <c r="V96">
        <v>96.5</v>
      </c>
      <c r="W96">
        <f t="shared" si="7"/>
        <v>45575.1</v>
      </c>
      <c r="X96">
        <v>9.5265842829381011</v>
      </c>
    </row>
    <row r="97" spans="1:24" x14ac:dyDescent="0.25">
      <c r="A97">
        <v>5400</v>
      </c>
      <c r="B97">
        <v>24010</v>
      </c>
      <c r="C97" s="1">
        <v>43042</v>
      </c>
      <c r="E97" s="43"/>
      <c r="F97">
        <v>11.4</v>
      </c>
      <c r="G97">
        <v>8</v>
      </c>
      <c r="H97">
        <v>14.9</v>
      </c>
      <c r="I97">
        <f t="shared" si="4"/>
        <v>898.9</v>
      </c>
      <c r="J97">
        <f t="shared" si="5"/>
        <v>898.9</v>
      </c>
      <c r="L97">
        <v>0.1</v>
      </c>
      <c r="M97">
        <v>1.2</v>
      </c>
      <c r="N97">
        <f t="shared" si="9"/>
        <v>-1.0999999999999999</v>
      </c>
      <c r="P97">
        <v>66</v>
      </c>
      <c r="Q97">
        <f t="shared" si="8"/>
        <v>0.80421686746987953</v>
      </c>
      <c r="R97">
        <f t="shared" si="10"/>
        <v>0.96506024096385534</v>
      </c>
      <c r="S97">
        <f t="shared" si="11"/>
        <v>-0.86506024096385536</v>
      </c>
      <c r="T97">
        <f t="shared" si="6"/>
        <v>99.345783132530116</v>
      </c>
      <c r="V97">
        <v>814.3</v>
      </c>
      <c r="W97">
        <f t="shared" si="7"/>
        <v>46389.4</v>
      </c>
      <c r="X97">
        <v>9.4751604549615021</v>
      </c>
    </row>
    <row r="98" spans="1:24" x14ac:dyDescent="0.25">
      <c r="A98">
        <v>5400</v>
      </c>
      <c r="B98">
        <v>24010</v>
      </c>
      <c r="C98" s="1">
        <v>43043</v>
      </c>
      <c r="E98" s="43"/>
      <c r="F98">
        <v>11.8</v>
      </c>
      <c r="G98">
        <v>10.5</v>
      </c>
      <c r="H98">
        <v>15.1</v>
      </c>
      <c r="I98">
        <f t="shared" ref="I98:I161" si="12">I97+F98</f>
        <v>910.69999999999993</v>
      </c>
      <c r="J98">
        <f t="shared" ref="J98:J161" si="13">J97+F98</f>
        <v>910.69999999999993</v>
      </c>
      <c r="L98">
        <v>4.2</v>
      </c>
      <c r="M98">
        <v>0.8</v>
      </c>
      <c r="N98">
        <f t="shared" si="9"/>
        <v>3.4000000000000004</v>
      </c>
      <c r="P98">
        <v>67</v>
      </c>
      <c r="Q98">
        <f t="shared" si="8"/>
        <v>0.81204819277108431</v>
      </c>
      <c r="R98">
        <f t="shared" si="10"/>
        <v>0.64963855421686745</v>
      </c>
      <c r="S98">
        <f t="shared" si="11"/>
        <v>3.5503614457831327</v>
      </c>
      <c r="T98">
        <f t="shared" ref="T98:T161" si="14">MIN(T97+S98,153.9)</f>
        <v>102.89614457831325</v>
      </c>
      <c r="V98">
        <v>147.30000000000001</v>
      </c>
      <c r="W98">
        <f t="shared" ref="W98:W161" si="15">W97+V98</f>
        <v>46536.700000000004</v>
      </c>
      <c r="X98">
        <v>9.4242864900221655</v>
      </c>
    </row>
    <row r="99" spans="1:24" x14ac:dyDescent="0.25">
      <c r="A99">
        <v>5400</v>
      </c>
      <c r="B99">
        <v>24010</v>
      </c>
      <c r="C99" s="1">
        <v>43044</v>
      </c>
      <c r="E99" s="43"/>
      <c r="F99">
        <v>6.7</v>
      </c>
      <c r="G99">
        <v>5.0999999999999996</v>
      </c>
      <c r="H99">
        <v>9.6</v>
      </c>
      <c r="I99">
        <f t="shared" si="12"/>
        <v>917.4</v>
      </c>
      <c r="J99">
        <f t="shared" si="13"/>
        <v>917.4</v>
      </c>
      <c r="L99">
        <v>0.1</v>
      </c>
      <c r="M99">
        <v>0.8</v>
      </c>
      <c r="N99">
        <f t="shared" si="9"/>
        <v>-0.70000000000000007</v>
      </c>
      <c r="P99">
        <v>68</v>
      </c>
      <c r="Q99">
        <f t="shared" si="8"/>
        <v>0.81987951807228909</v>
      </c>
      <c r="R99">
        <f t="shared" si="10"/>
        <v>0.6559036144578313</v>
      </c>
      <c r="S99">
        <f t="shared" si="11"/>
        <v>-0.55590361445783132</v>
      </c>
      <c r="T99">
        <f t="shared" si="14"/>
        <v>102.34024096385542</v>
      </c>
      <c r="V99">
        <v>682.5</v>
      </c>
      <c r="W99">
        <f t="shared" si="15"/>
        <v>47219.200000000004</v>
      </c>
      <c r="X99">
        <v>9.3739831005220697</v>
      </c>
    </row>
    <row r="100" spans="1:24" x14ac:dyDescent="0.25">
      <c r="A100">
        <v>5400</v>
      </c>
      <c r="B100">
        <v>24010</v>
      </c>
      <c r="C100" s="1">
        <v>43045</v>
      </c>
      <c r="E100" s="43"/>
      <c r="F100">
        <v>3.8</v>
      </c>
      <c r="G100">
        <v>1.3</v>
      </c>
      <c r="H100">
        <v>10.3</v>
      </c>
      <c r="I100">
        <f t="shared" si="12"/>
        <v>921.19999999999993</v>
      </c>
      <c r="J100">
        <f t="shared" si="13"/>
        <v>921.19999999999993</v>
      </c>
      <c r="L100">
        <v>0</v>
      </c>
      <c r="M100">
        <v>1.1000000000000001</v>
      </c>
      <c r="N100">
        <f t="shared" si="9"/>
        <v>-1.1000000000000001</v>
      </c>
      <c r="P100">
        <v>69</v>
      </c>
      <c r="Q100">
        <f t="shared" si="8"/>
        <v>0.82771084337349399</v>
      </c>
      <c r="R100">
        <f t="shared" si="10"/>
        <v>0.91048192771084346</v>
      </c>
      <c r="S100">
        <f t="shared" si="11"/>
        <v>-0.91048192771084346</v>
      </c>
      <c r="T100">
        <f t="shared" si="14"/>
        <v>101.42975903614457</v>
      </c>
      <c r="V100">
        <v>794.9</v>
      </c>
      <c r="W100">
        <f t="shared" si="15"/>
        <v>48014.100000000006</v>
      </c>
      <c r="X100">
        <v>9.3242713997859319</v>
      </c>
    </row>
    <row r="101" spans="1:24" x14ac:dyDescent="0.25">
      <c r="A101">
        <v>5400</v>
      </c>
      <c r="B101">
        <v>24010</v>
      </c>
      <c r="C101" s="1">
        <v>43046</v>
      </c>
      <c r="E101" s="43"/>
      <c r="F101">
        <v>2.4</v>
      </c>
      <c r="G101">
        <v>-2.6</v>
      </c>
      <c r="H101">
        <v>9.1999999999999993</v>
      </c>
      <c r="I101">
        <f t="shared" si="12"/>
        <v>923.59999999999991</v>
      </c>
      <c r="J101">
        <f t="shared" si="13"/>
        <v>923.59999999999991</v>
      </c>
      <c r="L101">
        <v>1.6</v>
      </c>
      <c r="M101">
        <v>1.2</v>
      </c>
      <c r="N101">
        <f t="shared" si="9"/>
        <v>0.40000000000000013</v>
      </c>
      <c r="P101">
        <v>70</v>
      </c>
      <c r="Q101">
        <f t="shared" si="8"/>
        <v>0.83554216867469877</v>
      </c>
      <c r="R101">
        <f t="shared" si="10"/>
        <v>1.0026506024096384</v>
      </c>
      <c r="S101">
        <f t="shared" si="11"/>
        <v>0.59734939759036165</v>
      </c>
      <c r="T101">
        <f t="shared" si="14"/>
        <v>102.02710843373494</v>
      </c>
      <c r="V101">
        <v>899.5</v>
      </c>
      <c r="W101">
        <f t="shared" si="15"/>
        <v>48913.600000000006</v>
      </c>
      <c r="X101">
        <v>9.2751728903999666</v>
      </c>
    </row>
    <row r="102" spans="1:24" x14ac:dyDescent="0.25">
      <c r="A102">
        <v>5400</v>
      </c>
      <c r="B102">
        <v>24010</v>
      </c>
      <c r="C102" s="1">
        <v>43047</v>
      </c>
      <c r="E102" s="43"/>
      <c r="F102">
        <v>5.5</v>
      </c>
      <c r="G102">
        <v>1.7</v>
      </c>
      <c r="H102">
        <v>7.3</v>
      </c>
      <c r="I102">
        <f t="shared" si="12"/>
        <v>929.09999999999991</v>
      </c>
      <c r="J102">
        <f t="shared" si="13"/>
        <v>929.09999999999991</v>
      </c>
      <c r="L102">
        <v>1.2</v>
      </c>
      <c r="M102">
        <v>0.1</v>
      </c>
      <c r="N102">
        <f t="shared" si="9"/>
        <v>1.0999999999999999</v>
      </c>
      <c r="P102">
        <v>71</v>
      </c>
      <c r="Q102">
        <f t="shared" si="8"/>
        <v>0.84337349397590367</v>
      </c>
      <c r="R102">
        <f t="shared" si="10"/>
        <v>8.4337349397590369E-2</v>
      </c>
      <c r="S102">
        <f t="shared" si="11"/>
        <v>1.1156626506024097</v>
      </c>
      <c r="T102">
        <f t="shared" si="14"/>
        <v>103.14277108433734</v>
      </c>
      <c r="V102">
        <v>105.8</v>
      </c>
      <c r="W102">
        <f t="shared" si="15"/>
        <v>49019.400000000009</v>
      </c>
      <c r="X102">
        <v>9.2267094506839538</v>
      </c>
    </row>
    <row r="103" spans="1:24" x14ac:dyDescent="0.25">
      <c r="A103">
        <v>5400</v>
      </c>
      <c r="B103">
        <v>24010</v>
      </c>
      <c r="C103" s="1">
        <v>43048</v>
      </c>
      <c r="E103" s="43"/>
      <c r="F103">
        <v>8.3000000000000007</v>
      </c>
      <c r="G103">
        <v>6.2</v>
      </c>
      <c r="H103">
        <v>10.9</v>
      </c>
      <c r="I103">
        <f t="shared" si="12"/>
        <v>937.39999999999986</v>
      </c>
      <c r="J103">
        <f t="shared" si="13"/>
        <v>937.39999999999986</v>
      </c>
      <c r="L103">
        <v>0.6</v>
      </c>
      <c r="M103">
        <v>0.6</v>
      </c>
      <c r="N103">
        <f t="shared" si="9"/>
        <v>0</v>
      </c>
      <c r="P103">
        <v>72</v>
      </c>
      <c r="Q103">
        <f t="shared" si="8"/>
        <v>0.85120481927710845</v>
      </c>
      <c r="R103">
        <f t="shared" si="10"/>
        <v>0.51072289156626505</v>
      </c>
      <c r="S103">
        <f t="shared" si="11"/>
        <v>8.9277108433734931E-2</v>
      </c>
      <c r="T103">
        <f t="shared" si="14"/>
        <v>103.23204819277107</v>
      </c>
      <c r="V103">
        <v>355.6</v>
      </c>
      <c r="W103">
        <f t="shared" si="15"/>
        <v>49375.000000000007</v>
      </c>
      <c r="X103">
        <v>9.1789033192307024</v>
      </c>
    </row>
    <row r="104" spans="1:24" x14ac:dyDescent="0.25">
      <c r="A104">
        <v>5400</v>
      </c>
      <c r="B104">
        <v>24010</v>
      </c>
      <c r="C104" s="1">
        <v>43049</v>
      </c>
      <c r="E104" s="43"/>
      <c r="F104">
        <v>9.6999999999999993</v>
      </c>
      <c r="G104">
        <v>8.3000000000000007</v>
      </c>
      <c r="H104">
        <v>11.6</v>
      </c>
      <c r="I104">
        <f t="shared" si="12"/>
        <v>947.09999999999991</v>
      </c>
      <c r="J104">
        <f t="shared" si="13"/>
        <v>947.09999999999991</v>
      </c>
      <c r="L104">
        <v>1.4</v>
      </c>
      <c r="M104">
        <v>0.4</v>
      </c>
      <c r="N104">
        <f t="shared" si="9"/>
        <v>0.99999999999999989</v>
      </c>
      <c r="P104">
        <v>73</v>
      </c>
      <c r="Q104">
        <f t="shared" si="8"/>
        <v>0.85903614457831323</v>
      </c>
      <c r="R104">
        <f t="shared" si="10"/>
        <v>0.34361445783132533</v>
      </c>
      <c r="S104">
        <f t="shared" si="11"/>
        <v>1.0563855421686745</v>
      </c>
      <c r="T104">
        <f t="shared" si="14"/>
        <v>104.28843373493974</v>
      </c>
      <c r="V104">
        <v>133.9</v>
      </c>
      <c r="W104">
        <f t="shared" si="15"/>
        <v>49508.900000000009</v>
      </c>
      <c r="X104">
        <v>9.1317770774509821</v>
      </c>
    </row>
    <row r="105" spans="1:24" x14ac:dyDescent="0.25">
      <c r="A105">
        <v>5400</v>
      </c>
      <c r="B105">
        <v>24010</v>
      </c>
      <c r="C105" s="1">
        <v>43050</v>
      </c>
      <c r="E105" s="43"/>
      <c r="F105">
        <v>11.2</v>
      </c>
      <c r="G105">
        <v>8.1</v>
      </c>
      <c r="H105">
        <v>12.9</v>
      </c>
      <c r="I105">
        <f t="shared" si="12"/>
        <v>958.3</v>
      </c>
      <c r="J105">
        <f t="shared" si="13"/>
        <v>958.3</v>
      </c>
      <c r="L105">
        <v>4.5999999999999996</v>
      </c>
      <c r="M105">
        <v>0.2</v>
      </c>
      <c r="N105">
        <f t="shared" si="9"/>
        <v>4.3999999999999995</v>
      </c>
      <c r="P105">
        <v>74</v>
      </c>
      <c r="Q105">
        <f t="shared" ref="Q105:Q122" si="16">0.35+((P105-8)/83)*(1-0.35)</f>
        <v>0.86686746987951813</v>
      </c>
      <c r="R105">
        <f t="shared" si="10"/>
        <v>0.17337349397590363</v>
      </c>
      <c r="S105">
        <f t="shared" si="11"/>
        <v>4.4266265060240961</v>
      </c>
      <c r="T105">
        <f t="shared" si="14"/>
        <v>108.71506024096384</v>
      </c>
      <c r="V105">
        <v>121.7</v>
      </c>
      <c r="W105">
        <f t="shared" si="15"/>
        <v>49630.600000000006</v>
      </c>
      <c r="X105">
        <v>9.0853536300669049</v>
      </c>
    </row>
    <row r="106" spans="1:24" x14ac:dyDescent="0.25">
      <c r="A106">
        <v>5400</v>
      </c>
      <c r="B106">
        <v>24010</v>
      </c>
      <c r="C106" s="1">
        <v>43051</v>
      </c>
      <c r="E106" s="43"/>
      <c r="F106">
        <v>8.3000000000000007</v>
      </c>
      <c r="G106">
        <v>5.0999999999999996</v>
      </c>
      <c r="H106">
        <v>10.8</v>
      </c>
      <c r="I106">
        <f t="shared" si="12"/>
        <v>966.59999999999991</v>
      </c>
      <c r="J106">
        <f t="shared" si="13"/>
        <v>966.59999999999991</v>
      </c>
      <c r="L106">
        <v>3.6</v>
      </c>
      <c r="M106">
        <v>0.4</v>
      </c>
      <c r="N106">
        <f t="shared" si="9"/>
        <v>3.2</v>
      </c>
      <c r="P106">
        <v>75</v>
      </c>
      <c r="Q106">
        <f t="shared" si="16"/>
        <v>0.87469879518072291</v>
      </c>
      <c r="R106">
        <f t="shared" si="10"/>
        <v>0.34987951807228918</v>
      </c>
      <c r="S106">
        <f t="shared" si="11"/>
        <v>3.250120481927711</v>
      </c>
      <c r="T106">
        <f t="shared" si="14"/>
        <v>111.96518072289155</v>
      </c>
      <c r="V106">
        <v>393.3</v>
      </c>
      <c r="W106">
        <f t="shared" si="15"/>
        <v>50023.900000000009</v>
      </c>
      <c r="X106">
        <v>9.0396561835025491</v>
      </c>
    </row>
    <row r="107" spans="1:24" x14ac:dyDescent="0.25">
      <c r="A107">
        <v>5400</v>
      </c>
      <c r="B107">
        <v>24010</v>
      </c>
      <c r="C107" s="1">
        <v>43052</v>
      </c>
      <c r="D107" t="s">
        <v>50</v>
      </c>
      <c r="E107" s="43"/>
      <c r="F107">
        <v>5.5</v>
      </c>
      <c r="G107">
        <v>4.5</v>
      </c>
      <c r="H107">
        <v>8.9</v>
      </c>
      <c r="I107">
        <f t="shared" si="12"/>
        <v>972.09999999999991</v>
      </c>
      <c r="J107">
        <f t="shared" si="13"/>
        <v>972.09999999999991</v>
      </c>
      <c r="L107">
        <v>0.2</v>
      </c>
      <c r="M107">
        <v>0.9</v>
      </c>
      <c r="N107">
        <f t="shared" si="9"/>
        <v>-0.7</v>
      </c>
      <c r="P107">
        <v>76</v>
      </c>
      <c r="Q107">
        <f t="shared" si="16"/>
        <v>0.88253012048192769</v>
      </c>
      <c r="R107">
        <f t="shared" si="10"/>
        <v>0.79427710843373489</v>
      </c>
      <c r="S107">
        <f t="shared" si="11"/>
        <v>-0.59427710843373482</v>
      </c>
      <c r="T107">
        <f t="shared" si="14"/>
        <v>111.37090361445782</v>
      </c>
      <c r="V107">
        <v>376.8</v>
      </c>
      <c r="W107">
        <f t="shared" si="15"/>
        <v>50400.700000000012</v>
      </c>
      <c r="X107">
        <v>8.9947082221274357</v>
      </c>
    </row>
    <row r="108" spans="1:24" x14ac:dyDescent="0.25">
      <c r="A108">
        <v>5400</v>
      </c>
      <c r="B108">
        <v>24010</v>
      </c>
      <c r="C108" s="1">
        <v>43053</v>
      </c>
      <c r="E108" s="43"/>
      <c r="F108">
        <v>5.2</v>
      </c>
      <c r="G108">
        <v>1</v>
      </c>
      <c r="H108">
        <v>10.199999999999999</v>
      </c>
      <c r="I108">
        <f t="shared" si="12"/>
        <v>977.3</v>
      </c>
      <c r="J108">
        <f t="shared" si="13"/>
        <v>977.3</v>
      </c>
      <c r="L108">
        <v>0</v>
      </c>
      <c r="M108">
        <v>0.8</v>
      </c>
      <c r="N108">
        <f t="shared" si="9"/>
        <v>-0.8</v>
      </c>
      <c r="P108">
        <v>77</v>
      </c>
      <c r="Q108">
        <f t="shared" si="16"/>
        <v>0.89036144578313259</v>
      </c>
      <c r="R108">
        <f t="shared" si="10"/>
        <v>0.71228915662650616</v>
      </c>
      <c r="S108">
        <f t="shared" si="11"/>
        <v>-0.71228915662650616</v>
      </c>
      <c r="T108">
        <f t="shared" si="14"/>
        <v>110.65861445783131</v>
      </c>
      <c r="V108">
        <v>595.4</v>
      </c>
      <c r="W108">
        <f t="shared" si="15"/>
        <v>50996.100000000013</v>
      </c>
      <c r="X108">
        <v>8.9505334823161764</v>
      </c>
    </row>
    <row r="109" spans="1:24" x14ac:dyDescent="0.25">
      <c r="A109">
        <v>5400</v>
      </c>
      <c r="B109">
        <v>24010</v>
      </c>
      <c r="C109" s="1">
        <v>43054</v>
      </c>
      <c r="E109" s="43"/>
      <c r="F109">
        <v>6.3</v>
      </c>
      <c r="G109">
        <v>4.5</v>
      </c>
      <c r="H109">
        <v>9.1999999999999993</v>
      </c>
      <c r="I109">
        <f t="shared" si="12"/>
        <v>983.59999999999991</v>
      </c>
      <c r="J109">
        <f t="shared" si="13"/>
        <v>983.59999999999991</v>
      </c>
      <c r="L109">
        <v>0.1</v>
      </c>
      <c r="M109">
        <v>0.3</v>
      </c>
      <c r="N109">
        <f t="shared" si="9"/>
        <v>-0.19999999999999998</v>
      </c>
      <c r="P109">
        <v>78</v>
      </c>
      <c r="Q109">
        <f t="shared" si="16"/>
        <v>0.89819277108433737</v>
      </c>
      <c r="R109">
        <f t="shared" si="10"/>
        <v>0.26945783132530121</v>
      </c>
      <c r="S109">
        <f t="shared" si="11"/>
        <v>-0.16945783132530121</v>
      </c>
      <c r="T109">
        <f t="shared" si="14"/>
        <v>110.489156626506</v>
      </c>
      <c r="V109">
        <v>106.7</v>
      </c>
      <c r="W109">
        <f t="shared" si="15"/>
        <v>51102.80000000001</v>
      </c>
      <c r="X109">
        <v>8.9071559242965694</v>
      </c>
    </row>
    <row r="110" spans="1:24" x14ac:dyDescent="0.25">
      <c r="A110">
        <v>5400</v>
      </c>
      <c r="B110">
        <v>24010</v>
      </c>
      <c r="C110" s="1">
        <v>43055</v>
      </c>
      <c r="E110" s="43"/>
      <c r="F110">
        <v>6.3</v>
      </c>
      <c r="G110">
        <v>2.8</v>
      </c>
      <c r="H110">
        <v>10.1</v>
      </c>
      <c r="I110">
        <f t="shared" si="12"/>
        <v>989.89999999999986</v>
      </c>
      <c r="J110">
        <f t="shared" si="13"/>
        <v>989.89999999999986</v>
      </c>
      <c r="L110">
        <v>0</v>
      </c>
      <c r="M110">
        <v>0.4</v>
      </c>
      <c r="N110">
        <f t="shared" si="9"/>
        <v>-0.4</v>
      </c>
      <c r="P110">
        <v>79</v>
      </c>
      <c r="Q110">
        <f t="shared" si="16"/>
        <v>0.90602409638554215</v>
      </c>
      <c r="R110">
        <f t="shared" si="10"/>
        <v>0.36240963855421687</v>
      </c>
      <c r="S110">
        <f t="shared" si="11"/>
        <v>-0.36240963855421687</v>
      </c>
      <c r="T110">
        <f t="shared" si="14"/>
        <v>110.12674698795179</v>
      </c>
      <c r="V110">
        <v>282.2</v>
      </c>
      <c r="W110">
        <f t="shared" si="15"/>
        <v>51385.000000000007</v>
      </c>
      <c r="X110">
        <v>8.8645997017682703</v>
      </c>
    </row>
    <row r="111" spans="1:24" x14ac:dyDescent="0.25">
      <c r="A111">
        <v>5400</v>
      </c>
      <c r="B111">
        <v>24010</v>
      </c>
      <c r="C111" s="1">
        <v>43056</v>
      </c>
      <c r="E111" s="43"/>
      <c r="F111">
        <v>7.9</v>
      </c>
      <c r="G111">
        <v>4.8</v>
      </c>
      <c r="H111">
        <v>11</v>
      </c>
      <c r="I111">
        <f t="shared" si="12"/>
        <v>997.79999999999984</v>
      </c>
      <c r="J111">
        <f t="shared" si="13"/>
        <v>997.79999999999984</v>
      </c>
      <c r="L111">
        <v>0</v>
      </c>
      <c r="M111">
        <v>0.2</v>
      </c>
      <c r="N111">
        <f t="shared" si="9"/>
        <v>-0.2</v>
      </c>
      <c r="P111">
        <v>80</v>
      </c>
      <c r="Q111">
        <f t="shared" si="16"/>
        <v>0.91385542168674705</v>
      </c>
      <c r="R111">
        <f t="shared" si="10"/>
        <v>0.18277108433734943</v>
      </c>
      <c r="S111">
        <f t="shared" si="11"/>
        <v>-0.18277108433734943</v>
      </c>
      <c r="T111">
        <f t="shared" si="14"/>
        <v>109.94397590361444</v>
      </c>
      <c r="V111">
        <v>137</v>
      </c>
      <c r="W111">
        <f t="shared" si="15"/>
        <v>51522.000000000007</v>
      </c>
      <c r="X111">
        <v>8.8228891292851834</v>
      </c>
    </row>
    <row r="112" spans="1:24" x14ac:dyDescent="0.25">
      <c r="A112">
        <v>5400</v>
      </c>
      <c r="B112">
        <v>24010</v>
      </c>
      <c r="C112" s="1">
        <v>43057</v>
      </c>
      <c r="E112" s="43"/>
      <c r="F112">
        <v>5.5</v>
      </c>
      <c r="G112">
        <v>2.6</v>
      </c>
      <c r="H112">
        <v>7.5</v>
      </c>
      <c r="I112">
        <f t="shared" si="12"/>
        <v>1003.2999999999998</v>
      </c>
      <c r="J112">
        <f t="shared" si="13"/>
        <v>1003.2999999999998</v>
      </c>
      <c r="L112">
        <v>0.1</v>
      </c>
      <c r="M112">
        <v>0.2</v>
      </c>
      <c r="N112">
        <f t="shared" si="9"/>
        <v>-0.1</v>
      </c>
      <c r="P112">
        <v>81</v>
      </c>
      <c r="Q112">
        <f t="shared" si="16"/>
        <v>0.92168674698795172</v>
      </c>
      <c r="R112">
        <f t="shared" si="10"/>
        <v>0.18433734939759036</v>
      </c>
      <c r="S112">
        <f t="shared" si="11"/>
        <v>-8.4337349397590355E-2</v>
      </c>
      <c r="T112">
        <f t="shared" si="14"/>
        <v>109.85963855421686</v>
      </c>
      <c r="V112">
        <v>168.7</v>
      </c>
      <c r="W112">
        <f t="shared" si="15"/>
        <v>51690.700000000004</v>
      </c>
      <c r="X112">
        <v>8.7820486474067998</v>
      </c>
    </row>
    <row r="113" spans="1:25" x14ac:dyDescent="0.25">
      <c r="A113">
        <v>5400</v>
      </c>
      <c r="B113">
        <v>24010</v>
      </c>
      <c r="C113" s="1">
        <v>43058</v>
      </c>
      <c r="E113" s="43"/>
      <c r="F113">
        <v>6.4</v>
      </c>
      <c r="G113">
        <v>3.9</v>
      </c>
      <c r="H113">
        <v>9.6</v>
      </c>
      <c r="I113">
        <f t="shared" si="12"/>
        <v>1009.6999999999998</v>
      </c>
      <c r="J113">
        <f t="shared" si="13"/>
        <v>1009.6999999999998</v>
      </c>
      <c r="L113">
        <v>0.2</v>
      </c>
      <c r="M113">
        <v>0.4</v>
      </c>
      <c r="N113">
        <f t="shared" si="9"/>
        <v>-0.2</v>
      </c>
      <c r="P113">
        <v>82</v>
      </c>
      <c r="Q113">
        <f t="shared" si="16"/>
        <v>0.92951807228915662</v>
      </c>
      <c r="R113">
        <f t="shared" si="10"/>
        <v>0.37180722891566265</v>
      </c>
      <c r="S113">
        <f t="shared" si="11"/>
        <v>-0.17180722891566264</v>
      </c>
      <c r="T113">
        <f t="shared" si="14"/>
        <v>109.68783132530119</v>
      </c>
      <c r="V113">
        <v>226.3</v>
      </c>
      <c r="W113">
        <f t="shared" si="15"/>
        <v>51917.000000000007</v>
      </c>
      <c r="X113">
        <v>8.7421027856368774</v>
      </c>
    </row>
    <row r="114" spans="1:25" x14ac:dyDescent="0.25">
      <c r="A114">
        <v>5400</v>
      </c>
      <c r="B114">
        <v>24010</v>
      </c>
      <c r="C114" s="1">
        <v>43059</v>
      </c>
      <c r="E114" s="43"/>
      <c r="F114">
        <v>7.6</v>
      </c>
      <c r="G114">
        <v>3.8</v>
      </c>
      <c r="H114">
        <v>9.5</v>
      </c>
      <c r="I114">
        <f t="shared" si="12"/>
        <v>1017.2999999999998</v>
      </c>
      <c r="J114">
        <f t="shared" si="13"/>
        <v>1017.2999999999998</v>
      </c>
      <c r="L114">
        <v>0</v>
      </c>
      <c r="M114">
        <v>0.1</v>
      </c>
      <c r="N114">
        <f t="shared" si="9"/>
        <v>-0.1</v>
      </c>
      <c r="P114">
        <v>83</v>
      </c>
      <c r="Q114">
        <f t="shared" si="16"/>
        <v>0.93734939759036151</v>
      </c>
      <c r="R114">
        <f t="shared" si="10"/>
        <v>9.3734939759036157E-2</v>
      </c>
      <c r="S114">
        <f t="shared" si="11"/>
        <v>-9.3734939759036157E-2</v>
      </c>
      <c r="T114">
        <f t="shared" si="14"/>
        <v>109.59409638554216</v>
      </c>
      <c r="V114">
        <v>103.6</v>
      </c>
      <c r="W114">
        <f t="shared" si="15"/>
        <v>52020.600000000006</v>
      </c>
      <c r="X114">
        <v>8.7030761231821216</v>
      </c>
    </row>
    <row r="115" spans="1:25" x14ac:dyDescent="0.25">
      <c r="A115">
        <v>5400</v>
      </c>
      <c r="B115">
        <v>24010</v>
      </c>
      <c r="C115" s="1">
        <v>43060</v>
      </c>
      <c r="E115" s="43"/>
      <c r="F115">
        <v>9.4</v>
      </c>
      <c r="G115">
        <v>8.1999999999999993</v>
      </c>
      <c r="H115">
        <v>10.4</v>
      </c>
      <c r="I115">
        <f t="shared" si="12"/>
        <v>1026.6999999999998</v>
      </c>
      <c r="J115">
        <f t="shared" si="13"/>
        <v>1026.6999999999998</v>
      </c>
      <c r="L115">
        <v>0</v>
      </c>
      <c r="M115">
        <v>0.4</v>
      </c>
      <c r="N115">
        <f t="shared" si="9"/>
        <v>-0.4</v>
      </c>
      <c r="P115">
        <v>84</v>
      </c>
      <c r="Q115">
        <f t="shared" si="16"/>
        <v>0.94518072289156618</v>
      </c>
      <c r="R115">
        <f t="shared" si="10"/>
        <v>0.3780722891566265</v>
      </c>
      <c r="S115">
        <f t="shared" si="11"/>
        <v>-0.3780722891566265</v>
      </c>
      <c r="T115">
        <f t="shared" si="14"/>
        <v>109.21602409638554</v>
      </c>
      <c r="V115">
        <v>144.5</v>
      </c>
      <c r="W115">
        <f t="shared" si="15"/>
        <v>52165.100000000006</v>
      </c>
      <c r="X115">
        <v>8.6649932475786411</v>
      </c>
    </row>
    <row r="116" spans="1:25" x14ac:dyDescent="0.25">
      <c r="A116">
        <v>5400</v>
      </c>
      <c r="B116">
        <v>24010</v>
      </c>
      <c r="C116" s="1">
        <v>43061</v>
      </c>
      <c r="E116" s="43"/>
      <c r="F116">
        <v>10</v>
      </c>
      <c r="G116">
        <v>7.4</v>
      </c>
      <c r="H116">
        <v>12.7</v>
      </c>
      <c r="I116">
        <f t="shared" si="12"/>
        <v>1036.6999999999998</v>
      </c>
      <c r="J116">
        <f t="shared" si="13"/>
        <v>1036.6999999999998</v>
      </c>
      <c r="L116">
        <v>0</v>
      </c>
      <c r="M116">
        <v>1.3</v>
      </c>
      <c r="N116">
        <f t="shared" si="9"/>
        <v>-1.3</v>
      </c>
      <c r="P116">
        <v>85</v>
      </c>
      <c r="Q116">
        <f t="shared" si="16"/>
        <v>0.95301204819277108</v>
      </c>
      <c r="R116">
        <f t="shared" si="10"/>
        <v>1.2389156626506024</v>
      </c>
      <c r="S116">
        <f t="shared" si="11"/>
        <v>-1.2389156626506024</v>
      </c>
      <c r="T116">
        <f t="shared" si="14"/>
        <v>107.97710843373494</v>
      </c>
      <c r="V116">
        <v>656.8</v>
      </c>
      <c r="W116">
        <f t="shared" si="15"/>
        <v>52821.900000000009</v>
      </c>
      <c r="X116">
        <v>8.627878711250192</v>
      </c>
    </row>
    <row r="117" spans="1:25" x14ac:dyDescent="0.25">
      <c r="A117">
        <v>5400</v>
      </c>
      <c r="B117">
        <v>24010</v>
      </c>
      <c r="C117" s="1">
        <v>43062</v>
      </c>
      <c r="E117" s="43"/>
      <c r="F117">
        <v>13</v>
      </c>
      <c r="G117">
        <v>10.5</v>
      </c>
      <c r="H117">
        <v>14.7</v>
      </c>
      <c r="I117">
        <f t="shared" si="12"/>
        <v>1049.6999999999998</v>
      </c>
      <c r="J117">
        <f t="shared" si="13"/>
        <v>1049.6999999999998</v>
      </c>
      <c r="L117">
        <v>6.6</v>
      </c>
      <c r="M117">
        <v>1.1000000000000001</v>
      </c>
      <c r="N117">
        <f t="shared" si="9"/>
        <v>5.5</v>
      </c>
      <c r="P117">
        <v>86</v>
      </c>
      <c r="Q117">
        <f t="shared" si="16"/>
        <v>0.96084337349397597</v>
      </c>
      <c r="R117">
        <f t="shared" si="10"/>
        <v>1.0569277108433737</v>
      </c>
      <c r="S117">
        <f t="shared" si="11"/>
        <v>5.5430722891566262</v>
      </c>
      <c r="T117">
        <f t="shared" si="14"/>
        <v>113.52018072289157</v>
      </c>
      <c r="V117">
        <v>159</v>
      </c>
      <c r="W117">
        <f t="shared" si="15"/>
        <v>52980.900000000009</v>
      </c>
      <c r="X117">
        <v>8.5917569860791492</v>
      </c>
    </row>
    <row r="118" spans="1:25" x14ac:dyDescent="0.25">
      <c r="A118">
        <v>5400</v>
      </c>
      <c r="B118">
        <v>24010</v>
      </c>
      <c r="C118" s="1">
        <v>43063</v>
      </c>
      <c r="E118" s="43"/>
      <c r="F118">
        <v>10.3</v>
      </c>
      <c r="G118">
        <v>9.3000000000000007</v>
      </c>
      <c r="H118">
        <v>11.5</v>
      </c>
      <c r="I118">
        <f t="shared" si="12"/>
        <v>1059.9999999999998</v>
      </c>
      <c r="J118">
        <f t="shared" si="13"/>
        <v>1059.9999999999998</v>
      </c>
      <c r="L118">
        <v>1.8</v>
      </c>
      <c r="M118">
        <v>0.4</v>
      </c>
      <c r="N118">
        <f t="shared" si="9"/>
        <v>1.4</v>
      </c>
      <c r="P118">
        <v>87</v>
      </c>
      <c r="Q118">
        <f t="shared" si="16"/>
        <v>0.96867469879518064</v>
      </c>
      <c r="R118">
        <f t="shared" si="10"/>
        <v>0.38746987951807227</v>
      </c>
      <c r="S118">
        <f t="shared" si="11"/>
        <v>1.4125301204819278</v>
      </c>
      <c r="T118">
        <f t="shared" si="14"/>
        <v>114.9327108433735</v>
      </c>
      <c r="V118">
        <v>267.10000000000002</v>
      </c>
      <c r="W118">
        <f t="shared" si="15"/>
        <v>53248.000000000007</v>
      </c>
      <c r="X118">
        <v>8.5566524160889053</v>
      </c>
    </row>
    <row r="119" spans="1:25" x14ac:dyDescent="0.25">
      <c r="A119">
        <v>5400</v>
      </c>
      <c r="B119">
        <v>24010</v>
      </c>
      <c r="C119" s="1">
        <v>43064</v>
      </c>
      <c r="D119">
        <v>1</v>
      </c>
      <c r="E119" s="43"/>
      <c r="F119">
        <v>4.8</v>
      </c>
      <c r="G119">
        <v>2.9</v>
      </c>
      <c r="H119">
        <v>6.4</v>
      </c>
      <c r="I119">
        <f t="shared" si="12"/>
        <v>1064.7999999999997</v>
      </c>
      <c r="J119">
        <f t="shared" si="13"/>
        <v>1064.7999999999997</v>
      </c>
      <c r="L119">
        <v>0.1</v>
      </c>
      <c r="M119">
        <v>0.2</v>
      </c>
      <c r="N119">
        <f t="shared" si="9"/>
        <v>-0.1</v>
      </c>
      <c r="P119">
        <v>88</v>
      </c>
      <c r="Q119">
        <f t="shared" si="16"/>
        <v>0.97650602409638554</v>
      </c>
      <c r="R119">
        <f t="shared" si="10"/>
        <v>0.19530120481927712</v>
      </c>
      <c r="S119">
        <f t="shared" si="11"/>
        <v>-9.5301204819277119E-2</v>
      </c>
      <c r="T119">
        <f t="shared" si="14"/>
        <v>114.83740963855422</v>
      </c>
      <c r="V119">
        <v>259.5</v>
      </c>
      <c r="W119">
        <f t="shared" si="15"/>
        <v>53507.500000000007</v>
      </c>
      <c r="X119">
        <v>8.5225891683547434</v>
      </c>
    </row>
    <row r="120" spans="1:25" x14ac:dyDescent="0.25">
      <c r="A120">
        <v>5400</v>
      </c>
      <c r="B120">
        <v>24010</v>
      </c>
      <c r="C120" s="1">
        <v>43065</v>
      </c>
      <c r="D120">
        <v>2</v>
      </c>
      <c r="E120" s="43"/>
      <c r="F120">
        <v>4.0999999999999996</v>
      </c>
      <c r="G120">
        <v>1.3</v>
      </c>
      <c r="H120">
        <v>6.2</v>
      </c>
      <c r="I120">
        <f t="shared" si="12"/>
        <v>1068.8999999999996</v>
      </c>
      <c r="J120">
        <f t="shared" si="13"/>
        <v>1068.8999999999996</v>
      </c>
      <c r="L120">
        <v>0.1</v>
      </c>
      <c r="M120">
        <v>0.3</v>
      </c>
      <c r="N120">
        <f t="shared" si="9"/>
        <v>-0.19999999999999998</v>
      </c>
      <c r="P120">
        <v>89</v>
      </c>
      <c r="Q120">
        <f t="shared" si="16"/>
        <v>0.98433734939759043</v>
      </c>
      <c r="R120">
        <f t="shared" si="10"/>
        <v>0.29530120481927713</v>
      </c>
      <c r="S120">
        <f t="shared" si="11"/>
        <v>-0.19530120481927712</v>
      </c>
      <c r="T120">
        <f t="shared" si="14"/>
        <v>114.64210843373495</v>
      </c>
      <c r="V120">
        <v>350.1</v>
      </c>
      <c r="W120">
        <f t="shared" si="15"/>
        <v>53857.600000000006</v>
      </c>
      <c r="X120">
        <v>8.4895911822789465</v>
      </c>
    </row>
    <row r="121" spans="1:25" x14ac:dyDescent="0.25">
      <c r="A121">
        <v>5400</v>
      </c>
      <c r="B121">
        <v>24010</v>
      </c>
      <c r="C121" s="1">
        <v>43066</v>
      </c>
      <c r="E121" s="43"/>
      <c r="F121">
        <v>6.9</v>
      </c>
      <c r="G121">
        <v>4.5</v>
      </c>
      <c r="H121">
        <v>8.9</v>
      </c>
      <c r="I121">
        <f t="shared" si="12"/>
        <v>1075.7999999999997</v>
      </c>
      <c r="J121">
        <f t="shared" si="13"/>
        <v>1075.7999999999997</v>
      </c>
      <c r="L121">
        <v>8.9</v>
      </c>
      <c r="M121">
        <v>0.4</v>
      </c>
      <c r="N121">
        <f t="shared" si="9"/>
        <v>8.5</v>
      </c>
      <c r="P121">
        <v>90</v>
      </c>
      <c r="Q121">
        <f t="shared" si="16"/>
        <v>0.99216867469879511</v>
      </c>
      <c r="R121">
        <f t="shared" si="10"/>
        <v>0.39686746987951804</v>
      </c>
      <c r="S121">
        <f t="shared" si="11"/>
        <v>8.5031325301204816</v>
      </c>
      <c r="T121">
        <f t="shared" si="14"/>
        <v>123.14524096385543</v>
      </c>
      <c r="V121">
        <v>124.9</v>
      </c>
      <c r="W121">
        <f t="shared" si="15"/>
        <v>53982.500000000007</v>
      </c>
      <c r="X121">
        <v>8.4576821173850316</v>
      </c>
    </row>
    <row r="122" spans="1:25" s="4" customFormat="1" ht="15.75" thickBot="1" x14ac:dyDescent="0.3">
      <c r="A122" s="4">
        <v>5400</v>
      </c>
      <c r="B122" s="4">
        <v>24010</v>
      </c>
      <c r="C122" s="5">
        <v>43067</v>
      </c>
      <c r="E122" s="44"/>
      <c r="F122" s="4">
        <v>6.2</v>
      </c>
      <c r="G122" s="4">
        <v>5</v>
      </c>
      <c r="H122" s="4">
        <v>9.4</v>
      </c>
      <c r="I122" s="4">
        <f t="shared" si="12"/>
        <v>1081.9999999999998</v>
      </c>
      <c r="J122" s="4">
        <f t="shared" si="13"/>
        <v>1081.9999999999998</v>
      </c>
      <c r="L122" s="4">
        <v>0.6</v>
      </c>
      <c r="M122" s="4">
        <v>0.6</v>
      </c>
      <c r="N122" s="4">
        <f t="shared" si="9"/>
        <v>0</v>
      </c>
      <c r="P122" s="4">
        <v>91</v>
      </c>
      <c r="Q122" s="4">
        <f t="shared" si="16"/>
        <v>1</v>
      </c>
      <c r="R122" s="4">
        <f t="shared" si="10"/>
        <v>0.6</v>
      </c>
      <c r="S122" s="4">
        <f t="shared" si="11"/>
        <v>0</v>
      </c>
      <c r="T122" s="4">
        <f t="shared" si="14"/>
        <v>123.14524096385543</v>
      </c>
      <c r="V122" s="4">
        <v>503.1</v>
      </c>
      <c r="W122" s="4">
        <f t="shared" si="15"/>
        <v>54485.600000000006</v>
      </c>
      <c r="X122" s="4">
        <v>8.4268852998051074</v>
      </c>
    </row>
    <row r="123" spans="1:25" x14ac:dyDescent="0.25">
      <c r="A123">
        <v>5400</v>
      </c>
      <c r="B123">
        <v>24010</v>
      </c>
      <c r="C123" s="1">
        <v>43068</v>
      </c>
      <c r="D123">
        <v>3</v>
      </c>
      <c r="E123" s="45" t="s">
        <v>52</v>
      </c>
      <c r="F123">
        <v>2.6</v>
      </c>
      <c r="G123">
        <v>0.5</v>
      </c>
      <c r="H123">
        <v>5.6</v>
      </c>
      <c r="I123">
        <f t="shared" si="12"/>
        <v>1084.5999999999997</v>
      </c>
      <c r="J123">
        <f>F123</f>
        <v>2.6</v>
      </c>
      <c r="K123" s="14" t="s">
        <v>34</v>
      </c>
      <c r="L123">
        <v>0.2</v>
      </c>
      <c r="M123">
        <v>0.3</v>
      </c>
      <c r="N123">
        <f t="shared" si="9"/>
        <v>-9.9999999999999978E-2</v>
      </c>
      <c r="P123">
        <v>92</v>
      </c>
      <c r="Q123">
        <v>1</v>
      </c>
      <c r="R123">
        <f t="shared" si="10"/>
        <v>0.3</v>
      </c>
      <c r="S123">
        <f t="shared" si="11"/>
        <v>-9.9999999999999978E-2</v>
      </c>
      <c r="T123">
        <f t="shared" si="14"/>
        <v>123.04524096385543</v>
      </c>
      <c r="U123" s="15" t="s">
        <v>41</v>
      </c>
      <c r="V123">
        <v>289.10000000000002</v>
      </c>
      <c r="W123">
        <f>V123</f>
        <v>289.10000000000002</v>
      </c>
      <c r="X123">
        <v>8.3972236676532983</v>
      </c>
      <c r="Y123" s="15" t="s">
        <v>46</v>
      </c>
    </row>
    <row r="124" spans="1:25" x14ac:dyDescent="0.25">
      <c r="A124">
        <v>5400</v>
      </c>
      <c r="B124">
        <v>24010</v>
      </c>
      <c r="C124" s="1">
        <v>43069</v>
      </c>
      <c r="D124">
        <v>4</v>
      </c>
      <c r="E124" s="46"/>
      <c r="F124">
        <v>1.9</v>
      </c>
      <c r="G124">
        <v>1.1000000000000001</v>
      </c>
      <c r="H124">
        <v>3.6</v>
      </c>
      <c r="I124">
        <f t="shared" si="12"/>
        <v>1086.4999999999998</v>
      </c>
      <c r="J124">
        <f t="shared" si="13"/>
        <v>4.5</v>
      </c>
      <c r="K124" s="8">
        <v>454.8</v>
      </c>
      <c r="L124">
        <v>1.1000000000000001</v>
      </c>
      <c r="M124">
        <v>0.3</v>
      </c>
      <c r="N124">
        <f t="shared" si="9"/>
        <v>0.8</v>
      </c>
      <c r="P124">
        <v>93</v>
      </c>
      <c r="Q124">
        <v>1</v>
      </c>
      <c r="R124">
        <f t="shared" si="10"/>
        <v>0.3</v>
      </c>
      <c r="S124">
        <f t="shared" si="11"/>
        <v>0.8</v>
      </c>
      <c r="T124">
        <f t="shared" si="14"/>
        <v>123.84524096385543</v>
      </c>
      <c r="U124">
        <v>0</v>
      </c>
      <c r="V124">
        <v>197.1</v>
      </c>
      <c r="W124">
        <f t="shared" si="15"/>
        <v>486.20000000000005</v>
      </c>
      <c r="X124">
        <v>8.3687197154967965</v>
      </c>
      <c r="Y124">
        <v>29103.200000000001</v>
      </c>
    </row>
    <row r="125" spans="1:25" x14ac:dyDescent="0.25">
      <c r="A125">
        <v>5400</v>
      </c>
      <c r="B125">
        <v>24010</v>
      </c>
      <c r="C125" s="1">
        <v>43070</v>
      </c>
      <c r="D125">
        <v>5</v>
      </c>
      <c r="E125" s="46"/>
      <c r="F125">
        <v>1</v>
      </c>
      <c r="G125">
        <v>0.2</v>
      </c>
      <c r="H125">
        <v>2</v>
      </c>
      <c r="I125">
        <f t="shared" si="12"/>
        <v>1087.4999999999998</v>
      </c>
      <c r="J125">
        <f t="shared" si="13"/>
        <v>5.5</v>
      </c>
      <c r="K125" s="14" t="s">
        <v>35</v>
      </c>
      <c r="L125">
        <v>1.4</v>
      </c>
      <c r="M125">
        <v>0.2</v>
      </c>
      <c r="N125">
        <f t="shared" si="9"/>
        <v>1.2</v>
      </c>
      <c r="P125">
        <v>94</v>
      </c>
      <c r="Q125">
        <v>1</v>
      </c>
      <c r="R125">
        <f t="shared" si="10"/>
        <v>0.2</v>
      </c>
      <c r="S125">
        <f t="shared" si="11"/>
        <v>1.2</v>
      </c>
      <c r="T125">
        <f t="shared" si="14"/>
        <v>125.04524096385543</v>
      </c>
      <c r="U125" s="15" t="s">
        <v>42</v>
      </c>
      <c r="V125">
        <v>93.9</v>
      </c>
      <c r="W125">
        <f t="shared" si="15"/>
        <v>580.1</v>
      </c>
      <c r="X125">
        <v>8.3413954381540467</v>
      </c>
      <c r="Y125" s="15" t="s">
        <v>47</v>
      </c>
    </row>
    <row r="126" spans="1:25" x14ac:dyDescent="0.25">
      <c r="A126">
        <v>5400</v>
      </c>
      <c r="B126">
        <v>24010</v>
      </c>
      <c r="C126" s="1">
        <v>43071</v>
      </c>
      <c r="D126">
        <v>6</v>
      </c>
      <c r="E126" s="46"/>
      <c r="F126">
        <v>-0.8</v>
      </c>
      <c r="G126">
        <v>-1.3</v>
      </c>
      <c r="H126">
        <v>0.1</v>
      </c>
      <c r="I126">
        <v>1087.5</v>
      </c>
      <c r="J126">
        <v>5.5</v>
      </c>
      <c r="K126" s="9">
        <f>AVERAGE(F123:F218)</f>
        <v>4.4854166666666648</v>
      </c>
      <c r="L126">
        <v>0</v>
      </c>
      <c r="M126">
        <v>0.2</v>
      </c>
      <c r="N126">
        <f t="shared" si="9"/>
        <v>-0.2</v>
      </c>
      <c r="P126">
        <v>95</v>
      </c>
      <c r="Q126">
        <v>1</v>
      </c>
      <c r="R126">
        <f t="shared" si="10"/>
        <v>0.2</v>
      </c>
      <c r="S126">
        <f t="shared" si="11"/>
        <v>-0.2</v>
      </c>
      <c r="T126">
        <f t="shared" si="14"/>
        <v>124.84524096385543</v>
      </c>
      <c r="U126">
        <v>0</v>
      </c>
      <c r="V126">
        <v>106.8</v>
      </c>
      <c r="W126">
        <f t="shared" si="15"/>
        <v>686.9</v>
      </c>
      <c r="X126">
        <v>8.315272274066599</v>
      </c>
      <c r="Y126">
        <f>(Y124/100)/K124</f>
        <v>0.63991204925241862</v>
      </c>
    </row>
    <row r="127" spans="1:25" x14ac:dyDescent="0.25">
      <c r="A127">
        <v>5400</v>
      </c>
      <c r="B127">
        <v>24010</v>
      </c>
      <c r="C127" s="1">
        <v>43072</v>
      </c>
      <c r="D127">
        <v>7</v>
      </c>
      <c r="E127" s="46"/>
      <c r="F127">
        <v>0.8</v>
      </c>
      <c r="G127">
        <v>-2.8</v>
      </c>
      <c r="H127">
        <v>4.5999999999999996</v>
      </c>
      <c r="I127">
        <f t="shared" si="12"/>
        <v>1088.3</v>
      </c>
      <c r="J127">
        <f t="shared" si="13"/>
        <v>6.3</v>
      </c>
      <c r="K127" s="14" t="s">
        <v>36</v>
      </c>
      <c r="L127">
        <v>1.5</v>
      </c>
      <c r="M127">
        <v>0.3</v>
      </c>
      <c r="N127">
        <f t="shared" si="9"/>
        <v>1.2</v>
      </c>
      <c r="P127">
        <v>96</v>
      </c>
      <c r="Q127">
        <v>1</v>
      </c>
      <c r="R127">
        <f t="shared" si="10"/>
        <v>0.3</v>
      </c>
      <c r="S127">
        <f t="shared" si="11"/>
        <v>1.2</v>
      </c>
      <c r="T127">
        <f t="shared" si="14"/>
        <v>126.04524096385543</v>
      </c>
      <c r="U127" s="15" t="s">
        <v>43</v>
      </c>
      <c r="V127">
        <v>126.1</v>
      </c>
      <c r="W127">
        <f t="shared" si="15"/>
        <v>813</v>
      </c>
      <c r="X127">
        <v>8.2903710485069642</v>
      </c>
      <c r="Y127" s="15" t="s">
        <v>48</v>
      </c>
    </row>
    <row r="128" spans="1:25" x14ac:dyDescent="0.25">
      <c r="A128">
        <v>5400</v>
      </c>
      <c r="B128">
        <v>24010</v>
      </c>
      <c r="C128" s="1">
        <v>43073</v>
      </c>
      <c r="E128" s="46"/>
      <c r="F128">
        <v>6.4</v>
      </c>
      <c r="G128">
        <v>2.8</v>
      </c>
      <c r="H128">
        <v>9.4</v>
      </c>
      <c r="I128">
        <f t="shared" si="12"/>
        <v>1094.7</v>
      </c>
      <c r="J128">
        <f t="shared" si="13"/>
        <v>12.7</v>
      </c>
      <c r="K128" s="10">
        <f>MIN(G123:G218)</f>
        <v>-8.5</v>
      </c>
      <c r="L128">
        <v>0</v>
      </c>
      <c r="M128">
        <v>0.3</v>
      </c>
      <c r="N128">
        <f t="shared" si="9"/>
        <v>-0.3</v>
      </c>
      <c r="P128">
        <v>97</v>
      </c>
      <c r="Q128">
        <v>1</v>
      </c>
      <c r="R128">
        <f t="shared" si="10"/>
        <v>0.3</v>
      </c>
      <c r="S128">
        <f t="shared" si="11"/>
        <v>-0.3</v>
      </c>
      <c r="T128">
        <f t="shared" si="14"/>
        <v>125.74524096385544</v>
      </c>
      <c r="U128" s="12">
        <f>MIN(T123:T218)</f>
        <v>123.04524096385543</v>
      </c>
      <c r="V128">
        <v>305.7</v>
      </c>
      <c r="W128">
        <f t="shared" si="15"/>
        <v>1118.7</v>
      </c>
      <c r="X128">
        <v>8.2667119168992276</v>
      </c>
      <c r="Y128">
        <v>87</v>
      </c>
    </row>
    <row r="129" spans="1:25" x14ac:dyDescent="0.25">
      <c r="A129">
        <v>5400</v>
      </c>
      <c r="B129">
        <v>24010</v>
      </c>
      <c r="C129" s="1">
        <v>43074</v>
      </c>
      <c r="E129" s="46"/>
      <c r="F129">
        <v>5.9</v>
      </c>
      <c r="G129">
        <v>3.9</v>
      </c>
      <c r="H129">
        <v>7.2</v>
      </c>
      <c r="I129">
        <f t="shared" si="12"/>
        <v>1100.6000000000001</v>
      </c>
      <c r="J129">
        <f t="shared" si="13"/>
        <v>18.600000000000001</v>
      </c>
      <c r="K129" s="14" t="s">
        <v>37</v>
      </c>
      <c r="L129">
        <v>0</v>
      </c>
      <c r="M129">
        <v>0</v>
      </c>
      <c r="N129">
        <f t="shared" si="9"/>
        <v>0</v>
      </c>
      <c r="P129">
        <v>98</v>
      </c>
      <c r="Q129">
        <v>1</v>
      </c>
      <c r="R129">
        <f t="shared" si="10"/>
        <v>0</v>
      </c>
      <c r="S129">
        <f t="shared" si="11"/>
        <v>0</v>
      </c>
      <c r="T129">
        <f t="shared" si="14"/>
        <v>125.74524096385544</v>
      </c>
      <c r="U129" s="15" t="s">
        <v>44</v>
      </c>
      <c r="V129">
        <v>143.69999999999999</v>
      </c>
      <c r="W129">
        <f t="shared" si="15"/>
        <v>1262.4000000000001</v>
      </c>
      <c r="X129">
        <v>8.244314308541691</v>
      </c>
      <c r="Y129" t="s">
        <v>49</v>
      </c>
    </row>
    <row r="130" spans="1:25" x14ac:dyDescent="0.25">
      <c r="A130">
        <v>5400</v>
      </c>
      <c r="B130">
        <v>24010</v>
      </c>
      <c r="C130" s="1">
        <v>43075</v>
      </c>
      <c r="D130">
        <v>8</v>
      </c>
      <c r="E130" s="46"/>
      <c r="F130">
        <v>3.8</v>
      </c>
      <c r="G130">
        <v>1.6</v>
      </c>
      <c r="H130">
        <v>5.5</v>
      </c>
      <c r="I130">
        <f t="shared" si="12"/>
        <v>1104.4000000000001</v>
      </c>
      <c r="J130">
        <f t="shared" si="13"/>
        <v>22.400000000000002</v>
      </c>
      <c r="K130" s="8">
        <f>MAX(H123:H218)</f>
        <v>14.2</v>
      </c>
      <c r="L130">
        <v>0</v>
      </c>
      <c r="M130">
        <v>0.2</v>
      </c>
      <c r="N130">
        <f t="shared" si="9"/>
        <v>-0.2</v>
      </c>
      <c r="P130">
        <v>99</v>
      </c>
      <c r="Q130">
        <v>1</v>
      </c>
      <c r="R130">
        <f t="shared" si="10"/>
        <v>0.2</v>
      </c>
      <c r="S130">
        <f t="shared" si="11"/>
        <v>-0.2</v>
      </c>
      <c r="T130">
        <f t="shared" si="14"/>
        <v>125.54524096385543</v>
      </c>
      <c r="U130" s="12">
        <f>MAX(T123:T218)</f>
        <v>153.9</v>
      </c>
      <c r="V130">
        <v>81.2</v>
      </c>
      <c r="W130">
        <f t="shared" si="15"/>
        <v>1343.6000000000001</v>
      </c>
      <c r="X130">
        <v>8.2231968710314387</v>
      </c>
      <c r="Y130">
        <v>24</v>
      </c>
    </row>
    <row r="131" spans="1:25" x14ac:dyDescent="0.25">
      <c r="A131">
        <v>5400</v>
      </c>
      <c r="B131">
        <v>24010</v>
      </c>
      <c r="C131" s="1">
        <v>43076</v>
      </c>
      <c r="D131">
        <v>9</v>
      </c>
      <c r="E131" s="46"/>
      <c r="F131">
        <v>4.4000000000000004</v>
      </c>
      <c r="G131">
        <v>1.3</v>
      </c>
      <c r="H131">
        <v>8.3000000000000007</v>
      </c>
      <c r="I131">
        <f t="shared" si="12"/>
        <v>1108.8000000000002</v>
      </c>
      <c r="J131">
        <f t="shared" si="13"/>
        <v>26.800000000000004</v>
      </c>
      <c r="K131" s="14" t="s">
        <v>38</v>
      </c>
      <c r="L131">
        <v>3.9</v>
      </c>
      <c r="M131">
        <v>0.3</v>
      </c>
      <c r="N131">
        <f t="shared" si="9"/>
        <v>3.6</v>
      </c>
      <c r="P131">
        <v>100</v>
      </c>
      <c r="Q131">
        <v>1</v>
      </c>
      <c r="R131">
        <f t="shared" si="10"/>
        <v>0.3</v>
      </c>
      <c r="S131">
        <f t="shared" si="11"/>
        <v>3.6</v>
      </c>
      <c r="T131">
        <f t="shared" si="14"/>
        <v>129.14524096385543</v>
      </c>
      <c r="U131" s="15" t="s">
        <v>45</v>
      </c>
      <c r="V131">
        <v>74</v>
      </c>
      <c r="W131">
        <f t="shared" si="15"/>
        <v>1417.6000000000001</v>
      </c>
      <c r="X131">
        <v>8.2033774156989114</v>
      </c>
    </row>
    <row r="132" spans="1:25" x14ac:dyDescent="0.25">
      <c r="A132">
        <v>5400</v>
      </c>
      <c r="B132">
        <v>24010</v>
      </c>
      <c r="C132" s="1">
        <v>43077</v>
      </c>
      <c r="D132">
        <v>10</v>
      </c>
      <c r="E132" s="46"/>
      <c r="F132">
        <v>3.1</v>
      </c>
      <c r="G132">
        <v>1.5</v>
      </c>
      <c r="H132">
        <v>5.0999999999999996</v>
      </c>
      <c r="I132">
        <f t="shared" si="12"/>
        <v>1111.9000000000001</v>
      </c>
      <c r="J132">
        <f t="shared" si="13"/>
        <v>29.900000000000006</v>
      </c>
      <c r="K132" s="8">
        <v>0</v>
      </c>
      <c r="L132">
        <v>0.8</v>
      </c>
      <c r="M132">
        <v>0.4</v>
      </c>
      <c r="N132">
        <f t="shared" si="9"/>
        <v>0.4</v>
      </c>
      <c r="P132">
        <v>101</v>
      </c>
      <c r="Q132">
        <v>1</v>
      </c>
      <c r="R132">
        <f t="shared" si="10"/>
        <v>0.4</v>
      </c>
      <c r="S132">
        <f t="shared" si="11"/>
        <v>0.4</v>
      </c>
      <c r="T132">
        <f t="shared" si="14"/>
        <v>129.54524096385543</v>
      </c>
      <c r="U132" s="12">
        <f>AVERAGE(T123:T218)</f>
        <v>150.02013930722876</v>
      </c>
      <c r="V132">
        <v>149.30000000000001</v>
      </c>
      <c r="W132">
        <f t="shared" si="15"/>
        <v>1566.9</v>
      </c>
      <c r="X132">
        <v>8.1848728643662696</v>
      </c>
    </row>
    <row r="133" spans="1:25" x14ac:dyDescent="0.25">
      <c r="A133">
        <v>5400</v>
      </c>
      <c r="B133">
        <v>24010</v>
      </c>
      <c r="C133" s="1">
        <v>43078</v>
      </c>
      <c r="D133">
        <v>11</v>
      </c>
      <c r="E133" s="46"/>
      <c r="F133">
        <v>1.5</v>
      </c>
      <c r="G133">
        <v>-0.2</v>
      </c>
      <c r="H133">
        <v>2.7</v>
      </c>
      <c r="I133">
        <f t="shared" si="12"/>
        <v>1113.4000000000001</v>
      </c>
      <c r="J133">
        <f t="shared" si="13"/>
        <v>31.400000000000006</v>
      </c>
      <c r="K133" s="14" t="s">
        <v>39</v>
      </c>
      <c r="L133">
        <v>7.8</v>
      </c>
      <c r="M133">
        <v>0.2</v>
      </c>
      <c r="N133">
        <f t="shared" ref="N133:N196" si="17">L133-M133</f>
        <v>7.6</v>
      </c>
      <c r="P133">
        <v>102</v>
      </c>
      <c r="Q133">
        <v>1</v>
      </c>
      <c r="R133">
        <f t="shared" ref="R133:R196" si="18">Q133*M133</f>
        <v>0.2</v>
      </c>
      <c r="S133">
        <f t="shared" ref="S133:S196" si="19">L133-R133</f>
        <v>7.6</v>
      </c>
      <c r="T133">
        <f t="shared" si="14"/>
        <v>137.14524096385543</v>
      </c>
      <c r="V133">
        <v>266.8</v>
      </c>
      <c r="W133">
        <f t="shared" si="15"/>
        <v>1833.7</v>
      </c>
      <c r="X133">
        <v>8.167699197746277</v>
      </c>
    </row>
    <row r="134" spans="1:25" x14ac:dyDescent="0.25">
      <c r="A134">
        <v>5400</v>
      </c>
      <c r="B134">
        <v>24010</v>
      </c>
      <c r="C134" s="1">
        <v>43079</v>
      </c>
      <c r="E134" s="46"/>
      <c r="F134">
        <v>6.6</v>
      </c>
      <c r="G134">
        <v>2</v>
      </c>
      <c r="H134">
        <v>9.8000000000000007</v>
      </c>
      <c r="I134">
        <f t="shared" si="12"/>
        <v>1120</v>
      </c>
      <c r="J134">
        <f t="shared" si="13"/>
        <v>38.000000000000007</v>
      </c>
      <c r="K134" s="8">
        <v>48</v>
      </c>
      <c r="L134">
        <v>14.2</v>
      </c>
      <c r="M134">
        <v>0.6</v>
      </c>
      <c r="N134">
        <f t="shared" si="17"/>
        <v>13.6</v>
      </c>
      <c r="P134">
        <v>103</v>
      </c>
      <c r="Q134">
        <v>1</v>
      </c>
      <c r="R134">
        <f t="shared" si="18"/>
        <v>0.6</v>
      </c>
      <c r="S134">
        <f t="shared" si="19"/>
        <v>13.6</v>
      </c>
      <c r="T134">
        <f t="shared" si="14"/>
        <v>150.74524096385542</v>
      </c>
      <c r="U134" s="13">
        <f>(U132*100)/153.9</f>
        <v>97.478972909180484</v>
      </c>
      <c r="V134">
        <v>272.39999999999998</v>
      </c>
      <c r="W134">
        <f t="shared" si="15"/>
        <v>2106.1</v>
      </c>
      <c r="X134">
        <v>8.1518714057983406</v>
      </c>
    </row>
    <row r="135" spans="1:25" x14ac:dyDescent="0.25">
      <c r="A135">
        <v>5400</v>
      </c>
      <c r="B135">
        <v>24010</v>
      </c>
      <c r="C135" s="1">
        <v>43080</v>
      </c>
      <c r="E135" s="46"/>
      <c r="F135">
        <v>5.8</v>
      </c>
      <c r="G135">
        <v>3.5</v>
      </c>
      <c r="H135">
        <v>8.6999999999999993</v>
      </c>
      <c r="I135">
        <f t="shared" si="12"/>
        <v>1125.8</v>
      </c>
      <c r="J135">
        <f t="shared" si="13"/>
        <v>43.800000000000004</v>
      </c>
      <c r="K135" s="14" t="s">
        <v>40</v>
      </c>
      <c r="L135">
        <v>1.3</v>
      </c>
      <c r="M135">
        <v>0.3</v>
      </c>
      <c r="N135">
        <f t="shared" si="17"/>
        <v>1</v>
      </c>
      <c r="P135">
        <v>104</v>
      </c>
      <c r="Q135">
        <v>1</v>
      </c>
      <c r="R135">
        <f t="shared" si="18"/>
        <v>0.3</v>
      </c>
      <c r="S135">
        <f t="shared" si="19"/>
        <v>1</v>
      </c>
      <c r="T135">
        <f t="shared" si="14"/>
        <v>151.74524096385542</v>
      </c>
      <c r="V135">
        <v>90.8</v>
      </c>
      <c r="W135">
        <f t="shared" si="15"/>
        <v>2196.9</v>
      </c>
      <c r="X135">
        <v>8.1374034403551949</v>
      </c>
    </row>
    <row r="136" spans="1:25" x14ac:dyDescent="0.25">
      <c r="A136">
        <v>5400</v>
      </c>
      <c r="B136">
        <v>24010</v>
      </c>
      <c r="C136" s="1">
        <v>43081</v>
      </c>
      <c r="D136">
        <v>12</v>
      </c>
      <c r="E136" s="46"/>
      <c r="F136">
        <v>2.5</v>
      </c>
      <c r="G136">
        <v>0.6</v>
      </c>
      <c r="H136">
        <v>4.9000000000000004</v>
      </c>
      <c r="I136">
        <f t="shared" si="12"/>
        <v>1128.3</v>
      </c>
      <c r="J136">
        <f t="shared" si="13"/>
        <v>46.300000000000004</v>
      </c>
      <c r="K136" s="8">
        <v>22</v>
      </c>
      <c r="L136">
        <v>1.6</v>
      </c>
      <c r="M136">
        <v>0.4</v>
      </c>
      <c r="N136">
        <f t="shared" si="17"/>
        <v>1.2000000000000002</v>
      </c>
      <c r="P136">
        <v>105</v>
      </c>
      <c r="Q136">
        <v>1</v>
      </c>
      <c r="R136">
        <f t="shared" si="18"/>
        <v>0.4</v>
      </c>
      <c r="S136">
        <f t="shared" si="19"/>
        <v>1.2000000000000002</v>
      </c>
      <c r="T136">
        <f t="shared" si="14"/>
        <v>152.94524096385541</v>
      </c>
      <c r="V136">
        <v>442.3</v>
      </c>
      <c r="W136">
        <f t="shared" si="15"/>
        <v>2639.2000000000003</v>
      </c>
      <c r="X136">
        <v>8.1243081703272395</v>
      </c>
    </row>
    <row r="137" spans="1:25" x14ac:dyDescent="0.25">
      <c r="A137">
        <v>5400</v>
      </c>
      <c r="B137">
        <v>24010</v>
      </c>
      <c r="C137" s="1">
        <v>43082</v>
      </c>
      <c r="E137" s="46"/>
      <c r="F137">
        <v>6.8</v>
      </c>
      <c r="G137">
        <v>2.1</v>
      </c>
      <c r="H137">
        <v>8.9</v>
      </c>
      <c r="I137">
        <f t="shared" si="12"/>
        <v>1135.0999999999999</v>
      </c>
      <c r="J137">
        <f t="shared" si="13"/>
        <v>53.1</v>
      </c>
      <c r="L137">
        <v>7.4</v>
      </c>
      <c r="M137">
        <v>0.1</v>
      </c>
      <c r="N137">
        <f t="shared" si="17"/>
        <v>7.3000000000000007</v>
      </c>
      <c r="P137">
        <v>106</v>
      </c>
      <c r="Q137">
        <v>1</v>
      </c>
      <c r="R137">
        <f t="shared" si="18"/>
        <v>0.1</v>
      </c>
      <c r="S137">
        <f t="shared" si="19"/>
        <v>7.3000000000000007</v>
      </c>
      <c r="T137">
        <f t="shared" si="14"/>
        <v>153.9</v>
      </c>
      <c r="V137">
        <v>74</v>
      </c>
      <c r="W137">
        <f t="shared" si="15"/>
        <v>2713.2000000000003</v>
      </c>
      <c r="X137">
        <v>8.1125973397819529</v>
      </c>
    </row>
    <row r="138" spans="1:25" x14ac:dyDescent="0.25">
      <c r="A138">
        <v>5400</v>
      </c>
      <c r="B138">
        <v>24010</v>
      </c>
      <c r="C138" s="1">
        <v>43083</v>
      </c>
      <c r="E138" s="46"/>
      <c r="F138">
        <v>5.8</v>
      </c>
      <c r="G138">
        <v>4.7</v>
      </c>
      <c r="H138">
        <v>7.6</v>
      </c>
      <c r="I138">
        <f t="shared" si="12"/>
        <v>1140.8999999999999</v>
      </c>
      <c r="J138">
        <f t="shared" si="13"/>
        <v>58.9</v>
      </c>
      <c r="L138">
        <v>1.2</v>
      </c>
      <c r="M138">
        <v>0.7</v>
      </c>
      <c r="N138">
        <f t="shared" si="17"/>
        <v>0.5</v>
      </c>
      <c r="P138">
        <v>107</v>
      </c>
      <c r="Q138">
        <v>1</v>
      </c>
      <c r="R138">
        <f t="shared" si="18"/>
        <v>0.7</v>
      </c>
      <c r="S138">
        <f t="shared" si="19"/>
        <v>0.5</v>
      </c>
      <c r="T138">
        <f t="shared" si="14"/>
        <v>153.9</v>
      </c>
      <c r="V138">
        <v>215.9</v>
      </c>
      <c r="W138">
        <f t="shared" si="15"/>
        <v>2929.1000000000004</v>
      </c>
      <c r="X138">
        <v>8.1022815291826529</v>
      </c>
    </row>
    <row r="139" spans="1:25" x14ac:dyDescent="0.25">
      <c r="A139">
        <v>5400</v>
      </c>
      <c r="B139">
        <v>24010</v>
      </c>
      <c r="C139" s="1">
        <v>43084</v>
      </c>
      <c r="D139">
        <v>13</v>
      </c>
      <c r="E139" s="46"/>
      <c r="F139">
        <v>4.3</v>
      </c>
      <c r="G139">
        <v>3.4</v>
      </c>
      <c r="H139">
        <v>5.4</v>
      </c>
      <c r="I139">
        <f t="shared" si="12"/>
        <v>1145.1999999999998</v>
      </c>
      <c r="J139">
        <f t="shared" si="13"/>
        <v>63.199999999999996</v>
      </c>
      <c r="L139">
        <v>2.2999999999999998</v>
      </c>
      <c r="M139">
        <v>0.3</v>
      </c>
      <c r="N139">
        <f t="shared" si="17"/>
        <v>1.9999999999999998</v>
      </c>
      <c r="P139">
        <v>108</v>
      </c>
      <c r="Q139">
        <v>1</v>
      </c>
      <c r="R139">
        <f t="shared" si="18"/>
        <v>0.3</v>
      </c>
      <c r="S139">
        <f t="shared" si="19"/>
        <v>1.9999999999999998</v>
      </c>
      <c r="T139">
        <f t="shared" si="14"/>
        <v>153.9</v>
      </c>
      <c r="V139">
        <v>154.69999999999999</v>
      </c>
      <c r="W139">
        <f t="shared" si="15"/>
        <v>3083.8</v>
      </c>
      <c r="X139">
        <v>8.0933701200546828</v>
      </c>
    </row>
    <row r="140" spans="1:25" x14ac:dyDescent="0.25">
      <c r="A140">
        <v>5400</v>
      </c>
      <c r="B140">
        <v>24010</v>
      </c>
      <c r="C140" s="1">
        <v>43085</v>
      </c>
      <c r="D140">
        <v>14</v>
      </c>
      <c r="E140" s="46"/>
      <c r="F140">
        <v>3.3</v>
      </c>
      <c r="G140">
        <v>1.5</v>
      </c>
      <c r="H140">
        <v>5.4</v>
      </c>
      <c r="I140">
        <f t="shared" si="12"/>
        <v>1148.4999999999998</v>
      </c>
      <c r="J140">
        <f t="shared" si="13"/>
        <v>66.5</v>
      </c>
      <c r="L140">
        <v>0.6</v>
      </c>
      <c r="M140">
        <v>0.3</v>
      </c>
      <c r="N140">
        <f t="shared" si="17"/>
        <v>0.3</v>
      </c>
      <c r="P140">
        <v>109</v>
      </c>
      <c r="Q140">
        <v>1</v>
      </c>
      <c r="R140">
        <f t="shared" si="18"/>
        <v>0.3</v>
      </c>
      <c r="S140">
        <f t="shared" si="19"/>
        <v>0.3</v>
      </c>
      <c r="T140">
        <f t="shared" si="14"/>
        <v>153.9</v>
      </c>
      <c r="V140">
        <v>170.3</v>
      </c>
      <c r="W140">
        <f t="shared" si="15"/>
        <v>3254.1000000000004</v>
      </c>
      <c r="X140">
        <v>8.0858712633275935</v>
      </c>
    </row>
    <row r="141" spans="1:25" x14ac:dyDescent="0.25">
      <c r="A141">
        <v>5400</v>
      </c>
      <c r="B141">
        <v>24010</v>
      </c>
      <c r="C141" s="1">
        <v>43086</v>
      </c>
      <c r="D141">
        <v>15</v>
      </c>
      <c r="E141" s="46"/>
      <c r="F141">
        <v>3.1</v>
      </c>
      <c r="G141">
        <v>0.3</v>
      </c>
      <c r="H141">
        <v>8.4</v>
      </c>
      <c r="I141">
        <f t="shared" si="12"/>
        <v>1151.5999999999997</v>
      </c>
      <c r="J141">
        <f t="shared" si="13"/>
        <v>69.599999999999994</v>
      </c>
      <c r="L141">
        <v>2.2999999999999998</v>
      </c>
      <c r="M141">
        <v>0.4</v>
      </c>
      <c r="N141">
        <f t="shared" si="17"/>
        <v>1.9</v>
      </c>
      <c r="P141">
        <v>110</v>
      </c>
      <c r="Q141">
        <v>1</v>
      </c>
      <c r="R141">
        <f t="shared" si="18"/>
        <v>0.4</v>
      </c>
      <c r="S141">
        <f t="shared" si="19"/>
        <v>1.9</v>
      </c>
      <c r="T141">
        <f t="shared" si="14"/>
        <v>153.9</v>
      </c>
      <c r="V141">
        <v>274.39999999999998</v>
      </c>
      <c r="W141">
        <f t="shared" si="15"/>
        <v>3528.5000000000005</v>
      </c>
      <c r="X141">
        <v>8.0797918515795253</v>
      </c>
    </row>
    <row r="142" spans="1:25" x14ac:dyDescent="0.25">
      <c r="A142">
        <v>5400</v>
      </c>
      <c r="B142">
        <v>24010</v>
      </c>
      <c r="C142" s="1">
        <v>43087</v>
      </c>
      <c r="E142" s="46"/>
      <c r="F142">
        <v>5.9</v>
      </c>
      <c r="G142">
        <v>4.3</v>
      </c>
      <c r="H142">
        <v>8.3000000000000007</v>
      </c>
      <c r="I142">
        <f t="shared" si="12"/>
        <v>1157.4999999999998</v>
      </c>
      <c r="J142">
        <f t="shared" si="13"/>
        <v>75.5</v>
      </c>
      <c r="L142">
        <v>0.4</v>
      </c>
      <c r="M142">
        <v>0.4</v>
      </c>
      <c r="N142">
        <f t="shared" si="17"/>
        <v>0</v>
      </c>
      <c r="P142">
        <v>111</v>
      </c>
      <c r="Q142">
        <v>1</v>
      </c>
      <c r="R142">
        <f t="shared" si="18"/>
        <v>0.4</v>
      </c>
      <c r="S142">
        <f t="shared" si="19"/>
        <v>0</v>
      </c>
      <c r="T142">
        <f t="shared" si="14"/>
        <v>153.9</v>
      </c>
      <c r="V142">
        <v>368.5</v>
      </c>
      <c r="W142">
        <f t="shared" si="15"/>
        <v>3897.0000000000005</v>
      </c>
      <c r="X142">
        <v>8.0751374953846025</v>
      </c>
    </row>
    <row r="143" spans="1:25" x14ac:dyDescent="0.25">
      <c r="A143">
        <v>5400</v>
      </c>
      <c r="B143">
        <v>24010</v>
      </c>
      <c r="C143" s="1">
        <v>43088</v>
      </c>
      <c r="D143">
        <v>16</v>
      </c>
      <c r="E143" s="46"/>
      <c r="F143">
        <v>2.1</v>
      </c>
      <c r="G143">
        <v>0.7</v>
      </c>
      <c r="H143">
        <v>4.0999999999999996</v>
      </c>
      <c r="I143">
        <f t="shared" si="12"/>
        <v>1159.5999999999997</v>
      </c>
      <c r="J143">
        <f t="shared" si="13"/>
        <v>77.599999999999994</v>
      </c>
      <c r="L143">
        <v>0.2</v>
      </c>
      <c r="M143">
        <v>0.3</v>
      </c>
      <c r="N143">
        <f t="shared" si="17"/>
        <v>-9.9999999999999978E-2</v>
      </c>
      <c r="P143">
        <v>112</v>
      </c>
      <c r="Q143">
        <v>1</v>
      </c>
      <c r="R143">
        <f t="shared" si="18"/>
        <v>0.3</v>
      </c>
      <c r="S143">
        <f t="shared" si="19"/>
        <v>-9.9999999999999978E-2</v>
      </c>
      <c r="T143">
        <f t="shared" si="14"/>
        <v>153.80000000000001</v>
      </c>
      <c r="V143">
        <v>192.4</v>
      </c>
      <c r="W143">
        <f t="shared" si="15"/>
        <v>4089.4000000000005</v>
      </c>
      <c r="X143">
        <v>8.0719125039365167</v>
      </c>
    </row>
    <row r="144" spans="1:25" x14ac:dyDescent="0.25">
      <c r="A144">
        <v>5400</v>
      </c>
      <c r="B144">
        <v>24010</v>
      </c>
      <c r="C144" s="1">
        <v>43089</v>
      </c>
      <c r="E144" s="46"/>
      <c r="F144">
        <v>6.3</v>
      </c>
      <c r="G144">
        <v>2.4</v>
      </c>
      <c r="H144">
        <v>8.4</v>
      </c>
      <c r="I144">
        <f t="shared" si="12"/>
        <v>1165.8999999999996</v>
      </c>
      <c r="J144">
        <f t="shared" si="13"/>
        <v>83.899999999999991</v>
      </c>
      <c r="L144">
        <v>0.6</v>
      </c>
      <c r="M144">
        <v>0.2</v>
      </c>
      <c r="N144">
        <f t="shared" si="17"/>
        <v>0.39999999999999997</v>
      </c>
      <c r="P144">
        <v>113</v>
      </c>
      <c r="Q144">
        <v>1</v>
      </c>
      <c r="R144">
        <f t="shared" si="18"/>
        <v>0.2</v>
      </c>
      <c r="S144">
        <f t="shared" si="19"/>
        <v>0.39999999999999997</v>
      </c>
      <c r="T144">
        <f t="shared" si="14"/>
        <v>153.9</v>
      </c>
      <c r="V144">
        <v>117.2</v>
      </c>
      <c r="W144">
        <f t="shared" si="15"/>
        <v>4206.6000000000004</v>
      </c>
      <c r="X144">
        <v>8.0701198700914016</v>
      </c>
    </row>
    <row r="145" spans="1:24" x14ac:dyDescent="0.25">
      <c r="A145">
        <v>5400</v>
      </c>
      <c r="B145">
        <v>24010</v>
      </c>
      <c r="C145" s="1">
        <v>43090</v>
      </c>
      <c r="E145" s="46"/>
      <c r="F145">
        <v>8.6</v>
      </c>
      <c r="G145">
        <v>7.4</v>
      </c>
      <c r="H145">
        <v>9.4</v>
      </c>
      <c r="I145">
        <f t="shared" si="12"/>
        <v>1174.4999999999995</v>
      </c>
      <c r="J145">
        <f t="shared" si="13"/>
        <v>92.499999999999986</v>
      </c>
      <c r="L145">
        <v>0.6</v>
      </c>
      <c r="M145">
        <v>0.1</v>
      </c>
      <c r="N145">
        <f t="shared" si="17"/>
        <v>0.5</v>
      </c>
      <c r="P145">
        <v>114</v>
      </c>
      <c r="Q145">
        <v>1</v>
      </c>
      <c r="R145">
        <f t="shared" si="18"/>
        <v>0.1</v>
      </c>
      <c r="S145">
        <f t="shared" si="19"/>
        <v>0.5</v>
      </c>
      <c r="T145">
        <f t="shared" si="14"/>
        <v>153.9</v>
      </c>
      <c r="V145">
        <v>40.4</v>
      </c>
      <c r="W145">
        <f t="shared" si="15"/>
        <v>4247</v>
      </c>
      <c r="X145">
        <v>8.0697612599412611</v>
      </c>
    </row>
    <row r="146" spans="1:24" x14ac:dyDescent="0.25">
      <c r="A146">
        <v>5400</v>
      </c>
      <c r="B146">
        <v>24010</v>
      </c>
      <c r="C146" s="1">
        <v>43091</v>
      </c>
      <c r="E146" s="46"/>
      <c r="F146">
        <v>9</v>
      </c>
      <c r="G146">
        <v>7.2</v>
      </c>
      <c r="H146">
        <v>10.5</v>
      </c>
      <c r="I146">
        <f t="shared" si="12"/>
        <v>1183.4999999999995</v>
      </c>
      <c r="J146">
        <f t="shared" si="13"/>
        <v>101.49999999999999</v>
      </c>
      <c r="L146">
        <v>0.6</v>
      </c>
      <c r="M146">
        <v>0.1</v>
      </c>
      <c r="N146">
        <f t="shared" si="17"/>
        <v>0.5</v>
      </c>
      <c r="P146">
        <v>115</v>
      </c>
      <c r="Q146">
        <v>1</v>
      </c>
      <c r="R146">
        <f t="shared" si="18"/>
        <v>0.1</v>
      </c>
      <c r="S146">
        <f t="shared" si="19"/>
        <v>0.5</v>
      </c>
      <c r="T146">
        <f t="shared" si="14"/>
        <v>153.9</v>
      </c>
      <c r="V146">
        <v>80.2</v>
      </c>
      <c r="W146">
        <f t="shared" si="15"/>
        <v>4327.2</v>
      </c>
      <c r="X146">
        <v>8.0708370069959745</v>
      </c>
    </row>
    <row r="147" spans="1:24" x14ac:dyDescent="0.25">
      <c r="A147">
        <v>5400</v>
      </c>
      <c r="B147">
        <v>24010</v>
      </c>
      <c r="C147" s="1">
        <v>43092</v>
      </c>
      <c r="E147" s="46"/>
      <c r="F147">
        <v>8.4</v>
      </c>
      <c r="G147">
        <v>8.3000000000000007</v>
      </c>
      <c r="H147">
        <v>8.6</v>
      </c>
      <c r="I147">
        <f t="shared" si="12"/>
        <v>1191.8999999999996</v>
      </c>
      <c r="J147">
        <f t="shared" si="13"/>
        <v>109.89999999999999</v>
      </c>
      <c r="L147">
        <v>0.3</v>
      </c>
      <c r="M147">
        <v>0.1</v>
      </c>
      <c r="N147">
        <f t="shared" si="17"/>
        <v>0.19999999999999998</v>
      </c>
      <c r="P147">
        <v>116</v>
      </c>
      <c r="Q147">
        <v>1</v>
      </c>
      <c r="R147">
        <f t="shared" si="18"/>
        <v>0.1</v>
      </c>
      <c r="S147">
        <f t="shared" si="19"/>
        <v>0.19999999999999998</v>
      </c>
      <c r="T147">
        <f t="shared" si="14"/>
        <v>153.9</v>
      </c>
      <c r="V147">
        <v>110.4</v>
      </c>
      <c r="W147">
        <f t="shared" si="15"/>
        <v>4437.5999999999995</v>
      </c>
      <c r="X147">
        <v>8.0733461110175</v>
      </c>
    </row>
    <row r="148" spans="1:24" x14ac:dyDescent="0.25">
      <c r="A148">
        <v>5400</v>
      </c>
      <c r="B148">
        <v>24010</v>
      </c>
      <c r="C148" s="1">
        <v>43093</v>
      </c>
      <c r="E148" s="46"/>
      <c r="F148">
        <v>7.8</v>
      </c>
      <c r="G148">
        <v>7.6</v>
      </c>
      <c r="H148">
        <v>8.1999999999999993</v>
      </c>
      <c r="I148">
        <f t="shared" si="12"/>
        <v>1199.6999999999996</v>
      </c>
      <c r="J148">
        <f t="shared" si="13"/>
        <v>117.69999999999999</v>
      </c>
      <c r="L148">
        <v>0.4</v>
      </c>
      <c r="M148">
        <v>0.2</v>
      </c>
      <c r="N148">
        <f t="shared" si="17"/>
        <v>0.2</v>
      </c>
      <c r="P148">
        <v>117</v>
      </c>
      <c r="Q148">
        <v>1</v>
      </c>
      <c r="R148">
        <f t="shared" si="18"/>
        <v>0.2</v>
      </c>
      <c r="S148">
        <f t="shared" si="19"/>
        <v>0.2</v>
      </c>
      <c r="T148">
        <f t="shared" si="14"/>
        <v>153.9</v>
      </c>
      <c r="V148">
        <v>75.5</v>
      </c>
      <c r="W148">
        <f t="shared" si="15"/>
        <v>4513.0999999999995</v>
      </c>
      <c r="X148">
        <v>8.077286241515047</v>
      </c>
    </row>
    <row r="149" spans="1:24" x14ac:dyDescent="0.25">
      <c r="A149">
        <v>5400</v>
      </c>
      <c r="B149">
        <v>24010</v>
      </c>
      <c r="C149" s="1">
        <v>43094</v>
      </c>
      <c r="D149">
        <v>17</v>
      </c>
      <c r="E149" s="46"/>
      <c r="F149">
        <v>4.9000000000000004</v>
      </c>
      <c r="G149">
        <v>4.0999999999999996</v>
      </c>
      <c r="H149">
        <v>5.3</v>
      </c>
      <c r="I149">
        <f t="shared" si="12"/>
        <v>1204.5999999999997</v>
      </c>
      <c r="J149">
        <f t="shared" si="13"/>
        <v>122.6</v>
      </c>
      <c r="L149">
        <v>3</v>
      </c>
      <c r="M149">
        <v>0</v>
      </c>
      <c r="N149">
        <f t="shared" si="17"/>
        <v>3</v>
      </c>
      <c r="P149">
        <v>118</v>
      </c>
      <c r="Q149">
        <v>1</v>
      </c>
      <c r="R149">
        <f t="shared" si="18"/>
        <v>0</v>
      </c>
      <c r="S149">
        <f t="shared" si="19"/>
        <v>3</v>
      </c>
      <c r="T149">
        <f t="shared" si="14"/>
        <v>153.9</v>
      </c>
      <c r="V149">
        <v>87.2</v>
      </c>
      <c r="W149">
        <f t="shared" si="15"/>
        <v>4600.2999999999993</v>
      </c>
      <c r="X149">
        <v>8.0826537458750014</v>
      </c>
    </row>
    <row r="150" spans="1:24" x14ac:dyDescent="0.25">
      <c r="A150">
        <v>5400</v>
      </c>
      <c r="B150">
        <v>24010</v>
      </c>
      <c r="C150" s="1">
        <v>43095</v>
      </c>
      <c r="E150" s="46"/>
      <c r="F150">
        <v>5.9</v>
      </c>
      <c r="G150">
        <v>4</v>
      </c>
      <c r="H150">
        <v>7.4</v>
      </c>
      <c r="I150">
        <f t="shared" si="12"/>
        <v>1210.4999999999998</v>
      </c>
      <c r="J150">
        <f t="shared" si="13"/>
        <v>128.5</v>
      </c>
      <c r="L150">
        <v>5.4</v>
      </c>
      <c r="M150">
        <v>0.3</v>
      </c>
      <c r="N150">
        <f t="shared" si="17"/>
        <v>5.1000000000000005</v>
      </c>
      <c r="P150">
        <v>119</v>
      </c>
      <c r="Q150">
        <v>1</v>
      </c>
      <c r="R150">
        <f t="shared" si="18"/>
        <v>0.3</v>
      </c>
      <c r="S150">
        <f t="shared" si="19"/>
        <v>5.1000000000000005</v>
      </c>
      <c r="T150">
        <f t="shared" si="14"/>
        <v>153.9</v>
      </c>
      <c r="V150">
        <v>299.39999999999998</v>
      </c>
      <c r="W150">
        <f t="shared" si="15"/>
        <v>4899.6999999999989</v>
      </c>
      <c r="X150">
        <v>8.0894436620646157</v>
      </c>
    </row>
    <row r="151" spans="1:24" x14ac:dyDescent="0.25">
      <c r="A151">
        <v>5400</v>
      </c>
      <c r="B151">
        <v>24010</v>
      </c>
      <c r="C151" s="1">
        <v>43096</v>
      </c>
      <c r="D151">
        <v>18</v>
      </c>
      <c r="E151" s="46"/>
      <c r="F151">
        <v>3.9</v>
      </c>
      <c r="G151">
        <v>2.8</v>
      </c>
      <c r="H151">
        <v>4.8</v>
      </c>
      <c r="I151">
        <f t="shared" si="12"/>
        <v>1214.3999999999999</v>
      </c>
      <c r="J151">
        <f t="shared" si="13"/>
        <v>132.4</v>
      </c>
      <c r="L151">
        <v>1.5</v>
      </c>
      <c r="M151">
        <v>0.4</v>
      </c>
      <c r="N151">
        <f t="shared" si="17"/>
        <v>1.1000000000000001</v>
      </c>
      <c r="P151">
        <v>120</v>
      </c>
      <c r="Q151">
        <v>1</v>
      </c>
      <c r="R151">
        <f t="shared" si="18"/>
        <v>0.4</v>
      </c>
      <c r="S151">
        <f t="shared" si="19"/>
        <v>1.1000000000000001</v>
      </c>
      <c r="T151">
        <f t="shared" si="14"/>
        <v>153.9</v>
      </c>
      <c r="V151">
        <v>158.80000000000001</v>
      </c>
      <c r="W151">
        <f t="shared" si="15"/>
        <v>5058.4999999999991</v>
      </c>
      <c r="X151">
        <v>8.0976497358147341</v>
      </c>
    </row>
    <row r="152" spans="1:24" x14ac:dyDescent="0.25">
      <c r="A152">
        <v>5400</v>
      </c>
      <c r="B152">
        <v>24010</v>
      </c>
      <c r="C152" s="1">
        <v>43097</v>
      </c>
      <c r="D152">
        <v>19</v>
      </c>
      <c r="E152" s="46"/>
      <c r="F152">
        <v>1.9</v>
      </c>
      <c r="G152">
        <v>1</v>
      </c>
      <c r="H152">
        <v>4.5999999999999996</v>
      </c>
      <c r="I152">
        <f t="shared" si="12"/>
        <v>1216.3</v>
      </c>
      <c r="J152">
        <f t="shared" si="13"/>
        <v>134.30000000000001</v>
      </c>
      <c r="L152">
        <v>0.2</v>
      </c>
      <c r="M152">
        <v>0.5</v>
      </c>
      <c r="N152">
        <f t="shared" si="17"/>
        <v>-0.3</v>
      </c>
      <c r="P152">
        <v>121</v>
      </c>
      <c r="Q152">
        <v>1</v>
      </c>
      <c r="R152">
        <f t="shared" si="18"/>
        <v>0.5</v>
      </c>
      <c r="S152">
        <f t="shared" si="19"/>
        <v>-0.3</v>
      </c>
      <c r="T152">
        <f t="shared" si="14"/>
        <v>153.6</v>
      </c>
      <c r="V152">
        <v>375.7</v>
      </c>
      <c r="W152">
        <f t="shared" si="15"/>
        <v>5434.1999999999989</v>
      </c>
      <c r="X152">
        <v>8.1072644421540954</v>
      </c>
    </row>
    <row r="153" spans="1:24" x14ac:dyDescent="0.25">
      <c r="A153">
        <v>5400</v>
      </c>
      <c r="B153">
        <v>24010</v>
      </c>
      <c r="C153" s="1">
        <v>43098</v>
      </c>
      <c r="E153" s="46"/>
      <c r="F153">
        <v>5.3</v>
      </c>
      <c r="G153">
        <v>0.4</v>
      </c>
      <c r="H153">
        <v>12.6</v>
      </c>
      <c r="I153">
        <f t="shared" si="12"/>
        <v>1221.5999999999999</v>
      </c>
      <c r="J153">
        <f t="shared" si="13"/>
        <v>139.60000000000002</v>
      </c>
      <c r="L153">
        <v>10.1</v>
      </c>
      <c r="M153">
        <v>0.6</v>
      </c>
      <c r="N153">
        <f t="shared" si="17"/>
        <v>9.5</v>
      </c>
      <c r="P153">
        <v>122</v>
      </c>
      <c r="Q153">
        <v>1</v>
      </c>
      <c r="R153">
        <f t="shared" si="18"/>
        <v>0.6</v>
      </c>
      <c r="S153">
        <f t="shared" si="19"/>
        <v>9.5</v>
      </c>
      <c r="T153">
        <f t="shared" si="14"/>
        <v>153.9</v>
      </c>
      <c r="V153">
        <v>79.099999999999994</v>
      </c>
      <c r="W153">
        <f t="shared" si="15"/>
        <v>5513.2999999999993</v>
      </c>
      <c r="X153">
        <v>8.1182790111368988</v>
      </c>
    </row>
    <row r="154" spans="1:24" x14ac:dyDescent="0.25">
      <c r="A154">
        <v>5400</v>
      </c>
      <c r="B154">
        <v>24010</v>
      </c>
      <c r="C154" s="1">
        <v>43099</v>
      </c>
      <c r="E154" s="46"/>
      <c r="F154">
        <v>12.7</v>
      </c>
      <c r="G154">
        <v>8.1</v>
      </c>
      <c r="H154">
        <v>13.8</v>
      </c>
      <c r="I154">
        <f t="shared" si="12"/>
        <v>1234.3</v>
      </c>
      <c r="J154">
        <f t="shared" si="13"/>
        <v>152.30000000000001</v>
      </c>
      <c r="L154">
        <v>0.5</v>
      </c>
      <c r="M154">
        <v>0</v>
      </c>
      <c r="N154">
        <f t="shared" si="17"/>
        <v>0.5</v>
      </c>
      <c r="P154">
        <v>123</v>
      </c>
      <c r="Q154">
        <v>1</v>
      </c>
      <c r="R154">
        <f t="shared" si="18"/>
        <v>0</v>
      </c>
      <c r="S154">
        <f t="shared" si="19"/>
        <v>0.5</v>
      </c>
      <c r="T154">
        <f t="shared" si="14"/>
        <v>153.9</v>
      </c>
      <c r="V154">
        <v>54.7</v>
      </c>
      <c r="W154">
        <f t="shared" si="15"/>
        <v>5567.9999999999991</v>
      </c>
      <c r="X154">
        <v>8.130683457576259</v>
      </c>
    </row>
    <row r="155" spans="1:24" x14ac:dyDescent="0.25">
      <c r="A155">
        <v>5400</v>
      </c>
      <c r="B155">
        <v>24010</v>
      </c>
      <c r="C155" s="1">
        <v>43100</v>
      </c>
      <c r="E155" s="46"/>
      <c r="F155">
        <v>11.7</v>
      </c>
      <c r="G155">
        <v>9.9</v>
      </c>
      <c r="H155">
        <v>14.2</v>
      </c>
      <c r="I155">
        <f t="shared" si="12"/>
        <v>1246</v>
      </c>
      <c r="J155">
        <f t="shared" si="13"/>
        <v>164</v>
      </c>
      <c r="L155">
        <v>1.8</v>
      </c>
      <c r="M155">
        <v>1.3</v>
      </c>
      <c r="N155">
        <f t="shared" si="17"/>
        <v>0.5</v>
      </c>
      <c r="P155">
        <v>124</v>
      </c>
      <c r="Q155">
        <v>1</v>
      </c>
      <c r="R155">
        <f t="shared" si="18"/>
        <v>1.3</v>
      </c>
      <c r="S155">
        <f t="shared" si="19"/>
        <v>0.5</v>
      </c>
      <c r="T155">
        <f t="shared" si="14"/>
        <v>153.9</v>
      </c>
      <c r="V155">
        <v>117.4</v>
      </c>
      <c r="W155">
        <f t="shared" si="15"/>
        <v>5685.3999999999987</v>
      </c>
      <c r="X155">
        <v>8.1444666145697706</v>
      </c>
    </row>
    <row r="156" spans="1:24" x14ac:dyDescent="0.25">
      <c r="A156">
        <v>5400</v>
      </c>
      <c r="B156">
        <v>24010</v>
      </c>
      <c r="C156" s="1">
        <v>43101</v>
      </c>
      <c r="E156" s="46"/>
      <c r="F156">
        <v>7.2</v>
      </c>
      <c r="G156">
        <v>6.1</v>
      </c>
      <c r="H156">
        <v>7.9</v>
      </c>
      <c r="I156">
        <f t="shared" si="12"/>
        <v>1253.2</v>
      </c>
      <c r="J156">
        <f t="shared" si="13"/>
        <v>171.2</v>
      </c>
      <c r="L156">
        <v>9.9</v>
      </c>
      <c r="M156">
        <v>0.6</v>
      </c>
      <c r="N156">
        <f t="shared" si="17"/>
        <v>9.3000000000000007</v>
      </c>
      <c r="P156">
        <v>125</v>
      </c>
      <c r="Q156">
        <v>1</v>
      </c>
      <c r="R156">
        <f t="shared" si="18"/>
        <v>0.6</v>
      </c>
      <c r="S156">
        <f t="shared" si="19"/>
        <v>9.3000000000000007</v>
      </c>
      <c r="T156">
        <f t="shared" si="14"/>
        <v>153.9</v>
      </c>
      <c r="V156">
        <v>116.8</v>
      </c>
      <c r="W156">
        <f t="shared" si="15"/>
        <v>5802.1999999999989</v>
      </c>
      <c r="X156">
        <v>8.1596161705793886</v>
      </c>
    </row>
    <row r="157" spans="1:24" x14ac:dyDescent="0.25">
      <c r="A157">
        <v>5400</v>
      </c>
      <c r="B157">
        <v>24010</v>
      </c>
      <c r="C157" s="1">
        <v>43102</v>
      </c>
      <c r="E157" s="46"/>
      <c r="F157">
        <v>8.1999999999999993</v>
      </c>
      <c r="G157">
        <v>4.7</v>
      </c>
      <c r="H157">
        <v>12.1</v>
      </c>
      <c r="I157">
        <f t="shared" si="12"/>
        <v>1261.4000000000001</v>
      </c>
      <c r="J157">
        <f t="shared" si="13"/>
        <v>179.39999999999998</v>
      </c>
      <c r="L157">
        <v>3.4</v>
      </c>
      <c r="M157">
        <v>0.4</v>
      </c>
      <c r="N157">
        <f t="shared" si="17"/>
        <v>3</v>
      </c>
      <c r="P157">
        <v>126</v>
      </c>
      <c r="Q157">
        <v>1</v>
      </c>
      <c r="R157">
        <f t="shared" si="18"/>
        <v>0.4</v>
      </c>
      <c r="S157">
        <f t="shared" si="19"/>
        <v>3</v>
      </c>
      <c r="T157">
        <f t="shared" si="14"/>
        <v>153.9</v>
      </c>
      <c r="V157">
        <v>98.8</v>
      </c>
      <c r="W157">
        <f t="shared" si="15"/>
        <v>5900.9999999999991</v>
      </c>
      <c r="X157">
        <v>8.1761187098069446</v>
      </c>
    </row>
    <row r="158" spans="1:24" x14ac:dyDescent="0.25">
      <c r="A158">
        <v>5400</v>
      </c>
      <c r="B158">
        <v>24010</v>
      </c>
      <c r="C158" s="1">
        <v>43103</v>
      </c>
      <c r="E158" s="46"/>
      <c r="F158">
        <v>9.5</v>
      </c>
      <c r="G158">
        <v>8.1999999999999993</v>
      </c>
      <c r="H158">
        <v>13</v>
      </c>
      <c r="I158">
        <f t="shared" si="12"/>
        <v>1270.9000000000001</v>
      </c>
      <c r="J158">
        <f t="shared" si="13"/>
        <v>188.89999999999998</v>
      </c>
      <c r="L158">
        <v>7.5</v>
      </c>
      <c r="M158">
        <v>1.4</v>
      </c>
      <c r="N158">
        <f t="shared" si="17"/>
        <v>6.1</v>
      </c>
      <c r="P158">
        <v>127</v>
      </c>
      <c r="Q158">
        <v>1</v>
      </c>
      <c r="R158">
        <f t="shared" si="18"/>
        <v>1.4</v>
      </c>
      <c r="S158">
        <f t="shared" si="19"/>
        <v>6.1</v>
      </c>
      <c r="T158">
        <f t="shared" si="14"/>
        <v>153.9</v>
      </c>
      <c r="V158">
        <v>88.5</v>
      </c>
      <c r="W158">
        <f t="shared" si="15"/>
        <v>5989.4999999999991</v>
      </c>
      <c r="X158">
        <v>8.1939597555887165</v>
      </c>
    </row>
    <row r="159" spans="1:24" x14ac:dyDescent="0.25">
      <c r="A159">
        <v>5400</v>
      </c>
      <c r="B159">
        <v>24010</v>
      </c>
      <c r="C159" s="1">
        <v>43104</v>
      </c>
      <c r="E159" s="46"/>
      <c r="F159">
        <v>11.5</v>
      </c>
      <c r="G159">
        <v>8.3000000000000007</v>
      </c>
      <c r="H159">
        <v>13.5</v>
      </c>
      <c r="I159">
        <f t="shared" si="12"/>
        <v>1282.4000000000001</v>
      </c>
      <c r="J159">
        <f t="shared" si="13"/>
        <v>200.39999999999998</v>
      </c>
      <c r="L159">
        <v>3.9</v>
      </c>
      <c r="M159">
        <v>0.2</v>
      </c>
      <c r="N159">
        <f t="shared" si="17"/>
        <v>3.6999999999999997</v>
      </c>
      <c r="P159">
        <v>128</v>
      </c>
      <c r="Q159">
        <v>1</v>
      </c>
      <c r="R159">
        <f t="shared" si="18"/>
        <v>0.2</v>
      </c>
      <c r="S159">
        <f t="shared" si="19"/>
        <v>3.6999999999999997</v>
      </c>
      <c r="T159">
        <f t="shared" si="14"/>
        <v>153.9</v>
      </c>
      <c r="V159">
        <v>91.9</v>
      </c>
      <c r="W159">
        <f t="shared" si="15"/>
        <v>6081.3999999999987</v>
      </c>
      <c r="X159">
        <v>8.2131238165177383</v>
      </c>
    </row>
    <row r="160" spans="1:24" x14ac:dyDescent="0.25">
      <c r="A160">
        <v>5400</v>
      </c>
      <c r="B160">
        <v>24010</v>
      </c>
      <c r="C160" s="1">
        <v>43105</v>
      </c>
      <c r="E160" s="46"/>
      <c r="F160">
        <v>8.3000000000000007</v>
      </c>
      <c r="G160">
        <v>7</v>
      </c>
      <c r="H160">
        <v>10.1</v>
      </c>
      <c r="I160">
        <f t="shared" si="12"/>
        <v>1290.7</v>
      </c>
      <c r="J160">
        <f t="shared" si="13"/>
        <v>208.7</v>
      </c>
      <c r="L160">
        <v>0.8</v>
      </c>
      <c r="M160">
        <v>0.4</v>
      </c>
      <c r="N160">
        <f t="shared" si="17"/>
        <v>0.4</v>
      </c>
      <c r="P160">
        <v>129</v>
      </c>
      <c r="Q160">
        <v>1</v>
      </c>
      <c r="R160">
        <f t="shared" si="18"/>
        <v>0.4</v>
      </c>
      <c r="S160">
        <f t="shared" si="19"/>
        <v>0.4</v>
      </c>
      <c r="T160">
        <f t="shared" si="14"/>
        <v>153.9</v>
      </c>
      <c r="V160">
        <v>62.7</v>
      </c>
      <c r="W160">
        <f t="shared" si="15"/>
        <v>6144.0999999999985</v>
      </c>
      <c r="X160">
        <v>8.2335944349913408</v>
      </c>
    </row>
    <row r="161" spans="1:24" x14ac:dyDescent="0.25">
      <c r="A161">
        <v>5400</v>
      </c>
      <c r="B161">
        <v>24010</v>
      </c>
      <c r="C161" s="1">
        <v>43106</v>
      </c>
      <c r="E161" s="46"/>
      <c r="F161">
        <v>6.1</v>
      </c>
      <c r="G161">
        <v>5.3</v>
      </c>
      <c r="H161">
        <v>6.6</v>
      </c>
      <c r="I161">
        <f t="shared" si="12"/>
        <v>1296.8</v>
      </c>
      <c r="J161">
        <f t="shared" si="13"/>
        <v>214.79999999999998</v>
      </c>
      <c r="L161">
        <v>4.3</v>
      </c>
      <c r="M161">
        <v>0.1</v>
      </c>
      <c r="N161">
        <f t="shared" si="17"/>
        <v>4.2</v>
      </c>
      <c r="P161">
        <v>130</v>
      </c>
      <c r="Q161">
        <v>1</v>
      </c>
      <c r="R161">
        <f t="shared" si="18"/>
        <v>0.1</v>
      </c>
      <c r="S161">
        <f t="shared" si="19"/>
        <v>4.2</v>
      </c>
      <c r="T161">
        <f t="shared" si="14"/>
        <v>153.9</v>
      </c>
      <c r="V161">
        <v>128.19999999999999</v>
      </c>
      <c r="W161">
        <f t="shared" si="15"/>
        <v>6272.2999999999984</v>
      </c>
      <c r="X161">
        <v>8.2553542378731102</v>
      </c>
    </row>
    <row r="162" spans="1:24" x14ac:dyDescent="0.25">
      <c r="A162">
        <v>5400</v>
      </c>
      <c r="B162">
        <v>24010</v>
      </c>
      <c r="C162" s="1">
        <v>43107</v>
      </c>
      <c r="E162" s="46"/>
      <c r="F162">
        <v>6.2</v>
      </c>
      <c r="G162">
        <v>6</v>
      </c>
      <c r="H162">
        <v>6.5</v>
      </c>
      <c r="I162">
        <f t="shared" ref="I162:I225" si="20">I161+F162</f>
        <v>1303</v>
      </c>
      <c r="J162">
        <f t="shared" ref="J162:J225" si="21">J161+F162</f>
        <v>220.99999999999997</v>
      </c>
      <c r="L162">
        <v>0.6</v>
      </c>
      <c r="M162">
        <v>0.3</v>
      </c>
      <c r="N162">
        <f t="shared" si="17"/>
        <v>0.3</v>
      </c>
      <c r="P162">
        <v>131</v>
      </c>
      <c r="Q162">
        <v>1</v>
      </c>
      <c r="R162">
        <f t="shared" si="18"/>
        <v>0.3</v>
      </c>
      <c r="S162">
        <f t="shared" si="19"/>
        <v>0.3</v>
      </c>
      <c r="T162">
        <f t="shared" ref="T162:T225" si="22">MIN(T161+S162,153.9)</f>
        <v>153.9</v>
      </c>
      <c r="V162">
        <v>57.5</v>
      </c>
      <c r="W162">
        <f t="shared" ref="W162:W225" si="23">W161+V162</f>
        <v>6329.7999999999984</v>
      </c>
      <c r="X162">
        <v>8.2783849889539454</v>
      </c>
    </row>
    <row r="163" spans="1:24" x14ac:dyDescent="0.25">
      <c r="A163">
        <v>5400</v>
      </c>
      <c r="B163">
        <v>24010</v>
      </c>
      <c r="C163" s="1">
        <v>43108</v>
      </c>
      <c r="E163" s="46"/>
      <c r="F163">
        <v>5.9</v>
      </c>
      <c r="G163">
        <v>5.4</v>
      </c>
      <c r="H163">
        <v>7.6</v>
      </c>
      <c r="I163">
        <f t="shared" si="20"/>
        <v>1308.9000000000001</v>
      </c>
      <c r="J163">
        <f t="shared" si="21"/>
        <v>226.89999999999998</v>
      </c>
      <c r="L163">
        <v>0</v>
      </c>
      <c r="M163">
        <v>0.5</v>
      </c>
      <c r="N163">
        <f t="shared" si="17"/>
        <v>-0.5</v>
      </c>
      <c r="P163">
        <v>132</v>
      </c>
      <c r="Q163">
        <v>1</v>
      </c>
      <c r="R163">
        <f t="shared" si="18"/>
        <v>0.5</v>
      </c>
      <c r="S163">
        <f t="shared" si="19"/>
        <v>-0.5</v>
      </c>
      <c r="T163">
        <f t="shared" si="22"/>
        <v>153.4</v>
      </c>
      <c r="V163">
        <v>131.80000000000001</v>
      </c>
      <c r="W163">
        <f t="shared" si="23"/>
        <v>6461.5999999999985</v>
      </c>
      <c r="X163">
        <v>8.3026676428950434</v>
      </c>
    </row>
    <row r="164" spans="1:24" x14ac:dyDescent="0.25">
      <c r="A164">
        <v>5400</v>
      </c>
      <c r="B164">
        <v>24010</v>
      </c>
      <c r="C164" s="1">
        <v>43109</v>
      </c>
      <c r="E164" s="46"/>
      <c r="F164">
        <v>5.7</v>
      </c>
      <c r="G164">
        <v>3.8</v>
      </c>
      <c r="H164">
        <v>7.6</v>
      </c>
      <c r="I164">
        <f t="shared" si="20"/>
        <v>1314.6000000000001</v>
      </c>
      <c r="J164">
        <f t="shared" si="21"/>
        <v>232.59999999999997</v>
      </c>
      <c r="L164">
        <v>3.8</v>
      </c>
      <c r="M164">
        <v>0.2</v>
      </c>
      <c r="N164">
        <f t="shared" si="17"/>
        <v>3.5999999999999996</v>
      </c>
      <c r="P164">
        <v>133</v>
      </c>
      <c r="Q164">
        <v>1</v>
      </c>
      <c r="R164">
        <f t="shared" si="18"/>
        <v>0.2</v>
      </c>
      <c r="S164">
        <f t="shared" si="19"/>
        <v>3.5999999999999996</v>
      </c>
      <c r="T164">
        <f t="shared" si="22"/>
        <v>153.9</v>
      </c>
      <c r="V164">
        <v>126.9</v>
      </c>
      <c r="W164">
        <f t="shared" si="23"/>
        <v>6588.4999999999982</v>
      </c>
      <c r="X164">
        <v>8.3281824003372744</v>
      </c>
    </row>
    <row r="165" spans="1:24" x14ac:dyDescent="0.25">
      <c r="A165">
        <v>5400</v>
      </c>
      <c r="B165">
        <v>24010</v>
      </c>
      <c r="C165" s="1">
        <v>43110</v>
      </c>
      <c r="E165" s="46"/>
      <c r="F165">
        <v>6.5</v>
      </c>
      <c r="G165">
        <v>6.1</v>
      </c>
      <c r="H165">
        <v>8.4</v>
      </c>
      <c r="I165">
        <f t="shared" si="20"/>
        <v>1321.1000000000001</v>
      </c>
      <c r="J165">
        <f t="shared" si="21"/>
        <v>239.09999999999997</v>
      </c>
      <c r="L165">
        <v>0.4</v>
      </c>
      <c r="M165">
        <v>0.3</v>
      </c>
      <c r="N165">
        <f t="shared" si="17"/>
        <v>0.10000000000000003</v>
      </c>
      <c r="P165">
        <v>134</v>
      </c>
      <c r="Q165">
        <v>1</v>
      </c>
      <c r="R165">
        <f t="shared" si="18"/>
        <v>0.3</v>
      </c>
      <c r="S165">
        <f t="shared" si="19"/>
        <v>0.10000000000000003</v>
      </c>
      <c r="T165">
        <f t="shared" si="22"/>
        <v>153.9</v>
      </c>
      <c r="V165">
        <v>109.7</v>
      </c>
      <c r="W165">
        <f t="shared" si="23"/>
        <v>6698.199999999998</v>
      </c>
      <c r="X165">
        <v>8.3549087638656285</v>
      </c>
    </row>
    <row r="166" spans="1:24" x14ac:dyDescent="0.25">
      <c r="A166">
        <v>5400</v>
      </c>
      <c r="B166">
        <v>24010</v>
      </c>
      <c r="C166" s="1">
        <v>43111</v>
      </c>
      <c r="E166" s="46"/>
      <c r="F166">
        <v>5.6</v>
      </c>
      <c r="G166">
        <v>3.3</v>
      </c>
      <c r="H166">
        <v>7.6</v>
      </c>
      <c r="I166">
        <f t="shared" si="20"/>
        <v>1326.7</v>
      </c>
      <c r="J166">
        <f t="shared" si="21"/>
        <v>244.69999999999996</v>
      </c>
      <c r="L166">
        <v>0.1</v>
      </c>
      <c r="M166">
        <v>0.1</v>
      </c>
      <c r="N166">
        <f t="shared" si="17"/>
        <v>0</v>
      </c>
      <c r="P166">
        <v>135</v>
      </c>
      <c r="Q166">
        <v>1</v>
      </c>
      <c r="R166">
        <f t="shared" si="18"/>
        <v>0.1</v>
      </c>
      <c r="S166">
        <f t="shared" si="19"/>
        <v>0</v>
      </c>
      <c r="T166">
        <f t="shared" si="22"/>
        <v>153.9</v>
      </c>
      <c r="V166">
        <v>99.9</v>
      </c>
      <c r="W166">
        <f t="shared" si="23"/>
        <v>6798.0999999999976</v>
      </c>
      <c r="X166">
        <v>8.3828255945244656</v>
      </c>
    </row>
    <row r="167" spans="1:24" x14ac:dyDescent="0.25">
      <c r="A167">
        <v>5400</v>
      </c>
      <c r="B167">
        <v>24010</v>
      </c>
      <c r="C167" s="1">
        <v>43112</v>
      </c>
      <c r="D167">
        <v>20</v>
      </c>
      <c r="E167" s="46"/>
      <c r="F167">
        <v>4.9000000000000004</v>
      </c>
      <c r="G167">
        <v>4.5999999999999996</v>
      </c>
      <c r="H167">
        <v>5.7</v>
      </c>
      <c r="I167">
        <f t="shared" si="20"/>
        <v>1331.6000000000001</v>
      </c>
      <c r="J167">
        <f t="shared" si="21"/>
        <v>249.59999999999997</v>
      </c>
      <c r="L167">
        <v>0</v>
      </c>
      <c r="M167">
        <v>0.2</v>
      </c>
      <c r="N167">
        <f t="shared" si="17"/>
        <v>-0.2</v>
      </c>
      <c r="P167">
        <v>136</v>
      </c>
      <c r="Q167">
        <v>1</v>
      </c>
      <c r="R167">
        <f t="shared" si="18"/>
        <v>0.2</v>
      </c>
      <c r="S167">
        <f t="shared" si="19"/>
        <v>-0.2</v>
      </c>
      <c r="T167">
        <f t="shared" si="22"/>
        <v>153.70000000000002</v>
      </c>
      <c r="V167">
        <v>108.7</v>
      </c>
      <c r="W167">
        <f t="shared" si="23"/>
        <v>6906.7999999999975</v>
      </c>
      <c r="X167">
        <v>8.4119111685886931</v>
      </c>
    </row>
    <row r="168" spans="1:24" x14ac:dyDescent="0.25">
      <c r="A168">
        <v>5400</v>
      </c>
      <c r="B168">
        <v>24010</v>
      </c>
      <c r="C168" s="1">
        <v>43113</v>
      </c>
      <c r="D168">
        <v>21</v>
      </c>
      <c r="E168" s="46"/>
      <c r="F168">
        <v>3</v>
      </c>
      <c r="G168">
        <v>2.5</v>
      </c>
      <c r="H168">
        <v>3.9</v>
      </c>
      <c r="I168">
        <f t="shared" si="20"/>
        <v>1334.6000000000001</v>
      </c>
      <c r="J168">
        <f t="shared" si="21"/>
        <v>252.59999999999997</v>
      </c>
      <c r="L168">
        <v>0</v>
      </c>
      <c r="M168">
        <v>0.2</v>
      </c>
      <c r="N168">
        <f t="shared" si="17"/>
        <v>-0.2</v>
      </c>
      <c r="P168">
        <v>137</v>
      </c>
      <c r="Q168">
        <v>1</v>
      </c>
      <c r="R168">
        <f t="shared" si="18"/>
        <v>0.2</v>
      </c>
      <c r="S168">
        <f t="shared" si="19"/>
        <v>-0.2</v>
      </c>
      <c r="T168">
        <f t="shared" si="22"/>
        <v>153.50000000000003</v>
      </c>
      <c r="V168">
        <v>136</v>
      </c>
      <c r="W168">
        <f t="shared" si="23"/>
        <v>7042.7999999999975</v>
      </c>
      <c r="X168">
        <v>8.4421432343076503</v>
      </c>
    </row>
    <row r="169" spans="1:24" x14ac:dyDescent="0.25">
      <c r="A169">
        <v>5400</v>
      </c>
      <c r="B169">
        <v>24010</v>
      </c>
      <c r="C169" s="1">
        <v>43114</v>
      </c>
      <c r="D169">
        <v>22</v>
      </c>
      <c r="E169" s="46"/>
      <c r="F169">
        <v>2.9</v>
      </c>
      <c r="G169">
        <v>0</v>
      </c>
      <c r="H169">
        <v>4.7</v>
      </c>
      <c r="I169">
        <f t="shared" si="20"/>
        <v>1337.5000000000002</v>
      </c>
      <c r="J169">
        <f t="shared" si="21"/>
        <v>255.49999999999997</v>
      </c>
      <c r="L169">
        <v>0</v>
      </c>
      <c r="M169">
        <v>0.1</v>
      </c>
      <c r="N169">
        <f t="shared" si="17"/>
        <v>-0.1</v>
      </c>
      <c r="P169">
        <v>138</v>
      </c>
      <c r="Q169">
        <v>1</v>
      </c>
      <c r="R169">
        <f t="shared" si="18"/>
        <v>0.1</v>
      </c>
      <c r="S169">
        <f t="shared" si="19"/>
        <v>-0.1</v>
      </c>
      <c r="T169">
        <f t="shared" si="22"/>
        <v>153.40000000000003</v>
      </c>
      <c r="V169">
        <v>135.4</v>
      </c>
      <c r="W169">
        <f t="shared" si="23"/>
        <v>7178.1999999999971</v>
      </c>
      <c r="X169">
        <v>8.4734990683519236</v>
      </c>
    </row>
    <row r="170" spans="1:24" x14ac:dyDescent="0.25">
      <c r="A170">
        <v>5400</v>
      </c>
      <c r="B170">
        <v>24010</v>
      </c>
      <c r="C170" s="1">
        <v>43115</v>
      </c>
      <c r="E170" s="46"/>
      <c r="F170">
        <v>7</v>
      </c>
      <c r="G170">
        <v>3.8</v>
      </c>
      <c r="H170">
        <v>9.9</v>
      </c>
      <c r="I170">
        <f t="shared" si="20"/>
        <v>1344.5000000000002</v>
      </c>
      <c r="J170">
        <f t="shared" si="21"/>
        <v>262.5</v>
      </c>
      <c r="L170">
        <v>9.4</v>
      </c>
      <c r="M170">
        <v>0.3</v>
      </c>
      <c r="N170">
        <f t="shared" si="17"/>
        <v>9.1</v>
      </c>
      <c r="P170">
        <v>139</v>
      </c>
      <c r="Q170">
        <v>1</v>
      </c>
      <c r="R170">
        <f t="shared" si="18"/>
        <v>0.3</v>
      </c>
      <c r="S170">
        <f t="shared" si="19"/>
        <v>9.1</v>
      </c>
      <c r="T170">
        <f t="shared" si="22"/>
        <v>153.9</v>
      </c>
      <c r="V170">
        <v>115.4</v>
      </c>
      <c r="W170">
        <f t="shared" si="23"/>
        <v>7293.5999999999967</v>
      </c>
      <c r="X170">
        <v>8.5059555317085014</v>
      </c>
    </row>
    <row r="171" spans="1:24" x14ac:dyDescent="0.25">
      <c r="A171">
        <v>5400</v>
      </c>
      <c r="B171">
        <v>24010</v>
      </c>
      <c r="C171" s="1">
        <v>43116</v>
      </c>
      <c r="E171" s="46"/>
      <c r="F171">
        <v>8.1</v>
      </c>
      <c r="G171">
        <v>7.3</v>
      </c>
      <c r="H171">
        <v>9.9</v>
      </c>
      <c r="I171">
        <f t="shared" si="20"/>
        <v>1352.6000000000001</v>
      </c>
      <c r="J171">
        <f t="shared" si="21"/>
        <v>270.60000000000002</v>
      </c>
      <c r="L171">
        <v>4.9000000000000004</v>
      </c>
      <c r="M171">
        <v>0.8</v>
      </c>
      <c r="N171">
        <f t="shared" si="17"/>
        <v>4.1000000000000005</v>
      </c>
      <c r="P171">
        <v>140</v>
      </c>
      <c r="Q171">
        <v>1</v>
      </c>
      <c r="R171">
        <f t="shared" si="18"/>
        <v>0.8</v>
      </c>
      <c r="S171">
        <f t="shared" si="19"/>
        <v>4.1000000000000005</v>
      </c>
      <c r="T171">
        <f t="shared" si="22"/>
        <v>153.9</v>
      </c>
      <c r="V171">
        <v>172.5</v>
      </c>
      <c r="W171">
        <f t="shared" si="23"/>
        <v>7466.0999999999967</v>
      </c>
      <c r="X171">
        <v>8.539489124786126</v>
      </c>
    </row>
    <row r="172" spans="1:24" x14ac:dyDescent="0.25">
      <c r="A172">
        <v>5400</v>
      </c>
      <c r="B172">
        <v>24010</v>
      </c>
      <c r="C172" s="1">
        <v>43117</v>
      </c>
      <c r="E172" s="46"/>
      <c r="F172">
        <v>5.0999999999999996</v>
      </c>
      <c r="G172">
        <v>3</v>
      </c>
      <c r="H172">
        <v>9.5</v>
      </c>
      <c r="I172">
        <f t="shared" si="20"/>
        <v>1357.7</v>
      </c>
      <c r="J172">
        <f t="shared" si="21"/>
        <v>275.70000000000005</v>
      </c>
      <c r="L172">
        <v>1.2</v>
      </c>
      <c r="M172">
        <v>1.2</v>
      </c>
      <c r="N172">
        <f t="shared" si="17"/>
        <v>0</v>
      </c>
      <c r="P172">
        <v>141</v>
      </c>
      <c r="Q172">
        <v>1</v>
      </c>
      <c r="R172">
        <f t="shared" si="18"/>
        <v>1.2</v>
      </c>
      <c r="S172">
        <f t="shared" si="19"/>
        <v>0</v>
      </c>
      <c r="T172">
        <f t="shared" si="22"/>
        <v>153.9</v>
      </c>
      <c r="V172">
        <v>538.70000000000005</v>
      </c>
      <c r="W172">
        <f t="shared" si="23"/>
        <v>8004.7999999999965</v>
      </c>
      <c r="X172">
        <v>8.5740760415101995</v>
      </c>
    </row>
    <row r="173" spans="1:24" x14ac:dyDescent="0.25">
      <c r="A173">
        <v>5400</v>
      </c>
      <c r="B173">
        <v>24010</v>
      </c>
      <c r="C173" s="1">
        <v>43118</v>
      </c>
      <c r="E173" s="46"/>
      <c r="F173">
        <v>9.1</v>
      </c>
      <c r="G173">
        <v>5.2</v>
      </c>
      <c r="H173">
        <v>12</v>
      </c>
      <c r="I173">
        <f t="shared" si="20"/>
        <v>1366.8</v>
      </c>
      <c r="J173">
        <f t="shared" si="21"/>
        <v>284.80000000000007</v>
      </c>
      <c r="L173">
        <v>5</v>
      </c>
      <c r="M173">
        <v>0.3</v>
      </c>
      <c r="N173">
        <f t="shared" si="17"/>
        <v>4.7</v>
      </c>
      <c r="P173">
        <v>142</v>
      </c>
      <c r="Q173">
        <v>1</v>
      </c>
      <c r="R173">
        <f t="shared" si="18"/>
        <v>0.3</v>
      </c>
      <c r="S173">
        <f t="shared" si="19"/>
        <v>4.7</v>
      </c>
      <c r="T173">
        <f t="shared" si="22"/>
        <v>153.9</v>
      </c>
      <c r="V173">
        <v>84.1</v>
      </c>
      <c r="W173">
        <f t="shared" si="23"/>
        <v>8088.8999999999969</v>
      </c>
      <c r="X173">
        <v>8.609692222204913</v>
      </c>
    </row>
    <row r="174" spans="1:24" x14ac:dyDescent="0.25">
      <c r="A174">
        <v>5400</v>
      </c>
      <c r="B174">
        <v>24010</v>
      </c>
      <c r="C174" s="1">
        <v>43119</v>
      </c>
      <c r="D174">
        <v>23</v>
      </c>
      <c r="E174" s="46"/>
      <c r="F174">
        <v>4.8</v>
      </c>
      <c r="G174">
        <v>4.2</v>
      </c>
      <c r="H174">
        <v>6.4</v>
      </c>
      <c r="I174">
        <f t="shared" si="20"/>
        <v>1371.6</v>
      </c>
      <c r="J174">
        <f t="shared" si="21"/>
        <v>289.60000000000008</v>
      </c>
      <c r="L174">
        <v>2.7</v>
      </c>
      <c r="M174">
        <v>0.6</v>
      </c>
      <c r="N174">
        <f t="shared" si="17"/>
        <v>2.1</v>
      </c>
      <c r="P174">
        <v>143</v>
      </c>
      <c r="Q174">
        <v>1</v>
      </c>
      <c r="R174">
        <f t="shared" si="18"/>
        <v>0.6</v>
      </c>
      <c r="S174">
        <f t="shared" si="19"/>
        <v>2.1</v>
      </c>
      <c r="T174">
        <f t="shared" si="22"/>
        <v>153.9</v>
      </c>
      <c r="V174">
        <v>233.3</v>
      </c>
      <c r="W174">
        <f t="shared" si="23"/>
        <v>8322.1999999999971</v>
      </c>
      <c r="X174">
        <v>8.6463134050791552</v>
      </c>
    </row>
    <row r="175" spans="1:24" x14ac:dyDescent="0.25">
      <c r="A175">
        <v>5400</v>
      </c>
      <c r="B175">
        <v>24010</v>
      </c>
      <c r="C175" s="1">
        <v>43120</v>
      </c>
      <c r="E175" s="46"/>
      <c r="F175">
        <v>8.1999999999999993</v>
      </c>
      <c r="G175">
        <v>3.2</v>
      </c>
      <c r="H175">
        <v>10.9</v>
      </c>
      <c r="I175">
        <f t="shared" si="20"/>
        <v>1379.8</v>
      </c>
      <c r="J175">
        <f t="shared" si="21"/>
        <v>297.80000000000007</v>
      </c>
      <c r="L175">
        <v>8.4</v>
      </c>
      <c r="M175">
        <v>0.1</v>
      </c>
      <c r="N175">
        <f t="shared" si="17"/>
        <v>8.3000000000000007</v>
      </c>
      <c r="P175">
        <v>144</v>
      </c>
      <c r="Q175">
        <v>1</v>
      </c>
      <c r="R175">
        <f t="shared" si="18"/>
        <v>0.1</v>
      </c>
      <c r="S175">
        <f t="shared" si="19"/>
        <v>8.3000000000000007</v>
      </c>
      <c r="T175">
        <f t="shared" si="22"/>
        <v>153.9</v>
      </c>
      <c r="V175">
        <v>102</v>
      </c>
      <c r="W175">
        <f t="shared" si="23"/>
        <v>8424.1999999999971</v>
      </c>
      <c r="X175">
        <v>8.6839151761516504</v>
      </c>
    </row>
    <row r="176" spans="1:24" x14ac:dyDescent="0.25">
      <c r="A176">
        <v>5400</v>
      </c>
      <c r="B176">
        <v>24010</v>
      </c>
      <c r="C176" s="1">
        <v>43121</v>
      </c>
      <c r="E176" s="46"/>
      <c r="F176">
        <v>8.6999999999999993</v>
      </c>
      <c r="G176">
        <v>6.1</v>
      </c>
      <c r="H176">
        <v>11.7</v>
      </c>
      <c r="I176">
        <f t="shared" si="20"/>
        <v>1388.5</v>
      </c>
      <c r="J176">
        <f t="shared" si="21"/>
        <v>306.50000000000006</v>
      </c>
      <c r="L176">
        <v>4.5</v>
      </c>
      <c r="M176">
        <v>0.3</v>
      </c>
      <c r="N176">
        <f t="shared" si="17"/>
        <v>4.2</v>
      </c>
      <c r="P176">
        <v>145</v>
      </c>
      <c r="Q176">
        <v>1</v>
      </c>
      <c r="R176">
        <f t="shared" si="18"/>
        <v>0.3</v>
      </c>
      <c r="S176">
        <f t="shared" si="19"/>
        <v>4.2</v>
      </c>
      <c r="T176">
        <f t="shared" si="22"/>
        <v>153.9</v>
      </c>
      <c r="V176">
        <v>138.5</v>
      </c>
      <c r="W176">
        <f t="shared" si="23"/>
        <v>8562.6999999999971</v>
      </c>
      <c r="X176">
        <v>8.7224730174701541</v>
      </c>
    </row>
    <row r="177" spans="1:24" x14ac:dyDescent="0.25">
      <c r="A177">
        <v>5400</v>
      </c>
      <c r="B177">
        <v>24010</v>
      </c>
      <c r="C177" s="1">
        <v>43122</v>
      </c>
      <c r="E177" s="46"/>
      <c r="F177">
        <v>10.4</v>
      </c>
      <c r="G177">
        <v>7.8</v>
      </c>
      <c r="H177">
        <v>12.3</v>
      </c>
      <c r="I177">
        <f t="shared" si="20"/>
        <v>1398.9</v>
      </c>
      <c r="J177">
        <f t="shared" si="21"/>
        <v>316.90000000000003</v>
      </c>
      <c r="L177">
        <v>3.6</v>
      </c>
      <c r="M177">
        <v>0.2</v>
      </c>
      <c r="N177">
        <f t="shared" si="17"/>
        <v>3.4</v>
      </c>
      <c r="P177">
        <v>146</v>
      </c>
      <c r="Q177">
        <v>1</v>
      </c>
      <c r="R177">
        <f t="shared" si="18"/>
        <v>0.2</v>
      </c>
      <c r="S177">
        <f t="shared" si="19"/>
        <v>3.4</v>
      </c>
      <c r="T177">
        <f t="shared" si="22"/>
        <v>153.9</v>
      </c>
      <c r="V177">
        <v>138.4</v>
      </c>
      <c r="W177">
        <f t="shared" si="23"/>
        <v>8701.0999999999967</v>
      </c>
      <c r="X177">
        <v>8.7619623534982018</v>
      </c>
    </row>
    <row r="178" spans="1:24" x14ac:dyDescent="0.25">
      <c r="A178">
        <v>5400</v>
      </c>
      <c r="B178">
        <v>24010</v>
      </c>
      <c r="C178" s="1">
        <v>43123</v>
      </c>
      <c r="E178" s="46"/>
      <c r="F178">
        <v>9.1999999999999993</v>
      </c>
      <c r="G178">
        <v>7.2</v>
      </c>
      <c r="H178">
        <v>11.3</v>
      </c>
      <c r="I178">
        <f t="shared" si="20"/>
        <v>1408.1000000000001</v>
      </c>
      <c r="J178">
        <f t="shared" si="21"/>
        <v>326.10000000000002</v>
      </c>
      <c r="L178">
        <v>0.5</v>
      </c>
      <c r="M178">
        <v>0.3</v>
      </c>
      <c r="N178">
        <f t="shared" si="17"/>
        <v>0.2</v>
      </c>
      <c r="P178">
        <v>147</v>
      </c>
      <c r="Q178">
        <v>1</v>
      </c>
      <c r="R178">
        <f t="shared" si="18"/>
        <v>0.3</v>
      </c>
      <c r="S178">
        <f t="shared" si="19"/>
        <v>0.2</v>
      </c>
      <c r="T178">
        <f t="shared" si="22"/>
        <v>153.9</v>
      </c>
      <c r="V178">
        <v>80.599999999999994</v>
      </c>
      <c r="W178">
        <f t="shared" si="23"/>
        <v>8781.6999999999971</v>
      </c>
      <c r="X178">
        <v>8.8023585955617367</v>
      </c>
    </row>
    <row r="179" spans="1:24" x14ac:dyDescent="0.25">
      <c r="A179">
        <v>5400</v>
      </c>
      <c r="B179">
        <v>24010</v>
      </c>
      <c r="C179" s="1">
        <v>43124</v>
      </c>
      <c r="E179" s="46"/>
      <c r="F179">
        <v>11.4</v>
      </c>
      <c r="G179">
        <v>11.1</v>
      </c>
      <c r="H179">
        <v>12.2</v>
      </c>
      <c r="I179">
        <f t="shared" si="20"/>
        <v>1419.5000000000002</v>
      </c>
      <c r="J179">
        <f t="shared" si="21"/>
        <v>337.5</v>
      </c>
      <c r="L179">
        <v>3.6</v>
      </c>
      <c r="M179">
        <v>0.6</v>
      </c>
      <c r="N179">
        <f t="shared" si="17"/>
        <v>3</v>
      </c>
      <c r="P179">
        <v>148</v>
      </c>
      <c r="Q179">
        <v>1</v>
      </c>
      <c r="R179">
        <f t="shared" si="18"/>
        <v>0.6</v>
      </c>
      <c r="S179">
        <f t="shared" si="19"/>
        <v>3</v>
      </c>
      <c r="T179">
        <f t="shared" si="22"/>
        <v>153.9</v>
      </c>
      <c r="V179">
        <v>97.4</v>
      </c>
      <c r="W179">
        <f t="shared" si="23"/>
        <v>8879.0999999999967</v>
      </c>
      <c r="X179">
        <v>8.8436371842657913</v>
      </c>
    </row>
    <row r="180" spans="1:24" x14ac:dyDescent="0.25">
      <c r="A180">
        <v>5400</v>
      </c>
      <c r="B180">
        <v>24010</v>
      </c>
      <c r="C180" s="1">
        <v>43125</v>
      </c>
      <c r="E180" s="46"/>
      <c r="F180">
        <v>8.1999999999999993</v>
      </c>
      <c r="G180">
        <v>7.7</v>
      </c>
      <c r="H180">
        <v>8.4</v>
      </c>
      <c r="I180">
        <f t="shared" si="20"/>
        <v>1427.7000000000003</v>
      </c>
      <c r="J180">
        <f t="shared" si="21"/>
        <v>345.7</v>
      </c>
      <c r="L180">
        <v>2.1</v>
      </c>
      <c r="M180">
        <v>0.3</v>
      </c>
      <c r="N180">
        <f t="shared" si="17"/>
        <v>1.8</v>
      </c>
      <c r="P180">
        <v>149</v>
      </c>
      <c r="Q180">
        <v>1</v>
      </c>
      <c r="R180">
        <f t="shared" si="18"/>
        <v>0.3</v>
      </c>
      <c r="S180">
        <f t="shared" si="19"/>
        <v>1.8</v>
      </c>
      <c r="T180">
        <f t="shared" si="22"/>
        <v>153.9</v>
      </c>
      <c r="V180">
        <v>253.1</v>
      </c>
      <c r="W180">
        <f t="shared" si="23"/>
        <v>9132.1999999999971</v>
      </c>
      <c r="X180">
        <v>8.8857736298088881</v>
      </c>
    </row>
    <row r="181" spans="1:24" x14ac:dyDescent="0.25">
      <c r="A181">
        <v>5400</v>
      </c>
      <c r="B181">
        <v>24010</v>
      </c>
      <c r="C181" s="1">
        <v>43126</v>
      </c>
      <c r="E181" s="46"/>
      <c r="F181">
        <v>5.9</v>
      </c>
      <c r="G181">
        <v>5.2</v>
      </c>
      <c r="H181">
        <v>7.3</v>
      </c>
      <c r="I181">
        <f t="shared" si="20"/>
        <v>1433.6000000000004</v>
      </c>
      <c r="J181">
        <f t="shared" si="21"/>
        <v>351.59999999999997</v>
      </c>
      <c r="L181">
        <v>1.2</v>
      </c>
      <c r="M181">
        <v>0.4</v>
      </c>
      <c r="N181">
        <f t="shared" si="17"/>
        <v>0.79999999999999993</v>
      </c>
      <c r="P181">
        <v>150</v>
      </c>
      <c r="Q181">
        <v>1</v>
      </c>
      <c r="R181">
        <f t="shared" si="18"/>
        <v>0.4</v>
      </c>
      <c r="S181">
        <f t="shared" si="19"/>
        <v>0.79999999999999993</v>
      </c>
      <c r="T181">
        <f t="shared" si="22"/>
        <v>153.9</v>
      </c>
      <c r="V181">
        <v>346.2</v>
      </c>
      <c r="W181">
        <f t="shared" si="23"/>
        <v>9478.3999999999978</v>
      </c>
      <c r="X181">
        <v>8.9287435501393659</v>
      </c>
    </row>
    <row r="182" spans="1:24" x14ac:dyDescent="0.25">
      <c r="A182">
        <v>5400</v>
      </c>
      <c r="B182">
        <v>24010</v>
      </c>
      <c r="C182" s="1">
        <v>43127</v>
      </c>
      <c r="D182">
        <v>24</v>
      </c>
      <c r="E182" s="46"/>
      <c r="F182">
        <v>4</v>
      </c>
      <c r="G182">
        <v>3.2</v>
      </c>
      <c r="H182">
        <v>5.7</v>
      </c>
      <c r="I182">
        <f t="shared" si="20"/>
        <v>1437.6000000000004</v>
      </c>
      <c r="J182">
        <f t="shared" si="21"/>
        <v>355.59999999999997</v>
      </c>
      <c r="L182">
        <v>0.2</v>
      </c>
      <c r="M182">
        <v>0.3</v>
      </c>
      <c r="N182">
        <f t="shared" si="17"/>
        <v>-9.9999999999999978E-2</v>
      </c>
      <c r="P182">
        <v>151</v>
      </c>
      <c r="Q182">
        <v>1</v>
      </c>
      <c r="R182">
        <f t="shared" si="18"/>
        <v>0.3</v>
      </c>
      <c r="S182">
        <f t="shared" si="19"/>
        <v>-9.9999999999999978E-2</v>
      </c>
      <c r="T182">
        <f t="shared" si="22"/>
        <v>153.80000000000001</v>
      </c>
      <c r="V182">
        <v>186.9</v>
      </c>
      <c r="W182">
        <f t="shared" si="23"/>
        <v>9665.2999999999975</v>
      </c>
      <c r="X182">
        <v>8.9725227069135336</v>
      </c>
    </row>
    <row r="183" spans="1:24" x14ac:dyDescent="0.25">
      <c r="A183">
        <v>5400</v>
      </c>
      <c r="B183">
        <v>24010</v>
      </c>
      <c r="C183" s="1">
        <v>43128</v>
      </c>
      <c r="E183" s="46"/>
      <c r="F183">
        <v>8.1</v>
      </c>
      <c r="G183">
        <v>4.3</v>
      </c>
      <c r="H183">
        <v>9.9</v>
      </c>
      <c r="I183">
        <f t="shared" si="20"/>
        <v>1445.7000000000003</v>
      </c>
      <c r="J183">
        <f t="shared" si="21"/>
        <v>363.7</v>
      </c>
      <c r="L183">
        <v>0.3</v>
      </c>
      <c r="M183">
        <v>0.1</v>
      </c>
      <c r="N183">
        <f t="shared" si="17"/>
        <v>0.19999999999999998</v>
      </c>
      <c r="P183">
        <v>152</v>
      </c>
      <c r="Q183">
        <v>1</v>
      </c>
      <c r="R183">
        <f t="shared" si="18"/>
        <v>0.1</v>
      </c>
      <c r="S183">
        <f t="shared" si="19"/>
        <v>0.19999999999999998</v>
      </c>
      <c r="T183">
        <f t="shared" si="22"/>
        <v>153.9</v>
      </c>
      <c r="V183">
        <v>122.3</v>
      </c>
      <c r="W183">
        <f t="shared" si="23"/>
        <v>9787.5999999999967</v>
      </c>
      <c r="X183">
        <v>9.017087039230244</v>
      </c>
    </row>
    <row r="184" spans="1:24" x14ac:dyDescent="0.25">
      <c r="A184">
        <v>5400</v>
      </c>
      <c r="B184">
        <v>24010</v>
      </c>
      <c r="C184" s="1">
        <v>43129</v>
      </c>
      <c r="E184" s="46"/>
      <c r="F184">
        <v>9.5</v>
      </c>
      <c r="G184">
        <v>9</v>
      </c>
      <c r="H184">
        <v>10.1</v>
      </c>
      <c r="I184">
        <f t="shared" si="20"/>
        <v>1455.2000000000003</v>
      </c>
      <c r="J184">
        <f t="shared" si="21"/>
        <v>373.2</v>
      </c>
      <c r="L184">
        <v>0.2</v>
      </c>
      <c r="M184">
        <v>0.3</v>
      </c>
      <c r="N184">
        <f t="shared" si="17"/>
        <v>-9.9999999999999978E-2</v>
      </c>
      <c r="P184">
        <v>153</v>
      </c>
      <c r="Q184">
        <v>1</v>
      </c>
      <c r="R184">
        <f t="shared" si="18"/>
        <v>0.3</v>
      </c>
      <c r="S184">
        <f t="shared" si="19"/>
        <v>-9.9999999999999978E-2</v>
      </c>
      <c r="T184">
        <f t="shared" si="22"/>
        <v>153.80000000000001</v>
      </c>
      <c r="V184">
        <v>104.4</v>
      </c>
      <c r="W184">
        <f t="shared" si="23"/>
        <v>9891.9999999999964</v>
      </c>
      <c r="X184">
        <v>9.0624126951302664</v>
      </c>
    </row>
    <row r="185" spans="1:24" x14ac:dyDescent="0.25">
      <c r="A185">
        <v>5400</v>
      </c>
      <c r="B185">
        <v>24010</v>
      </c>
      <c r="C185" s="1">
        <v>43130</v>
      </c>
      <c r="E185" s="46"/>
      <c r="F185">
        <v>9.1999999999999993</v>
      </c>
      <c r="G185">
        <v>8.3000000000000007</v>
      </c>
      <c r="H185">
        <v>10.199999999999999</v>
      </c>
      <c r="I185">
        <f t="shared" si="20"/>
        <v>1464.4000000000003</v>
      </c>
      <c r="J185">
        <f t="shared" si="21"/>
        <v>382.4</v>
      </c>
      <c r="L185">
        <v>0.3</v>
      </c>
      <c r="M185">
        <v>0.2</v>
      </c>
      <c r="N185">
        <f t="shared" si="17"/>
        <v>9.9999999999999978E-2</v>
      </c>
      <c r="P185">
        <v>154</v>
      </c>
      <c r="Q185">
        <v>1</v>
      </c>
      <c r="R185">
        <f t="shared" si="18"/>
        <v>0.2</v>
      </c>
      <c r="S185">
        <f t="shared" si="19"/>
        <v>9.9999999999999978E-2</v>
      </c>
      <c r="T185">
        <f t="shared" si="22"/>
        <v>153.9</v>
      </c>
      <c r="V185">
        <v>90.1</v>
      </c>
      <c r="W185">
        <f t="shared" si="23"/>
        <v>9982.0999999999967</v>
      </c>
      <c r="X185">
        <v>9.1084760608613085</v>
      </c>
    </row>
    <row r="186" spans="1:24" x14ac:dyDescent="0.25">
      <c r="A186">
        <v>5400</v>
      </c>
      <c r="B186">
        <v>24010</v>
      </c>
      <c r="C186" s="1">
        <v>43131</v>
      </c>
      <c r="E186" s="46"/>
      <c r="F186">
        <v>7.3</v>
      </c>
      <c r="G186">
        <v>7.1</v>
      </c>
      <c r="H186">
        <v>8.5</v>
      </c>
      <c r="I186">
        <f t="shared" si="20"/>
        <v>1471.7000000000003</v>
      </c>
      <c r="J186">
        <f t="shared" si="21"/>
        <v>389.7</v>
      </c>
      <c r="L186">
        <v>10.1</v>
      </c>
      <c r="M186">
        <v>0.4</v>
      </c>
      <c r="N186">
        <f t="shared" si="17"/>
        <v>9.6999999999999993</v>
      </c>
      <c r="P186">
        <v>155</v>
      </c>
      <c r="Q186">
        <v>1</v>
      </c>
      <c r="R186">
        <f t="shared" si="18"/>
        <v>0.4</v>
      </c>
      <c r="S186">
        <f t="shared" si="19"/>
        <v>9.6999999999999993</v>
      </c>
      <c r="T186">
        <f t="shared" si="22"/>
        <v>153.9</v>
      </c>
      <c r="V186">
        <v>122.3</v>
      </c>
      <c r="W186">
        <f t="shared" si="23"/>
        <v>10104.399999999996</v>
      </c>
      <c r="X186">
        <v>9.1552537879212785</v>
      </c>
    </row>
    <row r="187" spans="1:24" x14ac:dyDescent="0.25">
      <c r="A187">
        <v>5400</v>
      </c>
      <c r="B187">
        <v>24010</v>
      </c>
      <c r="C187" s="1">
        <v>43132</v>
      </c>
      <c r="E187" s="46"/>
      <c r="F187">
        <v>4</v>
      </c>
      <c r="G187">
        <v>2.6</v>
      </c>
      <c r="H187">
        <v>7.2</v>
      </c>
      <c r="I187">
        <f t="shared" si="20"/>
        <v>1475.7000000000003</v>
      </c>
      <c r="J187">
        <f t="shared" si="21"/>
        <v>393.7</v>
      </c>
      <c r="L187">
        <v>0.5</v>
      </c>
      <c r="M187">
        <v>0.7</v>
      </c>
      <c r="N187">
        <f t="shared" si="17"/>
        <v>-0.19999999999999996</v>
      </c>
      <c r="P187">
        <v>156</v>
      </c>
      <c r="Q187">
        <v>1</v>
      </c>
      <c r="R187">
        <f t="shared" si="18"/>
        <v>0.7</v>
      </c>
      <c r="S187">
        <f t="shared" si="19"/>
        <v>-0.19999999999999996</v>
      </c>
      <c r="T187">
        <f t="shared" si="22"/>
        <v>153.70000000000002</v>
      </c>
      <c r="V187">
        <v>349.3</v>
      </c>
      <c r="W187">
        <f t="shared" si="23"/>
        <v>10453.699999999995</v>
      </c>
      <c r="X187">
        <v>9.2027228179026626</v>
      </c>
    </row>
    <row r="188" spans="1:24" x14ac:dyDescent="0.25">
      <c r="A188">
        <v>5400</v>
      </c>
      <c r="B188">
        <v>24010</v>
      </c>
      <c r="C188" s="1">
        <v>43133</v>
      </c>
      <c r="E188" s="46"/>
      <c r="F188">
        <v>3.5</v>
      </c>
      <c r="G188">
        <v>1.3</v>
      </c>
      <c r="H188">
        <v>6.5</v>
      </c>
      <c r="I188">
        <f t="shared" si="20"/>
        <v>1479.2000000000003</v>
      </c>
      <c r="J188">
        <f t="shared" si="21"/>
        <v>397.2</v>
      </c>
      <c r="L188">
        <v>0.7</v>
      </c>
      <c r="M188">
        <v>0.5</v>
      </c>
      <c r="N188">
        <f t="shared" si="17"/>
        <v>0.19999999999999996</v>
      </c>
      <c r="P188">
        <v>157</v>
      </c>
      <c r="Q188">
        <v>1</v>
      </c>
      <c r="R188">
        <f t="shared" si="18"/>
        <v>0.5</v>
      </c>
      <c r="S188">
        <f t="shared" si="19"/>
        <v>0.19999999999999996</v>
      </c>
      <c r="T188">
        <f t="shared" si="22"/>
        <v>153.9</v>
      </c>
      <c r="V188">
        <v>529.70000000000005</v>
      </c>
      <c r="W188">
        <f t="shared" si="23"/>
        <v>10983.399999999996</v>
      </c>
      <c r="X188">
        <v>9.250860405170398</v>
      </c>
    </row>
    <row r="189" spans="1:24" x14ac:dyDescent="0.25">
      <c r="A189">
        <v>5400</v>
      </c>
      <c r="B189">
        <v>24010</v>
      </c>
      <c r="C189" s="1">
        <v>43134</v>
      </c>
      <c r="E189" s="46"/>
      <c r="F189">
        <v>3.3</v>
      </c>
      <c r="G189">
        <v>0.9</v>
      </c>
      <c r="H189">
        <v>4.5999999999999996</v>
      </c>
      <c r="I189">
        <f t="shared" si="20"/>
        <v>1482.5000000000002</v>
      </c>
      <c r="J189">
        <f t="shared" si="21"/>
        <v>400.5</v>
      </c>
      <c r="L189">
        <v>3.7</v>
      </c>
      <c r="M189">
        <v>0</v>
      </c>
      <c r="N189">
        <f t="shared" si="17"/>
        <v>3.7</v>
      </c>
      <c r="P189">
        <v>158</v>
      </c>
      <c r="Q189">
        <v>1</v>
      </c>
      <c r="R189">
        <f t="shared" si="18"/>
        <v>0</v>
      </c>
      <c r="S189">
        <f t="shared" si="19"/>
        <v>3.7</v>
      </c>
      <c r="T189">
        <f t="shared" si="22"/>
        <v>153.9</v>
      </c>
      <c r="V189">
        <v>128.4</v>
      </c>
      <c r="W189">
        <f t="shared" si="23"/>
        <v>11111.799999999996</v>
      </c>
      <c r="X189">
        <v>9.2996441374138605</v>
      </c>
    </row>
    <row r="190" spans="1:24" x14ac:dyDescent="0.25">
      <c r="A190">
        <v>5400</v>
      </c>
      <c r="B190">
        <v>24010</v>
      </c>
      <c r="C190" s="1">
        <v>43135</v>
      </c>
      <c r="E190" s="46"/>
      <c r="F190">
        <v>1.5</v>
      </c>
      <c r="G190">
        <v>0.9</v>
      </c>
      <c r="H190">
        <v>2.2000000000000002</v>
      </c>
      <c r="I190">
        <f t="shared" si="20"/>
        <v>1484.0000000000002</v>
      </c>
      <c r="J190">
        <f t="shared" si="21"/>
        <v>402</v>
      </c>
      <c r="L190">
        <v>0.9</v>
      </c>
      <c r="M190">
        <v>0.2</v>
      </c>
      <c r="N190">
        <f t="shared" si="17"/>
        <v>0.7</v>
      </c>
      <c r="P190">
        <v>159</v>
      </c>
      <c r="Q190">
        <v>1</v>
      </c>
      <c r="R190">
        <f t="shared" si="18"/>
        <v>0.2</v>
      </c>
      <c r="S190">
        <f t="shared" si="19"/>
        <v>0.7</v>
      </c>
      <c r="T190">
        <f t="shared" si="22"/>
        <v>153.9</v>
      </c>
      <c r="V190">
        <v>260.3</v>
      </c>
      <c r="W190">
        <f t="shared" si="23"/>
        <v>11372.099999999995</v>
      </c>
      <c r="X190">
        <v>9.3490519541209309</v>
      </c>
    </row>
    <row r="191" spans="1:24" x14ac:dyDescent="0.25">
      <c r="A191">
        <v>5400</v>
      </c>
      <c r="B191">
        <v>24010</v>
      </c>
      <c r="C191" s="1">
        <v>43136</v>
      </c>
      <c r="E191" s="46"/>
      <c r="F191">
        <v>-0.5</v>
      </c>
      <c r="G191">
        <v>-2</v>
      </c>
      <c r="H191">
        <v>0.2</v>
      </c>
      <c r="I191">
        <v>1484</v>
      </c>
      <c r="J191">
        <v>402</v>
      </c>
      <c r="L191">
        <v>0</v>
      </c>
      <c r="M191">
        <v>0.2</v>
      </c>
      <c r="N191">
        <f t="shared" si="17"/>
        <v>-0.2</v>
      </c>
      <c r="P191">
        <v>160</v>
      </c>
      <c r="Q191">
        <v>1</v>
      </c>
      <c r="R191">
        <f t="shared" si="18"/>
        <v>0.2</v>
      </c>
      <c r="S191">
        <f t="shared" si="19"/>
        <v>-0.2</v>
      </c>
      <c r="T191">
        <f t="shared" si="22"/>
        <v>153.70000000000002</v>
      </c>
      <c r="V191">
        <v>188.4</v>
      </c>
      <c r="W191">
        <f t="shared" si="23"/>
        <v>11560.499999999995</v>
      </c>
      <c r="X191">
        <v>9.3990621630283364</v>
      </c>
    </row>
    <row r="192" spans="1:24" x14ac:dyDescent="0.25">
      <c r="A192">
        <v>5400</v>
      </c>
      <c r="B192">
        <v>24010</v>
      </c>
      <c r="C192" s="1">
        <v>43137</v>
      </c>
      <c r="E192" s="46"/>
      <c r="F192">
        <v>-0.7</v>
      </c>
      <c r="G192">
        <v>-1.2</v>
      </c>
      <c r="H192">
        <v>-0.1</v>
      </c>
      <c r="I192">
        <v>1484</v>
      </c>
      <c r="J192">
        <v>402</v>
      </c>
      <c r="L192">
        <v>0.5</v>
      </c>
      <c r="M192">
        <v>0.2</v>
      </c>
      <c r="N192">
        <f t="shared" si="17"/>
        <v>0.3</v>
      </c>
      <c r="P192">
        <v>161</v>
      </c>
      <c r="Q192">
        <v>1</v>
      </c>
      <c r="R192">
        <f t="shared" si="18"/>
        <v>0.2</v>
      </c>
      <c r="S192">
        <f t="shared" si="19"/>
        <v>0.3</v>
      </c>
      <c r="T192">
        <f t="shared" si="22"/>
        <v>153.9</v>
      </c>
      <c r="V192">
        <v>91.8</v>
      </c>
      <c r="W192">
        <f t="shared" si="23"/>
        <v>11652.299999999994</v>
      </c>
      <c r="X192">
        <v>9.449653454607871</v>
      </c>
    </row>
    <row r="193" spans="1:24" x14ac:dyDescent="0.25">
      <c r="A193">
        <v>5400</v>
      </c>
      <c r="B193">
        <v>24010</v>
      </c>
      <c r="C193" s="1">
        <v>43138</v>
      </c>
      <c r="E193" s="46"/>
      <c r="F193">
        <v>-1.7</v>
      </c>
      <c r="G193">
        <v>-2.1</v>
      </c>
      <c r="H193">
        <v>-0.8</v>
      </c>
      <c r="I193">
        <v>1484</v>
      </c>
      <c r="J193">
        <v>402</v>
      </c>
      <c r="L193">
        <v>0</v>
      </c>
      <c r="M193">
        <v>0.3</v>
      </c>
      <c r="N193">
        <f t="shared" si="17"/>
        <v>-0.3</v>
      </c>
      <c r="P193">
        <v>162</v>
      </c>
      <c r="Q193">
        <v>1</v>
      </c>
      <c r="R193">
        <f t="shared" si="18"/>
        <v>0.3</v>
      </c>
      <c r="S193">
        <f t="shared" si="19"/>
        <v>-0.3</v>
      </c>
      <c r="T193">
        <f t="shared" si="22"/>
        <v>153.6</v>
      </c>
      <c r="V193">
        <v>119</v>
      </c>
      <c r="W193">
        <f t="shared" si="23"/>
        <v>11771.299999999994</v>
      </c>
      <c r="X193">
        <v>9.5008049146525337</v>
      </c>
    </row>
    <row r="194" spans="1:24" x14ac:dyDescent="0.25">
      <c r="A194">
        <v>5400</v>
      </c>
      <c r="B194">
        <v>24010</v>
      </c>
      <c r="C194" s="1">
        <v>43139</v>
      </c>
      <c r="E194" s="46"/>
      <c r="F194">
        <v>-3.8</v>
      </c>
      <c r="G194">
        <v>-7.7</v>
      </c>
      <c r="H194">
        <v>2.2999999999999998</v>
      </c>
      <c r="I194">
        <v>1484</v>
      </c>
      <c r="J194">
        <v>402</v>
      </c>
      <c r="L194">
        <v>0</v>
      </c>
      <c r="M194">
        <v>0.8</v>
      </c>
      <c r="N194">
        <f t="shared" si="17"/>
        <v>-0.8</v>
      </c>
      <c r="P194">
        <v>163</v>
      </c>
      <c r="Q194">
        <v>1</v>
      </c>
      <c r="R194">
        <f t="shared" si="18"/>
        <v>0.8</v>
      </c>
      <c r="S194">
        <f t="shared" si="19"/>
        <v>-0.8</v>
      </c>
      <c r="T194">
        <f t="shared" si="22"/>
        <v>152.79999999999998</v>
      </c>
      <c r="V194">
        <v>862.1</v>
      </c>
      <c r="W194">
        <f t="shared" si="23"/>
        <v>12633.399999999994</v>
      </c>
      <c r="X194">
        <v>9.5524960350301953</v>
      </c>
    </row>
    <row r="195" spans="1:24" x14ac:dyDescent="0.25">
      <c r="A195">
        <v>5400</v>
      </c>
      <c r="B195">
        <v>24010</v>
      </c>
      <c r="C195" s="1">
        <v>43140</v>
      </c>
      <c r="E195" s="46"/>
      <c r="F195">
        <v>-2.2999999999999998</v>
      </c>
      <c r="G195">
        <v>-6.4</v>
      </c>
      <c r="H195">
        <v>0.2</v>
      </c>
      <c r="I195">
        <v>1484</v>
      </c>
      <c r="J195">
        <v>402</v>
      </c>
      <c r="L195">
        <v>0.5</v>
      </c>
      <c r="M195">
        <v>0.2</v>
      </c>
      <c r="N195">
        <f t="shared" si="17"/>
        <v>0.3</v>
      </c>
      <c r="P195">
        <v>164</v>
      </c>
      <c r="Q195">
        <v>1</v>
      </c>
      <c r="R195">
        <f t="shared" si="18"/>
        <v>0.2</v>
      </c>
      <c r="S195">
        <f t="shared" si="19"/>
        <v>0.3</v>
      </c>
      <c r="T195">
        <f t="shared" si="22"/>
        <v>153.1</v>
      </c>
      <c r="V195">
        <v>123.9</v>
      </c>
      <c r="W195">
        <f t="shared" si="23"/>
        <v>12757.299999999994</v>
      </c>
      <c r="X195">
        <v>9.6047067226752993</v>
      </c>
    </row>
    <row r="196" spans="1:24" x14ac:dyDescent="0.25">
      <c r="A196">
        <v>5400</v>
      </c>
      <c r="B196">
        <v>24010</v>
      </c>
      <c r="C196" s="1">
        <v>43141</v>
      </c>
      <c r="E196" s="46"/>
      <c r="F196">
        <v>-0.3</v>
      </c>
      <c r="G196">
        <v>-6.5</v>
      </c>
      <c r="H196">
        <v>4</v>
      </c>
      <c r="I196">
        <v>1484</v>
      </c>
      <c r="J196">
        <v>402</v>
      </c>
      <c r="L196">
        <v>2.2000000000000002</v>
      </c>
      <c r="M196">
        <v>0.6</v>
      </c>
      <c r="N196">
        <f t="shared" si="17"/>
        <v>1.6</v>
      </c>
      <c r="P196">
        <v>165</v>
      </c>
      <c r="Q196">
        <v>1</v>
      </c>
      <c r="R196">
        <f t="shared" si="18"/>
        <v>0.6</v>
      </c>
      <c r="S196">
        <f t="shared" si="19"/>
        <v>1.6</v>
      </c>
      <c r="T196">
        <f t="shared" si="22"/>
        <v>153.9</v>
      </c>
      <c r="V196">
        <v>821.4</v>
      </c>
      <c r="W196">
        <f t="shared" si="23"/>
        <v>13578.699999999993</v>
      </c>
      <c r="X196">
        <v>9.657417306891162</v>
      </c>
    </row>
    <row r="197" spans="1:24" x14ac:dyDescent="0.25">
      <c r="A197">
        <v>5400</v>
      </c>
      <c r="B197">
        <v>24010</v>
      </c>
      <c r="C197" s="1">
        <v>43142</v>
      </c>
      <c r="E197" s="46"/>
      <c r="F197">
        <v>3.7</v>
      </c>
      <c r="G197">
        <v>2.5</v>
      </c>
      <c r="H197">
        <v>6.7</v>
      </c>
      <c r="I197">
        <f t="shared" si="20"/>
        <v>1487.7</v>
      </c>
      <c r="J197">
        <f t="shared" si="21"/>
        <v>405.7</v>
      </c>
      <c r="L197">
        <v>1</v>
      </c>
      <c r="M197">
        <v>0.9</v>
      </c>
      <c r="N197">
        <f t="shared" ref="N197:N260" si="24">L197-M197</f>
        <v>9.9999999999999978E-2</v>
      </c>
      <c r="P197">
        <v>166</v>
      </c>
      <c r="Q197">
        <v>1</v>
      </c>
      <c r="R197">
        <f t="shared" ref="R197:R260" si="25">Q197*M197</f>
        <v>0.9</v>
      </c>
      <c r="S197">
        <f t="shared" ref="S197:S260" si="26">L197-R197</f>
        <v>9.9999999999999978E-2</v>
      </c>
      <c r="T197">
        <f t="shared" si="22"/>
        <v>153.9</v>
      </c>
      <c r="V197">
        <v>683.1</v>
      </c>
      <c r="W197">
        <f t="shared" si="23"/>
        <v>14261.799999999994</v>
      </c>
      <c r="X197">
        <v>9.7106085450368376</v>
      </c>
    </row>
    <row r="198" spans="1:24" x14ac:dyDescent="0.25">
      <c r="A198">
        <v>5400</v>
      </c>
      <c r="B198">
        <v>24010</v>
      </c>
      <c r="C198" s="1">
        <v>43143</v>
      </c>
      <c r="E198" s="46"/>
      <c r="F198">
        <v>1.9</v>
      </c>
      <c r="G198">
        <v>-0.8</v>
      </c>
      <c r="H198">
        <v>5.0999999999999996</v>
      </c>
      <c r="I198">
        <f t="shared" si="20"/>
        <v>1489.6000000000001</v>
      </c>
      <c r="J198">
        <f t="shared" si="21"/>
        <v>407.59999999999997</v>
      </c>
      <c r="L198">
        <v>0</v>
      </c>
      <c r="M198">
        <v>0.9</v>
      </c>
      <c r="N198">
        <f t="shared" si="24"/>
        <v>-0.9</v>
      </c>
      <c r="P198">
        <v>167</v>
      </c>
      <c r="Q198">
        <v>1</v>
      </c>
      <c r="R198">
        <f t="shared" si="25"/>
        <v>0.9</v>
      </c>
      <c r="S198">
        <f t="shared" si="26"/>
        <v>-0.9</v>
      </c>
      <c r="T198">
        <f t="shared" si="22"/>
        <v>153</v>
      </c>
      <c r="V198">
        <v>1051.3</v>
      </c>
      <c r="W198">
        <f t="shared" si="23"/>
        <v>15313.099999999993</v>
      </c>
      <c r="X198">
        <v>9.7642616266734485</v>
      </c>
    </row>
    <row r="199" spans="1:24" x14ac:dyDescent="0.25">
      <c r="A199">
        <v>5400</v>
      </c>
      <c r="B199">
        <v>24010</v>
      </c>
      <c r="C199" s="1">
        <v>43144</v>
      </c>
      <c r="E199" s="46"/>
      <c r="F199">
        <v>0.5</v>
      </c>
      <c r="G199">
        <v>-0.8</v>
      </c>
      <c r="H199">
        <v>2.1</v>
      </c>
      <c r="I199">
        <f t="shared" si="20"/>
        <v>1490.1000000000001</v>
      </c>
      <c r="J199">
        <f t="shared" si="21"/>
        <v>408.09999999999997</v>
      </c>
      <c r="L199">
        <v>0.8</v>
      </c>
      <c r="M199">
        <v>0.4</v>
      </c>
      <c r="N199">
        <f t="shared" si="24"/>
        <v>0.4</v>
      </c>
      <c r="P199">
        <v>168</v>
      </c>
      <c r="Q199">
        <v>1</v>
      </c>
      <c r="R199">
        <f t="shared" si="25"/>
        <v>0.4</v>
      </c>
      <c r="S199">
        <f t="shared" si="26"/>
        <v>0.4</v>
      </c>
      <c r="T199">
        <f t="shared" si="22"/>
        <v>153.4</v>
      </c>
      <c r="V199">
        <v>384.6</v>
      </c>
      <c r="W199">
        <f t="shared" si="23"/>
        <v>15697.699999999993</v>
      </c>
      <c r="X199">
        <v>9.818358176245038</v>
      </c>
    </row>
    <row r="200" spans="1:24" x14ac:dyDescent="0.25">
      <c r="A200">
        <v>5400</v>
      </c>
      <c r="B200">
        <v>24010</v>
      </c>
      <c r="C200" s="1">
        <v>43145</v>
      </c>
      <c r="E200" s="46"/>
      <c r="F200">
        <v>1.5</v>
      </c>
      <c r="G200">
        <v>-2.4</v>
      </c>
      <c r="H200">
        <v>7.9</v>
      </c>
      <c r="I200">
        <f t="shared" si="20"/>
        <v>1491.6000000000001</v>
      </c>
      <c r="J200">
        <f t="shared" si="21"/>
        <v>409.59999999999997</v>
      </c>
      <c r="L200">
        <v>5.0999999999999996</v>
      </c>
      <c r="M200">
        <v>0.6</v>
      </c>
      <c r="N200">
        <f t="shared" si="24"/>
        <v>4.5</v>
      </c>
      <c r="P200">
        <v>169</v>
      </c>
      <c r="Q200">
        <v>1</v>
      </c>
      <c r="R200">
        <f t="shared" si="25"/>
        <v>0.6</v>
      </c>
      <c r="S200">
        <f t="shared" si="26"/>
        <v>4.5</v>
      </c>
      <c r="T200">
        <f t="shared" si="22"/>
        <v>153.9</v>
      </c>
      <c r="V200">
        <v>226.3</v>
      </c>
      <c r="W200">
        <f t="shared" si="23"/>
        <v>15923.999999999993</v>
      </c>
      <c r="X200">
        <v>9.8728802543688801</v>
      </c>
    </row>
    <row r="201" spans="1:24" x14ac:dyDescent="0.25">
      <c r="A201">
        <v>5400</v>
      </c>
      <c r="B201">
        <v>24010</v>
      </c>
      <c r="C201" s="1">
        <v>43146</v>
      </c>
      <c r="E201" s="46"/>
      <c r="F201">
        <v>8.1999999999999993</v>
      </c>
      <c r="G201">
        <v>4</v>
      </c>
      <c r="H201">
        <v>11.5</v>
      </c>
      <c r="I201">
        <f t="shared" si="20"/>
        <v>1499.8000000000002</v>
      </c>
      <c r="J201">
        <f t="shared" si="21"/>
        <v>417.79999999999995</v>
      </c>
      <c r="L201">
        <v>3.2</v>
      </c>
      <c r="M201">
        <v>0.2</v>
      </c>
      <c r="N201">
        <f t="shared" si="24"/>
        <v>3</v>
      </c>
      <c r="P201">
        <v>170</v>
      </c>
      <c r="Q201">
        <v>1</v>
      </c>
      <c r="R201">
        <f t="shared" si="25"/>
        <v>0.2</v>
      </c>
      <c r="S201">
        <f t="shared" si="26"/>
        <v>3</v>
      </c>
      <c r="T201">
        <f t="shared" si="22"/>
        <v>153.9</v>
      </c>
      <c r="V201">
        <v>146.9</v>
      </c>
      <c r="W201">
        <f t="shared" si="23"/>
        <v>16070.899999999992</v>
      </c>
      <c r="X201">
        <v>9.9278103578094559</v>
      </c>
    </row>
    <row r="202" spans="1:24" x14ac:dyDescent="0.25">
      <c r="A202">
        <v>5400</v>
      </c>
      <c r="B202">
        <v>24010</v>
      </c>
      <c r="C202" s="1">
        <v>43147</v>
      </c>
      <c r="E202" s="46"/>
      <c r="F202">
        <v>4.4000000000000004</v>
      </c>
      <c r="G202">
        <v>-0.5</v>
      </c>
      <c r="H202">
        <v>7.8</v>
      </c>
      <c r="I202">
        <f t="shared" si="20"/>
        <v>1504.2000000000003</v>
      </c>
      <c r="J202">
        <f t="shared" si="21"/>
        <v>422.19999999999993</v>
      </c>
      <c r="L202">
        <v>2.7</v>
      </c>
      <c r="M202">
        <v>0.6</v>
      </c>
      <c r="N202">
        <f t="shared" si="24"/>
        <v>2.1</v>
      </c>
      <c r="P202">
        <v>171</v>
      </c>
      <c r="Q202">
        <v>1</v>
      </c>
      <c r="R202">
        <f t="shared" si="25"/>
        <v>0.6</v>
      </c>
      <c r="S202">
        <f t="shared" si="26"/>
        <v>2.1</v>
      </c>
      <c r="T202">
        <f t="shared" si="22"/>
        <v>153.9</v>
      </c>
      <c r="V202">
        <v>785.9</v>
      </c>
      <c r="W202">
        <f t="shared" si="23"/>
        <v>16856.799999999992</v>
      </c>
      <c r="X202">
        <v>9.9831314182093589</v>
      </c>
    </row>
    <row r="203" spans="1:24" x14ac:dyDescent="0.25">
      <c r="A203">
        <v>5400</v>
      </c>
      <c r="B203">
        <v>24010</v>
      </c>
      <c r="C203" s="1">
        <v>43148</v>
      </c>
      <c r="E203" s="46"/>
      <c r="F203">
        <v>4</v>
      </c>
      <c r="G203">
        <v>3.5</v>
      </c>
      <c r="H203">
        <v>6.4</v>
      </c>
      <c r="I203">
        <f t="shared" si="20"/>
        <v>1508.2000000000003</v>
      </c>
      <c r="J203">
        <f t="shared" si="21"/>
        <v>426.19999999999993</v>
      </c>
      <c r="L203">
        <v>0.9</v>
      </c>
      <c r="M203">
        <v>0.5</v>
      </c>
      <c r="N203">
        <f t="shared" si="24"/>
        <v>0.4</v>
      </c>
      <c r="P203">
        <v>172</v>
      </c>
      <c r="Q203">
        <v>1</v>
      </c>
      <c r="R203">
        <f t="shared" si="25"/>
        <v>0.5</v>
      </c>
      <c r="S203">
        <f t="shared" si="26"/>
        <v>0.4</v>
      </c>
      <c r="T203">
        <f t="shared" si="22"/>
        <v>153.9</v>
      </c>
      <c r="V203">
        <v>228.7</v>
      </c>
      <c r="W203">
        <f t="shared" si="23"/>
        <v>17085.499999999993</v>
      </c>
      <c r="X203">
        <v>10.038826799648936</v>
      </c>
    </row>
    <row r="204" spans="1:24" x14ac:dyDescent="0.25">
      <c r="A204">
        <v>5400</v>
      </c>
      <c r="B204">
        <v>24010</v>
      </c>
      <c r="C204" s="1">
        <v>43149</v>
      </c>
      <c r="E204" s="46"/>
      <c r="F204">
        <v>2.4</v>
      </c>
      <c r="G204">
        <v>-1.5</v>
      </c>
      <c r="H204">
        <v>6.9</v>
      </c>
      <c r="I204">
        <f t="shared" si="20"/>
        <v>1510.6000000000004</v>
      </c>
      <c r="J204">
        <f t="shared" si="21"/>
        <v>428.59999999999991</v>
      </c>
      <c r="L204">
        <v>0.1</v>
      </c>
      <c r="M204">
        <v>0.7</v>
      </c>
      <c r="N204">
        <f t="shared" si="24"/>
        <v>-0.6</v>
      </c>
      <c r="P204">
        <v>173</v>
      </c>
      <c r="Q204">
        <v>1</v>
      </c>
      <c r="R204">
        <f t="shared" si="25"/>
        <v>0.7</v>
      </c>
      <c r="S204">
        <f t="shared" si="26"/>
        <v>-0.6</v>
      </c>
      <c r="T204">
        <f t="shared" si="22"/>
        <v>153.30000000000001</v>
      </c>
      <c r="V204">
        <v>668.3</v>
      </c>
      <c r="W204">
        <f t="shared" si="23"/>
        <v>17753.799999999992</v>
      </c>
      <c r="X204">
        <v>10.094880295104829</v>
      </c>
    </row>
    <row r="205" spans="1:24" x14ac:dyDescent="0.25">
      <c r="A205">
        <v>5400</v>
      </c>
      <c r="B205">
        <v>24010</v>
      </c>
      <c r="C205" s="1">
        <v>43150</v>
      </c>
      <c r="E205" s="46"/>
      <c r="F205">
        <v>4.9000000000000004</v>
      </c>
      <c r="G205">
        <v>0.8</v>
      </c>
      <c r="H205">
        <v>7.9</v>
      </c>
      <c r="I205">
        <f t="shared" si="20"/>
        <v>1515.5000000000005</v>
      </c>
      <c r="J205">
        <f t="shared" si="21"/>
        <v>433.49999999999989</v>
      </c>
      <c r="L205">
        <v>5.7</v>
      </c>
      <c r="M205">
        <v>0.2</v>
      </c>
      <c r="N205">
        <f t="shared" si="24"/>
        <v>5.5</v>
      </c>
      <c r="P205">
        <v>174</v>
      </c>
      <c r="Q205">
        <v>1</v>
      </c>
      <c r="R205">
        <f t="shared" si="25"/>
        <v>0.2</v>
      </c>
      <c r="S205">
        <f t="shared" si="26"/>
        <v>5.5</v>
      </c>
      <c r="T205">
        <f t="shared" si="22"/>
        <v>153.9</v>
      </c>
      <c r="V205">
        <v>128.1</v>
      </c>
      <c r="W205">
        <f t="shared" si="23"/>
        <v>17881.899999999991</v>
      </c>
      <c r="X205">
        <v>10.151276121875741</v>
      </c>
    </row>
    <row r="206" spans="1:24" x14ac:dyDescent="0.25">
      <c r="A206">
        <v>5400</v>
      </c>
      <c r="B206">
        <v>24010</v>
      </c>
      <c r="C206" s="1">
        <v>43151</v>
      </c>
      <c r="E206" s="46"/>
      <c r="F206">
        <v>5.5</v>
      </c>
      <c r="G206">
        <v>5.3</v>
      </c>
      <c r="H206">
        <v>6</v>
      </c>
      <c r="I206">
        <f t="shared" si="20"/>
        <v>1521.0000000000005</v>
      </c>
      <c r="J206">
        <f t="shared" si="21"/>
        <v>438.99999999999989</v>
      </c>
      <c r="L206">
        <v>4.2</v>
      </c>
      <c r="M206">
        <v>0.2</v>
      </c>
      <c r="N206">
        <f t="shared" si="24"/>
        <v>4</v>
      </c>
      <c r="P206">
        <v>175</v>
      </c>
      <c r="Q206">
        <v>1</v>
      </c>
      <c r="R206">
        <f t="shared" si="25"/>
        <v>0.2</v>
      </c>
      <c r="S206">
        <f t="shared" si="26"/>
        <v>4</v>
      </c>
      <c r="T206">
        <f t="shared" si="22"/>
        <v>153.9</v>
      </c>
      <c r="V206">
        <v>155.9</v>
      </c>
      <c r="W206">
        <f t="shared" si="23"/>
        <v>18037.799999999992</v>
      </c>
      <c r="X206">
        <v>10.207998916041538</v>
      </c>
    </row>
    <row r="207" spans="1:24" x14ac:dyDescent="0.25">
      <c r="A207">
        <v>5400</v>
      </c>
      <c r="B207">
        <v>24010</v>
      </c>
      <c r="C207" s="1">
        <v>43152</v>
      </c>
      <c r="E207" s="46"/>
      <c r="F207">
        <v>1.7</v>
      </c>
      <c r="G207">
        <v>0.2</v>
      </c>
      <c r="H207">
        <v>3.5</v>
      </c>
      <c r="I207">
        <f t="shared" si="20"/>
        <v>1522.7000000000005</v>
      </c>
      <c r="J207">
        <f t="shared" si="21"/>
        <v>440.69999999999987</v>
      </c>
      <c r="L207">
        <v>0</v>
      </c>
      <c r="M207">
        <v>0.8</v>
      </c>
      <c r="N207">
        <f t="shared" si="24"/>
        <v>-0.8</v>
      </c>
      <c r="P207">
        <v>176</v>
      </c>
      <c r="Q207">
        <v>1</v>
      </c>
      <c r="R207">
        <f t="shared" si="25"/>
        <v>0.8</v>
      </c>
      <c r="S207">
        <f t="shared" si="26"/>
        <v>-0.8</v>
      </c>
      <c r="T207">
        <f t="shared" si="22"/>
        <v>153.1</v>
      </c>
      <c r="V207">
        <v>950.8</v>
      </c>
      <c r="W207">
        <f t="shared" si="23"/>
        <v>18988.599999999991</v>
      </c>
      <c r="X207">
        <v>10.26503372601962</v>
      </c>
    </row>
    <row r="208" spans="1:24" x14ac:dyDescent="0.25">
      <c r="A208">
        <v>5400</v>
      </c>
      <c r="B208">
        <v>24010</v>
      </c>
      <c r="C208" s="1">
        <v>43153</v>
      </c>
      <c r="E208" s="46"/>
      <c r="F208">
        <v>0.4</v>
      </c>
      <c r="G208">
        <v>-1.9</v>
      </c>
      <c r="H208">
        <v>2.6</v>
      </c>
      <c r="I208">
        <f t="shared" si="20"/>
        <v>1523.1000000000006</v>
      </c>
      <c r="J208">
        <f t="shared" si="21"/>
        <v>441.09999999999985</v>
      </c>
      <c r="L208">
        <v>0</v>
      </c>
      <c r="M208">
        <v>1</v>
      </c>
      <c r="N208">
        <f t="shared" si="24"/>
        <v>-1</v>
      </c>
      <c r="P208">
        <v>177</v>
      </c>
      <c r="Q208">
        <v>1</v>
      </c>
      <c r="R208">
        <f t="shared" si="25"/>
        <v>1</v>
      </c>
      <c r="S208">
        <f t="shared" si="26"/>
        <v>-1</v>
      </c>
      <c r="T208">
        <f t="shared" si="22"/>
        <v>152.1</v>
      </c>
      <c r="V208">
        <v>1199.5999999999999</v>
      </c>
      <c r="W208">
        <f t="shared" si="23"/>
        <v>20188.19999999999</v>
      </c>
      <c r="X208">
        <v>10.32236600527999</v>
      </c>
    </row>
    <row r="209" spans="1:27" x14ac:dyDescent="0.25">
      <c r="A209">
        <v>5400</v>
      </c>
      <c r="B209">
        <v>24010</v>
      </c>
      <c r="C209" s="1">
        <v>43154</v>
      </c>
      <c r="E209" s="46"/>
      <c r="F209">
        <v>0.2</v>
      </c>
      <c r="G209">
        <v>-2.5</v>
      </c>
      <c r="H209">
        <v>2.7</v>
      </c>
      <c r="I209">
        <f t="shared" si="20"/>
        <v>1523.3000000000006</v>
      </c>
      <c r="J209">
        <f t="shared" si="21"/>
        <v>441.29999999999984</v>
      </c>
      <c r="L209">
        <v>0</v>
      </c>
      <c r="M209">
        <v>1.2</v>
      </c>
      <c r="N209">
        <f t="shared" si="24"/>
        <v>-1.2</v>
      </c>
      <c r="P209">
        <v>178</v>
      </c>
      <c r="Q209">
        <v>1</v>
      </c>
      <c r="R209">
        <f t="shared" si="25"/>
        <v>1.2</v>
      </c>
      <c r="S209">
        <f t="shared" si="26"/>
        <v>-1.2</v>
      </c>
      <c r="T209">
        <f t="shared" si="22"/>
        <v>150.9</v>
      </c>
      <c r="V209">
        <v>1300.8</v>
      </c>
      <c r="W209">
        <f t="shared" si="23"/>
        <v>21488.999999999989</v>
      </c>
      <c r="X209">
        <v>10.379981604278045</v>
      </c>
    </row>
    <row r="210" spans="1:27" x14ac:dyDescent="0.25">
      <c r="A210">
        <v>5400</v>
      </c>
      <c r="B210">
        <v>24010</v>
      </c>
      <c r="C210" s="1">
        <v>43155</v>
      </c>
      <c r="E210" s="46"/>
      <c r="F210">
        <v>0.7</v>
      </c>
      <c r="G210">
        <v>-2.4</v>
      </c>
      <c r="H210">
        <v>2.4</v>
      </c>
      <c r="I210">
        <f t="shared" si="20"/>
        <v>1524.0000000000007</v>
      </c>
      <c r="J210">
        <f t="shared" si="21"/>
        <v>441.99999999999983</v>
      </c>
      <c r="L210">
        <v>0</v>
      </c>
      <c r="M210">
        <v>1.2</v>
      </c>
      <c r="N210">
        <f t="shared" si="24"/>
        <v>-1.2</v>
      </c>
      <c r="P210">
        <v>179</v>
      </c>
      <c r="Q210">
        <v>1</v>
      </c>
      <c r="R210">
        <f t="shared" si="25"/>
        <v>1.2</v>
      </c>
      <c r="S210">
        <f t="shared" si="26"/>
        <v>-1.2</v>
      </c>
      <c r="T210">
        <f t="shared" si="22"/>
        <v>149.70000000000002</v>
      </c>
      <c r="V210">
        <v>1295</v>
      </c>
      <c r="W210">
        <f t="shared" si="23"/>
        <v>22783.999999999989</v>
      </c>
      <c r="X210">
        <v>10.437866761661407</v>
      </c>
    </row>
    <row r="211" spans="1:27" x14ac:dyDescent="0.25">
      <c r="A211">
        <v>5400</v>
      </c>
      <c r="B211">
        <v>24010</v>
      </c>
      <c r="C211" s="1">
        <v>43156</v>
      </c>
      <c r="E211" s="46"/>
      <c r="F211">
        <v>-0.2</v>
      </c>
      <c r="G211">
        <v>-2.2000000000000002</v>
      </c>
      <c r="H211">
        <v>1.8</v>
      </c>
      <c r="I211">
        <v>1524</v>
      </c>
      <c r="J211">
        <v>442</v>
      </c>
      <c r="L211">
        <v>0</v>
      </c>
      <c r="M211">
        <v>1.6</v>
      </c>
      <c r="N211">
        <f t="shared" si="24"/>
        <v>-1.6</v>
      </c>
      <c r="P211">
        <v>180</v>
      </c>
      <c r="Q211">
        <v>1</v>
      </c>
      <c r="R211">
        <f t="shared" si="25"/>
        <v>1.6</v>
      </c>
      <c r="S211">
        <f t="shared" si="26"/>
        <v>-1.6</v>
      </c>
      <c r="T211">
        <f t="shared" si="22"/>
        <v>148.10000000000002</v>
      </c>
      <c r="V211">
        <v>1449.8</v>
      </c>
      <c r="W211">
        <f t="shared" si="23"/>
        <v>24233.799999999988</v>
      </c>
      <c r="X211">
        <v>10.496008094804635</v>
      </c>
    </row>
    <row r="212" spans="1:27" x14ac:dyDescent="0.25">
      <c r="A212">
        <v>5400</v>
      </c>
      <c r="B212">
        <v>24010</v>
      </c>
      <c r="C212" s="1">
        <v>43157</v>
      </c>
      <c r="E212" s="46"/>
      <c r="F212">
        <v>-3</v>
      </c>
      <c r="G212">
        <v>-4.9000000000000004</v>
      </c>
      <c r="H212">
        <v>-1</v>
      </c>
      <c r="I212">
        <v>1524</v>
      </c>
      <c r="J212">
        <v>442</v>
      </c>
      <c r="L212" s="48">
        <v>0</v>
      </c>
      <c r="M212">
        <v>1.4</v>
      </c>
      <c r="N212">
        <f t="shared" si="24"/>
        <v>-1.4</v>
      </c>
      <c r="P212">
        <v>181</v>
      </c>
      <c r="Q212">
        <v>1</v>
      </c>
      <c r="R212">
        <f t="shared" si="25"/>
        <v>1.4</v>
      </c>
      <c r="S212">
        <f t="shared" si="26"/>
        <v>-1.4</v>
      </c>
      <c r="T212">
        <f t="shared" si="22"/>
        <v>146.70000000000002</v>
      </c>
      <c r="V212">
        <v>1387.2</v>
      </c>
      <c r="W212">
        <f t="shared" si="23"/>
        <v>25620.999999999989</v>
      </c>
      <c r="X212">
        <v>10.554392589722848</v>
      </c>
    </row>
    <row r="213" spans="1:27" x14ac:dyDescent="0.25">
      <c r="A213">
        <v>5400</v>
      </c>
      <c r="B213">
        <v>24010</v>
      </c>
      <c r="C213" s="1">
        <v>43158</v>
      </c>
      <c r="E213" s="46"/>
      <c r="F213">
        <v>-5.4</v>
      </c>
      <c r="G213">
        <v>-6.9</v>
      </c>
      <c r="H213">
        <v>-3.7</v>
      </c>
      <c r="I213">
        <v>1524</v>
      </c>
      <c r="J213">
        <v>442</v>
      </c>
      <c r="L213" s="48">
        <v>0</v>
      </c>
      <c r="M213">
        <v>0.8</v>
      </c>
      <c r="N213">
        <f t="shared" si="24"/>
        <v>-0.8</v>
      </c>
      <c r="P213">
        <v>182</v>
      </c>
      <c r="Q213">
        <v>1</v>
      </c>
      <c r="R213">
        <f t="shared" si="25"/>
        <v>0.8</v>
      </c>
      <c r="S213">
        <f t="shared" si="26"/>
        <v>-0.8</v>
      </c>
      <c r="T213">
        <f t="shared" si="22"/>
        <v>145.9</v>
      </c>
      <c r="V213">
        <v>1370.4</v>
      </c>
      <c r="W213">
        <f t="shared" si="23"/>
        <v>26991.399999999991</v>
      </c>
      <c r="X213">
        <v>10.613007590412771</v>
      </c>
    </row>
    <row r="214" spans="1:27" x14ac:dyDescent="0.25">
      <c r="A214">
        <v>5400</v>
      </c>
      <c r="B214">
        <v>24010</v>
      </c>
      <c r="C214" s="1">
        <v>43159</v>
      </c>
      <c r="E214" s="46"/>
      <c r="F214">
        <v>-4.7</v>
      </c>
      <c r="G214">
        <v>-8.5</v>
      </c>
      <c r="H214">
        <v>-2.2999999999999998</v>
      </c>
      <c r="I214">
        <v>1524</v>
      </c>
      <c r="J214">
        <v>442</v>
      </c>
      <c r="L214" s="48">
        <v>0</v>
      </c>
      <c r="M214">
        <v>1.1000000000000001</v>
      </c>
      <c r="N214">
        <f t="shared" si="24"/>
        <v>-1.1000000000000001</v>
      </c>
      <c r="P214">
        <v>183</v>
      </c>
      <c r="Q214">
        <v>1</v>
      </c>
      <c r="R214">
        <f t="shared" si="25"/>
        <v>1.1000000000000001</v>
      </c>
      <c r="S214">
        <f t="shared" si="26"/>
        <v>-1.1000000000000001</v>
      </c>
      <c r="T214">
        <f t="shared" si="22"/>
        <v>144.80000000000001</v>
      </c>
      <c r="V214">
        <v>1127.5999999999999</v>
      </c>
      <c r="W214">
        <f t="shared" si="23"/>
        <v>28118.999999999989</v>
      </c>
      <c r="X214">
        <v>10.671840787666982</v>
      </c>
    </row>
    <row r="215" spans="1:27" x14ac:dyDescent="0.25">
      <c r="A215">
        <v>5400</v>
      </c>
      <c r="B215">
        <v>24010</v>
      </c>
      <c r="C215" s="1">
        <v>43160</v>
      </c>
      <c r="E215" s="46"/>
      <c r="F215">
        <v>-0.8</v>
      </c>
      <c r="G215">
        <v>-4</v>
      </c>
      <c r="H215">
        <v>1.8</v>
      </c>
      <c r="I215">
        <v>1524</v>
      </c>
      <c r="J215">
        <v>442</v>
      </c>
      <c r="L215" s="48">
        <v>1.3</v>
      </c>
      <c r="M215">
        <v>0.5</v>
      </c>
      <c r="N215">
        <f t="shared" si="24"/>
        <v>0.8</v>
      </c>
      <c r="P215">
        <v>184</v>
      </c>
      <c r="Q215">
        <v>1</v>
      </c>
      <c r="R215">
        <f t="shared" si="25"/>
        <v>0.5</v>
      </c>
      <c r="S215">
        <f t="shared" si="26"/>
        <v>0.8</v>
      </c>
      <c r="T215">
        <f t="shared" si="22"/>
        <v>145.60000000000002</v>
      </c>
      <c r="V215">
        <v>213.7</v>
      </c>
      <c r="W215">
        <f t="shared" si="23"/>
        <v>28332.69999999999</v>
      </c>
      <c r="X215">
        <v>10.730880207404608</v>
      </c>
    </row>
    <row r="216" spans="1:27" x14ac:dyDescent="0.25">
      <c r="A216">
        <v>5400</v>
      </c>
      <c r="B216">
        <v>24010</v>
      </c>
      <c r="C216" s="1">
        <v>43161</v>
      </c>
      <c r="E216" s="46"/>
      <c r="F216">
        <v>3.4</v>
      </c>
      <c r="G216">
        <v>0.9</v>
      </c>
      <c r="H216">
        <v>7.3</v>
      </c>
      <c r="I216">
        <f t="shared" si="20"/>
        <v>1527.4</v>
      </c>
      <c r="J216">
        <f t="shared" si="21"/>
        <v>445.4</v>
      </c>
      <c r="L216" s="48">
        <v>0.9</v>
      </c>
      <c r="M216">
        <v>0.6</v>
      </c>
      <c r="N216">
        <f t="shared" si="24"/>
        <v>0.30000000000000004</v>
      </c>
      <c r="P216">
        <v>185</v>
      </c>
      <c r="Q216">
        <v>1</v>
      </c>
      <c r="R216">
        <f t="shared" si="25"/>
        <v>0.6</v>
      </c>
      <c r="S216">
        <f t="shared" si="26"/>
        <v>0.30000000000000004</v>
      </c>
      <c r="T216">
        <f t="shared" si="22"/>
        <v>145.90000000000003</v>
      </c>
      <c r="V216">
        <v>302.39999999999998</v>
      </c>
      <c r="W216">
        <f t="shared" si="23"/>
        <v>28635.099999999991</v>
      </c>
      <c r="X216">
        <v>10.790114198559106</v>
      </c>
    </row>
    <row r="217" spans="1:27" x14ac:dyDescent="0.25">
      <c r="A217">
        <v>5400</v>
      </c>
      <c r="B217">
        <v>24010</v>
      </c>
      <c r="C217" s="1">
        <v>43162</v>
      </c>
      <c r="E217" s="46"/>
      <c r="F217">
        <v>4.5999999999999996</v>
      </c>
      <c r="G217">
        <v>0.1</v>
      </c>
      <c r="H217">
        <v>7.4</v>
      </c>
      <c r="I217">
        <f t="shared" si="20"/>
        <v>1532</v>
      </c>
      <c r="J217">
        <f t="shared" si="21"/>
        <v>450</v>
      </c>
      <c r="L217" s="48">
        <v>2.2000000000000002</v>
      </c>
      <c r="M217">
        <v>0.2</v>
      </c>
      <c r="N217">
        <f t="shared" si="24"/>
        <v>2</v>
      </c>
      <c r="P217">
        <v>186</v>
      </c>
      <c r="Q217">
        <v>1</v>
      </c>
      <c r="R217">
        <f t="shared" si="25"/>
        <v>0.2</v>
      </c>
      <c r="S217">
        <f t="shared" si="26"/>
        <v>2</v>
      </c>
      <c r="T217">
        <f t="shared" si="22"/>
        <v>147.90000000000003</v>
      </c>
      <c r="V217">
        <v>275</v>
      </c>
      <c r="W217">
        <f t="shared" si="23"/>
        <v>28910.099999999991</v>
      </c>
      <c r="X217">
        <v>10.849531420561295</v>
      </c>
    </row>
    <row r="218" spans="1:27" s="4" customFormat="1" ht="15.75" thickBot="1" x14ac:dyDescent="0.3">
      <c r="A218" s="4">
        <v>5400</v>
      </c>
      <c r="B218" s="4">
        <v>24010</v>
      </c>
      <c r="C218" s="5">
        <v>43163</v>
      </c>
      <c r="D218" s="4" t="s">
        <v>28</v>
      </c>
      <c r="E218" s="47"/>
      <c r="F218" s="4">
        <v>4.8</v>
      </c>
      <c r="G218" s="4">
        <v>2.4</v>
      </c>
      <c r="H218" s="4">
        <v>5.9</v>
      </c>
      <c r="I218" s="4">
        <f t="shared" si="20"/>
        <v>1536.8</v>
      </c>
      <c r="J218" s="4">
        <f t="shared" si="21"/>
        <v>454.8</v>
      </c>
      <c r="L218" s="52">
        <v>13.3</v>
      </c>
      <c r="M218" s="4">
        <v>0.2</v>
      </c>
      <c r="N218" s="4">
        <f t="shared" si="24"/>
        <v>13.100000000000001</v>
      </c>
      <c r="P218" s="4">
        <v>187</v>
      </c>
      <c r="Q218" s="4">
        <v>1</v>
      </c>
      <c r="R218" s="4">
        <f t="shared" si="25"/>
        <v>0.2</v>
      </c>
      <c r="S218" s="4">
        <f t="shared" si="26"/>
        <v>13.100000000000001</v>
      </c>
      <c r="T218" s="4">
        <f t="shared" si="22"/>
        <v>153.9</v>
      </c>
      <c r="V218" s="4">
        <v>193.1</v>
      </c>
      <c r="W218" s="4">
        <f t="shared" si="23"/>
        <v>29103.19999999999</v>
      </c>
      <c r="X218" s="4">
        <v>10.909120830453372</v>
      </c>
    </row>
    <row r="219" spans="1:27" ht="15" customHeight="1" x14ac:dyDescent="0.25">
      <c r="A219">
        <v>5400</v>
      </c>
      <c r="B219">
        <v>24010</v>
      </c>
      <c r="C219" s="1">
        <v>43164</v>
      </c>
      <c r="E219" s="27" t="s">
        <v>53</v>
      </c>
      <c r="F219">
        <v>7.4</v>
      </c>
      <c r="G219">
        <v>3.2</v>
      </c>
      <c r="H219">
        <v>11.1</v>
      </c>
      <c r="I219">
        <f t="shared" si="20"/>
        <v>1544.2</v>
      </c>
      <c r="J219">
        <f>F219</f>
        <v>7.4</v>
      </c>
      <c r="K219" s="16" t="s">
        <v>34</v>
      </c>
      <c r="L219" s="48">
        <v>0</v>
      </c>
      <c r="M219">
        <v>0.4</v>
      </c>
      <c r="N219">
        <f t="shared" si="24"/>
        <v>-0.4</v>
      </c>
      <c r="P219">
        <v>188</v>
      </c>
      <c r="Q219">
        <f>1+((P219-187)/33)*(1.15-1)</f>
        <v>1.0045454545454546</v>
      </c>
      <c r="R219">
        <f t="shared" si="25"/>
        <v>0.40181818181818185</v>
      </c>
      <c r="S219">
        <f t="shared" si="26"/>
        <v>-0.40181818181818185</v>
      </c>
      <c r="T219" s="48">
        <f t="shared" si="22"/>
        <v>153.49818181818182</v>
      </c>
      <c r="U219" s="17" t="s">
        <v>41</v>
      </c>
      <c r="V219">
        <v>333.5</v>
      </c>
      <c r="W219">
        <f>V219</f>
        <v>333.5</v>
      </c>
      <c r="X219">
        <v>10.968871669667289</v>
      </c>
      <c r="Y219" s="17" t="s">
        <v>46</v>
      </c>
    </row>
    <row r="220" spans="1:27" x14ac:dyDescent="0.25">
      <c r="A220">
        <v>5400</v>
      </c>
      <c r="B220">
        <v>24010</v>
      </c>
      <c r="C220" s="1">
        <v>43165</v>
      </c>
      <c r="E220" s="28"/>
      <c r="F220">
        <v>6.7</v>
      </c>
      <c r="G220">
        <v>5</v>
      </c>
      <c r="H220">
        <v>9.3000000000000007</v>
      </c>
      <c r="I220">
        <f t="shared" si="20"/>
        <v>1550.9</v>
      </c>
      <c r="J220">
        <f t="shared" si="21"/>
        <v>14.100000000000001</v>
      </c>
      <c r="K220" s="8">
        <v>245.5</v>
      </c>
      <c r="L220" s="48">
        <v>4.7</v>
      </c>
      <c r="M220">
        <v>0.5</v>
      </c>
      <c r="N220">
        <f t="shared" si="24"/>
        <v>4.2</v>
      </c>
      <c r="P220">
        <v>189</v>
      </c>
      <c r="Q220">
        <f t="shared" ref="Q220:Q251" si="27">1+((P220-187)/33)*(1.15-1)</f>
        <v>1.009090909090909</v>
      </c>
      <c r="R220">
        <f t="shared" si="25"/>
        <v>0.50454545454545452</v>
      </c>
      <c r="S220">
        <f t="shared" si="26"/>
        <v>4.1954545454545453</v>
      </c>
      <c r="T220" s="48">
        <f t="shared" si="22"/>
        <v>153.9</v>
      </c>
      <c r="U220">
        <v>0</v>
      </c>
      <c r="V220">
        <v>310.60000000000002</v>
      </c>
      <c r="W220">
        <f t="shared" si="23"/>
        <v>644.1</v>
      </c>
      <c r="X220">
        <v>11.028773450498621</v>
      </c>
      <c r="Y220">
        <v>21158.9</v>
      </c>
    </row>
    <row r="221" spans="1:27" x14ac:dyDescent="0.25">
      <c r="A221">
        <v>5400</v>
      </c>
      <c r="B221">
        <v>24010</v>
      </c>
      <c r="C221" s="1">
        <v>43166</v>
      </c>
      <c r="E221" s="28"/>
      <c r="F221">
        <v>5.7</v>
      </c>
      <c r="G221">
        <v>4.5999999999999996</v>
      </c>
      <c r="H221">
        <v>7.6</v>
      </c>
      <c r="I221">
        <f t="shared" si="20"/>
        <v>1556.6000000000001</v>
      </c>
      <c r="J221">
        <f t="shared" si="21"/>
        <v>19.8</v>
      </c>
      <c r="K221" s="16" t="s">
        <v>35</v>
      </c>
      <c r="L221" s="48">
        <v>1.9</v>
      </c>
      <c r="M221">
        <v>0.6</v>
      </c>
      <c r="N221">
        <f t="shared" si="24"/>
        <v>1.2999999999999998</v>
      </c>
      <c r="P221">
        <v>190</v>
      </c>
      <c r="Q221">
        <f t="shared" si="27"/>
        <v>1.0136363636363637</v>
      </c>
      <c r="R221">
        <f t="shared" si="25"/>
        <v>0.60818181818181816</v>
      </c>
      <c r="S221">
        <f t="shared" si="26"/>
        <v>1.2918181818181818</v>
      </c>
      <c r="T221" s="48">
        <f t="shared" si="22"/>
        <v>153.9</v>
      </c>
      <c r="U221" s="17" t="s">
        <v>42</v>
      </c>
      <c r="V221">
        <v>496.9</v>
      </c>
      <c r="W221">
        <f t="shared" si="23"/>
        <v>1141</v>
      </c>
      <c r="X221">
        <v>11.088815942304857</v>
      </c>
      <c r="Y221" s="17" t="s">
        <v>47</v>
      </c>
    </row>
    <row r="222" spans="1:27" s="49" customFormat="1" x14ac:dyDescent="0.25">
      <c r="A222" s="49">
        <v>5400</v>
      </c>
      <c r="B222" s="49">
        <v>24010</v>
      </c>
      <c r="C222" s="50">
        <v>43167</v>
      </c>
      <c r="D222" s="49" t="s">
        <v>58</v>
      </c>
      <c r="E222" s="28"/>
      <c r="F222" s="49">
        <v>6.6</v>
      </c>
      <c r="G222" s="49">
        <v>4</v>
      </c>
      <c r="H222" s="49">
        <v>9.6</v>
      </c>
      <c r="I222" s="49">
        <f t="shared" si="20"/>
        <v>1563.2</v>
      </c>
      <c r="J222" s="49">
        <f t="shared" si="21"/>
        <v>26.4</v>
      </c>
      <c r="K222" s="51">
        <f>AVERAGE(F219:F251)</f>
        <v>7.4393939393939386</v>
      </c>
      <c r="L222" s="49">
        <v>0.3</v>
      </c>
      <c r="M222" s="49">
        <v>0.5</v>
      </c>
      <c r="N222" s="49">
        <f t="shared" si="24"/>
        <v>-0.2</v>
      </c>
      <c r="P222" s="49">
        <v>191</v>
      </c>
      <c r="Q222" s="49">
        <f t="shared" si="27"/>
        <v>1.0181818181818181</v>
      </c>
      <c r="R222" s="49">
        <f t="shared" si="25"/>
        <v>0.50909090909090904</v>
      </c>
      <c r="S222" s="49">
        <f t="shared" si="26"/>
        <v>-0.20909090909090905</v>
      </c>
      <c r="T222" s="49">
        <f t="shared" si="22"/>
        <v>153.69090909090909</v>
      </c>
      <c r="U222" s="49">
        <v>0</v>
      </c>
      <c r="V222" s="49">
        <v>277.3</v>
      </c>
      <c r="W222" s="49">
        <f t="shared" si="23"/>
        <v>1418.3</v>
      </c>
      <c r="X222" s="49">
        <v>11.148989157455029</v>
      </c>
      <c r="Y222" s="49">
        <f>(Y220/100)/K220</f>
        <v>0.86186965376782088</v>
      </c>
    </row>
    <row r="223" spans="1:27" x14ac:dyDescent="0.25">
      <c r="A223">
        <v>5400</v>
      </c>
      <c r="B223">
        <v>24010</v>
      </c>
      <c r="C223" s="1">
        <v>43168</v>
      </c>
      <c r="E223" s="28"/>
      <c r="F223">
        <v>10</v>
      </c>
      <c r="G223">
        <v>5.2</v>
      </c>
      <c r="H223">
        <v>12.6</v>
      </c>
      <c r="I223">
        <f t="shared" si="20"/>
        <v>1573.2</v>
      </c>
      <c r="J223">
        <f t="shared" si="21"/>
        <v>36.4</v>
      </c>
      <c r="K223" s="16" t="s">
        <v>36</v>
      </c>
      <c r="L223" s="48">
        <v>3.5</v>
      </c>
      <c r="M223">
        <v>0.7</v>
      </c>
      <c r="N223">
        <f t="shared" si="24"/>
        <v>2.8</v>
      </c>
      <c r="P223">
        <v>192</v>
      </c>
      <c r="Q223">
        <f t="shared" si="27"/>
        <v>1.0227272727272727</v>
      </c>
      <c r="R223">
        <f t="shared" si="25"/>
        <v>0.71590909090909083</v>
      </c>
      <c r="S223">
        <f t="shared" si="26"/>
        <v>2.7840909090909092</v>
      </c>
      <c r="T223" s="48">
        <f t="shared" si="22"/>
        <v>153.9</v>
      </c>
      <c r="U223" s="17" t="s">
        <v>43</v>
      </c>
      <c r="V223">
        <v>690.3</v>
      </c>
      <c r="W223">
        <f t="shared" si="23"/>
        <v>2108.6</v>
      </c>
      <c r="X223">
        <v>11.209283337055554</v>
      </c>
      <c r="Y223" s="17" t="s">
        <v>48</v>
      </c>
    </row>
    <row r="224" spans="1:27" x14ac:dyDescent="0.25">
      <c r="A224">
        <v>5400</v>
      </c>
      <c r="B224">
        <v>24010</v>
      </c>
      <c r="C224" s="1">
        <v>43169</v>
      </c>
      <c r="E224" s="28"/>
      <c r="F224">
        <v>12.9</v>
      </c>
      <c r="G224">
        <v>10.199999999999999</v>
      </c>
      <c r="H224">
        <v>14.8</v>
      </c>
      <c r="I224">
        <f t="shared" si="20"/>
        <v>1586.1000000000001</v>
      </c>
      <c r="J224">
        <f t="shared" si="21"/>
        <v>49.3</v>
      </c>
      <c r="K224" s="10">
        <f>MIN(G219:G251)</f>
        <v>-1.7</v>
      </c>
      <c r="L224" s="48">
        <v>20.5</v>
      </c>
      <c r="M224">
        <v>0.4</v>
      </c>
      <c r="N224">
        <f t="shared" si="24"/>
        <v>20.100000000000001</v>
      </c>
      <c r="P224">
        <v>193</v>
      </c>
      <c r="Q224">
        <f t="shared" si="27"/>
        <v>1.0272727272727273</v>
      </c>
      <c r="R224">
        <f t="shared" si="25"/>
        <v>0.41090909090909095</v>
      </c>
      <c r="S224">
        <f t="shared" si="26"/>
        <v>20.08909090909091</v>
      </c>
      <c r="T224" s="48">
        <f t="shared" si="22"/>
        <v>153.9</v>
      </c>
      <c r="U224" s="12">
        <f>MIN(T219:T251)</f>
        <v>148.17727272727274</v>
      </c>
      <c r="V224">
        <v>188.7</v>
      </c>
      <c r="W224">
        <f t="shared" si="23"/>
        <v>2297.2999999999997</v>
      </c>
      <c r="X224">
        <v>11.269688936475381</v>
      </c>
      <c r="Y224">
        <v>28</v>
      </c>
      <c r="AA224" t="s">
        <v>59</v>
      </c>
    </row>
    <row r="225" spans="1:27" x14ac:dyDescent="0.25">
      <c r="A225">
        <v>5400</v>
      </c>
      <c r="B225">
        <v>24010</v>
      </c>
      <c r="C225" s="1">
        <v>43170</v>
      </c>
      <c r="E225" s="28"/>
      <c r="F225">
        <v>12.7</v>
      </c>
      <c r="G225">
        <v>10.3</v>
      </c>
      <c r="H225">
        <v>16.399999999999999</v>
      </c>
      <c r="I225">
        <f t="shared" si="20"/>
        <v>1598.8000000000002</v>
      </c>
      <c r="J225">
        <f t="shared" si="21"/>
        <v>62</v>
      </c>
      <c r="K225" s="16" t="s">
        <v>37</v>
      </c>
      <c r="L225" s="48">
        <v>0.2</v>
      </c>
      <c r="M225">
        <v>1.8</v>
      </c>
      <c r="N225">
        <f t="shared" si="24"/>
        <v>-1.6</v>
      </c>
      <c r="P225">
        <v>194</v>
      </c>
      <c r="Q225">
        <f t="shared" si="27"/>
        <v>1.0318181818181817</v>
      </c>
      <c r="R225">
        <f t="shared" si="25"/>
        <v>1.8572727272727272</v>
      </c>
      <c r="S225">
        <f t="shared" si="26"/>
        <v>-1.6572727272727272</v>
      </c>
      <c r="T225" s="48">
        <f t="shared" si="22"/>
        <v>152.24272727272728</v>
      </c>
      <c r="U225" s="17" t="s">
        <v>44</v>
      </c>
      <c r="V225">
        <v>836.8</v>
      </c>
      <c r="W225">
        <f t="shared" si="23"/>
        <v>3134.0999999999995</v>
      </c>
      <c r="X225">
        <v>11.330196610691722</v>
      </c>
      <c r="AA225" s="12">
        <f>AVERAGE(T219:T232)</f>
        <v>153.59724025974029</v>
      </c>
    </row>
    <row r="226" spans="1:27" x14ac:dyDescent="0.25">
      <c r="A226">
        <v>5400</v>
      </c>
      <c r="B226">
        <v>24010</v>
      </c>
      <c r="C226" s="1">
        <v>43171</v>
      </c>
      <c r="E226" s="28"/>
      <c r="F226">
        <v>9.8000000000000007</v>
      </c>
      <c r="G226">
        <v>8.8000000000000007</v>
      </c>
      <c r="H226">
        <v>11.7</v>
      </c>
      <c r="I226">
        <f t="shared" ref="I226:I289" si="28">I225+F226</f>
        <v>1608.6000000000001</v>
      </c>
      <c r="J226">
        <f t="shared" ref="J226:J289" si="29">J225+F226</f>
        <v>71.8</v>
      </c>
      <c r="K226" s="8">
        <f>MAX(H219:H251)</f>
        <v>16.5</v>
      </c>
      <c r="L226" s="48">
        <v>2.7</v>
      </c>
      <c r="M226">
        <v>1.1000000000000001</v>
      </c>
      <c r="N226">
        <f t="shared" si="24"/>
        <v>1.6</v>
      </c>
      <c r="P226">
        <v>195</v>
      </c>
      <c r="Q226">
        <f t="shared" si="27"/>
        <v>1.0363636363636364</v>
      </c>
      <c r="R226">
        <f t="shared" si="25"/>
        <v>1.1400000000000001</v>
      </c>
      <c r="S226">
        <f t="shared" si="26"/>
        <v>1.56</v>
      </c>
      <c r="T226" s="48">
        <f t="shared" ref="T226:T289" si="30">MIN(T225+S226,153.9)</f>
        <v>153.80272727272728</v>
      </c>
      <c r="U226" s="12">
        <f>MAX(T219:T251)</f>
        <v>153.9</v>
      </c>
      <c r="V226">
        <v>222.3</v>
      </c>
      <c r="W226">
        <f t="shared" ref="W226:W289" si="31">W225+V226</f>
        <v>3356.3999999999996</v>
      </c>
      <c r="X226">
        <v>11.39079719947607</v>
      </c>
      <c r="AA226" t="s">
        <v>60</v>
      </c>
    </row>
    <row r="227" spans="1:27" x14ac:dyDescent="0.25">
      <c r="A227">
        <v>5400</v>
      </c>
      <c r="B227">
        <v>24010</v>
      </c>
      <c r="C227" s="1">
        <v>43172</v>
      </c>
      <c r="E227" s="28"/>
      <c r="F227">
        <v>7.9</v>
      </c>
      <c r="G227">
        <v>7.1</v>
      </c>
      <c r="H227">
        <v>11</v>
      </c>
      <c r="I227">
        <f t="shared" si="28"/>
        <v>1616.5000000000002</v>
      </c>
      <c r="J227">
        <f t="shared" si="29"/>
        <v>79.7</v>
      </c>
      <c r="K227" s="16" t="s">
        <v>38</v>
      </c>
      <c r="L227" s="48">
        <v>0.9</v>
      </c>
      <c r="M227">
        <v>1.3</v>
      </c>
      <c r="N227">
        <f t="shared" si="24"/>
        <v>-0.4</v>
      </c>
      <c r="P227">
        <v>196</v>
      </c>
      <c r="Q227">
        <f t="shared" si="27"/>
        <v>1.0409090909090908</v>
      </c>
      <c r="R227">
        <f t="shared" si="25"/>
        <v>1.353181818181818</v>
      </c>
      <c r="S227">
        <f t="shared" si="26"/>
        <v>-0.45318181818181802</v>
      </c>
      <c r="T227" s="48">
        <f t="shared" si="30"/>
        <v>153.34954545454548</v>
      </c>
      <c r="U227" s="17" t="s">
        <v>45</v>
      </c>
      <c r="V227">
        <v>786</v>
      </c>
      <c r="W227">
        <f t="shared" si="31"/>
        <v>4142.3999999999996</v>
      </c>
      <c r="X227">
        <v>11.45148171243863</v>
      </c>
      <c r="AA227">
        <v>3</v>
      </c>
    </row>
    <row r="228" spans="1:27" x14ac:dyDescent="0.25">
      <c r="A228">
        <v>5400</v>
      </c>
      <c r="B228">
        <v>24010</v>
      </c>
      <c r="C228" s="1">
        <v>43173</v>
      </c>
      <c r="E228" s="28"/>
      <c r="F228">
        <v>8</v>
      </c>
      <c r="G228">
        <v>2.1</v>
      </c>
      <c r="H228">
        <v>13.4</v>
      </c>
      <c r="I228">
        <f t="shared" si="28"/>
        <v>1624.5000000000002</v>
      </c>
      <c r="J228">
        <f t="shared" si="29"/>
        <v>87.7</v>
      </c>
      <c r="K228" s="8">
        <v>0</v>
      </c>
      <c r="L228" s="48">
        <v>9.3000000000000007</v>
      </c>
      <c r="M228">
        <v>2</v>
      </c>
      <c r="N228">
        <f t="shared" si="24"/>
        <v>7.3000000000000007</v>
      </c>
      <c r="P228">
        <v>197</v>
      </c>
      <c r="Q228">
        <f t="shared" si="27"/>
        <v>1.0454545454545454</v>
      </c>
      <c r="R228">
        <f t="shared" si="25"/>
        <v>2.0909090909090908</v>
      </c>
      <c r="S228">
        <f t="shared" si="26"/>
        <v>7.2090909090909099</v>
      </c>
      <c r="T228" s="48">
        <f t="shared" si="30"/>
        <v>153.9</v>
      </c>
      <c r="U228" s="12">
        <f>AVERAGE(T219:T251)</f>
        <v>152.46939393939391</v>
      </c>
      <c r="V228">
        <v>1386.6</v>
      </c>
      <c r="W228">
        <f t="shared" si="31"/>
        <v>5529</v>
      </c>
      <c r="X228">
        <v>11.512241313947895</v>
      </c>
      <c r="AA228" t="s">
        <v>61</v>
      </c>
    </row>
    <row r="229" spans="1:27" x14ac:dyDescent="0.25">
      <c r="A229">
        <v>5400</v>
      </c>
      <c r="B229">
        <v>24010</v>
      </c>
      <c r="C229" s="1">
        <v>43174</v>
      </c>
      <c r="E229" s="28"/>
      <c r="F229">
        <v>9.3000000000000007</v>
      </c>
      <c r="G229">
        <v>8</v>
      </c>
      <c r="H229">
        <v>11.2</v>
      </c>
      <c r="I229">
        <f t="shared" si="28"/>
        <v>1633.8000000000002</v>
      </c>
      <c r="J229">
        <f t="shared" si="29"/>
        <v>97</v>
      </c>
      <c r="K229" s="16" t="s">
        <v>39</v>
      </c>
      <c r="L229" s="48">
        <v>0.8</v>
      </c>
      <c r="M229">
        <v>1</v>
      </c>
      <c r="N229">
        <f t="shared" si="24"/>
        <v>-0.19999999999999996</v>
      </c>
      <c r="P229">
        <v>198</v>
      </c>
      <c r="Q229">
        <f t="shared" si="27"/>
        <v>1.05</v>
      </c>
      <c r="R229">
        <f t="shared" si="25"/>
        <v>1.05</v>
      </c>
      <c r="S229">
        <f t="shared" si="26"/>
        <v>-0.25</v>
      </c>
      <c r="T229" s="48">
        <f t="shared" si="30"/>
        <v>153.65</v>
      </c>
      <c r="V229">
        <v>594.1</v>
      </c>
      <c r="W229">
        <f t="shared" si="31"/>
        <v>6123.1</v>
      </c>
      <c r="X229">
        <v>11.573067307940866</v>
      </c>
      <c r="AA229">
        <v>1</v>
      </c>
    </row>
    <row r="230" spans="1:27" x14ac:dyDescent="0.25">
      <c r="A230">
        <v>5400</v>
      </c>
      <c r="B230">
        <v>24010</v>
      </c>
      <c r="C230" s="1">
        <v>43175</v>
      </c>
      <c r="E230" s="28"/>
      <c r="F230">
        <v>7.6</v>
      </c>
      <c r="G230">
        <v>6.1</v>
      </c>
      <c r="H230">
        <v>10.1</v>
      </c>
      <c r="I230">
        <f t="shared" si="28"/>
        <v>1641.4</v>
      </c>
      <c r="J230">
        <f t="shared" si="29"/>
        <v>104.6</v>
      </c>
      <c r="K230" s="8">
        <v>13</v>
      </c>
      <c r="L230" s="48">
        <v>2</v>
      </c>
      <c r="M230">
        <v>0.4</v>
      </c>
      <c r="N230">
        <f t="shared" si="24"/>
        <v>1.6</v>
      </c>
      <c r="P230">
        <v>199</v>
      </c>
      <c r="Q230">
        <f t="shared" si="27"/>
        <v>1.0545454545454545</v>
      </c>
      <c r="R230">
        <f t="shared" si="25"/>
        <v>0.42181818181818181</v>
      </c>
      <c r="S230">
        <f t="shared" si="26"/>
        <v>1.5781818181818181</v>
      </c>
      <c r="T230" s="48">
        <f t="shared" si="30"/>
        <v>153.9</v>
      </c>
      <c r="U230" s="13">
        <f>(U228*100)/153.9</f>
        <v>99.070431409612667</v>
      </c>
      <c r="V230">
        <v>322.89999999999998</v>
      </c>
      <c r="W230">
        <f t="shared" si="31"/>
        <v>6446</v>
      </c>
      <c r="X230">
        <v>11.633951122638143</v>
      </c>
      <c r="AA230" t="s">
        <v>62</v>
      </c>
    </row>
    <row r="231" spans="1:27" x14ac:dyDescent="0.25">
      <c r="A231">
        <v>5400</v>
      </c>
      <c r="B231">
        <v>24010</v>
      </c>
      <c r="C231" s="1">
        <v>43176</v>
      </c>
      <c r="E231" s="28"/>
      <c r="F231">
        <v>3.4</v>
      </c>
      <c r="G231">
        <v>1.3</v>
      </c>
      <c r="H231">
        <v>7.3</v>
      </c>
      <c r="I231">
        <f t="shared" si="28"/>
        <v>1644.8000000000002</v>
      </c>
      <c r="J231">
        <f t="shared" si="29"/>
        <v>108</v>
      </c>
      <c r="K231" s="16" t="s">
        <v>40</v>
      </c>
      <c r="L231" s="48">
        <v>0.1</v>
      </c>
      <c r="M231">
        <v>0.4</v>
      </c>
      <c r="N231">
        <f t="shared" si="24"/>
        <v>-0.30000000000000004</v>
      </c>
      <c r="P231">
        <v>200</v>
      </c>
      <c r="Q231">
        <f t="shared" si="27"/>
        <v>1.0590909090909091</v>
      </c>
      <c r="R231">
        <f t="shared" si="25"/>
        <v>0.42363636363636364</v>
      </c>
      <c r="S231">
        <f t="shared" si="26"/>
        <v>-0.32363636363636361</v>
      </c>
      <c r="T231" s="48">
        <f t="shared" si="30"/>
        <v>153.57636363636365</v>
      </c>
      <c r="V231">
        <v>261.60000000000002</v>
      </c>
      <c r="W231">
        <f t="shared" si="31"/>
        <v>6707.6</v>
      </c>
      <c r="X231">
        <v>11.69488429517714</v>
      </c>
      <c r="AA231">
        <v>4</v>
      </c>
    </row>
    <row r="232" spans="1:27" x14ac:dyDescent="0.25">
      <c r="A232">
        <v>5400</v>
      </c>
      <c r="B232">
        <v>24010</v>
      </c>
      <c r="C232" s="1">
        <v>43177</v>
      </c>
      <c r="E232" s="28"/>
      <c r="F232">
        <v>0.8</v>
      </c>
      <c r="G232">
        <v>0.8</v>
      </c>
      <c r="H232">
        <v>1.2</v>
      </c>
      <c r="I232">
        <f t="shared" si="28"/>
        <v>1645.6000000000001</v>
      </c>
      <c r="J232">
        <f t="shared" si="29"/>
        <v>108.8</v>
      </c>
      <c r="K232" s="8">
        <v>4</v>
      </c>
      <c r="L232" s="48">
        <v>0</v>
      </c>
      <c r="M232">
        <v>0.4</v>
      </c>
      <c r="N232">
        <f t="shared" si="24"/>
        <v>-0.4</v>
      </c>
      <c r="P232">
        <v>201</v>
      </c>
      <c r="Q232">
        <f t="shared" si="27"/>
        <v>1.0636363636363635</v>
      </c>
      <c r="R232">
        <f t="shared" si="25"/>
        <v>0.42545454545454542</v>
      </c>
      <c r="S232">
        <f t="shared" si="26"/>
        <v>-0.42545454545454542</v>
      </c>
      <c r="T232" s="48">
        <f t="shared" si="30"/>
        <v>153.1509090909091</v>
      </c>
      <c r="V232">
        <v>262.60000000000002</v>
      </c>
      <c r="W232">
        <f t="shared" si="31"/>
        <v>6970.2000000000007</v>
      </c>
      <c r="X232">
        <v>11.755858456175718</v>
      </c>
      <c r="AA232" t="s">
        <v>63</v>
      </c>
    </row>
    <row r="233" spans="1:27" x14ac:dyDescent="0.25">
      <c r="A233">
        <v>5400</v>
      </c>
      <c r="B233">
        <v>24010</v>
      </c>
      <c r="C233" s="1">
        <v>43178</v>
      </c>
      <c r="E233" s="28"/>
      <c r="F233">
        <v>0.3</v>
      </c>
      <c r="G233">
        <v>-0.9</v>
      </c>
      <c r="H233">
        <v>1</v>
      </c>
      <c r="I233">
        <f t="shared" si="28"/>
        <v>1645.9</v>
      </c>
      <c r="J233">
        <f t="shared" si="29"/>
        <v>109.1</v>
      </c>
      <c r="L233">
        <v>0</v>
      </c>
      <c r="M233">
        <v>0.5</v>
      </c>
      <c r="N233">
        <f t="shared" si="24"/>
        <v>-0.5</v>
      </c>
      <c r="P233">
        <v>202</v>
      </c>
      <c r="Q233">
        <f t="shared" si="27"/>
        <v>1.0681818181818181</v>
      </c>
      <c r="R233">
        <f t="shared" si="25"/>
        <v>0.53409090909090906</v>
      </c>
      <c r="S233">
        <f t="shared" si="26"/>
        <v>-0.53409090909090906</v>
      </c>
      <c r="T233">
        <f t="shared" si="30"/>
        <v>152.61681818181819</v>
      </c>
      <c r="V233">
        <v>564.79999999999995</v>
      </c>
      <c r="W233">
        <f t="shared" si="31"/>
        <v>7535.0000000000009</v>
      </c>
      <c r="X233">
        <v>11.816865314237651</v>
      </c>
      <c r="AA233">
        <f>SUM(L223:L232)</f>
        <v>39.999999999999993</v>
      </c>
    </row>
    <row r="234" spans="1:27" x14ac:dyDescent="0.25">
      <c r="A234">
        <v>5400</v>
      </c>
      <c r="B234">
        <v>24010</v>
      </c>
      <c r="C234" s="1">
        <v>43179</v>
      </c>
      <c r="E234" s="28"/>
      <c r="F234">
        <v>2.1</v>
      </c>
      <c r="G234">
        <v>-1.7</v>
      </c>
      <c r="H234">
        <v>5.8</v>
      </c>
      <c r="I234">
        <f t="shared" si="28"/>
        <v>1648</v>
      </c>
      <c r="J234">
        <f t="shared" si="29"/>
        <v>111.19999999999999</v>
      </c>
      <c r="L234">
        <v>0</v>
      </c>
      <c r="M234">
        <v>0.8</v>
      </c>
      <c r="N234">
        <f t="shared" si="24"/>
        <v>-0.8</v>
      </c>
      <c r="P234">
        <v>203</v>
      </c>
      <c r="Q234">
        <f t="shared" si="27"/>
        <v>1.0727272727272728</v>
      </c>
      <c r="R234">
        <f t="shared" si="25"/>
        <v>0.85818181818181827</v>
      </c>
      <c r="S234">
        <f t="shared" si="26"/>
        <v>-0.85818181818181827</v>
      </c>
      <c r="T234">
        <f t="shared" si="30"/>
        <v>151.75863636363638</v>
      </c>
      <c r="V234">
        <v>755.7</v>
      </c>
      <c r="W234">
        <f t="shared" si="31"/>
        <v>8290.7000000000007</v>
      </c>
      <c r="X234">
        <v>11.877896640410757</v>
      </c>
    </row>
    <row r="235" spans="1:27" x14ac:dyDescent="0.25">
      <c r="A235">
        <v>5400</v>
      </c>
      <c r="B235">
        <v>24010</v>
      </c>
      <c r="C235" s="1">
        <v>43180</v>
      </c>
      <c r="E235" s="28"/>
      <c r="F235">
        <v>2.9</v>
      </c>
      <c r="G235">
        <v>-0.2</v>
      </c>
      <c r="H235">
        <v>6.4</v>
      </c>
      <c r="I235">
        <f t="shared" si="28"/>
        <v>1650.9</v>
      </c>
      <c r="J235">
        <f t="shared" si="29"/>
        <v>114.1</v>
      </c>
      <c r="L235">
        <v>0</v>
      </c>
      <c r="M235">
        <v>1.1000000000000001</v>
      </c>
      <c r="N235">
        <f t="shared" si="24"/>
        <v>-1.1000000000000001</v>
      </c>
      <c r="P235">
        <v>204</v>
      </c>
      <c r="Q235">
        <f t="shared" si="27"/>
        <v>1.0772727272727272</v>
      </c>
      <c r="R235">
        <f t="shared" si="25"/>
        <v>1.1850000000000001</v>
      </c>
      <c r="S235">
        <f t="shared" si="26"/>
        <v>-1.1850000000000001</v>
      </c>
      <c r="T235">
        <f t="shared" si="30"/>
        <v>150.57363636363638</v>
      </c>
      <c r="V235">
        <v>873.7</v>
      </c>
      <c r="W235">
        <f t="shared" si="31"/>
        <v>9164.4000000000015</v>
      </c>
      <c r="X235">
        <v>11.938944252607817</v>
      </c>
    </row>
    <row r="236" spans="1:27" x14ac:dyDescent="0.25">
      <c r="A236">
        <v>5400</v>
      </c>
      <c r="B236">
        <v>24010</v>
      </c>
      <c r="C236" s="1">
        <v>43181</v>
      </c>
      <c r="E236" s="28"/>
      <c r="F236">
        <v>4.4000000000000004</v>
      </c>
      <c r="G236">
        <v>-0.5</v>
      </c>
      <c r="H236">
        <v>7.5</v>
      </c>
      <c r="I236">
        <f t="shared" si="28"/>
        <v>1655.3000000000002</v>
      </c>
      <c r="J236">
        <f t="shared" si="29"/>
        <v>118.5</v>
      </c>
      <c r="L236">
        <v>0</v>
      </c>
      <c r="M236">
        <v>0.6</v>
      </c>
      <c r="N236">
        <f t="shared" si="24"/>
        <v>-0.6</v>
      </c>
      <c r="P236">
        <v>205</v>
      </c>
      <c r="Q236">
        <f t="shared" si="27"/>
        <v>1.0818181818181818</v>
      </c>
      <c r="R236">
        <f t="shared" si="25"/>
        <v>0.64909090909090905</v>
      </c>
      <c r="S236">
        <f t="shared" si="26"/>
        <v>-0.64909090909090905</v>
      </c>
      <c r="T236">
        <f t="shared" si="30"/>
        <v>149.92454545454547</v>
      </c>
      <c r="V236">
        <v>365.9</v>
      </c>
      <c r="W236">
        <f t="shared" si="31"/>
        <v>9530.3000000000011</v>
      </c>
      <c r="X236">
        <v>12</v>
      </c>
    </row>
    <row r="237" spans="1:27" x14ac:dyDescent="0.25">
      <c r="A237">
        <v>5400</v>
      </c>
      <c r="B237">
        <v>24010</v>
      </c>
      <c r="C237" s="1">
        <v>43182</v>
      </c>
      <c r="E237" s="28"/>
      <c r="F237">
        <v>5.3</v>
      </c>
      <c r="G237">
        <v>4</v>
      </c>
      <c r="H237">
        <v>6.2</v>
      </c>
      <c r="I237">
        <f t="shared" si="28"/>
        <v>1660.6000000000001</v>
      </c>
      <c r="J237">
        <f t="shared" si="29"/>
        <v>123.8</v>
      </c>
      <c r="L237">
        <v>0.7</v>
      </c>
      <c r="M237">
        <v>0.5</v>
      </c>
      <c r="N237">
        <f t="shared" si="24"/>
        <v>0.19999999999999996</v>
      </c>
      <c r="P237">
        <v>206</v>
      </c>
      <c r="Q237">
        <f t="shared" si="27"/>
        <v>1.0863636363636364</v>
      </c>
      <c r="R237">
        <f t="shared" si="25"/>
        <v>0.54318181818181821</v>
      </c>
      <c r="S237">
        <f t="shared" si="26"/>
        <v>0.15681818181818175</v>
      </c>
      <c r="T237">
        <f t="shared" si="30"/>
        <v>150.08136363636365</v>
      </c>
      <c r="V237">
        <v>323.89999999999998</v>
      </c>
      <c r="W237">
        <f t="shared" si="31"/>
        <v>9854.2000000000007</v>
      </c>
      <c r="X237">
        <v>12.061055747392183</v>
      </c>
    </row>
    <row r="238" spans="1:27" x14ac:dyDescent="0.25">
      <c r="A238">
        <v>5400</v>
      </c>
      <c r="B238">
        <v>24010</v>
      </c>
      <c r="C238" s="1">
        <v>43183</v>
      </c>
      <c r="E238" s="28"/>
      <c r="F238">
        <v>8.9</v>
      </c>
      <c r="G238">
        <v>5.0999999999999996</v>
      </c>
      <c r="H238">
        <v>11.7</v>
      </c>
      <c r="I238">
        <f t="shared" si="28"/>
        <v>1669.5000000000002</v>
      </c>
      <c r="J238">
        <f t="shared" si="29"/>
        <v>132.69999999999999</v>
      </c>
      <c r="L238">
        <v>0</v>
      </c>
      <c r="M238">
        <v>1.3</v>
      </c>
      <c r="N238">
        <f t="shared" si="24"/>
        <v>-1.3</v>
      </c>
      <c r="P238">
        <v>207</v>
      </c>
      <c r="Q238">
        <f t="shared" si="27"/>
        <v>1.0909090909090908</v>
      </c>
      <c r="R238">
        <f t="shared" si="25"/>
        <v>1.4181818181818182</v>
      </c>
      <c r="S238">
        <f t="shared" si="26"/>
        <v>-1.4181818181818182</v>
      </c>
      <c r="T238">
        <f t="shared" si="30"/>
        <v>148.66318181818184</v>
      </c>
      <c r="V238">
        <v>1106.5999999999999</v>
      </c>
      <c r="W238">
        <f t="shared" si="31"/>
        <v>10960.800000000001</v>
      </c>
      <c r="X238">
        <v>12.122103359589241</v>
      </c>
    </row>
    <row r="239" spans="1:27" x14ac:dyDescent="0.25">
      <c r="A239">
        <v>5400</v>
      </c>
      <c r="B239">
        <v>24010</v>
      </c>
      <c r="C239" s="1">
        <v>43184</v>
      </c>
      <c r="E239" s="28"/>
      <c r="F239">
        <v>10.199999999999999</v>
      </c>
      <c r="G239">
        <v>6.5</v>
      </c>
      <c r="H239">
        <v>14.3</v>
      </c>
      <c r="I239">
        <f t="shared" si="28"/>
        <v>1679.7000000000003</v>
      </c>
      <c r="J239">
        <f t="shared" si="29"/>
        <v>142.89999999999998</v>
      </c>
      <c r="L239">
        <v>0.5</v>
      </c>
      <c r="M239">
        <v>0.9</v>
      </c>
      <c r="N239">
        <f t="shared" si="24"/>
        <v>-0.4</v>
      </c>
      <c r="P239">
        <v>208</v>
      </c>
      <c r="Q239">
        <f t="shared" si="27"/>
        <v>1.0954545454545455</v>
      </c>
      <c r="R239">
        <f t="shared" si="25"/>
        <v>0.98590909090909096</v>
      </c>
      <c r="S239">
        <f t="shared" si="26"/>
        <v>-0.48590909090909096</v>
      </c>
      <c r="T239">
        <f t="shared" si="30"/>
        <v>148.17727272727274</v>
      </c>
      <c r="V239">
        <v>441.2</v>
      </c>
      <c r="W239">
        <f t="shared" si="31"/>
        <v>11402.000000000002</v>
      </c>
      <c r="X239">
        <v>12.183134685762349</v>
      </c>
    </row>
    <row r="240" spans="1:27" x14ac:dyDescent="0.25">
      <c r="A240">
        <v>5400</v>
      </c>
      <c r="B240">
        <v>24010</v>
      </c>
      <c r="C240" s="1">
        <v>43185</v>
      </c>
      <c r="E240" s="28"/>
      <c r="F240">
        <v>9.1</v>
      </c>
      <c r="G240">
        <v>5.9</v>
      </c>
      <c r="H240">
        <v>12.9</v>
      </c>
      <c r="I240">
        <f t="shared" si="28"/>
        <v>1688.8000000000002</v>
      </c>
      <c r="J240">
        <f t="shared" si="29"/>
        <v>151.99999999999997</v>
      </c>
      <c r="L240">
        <v>2</v>
      </c>
      <c r="M240">
        <v>1.7</v>
      </c>
      <c r="N240">
        <f t="shared" si="24"/>
        <v>0.30000000000000004</v>
      </c>
      <c r="P240">
        <v>209</v>
      </c>
      <c r="Q240">
        <f t="shared" si="27"/>
        <v>1.0999999999999999</v>
      </c>
      <c r="R240">
        <f t="shared" si="25"/>
        <v>1.8699999999999997</v>
      </c>
      <c r="S240">
        <f t="shared" si="26"/>
        <v>0.13000000000000034</v>
      </c>
      <c r="T240">
        <f t="shared" si="30"/>
        <v>148.30727272727273</v>
      </c>
      <c r="V240">
        <v>1255.3</v>
      </c>
      <c r="W240">
        <f t="shared" si="31"/>
        <v>12657.300000000001</v>
      </c>
      <c r="X240">
        <v>12.244141543824281</v>
      </c>
    </row>
    <row r="241" spans="1:25" x14ac:dyDescent="0.25">
      <c r="A241">
        <v>5400</v>
      </c>
      <c r="B241">
        <v>24010</v>
      </c>
      <c r="C241" s="1">
        <v>43186</v>
      </c>
      <c r="E241" s="28"/>
      <c r="F241">
        <v>8.6</v>
      </c>
      <c r="G241">
        <v>4.9000000000000004</v>
      </c>
      <c r="H241">
        <v>11.9</v>
      </c>
      <c r="I241">
        <f t="shared" si="28"/>
        <v>1697.4</v>
      </c>
      <c r="J241">
        <f t="shared" si="29"/>
        <v>160.59999999999997</v>
      </c>
      <c r="L241">
        <v>3.2</v>
      </c>
      <c r="M241">
        <v>0.5</v>
      </c>
      <c r="N241">
        <f t="shared" si="24"/>
        <v>2.7</v>
      </c>
      <c r="P241">
        <v>210</v>
      </c>
      <c r="Q241">
        <f t="shared" si="27"/>
        <v>1.1045454545454545</v>
      </c>
      <c r="R241">
        <f t="shared" si="25"/>
        <v>0.55227272727272725</v>
      </c>
      <c r="S241">
        <f t="shared" si="26"/>
        <v>2.6477272727272729</v>
      </c>
      <c r="T241">
        <f t="shared" si="30"/>
        <v>150.95500000000001</v>
      </c>
      <c r="V241">
        <v>378.3</v>
      </c>
      <c r="W241">
        <f t="shared" si="31"/>
        <v>13035.6</v>
      </c>
      <c r="X241">
        <v>12.305115704822859</v>
      </c>
    </row>
    <row r="242" spans="1:25" x14ac:dyDescent="0.25">
      <c r="A242">
        <v>5400</v>
      </c>
      <c r="B242">
        <v>24010</v>
      </c>
      <c r="C242" s="1">
        <v>43187</v>
      </c>
      <c r="E242" s="28"/>
      <c r="F242">
        <v>8.6</v>
      </c>
      <c r="G242">
        <v>7</v>
      </c>
      <c r="H242">
        <v>12.8</v>
      </c>
      <c r="I242">
        <f t="shared" si="28"/>
        <v>1706</v>
      </c>
      <c r="J242">
        <f t="shared" si="29"/>
        <v>169.19999999999996</v>
      </c>
      <c r="L242">
        <v>3.9</v>
      </c>
      <c r="M242">
        <v>0.9</v>
      </c>
      <c r="N242">
        <f t="shared" si="24"/>
        <v>3</v>
      </c>
      <c r="P242">
        <v>211</v>
      </c>
      <c r="Q242">
        <f t="shared" si="27"/>
        <v>1.1090909090909091</v>
      </c>
      <c r="R242">
        <f t="shared" si="25"/>
        <v>0.99818181818181828</v>
      </c>
      <c r="S242">
        <f t="shared" si="26"/>
        <v>2.9018181818181814</v>
      </c>
      <c r="T242">
        <f t="shared" si="30"/>
        <v>153.8568181818182</v>
      </c>
      <c r="V242">
        <v>263.7</v>
      </c>
      <c r="W242">
        <f t="shared" si="31"/>
        <v>13299.300000000001</v>
      </c>
      <c r="X242">
        <v>12.366048877361857</v>
      </c>
    </row>
    <row r="243" spans="1:25" x14ac:dyDescent="0.25">
      <c r="A243">
        <v>5400</v>
      </c>
      <c r="B243">
        <v>24010</v>
      </c>
      <c r="C243" s="1">
        <v>43188</v>
      </c>
      <c r="E243" s="28"/>
      <c r="F243">
        <v>5.7</v>
      </c>
      <c r="G243">
        <v>1.2</v>
      </c>
      <c r="H243">
        <v>10.199999999999999</v>
      </c>
      <c r="I243">
        <f t="shared" si="28"/>
        <v>1711.7</v>
      </c>
      <c r="J243">
        <f t="shared" si="29"/>
        <v>174.89999999999995</v>
      </c>
      <c r="L243">
        <v>4.9000000000000004</v>
      </c>
      <c r="M243">
        <v>0.8</v>
      </c>
      <c r="N243">
        <f t="shared" si="24"/>
        <v>4.1000000000000005</v>
      </c>
      <c r="P243">
        <v>212</v>
      </c>
      <c r="Q243">
        <f t="shared" si="27"/>
        <v>1.1136363636363635</v>
      </c>
      <c r="R243">
        <f t="shared" si="25"/>
        <v>0.89090909090909087</v>
      </c>
      <c r="S243">
        <f t="shared" si="26"/>
        <v>4.0090909090909097</v>
      </c>
      <c r="T243">
        <f t="shared" si="30"/>
        <v>153.9</v>
      </c>
      <c r="V243">
        <v>770.7</v>
      </c>
      <c r="W243">
        <f t="shared" si="31"/>
        <v>14070.000000000002</v>
      </c>
      <c r="X243">
        <v>12.426932692059133</v>
      </c>
    </row>
    <row r="244" spans="1:25" x14ac:dyDescent="0.25">
      <c r="A244">
        <v>5400</v>
      </c>
      <c r="B244">
        <v>24010</v>
      </c>
      <c r="C244" s="1">
        <v>43189</v>
      </c>
      <c r="E244" s="28"/>
      <c r="F244">
        <v>6.4</v>
      </c>
      <c r="G244">
        <v>4.9000000000000004</v>
      </c>
      <c r="H244">
        <v>8.5</v>
      </c>
      <c r="I244">
        <f t="shared" si="28"/>
        <v>1718.1000000000001</v>
      </c>
      <c r="J244">
        <f t="shared" si="29"/>
        <v>181.29999999999995</v>
      </c>
      <c r="L244">
        <v>2</v>
      </c>
      <c r="M244">
        <v>0.6</v>
      </c>
      <c r="N244">
        <f t="shared" si="24"/>
        <v>1.4</v>
      </c>
      <c r="P244">
        <v>213</v>
      </c>
      <c r="Q244">
        <f t="shared" si="27"/>
        <v>1.1181818181818182</v>
      </c>
      <c r="R244">
        <f t="shared" si="25"/>
        <v>0.6709090909090909</v>
      </c>
      <c r="S244">
        <f t="shared" si="26"/>
        <v>1.3290909090909091</v>
      </c>
      <c r="T244">
        <f t="shared" si="30"/>
        <v>153.9</v>
      </c>
      <c r="V244">
        <v>407.2</v>
      </c>
      <c r="W244">
        <f t="shared" si="31"/>
        <v>14477.200000000003</v>
      </c>
      <c r="X244">
        <v>12.487758686052103</v>
      </c>
    </row>
    <row r="245" spans="1:25" x14ac:dyDescent="0.25">
      <c r="A245">
        <v>5400</v>
      </c>
      <c r="B245">
        <v>24010</v>
      </c>
      <c r="C245" s="1">
        <v>43190</v>
      </c>
      <c r="E245" s="28"/>
      <c r="F245">
        <v>6.2</v>
      </c>
      <c r="G245">
        <v>3.3</v>
      </c>
      <c r="H245">
        <v>8.9</v>
      </c>
      <c r="I245">
        <f t="shared" si="28"/>
        <v>1724.3000000000002</v>
      </c>
      <c r="J245">
        <f t="shared" si="29"/>
        <v>187.49999999999994</v>
      </c>
      <c r="L245">
        <v>0.9</v>
      </c>
      <c r="M245">
        <v>0.4</v>
      </c>
      <c r="N245">
        <f t="shared" si="24"/>
        <v>0.5</v>
      </c>
      <c r="P245">
        <v>214</v>
      </c>
      <c r="Q245">
        <f t="shared" si="27"/>
        <v>1.1227272727272726</v>
      </c>
      <c r="R245">
        <f t="shared" si="25"/>
        <v>0.44909090909090904</v>
      </c>
      <c r="S245">
        <f t="shared" si="26"/>
        <v>0.45090909090909098</v>
      </c>
      <c r="T245">
        <f t="shared" si="30"/>
        <v>153.9</v>
      </c>
      <c r="V245">
        <v>457.7</v>
      </c>
      <c r="W245">
        <f t="shared" si="31"/>
        <v>14934.900000000003</v>
      </c>
      <c r="X245">
        <v>12.548518287561368</v>
      </c>
    </row>
    <row r="246" spans="1:25" x14ac:dyDescent="0.25">
      <c r="A246">
        <v>5400</v>
      </c>
      <c r="B246">
        <v>24010</v>
      </c>
      <c r="C246" s="1">
        <v>43191</v>
      </c>
      <c r="E246" s="28"/>
      <c r="F246">
        <v>8.1</v>
      </c>
      <c r="G246">
        <v>5.5</v>
      </c>
      <c r="H246">
        <v>10.1</v>
      </c>
      <c r="I246">
        <f t="shared" si="28"/>
        <v>1732.4</v>
      </c>
      <c r="J246">
        <f t="shared" si="29"/>
        <v>195.59999999999994</v>
      </c>
      <c r="L246">
        <v>0</v>
      </c>
      <c r="M246">
        <v>1.7</v>
      </c>
      <c r="N246">
        <f t="shared" si="24"/>
        <v>-1.7</v>
      </c>
      <c r="P246">
        <v>215</v>
      </c>
      <c r="Q246">
        <f t="shared" si="27"/>
        <v>1.1272727272727272</v>
      </c>
      <c r="R246">
        <f t="shared" si="25"/>
        <v>1.9163636363636363</v>
      </c>
      <c r="S246">
        <f t="shared" si="26"/>
        <v>-1.9163636363636363</v>
      </c>
      <c r="T246">
        <f t="shared" si="30"/>
        <v>151.98363636363638</v>
      </c>
      <c r="V246">
        <v>1407.2</v>
      </c>
      <c r="W246">
        <f t="shared" si="31"/>
        <v>16342.100000000004</v>
      </c>
      <c r="X246">
        <v>12.609202800523928</v>
      </c>
    </row>
    <row r="247" spans="1:25" x14ac:dyDescent="0.25">
      <c r="A247">
        <v>5400</v>
      </c>
      <c r="B247">
        <v>24010</v>
      </c>
      <c r="C247" s="1">
        <v>43192</v>
      </c>
      <c r="E247" s="28"/>
      <c r="F247">
        <v>10.4</v>
      </c>
      <c r="G247">
        <v>6.2</v>
      </c>
      <c r="H247">
        <v>14</v>
      </c>
      <c r="I247">
        <f t="shared" si="28"/>
        <v>1742.8000000000002</v>
      </c>
      <c r="J247">
        <f t="shared" si="29"/>
        <v>205.99999999999994</v>
      </c>
      <c r="L247">
        <v>1.5</v>
      </c>
      <c r="M247">
        <v>1.3</v>
      </c>
      <c r="N247">
        <f t="shared" si="24"/>
        <v>0.19999999999999996</v>
      </c>
      <c r="P247">
        <v>216</v>
      </c>
      <c r="Q247">
        <f t="shared" si="27"/>
        <v>1.1318181818181818</v>
      </c>
      <c r="R247">
        <f t="shared" si="25"/>
        <v>1.4713636363636364</v>
      </c>
      <c r="S247">
        <f t="shared" si="26"/>
        <v>2.8636363636363571E-2</v>
      </c>
      <c r="T247">
        <f t="shared" si="30"/>
        <v>152.01227272727274</v>
      </c>
      <c r="V247">
        <v>881.7</v>
      </c>
      <c r="W247">
        <f t="shared" si="31"/>
        <v>17223.800000000003</v>
      </c>
      <c r="X247">
        <v>12.669803389308278</v>
      </c>
    </row>
    <row r="248" spans="1:25" x14ac:dyDescent="0.25">
      <c r="A248">
        <v>5400</v>
      </c>
      <c r="B248">
        <v>24010</v>
      </c>
      <c r="C248" s="1">
        <v>43193</v>
      </c>
      <c r="E248" s="28"/>
      <c r="F248">
        <v>10.4</v>
      </c>
      <c r="G248">
        <v>9.6999999999999993</v>
      </c>
      <c r="H248">
        <v>12.6</v>
      </c>
      <c r="I248">
        <f t="shared" si="28"/>
        <v>1753.2000000000003</v>
      </c>
      <c r="J248">
        <f t="shared" si="29"/>
        <v>216.39999999999995</v>
      </c>
      <c r="L248">
        <v>7.6</v>
      </c>
      <c r="M248">
        <v>1.2</v>
      </c>
      <c r="N248">
        <f t="shared" si="24"/>
        <v>6.3999999999999995</v>
      </c>
      <c r="P248">
        <v>217</v>
      </c>
      <c r="Q248">
        <f t="shared" si="27"/>
        <v>1.1363636363636362</v>
      </c>
      <c r="R248">
        <f t="shared" si="25"/>
        <v>1.3636363636363635</v>
      </c>
      <c r="S248">
        <f t="shared" si="26"/>
        <v>6.2363636363636363</v>
      </c>
      <c r="T248">
        <f t="shared" si="30"/>
        <v>153.9</v>
      </c>
      <c r="V248">
        <v>466.9</v>
      </c>
      <c r="W248">
        <f t="shared" si="31"/>
        <v>17690.700000000004</v>
      </c>
      <c r="X248">
        <v>12.730311063524619</v>
      </c>
    </row>
    <row r="249" spans="1:25" x14ac:dyDescent="0.25">
      <c r="A249">
        <v>5400</v>
      </c>
      <c r="B249">
        <v>24010</v>
      </c>
      <c r="C249" s="1">
        <v>43194</v>
      </c>
      <c r="E249" s="28"/>
      <c r="F249">
        <v>10.4</v>
      </c>
      <c r="G249">
        <v>7.5</v>
      </c>
      <c r="H249">
        <v>12.7</v>
      </c>
      <c r="I249">
        <f t="shared" si="28"/>
        <v>1763.6000000000004</v>
      </c>
      <c r="J249">
        <f t="shared" si="29"/>
        <v>226.79999999999995</v>
      </c>
      <c r="L249">
        <v>2.6</v>
      </c>
      <c r="M249">
        <v>1</v>
      </c>
      <c r="N249">
        <f t="shared" si="24"/>
        <v>1.6</v>
      </c>
      <c r="P249">
        <v>218</v>
      </c>
      <c r="Q249">
        <f t="shared" si="27"/>
        <v>1.1409090909090909</v>
      </c>
      <c r="R249">
        <f t="shared" si="25"/>
        <v>1.1409090909090909</v>
      </c>
      <c r="S249">
        <f t="shared" si="26"/>
        <v>1.4590909090909092</v>
      </c>
      <c r="T249">
        <f t="shared" si="30"/>
        <v>153.9</v>
      </c>
      <c r="V249">
        <v>727.6</v>
      </c>
      <c r="W249">
        <f t="shared" si="31"/>
        <v>18418.300000000003</v>
      </c>
      <c r="X249">
        <v>12.790716662944444</v>
      </c>
    </row>
    <row r="250" spans="1:25" x14ac:dyDescent="0.25">
      <c r="A250">
        <v>5400</v>
      </c>
      <c r="B250">
        <v>24010</v>
      </c>
      <c r="C250" s="1">
        <v>43195</v>
      </c>
      <c r="E250" s="28"/>
      <c r="F250">
        <v>7.8</v>
      </c>
      <c r="G250">
        <v>6.2</v>
      </c>
      <c r="H250">
        <v>9.9</v>
      </c>
      <c r="I250">
        <f t="shared" si="28"/>
        <v>1771.4000000000003</v>
      </c>
      <c r="J250">
        <f t="shared" si="29"/>
        <v>234.59999999999997</v>
      </c>
      <c r="L250">
        <v>0.1</v>
      </c>
      <c r="M250">
        <v>0.9</v>
      </c>
      <c r="N250">
        <f t="shared" si="24"/>
        <v>-0.8</v>
      </c>
      <c r="P250">
        <v>219</v>
      </c>
      <c r="Q250">
        <f t="shared" si="27"/>
        <v>1.1454545454545453</v>
      </c>
      <c r="R250">
        <f t="shared" si="25"/>
        <v>1.0309090909090908</v>
      </c>
      <c r="S250">
        <f t="shared" si="26"/>
        <v>-0.9309090909090908</v>
      </c>
      <c r="T250">
        <f t="shared" si="30"/>
        <v>152.96909090909091</v>
      </c>
      <c r="V250">
        <v>646.5</v>
      </c>
      <c r="W250">
        <f t="shared" si="31"/>
        <v>19064.800000000003</v>
      </c>
      <c r="X250">
        <v>12.851010842544969</v>
      </c>
    </row>
    <row r="251" spans="1:25" s="4" customFormat="1" ht="15.75" thickBot="1" x14ac:dyDescent="0.3">
      <c r="A251" s="4">
        <v>5400</v>
      </c>
      <c r="B251" s="4">
        <v>24010</v>
      </c>
      <c r="C251" s="5">
        <v>43196</v>
      </c>
      <c r="E251" s="28"/>
      <c r="F251" s="4">
        <v>10.9</v>
      </c>
      <c r="G251" s="4">
        <v>4</v>
      </c>
      <c r="H251" s="4">
        <v>16.5</v>
      </c>
      <c r="I251" s="4">
        <f t="shared" si="28"/>
        <v>1782.3000000000004</v>
      </c>
      <c r="J251" s="4">
        <f t="shared" si="29"/>
        <v>245.49999999999997</v>
      </c>
      <c r="L251" s="4">
        <v>0</v>
      </c>
      <c r="M251" s="4">
        <v>2.8</v>
      </c>
      <c r="N251" s="4">
        <f t="shared" si="24"/>
        <v>-2.8</v>
      </c>
      <c r="P251" s="4">
        <v>220</v>
      </c>
      <c r="Q251" s="4">
        <f t="shared" si="27"/>
        <v>1.1499999999999999</v>
      </c>
      <c r="R251" s="4">
        <f t="shared" si="25"/>
        <v>3.2199999999999998</v>
      </c>
      <c r="S251" s="4">
        <f t="shared" si="26"/>
        <v>-3.2199999999999998</v>
      </c>
      <c r="T251" s="4">
        <f t="shared" si="30"/>
        <v>149.74909090909091</v>
      </c>
      <c r="V251" s="4">
        <v>2094.1</v>
      </c>
      <c r="W251" s="4">
        <f t="shared" si="31"/>
        <v>21158.9</v>
      </c>
      <c r="X251" s="4">
        <v>12.911184057695142</v>
      </c>
    </row>
    <row r="252" spans="1:25" x14ac:dyDescent="0.25">
      <c r="A252">
        <v>5400</v>
      </c>
      <c r="B252">
        <v>24010</v>
      </c>
      <c r="C252" s="1">
        <v>43197</v>
      </c>
      <c r="D252" t="s">
        <v>29</v>
      </c>
      <c r="E252" s="29" t="s">
        <v>54</v>
      </c>
      <c r="F252">
        <v>13.7</v>
      </c>
      <c r="G252">
        <v>10.5</v>
      </c>
      <c r="H252">
        <v>16.600000000000001</v>
      </c>
      <c r="I252">
        <f t="shared" si="28"/>
        <v>1796.0000000000005</v>
      </c>
      <c r="J252">
        <f>F252</f>
        <v>13.7</v>
      </c>
      <c r="K252" s="18" t="s">
        <v>34</v>
      </c>
      <c r="L252">
        <v>2</v>
      </c>
      <c r="M252">
        <v>0.9</v>
      </c>
      <c r="N252">
        <f t="shared" si="24"/>
        <v>1.1000000000000001</v>
      </c>
      <c r="P252">
        <v>221</v>
      </c>
      <c r="Q252">
        <v>1.1499999999999999</v>
      </c>
      <c r="R252">
        <f t="shared" si="25"/>
        <v>1.0349999999999999</v>
      </c>
      <c r="S252">
        <f t="shared" si="26"/>
        <v>0.96500000000000008</v>
      </c>
      <c r="T252">
        <f t="shared" si="30"/>
        <v>150.71409090909091</v>
      </c>
      <c r="U252" s="20" t="s">
        <v>41</v>
      </c>
      <c r="V252">
        <v>540.4</v>
      </c>
      <c r="W252">
        <f>V252</f>
        <v>540.4</v>
      </c>
      <c r="X252">
        <v>12.971226549501379</v>
      </c>
      <c r="Y252" s="20" t="s">
        <v>46</v>
      </c>
    </row>
    <row r="253" spans="1:25" x14ac:dyDescent="0.25">
      <c r="A253">
        <v>5400</v>
      </c>
      <c r="B253">
        <v>24010</v>
      </c>
      <c r="C253" s="1">
        <v>43198</v>
      </c>
      <c r="E253" s="29"/>
      <c r="F253">
        <v>13.9</v>
      </c>
      <c r="G253">
        <v>9.9</v>
      </c>
      <c r="H253">
        <v>18.399999999999999</v>
      </c>
      <c r="I253">
        <f t="shared" si="28"/>
        <v>1809.9000000000005</v>
      </c>
      <c r="J253">
        <f t="shared" si="29"/>
        <v>27.6</v>
      </c>
      <c r="K253" s="8">
        <v>285.5</v>
      </c>
      <c r="L253">
        <v>0.4</v>
      </c>
      <c r="M253">
        <v>1</v>
      </c>
      <c r="N253">
        <f t="shared" si="24"/>
        <v>-0.6</v>
      </c>
      <c r="P253">
        <v>222</v>
      </c>
      <c r="Q253">
        <v>1.1499999999999999</v>
      </c>
      <c r="R253">
        <f t="shared" si="25"/>
        <v>1.1499999999999999</v>
      </c>
      <c r="S253">
        <f t="shared" si="26"/>
        <v>-0.74999999999999989</v>
      </c>
      <c r="T253">
        <f t="shared" si="30"/>
        <v>149.96409090909091</v>
      </c>
      <c r="U253">
        <v>0</v>
      </c>
      <c r="V253">
        <v>422.3</v>
      </c>
      <c r="W253">
        <f t="shared" si="31"/>
        <v>962.7</v>
      </c>
      <c r="X253">
        <v>13.031128330332709</v>
      </c>
      <c r="Y253">
        <v>29373.5</v>
      </c>
    </row>
    <row r="254" spans="1:25" x14ac:dyDescent="0.25">
      <c r="A254">
        <v>5400</v>
      </c>
      <c r="B254">
        <v>24010</v>
      </c>
      <c r="C254" s="1">
        <v>43199</v>
      </c>
      <c r="E254" s="29"/>
      <c r="F254">
        <v>11.8</v>
      </c>
      <c r="G254">
        <v>11.2</v>
      </c>
      <c r="H254">
        <v>13.1</v>
      </c>
      <c r="I254">
        <f t="shared" si="28"/>
        <v>1821.7000000000005</v>
      </c>
      <c r="J254">
        <f t="shared" si="29"/>
        <v>39.400000000000006</v>
      </c>
      <c r="K254" s="18" t="s">
        <v>35</v>
      </c>
      <c r="L254">
        <v>4.3</v>
      </c>
      <c r="M254">
        <v>0.4</v>
      </c>
      <c r="N254">
        <f t="shared" si="24"/>
        <v>3.9</v>
      </c>
      <c r="P254">
        <v>223</v>
      </c>
      <c r="Q254">
        <v>1.1499999999999999</v>
      </c>
      <c r="R254">
        <f t="shared" si="25"/>
        <v>0.45999999999999996</v>
      </c>
      <c r="S254">
        <f t="shared" si="26"/>
        <v>3.84</v>
      </c>
      <c r="T254">
        <f t="shared" si="30"/>
        <v>153.80409090909092</v>
      </c>
      <c r="U254" s="20" t="s">
        <v>42</v>
      </c>
      <c r="V254">
        <v>285.2</v>
      </c>
      <c r="W254">
        <f t="shared" si="31"/>
        <v>1247.9000000000001</v>
      </c>
      <c r="X254">
        <v>13.090879169546627</v>
      </c>
      <c r="Y254" s="20" t="s">
        <v>47</v>
      </c>
    </row>
    <row r="255" spans="1:25" x14ac:dyDescent="0.25">
      <c r="A255">
        <v>5400</v>
      </c>
      <c r="B255">
        <v>24010</v>
      </c>
      <c r="C255" s="1">
        <v>43200</v>
      </c>
      <c r="E255" s="29"/>
      <c r="F255">
        <v>10.6</v>
      </c>
      <c r="G255">
        <v>10</v>
      </c>
      <c r="H255">
        <v>12</v>
      </c>
      <c r="I255">
        <f t="shared" si="28"/>
        <v>1832.3000000000004</v>
      </c>
      <c r="J255">
        <f t="shared" si="29"/>
        <v>50.000000000000007</v>
      </c>
      <c r="K255" s="9">
        <f>AVERAGE(F252:F272)</f>
        <v>13.595238095238095</v>
      </c>
      <c r="L255">
        <v>0.4</v>
      </c>
      <c r="M255">
        <v>0.8</v>
      </c>
      <c r="N255">
        <f t="shared" si="24"/>
        <v>-0.4</v>
      </c>
      <c r="P255">
        <v>224</v>
      </c>
      <c r="Q255">
        <v>1.1499999999999999</v>
      </c>
      <c r="R255">
        <f t="shared" si="25"/>
        <v>0.91999999999999993</v>
      </c>
      <c r="S255">
        <f t="shared" si="26"/>
        <v>-0.51999999999999991</v>
      </c>
      <c r="T255">
        <f t="shared" si="30"/>
        <v>153.28409090909091</v>
      </c>
      <c r="U255">
        <v>0</v>
      </c>
      <c r="V255">
        <v>494.8</v>
      </c>
      <c r="W255">
        <f t="shared" si="31"/>
        <v>1742.7</v>
      </c>
      <c r="X255">
        <v>13.150468579438705</v>
      </c>
      <c r="Y255" s="12">
        <f>(Y253/100)/K253</f>
        <v>1.0288441330998248</v>
      </c>
    </row>
    <row r="256" spans="1:25" x14ac:dyDescent="0.25">
      <c r="A256">
        <v>5400</v>
      </c>
      <c r="B256">
        <v>24010</v>
      </c>
      <c r="C256" s="1">
        <v>43201</v>
      </c>
      <c r="E256" s="29"/>
      <c r="F256">
        <v>11.6</v>
      </c>
      <c r="G256">
        <v>6.2</v>
      </c>
      <c r="H256">
        <v>16.600000000000001</v>
      </c>
      <c r="I256">
        <f t="shared" si="28"/>
        <v>1843.9000000000003</v>
      </c>
      <c r="J256">
        <f t="shared" si="29"/>
        <v>61.600000000000009</v>
      </c>
      <c r="K256" s="18" t="s">
        <v>36</v>
      </c>
      <c r="L256">
        <v>0</v>
      </c>
      <c r="M256">
        <v>2.2000000000000002</v>
      </c>
      <c r="N256">
        <f t="shared" si="24"/>
        <v>-2.2000000000000002</v>
      </c>
      <c r="P256">
        <v>225</v>
      </c>
      <c r="Q256">
        <v>1.1499999999999999</v>
      </c>
      <c r="R256">
        <f t="shared" si="25"/>
        <v>2.5299999999999998</v>
      </c>
      <c r="S256">
        <f t="shared" si="26"/>
        <v>-2.5299999999999998</v>
      </c>
      <c r="T256">
        <f t="shared" si="30"/>
        <v>150.75409090909091</v>
      </c>
      <c r="U256" s="20" t="s">
        <v>43</v>
      </c>
      <c r="V256">
        <v>1745.8</v>
      </c>
      <c r="W256">
        <f t="shared" si="31"/>
        <v>3488.5</v>
      </c>
      <c r="X256">
        <v>13.209885801440894</v>
      </c>
      <c r="Y256" s="20" t="s">
        <v>48</v>
      </c>
    </row>
    <row r="257" spans="1:25" x14ac:dyDescent="0.25">
      <c r="A257">
        <v>5400</v>
      </c>
      <c r="B257">
        <v>24010</v>
      </c>
      <c r="C257" s="1">
        <v>43202</v>
      </c>
      <c r="E257" s="29"/>
      <c r="F257">
        <v>10.9</v>
      </c>
      <c r="G257">
        <v>7.8</v>
      </c>
      <c r="H257">
        <v>15.1</v>
      </c>
      <c r="I257">
        <f t="shared" si="28"/>
        <v>1854.8000000000004</v>
      </c>
      <c r="J257">
        <f t="shared" si="29"/>
        <v>72.500000000000014</v>
      </c>
      <c r="K257" s="10">
        <f>MIN(G252:G272)</f>
        <v>6.2</v>
      </c>
      <c r="L257">
        <v>7.1</v>
      </c>
      <c r="M257">
        <v>0.9</v>
      </c>
      <c r="N257">
        <f t="shared" si="24"/>
        <v>6.1999999999999993</v>
      </c>
      <c r="P257">
        <v>226</v>
      </c>
      <c r="Q257">
        <v>1.1499999999999999</v>
      </c>
      <c r="R257">
        <f t="shared" si="25"/>
        <v>1.0349999999999999</v>
      </c>
      <c r="S257">
        <f t="shared" si="26"/>
        <v>6.0649999999999995</v>
      </c>
      <c r="T257">
        <f t="shared" si="30"/>
        <v>153.9</v>
      </c>
      <c r="U257" s="12">
        <f>MIN(T252:T272)</f>
        <v>109.16999999999999</v>
      </c>
      <c r="V257">
        <v>651</v>
      </c>
      <c r="W257">
        <f t="shared" si="31"/>
        <v>4139.5</v>
      </c>
      <c r="X257">
        <v>13.269119792595392</v>
      </c>
      <c r="Y257">
        <v>7</v>
      </c>
    </row>
    <row r="258" spans="1:25" x14ac:dyDescent="0.25">
      <c r="A258">
        <v>5400</v>
      </c>
      <c r="B258">
        <v>24010</v>
      </c>
      <c r="C258" s="1">
        <v>43203</v>
      </c>
      <c r="E258" s="29"/>
      <c r="F258">
        <v>12.3</v>
      </c>
      <c r="G258">
        <v>9.4</v>
      </c>
      <c r="H258">
        <v>15.3</v>
      </c>
      <c r="I258">
        <f t="shared" si="28"/>
        <v>1867.1000000000004</v>
      </c>
      <c r="J258">
        <f t="shared" si="29"/>
        <v>84.800000000000011</v>
      </c>
      <c r="K258" s="18" t="s">
        <v>37</v>
      </c>
      <c r="L258">
        <v>0.3</v>
      </c>
      <c r="M258">
        <v>1.5</v>
      </c>
      <c r="N258">
        <f t="shared" si="24"/>
        <v>-1.2</v>
      </c>
      <c r="P258">
        <v>227</v>
      </c>
      <c r="Q258">
        <v>1.1499999999999999</v>
      </c>
      <c r="R258">
        <f t="shared" si="25"/>
        <v>1.7249999999999999</v>
      </c>
      <c r="S258">
        <f t="shared" si="26"/>
        <v>-1.4249999999999998</v>
      </c>
      <c r="T258">
        <f t="shared" si="30"/>
        <v>152.47499999999999</v>
      </c>
      <c r="U258" s="20" t="s">
        <v>44</v>
      </c>
      <c r="V258">
        <v>1103.9000000000001</v>
      </c>
      <c r="W258">
        <f t="shared" si="31"/>
        <v>5243.4</v>
      </c>
      <c r="X258">
        <v>13.328159212333018</v>
      </c>
    </row>
    <row r="259" spans="1:25" x14ac:dyDescent="0.25">
      <c r="A259">
        <v>5400</v>
      </c>
      <c r="B259">
        <v>24010</v>
      </c>
      <c r="C259" s="1">
        <v>43204</v>
      </c>
      <c r="E259" s="29"/>
      <c r="F259">
        <v>11.1</v>
      </c>
      <c r="G259">
        <v>8</v>
      </c>
      <c r="H259">
        <v>14.4</v>
      </c>
      <c r="I259">
        <f t="shared" si="28"/>
        <v>1878.2000000000003</v>
      </c>
      <c r="J259">
        <f t="shared" si="29"/>
        <v>95.9</v>
      </c>
      <c r="K259" s="8">
        <f>MAX(H252:H272)</f>
        <v>26.6</v>
      </c>
      <c r="L259">
        <v>2.4</v>
      </c>
      <c r="M259">
        <v>0.7</v>
      </c>
      <c r="N259">
        <f t="shared" si="24"/>
        <v>1.7</v>
      </c>
      <c r="P259">
        <v>228</v>
      </c>
      <c r="Q259">
        <v>1.1499999999999999</v>
      </c>
      <c r="R259">
        <f t="shared" si="25"/>
        <v>0.80499999999999994</v>
      </c>
      <c r="S259">
        <f t="shared" si="26"/>
        <v>1.595</v>
      </c>
      <c r="T259">
        <f t="shared" si="30"/>
        <v>153.9</v>
      </c>
      <c r="U259" s="12">
        <f>MAX(T252:T272)</f>
        <v>153.9</v>
      </c>
      <c r="V259">
        <v>673.5</v>
      </c>
      <c r="W259">
        <f t="shared" si="31"/>
        <v>5916.9</v>
      </c>
      <c r="X259">
        <v>13.386992409587229</v>
      </c>
    </row>
    <row r="260" spans="1:25" x14ac:dyDescent="0.25">
      <c r="A260">
        <v>5400</v>
      </c>
      <c r="B260">
        <v>24010</v>
      </c>
      <c r="C260" s="1">
        <v>43205</v>
      </c>
      <c r="E260" s="29"/>
      <c r="F260">
        <v>11.8</v>
      </c>
      <c r="G260">
        <v>7.6</v>
      </c>
      <c r="H260">
        <v>15.4</v>
      </c>
      <c r="I260">
        <f t="shared" si="28"/>
        <v>1890.0000000000002</v>
      </c>
      <c r="J260">
        <f t="shared" si="29"/>
        <v>107.7</v>
      </c>
      <c r="K260" s="18" t="s">
        <v>38</v>
      </c>
      <c r="L260">
        <v>0</v>
      </c>
      <c r="M260">
        <v>1.7</v>
      </c>
      <c r="N260">
        <f t="shared" si="24"/>
        <v>-1.7</v>
      </c>
      <c r="P260">
        <v>229</v>
      </c>
      <c r="Q260">
        <v>1.1499999999999999</v>
      </c>
      <c r="R260">
        <f t="shared" si="25"/>
        <v>1.9549999999999998</v>
      </c>
      <c r="S260">
        <f t="shared" si="26"/>
        <v>-1.9549999999999998</v>
      </c>
      <c r="T260">
        <f t="shared" si="30"/>
        <v>151.94499999999999</v>
      </c>
      <c r="U260" s="20" t="s">
        <v>45</v>
      </c>
      <c r="V260">
        <v>1380.2</v>
      </c>
      <c r="W260">
        <f t="shared" si="31"/>
        <v>7297.0999999999995</v>
      </c>
      <c r="X260">
        <v>13.44560741027715</v>
      </c>
    </row>
    <row r="261" spans="1:25" x14ac:dyDescent="0.25">
      <c r="A261">
        <v>5400</v>
      </c>
      <c r="B261">
        <v>24010</v>
      </c>
      <c r="C261" s="1">
        <v>43206</v>
      </c>
      <c r="E261" s="29"/>
      <c r="F261">
        <v>11.1</v>
      </c>
      <c r="G261">
        <v>7.2</v>
      </c>
      <c r="H261">
        <v>15.1</v>
      </c>
      <c r="I261">
        <f t="shared" si="28"/>
        <v>1901.1000000000001</v>
      </c>
      <c r="J261">
        <f t="shared" si="29"/>
        <v>118.8</v>
      </c>
      <c r="K261" s="8">
        <v>2</v>
      </c>
      <c r="L261">
        <v>0</v>
      </c>
      <c r="M261">
        <v>1.5</v>
      </c>
      <c r="N261">
        <f t="shared" ref="N261:N324" si="32">L261-M261</f>
        <v>-1.5</v>
      </c>
      <c r="P261">
        <v>230</v>
      </c>
      <c r="Q261">
        <v>1.1499999999999999</v>
      </c>
      <c r="R261">
        <f t="shared" ref="R261:R324" si="33">Q261*M261</f>
        <v>1.7249999999999999</v>
      </c>
      <c r="S261">
        <f t="shared" ref="S261:S324" si="34">L261-R261</f>
        <v>-1.7249999999999999</v>
      </c>
      <c r="T261">
        <f t="shared" si="30"/>
        <v>150.22</v>
      </c>
      <c r="U261" s="12">
        <f>AVERAGE(T252:T272)</f>
        <v>137.74430735930736</v>
      </c>
      <c r="V261">
        <v>1124.5999999999999</v>
      </c>
      <c r="W261">
        <f t="shared" si="31"/>
        <v>8421.6999999999989</v>
      </c>
      <c r="X261">
        <v>13.503991905195365</v>
      </c>
    </row>
    <row r="262" spans="1:25" x14ac:dyDescent="0.25">
      <c r="A262">
        <v>5400</v>
      </c>
      <c r="B262">
        <v>24010</v>
      </c>
      <c r="C262" s="1">
        <v>43207</v>
      </c>
      <c r="E262" s="29"/>
      <c r="F262">
        <v>13.4</v>
      </c>
      <c r="G262">
        <v>6.4</v>
      </c>
      <c r="H262">
        <v>19.5</v>
      </c>
      <c r="I262">
        <f t="shared" si="28"/>
        <v>1914.5000000000002</v>
      </c>
      <c r="J262">
        <f t="shared" si="29"/>
        <v>132.19999999999999</v>
      </c>
      <c r="K262" s="18" t="s">
        <v>39</v>
      </c>
      <c r="L262">
        <v>0</v>
      </c>
      <c r="M262">
        <v>3.7</v>
      </c>
      <c r="N262">
        <f t="shared" si="32"/>
        <v>-3.7</v>
      </c>
      <c r="P262">
        <v>231</v>
      </c>
      <c r="Q262">
        <v>1.1499999999999999</v>
      </c>
      <c r="R262">
        <f t="shared" si="33"/>
        <v>4.2549999999999999</v>
      </c>
      <c r="S262">
        <f t="shared" si="34"/>
        <v>-4.2549999999999999</v>
      </c>
      <c r="T262">
        <f t="shared" si="30"/>
        <v>145.965</v>
      </c>
      <c r="V262">
        <v>2322.4</v>
      </c>
      <c r="W262">
        <f t="shared" si="31"/>
        <v>10744.099999999999</v>
      </c>
      <c r="X262">
        <v>13.562133238338593</v>
      </c>
    </row>
    <row r="263" spans="1:25" x14ac:dyDescent="0.25">
      <c r="A263">
        <v>5400</v>
      </c>
      <c r="B263">
        <v>24010</v>
      </c>
      <c r="C263" s="1">
        <v>43208</v>
      </c>
      <c r="E263" s="29"/>
      <c r="F263">
        <v>15.9</v>
      </c>
      <c r="G263">
        <v>7.8</v>
      </c>
      <c r="H263">
        <v>23.3</v>
      </c>
      <c r="I263">
        <f t="shared" si="28"/>
        <v>1930.4000000000003</v>
      </c>
      <c r="J263">
        <f t="shared" si="29"/>
        <v>148.1</v>
      </c>
      <c r="K263" s="8">
        <v>0</v>
      </c>
      <c r="L263">
        <v>0</v>
      </c>
      <c r="M263">
        <v>4.3</v>
      </c>
      <c r="N263">
        <f t="shared" si="32"/>
        <v>-4.3</v>
      </c>
      <c r="P263">
        <v>232</v>
      </c>
      <c r="Q263">
        <v>1.1499999999999999</v>
      </c>
      <c r="R263">
        <f t="shared" si="33"/>
        <v>4.9449999999999994</v>
      </c>
      <c r="S263">
        <f t="shared" si="34"/>
        <v>-4.9449999999999994</v>
      </c>
      <c r="T263">
        <f t="shared" si="30"/>
        <v>141.02000000000001</v>
      </c>
      <c r="U263" s="13">
        <f>(U261*100)/153.9</f>
        <v>89.502473917678586</v>
      </c>
      <c r="V263">
        <v>2424.8000000000002</v>
      </c>
      <c r="W263">
        <f t="shared" si="31"/>
        <v>13168.899999999998</v>
      </c>
      <c r="X263">
        <v>13.620018395721955</v>
      </c>
    </row>
    <row r="264" spans="1:25" x14ac:dyDescent="0.25">
      <c r="A264">
        <v>5400</v>
      </c>
      <c r="B264">
        <v>24010</v>
      </c>
      <c r="C264" s="1">
        <v>43209</v>
      </c>
      <c r="E264" s="29"/>
      <c r="F264">
        <v>17.7</v>
      </c>
      <c r="G264">
        <v>10.6</v>
      </c>
      <c r="H264">
        <v>24.5</v>
      </c>
      <c r="I264">
        <f t="shared" si="28"/>
        <v>1948.1000000000004</v>
      </c>
      <c r="J264">
        <f t="shared" si="29"/>
        <v>165.79999999999998</v>
      </c>
      <c r="K264" s="18" t="s">
        <v>40</v>
      </c>
      <c r="L264">
        <v>0</v>
      </c>
      <c r="M264">
        <v>4.5</v>
      </c>
      <c r="N264">
        <f t="shared" si="32"/>
        <v>-4.5</v>
      </c>
      <c r="P264">
        <v>233</v>
      </c>
      <c r="Q264">
        <v>1.1499999999999999</v>
      </c>
      <c r="R264">
        <f t="shared" si="33"/>
        <v>5.1749999999999998</v>
      </c>
      <c r="S264">
        <f t="shared" si="34"/>
        <v>-5.1749999999999998</v>
      </c>
      <c r="T264">
        <f t="shared" si="30"/>
        <v>135.845</v>
      </c>
      <c r="V264">
        <v>2395.8000000000002</v>
      </c>
      <c r="W264">
        <f t="shared" si="31"/>
        <v>15564.699999999997</v>
      </c>
      <c r="X264">
        <v>13.677633994720008</v>
      </c>
    </row>
    <row r="265" spans="1:25" x14ac:dyDescent="0.25">
      <c r="A265">
        <v>5400</v>
      </c>
      <c r="B265">
        <v>24010</v>
      </c>
      <c r="C265" s="1">
        <v>43210</v>
      </c>
      <c r="E265" s="29"/>
      <c r="F265">
        <v>19.399999999999999</v>
      </c>
      <c r="G265">
        <v>12.2</v>
      </c>
      <c r="H265">
        <v>26.6</v>
      </c>
      <c r="I265">
        <f t="shared" si="28"/>
        <v>1967.5000000000005</v>
      </c>
      <c r="J265">
        <f t="shared" si="29"/>
        <v>185.2</v>
      </c>
      <c r="K265" s="19">
        <v>0</v>
      </c>
      <c r="L265">
        <v>0</v>
      </c>
      <c r="M265">
        <v>4.8</v>
      </c>
      <c r="N265">
        <f t="shared" si="32"/>
        <v>-4.8</v>
      </c>
      <c r="P265">
        <v>234</v>
      </c>
      <c r="Q265">
        <v>1.1499999999999999</v>
      </c>
      <c r="R265">
        <f t="shared" si="33"/>
        <v>5.52</v>
      </c>
      <c r="S265">
        <f t="shared" si="34"/>
        <v>-5.52</v>
      </c>
      <c r="T265">
        <f t="shared" si="30"/>
        <v>130.32499999999999</v>
      </c>
      <c r="V265">
        <v>2379.8000000000002</v>
      </c>
      <c r="W265">
        <f t="shared" si="31"/>
        <v>17944.499999999996</v>
      </c>
      <c r="X265">
        <v>13.73496627398038</v>
      </c>
    </row>
    <row r="266" spans="1:25" x14ac:dyDescent="0.25">
      <c r="A266">
        <v>5400</v>
      </c>
      <c r="B266">
        <v>24010</v>
      </c>
      <c r="C266" s="1">
        <v>43211</v>
      </c>
      <c r="E266" s="29"/>
      <c r="F266">
        <v>19.899999999999999</v>
      </c>
      <c r="G266">
        <v>14.4</v>
      </c>
      <c r="H266">
        <v>25.7</v>
      </c>
      <c r="I266">
        <f t="shared" si="28"/>
        <v>1987.4000000000005</v>
      </c>
      <c r="J266">
        <f t="shared" si="29"/>
        <v>205.1</v>
      </c>
      <c r="L266">
        <v>0</v>
      </c>
      <c r="M266">
        <v>4.3</v>
      </c>
      <c r="N266">
        <f t="shared" si="32"/>
        <v>-4.3</v>
      </c>
      <c r="P266">
        <v>235</v>
      </c>
      <c r="Q266">
        <v>1.1499999999999999</v>
      </c>
      <c r="R266">
        <f t="shared" si="33"/>
        <v>4.9449999999999994</v>
      </c>
      <c r="S266">
        <f t="shared" si="34"/>
        <v>-4.9449999999999994</v>
      </c>
      <c r="T266">
        <f t="shared" si="30"/>
        <v>125.38</v>
      </c>
      <c r="V266">
        <v>2106.1</v>
      </c>
      <c r="W266">
        <f t="shared" si="31"/>
        <v>20050.599999999995</v>
      </c>
      <c r="X266">
        <v>13.792001083958461</v>
      </c>
    </row>
    <row r="267" spans="1:25" x14ac:dyDescent="0.25">
      <c r="A267">
        <v>5400</v>
      </c>
      <c r="B267">
        <v>24010</v>
      </c>
      <c r="C267" s="1">
        <v>43212</v>
      </c>
      <c r="E267" s="29"/>
      <c r="F267">
        <v>18.600000000000001</v>
      </c>
      <c r="G267">
        <v>13.8</v>
      </c>
      <c r="H267">
        <v>24.5</v>
      </c>
      <c r="I267">
        <f t="shared" si="28"/>
        <v>2006.0000000000005</v>
      </c>
      <c r="J267">
        <f t="shared" si="29"/>
        <v>223.7</v>
      </c>
      <c r="L267">
        <v>0.3</v>
      </c>
      <c r="M267">
        <v>4.3</v>
      </c>
      <c r="N267">
        <f t="shared" si="32"/>
        <v>-4</v>
      </c>
      <c r="P267">
        <v>236</v>
      </c>
      <c r="Q267">
        <v>1.1499999999999999</v>
      </c>
      <c r="R267">
        <f t="shared" si="33"/>
        <v>4.9449999999999994</v>
      </c>
      <c r="S267">
        <f t="shared" si="34"/>
        <v>-4.6449999999999996</v>
      </c>
      <c r="T267">
        <f t="shared" si="30"/>
        <v>120.735</v>
      </c>
      <c r="V267">
        <v>2211.6999999999998</v>
      </c>
      <c r="W267">
        <f t="shared" si="31"/>
        <v>22262.299999999996</v>
      </c>
      <c r="X267">
        <v>13.848723878124257</v>
      </c>
    </row>
    <row r="268" spans="1:25" x14ac:dyDescent="0.25">
      <c r="A268">
        <v>5400</v>
      </c>
      <c r="B268">
        <v>24010</v>
      </c>
      <c r="C268" s="1">
        <v>43213</v>
      </c>
      <c r="E268" s="29"/>
      <c r="F268">
        <v>13.8</v>
      </c>
      <c r="G268">
        <v>11</v>
      </c>
      <c r="H268">
        <v>16.7</v>
      </c>
      <c r="I268">
        <f t="shared" si="28"/>
        <v>2019.8000000000004</v>
      </c>
      <c r="J268">
        <f t="shared" si="29"/>
        <v>237.5</v>
      </c>
      <c r="L268">
        <v>0.1</v>
      </c>
      <c r="M268">
        <v>1.5</v>
      </c>
      <c r="N268">
        <f t="shared" si="32"/>
        <v>-1.4</v>
      </c>
      <c r="P268">
        <v>237</v>
      </c>
      <c r="Q268">
        <v>1.1499999999999999</v>
      </c>
      <c r="R268">
        <f t="shared" si="33"/>
        <v>1.7249999999999999</v>
      </c>
      <c r="S268">
        <f t="shared" si="34"/>
        <v>-1.6249999999999998</v>
      </c>
      <c r="T268">
        <f t="shared" si="30"/>
        <v>119.11</v>
      </c>
      <c r="V268">
        <v>966.2</v>
      </c>
      <c r="W268">
        <f t="shared" si="31"/>
        <v>23228.499999999996</v>
      </c>
      <c r="X268">
        <v>13.905119704895169</v>
      </c>
    </row>
    <row r="269" spans="1:25" x14ac:dyDescent="0.25">
      <c r="A269">
        <v>5400</v>
      </c>
      <c r="B269">
        <v>24010</v>
      </c>
      <c r="C269" s="1">
        <v>43214</v>
      </c>
      <c r="E269" s="29"/>
      <c r="F269">
        <v>13.5</v>
      </c>
      <c r="G269">
        <v>7.2</v>
      </c>
      <c r="H269">
        <v>18.8</v>
      </c>
      <c r="I269">
        <f t="shared" si="28"/>
        <v>2033.3000000000004</v>
      </c>
      <c r="J269">
        <f t="shared" si="29"/>
        <v>251</v>
      </c>
      <c r="L269">
        <v>0</v>
      </c>
      <c r="M269">
        <v>3</v>
      </c>
      <c r="N269">
        <f t="shared" si="32"/>
        <v>-3</v>
      </c>
      <c r="P269">
        <v>238</v>
      </c>
      <c r="Q269">
        <v>1.1499999999999999</v>
      </c>
      <c r="R269">
        <f t="shared" si="33"/>
        <v>3.4499999999999997</v>
      </c>
      <c r="S269">
        <f t="shared" si="34"/>
        <v>-3.4499999999999997</v>
      </c>
      <c r="T269">
        <f t="shared" si="30"/>
        <v>115.66</v>
      </c>
      <c r="V269">
        <v>1953</v>
      </c>
      <c r="W269">
        <f t="shared" si="31"/>
        <v>25181.499999999996</v>
      </c>
      <c r="X269">
        <v>13.961173200351062</v>
      </c>
    </row>
    <row r="270" spans="1:25" x14ac:dyDescent="0.25">
      <c r="A270">
        <v>5400</v>
      </c>
      <c r="B270">
        <v>24010</v>
      </c>
      <c r="C270" s="1">
        <v>43215</v>
      </c>
      <c r="E270" s="29"/>
      <c r="F270">
        <v>12.3</v>
      </c>
      <c r="G270">
        <v>10.6</v>
      </c>
      <c r="H270">
        <v>14.9</v>
      </c>
      <c r="I270">
        <f t="shared" si="28"/>
        <v>2045.6000000000004</v>
      </c>
      <c r="J270">
        <f t="shared" si="29"/>
        <v>263.3</v>
      </c>
      <c r="L270">
        <v>1.1000000000000001</v>
      </c>
      <c r="M270">
        <v>1.1000000000000001</v>
      </c>
      <c r="N270">
        <f t="shared" si="32"/>
        <v>0</v>
      </c>
      <c r="P270">
        <v>239</v>
      </c>
      <c r="Q270">
        <v>1.1499999999999999</v>
      </c>
      <c r="R270">
        <f t="shared" si="33"/>
        <v>1.2649999999999999</v>
      </c>
      <c r="S270">
        <f t="shared" si="34"/>
        <v>-0.16499999999999981</v>
      </c>
      <c r="T270">
        <f t="shared" si="30"/>
        <v>115.49499999999999</v>
      </c>
      <c r="V270">
        <v>574.1</v>
      </c>
      <c r="W270">
        <f t="shared" si="31"/>
        <v>25755.599999999995</v>
      </c>
      <c r="X270">
        <v>14.016868581790639</v>
      </c>
    </row>
    <row r="271" spans="1:25" x14ac:dyDescent="0.25">
      <c r="A271">
        <v>5400</v>
      </c>
      <c r="B271">
        <v>24010</v>
      </c>
      <c r="C271" s="1">
        <v>43216</v>
      </c>
      <c r="E271" s="29"/>
      <c r="F271">
        <v>10.3</v>
      </c>
      <c r="G271">
        <v>6.2</v>
      </c>
      <c r="H271">
        <v>14.1</v>
      </c>
      <c r="I271">
        <f t="shared" si="28"/>
        <v>2055.9000000000005</v>
      </c>
      <c r="J271">
        <f t="shared" si="29"/>
        <v>273.60000000000002</v>
      </c>
      <c r="L271">
        <v>0</v>
      </c>
      <c r="M271">
        <v>2.2000000000000002</v>
      </c>
      <c r="N271">
        <f t="shared" si="32"/>
        <v>-2.2000000000000002</v>
      </c>
      <c r="P271">
        <v>240</v>
      </c>
      <c r="Q271">
        <v>1.1499999999999999</v>
      </c>
      <c r="R271">
        <f t="shared" si="33"/>
        <v>2.5299999999999998</v>
      </c>
      <c r="S271">
        <f t="shared" si="34"/>
        <v>-2.5299999999999998</v>
      </c>
      <c r="T271">
        <f t="shared" si="30"/>
        <v>112.96499999999999</v>
      </c>
      <c r="V271">
        <v>1622.9</v>
      </c>
      <c r="W271">
        <f t="shared" si="31"/>
        <v>27378.499999999996</v>
      </c>
      <c r="X271">
        <v>14.072189642190544</v>
      </c>
    </row>
    <row r="272" spans="1:25" s="4" customFormat="1" ht="15.75" thickBot="1" x14ac:dyDescent="0.3">
      <c r="A272" s="4">
        <v>5400</v>
      </c>
      <c r="B272" s="4">
        <v>24010</v>
      </c>
      <c r="C272" s="5">
        <v>43217</v>
      </c>
      <c r="D272" s="4" t="s">
        <v>30</v>
      </c>
      <c r="E272" s="30"/>
      <c r="F272" s="4">
        <v>11.9</v>
      </c>
      <c r="G272" s="4">
        <v>7</v>
      </c>
      <c r="H272" s="4">
        <v>17.600000000000001</v>
      </c>
      <c r="I272" s="4">
        <f t="shared" si="28"/>
        <v>2067.8000000000006</v>
      </c>
      <c r="J272" s="4">
        <f t="shared" si="29"/>
        <v>285.5</v>
      </c>
      <c r="L272" s="4">
        <v>0</v>
      </c>
      <c r="M272" s="4">
        <v>3.3</v>
      </c>
      <c r="N272" s="4">
        <f t="shared" si="32"/>
        <v>-3.3</v>
      </c>
      <c r="P272" s="4">
        <v>241</v>
      </c>
      <c r="Q272" s="4">
        <v>1.1499999999999999</v>
      </c>
      <c r="R272" s="4">
        <f t="shared" si="33"/>
        <v>3.7949999999999995</v>
      </c>
      <c r="S272" s="4">
        <f t="shared" si="34"/>
        <v>-3.7949999999999995</v>
      </c>
      <c r="T272" s="4">
        <f t="shared" si="30"/>
        <v>109.16999999999999</v>
      </c>
      <c r="V272" s="4">
        <v>1995</v>
      </c>
      <c r="W272" s="4">
        <f t="shared" si="31"/>
        <v>29373.499999999996</v>
      </c>
      <c r="X272" s="4">
        <v>14.12711974563112</v>
      </c>
    </row>
    <row r="273" spans="1:25" x14ac:dyDescent="0.25">
      <c r="A273">
        <v>5400</v>
      </c>
      <c r="B273">
        <v>24010</v>
      </c>
      <c r="C273" s="1">
        <v>43218</v>
      </c>
      <c r="E273" s="31" t="s">
        <v>55</v>
      </c>
      <c r="F273">
        <v>11.7</v>
      </c>
      <c r="G273">
        <v>9.5</v>
      </c>
      <c r="H273">
        <v>13.9</v>
      </c>
      <c r="I273">
        <f t="shared" si="28"/>
        <v>2079.5000000000005</v>
      </c>
      <c r="J273">
        <f>F273</f>
        <v>11.7</v>
      </c>
      <c r="K273" s="21" t="s">
        <v>34</v>
      </c>
      <c r="L273">
        <v>0.9</v>
      </c>
      <c r="M273">
        <v>1.5</v>
      </c>
      <c r="N273">
        <f t="shared" si="32"/>
        <v>-0.6</v>
      </c>
      <c r="P273">
        <v>242</v>
      </c>
      <c r="Q273">
        <v>1.1499999999999999</v>
      </c>
      <c r="R273">
        <f t="shared" si="33"/>
        <v>1.7249999999999999</v>
      </c>
      <c r="S273">
        <f t="shared" si="34"/>
        <v>-0.82499999999999984</v>
      </c>
      <c r="T273">
        <f t="shared" si="30"/>
        <v>108.34499999999998</v>
      </c>
      <c r="U273" s="22" t="s">
        <v>41</v>
      </c>
      <c r="V273">
        <v>1130.2</v>
      </c>
      <c r="W273">
        <f>V273</f>
        <v>1130.2</v>
      </c>
      <c r="X273">
        <v>14.18164182375496</v>
      </c>
      <c r="Y273" s="22" t="s">
        <v>46</v>
      </c>
    </row>
    <row r="274" spans="1:25" x14ac:dyDescent="0.25">
      <c r="A274">
        <v>5400</v>
      </c>
      <c r="B274">
        <v>24010</v>
      </c>
      <c r="C274" s="1">
        <v>43219</v>
      </c>
      <c r="E274" s="32"/>
      <c r="F274">
        <v>9.8000000000000007</v>
      </c>
      <c r="G274">
        <v>9.1</v>
      </c>
      <c r="H274">
        <v>10.9</v>
      </c>
      <c r="I274">
        <f t="shared" si="28"/>
        <v>2089.3000000000006</v>
      </c>
      <c r="J274">
        <f t="shared" si="29"/>
        <v>21.5</v>
      </c>
      <c r="K274" s="8">
        <v>300.2</v>
      </c>
      <c r="L274">
        <v>10.199999999999999</v>
      </c>
      <c r="M274">
        <v>0.6</v>
      </c>
      <c r="N274">
        <f t="shared" si="32"/>
        <v>9.6</v>
      </c>
      <c r="P274">
        <v>243</v>
      </c>
      <c r="Q274">
        <v>1.1499999999999999</v>
      </c>
      <c r="R274">
        <f t="shared" si="33"/>
        <v>0.69</v>
      </c>
      <c r="S274">
        <f t="shared" si="34"/>
        <v>9.51</v>
      </c>
      <c r="T274">
        <f t="shared" si="30"/>
        <v>117.85499999999999</v>
      </c>
      <c r="U274">
        <v>0</v>
      </c>
      <c r="V274">
        <v>345.4</v>
      </c>
      <c r="W274">
        <f t="shared" si="31"/>
        <v>1475.6</v>
      </c>
      <c r="X274">
        <v>14.23573837332655</v>
      </c>
      <c r="Y274">
        <v>40698.400000000001</v>
      </c>
    </row>
    <row r="275" spans="1:25" x14ac:dyDescent="0.25">
      <c r="A275">
        <v>5400</v>
      </c>
      <c r="B275">
        <v>24010</v>
      </c>
      <c r="C275" s="1">
        <v>43220</v>
      </c>
      <c r="E275" s="32"/>
      <c r="F275">
        <v>5.9</v>
      </c>
      <c r="G275">
        <v>5.4</v>
      </c>
      <c r="H275">
        <v>6.2</v>
      </c>
      <c r="I275">
        <f t="shared" si="28"/>
        <v>2095.2000000000007</v>
      </c>
      <c r="J275">
        <f t="shared" si="29"/>
        <v>27.4</v>
      </c>
      <c r="K275" s="21" t="s">
        <v>35</v>
      </c>
      <c r="L275">
        <v>4.3</v>
      </c>
      <c r="M275">
        <v>0.3</v>
      </c>
      <c r="N275">
        <f t="shared" si="32"/>
        <v>4</v>
      </c>
      <c r="P275">
        <v>244</v>
      </c>
      <c r="Q275">
        <v>1.1499999999999999</v>
      </c>
      <c r="R275">
        <f t="shared" si="33"/>
        <v>0.34499999999999997</v>
      </c>
      <c r="S275">
        <f t="shared" si="34"/>
        <v>3.9550000000000001</v>
      </c>
      <c r="T275">
        <f t="shared" si="30"/>
        <v>121.80999999999999</v>
      </c>
      <c r="U275" s="22" t="s">
        <v>42</v>
      </c>
      <c r="V275">
        <v>381.8</v>
      </c>
      <c r="W275">
        <f t="shared" si="31"/>
        <v>1857.3999999999999</v>
      </c>
      <c r="X275">
        <v>14.289391454963162</v>
      </c>
      <c r="Y275" s="22" t="s">
        <v>47</v>
      </c>
    </row>
    <row r="276" spans="1:25" x14ac:dyDescent="0.25">
      <c r="A276">
        <v>5400</v>
      </c>
      <c r="B276">
        <v>24010</v>
      </c>
      <c r="C276" s="1">
        <v>43221</v>
      </c>
      <c r="E276" s="32"/>
      <c r="F276">
        <v>7.8</v>
      </c>
      <c r="G276">
        <v>3.5</v>
      </c>
      <c r="H276">
        <v>12.1</v>
      </c>
      <c r="I276">
        <f t="shared" si="28"/>
        <v>2103.0000000000009</v>
      </c>
      <c r="J276">
        <f t="shared" si="29"/>
        <v>35.199999999999996</v>
      </c>
      <c r="K276" s="9">
        <f>AVERAGE(F273:F295)</f>
        <v>13.052173913043481</v>
      </c>
      <c r="L276">
        <v>0</v>
      </c>
      <c r="M276">
        <v>2.1</v>
      </c>
      <c r="N276">
        <f t="shared" si="32"/>
        <v>-2.1</v>
      </c>
      <c r="P276">
        <v>245</v>
      </c>
      <c r="Q276">
        <v>1.1499999999999999</v>
      </c>
      <c r="R276">
        <f t="shared" si="33"/>
        <v>2.415</v>
      </c>
      <c r="S276">
        <f t="shared" si="34"/>
        <v>-2.415</v>
      </c>
      <c r="T276">
        <f t="shared" si="30"/>
        <v>119.39499999999998</v>
      </c>
      <c r="U276">
        <v>0</v>
      </c>
      <c r="V276">
        <v>1922.3</v>
      </c>
      <c r="W276">
        <f t="shared" si="31"/>
        <v>3779.7</v>
      </c>
      <c r="X276">
        <v>14.342582693108836</v>
      </c>
      <c r="Y276">
        <f>(Y274/100)/K274</f>
        <v>1.3557095269820121</v>
      </c>
    </row>
    <row r="277" spans="1:25" x14ac:dyDescent="0.25">
      <c r="A277">
        <v>5400</v>
      </c>
      <c r="B277">
        <v>24010</v>
      </c>
      <c r="C277" s="1">
        <v>43222</v>
      </c>
      <c r="E277" s="32"/>
      <c r="F277">
        <v>9.8000000000000007</v>
      </c>
      <c r="G277">
        <v>3.7</v>
      </c>
      <c r="H277">
        <v>14.4</v>
      </c>
      <c r="I277">
        <f t="shared" si="28"/>
        <v>2112.8000000000011</v>
      </c>
      <c r="J277">
        <f t="shared" si="29"/>
        <v>45</v>
      </c>
      <c r="K277" s="21" t="s">
        <v>36</v>
      </c>
      <c r="L277">
        <v>0</v>
      </c>
      <c r="M277">
        <v>1.5</v>
      </c>
      <c r="N277">
        <f t="shared" si="32"/>
        <v>-1.5</v>
      </c>
      <c r="P277">
        <v>246</v>
      </c>
      <c r="Q277">
        <v>1.1499999999999999</v>
      </c>
      <c r="R277">
        <f t="shared" si="33"/>
        <v>1.7249999999999999</v>
      </c>
      <c r="S277">
        <f t="shared" si="34"/>
        <v>-1.7249999999999999</v>
      </c>
      <c r="T277">
        <f t="shared" si="30"/>
        <v>117.66999999999999</v>
      </c>
      <c r="U277" s="22" t="s">
        <v>43</v>
      </c>
      <c r="V277">
        <v>1101.0999999999999</v>
      </c>
      <c r="W277">
        <f t="shared" si="31"/>
        <v>4880.7999999999993</v>
      </c>
      <c r="X277">
        <v>14.395293277324699</v>
      </c>
      <c r="Y277" s="22" t="s">
        <v>48</v>
      </c>
    </row>
    <row r="278" spans="1:25" x14ac:dyDescent="0.25">
      <c r="A278">
        <v>5400</v>
      </c>
      <c r="B278">
        <v>24010</v>
      </c>
      <c r="C278" s="1">
        <v>43223</v>
      </c>
      <c r="E278" s="32"/>
      <c r="F278">
        <v>10.5</v>
      </c>
      <c r="G278">
        <v>6.3</v>
      </c>
      <c r="H278">
        <v>15.4</v>
      </c>
      <c r="I278">
        <f t="shared" si="28"/>
        <v>2123.3000000000011</v>
      </c>
      <c r="J278">
        <f t="shared" si="29"/>
        <v>55.5</v>
      </c>
      <c r="K278" s="10">
        <f>MIN(G273:G295)</f>
        <v>3.5</v>
      </c>
      <c r="L278">
        <v>0.1</v>
      </c>
      <c r="M278">
        <v>2.6</v>
      </c>
      <c r="N278">
        <f t="shared" si="32"/>
        <v>-2.5</v>
      </c>
      <c r="P278">
        <v>247</v>
      </c>
      <c r="Q278">
        <v>1.1499999999999999</v>
      </c>
      <c r="R278">
        <f t="shared" si="33"/>
        <v>2.9899999999999998</v>
      </c>
      <c r="S278">
        <f t="shared" si="34"/>
        <v>-2.8899999999999997</v>
      </c>
      <c r="T278">
        <f t="shared" si="30"/>
        <v>114.77999999999999</v>
      </c>
      <c r="U278" s="12">
        <f>MIN(T273:T295)</f>
        <v>57.835000000000001</v>
      </c>
      <c r="V278">
        <v>1653</v>
      </c>
      <c r="W278">
        <f t="shared" si="31"/>
        <v>6533.7999999999993</v>
      </c>
      <c r="X278">
        <v>14.447503964969805</v>
      </c>
      <c r="Y278">
        <v>5</v>
      </c>
    </row>
    <row r="279" spans="1:25" x14ac:dyDescent="0.25">
      <c r="A279">
        <v>5400</v>
      </c>
      <c r="B279">
        <v>24010</v>
      </c>
      <c r="C279" s="1">
        <v>43224</v>
      </c>
      <c r="E279" s="32"/>
      <c r="F279">
        <v>11.7</v>
      </c>
      <c r="G279">
        <v>5.5</v>
      </c>
      <c r="H279">
        <v>17.3</v>
      </c>
      <c r="I279">
        <f t="shared" si="28"/>
        <v>2135.0000000000009</v>
      </c>
      <c r="J279">
        <f t="shared" si="29"/>
        <v>67.2</v>
      </c>
      <c r="K279" s="21" t="s">
        <v>37</v>
      </c>
      <c r="L279">
        <v>0</v>
      </c>
      <c r="M279">
        <v>4</v>
      </c>
      <c r="N279">
        <f t="shared" si="32"/>
        <v>-4</v>
      </c>
      <c r="P279">
        <v>248</v>
      </c>
      <c r="Q279">
        <v>1.1499999999999999</v>
      </c>
      <c r="R279">
        <f t="shared" si="33"/>
        <v>4.5999999999999996</v>
      </c>
      <c r="S279">
        <f t="shared" si="34"/>
        <v>-4.5999999999999996</v>
      </c>
      <c r="T279">
        <f t="shared" si="30"/>
        <v>110.17999999999999</v>
      </c>
      <c r="U279" s="22" t="s">
        <v>44</v>
      </c>
      <c r="V279">
        <v>2666.1</v>
      </c>
      <c r="W279">
        <f t="shared" si="31"/>
        <v>9199.9</v>
      </c>
      <c r="X279">
        <v>14.499195085347464</v>
      </c>
    </row>
    <row r="280" spans="1:25" x14ac:dyDescent="0.25">
      <c r="A280">
        <v>5400</v>
      </c>
      <c r="B280">
        <v>24010</v>
      </c>
      <c r="C280" s="1">
        <v>43225</v>
      </c>
      <c r="E280" s="32"/>
      <c r="F280">
        <v>15.4</v>
      </c>
      <c r="G280">
        <v>7.7</v>
      </c>
      <c r="H280">
        <v>21.3</v>
      </c>
      <c r="I280">
        <f t="shared" si="28"/>
        <v>2150.400000000001</v>
      </c>
      <c r="J280">
        <f t="shared" si="29"/>
        <v>82.600000000000009</v>
      </c>
      <c r="K280" s="8">
        <f>MAX(H273:H295)</f>
        <v>25.6</v>
      </c>
      <c r="L280">
        <v>0</v>
      </c>
      <c r="M280">
        <v>4.3</v>
      </c>
      <c r="N280">
        <f t="shared" si="32"/>
        <v>-4.3</v>
      </c>
      <c r="P280">
        <v>249</v>
      </c>
      <c r="Q280">
        <v>1.1499999999999999</v>
      </c>
      <c r="R280">
        <f t="shared" si="33"/>
        <v>4.9449999999999994</v>
      </c>
      <c r="S280">
        <f t="shared" si="34"/>
        <v>-4.9449999999999994</v>
      </c>
      <c r="T280">
        <f t="shared" si="30"/>
        <v>105.235</v>
      </c>
      <c r="U280" s="12">
        <f>MAX(T273:T295)</f>
        <v>121.80999999999999</v>
      </c>
      <c r="V280">
        <v>2709.6</v>
      </c>
      <c r="W280">
        <f t="shared" si="31"/>
        <v>11909.5</v>
      </c>
      <c r="X280">
        <v>14.550346545392127</v>
      </c>
    </row>
    <row r="281" spans="1:25" x14ac:dyDescent="0.25">
      <c r="A281">
        <v>5400</v>
      </c>
      <c r="B281">
        <v>24010</v>
      </c>
      <c r="C281" s="1">
        <v>43226</v>
      </c>
      <c r="E281" s="32"/>
      <c r="F281">
        <v>19</v>
      </c>
      <c r="G281">
        <v>12.3</v>
      </c>
      <c r="H281">
        <v>25.1</v>
      </c>
      <c r="I281">
        <f t="shared" si="28"/>
        <v>2169.400000000001</v>
      </c>
      <c r="J281">
        <f t="shared" si="29"/>
        <v>101.60000000000001</v>
      </c>
      <c r="K281" s="21" t="s">
        <v>38</v>
      </c>
      <c r="L281">
        <v>0</v>
      </c>
      <c r="M281">
        <v>4.9000000000000004</v>
      </c>
      <c r="N281">
        <f t="shared" si="32"/>
        <v>-4.9000000000000004</v>
      </c>
      <c r="P281">
        <v>250</v>
      </c>
      <c r="Q281">
        <v>1.1499999999999999</v>
      </c>
      <c r="R281">
        <f t="shared" si="33"/>
        <v>5.6349999999999998</v>
      </c>
      <c r="S281">
        <f t="shared" si="34"/>
        <v>-5.6349999999999998</v>
      </c>
      <c r="T281">
        <f t="shared" si="30"/>
        <v>99.6</v>
      </c>
      <c r="U281" s="22" t="s">
        <v>45</v>
      </c>
      <c r="V281">
        <v>2682.7</v>
      </c>
      <c r="W281">
        <f t="shared" si="31"/>
        <v>14592.2</v>
      </c>
      <c r="X281">
        <v>14.600937836971662</v>
      </c>
    </row>
    <row r="282" spans="1:25" x14ac:dyDescent="0.25">
      <c r="A282">
        <v>5400</v>
      </c>
      <c r="B282">
        <v>24010</v>
      </c>
      <c r="C282" s="1">
        <v>43227</v>
      </c>
      <c r="E282" s="32"/>
      <c r="F282">
        <v>19.100000000000001</v>
      </c>
      <c r="G282">
        <v>14</v>
      </c>
      <c r="H282">
        <v>25.6</v>
      </c>
      <c r="I282">
        <f t="shared" si="28"/>
        <v>2188.5000000000009</v>
      </c>
      <c r="J282">
        <f t="shared" si="29"/>
        <v>120.70000000000002</v>
      </c>
      <c r="K282" s="8">
        <v>2</v>
      </c>
      <c r="L282">
        <v>0</v>
      </c>
      <c r="M282">
        <v>5.6</v>
      </c>
      <c r="N282">
        <f t="shared" si="32"/>
        <v>-5.6</v>
      </c>
      <c r="P282">
        <v>251</v>
      </c>
      <c r="Q282">
        <v>1.1499999999999999</v>
      </c>
      <c r="R282">
        <f t="shared" si="33"/>
        <v>6.4399999999999995</v>
      </c>
      <c r="S282">
        <f t="shared" si="34"/>
        <v>-6.4399999999999995</v>
      </c>
      <c r="T282">
        <f t="shared" si="30"/>
        <v>93.16</v>
      </c>
      <c r="U282" s="12">
        <f>AVERAGE(T273:T295)</f>
        <v>91.014347826086976</v>
      </c>
      <c r="V282">
        <v>2785.9</v>
      </c>
      <c r="W282">
        <f t="shared" si="31"/>
        <v>17378.100000000002</v>
      </c>
      <c r="X282">
        <v>14.650948045879067</v>
      </c>
    </row>
    <row r="283" spans="1:25" x14ac:dyDescent="0.25">
      <c r="A283">
        <v>5400</v>
      </c>
      <c r="B283">
        <v>24010</v>
      </c>
      <c r="C283" s="1">
        <v>43228</v>
      </c>
      <c r="E283" s="32"/>
      <c r="F283">
        <v>18.5</v>
      </c>
      <c r="G283">
        <v>12.3</v>
      </c>
      <c r="H283">
        <v>25.3</v>
      </c>
      <c r="I283">
        <f t="shared" si="28"/>
        <v>2207.0000000000009</v>
      </c>
      <c r="J283">
        <f t="shared" si="29"/>
        <v>139.20000000000002</v>
      </c>
      <c r="K283" s="21" t="s">
        <v>39</v>
      </c>
      <c r="L283">
        <v>0</v>
      </c>
      <c r="M283">
        <v>4.9000000000000004</v>
      </c>
      <c r="N283">
        <f t="shared" si="32"/>
        <v>-4.9000000000000004</v>
      </c>
      <c r="P283">
        <v>252</v>
      </c>
      <c r="Q283">
        <v>1.1499999999999999</v>
      </c>
      <c r="R283">
        <f t="shared" si="33"/>
        <v>5.6349999999999998</v>
      </c>
      <c r="S283">
        <f t="shared" si="34"/>
        <v>-5.6349999999999998</v>
      </c>
      <c r="T283">
        <f t="shared" si="30"/>
        <v>87.524999999999991</v>
      </c>
      <c r="V283">
        <v>2427.6999999999998</v>
      </c>
      <c r="W283">
        <f t="shared" si="31"/>
        <v>19805.800000000003</v>
      </c>
      <c r="X283">
        <v>14.700355862586139</v>
      </c>
    </row>
    <row r="284" spans="1:25" x14ac:dyDescent="0.25">
      <c r="A284">
        <v>5400</v>
      </c>
      <c r="B284">
        <v>24010</v>
      </c>
      <c r="C284" s="1">
        <v>43229</v>
      </c>
      <c r="E284" s="32"/>
      <c r="F284">
        <v>15.7</v>
      </c>
      <c r="G284">
        <v>12.3</v>
      </c>
      <c r="H284">
        <v>19.5</v>
      </c>
      <c r="I284">
        <f t="shared" si="28"/>
        <v>2222.7000000000007</v>
      </c>
      <c r="J284">
        <f t="shared" si="29"/>
        <v>154.9</v>
      </c>
      <c r="K284" s="8">
        <v>2</v>
      </c>
      <c r="L284">
        <v>0</v>
      </c>
      <c r="M284">
        <v>1.9</v>
      </c>
      <c r="N284">
        <f t="shared" si="32"/>
        <v>-1.9</v>
      </c>
      <c r="P284">
        <v>253</v>
      </c>
      <c r="Q284">
        <v>1.1499999999999999</v>
      </c>
      <c r="R284">
        <f t="shared" si="33"/>
        <v>2.1849999999999996</v>
      </c>
      <c r="S284">
        <f t="shared" si="34"/>
        <v>-2.1849999999999996</v>
      </c>
      <c r="T284">
        <f t="shared" si="30"/>
        <v>85.339999999999989</v>
      </c>
      <c r="U284" s="13">
        <f>(U282*100)/153.9</f>
        <v>59.138627567307978</v>
      </c>
      <c r="V284">
        <v>897.8</v>
      </c>
      <c r="W284">
        <f t="shared" si="31"/>
        <v>20703.600000000002</v>
      </c>
      <c r="X284">
        <v>14.7491395948296</v>
      </c>
    </row>
    <row r="285" spans="1:25" x14ac:dyDescent="0.25">
      <c r="A285">
        <v>5400</v>
      </c>
      <c r="B285">
        <v>24010</v>
      </c>
      <c r="C285" s="1">
        <v>43230</v>
      </c>
      <c r="E285" s="32"/>
      <c r="F285">
        <v>12.6</v>
      </c>
      <c r="G285">
        <v>11</v>
      </c>
      <c r="H285">
        <v>15.2</v>
      </c>
      <c r="I285">
        <f t="shared" si="28"/>
        <v>2235.3000000000006</v>
      </c>
      <c r="J285">
        <f t="shared" si="29"/>
        <v>167.5</v>
      </c>
      <c r="K285" s="21" t="s">
        <v>40</v>
      </c>
      <c r="L285">
        <v>0</v>
      </c>
      <c r="M285">
        <v>2.9</v>
      </c>
      <c r="N285">
        <f t="shared" si="32"/>
        <v>-2.9</v>
      </c>
      <c r="P285">
        <v>254</v>
      </c>
      <c r="Q285">
        <v>1.1499999999999999</v>
      </c>
      <c r="R285">
        <f t="shared" si="33"/>
        <v>3.3349999999999995</v>
      </c>
      <c r="S285">
        <f t="shared" si="34"/>
        <v>-3.3349999999999995</v>
      </c>
      <c r="T285">
        <f t="shared" si="30"/>
        <v>82.004999999999995</v>
      </c>
      <c r="V285">
        <v>1716.9</v>
      </c>
      <c r="W285">
        <f t="shared" si="31"/>
        <v>22420.500000000004</v>
      </c>
      <c r="X285">
        <v>14.797277182097337</v>
      </c>
    </row>
    <row r="286" spans="1:25" x14ac:dyDescent="0.25">
      <c r="A286">
        <v>5400</v>
      </c>
      <c r="B286">
        <v>24010</v>
      </c>
      <c r="C286" s="1">
        <v>43231</v>
      </c>
      <c r="E286" s="32"/>
      <c r="F286">
        <v>14.5</v>
      </c>
      <c r="G286">
        <v>7.1</v>
      </c>
      <c r="H286">
        <v>19.5</v>
      </c>
      <c r="I286">
        <f t="shared" si="28"/>
        <v>2249.8000000000006</v>
      </c>
      <c r="J286">
        <f t="shared" si="29"/>
        <v>182</v>
      </c>
      <c r="K286" s="19">
        <v>0</v>
      </c>
      <c r="L286">
        <v>0</v>
      </c>
      <c r="M286">
        <v>3.4</v>
      </c>
      <c r="N286">
        <f t="shared" si="32"/>
        <v>-3.4</v>
      </c>
      <c r="P286">
        <v>255</v>
      </c>
      <c r="Q286">
        <v>1.1499999999999999</v>
      </c>
      <c r="R286">
        <f t="shared" si="33"/>
        <v>3.9099999999999997</v>
      </c>
      <c r="S286">
        <f t="shared" si="34"/>
        <v>-3.9099999999999997</v>
      </c>
      <c r="T286">
        <f t="shared" si="30"/>
        <v>78.094999999999999</v>
      </c>
      <c r="V286">
        <v>2196.5</v>
      </c>
      <c r="W286">
        <f t="shared" si="31"/>
        <v>24617.000000000004</v>
      </c>
      <c r="X286">
        <v>14.84474621207872</v>
      </c>
    </row>
    <row r="287" spans="1:25" x14ac:dyDescent="0.25">
      <c r="A287">
        <v>5400</v>
      </c>
      <c r="B287">
        <v>24010</v>
      </c>
      <c r="C287" s="1">
        <v>43232</v>
      </c>
      <c r="E287" s="32"/>
      <c r="F287">
        <v>11.9</v>
      </c>
      <c r="G287">
        <v>9.4</v>
      </c>
      <c r="H287">
        <v>15.7</v>
      </c>
      <c r="I287">
        <f t="shared" si="28"/>
        <v>2261.7000000000007</v>
      </c>
      <c r="J287">
        <f t="shared" si="29"/>
        <v>193.9</v>
      </c>
      <c r="L287">
        <v>4.5999999999999996</v>
      </c>
      <c r="M287">
        <v>1.2</v>
      </c>
      <c r="N287">
        <f t="shared" si="32"/>
        <v>3.3999999999999995</v>
      </c>
      <c r="P287">
        <v>256</v>
      </c>
      <c r="Q287">
        <v>1.1499999999999999</v>
      </c>
      <c r="R287">
        <f t="shared" si="33"/>
        <v>1.38</v>
      </c>
      <c r="S287">
        <f t="shared" si="34"/>
        <v>3.2199999999999998</v>
      </c>
      <c r="T287">
        <f t="shared" si="30"/>
        <v>81.314999999999998</v>
      </c>
      <c r="V287">
        <v>821.6</v>
      </c>
      <c r="W287">
        <f t="shared" si="31"/>
        <v>25438.600000000002</v>
      </c>
      <c r="X287">
        <v>14.89152393913869</v>
      </c>
    </row>
    <row r="288" spans="1:25" x14ac:dyDescent="0.25">
      <c r="A288">
        <v>5400</v>
      </c>
      <c r="B288">
        <v>24010</v>
      </c>
      <c r="C288" s="1">
        <v>43233</v>
      </c>
      <c r="E288" s="32"/>
      <c r="F288">
        <v>11.3</v>
      </c>
      <c r="G288">
        <v>8.1</v>
      </c>
      <c r="H288">
        <v>14.7</v>
      </c>
      <c r="I288">
        <f t="shared" si="28"/>
        <v>2273.0000000000009</v>
      </c>
      <c r="J288">
        <f t="shared" si="29"/>
        <v>205.20000000000002</v>
      </c>
      <c r="L288">
        <v>0</v>
      </c>
      <c r="M288">
        <v>2</v>
      </c>
      <c r="N288">
        <f t="shared" si="32"/>
        <v>-2</v>
      </c>
      <c r="P288">
        <v>257</v>
      </c>
      <c r="Q288">
        <v>1.1499999999999999</v>
      </c>
      <c r="R288">
        <f t="shared" si="33"/>
        <v>2.2999999999999998</v>
      </c>
      <c r="S288">
        <f t="shared" si="34"/>
        <v>-2.2999999999999998</v>
      </c>
      <c r="T288">
        <f t="shared" si="30"/>
        <v>79.015000000000001</v>
      </c>
      <c r="V288">
        <v>1498.2</v>
      </c>
      <c r="W288">
        <f t="shared" si="31"/>
        <v>26936.800000000003</v>
      </c>
      <c r="X288">
        <v>14.937587304869734</v>
      </c>
    </row>
    <row r="289" spans="1:25" x14ac:dyDescent="0.25">
      <c r="A289">
        <v>5400</v>
      </c>
      <c r="B289">
        <v>24010</v>
      </c>
      <c r="C289" s="1">
        <v>43234</v>
      </c>
      <c r="E289" s="32"/>
      <c r="F289">
        <v>12.1</v>
      </c>
      <c r="G289">
        <v>9.1999999999999993</v>
      </c>
      <c r="H289">
        <v>14.2</v>
      </c>
      <c r="I289">
        <f t="shared" si="28"/>
        <v>2285.1000000000008</v>
      </c>
      <c r="J289">
        <f t="shared" si="29"/>
        <v>217.3</v>
      </c>
      <c r="L289">
        <v>2.9</v>
      </c>
      <c r="M289">
        <v>0.8</v>
      </c>
      <c r="N289">
        <f t="shared" si="32"/>
        <v>2.0999999999999996</v>
      </c>
      <c r="P289">
        <v>258</v>
      </c>
      <c r="Q289">
        <v>1.1499999999999999</v>
      </c>
      <c r="R289">
        <f t="shared" si="33"/>
        <v>0.91999999999999993</v>
      </c>
      <c r="S289">
        <f t="shared" si="34"/>
        <v>1.98</v>
      </c>
      <c r="T289">
        <f t="shared" si="30"/>
        <v>80.995000000000005</v>
      </c>
      <c r="V289">
        <v>419.9</v>
      </c>
      <c r="W289">
        <f t="shared" si="31"/>
        <v>27356.700000000004</v>
      </c>
      <c r="X289">
        <v>14.982912960769756</v>
      </c>
    </row>
    <row r="290" spans="1:25" x14ac:dyDescent="0.25">
      <c r="A290">
        <v>5400</v>
      </c>
      <c r="B290">
        <v>24010</v>
      </c>
      <c r="C290" s="1">
        <v>43235</v>
      </c>
      <c r="E290" s="32"/>
      <c r="F290">
        <v>14.3</v>
      </c>
      <c r="G290">
        <v>10.6</v>
      </c>
      <c r="H290">
        <v>17.7</v>
      </c>
      <c r="I290">
        <f t="shared" ref="I290:I353" si="35">I289+F290</f>
        <v>2299.400000000001</v>
      </c>
      <c r="J290">
        <f t="shared" ref="J290:J353" si="36">J289+F290</f>
        <v>231.60000000000002</v>
      </c>
      <c r="L290">
        <v>0.1</v>
      </c>
      <c r="M290">
        <v>1.9</v>
      </c>
      <c r="N290">
        <f t="shared" si="32"/>
        <v>-1.7999999999999998</v>
      </c>
      <c r="P290">
        <v>259</v>
      </c>
      <c r="Q290">
        <v>1.1499999999999999</v>
      </c>
      <c r="R290">
        <f t="shared" si="33"/>
        <v>2.1849999999999996</v>
      </c>
      <c r="S290">
        <f t="shared" si="34"/>
        <v>-2.0849999999999995</v>
      </c>
      <c r="T290">
        <f t="shared" ref="T290:T346" si="37">MIN(T289+S290,153.9)</f>
        <v>78.910000000000011</v>
      </c>
      <c r="V290">
        <v>1317.6</v>
      </c>
      <c r="W290">
        <f t="shared" ref="W290:W346" si="38">W289+V290</f>
        <v>28674.300000000003</v>
      </c>
      <c r="X290">
        <v>15.027477293086466</v>
      </c>
    </row>
    <row r="291" spans="1:25" x14ac:dyDescent="0.25">
      <c r="A291">
        <v>5400</v>
      </c>
      <c r="B291">
        <v>24010</v>
      </c>
      <c r="C291" s="1">
        <v>43236</v>
      </c>
      <c r="E291" s="32"/>
      <c r="F291">
        <v>15.2</v>
      </c>
      <c r="G291">
        <v>11.1</v>
      </c>
      <c r="H291">
        <v>20.399999999999999</v>
      </c>
      <c r="I291">
        <f t="shared" si="35"/>
        <v>2314.6000000000008</v>
      </c>
      <c r="J291">
        <f t="shared" si="36"/>
        <v>246.8</v>
      </c>
      <c r="L291">
        <v>0.1</v>
      </c>
      <c r="M291">
        <v>3.9</v>
      </c>
      <c r="N291">
        <f t="shared" si="32"/>
        <v>-3.8</v>
      </c>
      <c r="P291">
        <v>260</v>
      </c>
      <c r="Q291">
        <v>1.1499999999999999</v>
      </c>
      <c r="R291">
        <f t="shared" si="33"/>
        <v>4.4849999999999994</v>
      </c>
      <c r="S291">
        <f t="shared" si="34"/>
        <v>-4.3849999999999998</v>
      </c>
      <c r="T291">
        <f t="shared" si="37"/>
        <v>74.525000000000006</v>
      </c>
      <c r="V291">
        <v>2487.8000000000002</v>
      </c>
      <c r="W291">
        <f t="shared" si="38"/>
        <v>31162.100000000002</v>
      </c>
      <c r="X291">
        <v>15.071256449860632</v>
      </c>
    </row>
    <row r="292" spans="1:25" x14ac:dyDescent="0.25">
      <c r="A292">
        <v>5400</v>
      </c>
      <c r="B292">
        <v>24010</v>
      </c>
      <c r="C292" s="1">
        <v>43237</v>
      </c>
      <c r="E292" s="32"/>
      <c r="F292">
        <v>13.5</v>
      </c>
      <c r="G292">
        <v>9.9</v>
      </c>
      <c r="H292">
        <v>17.600000000000001</v>
      </c>
      <c r="I292">
        <f t="shared" si="35"/>
        <v>2328.1000000000008</v>
      </c>
      <c r="J292">
        <f t="shared" si="36"/>
        <v>260.3</v>
      </c>
      <c r="L292">
        <v>0</v>
      </c>
      <c r="M292">
        <v>3.2</v>
      </c>
      <c r="N292">
        <f t="shared" si="32"/>
        <v>-3.2</v>
      </c>
      <c r="P292">
        <v>261</v>
      </c>
      <c r="Q292">
        <v>1.1499999999999999</v>
      </c>
      <c r="R292">
        <f t="shared" si="33"/>
        <v>3.6799999999999997</v>
      </c>
      <c r="S292">
        <f t="shared" si="34"/>
        <v>-3.6799999999999997</v>
      </c>
      <c r="T292">
        <f t="shared" si="37"/>
        <v>70.844999999999999</v>
      </c>
      <c r="V292">
        <v>2013.1</v>
      </c>
      <c r="W292">
        <f t="shared" si="38"/>
        <v>33175.200000000004</v>
      </c>
      <c r="X292">
        <v>15.11422637019111</v>
      </c>
    </row>
    <row r="293" spans="1:25" x14ac:dyDescent="0.25">
      <c r="A293">
        <v>5400</v>
      </c>
      <c r="B293">
        <v>24010</v>
      </c>
      <c r="C293" s="1">
        <v>43238</v>
      </c>
      <c r="E293" s="32"/>
      <c r="F293">
        <v>12</v>
      </c>
      <c r="G293">
        <v>6.5</v>
      </c>
      <c r="H293">
        <v>17.2</v>
      </c>
      <c r="I293">
        <f t="shared" si="35"/>
        <v>2340.1000000000008</v>
      </c>
      <c r="J293">
        <f t="shared" si="36"/>
        <v>272.3</v>
      </c>
      <c r="L293">
        <v>0.1</v>
      </c>
      <c r="M293">
        <v>3.7</v>
      </c>
      <c r="N293">
        <f t="shared" si="32"/>
        <v>-3.6</v>
      </c>
      <c r="P293">
        <v>262</v>
      </c>
      <c r="Q293">
        <v>1.1499999999999999</v>
      </c>
      <c r="R293">
        <f t="shared" si="33"/>
        <v>4.2549999999999999</v>
      </c>
      <c r="S293">
        <f t="shared" si="34"/>
        <v>-4.1550000000000002</v>
      </c>
      <c r="T293">
        <f t="shared" si="37"/>
        <v>66.69</v>
      </c>
      <c r="V293">
        <v>2442.9</v>
      </c>
      <c r="W293">
        <f t="shared" si="38"/>
        <v>35618.100000000006</v>
      </c>
      <c r="X293">
        <v>15.156362815734209</v>
      </c>
    </row>
    <row r="294" spans="1:25" x14ac:dyDescent="0.25">
      <c r="A294">
        <v>5400</v>
      </c>
      <c r="B294">
        <v>24010</v>
      </c>
      <c r="C294" s="1">
        <v>43239</v>
      </c>
      <c r="E294" s="32"/>
      <c r="F294">
        <v>13.1</v>
      </c>
      <c r="G294">
        <v>7.8</v>
      </c>
      <c r="H294">
        <v>18.2</v>
      </c>
      <c r="I294">
        <f t="shared" si="35"/>
        <v>2353.2000000000007</v>
      </c>
      <c r="J294">
        <f t="shared" si="36"/>
        <v>285.40000000000003</v>
      </c>
      <c r="L294">
        <v>0</v>
      </c>
      <c r="M294">
        <v>3.9</v>
      </c>
      <c r="N294">
        <f t="shared" si="32"/>
        <v>-3.9</v>
      </c>
      <c r="P294">
        <v>263</v>
      </c>
      <c r="Q294">
        <v>1.1499999999999999</v>
      </c>
      <c r="R294">
        <f t="shared" si="33"/>
        <v>4.4849999999999994</v>
      </c>
      <c r="S294">
        <f t="shared" si="34"/>
        <v>-4.4849999999999994</v>
      </c>
      <c r="T294">
        <f t="shared" si="37"/>
        <v>62.204999999999998</v>
      </c>
      <c r="V294">
        <v>2599</v>
      </c>
      <c r="W294">
        <f t="shared" si="38"/>
        <v>38217.100000000006</v>
      </c>
      <c r="X294">
        <v>15.197641404438262</v>
      </c>
    </row>
    <row r="295" spans="1:25" s="4" customFormat="1" ht="15.75" thickBot="1" x14ac:dyDescent="0.3">
      <c r="A295" s="4">
        <v>5400</v>
      </c>
      <c r="B295" s="4">
        <v>24010</v>
      </c>
      <c r="C295" s="5">
        <v>43240</v>
      </c>
      <c r="D295" s="4">
        <v>300</v>
      </c>
      <c r="E295" s="33"/>
      <c r="F295" s="4">
        <v>14.8</v>
      </c>
      <c r="G295" s="4">
        <v>7.5</v>
      </c>
      <c r="H295" s="4">
        <v>21.1</v>
      </c>
      <c r="I295" s="4">
        <f t="shared" si="35"/>
        <v>2368.0000000000009</v>
      </c>
      <c r="J295" s="4">
        <f t="shared" si="36"/>
        <v>300.20000000000005</v>
      </c>
      <c r="L295" s="4">
        <v>0</v>
      </c>
      <c r="M295" s="4">
        <v>3.8</v>
      </c>
      <c r="N295" s="4">
        <f t="shared" si="32"/>
        <v>-3.8</v>
      </c>
      <c r="P295" s="4">
        <v>264</v>
      </c>
      <c r="Q295" s="4">
        <v>1.1499999999999999</v>
      </c>
      <c r="R295" s="4">
        <f t="shared" si="33"/>
        <v>4.3699999999999992</v>
      </c>
      <c r="S295" s="4">
        <f t="shared" si="34"/>
        <v>-4.3699999999999992</v>
      </c>
      <c r="T295" s="4">
        <f t="shared" si="37"/>
        <v>57.835000000000001</v>
      </c>
      <c r="V295" s="4">
        <v>2481.3000000000002</v>
      </c>
      <c r="W295" s="4">
        <f t="shared" si="38"/>
        <v>40698.400000000009</v>
      </c>
      <c r="X295" s="4">
        <v>15.238037646501796</v>
      </c>
    </row>
    <row r="296" spans="1:25" x14ac:dyDescent="0.25">
      <c r="A296">
        <v>5400</v>
      </c>
      <c r="B296">
        <v>24010</v>
      </c>
      <c r="C296" s="1">
        <v>43241</v>
      </c>
      <c r="E296" s="34" t="s">
        <v>56</v>
      </c>
      <c r="F296">
        <v>16.7</v>
      </c>
      <c r="G296">
        <v>11.5</v>
      </c>
      <c r="H296">
        <v>21.4</v>
      </c>
      <c r="I296">
        <f t="shared" si="35"/>
        <v>2384.7000000000007</v>
      </c>
      <c r="J296">
        <f>F296</f>
        <v>16.7</v>
      </c>
      <c r="K296" s="23" t="s">
        <v>34</v>
      </c>
      <c r="L296">
        <v>0</v>
      </c>
      <c r="M296">
        <v>2.5</v>
      </c>
      <c r="N296">
        <f t="shared" si="32"/>
        <v>-2.5</v>
      </c>
      <c r="P296">
        <v>265</v>
      </c>
      <c r="Q296">
        <f>1.15+((P296-264)/51)*(0.35-1.15)</f>
        <v>1.134313725490196</v>
      </c>
      <c r="R296">
        <f t="shared" si="33"/>
        <v>2.8357843137254903</v>
      </c>
      <c r="S296">
        <f t="shared" si="34"/>
        <v>-2.8357843137254903</v>
      </c>
      <c r="T296">
        <f t="shared" si="37"/>
        <v>54.999215686274511</v>
      </c>
      <c r="U296" s="24" t="s">
        <v>41</v>
      </c>
      <c r="V296">
        <v>1572.3</v>
      </c>
      <c r="W296">
        <f>V296</f>
        <v>1572.3</v>
      </c>
      <c r="X296">
        <v>15.277526982529846</v>
      </c>
      <c r="Y296" s="24" t="s">
        <v>46</v>
      </c>
    </row>
    <row r="297" spans="1:25" x14ac:dyDescent="0.25">
      <c r="A297">
        <v>5400</v>
      </c>
      <c r="B297">
        <v>24010</v>
      </c>
      <c r="C297" s="1">
        <v>43242</v>
      </c>
      <c r="E297" s="35"/>
      <c r="F297">
        <v>15.9</v>
      </c>
      <c r="G297">
        <v>12.4</v>
      </c>
      <c r="H297">
        <v>22</v>
      </c>
      <c r="I297">
        <f t="shared" si="35"/>
        <v>2400.6000000000008</v>
      </c>
      <c r="J297">
        <f t="shared" si="36"/>
        <v>32.6</v>
      </c>
      <c r="K297" s="8">
        <v>308.2</v>
      </c>
      <c r="L297">
        <v>6.2</v>
      </c>
      <c r="M297">
        <v>3.5</v>
      </c>
      <c r="N297">
        <f t="shared" si="32"/>
        <v>2.7</v>
      </c>
      <c r="P297">
        <v>266</v>
      </c>
      <c r="Q297">
        <f t="shared" ref="Q297:Q346" si="39">1.15+((P297-264)/51)*(0.35-1.15)</f>
        <v>1.1186274509803922</v>
      </c>
      <c r="R297">
        <f t="shared" si="33"/>
        <v>3.9151960784313724</v>
      </c>
      <c r="S297">
        <f t="shared" si="34"/>
        <v>2.2848039215686278</v>
      </c>
      <c r="T297">
        <f t="shared" si="37"/>
        <v>57.284019607843135</v>
      </c>
      <c r="U297">
        <v>0</v>
      </c>
      <c r="V297">
        <v>2030</v>
      </c>
      <c r="W297">
        <f t="shared" si="38"/>
        <v>3602.3</v>
      </c>
      <c r="X297">
        <v>15.316084823848348</v>
      </c>
      <c r="Y297">
        <v>20491.3</v>
      </c>
    </row>
    <row r="298" spans="1:25" x14ac:dyDescent="0.25">
      <c r="A298">
        <v>5400</v>
      </c>
      <c r="B298">
        <v>24010</v>
      </c>
      <c r="C298" s="1">
        <v>43243</v>
      </c>
      <c r="E298" s="35"/>
      <c r="F298">
        <v>15.6</v>
      </c>
      <c r="G298">
        <v>11.7</v>
      </c>
      <c r="H298">
        <v>19</v>
      </c>
      <c r="I298">
        <f t="shared" si="35"/>
        <v>2416.2000000000007</v>
      </c>
      <c r="J298">
        <f t="shared" si="36"/>
        <v>48.2</v>
      </c>
      <c r="K298" s="23" t="s">
        <v>35</v>
      </c>
      <c r="L298">
        <v>0</v>
      </c>
      <c r="M298">
        <v>1.8</v>
      </c>
      <c r="N298">
        <f t="shared" si="32"/>
        <v>-1.8</v>
      </c>
      <c r="P298">
        <v>267</v>
      </c>
      <c r="Q298">
        <f t="shared" si="39"/>
        <v>1.1029411764705881</v>
      </c>
      <c r="R298">
        <f t="shared" si="33"/>
        <v>1.9852941176470587</v>
      </c>
      <c r="S298">
        <f t="shared" si="34"/>
        <v>-1.9852941176470587</v>
      </c>
      <c r="T298">
        <f t="shared" si="37"/>
        <v>55.298725490196077</v>
      </c>
      <c r="U298" s="24" t="s">
        <v>42</v>
      </c>
      <c r="V298">
        <v>1203.9000000000001</v>
      </c>
      <c r="W298">
        <f t="shared" si="38"/>
        <v>4806.2000000000007</v>
      </c>
      <c r="X298">
        <v>15.353686594920845</v>
      </c>
      <c r="Y298" s="24" t="s">
        <v>47</v>
      </c>
    </row>
    <row r="299" spans="1:25" x14ac:dyDescent="0.25">
      <c r="A299">
        <v>5400</v>
      </c>
      <c r="B299">
        <v>24010</v>
      </c>
      <c r="C299" s="1">
        <v>43244</v>
      </c>
      <c r="E299" s="35"/>
      <c r="F299">
        <v>17.100000000000001</v>
      </c>
      <c r="G299">
        <v>13.2</v>
      </c>
      <c r="H299">
        <v>22.1</v>
      </c>
      <c r="I299">
        <f t="shared" si="35"/>
        <v>2433.3000000000006</v>
      </c>
      <c r="J299">
        <f t="shared" si="36"/>
        <v>65.300000000000011</v>
      </c>
      <c r="K299" s="8">
        <f>AVERAGE(F296:F312)</f>
        <v>18.129411764705882</v>
      </c>
      <c r="L299">
        <v>0.1</v>
      </c>
      <c r="M299">
        <v>2</v>
      </c>
      <c r="N299">
        <f t="shared" si="32"/>
        <v>-1.9</v>
      </c>
      <c r="P299">
        <v>268</v>
      </c>
      <c r="Q299">
        <f t="shared" si="39"/>
        <v>1.0872549019607842</v>
      </c>
      <c r="R299">
        <f t="shared" si="33"/>
        <v>2.1745098039215685</v>
      </c>
      <c r="S299">
        <f t="shared" si="34"/>
        <v>-2.0745098039215684</v>
      </c>
      <c r="T299">
        <f t="shared" si="37"/>
        <v>53.224215686274505</v>
      </c>
      <c r="U299">
        <v>0</v>
      </c>
      <c r="V299">
        <v>1250.5</v>
      </c>
      <c r="W299">
        <f t="shared" si="38"/>
        <v>6056.7000000000007</v>
      </c>
      <c r="X299">
        <v>15.390307777795083</v>
      </c>
      <c r="Y299">
        <f>(Y297/100)/K297</f>
        <v>0.66487021414665803</v>
      </c>
    </row>
    <row r="300" spans="1:25" x14ac:dyDescent="0.25">
      <c r="A300">
        <v>5400</v>
      </c>
      <c r="B300">
        <v>24010</v>
      </c>
      <c r="C300" s="1">
        <v>43245</v>
      </c>
      <c r="E300" s="35"/>
      <c r="F300">
        <v>17.100000000000001</v>
      </c>
      <c r="G300">
        <v>12.7</v>
      </c>
      <c r="H300">
        <v>24.6</v>
      </c>
      <c r="I300">
        <f t="shared" si="35"/>
        <v>2450.4000000000005</v>
      </c>
      <c r="J300">
        <f t="shared" si="36"/>
        <v>82.4</v>
      </c>
      <c r="K300" s="23" t="s">
        <v>36</v>
      </c>
      <c r="L300">
        <v>10.6</v>
      </c>
      <c r="M300">
        <v>2.5</v>
      </c>
      <c r="N300">
        <f t="shared" si="32"/>
        <v>8.1</v>
      </c>
      <c r="P300">
        <v>269</v>
      </c>
      <c r="Q300">
        <f t="shared" si="39"/>
        <v>1.0715686274509804</v>
      </c>
      <c r="R300">
        <f t="shared" si="33"/>
        <v>2.6789215686274508</v>
      </c>
      <c r="S300">
        <f t="shared" si="34"/>
        <v>7.9210784313725489</v>
      </c>
      <c r="T300">
        <f t="shared" si="37"/>
        <v>61.145294117647055</v>
      </c>
      <c r="U300" s="24" t="s">
        <v>43</v>
      </c>
      <c r="V300">
        <v>993.8</v>
      </c>
      <c r="W300">
        <f t="shared" si="38"/>
        <v>7050.5000000000009</v>
      </c>
      <c r="X300">
        <v>15.4259239584898</v>
      </c>
      <c r="Y300" s="24" t="s">
        <v>48</v>
      </c>
    </row>
    <row r="301" spans="1:25" x14ac:dyDescent="0.25">
      <c r="A301">
        <v>5400</v>
      </c>
      <c r="B301">
        <v>24010</v>
      </c>
      <c r="C301" s="1">
        <v>43246</v>
      </c>
      <c r="E301" s="35"/>
      <c r="F301">
        <v>20.100000000000001</v>
      </c>
      <c r="G301">
        <v>14.9</v>
      </c>
      <c r="H301">
        <v>25.5</v>
      </c>
      <c r="I301">
        <f t="shared" si="35"/>
        <v>2470.5000000000005</v>
      </c>
      <c r="J301">
        <f t="shared" si="36"/>
        <v>102.5</v>
      </c>
      <c r="K301" s="10">
        <f>MIN(G296:G312)</f>
        <v>11.5</v>
      </c>
      <c r="L301">
        <v>0.1</v>
      </c>
      <c r="M301">
        <v>2.2999999999999998</v>
      </c>
      <c r="N301">
        <f t="shared" si="32"/>
        <v>-2.1999999999999997</v>
      </c>
      <c r="P301">
        <v>270</v>
      </c>
      <c r="Q301">
        <f t="shared" si="39"/>
        <v>1.0558823529411765</v>
      </c>
      <c r="R301">
        <f t="shared" si="33"/>
        <v>2.4285294117647056</v>
      </c>
      <c r="S301">
        <f t="shared" si="34"/>
        <v>-2.3285294117647055</v>
      </c>
      <c r="T301">
        <f t="shared" si="37"/>
        <v>58.816764705882349</v>
      </c>
      <c r="U301" s="12">
        <f>MIN(T296:T312)</f>
        <v>53.224215686274505</v>
      </c>
      <c r="V301">
        <v>1320</v>
      </c>
      <c r="W301">
        <f t="shared" si="38"/>
        <v>8370.5</v>
      </c>
      <c r="X301">
        <v>15.460510875213872</v>
      </c>
      <c r="Y301">
        <v>3</v>
      </c>
    </row>
    <row r="302" spans="1:25" x14ac:dyDescent="0.25">
      <c r="A302">
        <v>5400</v>
      </c>
      <c r="B302">
        <v>24010</v>
      </c>
      <c r="C302" s="1">
        <v>43247</v>
      </c>
      <c r="E302" s="35"/>
      <c r="F302">
        <v>20.2</v>
      </c>
      <c r="G302">
        <v>15.1</v>
      </c>
      <c r="H302">
        <v>25.6</v>
      </c>
      <c r="I302">
        <f t="shared" si="35"/>
        <v>2490.7000000000003</v>
      </c>
      <c r="J302">
        <f t="shared" si="36"/>
        <v>122.7</v>
      </c>
      <c r="K302" s="23" t="s">
        <v>37</v>
      </c>
      <c r="L302">
        <v>2.5</v>
      </c>
      <c r="M302">
        <v>3.2</v>
      </c>
      <c r="N302">
        <f t="shared" si="32"/>
        <v>-0.70000000000000018</v>
      </c>
      <c r="P302">
        <v>271</v>
      </c>
      <c r="Q302">
        <f t="shared" si="39"/>
        <v>1.0401960784313724</v>
      </c>
      <c r="R302">
        <f t="shared" si="33"/>
        <v>3.3286274509803917</v>
      </c>
      <c r="S302">
        <f t="shared" si="34"/>
        <v>-0.8286274509803917</v>
      </c>
      <c r="T302">
        <f t="shared" si="37"/>
        <v>57.988137254901957</v>
      </c>
      <c r="U302" s="24" t="s">
        <v>44</v>
      </c>
      <c r="V302">
        <v>1855.8</v>
      </c>
      <c r="W302">
        <f t="shared" si="38"/>
        <v>10226.299999999999</v>
      </c>
      <c r="X302">
        <v>15.494044468291499</v>
      </c>
    </row>
    <row r="303" spans="1:25" x14ac:dyDescent="0.25">
      <c r="A303">
        <v>5400</v>
      </c>
      <c r="B303">
        <v>24010</v>
      </c>
      <c r="C303" s="1">
        <v>43248</v>
      </c>
      <c r="E303" s="35"/>
      <c r="F303">
        <v>19.5</v>
      </c>
      <c r="G303">
        <v>17.5</v>
      </c>
      <c r="H303">
        <v>24.9</v>
      </c>
      <c r="I303">
        <f t="shared" si="35"/>
        <v>2510.2000000000003</v>
      </c>
      <c r="J303">
        <f t="shared" si="36"/>
        <v>142.19999999999999</v>
      </c>
      <c r="K303" s="8">
        <f>MAX(H296:H312)</f>
        <v>25.6</v>
      </c>
      <c r="L303">
        <v>15.2</v>
      </c>
      <c r="M303">
        <v>2.2000000000000002</v>
      </c>
      <c r="N303">
        <f t="shared" si="32"/>
        <v>13</v>
      </c>
      <c r="P303">
        <v>272</v>
      </c>
      <c r="Q303">
        <f t="shared" si="39"/>
        <v>1.0245098039215685</v>
      </c>
      <c r="R303">
        <f t="shared" si="33"/>
        <v>2.253921568627451</v>
      </c>
      <c r="S303">
        <f t="shared" si="34"/>
        <v>12.946078431372548</v>
      </c>
      <c r="T303">
        <f t="shared" si="37"/>
        <v>70.934215686274513</v>
      </c>
      <c r="U303" s="12">
        <f>MAX(T296:T312)</f>
        <v>100.86852941176471</v>
      </c>
      <c r="V303">
        <v>1111.5999999999999</v>
      </c>
      <c r="W303">
        <f t="shared" si="38"/>
        <v>11337.9</v>
      </c>
      <c r="X303">
        <v>15.526500931648076</v>
      </c>
    </row>
    <row r="304" spans="1:25" x14ac:dyDescent="0.25">
      <c r="A304">
        <v>5400</v>
      </c>
      <c r="B304">
        <v>24010</v>
      </c>
      <c r="C304" s="1">
        <v>43249</v>
      </c>
      <c r="E304" s="35"/>
      <c r="F304">
        <v>16.8</v>
      </c>
      <c r="G304">
        <v>15.7</v>
      </c>
      <c r="H304">
        <v>19.600000000000001</v>
      </c>
      <c r="I304">
        <f t="shared" si="35"/>
        <v>2527.0000000000005</v>
      </c>
      <c r="J304">
        <f t="shared" si="36"/>
        <v>159</v>
      </c>
      <c r="K304" s="23" t="s">
        <v>38</v>
      </c>
      <c r="L304">
        <v>11.3</v>
      </c>
      <c r="M304">
        <v>1.8</v>
      </c>
      <c r="N304">
        <f t="shared" si="32"/>
        <v>9.5</v>
      </c>
      <c r="P304">
        <v>273</v>
      </c>
      <c r="Q304">
        <f t="shared" si="39"/>
        <v>1.0088235294117647</v>
      </c>
      <c r="R304">
        <f t="shared" si="33"/>
        <v>1.8158823529411765</v>
      </c>
      <c r="S304">
        <f t="shared" si="34"/>
        <v>9.4841176470588238</v>
      </c>
      <c r="T304">
        <f t="shared" si="37"/>
        <v>80.418333333333337</v>
      </c>
      <c r="U304" s="24" t="s">
        <v>45</v>
      </c>
      <c r="V304">
        <v>1025.5999999999999</v>
      </c>
      <c r="W304">
        <f t="shared" si="38"/>
        <v>12363.5</v>
      </c>
      <c r="X304">
        <v>15.557856765692348</v>
      </c>
    </row>
    <row r="305" spans="1:25" x14ac:dyDescent="0.25">
      <c r="A305">
        <v>5400</v>
      </c>
      <c r="B305">
        <v>24010</v>
      </c>
      <c r="C305" s="1">
        <v>43250</v>
      </c>
      <c r="E305" s="35"/>
      <c r="F305">
        <v>19.100000000000001</v>
      </c>
      <c r="G305">
        <v>15.2</v>
      </c>
      <c r="H305">
        <v>22.4</v>
      </c>
      <c r="I305">
        <f t="shared" si="35"/>
        <v>2546.1000000000004</v>
      </c>
      <c r="J305">
        <f t="shared" si="36"/>
        <v>178.1</v>
      </c>
      <c r="K305" s="8">
        <v>2</v>
      </c>
      <c r="L305">
        <v>4.2</v>
      </c>
      <c r="M305">
        <v>2.5</v>
      </c>
      <c r="N305">
        <f t="shared" si="32"/>
        <v>1.7000000000000002</v>
      </c>
      <c r="P305">
        <v>274</v>
      </c>
      <c r="Q305">
        <f t="shared" si="39"/>
        <v>0.9931372549019607</v>
      </c>
      <c r="R305">
        <f t="shared" si="33"/>
        <v>2.4828431372549016</v>
      </c>
      <c r="S305">
        <f t="shared" si="34"/>
        <v>1.7171568627450986</v>
      </c>
      <c r="T305">
        <f t="shared" si="37"/>
        <v>82.135490196078436</v>
      </c>
      <c r="U305" s="12">
        <f>AVERAGE(T296:T312)</f>
        <v>73.919769319492502</v>
      </c>
      <c r="V305">
        <v>1481</v>
      </c>
      <c r="W305">
        <f t="shared" si="38"/>
        <v>13844.5</v>
      </c>
      <c r="X305">
        <v>15.588088831411305</v>
      </c>
    </row>
    <row r="306" spans="1:25" x14ac:dyDescent="0.25">
      <c r="A306">
        <v>5400</v>
      </c>
      <c r="B306">
        <v>24010</v>
      </c>
      <c r="C306" s="1">
        <v>43251</v>
      </c>
      <c r="E306" s="35"/>
      <c r="F306">
        <v>18.399999999999999</v>
      </c>
      <c r="G306">
        <v>16.3</v>
      </c>
      <c r="H306">
        <v>22.1</v>
      </c>
      <c r="I306">
        <f t="shared" si="35"/>
        <v>2564.5000000000005</v>
      </c>
      <c r="J306">
        <f t="shared" si="36"/>
        <v>196.5</v>
      </c>
      <c r="K306" s="23" t="s">
        <v>39</v>
      </c>
      <c r="L306">
        <v>4.8</v>
      </c>
      <c r="M306">
        <v>2.1</v>
      </c>
      <c r="N306">
        <f t="shared" si="32"/>
        <v>2.6999999999999997</v>
      </c>
      <c r="P306">
        <v>275</v>
      </c>
      <c r="Q306">
        <f t="shared" si="39"/>
        <v>0.97745098039215672</v>
      </c>
      <c r="R306">
        <f t="shared" si="33"/>
        <v>2.052647058823529</v>
      </c>
      <c r="S306">
        <f t="shared" si="34"/>
        <v>2.7473529411764708</v>
      </c>
      <c r="T306">
        <f t="shared" si="37"/>
        <v>84.882843137254909</v>
      </c>
      <c r="V306">
        <v>1195.8</v>
      </c>
      <c r="W306">
        <f t="shared" si="38"/>
        <v>15040.3</v>
      </c>
      <c r="X306">
        <v>15.617174405475536</v>
      </c>
    </row>
    <row r="307" spans="1:25" x14ac:dyDescent="0.25">
      <c r="A307">
        <v>5400</v>
      </c>
      <c r="B307">
        <v>24010</v>
      </c>
      <c r="C307" s="1">
        <v>43252</v>
      </c>
      <c r="E307" s="35"/>
      <c r="F307">
        <v>17.5</v>
      </c>
      <c r="G307">
        <v>14.9</v>
      </c>
      <c r="H307">
        <v>19.8</v>
      </c>
      <c r="I307">
        <f t="shared" si="35"/>
        <v>2582.0000000000005</v>
      </c>
      <c r="J307">
        <f t="shared" si="36"/>
        <v>214</v>
      </c>
      <c r="K307" s="8">
        <v>0</v>
      </c>
      <c r="L307">
        <v>1.9</v>
      </c>
      <c r="M307">
        <v>1</v>
      </c>
      <c r="N307">
        <f t="shared" si="32"/>
        <v>0.89999999999999991</v>
      </c>
      <c r="P307">
        <v>276</v>
      </c>
      <c r="Q307">
        <f t="shared" si="39"/>
        <v>0.96176470588235285</v>
      </c>
      <c r="R307">
        <f t="shared" si="33"/>
        <v>0.96176470588235285</v>
      </c>
      <c r="S307">
        <f t="shared" si="34"/>
        <v>0.93823529411764706</v>
      </c>
      <c r="T307">
        <f t="shared" si="37"/>
        <v>85.821078431372555</v>
      </c>
      <c r="U307" s="13">
        <f>(U305*100)/153.9</f>
        <v>48.031039193952239</v>
      </c>
      <c r="V307">
        <v>589.6</v>
      </c>
      <c r="W307">
        <f t="shared" si="38"/>
        <v>15629.9</v>
      </c>
      <c r="X307">
        <v>15.645091236134371</v>
      </c>
    </row>
    <row r="308" spans="1:25" x14ac:dyDescent="0.25">
      <c r="A308">
        <v>5400</v>
      </c>
      <c r="B308">
        <v>24010</v>
      </c>
      <c r="C308" s="1">
        <v>43253</v>
      </c>
      <c r="E308" s="35"/>
      <c r="F308">
        <v>18.7</v>
      </c>
      <c r="G308">
        <v>14.7</v>
      </c>
      <c r="H308">
        <v>23.1</v>
      </c>
      <c r="I308">
        <f t="shared" si="35"/>
        <v>2600.7000000000003</v>
      </c>
      <c r="J308">
        <f t="shared" si="36"/>
        <v>232.7</v>
      </c>
      <c r="K308" s="23" t="s">
        <v>40</v>
      </c>
      <c r="L308">
        <v>0</v>
      </c>
      <c r="M308">
        <v>2</v>
      </c>
      <c r="N308">
        <f t="shared" si="32"/>
        <v>-2</v>
      </c>
      <c r="P308">
        <v>277</v>
      </c>
      <c r="Q308">
        <f t="shared" si="39"/>
        <v>0.94607843137254899</v>
      </c>
      <c r="R308">
        <f t="shared" si="33"/>
        <v>1.892156862745098</v>
      </c>
      <c r="S308">
        <f t="shared" si="34"/>
        <v>-1.892156862745098</v>
      </c>
      <c r="T308">
        <f t="shared" si="37"/>
        <v>83.928921568627459</v>
      </c>
      <c r="V308">
        <v>1126.7</v>
      </c>
      <c r="W308">
        <f t="shared" si="38"/>
        <v>16756.599999999999</v>
      </c>
      <c r="X308">
        <v>15.671817599662726</v>
      </c>
    </row>
    <row r="309" spans="1:25" x14ac:dyDescent="0.25">
      <c r="A309">
        <v>5400</v>
      </c>
      <c r="B309">
        <v>24010</v>
      </c>
      <c r="C309" s="1">
        <v>43254</v>
      </c>
      <c r="E309" s="35"/>
      <c r="F309">
        <v>20.3</v>
      </c>
      <c r="G309">
        <v>15.4</v>
      </c>
      <c r="H309">
        <v>24.4</v>
      </c>
      <c r="I309">
        <f t="shared" si="35"/>
        <v>2621.0000000000005</v>
      </c>
      <c r="J309">
        <f t="shared" si="36"/>
        <v>253</v>
      </c>
      <c r="K309" s="19">
        <v>0</v>
      </c>
      <c r="L309">
        <v>0.7</v>
      </c>
      <c r="M309">
        <v>2.9</v>
      </c>
      <c r="N309">
        <f t="shared" si="32"/>
        <v>-2.2000000000000002</v>
      </c>
      <c r="P309">
        <v>278</v>
      </c>
      <c r="Q309">
        <f t="shared" si="39"/>
        <v>0.93039215686274501</v>
      </c>
      <c r="R309">
        <f t="shared" si="33"/>
        <v>2.6981372549019604</v>
      </c>
      <c r="S309">
        <f t="shared" si="34"/>
        <v>-1.9981372549019605</v>
      </c>
      <c r="T309">
        <f t="shared" si="37"/>
        <v>81.930784313725496</v>
      </c>
      <c r="V309">
        <v>1777.8</v>
      </c>
      <c r="W309">
        <f t="shared" si="38"/>
        <v>18534.399999999998</v>
      </c>
      <c r="X309">
        <v>15.697332357104957</v>
      </c>
    </row>
    <row r="310" spans="1:25" x14ac:dyDescent="0.25">
      <c r="A310">
        <v>5400</v>
      </c>
      <c r="B310">
        <v>24010</v>
      </c>
      <c r="C310" s="1">
        <v>43255</v>
      </c>
      <c r="E310" s="35"/>
      <c r="F310">
        <v>20</v>
      </c>
      <c r="G310">
        <v>16.8</v>
      </c>
      <c r="H310">
        <v>23.9</v>
      </c>
      <c r="I310">
        <f t="shared" si="35"/>
        <v>2641.0000000000005</v>
      </c>
      <c r="J310">
        <f t="shared" si="36"/>
        <v>273</v>
      </c>
      <c r="L310">
        <v>9.5</v>
      </c>
      <c r="M310">
        <v>1.8</v>
      </c>
      <c r="N310">
        <f t="shared" si="32"/>
        <v>7.7</v>
      </c>
      <c r="P310">
        <v>279</v>
      </c>
      <c r="Q310">
        <f t="shared" si="39"/>
        <v>0.91470588235294104</v>
      </c>
      <c r="R310">
        <f t="shared" si="33"/>
        <v>1.6464705882352939</v>
      </c>
      <c r="S310">
        <f t="shared" si="34"/>
        <v>7.8535294117647059</v>
      </c>
      <c r="T310">
        <f t="shared" si="37"/>
        <v>89.784313725490208</v>
      </c>
      <c r="V310">
        <v>1147.4000000000001</v>
      </c>
      <c r="W310">
        <f t="shared" si="38"/>
        <v>19681.8</v>
      </c>
      <c r="X310">
        <v>15.721615011046053</v>
      </c>
    </row>
    <row r="311" spans="1:25" x14ac:dyDescent="0.25">
      <c r="A311">
        <v>5400</v>
      </c>
      <c r="B311">
        <v>24010</v>
      </c>
      <c r="C311" s="1">
        <v>43256</v>
      </c>
      <c r="E311" s="35"/>
      <c r="F311">
        <v>17.3</v>
      </c>
      <c r="G311">
        <v>16.5</v>
      </c>
      <c r="H311">
        <v>18.7</v>
      </c>
      <c r="I311">
        <f t="shared" si="35"/>
        <v>2658.3000000000006</v>
      </c>
      <c r="J311">
        <f t="shared" si="36"/>
        <v>290.3</v>
      </c>
      <c r="L311">
        <v>8.1999999999999993</v>
      </c>
      <c r="M311">
        <v>0.9</v>
      </c>
      <c r="N311">
        <f t="shared" si="32"/>
        <v>7.2999999999999989</v>
      </c>
      <c r="P311">
        <v>280</v>
      </c>
      <c r="Q311">
        <f t="shared" si="39"/>
        <v>0.89901960784313717</v>
      </c>
      <c r="R311">
        <f t="shared" si="33"/>
        <v>0.8091176470588235</v>
      </c>
      <c r="S311">
        <f t="shared" si="34"/>
        <v>7.3908823529411762</v>
      </c>
      <c r="T311">
        <f t="shared" si="37"/>
        <v>97.175196078431384</v>
      </c>
      <c r="V311">
        <v>358.4</v>
      </c>
      <c r="W311">
        <f t="shared" si="38"/>
        <v>20040.2</v>
      </c>
      <c r="X311">
        <v>15.74464576212689</v>
      </c>
    </row>
    <row r="312" spans="1:25" s="4" customFormat="1" ht="15.75" thickBot="1" x14ac:dyDescent="0.3">
      <c r="A312" s="4">
        <v>5400</v>
      </c>
      <c r="B312" s="4">
        <v>24010</v>
      </c>
      <c r="C312" s="5">
        <v>43257</v>
      </c>
      <c r="D312" s="4">
        <v>600</v>
      </c>
      <c r="E312" s="36"/>
      <c r="F312" s="4">
        <v>17.899999999999999</v>
      </c>
      <c r="G312" s="4">
        <v>15.1</v>
      </c>
      <c r="H312" s="4">
        <v>20.2</v>
      </c>
      <c r="I312" s="4">
        <f t="shared" si="35"/>
        <v>2676.2000000000007</v>
      </c>
      <c r="J312" s="4">
        <f t="shared" si="36"/>
        <v>308.2</v>
      </c>
      <c r="L312" s="4">
        <v>4.4000000000000004</v>
      </c>
      <c r="M312" s="4">
        <v>0.8</v>
      </c>
      <c r="N312" s="4">
        <f t="shared" si="32"/>
        <v>3.6000000000000005</v>
      </c>
      <c r="P312" s="4">
        <v>281</v>
      </c>
      <c r="Q312" s="4">
        <f t="shared" si="39"/>
        <v>0.8833333333333333</v>
      </c>
      <c r="R312" s="4">
        <f t="shared" si="33"/>
        <v>0.70666666666666667</v>
      </c>
      <c r="S312" s="4">
        <f t="shared" si="34"/>
        <v>3.6933333333333338</v>
      </c>
      <c r="T312" s="4">
        <f t="shared" si="37"/>
        <v>100.86852941176471</v>
      </c>
      <c r="V312" s="4">
        <v>451.1</v>
      </c>
      <c r="W312" s="4">
        <f t="shared" si="38"/>
        <v>20491.3</v>
      </c>
      <c r="X312" s="4">
        <v>15.766405565008659</v>
      </c>
    </row>
    <row r="313" spans="1:25" x14ac:dyDescent="0.25">
      <c r="A313">
        <v>5400</v>
      </c>
      <c r="B313">
        <v>24010</v>
      </c>
      <c r="C313" s="1">
        <v>43258</v>
      </c>
      <c r="E313" s="37" t="s">
        <v>57</v>
      </c>
      <c r="F313">
        <v>19.100000000000001</v>
      </c>
      <c r="G313">
        <v>15.3</v>
      </c>
      <c r="H313">
        <v>23.7</v>
      </c>
      <c r="I313">
        <f t="shared" si="35"/>
        <v>2695.3000000000006</v>
      </c>
      <c r="J313">
        <f>F313</f>
        <v>19.100000000000001</v>
      </c>
      <c r="K313" s="25" t="s">
        <v>34</v>
      </c>
      <c r="L313">
        <v>0</v>
      </c>
      <c r="M313">
        <v>2.6</v>
      </c>
      <c r="N313">
        <f t="shared" si="32"/>
        <v>-2.6</v>
      </c>
      <c r="P313">
        <v>282</v>
      </c>
      <c r="Q313">
        <f t="shared" si="39"/>
        <v>0.86764705882352933</v>
      </c>
      <c r="R313">
        <f t="shared" si="33"/>
        <v>2.2558823529411764</v>
      </c>
      <c r="S313">
        <f t="shared" si="34"/>
        <v>-2.2558823529411764</v>
      </c>
      <c r="T313">
        <f t="shared" si="37"/>
        <v>98.612647058823541</v>
      </c>
      <c r="U313" s="26" t="s">
        <v>41</v>
      </c>
      <c r="V313">
        <v>1403.2</v>
      </c>
      <c r="W313">
        <f>V313</f>
        <v>1403.2</v>
      </c>
      <c r="X313">
        <v>15.786876183482262</v>
      </c>
      <c r="Y313" s="26" t="s">
        <v>46</v>
      </c>
    </row>
    <row r="314" spans="1:25" x14ac:dyDescent="0.25">
      <c r="A314">
        <v>5400</v>
      </c>
      <c r="B314">
        <v>24010</v>
      </c>
      <c r="C314" s="1">
        <v>43259</v>
      </c>
      <c r="E314" s="38"/>
      <c r="F314">
        <v>20.399999999999999</v>
      </c>
      <c r="G314">
        <v>15.6</v>
      </c>
      <c r="H314">
        <v>24</v>
      </c>
      <c r="I314">
        <f t="shared" si="35"/>
        <v>2715.7000000000007</v>
      </c>
      <c r="J314">
        <f t="shared" si="36"/>
        <v>39.5</v>
      </c>
      <c r="K314" s="8">
        <v>403.9</v>
      </c>
      <c r="L314">
        <v>0</v>
      </c>
      <c r="M314">
        <v>3.2</v>
      </c>
      <c r="N314">
        <f t="shared" si="32"/>
        <v>-3.2</v>
      </c>
      <c r="P314">
        <v>283</v>
      </c>
      <c r="Q314">
        <f t="shared" si="39"/>
        <v>0.85196078431372535</v>
      </c>
      <c r="R314">
        <f t="shared" si="33"/>
        <v>2.7262745098039214</v>
      </c>
      <c r="S314">
        <f t="shared" si="34"/>
        <v>-2.7262745098039214</v>
      </c>
      <c r="T314">
        <f t="shared" si="37"/>
        <v>95.886372549019626</v>
      </c>
      <c r="U314">
        <v>0</v>
      </c>
      <c r="V314">
        <v>1829.3</v>
      </c>
      <c r="W314">
        <f t="shared" si="38"/>
        <v>3232.5</v>
      </c>
      <c r="X314">
        <v>15.806040244411282</v>
      </c>
      <c r="Y314">
        <v>39351.599999999999</v>
      </c>
    </row>
    <row r="315" spans="1:25" x14ac:dyDescent="0.25">
      <c r="A315">
        <v>5400</v>
      </c>
      <c r="B315">
        <v>24010</v>
      </c>
      <c r="C315" s="1">
        <v>43260</v>
      </c>
      <c r="E315" s="38"/>
      <c r="F315">
        <v>19.899999999999999</v>
      </c>
      <c r="G315">
        <v>17</v>
      </c>
      <c r="H315">
        <v>23.9</v>
      </c>
      <c r="I315">
        <f t="shared" si="35"/>
        <v>2735.6000000000008</v>
      </c>
      <c r="J315">
        <f t="shared" si="36"/>
        <v>59.4</v>
      </c>
      <c r="K315" s="25" t="s">
        <v>35</v>
      </c>
      <c r="L315">
        <v>4</v>
      </c>
      <c r="M315">
        <v>3.4</v>
      </c>
      <c r="N315">
        <f t="shared" si="32"/>
        <v>0.60000000000000009</v>
      </c>
      <c r="P315">
        <v>284</v>
      </c>
      <c r="Q315">
        <f t="shared" si="39"/>
        <v>0.83627450980392148</v>
      </c>
      <c r="R315">
        <f t="shared" si="33"/>
        <v>2.8433333333333328</v>
      </c>
      <c r="S315">
        <f t="shared" si="34"/>
        <v>1.1566666666666672</v>
      </c>
      <c r="T315">
        <f t="shared" si="37"/>
        <v>97.043039215686292</v>
      </c>
      <c r="U315" s="26" t="s">
        <v>42</v>
      </c>
      <c r="V315">
        <v>1943.1</v>
      </c>
      <c r="W315">
        <f t="shared" si="38"/>
        <v>5175.6000000000004</v>
      </c>
      <c r="X315">
        <v>15.823881290193054</v>
      </c>
      <c r="Y315" s="26" t="s">
        <v>47</v>
      </c>
    </row>
    <row r="316" spans="1:25" x14ac:dyDescent="0.25">
      <c r="A316">
        <v>5400</v>
      </c>
      <c r="B316">
        <v>24010</v>
      </c>
      <c r="C316" s="1">
        <v>43261</v>
      </c>
      <c r="E316" s="38"/>
      <c r="F316">
        <v>19.2</v>
      </c>
      <c r="G316">
        <v>16.5</v>
      </c>
      <c r="H316">
        <v>21.5</v>
      </c>
      <c r="I316">
        <f t="shared" si="35"/>
        <v>2754.8000000000006</v>
      </c>
      <c r="J316">
        <f t="shared" si="36"/>
        <v>78.599999999999994</v>
      </c>
      <c r="K316" s="8">
        <f>AVERAGE(F313:F334)</f>
        <v>18.359090909090909</v>
      </c>
      <c r="L316">
        <v>5.4</v>
      </c>
      <c r="M316">
        <v>1.4</v>
      </c>
      <c r="N316">
        <f t="shared" si="32"/>
        <v>4</v>
      </c>
      <c r="P316">
        <v>285</v>
      </c>
      <c r="Q316">
        <f t="shared" si="39"/>
        <v>0.82058823529411762</v>
      </c>
      <c r="R316">
        <f t="shared" si="33"/>
        <v>1.1488235294117646</v>
      </c>
      <c r="S316">
        <f t="shared" si="34"/>
        <v>4.251176470588236</v>
      </c>
      <c r="T316">
        <f t="shared" si="37"/>
        <v>101.29421568627453</v>
      </c>
      <c r="U316">
        <v>0</v>
      </c>
      <c r="V316">
        <v>710.4</v>
      </c>
      <c r="W316">
        <f t="shared" si="38"/>
        <v>5886</v>
      </c>
      <c r="X316">
        <v>15.84038382942061</v>
      </c>
      <c r="Y316">
        <f>(Y314/100)/K314</f>
        <v>0.97429066600643721</v>
      </c>
    </row>
    <row r="317" spans="1:25" x14ac:dyDescent="0.25">
      <c r="A317">
        <v>5400</v>
      </c>
      <c r="B317">
        <v>24010</v>
      </c>
      <c r="C317" s="1">
        <v>43262</v>
      </c>
      <c r="E317" s="38"/>
      <c r="F317">
        <v>19</v>
      </c>
      <c r="G317">
        <v>17.5</v>
      </c>
      <c r="H317">
        <v>21.7</v>
      </c>
      <c r="I317">
        <f t="shared" si="35"/>
        <v>2773.8000000000006</v>
      </c>
      <c r="J317">
        <f t="shared" si="36"/>
        <v>97.6</v>
      </c>
      <c r="K317" s="25" t="s">
        <v>36</v>
      </c>
      <c r="L317">
        <v>31.3</v>
      </c>
      <c r="M317">
        <v>1.2</v>
      </c>
      <c r="N317">
        <f t="shared" si="32"/>
        <v>30.1</v>
      </c>
      <c r="P317">
        <v>286</v>
      </c>
      <c r="Q317">
        <f t="shared" si="39"/>
        <v>0.80490196078431364</v>
      </c>
      <c r="R317">
        <f t="shared" si="33"/>
        <v>0.9658823529411763</v>
      </c>
      <c r="S317">
        <f t="shared" si="34"/>
        <v>30.334117647058825</v>
      </c>
      <c r="T317">
        <f t="shared" si="37"/>
        <v>131.62833333333336</v>
      </c>
      <c r="U317" s="26" t="s">
        <v>43</v>
      </c>
      <c r="V317">
        <v>482.5</v>
      </c>
      <c r="W317">
        <f t="shared" si="38"/>
        <v>6368.5</v>
      </c>
      <c r="X317">
        <v>15.855533385430226</v>
      </c>
      <c r="Y317" s="26" t="s">
        <v>48</v>
      </c>
    </row>
    <row r="318" spans="1:25" x14ac:dyDescent="0.25">
      <c r="A318">
        <v>5400</v>
      </c>
      <c r="B318">
        <v>24010</v>
      </c>
      <c r="C318" s="1">
        <v>43263</v>
      </c>
      <c r="E318" s="38"/>
      <c r="F318">
        <v>16.399999999999999</v>
      </c>
      <c r="G318">
        <v>16.100000000000001</v>
      </c>
      <c r="H318">
        <v>18.399999999999999</v>
      </c>
      <c r="I318">
        <f t="shared" si="35"/>
        <v>2790.2000000000007</v>
      </c>
      <c r="J318">
        <f t="shared" si="36"/>
        <v>114</v>
      </c>
      <c r="K318" s="10">
        <f>MIN(G313:G334)</f>
        <v>10</v>
      </c>
      <c r="L318">
        <v>1.6</v>
      </c>
      <c r="M318">
        <v>1.4</v>
      </c>
      <c r="N318">
        <f t="shared" si="32"/>
        <v>0.20000000000000018</v>
      </c>
      <c r="P318">
        <v>287</v>
      </c>
      <c r="Q318">
        <f t="shared" si="39"/>
        <v>0.78921568627450966</v>
      </c>
      <c r="R318">
        <f t="shared" si="33"/>
        <v>1.1049019607843134</v>
      </c>
      <c r="S318">
        <f t="shared" si="34"/>
        <v>0.49509803921568674</v>
      </c>
      <c r="T318">
        <f t="shared" si="37"/>
        <v>132.12343137254905</v>
      </c>
      <c r="U318" s="12">
        <v>0</v>
      </c>
      <c r="V318">
        <v>678.2</v>
      </c>
      <c r="W318">
        <f t="shared" si="38"/>
        <v>7046.7</v>
      </c>
      <c r="X318">
        <v>15.869316542423739</v>
      </c>
      <c r="Y318">
        <v>6</v>
      </c>
    </row>
    <row r="319" spans="1:25" x14ac:dyDescent="0.25">
      <c r="A319">
        <v>5400</v>
      </c>
      <c r="B319">
        <v>24010</v>
      </c>
      <c r="C319" s="1">
        <v>43264</v>
      </c>
      <c r="E319" s="38"/>
      <c r="F319">
        <v>13.9</v>
      </c>
      <c r="G319">
        <v>12</v>
      </c>
      <c r="H319">
        <v>17</v>
      </c>
      <c r="I319">
        <f t="shared" si="35"/>
        <v>2804.1000000000008</v>
      </c>
      <c r="J319">
        <f t="shared" si="36"/>
        <v>127.9</v>
      </c>
      <c r="K319" s="25" t="s">
        <v>37</v>
      </c>
      <c r="L319">
        <v>0.1</v>
      </c>
      <c r="M319">
        <v>1.8</v>
      </c>
      <c r="N319">
        <f t="shared" si="32"/>
        <v>-1.7</v>
      </c>
      <c r="P319">
        <v>288</v>
      </c>
      <c r="Q319">
        <f t="shared" si="39"/>
        <v>0.7735294117647058</v>
      </c>
      <c r="R319">
        <f t="shared" si="33"/>
        <v>1.3923529411764706</v>
      </c>
      <c r="S319">
        <f t="shared" si="34"/>
        <v>-1.2923529411764705</v>
      </c>
      <c r="T319">
        <f t="shared" si="37"/>
        <v>130.83107843137259</v>
      </c>
      <c r="U319" s="26" t="s">
        <v>44</v>
      </c>
      <c r="V319">
        <v>1095.8</v>
      </c>
      <c r="W319">
        <f t="shared" si="38"/>
        <v>8142.5</v>
      </c>
      <c r="X319">
        <v>15.881720988863101</v>
      </c>
    </row>
    <row r="320" spans="1:25" x14ac:dyDescent="0.25">
      <c r="A320">
        <v>5400</v>
      </c>
      <c r="B320">
        <v>24010</v>
      </c>
      <c r="C320" s="1">
        <v>43265</v>
      </c>
      <c r="E320" s="38"/>
      <c r="F320">
        <v>15.3</v>
      </c>
      <c r="G320">
        <v>10</v>
      </c>
      <c r="H320">
        <v>18.5</v>
      </c>
      <c r="I320">
        <f t="shared" si="35"/>
        <v>2819.400000000001</v>
      </c>
      <c r="J320">
        <f t="shared" si="36"/>
        <v>143.20000000000002</v>
      </c>
      <c r="K320" s="8">
        <f>MAX(H313:H334)</f>
        <v>27.7</v>
      </c>
      <c r="L320">
        <v>0.4</v>
      </c>
      <c r="M320">
        <v>1.9</v>
      </c>
      <c r="N320">
        <f t="shared" si="32"/>
        <v>-1.5</v>
      </c>
      <c r="P320">
        <v>289</v>
      </c>
      <c r="Q320">
        <f t="shared" si="39"/>
        <v>0.75784313725490193</v>
      </c>
      <c r="R320">
        <f t="shared" si="33"/>
        <v>1.4399019607843135</v>
      </c>
      <c r="S320">
        <f t="shared" si="34"/>
        <v>-1.0399019607843134</v>
      </c>
      <c r="T320">
        <f t="shared" si="37"/>
        <v>129.79117647058828</v>
      </c>
      <c r="U320" s="12">
        <f>MAX(T313:T334)</f>
        <v>132.12343137254905</v>
      </c>
      <c r="V320">
        <v>1327.6</v>
      </c>
      <c r="W320">
        <f t="shared" si="38"/>
        <v>9470.1</v>
      </c>
      <c r="X320">
        <v>15.892735557845905</v>
      </c>
    </row>
    <row r="321" spans="1:24" x14ac:dyDescent="0.25">
      <c r="A321">
        <v>5400</v>
      </c>
      <c r="B321">
        <v>24010</v>
      </c>
      <c r="C321" s="1">
        <v>43266</v>
      </c>
      <c r="E321" s="38"/>
      <c r="F321">
        <v>18</v>
      </c>
      <c r="G321">
        <v>14.9</v>
      </c>
      <c r="H321">
        <v>21.2</v>
      </c>
      <c r="I321">
        <f t="shared" si="35"/>
        <v>2837.400000000001</v>
      </c>
      <c r="J321">
        <f t="shared" si="36"/>
        <v>161.20000000000002</v>
      </c>
      <c r="K321" s="25" t="s">
        <v>38</v>
      </c>
      <c r="L321">
        <v>0.1</v>
      </c>
      <c r="M321">
        <v>2</v>
      </c>
      <c r="N321">
        <f t="shared" si="32"/>
        <v>-1.9</v>
      </c>
      <c r="P321">
        <v>290</v>
      </c>
      <c r="Q321">
        <f t="shared" si="39"/>
        <v>0.74215686274509807</v>
      </c>
      <c r="R321">
        <f t="shared" si="33"/>
        <v>1.4843137254901961</v>
      </c>
      <c r="S321">
        <f t="shared" si="34"/>
        <v>-1.384313725490196</v>
      </c>
      <c r="T321">
        <f t="shared" si="37"/>
        <v>128.4068627450981</v>
      </c>
      <c r="U321" s="26" t="s">
        <v>45</v>
      </c>
      <c r="V321">
        <v>861.7</v>
      </c>
      <c r="W321">
        <f t="shared" si="38"/>
        <v>10331.800000000001</v>
      </c>
      <c r="X321">
        <v>15.902350264185266</v>
      </c>
    </row>
    <row r="322" spans="1:24" x14ac:dyDescent="0.25">
      <c r="A322">
        <v>5400</v>
      </c>
      <c r="B322">
        <v>24010</v>
      </c>
      <c r="C322" s="1">
        <v>43267</v>
      </c>
      <c r="E322" s="38"/>
      <c r="F322">
        <v>17</v>
      </c>
      <c r="G322">
        <v>13.3</v>
      </c>
      <c r="H322">
        <v>20.399999999999999</v>
      </c>
      <c r="I322">
        <f t="shared" si="35"/>
        <v>2854.400000000001</v>
      </c>
      <c r="J322">
        <f t="shared" si="36"/>
        <v>178.20000000000002</v>
      </c>
      <c r="K322" s="8">
        <v>4</v>
      </c>
      <c r="L322">
        <v>0</v>
      </c>
      <c r="M322">
        <v>2.6</v>
      </c>
      <c r="N322">
        <f t="shared" si="32"/>
        <v>-2.6</v>
      </c>
      <c r="P322">
        <v>291</v>
      </c>
      <c r="Q322">
        <f t="shared" si="39"/>
        <v>0.72647058823529398</v>
      </c>
      <c r="R322">
        <f t="shared" si="33"/>
        <v>1.8888235294117643</v>
      </c>
      <c r="S322">
        <f t="shared" si="34"/>
        <v>-1.8888235294117643</v>
      </c>
      <c r="T322">
        <f t="shared" si="37"/>
        <v>126.51803921568633</v>
      </c>
      <c r="U322" s="12">
        <f>AVERAGE(T313:T334)</f>
        <v>114.17109625668455</v>
      </c>
      <c r="V322">
        <v>1350.2</v>
      </c>
      <c r="W322">
        <f t="shared" si="38"/>
        <v>11682.000000000002</v>
      </c>
      <c r="X322">
        <v>15.910556337935381</v>
      </c>
    </row>
    <row r="323" spans="1:24" x14ac:dyDescent="0.25">
      <c r="A323">
        <v>5400</v>
      </c>
      <c r="B323">
        <v>24010</v>
      </c>
      <c r="C323" s="1">
        <v>43268</v>
      </c>
      <c r="E323" s="38"/>
      <c r="F323">
        <v>16.7</v>
      </c>
      <c r="G323">
        <v>14</v>
      </c>
      <c r="H323">
        <v>19.399999999999999</v>
      </c>
      <c r="I323">
        <f t="shared" si="35"/>
        <v>2871.1000000000008</v>
      </c>
      <c r="J323">
        <f t="shared" si="36"/>
        <v>194.9</v>
      </c>
      <c r="K323" s="25" t="s">
        <v>39</v>
      </c>
      <c r="L323">
        <v>0</v>
      </c>
      <c r="M323">
        <v>2</v>
      </c>
      <c r="N323">
        <f t="shared" si="32"/>
        <v>-2</v>
      </c>
      <c r="P323">
        <v>292</v>
      </c>
      <c r="Q323">
        <f t="shared" si="39"/>
        <v>0.71078431372549011</v>
      </c>
      <c r="R323">
        <f t="shared" si="33"/>
        <v>1.4215686274509802</v>
      </c>
      <c r="S323">
        <f t="shared" si="34"/>
        <v>-1.4215686274509802</v>
      </c>
      <c r="T323">
        <f t="shared" si="37"/>
        <v>125.09647058823535</v>
      </c>
      <c r="V323">
        <v>952.8</v>
      </c>
      <c r="W323">
        <f t="shared" si="38"/>
        <v>12634.800000000001</v>
      </c>
      <c r="X323">
        <v>15.917346254124999</v>
      </c>
    </row>
    <row r="324" spans="1:24" x14ac:dyDescent="0.25">
      <c r="A324">
        <v>5400</v>
      </c>
      <c r="B324">
        <v>24010</v>
      </c>
      <c r="C324" s="1">
        <v>43269</v>
      </c>
      <c r="E324" s="38"/>
      <c r="F324">
        <v>18.7</v>
      </c>
      <c r="G324">
        <v>15.6</v>
      </c>
      <c r="H324">
        <v>22.4</v>
      </c>
      <c r="I324">
        <f t="shared" si="35"/>
        <v>2889.8000000000006</v>
      </c>
      <c r="J324">
        <f t="shared" si="36"/>
        <v>213.6</v>
      </c>
      <c r="K324" s="8">
        <v>0</v>
      </c>
      <c r="L324">
        <v>0.1</v>
      </c>
      <c r="M324">
        <v>1.9</v>
      </c>
      <c r="N324">
        <f t="shared" si="32"/>
        <v>-1.7999999999999998</v>
      </c>
      <c r="P324">
        <v>293</v>
      </c>
      <c r="Q324">
        <f t="shared" si="39"/>
        <v>0.69509803921568625</v>
      </c>
      <c r="R324">
        <f t="shared" si="33"/>
        <v>1.3206862745098038</v>
      </c>
      <c r="S324">
        <f t="shared" si="34"/>
        <v>-1.2206862745098037</v>
      </c>
      <c r="T324">
        <f t="shared" si="37"/>
        <v>123.87578431372555</v>
      </c>
      <c r="U324" s="13">
        <f>(U322*100)/153.9</f>
        <v>74.185247730139395</v>
      </c>
      <c r="V324">
        <v>822</v>
      </c>
      <c r="W324">
        <f t="shared" si="38"/>
        <v>13456.800000000001</v>
      </c>
      <c r="X324">
        <v>15.922713758484951</v>
      </c>
    </row>
    <row r="325" spans="1:24" x14ac:dyDescent="0.25">
      <c r="A325">
        <v>5400</v>
      </c>
      <c r="B325">
        <v>24010</v>
      </c>
      <c r="C325" s="1">
        <v>43270</v>
      </c>
      <c r="E325" s="38"/>
      <c r="F325">
        <v>19.2</v>
      </c>
      <c r="G325">
        <v>14.9</v>
      </c>
      <c r="H325">
        <v>24.1</v>
      </c>
      <c r="I325">
        <f t="shared" si="35"/>
        <v>2909.0000000000005</v>
      </c>
      <c r="J325">
        <f t="shared" si="36"/>
        <v>232.79999999999998</v>
      </c>
      <c r="K325" s="25" t="s">
        <v>40</v>
      </c>
      <c r="L325">
        <v>0.1</v>
      </c>
      <c r="M325">
        <v>1.7</v>
      </c>
      <c r="N325">
        <f t="shared" ref="N325:N367" si="40">L325-M325</f>
        <v>-1.5999999999999999</v>
      </c>
      <c r="P325">
        <v>294</v>
      </c>
      <c r="Q325">
        <f t="shared" si="39"/>
        <v>0.67941176470588227</v>
      </c>
      <c r="R325">
        <f t="shared" ref="R325:R367" si="41">Q325*M325</f>
        <v>1.1549999999999998</v>
      </c>
      <c r="S325">
        <f t="shared" ref="S325:S367" si="42">L325-R325</f>
        <v>-1.0549999999999997</v>
      </c>
      <c r="T325">
        <f t="shared" si="37"/>
        <v>122.82078431372554</v>
      </c>
      <c r="V325">
        <v>848.7</v>
      </c>
      <c r="W325">
        <f t="shared" si="38"/>
        <v>14305.500000000002</v>
      </c>
      <c r="X325">
        <v>15.9266538889825</v>
      </c>
    </row>
    <row r="326" spans="1:24" x14ac:dyDescent="0.25">
      <c r="A326">
        <v>5400</v>
      </c>
      <c r="B326">
        <v>24010</v>
      </c>
      <c r="C326" s="1">
        <v>43271</v>
      </c>
      <c r="E326" s="38"/>
      <c r="F326">
        <v>22.1</v>
      </c>
      <c r="G326">
        <v>16</v>
      </c>
      <c r="H326">
        <v>27.7</v>
      </c>
      <c r="I326">
        <f t="shared" si="35"/>
        <v>2931.1000000000004</v>
      </c>
      <c r="J326">
        <f t="shared" si="36"/>
        <v>254.89999999999998</v>
      </c>
      <c r="K326" s="19">
        <v>0</v>
      </c>
      <c r="L326">
        <v>0</v>
      </c>
      <c r="M326">
        <v>4.5999999999999996</v>
      </c>
      <c r="N326">
        <f t="shared" si="40"/>
        <v>-4.5999999999999996</v>
      </c>
      <c r="P326">
        <v>295</v>
      </c>
      <c r="Q326">
        <f t="shared" si="39"/>
        <v>0.6637254901960784</v>
      </c>
      <c r="R326">
        <f t="shared" si="41"/>
        <v>3.0531372549019604</v>
      </c>
      <c r="S326">
        <f t="shared" si="42"/>
        <v>-3.0531372549019604</v>
      </c>
      <c r="T326">
        <f t="shared" si="37"/>
        <v>119.76764705882358</v>
      </c>
      <c r="V326">
        <v>2443.1</v>
      </c>
      <c r="W326">
        <f t="shared" si="38"/>
        <v>16748.600000000002</v>
      </c>
      <c r="X326">
        <v>15.929162993004024</v>
      </c>
    </row>
    <row r="327" spans="1:24" x14ac:dyDescent="0.25">
      <c r="A327">
        <v>5400</v>
      </c>
      <c r="B327">
        <v>24010</v>
      </c>
      <c r="C327" s="1">
        <v>43272</v>
      </c>
      <c r="E327" s="38"/>
      <c r="F327">
        <v>16.899999999999999</v>
      </c>
      <c r="G327">
        <v>16</v>
      </c>
      <c r="H327">
        <v>20.6</v>
      </c>
      <c r="I327">
        <f t="shared" si="35"/>
        <v>2948.0000000000005</v>
      </c>
      <c r="J327">
        <f t="shared" si="36"/>
        <v>271.79999999999995</v>
      </c>
      <c r="L327">
        <v>0</v>
      </c>
      <c r="M327">
        <v>4.2</v>
      </c>
      <c r="N327">
        <f t="shared" si="40"/>
        <v>-4.2</v>
      </c>
      <c r="P327">
        <v>296</v>
      </c>
      <c r="Q327">
        <f t="shared" si="39"/>
        <v>0.64803921568627443</v>
      </c>
      <c r="R327">
        <f t="shared" si="41"/>
        <v>2.7217647058823529</v>
      </c>
      <c r="S327">
        <f t="shared" si="42"/>
        <v>-2.7217647058823529</v>
      </c>
      <c r="T327">
        <f t="shared" si="37"/>
        <v>117.04588235294123</v>
      </c>
      <c r="V327">
        <v>2008.6</v>
      </c>
      <c r="W327">
        <f t="shared" si="38"/>
        <v>18757.2</v>
      </c>
      <c r="X327">
        <v>15.930238740058737</v>
      </c>
    </row>
    <row r="328" spans="1:24" x14ac:dyDescent="0.25">
      <c r="A328">
        <v>5400</v>
      </c>
      <c r="B328">
        <v>24010</v>
      </c>
      <c r="C328" s="1">
        <v>43273</v>
      </c>
      <c r="E328" s="38"/>
      <c r="F328">
        <v>15.4</v>
      </c>
      <c r="G328">
        <v>10</v>
      </c>
      <c r="H328">
        <v>19.7</v>
      </c>
      <c r="I328">
        <f t="shared" si="35"/>
        <v>2963.4000000000005</v>
      </c>
      <c r="J328">
        <f t="shared" si="36"/>
        <v>287.19999999999993</v>
      </c>
      <c r="L328">
        <v>0</v>
      </c>
      <c r="M328">
        <v>4.2</v>
      </c>
      <c r="N328">
        <f t="shared" si="40"/>
        <v>-4.2</v>
      </c>
      <c r="P328">
        <v>297</v>
      </c>
      <c r="Q328">
        <f t="shared" si="39"/>
        <v>0.63235294117647056</v>
      </c>
      <c r="R328">
        <f t="shared" si="41"/>
        <v>2.6558823529411764</v>
      </c>
      <c r="S328">
        <f t="shared" si="42"/>
        <v>-2.6558823529411764</v>
      </c>
      <c r="T328">
        <f t="shared" si="37"/>
        <v>114.39000000000006</v>
      </c>
      <c r="V328">
        <v>2385.9</v>
      </c>
      <c r="W328">
        <f t="shared" si="38"/>
        <v>21143.100000000002</v>
      </c>
      <c r="X328">
        <v>15.929880129908597</v>
      </c>
    </row>
    <row r="329" spans="1:24" x14ac:dyDescent="0.25">
      <c r="A329">
        <v>5400</v>
      </c>
      <c r="B329">
        <v>24010</v>
      </c>
      <c r="C329" s="1">
        <v>43274</v>
      </c>
      <c r="E329" s="38"/>
      <c r="F329">
        <v>16</v>
      </c>
      <c r="G329">
        <v>11.4</v>
      </c>
      <c r="H329">
        <v>20.5</v>
      </c>
      <c r="I329">
        <f t="shared" si="35"/>
        <v>2979.4000000000005</v>
      </c>
      <c r="J329">
        <f t="shared" si="36"/>
        <v>303.19999999999993</v>
      </c>
      <c r="L329">
        <v>0</v>
      </c>
      <c r="M329">
        <v>5.0999999999999996</v>
      </c>
      <c r="N329">
        <f t="shared" si="40"/>
        <v>-5.0999999999999996</v>
      </c>
      <c r="P329">
        <v>298</v>
      </c>
      <c r="Q329">
        <f t="shared" si="39"/>
        <v>0.6166666666666667</v>
      </c>
      <c r="R329">
        <f t="shared" si="41"/>
        <v>3.145</v>
      </c>
      <c r="S329">
        <f t="shared" si="42"/>
        <v>-3.145</v>
      </c>
      <c r="T329">
        <f t="shared" si="37"/>
        <v>111.24500000000006</v>
      </c>
      <c r="V329">
        <v>2896.9</v>
      </c>
      <c r="W329">
        <f t="shared" si="38"/>
        <v>24040.000000000004</v>
      </c>
      <c r="X329">
        <v>15.928087496063483</v>
      </c>
    </row>
    <row r="330" spans="1:24" x14ac:dyDescent="0.25">
      <c r="A330">
        <v>5400</v>
      </c>
      <c r="B330">
        <v>24010</v>
      </c>
      <c r="C330" s="1">
        <v>43275</v>
      </c>
      <c r="E330" s="38"/>
      <c r="F330">
        <v>17.5</v>
      </c>
      <c r="G330">
        <v>12.5</v>
      </c>
      <c r="H330">
        <v>22.2</v>
      </c>
      <c r="I330">
        <f t="shared" si="35"/>
        <v>2996.9000000000005</v>
      </c>
      <c r="J330">
        <f t="shared" si="36"/>
        <v>320.69999999999993</v>
      </c>
      <c r="L330">
        <v>0</v>
      </c>
      <c r="M330">
        <v>5</v>
      </c>
      <c r="N330">
        <f t="shared" si="40"/>
        <v>-5</v>
      </c>
      <c r="P330">
        <v>299</v>
      </c>
      <c r="Q330">
        <f t="shared" si="39"/>
        <v>0.60098039215686272</v>
      </c>
      <c r="R330">
        <f t="shared" si="41"/>
        <v>3.0049019607843137</v>
      </c>
      <c r="S330">
        <f t="shared" si="42"/>
        <v>-3.0049019607843137</v>
      </c>
      <c r="T330">
        <f t="shared" si="37"/>
        <v>108.24009803921575</v>
      </c>
      <c r="V330">
        <v>2658.3</v>
      </c>
      <c r="W330">
        <f t="shared" si="38"/>
        <v>26698.300000000003</v>
      </c>
      <c r="X330">
        <v>15.924862504615398</v>
      </c>
    </row>
    <row r="331" spans="1:24" x14ac:dyDescent="0.25">
      <c r="A331">
        <v>5400</v>
      </c>
      <c r="B331">
        <v>24010</v>
      </c>
      <c r="C331" s="1">
        <v>43276</v>
      </c>
      <c r="E331" s="38"/>
      <c r="F331">
        <v>19.100000000000001</v>
      </c>
      <c r="G331">
        <v>13</v>
      </c>
      <c r="H331">
        <v>23.8</v>
      </c>
      <c r="I331">
        <f t="shared" si="35"/>
        <v>3016.0000000000005</v>
      </c>
      <c r="J331">
        <f t="shared" si="36"/>
        <v>339.79999999999995</v>
      </c>
      <c r="L331">
        <v>0</v>
      </c>
      <c r="M331">
        <v>5.7</v>
      </c>
      <c r="N331">
        <f t="shared" si="40"/>
        <v>-5.7</v>
      </c>
      <c r="P331">
        <v>300</v>
      </c>
      <c r="Q331">
        <f t="shared" si="39"/>
        <v>0.58529411764705874</v>
      </c>
      <c r="R331">
        <f t="shared" si="41"/>
        <v>3.3361764705882351</v>
      </c>
      <c r="S331">
        <f t="shared" si="42"/>
        <v>-3.3361764705882351</v>
      </c>
      <c r="T331">
        <f t="shared" si="37"/>
        <v>104.90392156862751</v>
      </c>
      <c r="V331">
        <v>3118.6</v>
      </c>
      <c r="W331">
        <f t="shared" si="38"/>
        <v>29816.9</v>
      </c>
      <c r="X331">
        <v>15.920208148420471</v>
      </c>
    </row>
    <row r="332" spans="1:24" x14ac:dyDescent="0.25">
      <c r="A332">
        <v>5400</v>
      </c>
      <c r="B332">
        <v>24010</v>
      </c>
      <c r="C332" s="1">
        <v>43277</v>
      </c>
      <c r="E332" s="38"/>
      <c r="F332">
        <v>20.8</v>
      </c>
      <c r="G332">
        <v>15.4</v>
      </c>
      <c r="H332">
        <v>25.7</v>
      </c>
      <c r="I332">
        <f t="shared" si="35"/>
        <v>3036.8000000000006</v>
      </c>
      <c r="J332">
        <f t="shared" si="36"/>
        <v>360.59999999999997</v>
      </c>
      <c r="L332">
        <v>0</v>
      </c>
      <c r="M332">
        <v>6.6</v>
      </c>
      <c r="N332">
        <f t="shared" si="40"/>
        <v>-6.6</v>
      </c>
      <c r="P332">
        <v>301</v>
      </c>
      <c r="Q332">
        <f t="shared" si="39"/>
        <v>0.56960784313725488</v>
      </c>
      <c r="R332">
        <f t="shared" si="41"/>
        <v>3.7594117647058818</v>
      </c>
      <c r="S332">
        <f t="shared" si="42"/>
        <v>-3.7594117647058818</v>
      </c>
      <c r="T332">
        <f t="shared" si="37"/>
        <v>101.14450980392162</v>
      </c>
      <c r="V332">
        <v>3201.9</v>
      </c>
      <c r="W332">
        <f t="shared" si="38"/>
        <v>33018.800000000003</v>
      </c>
      <c r="X332">
        <v>15.914128736672405</v>
      </c>
    </row>
    <row r="333" spans="1:24" x14ac:dyDescent="0.25">
      <c r="A333">
        <v>5400</v>
      </c>
      <c r="B333">
        <v>24010</v>
      </c>
      <c r="C333" s="1">
        <v>43278</v>
      </c>
      <c r="E333" s="38"/>
      <c r="F333">
        <v>21.5</v>
      </c>
      <c r="G333">
        <v>15.4</v>
      </c>
      <c r="H333">
        <v>27.3</v>
      </c>
      <c r="I333">
        <f t="shared" si="35"/>
        <v>3058.3000000000006</v>
      </c>
      <c r="J333">
        <f t="shared" si="36"/>
        <v>382.09999999999997</v>
      </c>
      <c r="L333">
        <v>0</v>
      </c>
      <c r="M333">
        <v>6.7</v>
      </c>
      <c r="N333">
        <f t="shared" si="40"/>
        <v>-6.7</v>
      </c>
      <c r="P333">
        <v>302</v>
      </c>
      <c r="Q333">
        <f t="shared" si="39"/>
        <v>0.5539215686274509</v>
      </c>
      <c r="R333">
        <f t="shared" si="41"/>
        <v>3.7112745098039213</v>
      </c>
      <c r="S333">
        <f t="shared" si="42"/>
        <v>-3.7112745098039213</v>
      </c>
      <c r="T333">
        <f t="shared" si="37"/>
        <v>97.433235294117708</v>
      </c>
      <c r="V333">
        <v>3202.9</v>
      </c>
      <c r="W333">
        <f t="shared" si="38"/>
        <v>36221.700000000004</v>
      </c>
      <c r="X333">
        <v>15.906629879945315</v>
      </c>
    </row>
    <row r="334" spans="1:24" s="4" customFormat="1" ht="15.75" thickBot="1" x14ac:dyDescent="0.3">
      <c r="A334" s="4">
        <v>5400</v>
      </c>
      <c r="B334" s="4">
        <v>24010</v>
      </c>
      <c r="C334" s="5">
        <v>43279</v>
      </c>
      <c r="D334" s="4">
        <v>1000</v>
      </c>
      <c r="E334" s="39"/>
      <c r="F334" s="4">
        <v>21.8</v>
      </c>
      <c r="G334" s="4">
        <v>16.600000000000001</v>
      </c>
      <c r="H334" s="4">
        <v>26.7</v>
      </c>
      <c r="I334" s="4">
        <f t="shared" si="35"/>
        <v>3080.1000000000008</v>
      </c>
      <c r="J334" s="4">
        <f t="shared" si="36"/>
        <v>403.9</v>
      </c>
      <c r="L334" s="4">
        <v>0</v>
      </c>
      <c r="M334" s="4">
        <v>7</v>
      </c>
      <c r="N334" s="4">
        <f t="shared" si="40"/>
        <v>-7</v>
      </c>
      <c r="P334" s="4">
        <v>303</v>
      </c>
      <c r="Q334" s="4">
        <f t="shared" si="39"/>
        <v>0.53823529411764703</v>
      </c>
      <c r="R334" s="4">
        <f t="shared" si="41"/>
        <v>3.7676470588235293</v>
      </c>
      <c r="S334" s="4">
        <f t="shared" si="42"/>
        <v>-3.7676470588235293</v>
      </c>
      <c r="T334" s="4">
        <f t="shared" si="37"/>
        <v>93.66558823529418</v>
      </c>
      <c r="V334" s="4">
        <v>3129.9</v>
      </c>
      <c r="W334" s="4">
        <f t="shared" si="38"/>
        <v>39351.600000000006</v>
      </c>
      <c r="X334" s="4">
        <v>15.897718470817345</v>
      </c>
    </row>
    <row r="335" spans="1:24" x14ac:dyDescent="0.25">
      <c r="A335">
        <v>5400</v>
      </c>
      <c r="B335">
        <v>24010</v>
      </c>
      <c r="C335" s="1">
        <v>43280</v>
      </c>
      <c r="F335">
        <v>22.7</v>
      </c>
      <c r="G335">
        <v>16.399999999999999</v>
      </c>
      <c r="H335">
        <v>27.3</v>
      </c>
      <c r="I335">
        <f t="shared" si="35"/>
        <v>3102.8000000000006</v>
      </c>
      <c r="J335">
        <f>F335</f>
        <v>22.7</v>
      </c>
      <c r="L335">
        <v>0</v>
      </c>
      <c r="M335">
        <v>4.5</v>
      </c>
      <c r="N335">
        <f t="shared" si="40"/>
        <v>-4.5</v>
      </c>
      <c r="P335">
        <v>304</v>
      </c>
      <c r="Q335">
        <f t="shared" si="39"/>
        <v>0.52254901960784306</v>
      </c>
      <c r="R335">
        <f t="shared" si="41"/>
        <v>2.3514705882352938</v>
      </c>
      <c r="S335">
        <f t="shared" si="42"/>
        <v>-2.3514705882352938</v>
      </c>
      <c r="T335">
        <f t="shared" si="37"/>
        <v>91.314117647058893</v>
      </c>
      <c r="V335">
        <v>1809.2</v>
      </c>
      <c r="W335">
        <f>V335</f>
        <v>1809.2</v>
      </c>
      <c r="X335">
        <v>15.887402660218047</v>
      </c>
    </row>
    <row r="336" spans="1:24" x14ac:dyDescent="0.25">
      <c r="A336">
        <v>5400</v>
      </c>
      <c r="B336">
        <v>24010</v>
      </c>
      <c r="C336" s="1">
        <v>43281</v>
      </c>
      <c r="F336">
        <v>24.8</v>
      </c>
      <c r="G336">
        <v>19.3</v>
      </c>
      <c r="H336">
        <v>29.8</v>
      </c>
      <c r="I336">
        <f t="shared" si="35"/>
        <v>3127.6000000000008</v>
      </c>
      <c r="J336">
        <f t="shared" si="36"/>
        <v>47.5</v>
      </c>
      <c r="L336">
        <v>0</v>
      </c>
      <c r="M336">
        <v>5.2</v>
      </c>
      <c r="N336">
        <f t="shared" si="40"/>
        <v>-5.2</v>
      </c>
      <c r="P336">
        <v>305</v>
      </c>
      <c r="Q336">
        <f t="shared" si="39"/>
        <v>0.50686274509803919</v>
      </c>
      <c r="R336">
        <f t="shared" si="41"/>
        <v>2.635686274509804</v>
      </c>
      <c r="S336">
        <f t="shared" si="42"/>
        <v>-2.635686274509804</v>
      </c>
      <c r="T336">
        <f t="shared" si="37"/>
        <v>88.678431372549085</v>
      </c>
      <c r="V336">
        <v>2140.6999999999998</v>
      </c>
      <c r="W336">
        <f t="shared" si="38"/>
        <v>3949.8999999999996</v>
      </c>
      <c r="X336">
        <v>15.875691829672764</v>
      </c>
    </row>
    <row r="337" spans="1:24" x14ac:dyDescent="0.25">
      <c r="A337">
        <v>5400</v>
      </c>
      <c r="B337">
        <v>24010</v>
      </c>
      <c r="C337" s="1">
        <v>43282</v>
      </c>
      <c r="F337">
        <v>24.9</v>
      </c>
      <c r="G337">
        <v>20.399999999999999</v>
      </c>
      <c r="H337">
        <v>29</v>
      </c>
      <c r="I337">
        <f t="shared" si="35"/>
        <v>3152.5000000000009</v>
      </c>
      <c r="J337">
        <f t="shared" si="36"/>
        <v>72.400000000000006</v>
      </c>
      <c r="L337">
        <v>7.4</v>
      </c>
      <c r="M337">
        <v>1.9</v>
      </c>
      <c r="N337">
        <f t="shared" si="40"/>
        <v>5.5</v>
      </c>
      <c r="P337">
        <v>306</v>
      </c>
      <c r="Q337">
        <f t="shared" si="39"/>
        <v>0.49117647058823533</v>
      </c>
      <c r="R337">
        <f t="shared" si="41"/>
        <v>0.93323529411764705</v>
      </c>
      <c r="S337">
        <f t="shared" si="42"/>
        <v>6.466764705882353</v>
      </c>
      <c r="T337">
        <f t="shared" si="37"/>
        <v>95.145196078431439</v>
      </c>
      <c r="V337">
        <v>942.1</v>
      </c>
      <c r="W337">
        <f t="shared" si="38"/>
        <v>4892</v>
      </c>
      <c r="X337">
        <v>15.862596559644807</v>
      </c>
    </row>
    <row r="338" spans="1:24" x14ac:dyDescent="0.25">
      <c r="A338">
        <v>5400</v>
      </c>
      <c r="B338">
        <v>24010</v>
      </c>
      <c r="C338" s="1">
        <v>43283</v>
      </c>
      <c r="F338">
        <v>22.7</v>
      </c>
      <c r="G338">
        <v>20.100000000000001</v>
      </c>
      <c r="H338">
        <v>27.1</v>
      </c>
      <c r="I338">
        <f t="shared" si="35"/>
        <v>3175.2000000000007</v>
      </c>
      <c r="J338">
        <f t="shared" si="36"/>
        <v>95.100000000000009</v>
      </c>
      <c r="L338">
        <v>4.9000000000000004</v>
      </c>
      <c r="M338">
        <v>5.0999999999999996</v>
      </c>
      <c r="N338">
        <f t="shared" si="40"/>
        <v>-0.19999999999999929</v>
      </c>
      <c r="P338">
        <v>307</v>
      </c>
      <c r="Q338">
        <f t="shared" si="39"/>
        <v>0.47549019607843135</v>
      </c>
      <c r="R338">
        <f t="shared" si="41"/>
        <v>2.4249999999999998</v>
      </c>
      <c r="S338">
        <f t="shared" si="42"/>
        <v>2.4750000000000005</v>
      </c>
      <c r="T338">
        <f t="shared" si="37"/>
        <v>97.620196078431434</v>
      </c>
      <c r="V338">
        <v>2368</v>
      </c>
      <c r="W338">
        <f t="shared" si="38"/>
        <v>7260</v>
      </c>
      <c r="X338">
        <v>15.848128594201659</v>
      </c>
    </row>
    <row r="339" spans="1:24" x14ac:dyDescent="0.25">
      <c r="A339">
        <v>5400</v>
      </c>
      <c r="B339">
        <v>24010</v>
      </c>
      <c r="C339" s="1">
        <v>43284</v>
      </c>
      <c r="F339">
        <v>22.5</v>
      </c>
      <c r="G339">
        <v>17.600000000000001</v>
      </c>
      <c r="H339">
        <v>27.5</v>
      </c>
      <c r="I339">
        <f t="shared" si="35"/>
        <v>3197.7000000000007</v>
      </c>
      <c r="J339">
        <f t="shared" si="36"/>
        <v>117.60000000000001</v>
      </c>
      <c r="L339">
        <v>0</v>
      </c>
      <c r="M339">
        <v>4.5999999999999996</v>
      </c>
      <c r="N339">
        <f t="shared" si="40"/>
        <v>-4.5999999999999996</v>
      </c>
      <c r="P339">
        <v>308</v>
      </c>
      <c r="Q339">
        <f t="shared" si="39"/>
        <v>0.45980392156862737</v>
      </c>
      <c r="R339">
        <f t="shared" si="41"/>
        <v>2.115098039215686</v>
      </c>
      <c r="S339">
        <f t="shared" si="42"/>
        <v>-2.115098039215686</v>
      </c>
      <c r="T339">
        <f t="shared" si="37"/>
        <v>95.505098039215753</v>
      </c>
      <c r="V339">
        <v>2170.6999999999998</v>
      </c>
      <c r="W339">
        <f t="shared" si="38"/>
        <v>9430.7000000000007</v>
      </c>
      <c r="X339">
        <v>15.832300802253723</v>
      </c>
    </row>
    <row r="340" spans="1:24" x14ac:dyDescent="0.25">
      <c r="A340">
        <v>5400</v>
      </c>
      <c r="B340">
        <v>24010</v>
      </c>
      <c r="C340" s="1">
        <v>43285</v>
      </c>
      <c r="F340">
        <v>23</v>
      </c>
      <c r="G340">
        <v>18.399999999999999</v>
      </c>
      <c r="H340">
        <v>27.2</v>
      </c>
      <c r="I340">
        <f t="shared" si="35"/>
        <v>3220.7000000000007</v>
      </c>
      <c r="J340">
        <f t="shared" si="36"/>
        <v>140.60000000000002</v>
      </c>
      <c r="L340">
        <v>0.5</v>
      </c>
      <c r="M340">
        <v>3.9</v>
      </c>
      <c r="N340">
        <f t="shared" si="40"/>
        <v>-3.4</v>
      </c>
      <c r="P340">
        <v>309</v>
      </c>
      <c r="Q340">
        <f t="shared" si="39"/>
        <v>0.44411764705882351</v>
      </c>
      <c r="R340">
        <f t="shared" si="41"/>
        <v>1.7320588235294117</v>
      </c>
      <c r="S340">
        <f t="shared" si="42"/>
        <v>-1.2320588235294117</v>
      </c>
      <c r="T340">
        <f t="shared" si="37"/>
        <v>94.273039215686339</v>
      </c>
      <c r="V340">
        <v>1789.6</v>
      </c>
      <c r="W340">
        <f t="shared" si="38"/>
        <v>11220.300000000001</v>
      </c>
      <c r="X340">
        <v>15.815127135633729</v>
      </c>
    </row>
    <row r="341" spans="1:24" x14ac:dyDescent="0.25">
      <c r="A341">
        <v>5400</v>
      </c>
      <c r="B341">
        <v>24010</v>
      </c>
      <c r="C341" s="1">
        <v>43286</v>
      </c>
      <c r="F341">
        <v>20.100000000000001</v>
      </c>
      <c r="G341">
        <v>18.399999999999999</v>
      </c>
      <c r="H341">
        <v>23</v>
      </c>
      <c r="I341">
        <f t="shared" si="35"/>
        <v>3240.8000000000006</v>
      </c>
      <c r="J341">
        <f t="shared" si="36"/>
        <v>160.70000000000002</v>
      </c>
      <c r="L341">
        <v>3</v>
      </c>
      <c r="M341">
        <v>2.6</v>
      </c>
      <c r="N341">
        <f t="shared" si="40"/>
        <v>0.39999999999999991</v>
      </c>
      <c r="P341">
        <v>310</v>
      </c>
      <c r="Q341">
        <f t="shared" si="39"/>
        <v>0.42843137254901953</v>
      </c>
      <c r="R341">
        <f t="shared" si="41"/>
        <v>1.1139215686274508</v>
      </c>
      <c r="S341">
        <f t="shared" si="42"/>
        <v>1.8860784313725492</v>
      </c>
      <c r="T341">
        <f t="shared" si="37"/>
        <v>96.159117647058892</v>
      </c>
      <c r="V341">
        <v>1207.8</v>
      </c>
      <c r="W341">
        <f t="shared" si="38"/>
        <v>12428.1</v>
      </c>
      <c r="X341">
        <v>15.796622584301085</v>
      </c>
    </row>
    <row r="342" spans="1:24" x14ac:dyDescent="0.25">
      <c r="A342">
        <v>5400</v>
      </c>
      <c r="B342">
        <v>24010</v>
      </c>
      <c r="C342" s="1">
        <v>43287</v>
      </c>
      <c r="F342">
        <v>22.2</v>
      </c>
      <c r="G342">
        <v>17</v>
      </c>
      <c r="H342">
        <v>27.3</v>
      </c>
      <c r="I342">
        <f t="shared" si="35"/>
        <v>3263.0000000000005</v>
      </c>
      <c r="J342">
        <f t="shared" si="36"/>
        <v>182.9</v>
      </c>
      <c r="L342">
        <v>0</v>
      </c>
      <c r="M342">
        <v>5.3</v>
      </c>
      <c r="N342">
        <f t="shared" si="40"/>
        <v>-5.3</v>
      </c>
      <c r="P342">
        <v>311</v>
      </c>
      <c r="Q342">
        <f t="shared" si="39"/>
        <v>0.41274509803921566</v>
      </c>
      <c r="R342">
        <f t="shared" si="41"/>
        <v>2.1875490196078431</v>
      </c>
      <c r="S342">
        <f t="shared" si="42"/>
        <v>-2.1875490196078431</v>
      </c>
      <c r="T342">
        <f t="shared" si="37"/>
        <v>93.971568627451049</v>
      </c>
      <c r="V342">
        <v>2594.4</v>
      </c>
      <c r="W342">
        <f t="shared" si="38"/>
        <v>15022.5</v>
      </c>
      <c r="X342">
        <v>15.776803128968561</v>
      </c>
    </row>
    <row r="343" spans="1:24" x14ac:dyDescent="0.25">
      <c r="A343">
        <v>5400</v>
      </c>
      <c r="B343">
        <v>24010</v>
      </c>
      <c r="C343" s="1">
        <v>43288</v>
      </c>
      <c r="F343">
        <v>23.6</v>
      </c>
      <c r="G343">
        <v>17.8</v>
      </c>
      <c r="H343">
        <v>28.7</v>
      </c>
      <c r="I343">
        <f t="shared" si="35"/>
        <v>3286.6000000000004</v>
      </c>
      <c r="J343">
        <f t="shared" si="36"/>
        <v>206.5</v>
      </c>
      <c r="L343">
        <v>0</v>
      </c>
      <c r="M343">
        <v>5.5</v>
      </c>
      <c r="N343">
        <f t="shared" si="40"/>
        <v>-5.5</v>
      </c>
      <c r="P343">
        <v>312</v>
      </c>
      <c r="Q343">
        <f t="shared" si="39"/>
        <v>0.3970588235294118</v>
      </c>
      <c r="R343">
        <f t="shared" si="41"/>
        <v>2.1838235294117649</v>
      </c>
      <c r="S343">
        <f t="shared" si="42"/>
        <v>-2.1838235294117649</v>
      </c>
      <c r="T343">
        <f t="shared" si="37"/>
        <v>91.787745098039281</v>
      </c>
      <c r="V343">
        <v>2489.1999999999998</v>
      </c>
      <c r="W343">
        <f t="shared" si="38"/>
        <v>17511.7</v>
      </c>
      <c r="X343">
        <v>15.755685691458313</v>
      </c>
    </row>
    <row r="344" spans="1:24" x14ac:dyDescent="0.25">
      <c r="A344">
        <v>5400</v>
      </c>
      <c r="B344">
        <v>24010</v>
      </c>
      <c r="C344" s="1">
        <v>43289</v>
      </c>
      <c r="F344">
        <v>24</v>
      </c>
      <c r="G344">
        <v>18.899999999999999</v>
      </c>
      <c r="H344">
        <v>29.5</v>
      </c>
      <c r="I344">
        <f t="shared" si="35"/>
        <v>3310.6000000000004</v>
      </c>
      <c r="J344">
        <f t="shared" si="36"/>
        <v>230.5</v>
      </c>
      <c r="L344">
        <v>0</v>
      </c>
      <c r="M344">
        <v>4.3</v>
      </c>
      <c r="N344">
        <f t="shared" si="40"/>
        <v>-4.3</v>
      </c>
      <c r="P344">
        <v>313</v>
      </c>
      <c r="Q344">
        <f t="shared" si="39"/>
        <v>0.38137254901960782</v>
      </c>
      <c r="R344">
        <f t="shared" si="41"/>
        <v>1.6399019607843135</v>
      </c>
      <c r="S344">
        <f t="shared" si="42"/>
        <v>-1.6399019607843135</v>
      </c>
      <c r="T344">
        <f t="shared" si="37"/>
        <v>90.147843137254966</v>
      </c>
      <c r="V344">
        <v>1761</v>
      </c>
      <c r="W344">
        <f t="shared" si="38"/>
        <v>19272.7</v>
      </c>
      <c r="X344">
        <v>15.733288083100774</v>
      </c>
    </row>
    <row r="345" spans="1:24" x14ac:dyDescent="0.25">
      <c r="A345">
        <v>5400</v>
      </c>
      <c r="B345">
        <v>24010</v>
      </c>
      <c r="C345" s="1">
        <v>43290</v>
      </c>
      <c r="F345">
        <v>21.7</v>
      </c>
      <c r="G345">
        <v>18</v>
      </c>
      <c r="H345">
        <v>26.1</v>
      </c>
      <c r="I345">
        <f t="shared" si="35"/>
        <v>3332.3</v>
      </c>
      <c r="J345">
        <f t="shared" si="36"/>
        <v>252.2</v>
      </c>
      <c r="L345">
        <v>0</v>
      </c>
      <c r="M345">
        <v>6</v>
      </c>
      <c r="N345">
        <f t="shared" si="40"/>
        <v>-6</v>
      </c>
      <c r="P345">
        <v>314</v>
      </c>
      <c r="Q345">
        <f t="shared" si="39"/>
        <v>0.36568627450980395</v>
      </c>
      <c r="R345">
        <f t="shared" si="41"/>
        <v>2.1941176470588237</v>
      </c>
      <c r="S345">
        <f t="shared" si="42"/>
        <v>-2.1941176470588237</v>
      </c>
      <c r="T345">
        <f t="shared" si="37"/>
        <v>87.953725490196149</v>
      </c>
      <c r="V345">
        <v>2459.6</v>
      </c>
      <c r="W345">
        <f t="shared" si="38"/>
        <v>21732.3</v>
      </c>
      <c r="X345">
        <v>15.709628951493032</v>
      </c>
    </row>
    <row r="346" spans="1:24" s="4" customFormat="1" ht="15.75" thickBot="1" x14ac:dyDescent="0.3">
      <c r="A346" s="4">
        <v>5400</v>
      </c>
      <c r="B346" s="4">
        <v>24010</v>
      </c>
      <c r="C346" s="5">
        <v>43291</v>
      </c>
      <c r="D346" s="4" t="s">
        <v>31</v>
      </c>
      <c r="F346" s="4">
        <v>19.2</v>
      </c>
      <c r="G346" s="4">
        <v>16.100000000000001</v>
      </c>
      <c r="H346" s="4">
        <v>23.3</v>
      </c>
      <c r="I346" s="4">
        <f t="shared" si="35"/>
        <v>3351.5</v>
      </c>
      <c r="J346" s="4">
        <f t="shared" si="36"/>
        <v>271.39999999999998</v>
      </c>
      <c r="L346" s="4">
        <v>0</v>
      </c>
      <c r="M346" s="4">
        <v>3.4</v>
      </c>
      <c r="N346" s="4">
        <f t="shared" si="40"/>
        <v>-3.4</v>
      </c>
      <c r="P346" s="4">
        <v>315</v>
      </c>
      <c r="Q346" s="4">
        <f t="shared" si="39"/>
        <v>0.35</v>
      </c>
      <c r="R346" s="4">
        <f t="shared" si="41"/>
        <v>1.19</v>
      </c>
      <c r="S346" s="4">
        <f t="shared" si="42"/>
        <v>-1.19</v>
      </c>
      <c r="T346" s="4">
        <f t="shared" si="37"/>
        <v>86.763725490196151</v>
      </c>
      <c r="V346" s="4">
        <v>1159.9000000000001</v>
      </c>
      <c r="W346" s="4">
        <f t="shared" si="38"/>
        <v>22892.2</v>
      </c>
      <c r="X346" s="4">
        <v>15.684727725933401</v>
      </c>
    </row>
    <row r="347" spans="1:24" x14ac:dyDescent="0.25">
      <c r="A347">
        <v>5400</v>
      </c>
      <c r="B347">
        <v>24010</v>
      </c>
      <c r="C347" s="1">
        <v>43292</v>
      </c>
      <c r="F347">
        <v>17.899999999999999</v>
      </c>
      <c r="G347">
        <v>13.4</v>
      </c>
      <c r="H347">
        <v>21.4</v>
      </c>
      <c r="I347">
        <f t="shared" si="35"/>
        <v>3369.4</v>
      </c>
      <c r="J347">
        <f t="shared" si="36"/>
        <v>289.29999999999995</v>
      </c>
      <c r="L347">
        <v>0</v>
      </c>
      <c r="M347">
        <v>2.1</v>
      </c>
      <c r="N347">
        <f t="shared" si="40"/>
        <v>-2.1</v>
      </c>
      <c r="R347">
        <f t="shared" si="41"/>
        <v>0</v>
      </c>
      <c r="S347">
        <f t="shared" si="42"/>
        <v>0</v>
      </c>
      <c r="V347">
        <v>779.5</v>
      </c>
    </row>
    <row r="348" spans="1:24" x14ac:dyDescent="0.25">
      <c r="A348">
        <v>5400</v>
      </c>
      <c r="B348">
        <v>24010</v>
      </c>
      <c r="C348" s="1">
        <v>43293</v>
      </c>
      <c r="F348">
        <v>19.8</v>
      </c>
      <c r="G348">
        <v>14.7</v>
      </c>
      <c r="H348">
        <v>24.3</v>
      </c>
      <c r="I348">
        <f t="shared" si="35"/>
        <v>3389.2000000000003</v>
      </c>
      <c r="J348">
        <f t="shared" si="36"/>
        <v>309.09999999999997</v>
      </c>
      <c r="L348">
        <v>0</v>
      </c>
      <c r="M348">
        <v>2.5</v>
      </c>
      <c r="N348">
        <f t="shared" si="40"/>
        <v>-2.5</v>
      </c>
      <c r="R348">
        <f t="shared" si="41"/>
        <v>0</v>
      </c>
      <c r="S348">
        <f t="shared" si="42"/>
        <v>0</v>
      </c>
      <c r="V348">
        <v>889.5</v>
      </c>
    </row>
    <row r="349" spans="1:24" x14ac:dyDescent="0.25">
      <c r="A349">
        <v>5400</v>
      </c>
      <c r="B349">
        <v>24010</v>
      </c>
      <c r="C349" s="1">
        <v>43294</v>
      </c>
      <c r="F349">
        <v>21.6</v>
      </c>
      <c r="G349">
        <v>17.5</v>
      </c>
      <c r="H349">
        <v>26</v>
      </c>
      <c r="I349">
        <f t="shared" si="35"/>
        <v>3410.8</v>
      </c>
      <c r="J349">
        <f t="shared" si="36"/>
        <v>330.7</v>
      </c>
      <c r="L349">
        <v>0.5</v>
      </c>
      <c r="M349">
        <v>3.5</v>
      </c>
      <c r="N349">
        <f t="shared" si="40"/>
        <v>-3</v>
      </c>
      <c r="R349">
        <f t="shared" si="41"/>
        <v>0</v>
      </c>
      <c r="S349">
        <f t="shared" si="42"/>
        <v>0.5</v>
      </c>
      <c r="V349">
        <v>1516.1</v>
      </c>
    </row>
    <row r="350" spans="1:24" x14ac:dyDescent="0.25">
      <c r="A350">
        <v>5400</v>
      </c>
      <c r="B350">
        <v>24010</v>
      </c>
      <c r="C350" s="1">
        <v>43295</v>
      </c>
      <c r="F350">
        <v>22.8</v>
      </c>
      <c r="G350">
        <v>17.5</v>
      </c>
      <c r="H350">
        <v>27.9</v>
      </c>
      <c r="I350">
        <f t="shared" si="35"/>
        <v>3433.6000000000004</v>
      </c>
      <c r="J350">
        <f t="shared" si="36"/>
        <v>353.5</v>
      </c>
      <c r="L350">
        <v>2.2999999999999998</v>
      </c>
      <c r="M350">
        <v>4.0999999999999996</v>
      </c>
      <c r="N350">
        <f t="shared" si="40"/>
        <v>-1.7999999999999998</v>
      </c>
      <c r="R350">
        <f t="shared" si="41"/>
        <v>0</v>
      </c>
      <c r="S350">
        <f t="shared" si="42"/>
        <v>2.2999999999999998</v>
      </c>
      <c r="V350">
        <v>1750</v>
      </c>
    </row>
    <row r="351" spans="1:24" x14ac:dyDescent="0.25">
      <c r="A351">
        <v>5400</v>
      </c>
      <c r="B351">
        <v>24010</v>
      </c>
      <c r="C351" s="1">
        <v>43296</v>
      </c>
      <c r="F351">
        <v>23.3</v>
      </c>
      <c r="G351">
        <v>18.2</v>
      </c>
      <c r="H351">
        <v>29.5</v>
      </c>
      <c r="I351">
        <f t="shared" si="35"/>
        <v>3456.9000000000005</v>
      </c>
      <c r="J351">
        <f t="shared" si="36"/>
        <v>376.8</v>
      </c>
      <c r="L351">
        <v>2.4</v>
      </c>
      <c r="M351">
        <v>4.5</v>
      </c>
      <c r="N351">
        <f t="shared" si="40"/>
        <v>-2.1</v>
      </c>
      <c r="R351">
        <f t="shared" si="41"/>
        <v>0</v>
      </c>
      <c r="S351">
        <f t="shared" si="42"/>
        <v>2.4</v>
      </c>
      <c r="V351">
        <v>1961.4</v>
      </c>
    </row>
    <row r="352" spans="1:24" x14ac:dyDescent="0.25">
      <c r="A352">
        <v>5400</v>
      </c>
      <c r="B352">
        <v>24010</v>
      </c>
      <c r="C352" s="1">
        <v>43297</v>
      </c>
      <c r="F352">
        <v>22.8</v>
      </c>
      <c r="G352">
        <v>17.2</v>
      </c>
      <c r="H352">
        <v>28.1</v>
      </c>
      <c r="I352">
        <f t="shared" si="35"/>
        <v>3479.7000000000007</v>
      </c>
      <c r="J352">
        <f t="shared" si="36"/>
        <v>399.6</v>
      </c>
      <c r="L352">
        <v>0</v>
      </c>
      <c r="M352">
        <v>5.6</v>
      </c>
      <c r="N352">
        <f t="shared" si="40"/>
        <v>-5.6</v>
      </c>
      <c r="R352">
        <f t="shared" si="41"/>
        <v>0</v>
      </c>
      <c r="S352">
        <f t="shared" si="42"/>
        <v>0</v>
      </c>
      <c r="V352">
        <v>2330.1999999999998</v>
      </c>
    </row>
    <row r="353" spans="1:22" x14ac:dyDescent="0.25">
      <c r="A353">
        <v>5400</v>
      </c>
      <c r="B353">
        <v>24010</v>
      </c>
      <c r="C353" s="1">
        <v>43298</v>
      </c>
      <c r="F353">
        <v>20.6</v>
      </c>
      <c r="G353">
        <v>17.5</v>
      </c>
      <c r="H353">
        <v>24.9</v>
      </c>
      <c r="I353">
        <f t="shared" si="35"/>
        <v>3500.3000000000006</v>
      </c>
      <c r="J353">
        <f t="shared" si="36"/>
        <v>420.20000000000005</v>
      </c>
      <c r="L353">
        <v>0</v>
      </c>
      <c r="M353">
        <v>3.8</v>
      </c>
      <c r="N353">
        <f t="shared" si="40"/>
        <v>-3.8</v>
      </c>
      <c r="R353">
        <f t="shared" si="41"/>
        <v>0</v>
      </c>
      <c r="S353">
        <f t="shared" si="42"/>
        <v>0</v>
      </c>
      <c r="V353">
        <v>1775.3</v>
      </c>
    </row>
    <row r="354" spans="1:22" x14ac:dyDescent="0.25">
      <c r="A354">
        <v>5400</v>
      </c>
      <c r="B354">
        <v>24010</v>
      </c>
      <c r="C354" s="1">
        <v>43299</v>
      </c>
      <c r="F354">
        <v>21.8</v>
      </c>
      <c r="G354">
        <v>16</v>
      </c>
      <c r="H354">
        <v>27.2</v>
      </c>
      <c r="I354">
        <f t="shared" ref="I354:I367" si="43">I353+F354</f>
        <v>3522.1000000000008</v>
      </c>
      <c r="J354">
        <f t="shared" ref="J354:J367" si="44">J353+F354</f>
        <v>442.00000000000006</v>
      </c>
      <c r="L354">
        <v>0</v>
      </c>
      <c r="M354">
        <v>4.2</v>
      </c>
      <c r="N354">
        <f t="shared" si="40"/>
        <v>-4.2</v>
      </c>
      <c r="R354">
        <f t="shared" si="41"/>
        <v>0</v>
      </c>
      <c r="S354">
        <f t="shared" si="42"/>
        <v>0</v>
      </c>
      <c r="V354">
        <v>1743.9</v>
      </c>
    </row>
    <row r="355" spans="1:22" x14ac:dyDescent="0.25">
      <c r="A355">
        <v>5400</v>
      </c>
      <c r="B355">
        <v>24010</v>
      </c>
      <c r="C355" s="1">
        <v>43300</v>
      </c>
      <c r="F355">
        <v>23.2</v>
      </c>
      <c r="G355">
        <v>17.399999999999999</v>
      </c>
      <c r="H355">
        <v>29.1</v>
      </c>
      <c r="I355">
        <f t="shared" si="43"/>
        <v>3545.3000000000006</v>
      </c>
      <c r="J355">
        <f t="shared" si="44"/>
        <v>465.20000000000005</v>
      </c>
      <c r="L355">
        <v>1.2</v>
      </c>
      <c r="M355">
        <v>3.1</v>
      </c>
      <c r="N355">
        <f t="shared" si="40"/>
        <v>-1.9000000000000001</v>
      </c>
      <c r="R355">
        <f t="shared" si="41"/>
        <v>0</v>
      </c>
      <c r="S355">
        <f t="shared" si="42"/>
        <v>1.2</v>
      </c>
      <c r="V355">
        <v>1185.8</v>
      </c>
    </row>
    <row r="356" spans="1:22" x14ac:dyDescent="0.25">
      <c r="A356">
        <v>5400</v>
      </c>
      <c r="B356">
        <v>24010</v>
      </c>
      <c r="C356" s="1">
        <v>43301</v>
      </c>
      <c r="F356">
        <v>19.7</v>
      </c>
      <c r="G356">
        <v>18.100000000000001</v>
      </c>
      <c r="H356">
        <v>23.5</v>
      </c>
      <c r="I356">
        <f t="shared" si="43"/>
        <v>3565.0000000000005</v>
      </c>
      <c r="J356">
        <f t="shared" si="44"/>
        <v>484.90000000000003</v>
      </c>
      <c r="L356">
        <v>0.2</v>
      </c>
      <c r="M356">
        <v>1.8</v>
      </c>
      <c r="N356">
        <f t="shared" si="40"/>
        <v>-1.6</v>
      </c>
      <c r="R356">
        <f t="shared" si="41"/>
        <v>0</v>
      </c>
      <c r="S356">
        <f t="shared" si="42"/>
        <v>0.2</v>
      </c>
      <c r="V356">
        <v>905.8</v>
      </c>
    </row>
    <row r="357" spans="1:22" x14ac:dyDescent="0.25">
      <c r="A357">
        <v>5400</v>
      </c>
      <c r="B357">
        <v>24010</v>
      </c>
      <c r="C357" s="1">
        <v>43302</v>
      </c>
      <c r="F357">
        <v>19.5</v>
      </c>
      <c r="G357">
        <v>15.5</v>
      </c>
      <c r="H357">
        <v>23.5</v>
      </c>
      <c r="I357">
        <f t="shared" si="43"/>
        <v>3584.5000000000005</v>
      </c>
      <c r="J357">
        <f t="shared" si="44"/>
        <v>504.40000000000003</v>
      </c>
      <c r="L357">
        <v>0</v>
      </c>
      <c r="M357">
        <v>4.4000000000000004</v>
      </c>
      <c r="N357">
        <f t="shared" si="40"/>
        <v>-4.4000000000000004</v>
      </c>
      <c r="R357">
        <f t="shared" si="41"/>
        <v>0</v>
      </c>
      <c r="S357">
        <f t="shared" si="42"/>
        <v>0</v>
      </c>
      <c r="V357">
        <v>2405.6999999999998</v>
      </c>
    </row>
    <row r="358" spans="1:22" x14ac:dyDescent="0.25">
      <c r="A358">
        <v>5400</v>
      </c>
      <c r="B358">
        <v>24010</v>
      </c>
      <c r="C358" s="1">
        <v>43303</v>
      </c>
      <c r="F358">
        <v>20.8</v>
      </c>
      <c r="G358">
        <v>14.5</v>
      </c>
      <c r="H358">
        <v>26.6</v>
      </c>
      <c r="I358">
        <f t="shared" si="43"/>
        <v>3605.3000000000006</v>
      </c>
      <c r="J358">
        <f t="shared" si="44"/>
        <v>525.20000000000005</v>
      </c>
      <c r="L358">
        <v>0</v>
      </c>
      <c r="M358">
        <v>4.9000000000000004</v>
      </c>
      <c r="N358">
        <f t="shared" si="40"/>
        <v>-4.9000000000000004</v>
      </c>
      <c r="R358">
        <f t="shared" si="41"/>
        <v>0</v>
      </c>
      <c r="S358">
        <f t="shared" si="42"/>
        <v>0</v>
      </c>
      <c r="V358">
        <v>2432.6</v>
      </c>
    </row>
    <row r="359" spans="1:22" x14ac:dyDescent="0.25">
      <c r="A359">
        <v>5400</v>
      </c>
      <c r="B359">
        <v>24010</v>
      </c>
      <c r="C359" s="1">
        <v>43304</v>
      </c>
      <c r="F359">
        <v>23.5</v>
      </c>
      <c r="G359">
        <v>17.8</v>
      </c>
      <c r="H359">
        <v>28.8</v>
      </c>
      <c r="I359">
        <f t="shared" si="43"/>
        <v>3628.8000000000006</v>
      </c>
      <c r="J359">
        <f t="shared" si="44"/>
        <v>548.70000000000005</v>
      </c>
      <c r="L359">
        <v>0</v>
      </c>
      <c r="M359">
        <v>4.5</v>
      </c>
      <c r="N359">
        <f t="shared" si="40"/>
        <v>-4.5</v>
      </c>
      <c r="R359">
        <f t="shared" si="41"/>
        <v>0</v>
      </c>
      <c r="S359">
        <f t="shared" si="42"/>
        <v>0</v>
      </c>
      <c r="V359">
        <v>2066.4</v>
      </c>
    </row>
    <row r="360" spans="1:22" x14ac:dyDescent="0.25">
      <c r="A360">
        <v>5400</v>
      </c>
      <c r="B360">
        <v>24010</v>
      </c>
      <c r="C360" s="1">
        <v>43305</v>
      </c>
      <c r="F360">
        <v>24.4</v>
      </c>
      <c r="G360">
        <v>18.3</v>
      </c>
      <c r="H360">
        <v>29.7</v>
      </c>
      <c r="I360">
        <f t="shared" si="43"/>
        <v>3653.2000000000007</v>
      </c>
      <c r="J360">
        <f t="shared" si="44"/>
        <v>573.1</v>
      </c>
      <c r="L360">
        <v>0</v>
      </c>
      <c r="M360">
        <v>2.2999999999999998</v>
      </c>
      <c r="N360">
        <f t="shared" si="40"/>
        <v>-2.2999999999999998</v>
      </c>
      <c r="R360">
        <f t="shared" si="41"/>
        <v>0</v>
      </c>
      <c r="S360">
        <f t="shared" si="42"/>
        <v>0</v>
      </c>
      <c r="V360">
        <v>711.9</v>
      </c>
    </row>
    <row r="361" spans="1:22" x14ac:dyDescent="0.25">
      <c r="A361">
        <v>5400</v>
      </c>
      <c r="B361">
        <v>24010</v>
      </c>
      <c r="C361" s="1">
        <v>43306</v>
      </c>
      <c r="F361">
        <v>25.3</v>
      </c>
      <c r="G361">
        <v>18.7</v>
      </c>
      <c r="H361">
        <v>31.1</v>
      </c>
      <c r="I361">
        <f t="shared" si="43"/>
        <v>3678.5000000000009</v>
      </c>
      <c r="J361">
        <f t="shared" si="44"/>
        <v>598.4</v>
      </c>
      <c r="L361">
        <v>0</v>
      </c>
      <c r="M361">
        <v>5.5</v>
      </c>
      <c r="N361">
        <f t="shared" si="40"/>
        <v>-5.5</v>
      </c>
      <c r="R361">
        <f t="shared" si="41"/>
        <v>0</v>
      </c>
      <c r="S361">
        <f t="shared" si="42"/>
        <v>0</v>
      </c>
      <c r="V361">
        <v>2403.4</v>
      </c>
    </row>
    <row r="362" spans="1:22" x14ac:dyDescent="0.25">
      <c r="A362">
        <v>5400</v>
      </c>
      <c r="B362">
        <v>24010</v>
      </c>
      <c r="C362" s="1">
        <v>43307</v>
      </c>
      <c r="F362">
        <v>27</v>
      </c>
      <c r="G362">
        <v>20.100000000000001</v>
      </c>
      <c r="H362">
        <v>33.6</v>
      </c>
      <c r="I362">
        <f t="shared" si="43"/>
        <v>3705.5000000000009</v>
      </c>
      <c r="J362">
        <f t="shared" si="44"/>
        <v>625.4</v>
      </c>
      <c r="L362">
        <v>0.5</v>
      </c>
      <c r="M362">
        <v>5.3</v>
      </c>
      <c r="N362">
        <f t="shared" si="40"/>
        <v>-4.8</v>
      </c>
      <c r="R362">
        <f t="shared" si="41"/>
        <v>0</v>
      </c>
      <c r="S362">
        <f t="shared" si="42"/>
        <v>0.5</v>
      </c>
      <c r="V362">
        <v>2139.6</v>
      </c>
    </row>
    <row r="363" spans="1:22" x14ac:dyDescent="0.25">
      <c r="A363">
        <v>5400</v>
      </c>
      <c r="B363">
        <v>24010</v>
      </c>
      <c r="C363" s="1">
        <v>43308</v>
      </c>
      <c r="F363">
        <v>25.5</v>
      </c>
      <c r="G363">
        <v>20.6</v>
      </c>
      <c r="H363">
        <v>33.5</v>
      </c>
      <c r="I363">
        <f t="shared" si="43"/>
        <v>3731.0000000000009</v>
      </c>
      <c r="J363">
        <f t="shared" si="44"/>
        <v>650.9</v>
      </c>
      <c r="L363">
        <v>0</v>
      </c>
      <c r="M363">
        <v>5.5</v>
      </c>
      <c r="N363">
        <f t="shared" si="40"/>
        <v>-5.5</v>
      </c>
      <c r="R363">
        <f t="shared" si="41"/>
        <v>0</v>
      </c>
      <c r="S363">
        <f t="shared" si="42"/>
        <v>0</v>
      </c>
      <c r="V363">
        <v>2291.6999999999998</v>
      </c>
    </row>
    <row r="364" spans="1:22" x14ac:dyDescent="0.25">
      <c r="A364">
        <v>5400</v>
      </c>
      <c r="B364">
        <v>24010</v>
      </c>
      <c r="C364" s="1">
        <v>43309</v>
      </c>
      <c r="F364">
        <v>21</v>
      </c>
      <c r="G364">
        <v>19.100000000000001</v>
      </c>
      <c r="H364">
        <v>23.1</v>
      </c>
      <c r="I364">
        <f t="shared" si="43"/>
        <v>3752.0000000000009</v>
      </c>
      <c r="J364">
        <f t="shared" si="44"/>
        <v>671.9</v>
      </c>
      <c r="L364">
        <v>0</v>
      </c>
      <c r="M364">
        <v>4.5</v>
      </c>
      <c r="N364">
        <f t="shared" si="40"/>
        <v>-4.5</v>
      </c>
      <c r="R364">
        <f t="shared" si="41"/>
        <v>0</v>
      </c>
      <c r="S364">
        <f t="shared" si="42"/>
        <v>0</v>
      </c>
      <c r="V364">
        <v>1818.6</v>
      </c>
    </row>
    <row r="365" spans="1:22" x14ac:dyDescent="0.25">
      <c r="A365">
        <v>5400</v>
      </c>
      <c r="B365">
        <v>24010</v>
      </c>
      <c r="C365" s="1">
        <v>43310</v>
      </c>
      <c r="F365">
        <v>21.5</v>
      </c>
      <c r="G365">
        <v>17.100000000000001</v>
      </c>
      <c r="H365">
        <v>25.7</v>
      </c>
      <c r="I365">
        <f t="shared" si="43"/>
        <v>3773.5000000000009</v>
      </c>
      <c r="J365">
        <f t="shared" si="44"/>
        <v>693.4</v>
      </c>
      <c r="L365">
        <v>0</v>
      </c>
      <c r="M365">
        <v>3.6</v>
      </c>
      <c r="N365">
        <f t="shared" si="40"/>
        <v>-3.6</v>
      </c>
      <c r="R365">
        <f t="shared" si="41"/>
        <v>0</v>
      </c>
      <c r="S365">
        <f t="shared" si="42"/>
        <v>0</v>
      </c>
      <c r="V365">
        <v>1008.5</v>
      </c>
    </row>
    <row r="366" spans="1:22" x14ac:dyDescent="0.25">
      <c r="A366">
        <v>5400</v>
      </c>
      <c r="B366">
        <v>24010</v>
      </c>
      <c r="C366" s="1">
        <v>43311</v>
      </c>
      <c r="F366">
        <v>22.1</v>
      </c>
      <c r="G366">
        <v>18.8</v>
      </c>
      <c r="H366">
        <v>25.4</v>
      </c>
      <c r="I366">
        <f t="shared" si="43"/>
        <v>3795.6000000000008</v>
      </c>
      <c r="J366">
        <f t="shared" si="44"/>
        <v>715.5</v>
      </c>
      <c r="L366">
        <v>0</v>
      </c>
      <c r="M366">
        <v>2.2999999999999998</v>
      </c>
      <c r="N366">
        <f t="shared" si="40"/>
        <v>-2.2999999999999998</v>
      </c>
      <c r="R366">
        <f t="shared" si="41"/>
        <v>0</v>
      </c>
      <c r="S366">
        <f t="shared" si="42"/>
        <v>0</v>
      </c>
      <c r="V366">
        <v>731.5</v>
      </c>
    </row>
    <row r="367" spans="1:22" x14ac:dyDescent="0.25">
      <c r="A367">
        <v>5400</v>
      </c>
      <c r="B367">
        <v>24010</v>
      </c>
      <c r="C367" s="1">
        <v>43312</v>
      </c>
      <c r="F367">
        <v>22</v>
      </c>
      <c r="G367">
        <v>19</v>
      </c>
      <c r="H367">
        <v>26.1</v>
      </c>
      <c r="I367">
        <f t="shared" si="43"/>
        <v>3817.6000000000008</v>
      </c>
      <c r="J367">
        <f t="shared" si="44"/>
        <v>737.5</v>
      </c>
      <c r="L367">
        <v>0</v>
      </c>
      <c r="M367">
        <v>4.5999999999999996</v>
      </c>
      <c r="N367">
        <f t="shared" si="40"/>
        <v>-4.5999999999999996</v>
      </c>
      <c r="R367">
        <f t="shared" si="41"/>
        <v>0</v>
      </c>
      <c r="S367">
        <f t="shared" si="42"/>
        <v>0</v>
      </c>
      <c r="V367">
        <v>1961.1</v>
      </c>
    </row>
  </sheetData>
  <mergeCells count="10">
    <mergeCell ref="F2:K2"/>
    <mergeCell ref="L2:U2"/>
    <mergeCell ref="V2:Y2"/>
    <mergeCell ref="E32:E122"/>
    <mergeCell ref="E123:E218"/>
    <mergeCell ref="E219:E251"/>
    <mergeCell ref="E252:E272"/>
    <mergeCell ref="E273:E295"/>
    <mergeCell ref="E296:E312"/>
    <mergeCell ref="E313:E334"/>
  </mergeCells>
  <conditionalFormatting sqref="S4:S367">
    <cfRule type="cellIs" dxfId="30" priority="31" operator="lessThan">
      <formula>0</formula>
    </cfRule>
  </conditionalFormatting>
  <conditionalFormatting sqref="N4:N367">
    <cfRule type="cellIs" dxfId="29" priority="30" operator="lessThan">
      <formula>0</formula>
    </cfRule>
  </conditionalFormatting>
  <conditionalFormatting sqref="V4:V367">
    <cfRule type="cellIs" dxfId="28" priority="29" operator="lessThan">
      <formula>900</formula>
    </cfRule>
  </conditionalFormatting>
  <conditionalFormatting sqref="T4:T1048576">
    <cfRule type="cellIs" dxfId="27" priority="28" operator="lessThanOrEqual">
      <formula>51.3</formula>
    </cfRule>
    <cfRule type="cellIs" dxfId="26" priority="27" operator="equal">
      <formula>0</formula>
    </cfRule>
  </conditionalFormatting>
  <conditionalFormatting sqref="F4:H367">
    <cfRule type="cellIs" dxfId="25" priority="26" operator="greaterThanOrEqual">
      <formula>25</formula>
    </cfRule>
    <cfRule type="cellIs" dxfId="24" priority="25" operator="between">
      <formula>5</formula>
      <formula>0</formula>
    </cfRule>
    <cfRule type="cellIs" dxfId="23" priority="24" operator="lessThan">
      <formula>0</formula>
    </cfRule>
  </conditionalFormatting>
  <conditionalFormatting sqref="K33 K41 K45 K43">
    <cfRule type="cellIs" dxfId="22" priority="22" operator="lessThanOrEqual">
      <formula>0</formula>
    </cfRule>
    <cfRule type="cellIs" dxfId="21" priority="23" operator="lessThanOrEqual">
      <formula>5</formula>
    </cfRule>
  </conditionalFormatting>
  <conditionalFormatting sqref="U33">
    <cfRule type="cellIs" dxfId="20" priority="20" operator="equal">
      <formula>0</formula>
    </cfRule>
    <cfRule type="cellIs" dxfId="19" priority="21" operator="lessThanOrEqual">
      <formula>63.2</formula>
    </cfRule>
  </conditionalFormatting>
  <conditionalFormatting sqref="K124 K132 K136 K134">
    <cfRule type="cellIs" dxfId="18" priority="18" operator="lessThanOrEqual">
      <formula>0</formula>
    </cfRule>
    <cfRule type="cellIs" dxfId="17" priority="19" operator="lessThanOrEqual">
      <formula>5</formula>
    </cfRule>
  </conditionalFormatting>
  <conditionalFormatting sqref="Y124">
    <cfRule type="cellIs" dxfId="16" priority="17" operator="lessThan">
      <formula>9</formula>
    </cfRule>
  </conditionalFormatting>
  <conditionalFormatting sqref="K220 K228 K232 K230">
    <cfRule type="cellIs" dxfId="15" priority="15" operator="lessThanOrEqual">
      <formula>0</formula>
    </cfRule>
    <cfRule type="cellIs" dxfId="14" priority="16" operator="lessThanOrEqual">
      <formula>5</formula>
    </cfRule>
  </conditionalFormatting>
  <conditionalFormatting sqref="Y220">
    <cfRule type="cellIs" dxfId="13" priority="14" operator="lessThan">
      <formula>9</formula>
    </cfRule>
  </conditionalFormatting>
  <conditionalFormatting sqref="K253 K265 K263 K261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Y253">
    <cfRule type="cellIs" dxfId="10" priority="11" operator="lessThan">
      <formula>9</formula>
    </cfRule>
  </conditionalFormatting>
  <conditionalFormatting sqref="K274 K282 K284 K286">
    <cfRule type="cellIs" dxfId="9" priority="9" operator="lessThanOrEqual">
      <formula>0</formula>
    </cfRule>
    <cfRule type="cellIs" dxfId="8" priority="10" operator="lessThanOrEqual">
      <formula>5</formula>
    </cfRule>
  </conditionalFormatting>
  <conditionalFormatting sqref="Y274">
    <cfRule type="cellIs" dxfId="7" priority="8" operator="lessThan">
      <formula>9</formula>
    </cfRule>
  </conditionalFormatting>
  <conditionalFormatting sqref="K297 K307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Y297">
    <cfRule type="cellIs" dxfId="4" priority="5" operator="lessThan">
      <formula>9</formula>
    </cfRule>
  </conditionalFormatting>
  <conditionalFormatting sqref="K314 K324">
    <cfRule type="cellIs" dxfId="3" priority="3" operator="lessThanOrEqual">
      <formula>0</formula>
    </cfRule>
    <cfRule type="cellIs" dxfId="2" priority="4" operator="lessThanOrEqual">
      <formula>5</formula>
    </cfRule>
  </conditionalFormatting>
  <conditionalFormatting sqref="Y314">
    <cfRule type="cellIs" dxfId="1" priority="2" operator="lessThan">
      <formula>9</formula>
    </cfRule>
  </conditionalFormatting>
  <conditionalFormatting sqref="X32:X346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LIM18CVCV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2019-11-12T09:33:13Z</dcterms:created>
  <dcterms:modified xsi:type="dcterms:W3CDTF">2019-11-27T15:16:56Z</dcterms:modified>
</cp:coreProperties>
</file>