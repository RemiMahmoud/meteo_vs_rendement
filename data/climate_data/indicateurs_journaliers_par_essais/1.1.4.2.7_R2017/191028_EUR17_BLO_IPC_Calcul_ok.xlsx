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corlouer\Documents\AA_FICHIERS_ELABORATION_IPC\Actualisation_2019_N\R2017\"/>
    </mc:Choice>
  </mc:AlternateContent>
  <bookViews>
    <workbookView xWindow="0" yWindow="0" windowWidth="28800" windowHeight="11700"/>
  </bookViews>
  <sheets>
    <sheet name="N+ et N-"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42" i="1" l="1"/>
  <c r="AC234" i="1"/>
  <c r="AC223" i="1"/>
  <c r="AC215" i="1"/>
  <c r="AE240" i="1"/>
  <c r="AE238" i="1"/>
  <c r="AE236" i="1"/>
  <c r="AE242" i="1" l="1"/>
  <c r="AE234" i="1"/>
  <c r="U185" i="1"/>
  <c r="U186" i="1"/>
  <c r="U187" i="1" s="1"/>
  <c r="U188" i="1" s="1"/>
  <c r="U189" i="1" s="1"/>
  <c r="U190" i="1" s="1"/>
  <c r="U191" i="1" s="1"/>
  <c r="U192" i="1" s="1"/>
  <c r="U193" i="1" s="1"/>
  <c r="U194" i="1" s="1"/>
  <c r="U195" i="1" s="1"/>
  <c r="U196" i="1" s="1"/>
  <c r="U197" i="1" s="1"/>
  <c r="U198" i="1" s="1"/>
  <c r="U199" i="1" s="1"/>
  <c r="U200" i="1" s="1"/>
  <c r="U201" i="1" s="1"/>
  <c r="U202" i="1" s="1"/>
  <c r="U203" i="1" s="1"/>
  <c r="U204" i="1" s="1"/>
  <c r="U205" i="1" s="1"/>
  <c r="U206" i="1" s="1"/>
  <c r="U207" i="1" s="1"/>
  <c r="U208" i="1" s="1"/>
  <c r="U209" i="1" s="1"/>
  <c r="U210" i="1" s="1"/>
  <c r="U211" i="1" s="1"/>
  <c r="U212" i="1" s="1"/>
  <c r="U213" i="1" s="1"/>
  <c r="U214" i="1" s="1"/>
  <c r="U215" i="1" s="1"/>
  <c r="U216" i="1" s="1"/>
  <c r="U217" i="1" s="1"/>
  <c r="U218" i="1" s="1"/>
  <c r="U219" i="1" s="1"/>
  <c r="U220" i="1" s="1"/>
  <c r="U221" i="1" s="1"/>
  <c r="U222" i="1" s="1"/>
  <c r="U223" i="1" s="1"/>
  <c r="U224" i="1" s="1"/>
  <c r="U225" i="1" s="1"/>
  <c r="U226" i="1" s="1"/>
  <c r="U227" i="1" s="1"/>
  <c r="U228" i="1" s="1"/>
  <c r="U229" i="1" s="1"/>
  <c r="U230" i="1" s="1"/>
  <c r="U231" i="1" s="1"/>
  <c r="U232" i="1" s="1"/>
  <c r="U233" i="1" s="1"/>
  <c r="U234" i="1" s="1"/>
  <c r="U235" i="1" s="1"/>
  <c r="U236" i="1" s="1"/>
  <c r="U237" i="1" s="1"/>
  <c r="U238" i="1" s="1"/>
  <c r="U239" i="1" s="1"/>
  <c r="U240" i="1" s="1"/>
  <c r="U241" i="1" s="1"/>
  <c r="U242" i="1" s="1"/>
  <c r="U243" i="1" s="1"/>
  <c r="U244" i="1" s="1"/>
  <c r="U245" i="1" s="1"/>
  <c r="U246" i="1" s="1"/>
  <c r="U247" i="1" s="1"/>
  <c r="U248" i="1" s="1"/>
  <c r="U249" i="1" s="1"/>
  <c r="U250" i="1" s="1"/>
  <c r="U251" i="1" s="1"/>
  <c r="U252" i="1" s="1"/>
  <c r="U253" i="1" s="1"/>
  <c r="U254" i="1" s="1"/>
  <c r="U255" i="1" s="1"/>
  <c r="U256" i="1" s="1"/>
  <c r="U257" i="1" s="1"/>
  <c r="U258" i="1" s="1"/>
  <c r="U259" i="1" s="1"/>
  <c r="U260" i="1" s="1"/>
  <c r="U261" i="1" s="1"/>
  <c r="U262" i="1" s="1"/>
  <c r="U263" i="1" s="1"/>
  <c r="U264" i="1" s="1"/>
  <c r="U265" i="1" s="1"/>
  <c r="U266" i="1" s="1"/>
  <c r="U267" i="1" s="1"/>
  <c r="U268" i="1" s="1"/>
  <c r="U269" i="1" s="1"/>
  <c r="U270" i="1" s="1"/>
  <c r="U271" i="1" s="1"/>
  <c r="U272" i="1" s="1"/>
  <c r="U273" i="1" s="1"/>
  <c r="U274" i="1" s="1"/>
  <c r="U275" i="1" s="1"/>
  <c r="U276" i="1" s="1"/>
  <c r="U277" i="1" s="1"/>
  <c r="U278" i="1" s="1"/>
  <c r="U279" i="1" s="1"/>
  <c r="U280" i="1" s="1"/>
  <c r="U281" i="1" s="1"/>
  <c r="U282" i="1" s="1"/>
  <c r="U283" i="1" s="1"/>
  <c r="U284" i="1" s="1"/>
  <c r="U285" i="1" s="1"/>
  <c r="U286" i="1" s="1"/>
  <c r="U287" i="1" s="1"/>
  <c r="U288" i="1" s="1"/>
  <c r="U289" i="1" s="1"/>
  <c r="U290" i="1" s="1"/>
  <c r="U291" i="1" s="1"/>
  <c r="U292" i="1" s="1"/>
  <c r="U293" i="1" s="1"/>
  <c r="U294" i="1" s="1"/>
  <c r="U295" i="1" s="1"/>
  <c r="U296" i="1" s="1"/>
  <c r="U297" i="1" s="1"/>
  <c r="U298" i="1" s="1"/>
  <c r="U299" i="1" s="1"/>
  <c r="U300" i="1" s="1"/>
  <c r="U301" i="1" s="1"/>
  <c r="U302" i="1" s="1"/>
  <c r="U303" i="1" s="1"/>
  <c r="U304" i="1" s="1"/>
  <c r="U305" i="1" s="1"/>
  <c r="U306" i="1" s="1"/>
  <c r="U307" i="1" s="1"/>
  <c r="U308" i="1" s="1"/>
  <c r="U309" i="1" s="1"/>
  <c r="U310" i="1" s="1"/>
  <c r="U311" i="1" s="1"/>
  <c r="U312" i="1" s="1"/>
  <c r="U313" i="1" s="1"/>
  <c r="U314" i="1" s="1"/>
  <c r="U315" i="1" s="1"/>
  <c r="U316" i="1" s="1"/>
  <c r="U317" i="1" s="1"/>
  <c r="U318" i="1" s="1"/>
  <c r="U319" i="1" s="1"/>
  <c r="U335" i="1" s="1"/>
  <c r="U336" i="1" s="1"/>
  <c r="U337" i="1" s="1"/>
  <c r="U338" i="1" s="1"/>
  <c r="U339" i="1" s="1"/>
  <c r="U340" i="1" s="1"/>
  <c r="U341" i="1" s="1"/>
  <c r="U342" i="1" s="1"/>
  <c r="U343" i="1" s="1"/>
  <c r="U344" i="1" s="1"/>
  <c r="U345" i="1" s="1"/>
  <c r="R293"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184" i="1"/>
  <c r="L270" i="1" l="1"/>
  <c r="L266" i="1"/>
  <c r="Z310" i="1"/>
  <c r="Z293" i="1"/>
  <c r="L249" i="1"/>
  <c r="L247" i="1"/>
  <c r="L245" i="1"/>
  <c r="K310" i="1"/>
  <c r="K293" i="1"/>
  <c r="K263" i="1"/>
  <c r="Z263" i="1"/>
  <c r="K244" i="1"/>
  <c r="K245" i="1"/>
  <c r="K246" i="1"/>
  <c r="K247" i="1"/>
  <c r="K248" i="1" s="1"/>
  <c r="K249" i="1" s="1"/>
  <c r="K250" i="1" s="1"/>
  <c r="K251" i="1" s="1"/>
  <c r="K252" i="1" s="1"/>
  <c r="K253" i="1" s="1"/>
  <c r="K254" i="1" s="1"/>
  <c r="K255" i="1" s="1"/>
  <c r="K256" i="1" s="1"/>
  <c r="K257" i="1" s="1"/>
  <c r="K258" i="1" s="1"/>
  <c r="K259" i="1" s="1"/>
  <c r="K260" i="1" s="1"/>
  <c r="K261" i="1" s="1"/>
  <c r="K262" i="1" s="1"/>
  <c r="K243" i="1"/>
  <c r="K242" i="1"/>
  <c r="Z244" i="1"/>
  <c r="Z245" i="1" s="1"/>
  <c r="Z246" i="1" s="1"/>
  <c r="Z247" i="1" s="1"/>
  <c r="Z248" i="1" s="1"/>
  <c r="Z249" i="1" s="1"/>
  <c r="Z250" i="1" s="1"/>
  <c r="Z251" i="1" s="1"/>
  <c r="Z252" i="1" s="1"/>
  <c r="Z253" i="1" s="1"/>
  <c r="Z254" i="1" s="1"/>
  <c r="Z255" i="1" s="1"/>
  <c r="Z256" i="1" s="1"/>
  <c r="Z257" i="1" s="1"/>
  <c r="Z258" i="1" s="1"/>
  <c r="Z259" i="1" s="1"/>
  <c r="Z260" i="1" s="1"/>
  <c r="Z261" i="1" s="1"/>
  <c r="Z262" i="1" s="1"/>
  <c r="Z243" i="1"/>
  <c r="Z242" i="1"/>
  <c r="V135" i="1"/>
  <c r="V45" i="1"/>
  <c r="V32" i="1"/>
  <c r="L191" i="1"/>
  <c r="L189" i="1"/>
  <c r="L187" i="1"/>
  <c r="K264" i="1" l="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4" i="1" s="1"/>
  <c r="K295" i="1" s="1"/>
  <c r="K296" i="1" s="1"/>
  <c r="K297" i="1" s="1"/>
  <c r="K298" i="1" s="1"/>
  <c r="K299" i="1" s="1"/>
  <c r="K300" i="1" s="1"/>
  <c r="K301" i="1" s="1"/>
  <c r="K302" i="1" s="1"/>
  <c r="K303" i="1" s="1"/>
  <c r="K304" i="1" s="1"/>
  <c r="K305" i="1" s="1"/>
  <c r="K306" i="1" s="1"/>
  <c r="K307" i="1" s="1"/>
  <c r="K308" i="1" s="1"/>
  <c r="K309"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Z264" i="1"/>
  <c r="Z265" i="1" s="1"/>
  <c r="Z266" i="1" s="1"/>
  <c r="Z267" i="1" s="1"/>
  <c r="Z268" i="1" s="1"/>
  <c r="Z269" i="1" s="1"/>
  <c r="Z270" i="1" s="1"/>
  <c r="Z271" i="1" s="1"/>
  <c r="Z272" i="1" s="1"/>
  <c r="Z273" i="1" s="1"/>
  <c r="Z274" i="1" s="1"/>
  <c r="Z275" i="1" s="1"/>
  <c r="Z276" i="1" s="1"/>
  <c r="Z277" i="1" s="1"/>
  <c r="Z278" i="1" s="1"/>
  <c r="Z279" i="1" s="1"/>
  <c r="Z280" i="1" s="1"/>
  <c r="Z281" i="1" s="1"/>
  <c r="Z282" i="1" s="1"/>
  <c r="Z283" i="1" s="1"/>
  <c r="Z284" i="1" s="1"/>
  <c r="Z285" i="1" s="1"/>
  <c r="Z286" i="1" s="1"/>
  <c r="Z287" i="1" s="1"/>
  <c r="Z288" i="1" s="1"/>
  <c r="Z289" i="1" s="1"/>
  <c r="Z290" i="1" s="1"/>
  <c r="Z291" i="1" s="1"/>
  <c r="Z292" i="1" s="1"/>
  <c r="Z294" i="1" s="1"/>
  <c r="Z295" i="1" s="1"/>
  <c r="Z296" i="1" s="1"/>
  <c r="Z297" i="1" s="1"/>
  <c r="Z298" i="1" s="1"/>
  <c r="Z299" i="1" s="1"/>
  <c r="Z300" i="1" s="1"/>
  <c r="Z301" i="1" s="1"/>
  <c r="Z302" i="1" s="1"/>
  <c r="Z303" i="1" s="1"/>
  <c r="Z304" i="1" s="1"/>
  <c r="Z305" i="1" s="1"/>
  <c r="Z306" i="1" s="1"/>
  <c r="Z307" i="1" s="1"/>
  <c r="Z308" i="1" s="1"/>
  <c r="Z309" i="1" s="1"/>
  <c r="Z311" i="1" s="1"/>
  <c r="Z312" i="1" s="1"/>
  <c r="Z313" i="1" s="1"/>
  <c r="Z314" i="1" s="1"/>
  <c r="Z315" i="1" s="1"/>
  <c r="Z316" i="1" s="1"/>
  <c r="Z317" i="1" s="1"/>
  <c r="Z318" i="1" s="1"/>
  <c r="Z319" i="1" s="1"/>
  <c r="Z320" i="1" s="1"/>
  <c r="Z321" i="1" s="1"/>
  <c r="Z322" i="1" s="1"/>
  <c r="Z323" i="1" s="1"/>
  <c r="Z324" i="1" s="1"/>
  <c r="Z325" i="1" s="1"/>
  <c r="Z326" i="1" s="1"/>
  <c r="Z327" i="1" s="1"/>
  <c r="Z328" i="1" s="1"/>
  <c r="Z329" i="1" s="1"/>
  <c r="Z330" i="1" s="1"/>
  <c r="Z331" i="1" s="1"/>
  <c r="Z332" i="1" s="1"/>
  <c r="Z333" i="1" s="1"/>
  <c r="Z334" i="1" s="1"/>
  <c r="Z335" i="1" s="1"/>
  <c r="Z336" i="1" s="1"/>
  <c r="Z337" i="1" s="1"/>
  <c r="Z338" i="1" s="1"/>
  <c r="Z339" i="1" s="1"/>
  <c r="Z340" i="1" s="1"/>
  <c r="Z341" i="1" s="1"/>
  <c r="Z342" i="1" s="1"/>
  <c r="Z343" i="1" s="1"/>
  <c r="Z344" i="1" s="1"/>
  <c r="Z345" i="1" s="1"/>
  <c r="V133" i="1"/>
  <c r="V131" i="1"/>
  <c r="V129" i="1"/>
  <c r="V43" i="1"/>
  <c r="V41" i="1"/>
  <c r="V39" i="1"/>
  <c r="U51" i="1"/>
  <c r="U52" i="1" s="1"/>
  <c r="U53" i="1" s="1"/>
  <c r="U54" i="1" s="1"/>
  <c r="U55" i="1" s="1"/>
  <c r="U56" i="1" s="1"/>
  <c r="U57" i="1" s="1"/>
  <c r="U58" i="1" s="1"/>
  <c r="U59" i="1" s="1"/>
  <c r="U60" i="1" s="1"/>
  <c r="U61" i="1" s="1"/>
  <c r="U62" i="1" s="1"/>
  <c r="U63" i="1" s="1"/>
  <c r="U64" i="1" s="1"/>
  <c r="U65" i="1" s="1"/>
  <c r="U66" i="1" s="1"/>
  <c r="U67" i="1" s="1"/>
  <c r="U68" i="1" s="1"/>
  <c r="U69" i="1" s="1"/>
  <c r="U70" i="1" s="1"/>
  <c r="U71" i="1" s="1"/>
  <c r="U72" i="1" s="1"/>
  <c r="U73" i="1" s="1"/>
  <c r="U74" i="1" s="1"/>
  <c r="U75" i="1" s="1"/>
  <c r="U76" i="1" s="1"/>
  <c r="U77" i="1" s="1"/>
  <c r="U78" i="1" s="1"/>
  <c r="U79" i="1" s="1"/>
  <c r="U80" i="1" s="1"/>
  <c r="U81" i="1" s="1"/>
  <c r="U82" i="1" s="1"/>
  <c r="U83" i="1" s="1"/>
  <c r="U84" i="1" s="1"/>
  <c r="U85" i="1" s="1"/>
  <c r="U86" i="1" s="1"/>
  <c r="U87" i="1" s="1"/>
  <c r="U88" i="1" s="1"/>
  <c r="U89" i="1" s="1"/>
  <c r="U90" i="1" s="1"/>
  <c r="U91" i="1" s="1"/>
  <c r="U92" i="1" s="1"/>
  <c r="U93" i="1" s="1"/>
  <c r="U94" i="1" s="1"/>
  <c r="U95" i="1" s="1"/>
  <c r="U96" i="1" s="1"/>
  <c r="U97" i="1" s="1"/>
  <c r="U98" i="1" s="1"/>
  <c r="U99" i="1" s="1"/>
  <c r="U100" i="1" s="1"/>
  <c r="U101" i="1" s="1"/>
  <c r="U102" i="1" s="1"/>
  <c r="U103" i="1" s="1"/>
  <c r="U104" i="1" s="1"/>
  <c r="U105" i="1" s="1"/>
  <c r="U106" i="1" s="1"/>
  <c r="U107" i="1" s="1"/>
  <c r="U108" i="1" s="1"/>
  <c r="U109" i="1" s="1"/>
  <c r="U110" i="1" s="1"/>
  <c r="U111" i="1" s="1"/>
  <c r="U112" i="1" s="1"/>
  <c r="U113" i="1" s="1"/>
  <c r="U114" i="1" s="1"/>
  <c r="U115" i="1" s="1"/>
  <c r="U116" i="1" s="1"/>
  <c r="U117" i="1" s="1"/>
  <c r="U118" i="1" s="1"/>
  <c r="U119" i="1" s="1"/>
  <c r="U120" i="1" s="1"/>
  <c r="U121" i="1" s="1"/>
  <c r="U122" i="1" s="1"/>
  <c r="U123" i="1" s="1"/>
  <c r="U124" i="1" s="1"/>
  <c r="U125" i="1" s="1"/>
  <c r="U126" i="1" s="1"/>
  <c r="U127" i="1" s="1"/>
  <c r="U128" i="1" s="1"/>
  <c r="U129" i="1" s="1"/>
  <c r="U130" i="1" s="1"/>
  <c r="U131" i="1" s="1"/>
  <c r="U132" i="1" s="1"/>
  <c r="U133" i="1" s="1"/>
  <c r="U134" i="1" s="1"/>
  <c r="U135" i="1" s="1"/>
  <c r="U136" i="1" s="1"/>
  <c r="U137" i="1" s="1"/>
  <c r="U138" i="1" s="1"/>
  <c r="U139" i="1" s="1"/>
  <c r="U140" i="1" s="1"/>
  <c r="U141" i="1" s="1"/>
  <c r="U142" i="1" s="1"/>
  <c r="U143" i="1" s="1"/>
  <c r="U144" i="1" s="1"/>
  <c r="U145" i="1" s="1"/>
  <c r="U146" i="1" s="1"/>
  <c r="U147" i="1" s="1"/>
  <c r="U148" i="1" s="1"/>
  <c r="U149" i="1" s="1"/>
  <c r="U150" i="1" s="1"/>
  <c r="U151" i="1" s="1"/>
  <c r="U152" i="1" s="1"/>
  <c r="U153" i="1" s="1"/>
  <c r="U154" i="1" s="1"/>
  <c r="U155" i="1" s="1"/>
  <c r="U156" i="1" s="1"/>
  <c r="U157" i="1" s="1"/>
  <c r="U158" i="1" s="1"/>
  <c r="U159" i="1" s="1"/>
  <c r="U160" i="1" s="1"/>
  <c r="U161" i="1" s="1"/>
  <c r="U162" i="1" s="1"/>
  <c r="U163" i="1" s="1"/>
  <c r="U164" i="1" s="1"/>
  <c r="U165" i="1" s="1"/>
  <c r="U166" i="1" s="1"/>
  <c r="U167" i="1" s="1"/>
  <c r="U168" i="1" s="1"/>
  <c r="U169" i="1" s="1"/>
  <c r="U170" i="1" s="1"/>
  <c r="U171" i="1" s="1"/>
  <c r="U172" i="1" s="1"/>
  <c r="U173" i="1" s="1"/>
  <c r="U174" i="1" s="1"/>
  <c r="U175" i="1" s="1"/>
  <c r="U176" i="1" s="1"/>
  <c r="U177" i="1" s="1"/>
  <c r="U178" i="1" s="1"/>
  <c r="U179" i="1" s="1"/>
  <c r="U180" i="1" s="1"/>
  <c r="U181" i="1" s="1"/>
  <c r="U182" i="1" s="1"/>
  <c r="U183" i="1" s="1"/>
  <c r="U50" i="1"/>
  <c r="U184" i="1" l="1"/>
  <c r="Z126" i="1"/>
  <c r="Z127" i="1" s="1"/>
  <c r="Z128" i="1" s="1"/>
  <c r="Z129" i="1" s="1"/>
  <c r="Z130" i="1" s="1"/>
  <c r="Z131" i="1" s="1"/>
  <c r="Z132" i="1" s="1"/>
  <c r="Z133" i="1" s="1"/>
  <c r="Z134" i="1" s="1"/>
  <c r="Z135" i="1" s="1"/>
  <c r="Z136" i="1" s="1"/>
  <c r="Z137" i="1" s="1"/>
  <c r="Z138" i="1" s="1"/>
  <c r="Z139" i="1" s="1"/>
  <c r="Z140" i="1" s="1"/>
  <c r="Z141" i="1" s="1"/>
  <c r="Z142" i="1" s="1"/>
  <c r="Z143" i="1" s="1"/>
  <c r="Z144" i="1" s="1"/>
  <c r="Z145" i="1" s="1"/>
  <c r="Z146" i="1" s="1"/>
  <c r="Z147" i="1" s="1"/>
  <c r="Z148" i="1" s="1"/>
  <c r="Z149" i="1" s="1"/>
  <c r="Z150" i="1" s="1"/>
  <c r="Z151" i="1" s="1"/>
  <c r="Z152" i="1" s="1"/>
  <c r="Z153" i="1" s="1"/>
  <c r="Z154" i="1" s="1"/>
  <c r="Z155" i="1" s="1"/>
  <c r="Z156" i="1" s="1"/>
  <c r="Z157" i="1" s="1"/>
  <c r="Z158" i="1" s="1"/>
  <c r="Z159" i="1" s="1"/>
  <c r="Z160" i="1" s="1"/>
  <c r="Z161" i="1" s="1"/>
  <c r="Z162" i="1" s="1"/>
  <c r="Z163" i="1" s="1"/>
  <c r="Z164" i="1" s="1"/>
  <c r="Z165" i="1" s="1"/>
  <c r="Z166" i="1" s="1"/>
  <c r="Z167" i="1" s="1"/>
  <c r="Z168" i="1" s="1"/>
  <c r="Z169" i="1" s="1"/>
  <c r="Z170" i="1" s="1"/>
  <c r="Z171" i="1" s="1"/>
  <c r="Z172" i="1" s="1"/>
  <c r="Z173" i="1" s="1"/>
  <c r="Z174" i="1" s="1"/>
  <c r="Z175" i="1" s="1"/>
  <c r="Z176" i="1" s="1"/>
  <c r="Z177" i="1" s="1"/>
  <c r="Z178" i="1" s="1"/>
  <c r="Z179" i="1" s="1"/>
  <c r="Z180" i="1" s="1"/>
  <c r="Z181" i="1" s="1"/>
  <c r="Z182" i="1" s="1"/>
  <c r="Z183" i="1" s="1"/>
  <c r="Z185" i="1" s="1"/>
  <c r="Z186" i="1" s="1"/>
  <c r="Z187" i="1" s="1"/>
  <c r="Z188" i="1" s="1"/>
  <c r="Z189" i="1" s="1"/>
  <c r="Z190" i="1" s="1"/>
  <c r="Z191" i="1" s="1"/>
  <c r="Z192" i="1" s="1"/>
  <c r="Z193" i="1" s="1"/>
  <c r="Z194" i="1" s="1"/>
  <c r="Z195" i="1" s="1"/>
  <c r="Z196" i="1" s="1"/>
  <c r="Z197" i="1" s="1"/>
  <c r="Z198" i="1" s="1"/>
  <c r="Z199" i="1" s="1"/>
  <c r="Z200" i="1" s="1"/>
  <c r="Z201" i="1" s="1"/>
  <c r="Z202" i="1" s="1"/>
  <c r="Z203" i="1" s="1"/>
  <c r="Z204" i="1" s="1"/>
  <c r="Z205" i="1" s="1"/>
  <c r="Z206" i="1" s="1"/>
  <c r="Z207" i="1" s="1"/>
  <c r="Z208" i="1" s="1"/>
  <c r="Z209" i="1" s="1"/>
  <c r="Z210" i="1" s="1"/>
  <c r="Z211" i="1" s="1"/>
  <c r="Z212" i="1" s="1"/>
  <c r="Z213" i="1" s="1"/>
  <c r="Z214" i="1" s="1"/>
  <c r="Z215" i="1" s="1"/>
  <c r="Z216" i="1" s="1"/>
  <c r="Z217" i="1" s="1"/>
  <c r="Z218" i="1" s="1"/>
  <c r="Z219" i="1" s="1"/>
  <c r="Z220" i="1" s="1"/>
  <c r="Z221" i="1" s="1"/>
  <c r="Z222" i="1" s="1"/>
  <c r="Z223" i="1" s="1"/>
  <c r="Z224" i="1" s="1"/>
  <c r="Z225" i="1" s="1"/>
  <c r="Z226" i="1" s="1"/>
  <c r="Z227" i="1" s="1"/>
  <c r="Z228" i="1" s="1"/>
  <c r="Z229" i="1" s="1"/>
  <c r="Z230" i="1" s="1"/>
  <c r="Z231" i="1" s="1"/>
  <c r="Z232" i="1" s="1"/>
  <c r="Z233" i="1" s="1"/>
  <c r="Z234" i="1" s="1"/>
  <c r="Z235" i="1" s="1"/>
  <c r="Z236" i="1" s="1"/>
  <c r="Z237" i="1" s="1"/>
  <c r="Z238" i="1" s="1"/>
  <c r="Z239" i="1" s="1"/>
  <c r="Z240" i="1" s="1"/>
  <c r="Z241" i="1" s="1"/>
  <c r="Z125" i="1"/>
  <c r="Z124" i="1"/>
  <c r="Y36" i="1"/>
  <c r="Y37" i="1"/>
  <c r="Y38" i="1" s="1"/>
  <c r="Y39" i="1" s="1"/>
  <c r="Y40" i="1" s="1"/>
  <c r="Y41" i="1" s="1"/>
  <c r="Y42" i="1" s="1"/>
  <c r="Y43" i="1" s="1"/>
  <c r="Y44" i="1" s="1"/>
  <c r="Y45" i="1" s="1"/>
  <c r="Y46" i="1" s="1"/>
  <c r="Y47" i="1" s="1"/>
  <c r="Y48" i="1" s="1"/>
  <c r="Y49" i="1" s="1"/>
  <c r="Y50" i="1" s="1"/>
  <c r="Y51" i="1" s="1"/>
  <c r="Y52" i="1" s="1"/>
  <c r="Y53" i="1" s="1"/>
  <c r="Y54" i="1" s="1"/>
  <c r="Y55" i="1" s="1"/>
  <c r="Y56" i="1" s="1"/>
  <c r="Y57" i="1" s="1"/>
  <c r="Y58" i="1" s="1"/>
  <c r="Y59" i="1" s="1"/>
  <c r="Y60" i="1" s="1"/>
  <c r="Y61" i="1" s="1"/>
  <c r="Y62" i="1" s="1"/>
  <c r="Y63" i="1" s="1"/>
  <c r="Y64" i="1" s="1"/>
  <c r="Y65" i="1" s="1"/>
  <c r="Y66" i="1" s="1"/>
  <c r="Y67" i="1" s="1"/>
  <c r="Y68" i="1" s="1"/>
  <c r="Y69" i="1" s="1"/>
  <c r="Y70" i="1" s="1"/>
  <c r="Y71" i="1" s="1"/>
  <c r="Y72" i="1" s="1"/>
  <c r="Y73" i="1" s="1"/>
  <c r="Y74" i="1" s="1"/>
  <c r="Y75" i="1" s="1"/>
  <c r="Y76" i="1" s="1"/>
  <c r="Y77" i="1" s="1"/>
  <c r="Y78" i="1" s="1"/>
  <c r="Y79" i="1" s="1"/>
  <c r="Y80" i="1" s="1"/>
  <c r="Y81" i="1" s="1"/>
  <c r="Y82" i="1" s="1"/>
  <c r="Y83" i="1" s="1"/>
  <c r="Y84" i="1" s="1"/>
  <c r="Y85" i="1" s="1"/>
  <c r="Y86" i="1" s="1"/>
  <c r="Y87" i="1" s="1"/>
  <c r="Y88" i="1" s="1"/>
  <c r="Y89" i="1" s="1"/>
  <c r="Y90" i="1" s="1"/>
  <c r="Y91" i="1" s="1"/>
  <c r="Y92" i="1" s="1"/>
  <c r="Y93" i="1" s="1"/>
  <c r="Y94" i="1" s="1"/>
  <c r="Y95" i="1" s="1"/>
  <c r="Y96" i="1" s="1"/>
  <c r="Y97" i="1" s="1"/>
  <c r="Y98" i="1" s="1"/>
  <c r="Y99" i="1" s="1"/>
  <c r="Y100" i="1" s="1"/>
  <c r="Y101" i="1" s="1"/>
  <c r="Y102" i="1" s="1"/>
  <c r="Y103" i="1" s="1"/>
  <c r="Y104" i="1" s="1"/>
  <c r="Y105" i="1" s="1"/>
  <c r="Y106" i="1" s="1"/>
  <c r="Y107" i="1" s="1"/>
  <c r="Y108" i="1" s="1"/>
  <c r="Y109" i="1" s="1"/>
  <c r="Y110" i="1" s="1"/>
  <c r="Y111" i="1" s="1"/>
  <c r="Y112" i="1" s="1"/>
  <c r="Y113" i="1" s="1"/>
  <c r="Y114" i="1" s="1"/>
  <c r="Y115" i="1" s="1"/>
  <c r="Y116" i="1" s="1"/>
  <c r="Y117" i="1" s="1"/>
  <c r="Y118" i="1" s="1"/>
  <c r="Y119" i="1" s="1"/>
  <c r="Y120" i="1" s="1"/>
  <c r="Y121" i="1" s="1"/>
  <c r="Y122" i="1" s="1"/>
  <c r="Y123" i="1" s="1"/>
  <c r="Y124" i="1" s="1"/>
  <c r="Y125" i="1" s="1"/>
  <c r="Y126" i="1" s="1"/>
  <c r="Y127" i="1" s="1"/>
  <c r="Y128" i="1" s="1"/>
  <c r="Y129" i="1" s="1"/>
  <c r="Y130" i="1" s="1"/>
  <c r="Y131" i="1" s="1"/>
  <c r="Y132" i="1" s="1"/>
  <c r="Y133" i="1" s="1"/>
  <c r="Y134" i="1" s="1"/>
  <c r="Y135" i="1" s="1"/>
  <c r="Y136" i="1" s="1"/>
  <c r="Y137" i="1" s="1"/>
  <c r="Y138" i="1" s="1"/>
  <c r="Y139" i="1" s="1"/>
  <c r="Y140" i="1" s="1"/>
  <c r="Y141" i="1" s="1"/>
  <c r="Y142" i="1" s="1"/>
  <c r="Y143" i="1" s="1"/>
  <c r="Y144" i="1" s="1"/>
  <c r="Y145" i="1" s="1"/>
  <c r="Y146" i="1" s="1"/>
  <c r="Y147" i="1" s="1"/>
  <c r="Y148" i="1" s="1"/>
  <c r="Y149" i="1" s="1"/>
  <c r="Y150" i="1" s="1"/>
  <c r="Y151" i="1" s="1"/>
  <c r="Y152" i="1" s="1"/>
  <c r="Y153" i="1" s="1"/>
  <c r="Y154" i="1" s="1"/>
  <c r="Y155" i="1" s="1"/>
  <c r="Y156" i="1" s="1"/>
  <c r="Y157" i="1" s="1"/>
  <c r="Y158" i="1" s="1"/>
  <c r="Y159" i="1" s="1"/>
  <c r="Y160" i="1" s="1"/>
  <c r="Y161" i="1" s="1"/>
  <c r="Y162" i="1" s="1"/>
  <c r="Y163" i="1" s="1"/>
  <c r="Y164" i="1" s="1"/>
  <c r="Y165" i="1" s="1"/>
  <c r="Y166" i="1" s="1"/>
  <c r="Y167" i="1" s="1"/>
  <c r="Y168" i="1" s="1"/>
  <c r="Y169" i="1" s="1"/>
  <c r="Y170" i="1" s="1"/>
  <c r="Y171" i="1" s="1"/>
  <c r="Y172" i="1" s="1"/>
  <c r="Y173" i="1" s="1"/>
  <c r="Y174" i="1" s="1"/>
  <c r="Y175" i="1" s="1"/>
  <c r="Y176" i="1" s="1"/>
  <c r="Y177" i="1" s="1"/>
  <c r="Y178" i="1" s="1"/>
  <c r="Y179" i="1" s="1"/>
  <c r="Y180" i="1" s="1"/>
  <c r="Y181" i="1" s="1"/>
  <c r="Y182" i="1" s="1"/>
  <c r="Y183" i="1" s="1"/>
  <c r="Y184" i="1" s="1"/>
  <c r="Y185" i="1" s="1"/>
  <c r="Y186" i="1" s="1"/>
  <c r="Y187" i="1" s="1"/>
  <c r="Y188" i="1" s="1"/>
  <c r="Y189" i="1" s="1"/>
  <c r="Y190" i="1" s="1"/>
  <c r="Y191" i="1" s="1"/>
  <c r="Y192" i="1" s="1"/>
  <c r="Y193" i="1" s="1"/>
  <c r="Y194" i="1" s="1"/>
  <c r="Y195" i="1" s="1"/>
  <c r="Y196" i="1" s="1"/>
  <c r="Y197" i="1" s="1"/>
  <c r="Y198" i="1" s="1"/>
  <c r="Y199" i="1" s="1"/>
  <c r="Y200" i="1" s="1"/>
  <c r="Y201" i="1" s="1"/>
  <c r="Y202" i="1" s="1"/>
  <c r="Y203" i="1" s="1"/>
  <c r="Y204" i="1" s="1"/>
  <c r="Y205" i="1" s="1"/>
  <c r="Y206" i="1" s="1"/>
  <c r="Y207" i="1" s="1"/>
  <c r="Y208" i="1" s="1"/>
  <c r="Y209" i="1" s="1"/>
  <c r="Y210" i="1" s="1"/>
  <c r="Y211" i="1" s="1"/>
  <c r="Y212" i="1" s="1"/>
  <c r="Y213" i="1" s="1"/>
  <c r="Y214" i="1" s="1"/>
  <c r="Y215" i="1" s="1"/>
  <c r="Y216" i="1" s="1"/>
  <c r="Y217" i="1" s="1"/>
  <c r="Y218" i="1" s="1"/>
  <c r="Y219" i="1" s="1"/>
  <c r="Y220" i="1" s="1"/>
  <c r="Y221" i="1" s="1"/>
  <c r="Y222" i="1" s="1"/>
  <c r="Y223" i="1" s="1"/>
  <c r="Y224" i="1" s="1"/>
  <c r="Y225" i="1" s="1"/>
  <c r="Y226" i="1" s="1"/>
  <c r="Y227" i="1" s="1"/>
  <c r="Y228" i="1" s="1"/>
  <c r="Y229" i="1" s="1"/>
  <c r="Y230" i="1" s="1"/>
  <c r="Y231" i="1" s="1"/>
  <c r="Y232" i="1" s="1"/>
  <c r="Y233" i="1" s="1"/>
  <c r="Y234" i="1" s="1"/>
  <c r="Y235" i="1" s="1"/>
  <c r="Y236" i="1" s="1"/>
  <c r="Y237" i="1" s="1"/>
  <c r="Y238" i="1" s="1"/>
  <c r="Y239" i="1" s="1"/>
  <c r="Y240" i="1" s="1"/>
  <c r="Y241" i="1" s="1"/>
  <c r="Y242" i="1" s="1"/>
  <c r="Y243" i="1" s="1"/>
  <c r="Y244" i="1" s="1"/>
  <c r="Y245" i="1" s="1"/>
  <c r="Y246" i="1" s="1"/>
  <c r="Y247" i="1" s="1"/>
  <c r="Y248" i="1" s="1"/>
  <c r="Y249" i="1" s="1"/>
  <c r="Y250" i="1" s="1"/>
  <c r="Y251" i="1" s="1"/>
  <c r="Y252" i="1" s="1"/>
  <c r="Y253" i="1" s="1"/>
  <c r="Y254" i="1" s="1"/>
  <c r="Y255" i="1" s="1"/>
  <c r="Y256" i="1" s="1"/>
  <c r="Y257" i="1" s="1"/>
  <c r="Y258" i="1" s="1"/>
  <c r="Y259" i="1" s="1"/>
  <c r="Y260" i="1" s="1"/>
  <c r="Y261" i="1" s="1"/>
  <c r="Y262" i="1" s="1"/>
  <c r="Y263" i="1" s="1"/>
  <c r="Y264" i="1" s="1"/>
  <c r="Y265" i="1" s="1"/>
  <c r="Y266" i="1" s="1"/>
  <c r="Y267" i="1" s="1"/>
  <c r="Y268" i="1" s="1"/>
  <c r="Y269" i="1" s="1"/>
  <c r="Y270" i="1" s="1"/>
  <c r="Y271" i="1" s="1"/>
  <c r="Y272" i="1" s="1"/>
  <c r="Y273" i="1" s="1"/>
  <c r="Y274" i="1" s="1"/>
  <c r="Y275" i="1" s="1"/>
  <c r="Y276" i="1" s="1"/>
  <c r="Y277" i="1" s="1"/>
  <c r="Y278" i="1" s="1"/>
  <c r="Y279" i="1" s="1"/>
  <c r="Y280" i="1" s="1"/>
  <c r="Y281" i="1" s="1"/>
  <c r="Y282" i="1" s="1"/>
  <c r="Y283" i="1" s="1"/>
  <c r="Y284" i="1" s="1"/>
  <c r="Y285" i="1" s="1"/>
  <c r="Y286" i="1" s="1"/>
  <c r="Y287" i="1" s="1"/>
  <c r="Y288" i="1" s="1"/>
  <c r="Y289" i="1" s="1"/>
  <c r="Y290" i="1" s="1"/>
  <c r="Y291" i="1" s="1"/>
  <c r="Y292" i="1" s="1"/>
  <c r="Y293" i="1" s="1"/>
  <c r="Y294" i="1" s="1"/>
  <c r="Y295" i="1" s="1"/>
  <c r="Y296" i="1" s="1"/>
  <c r="Y297" i="1" s="1"/>
  <c r="Y298" i="1" s="1"/>
  <c r="Y299" i="1" s="1"/>
  <c r="Y300" i="1" s="1"/>
  <c r="Y301" i="1" s="1"/>
  <c r="Y302" i="1" s="1"/>
  <c r="Y303" i="1" s="1"/>
  <c r="Y304" i="1" s="1"/>
  <c r="Y305" i="1" s="1"/>
  <c r="Y306" i="1" s="1"/>
  <c r="Y307" i="1" s="1"/>
  <c r="Y308" i="1" s="1"/>
  <c r="Y309" i="1" s="1"/>
  <c r="Y310" i="1" s="1"/>
  <c r="Y311" i="1" s="1"/>
  <c r="Y312" i="1" s="1"/>
  <c r="Y313" i="1" s="1"/>
  <c r="Y314" i="1" s="1"/>
  <c r="Y315" i="1" s="1"/>
  <c r="Y316" i="1" s="1"/>
  <c r="Y317" i="1" s="1"/>
  <c r="Y318" i="1" s="1"/>
  <c r="Y319" i="1" s="1"/>
  <c r="Y320" i="1" s="1"/>
  <c r="Y321" i="1" s="1"/>
  <c r="Y322" i="1" s="1"/>
  <c r="Y323" i="1" s="1"/>
  <c r="Y324" i="1" s="1"/>
  <c r="Y325" i="1" s="1"/>
  <c r="Y326" i="1" s="1"/>
  <c r="Y327" i="1" s="1"/>
  <c r="Y328" i="1" s="1"/>
  <c r="Y329" i="1" s="1"/>
  <c r="Y330" i="1" s="1"/>
  <c r="Y331" i="1" s="1"/>
  <c r="Y332" i="1" s="1"/>
  <c r="Y333" i="1" s="1"/>
  <c r="Y334" i="1" s="1"/>
  <c r="Y335" i="1" s="1"/>
  <c r="Y336" i="1" s="1"/>
  <c r="Y337" i="1" s="1"/>
  <c r="Y338" i="1" s="1"/>
  <c r="Y339" i="1" s="1"/>
  <c r="Y340" i="1" s="1"/>
  <c r="Y341" i="1" s="1"/>
  <c r="Y342" i="1" s="1"/>
  <c r="Y343" i="1" s="1"/>
  <c r="Y344" i="1" s="1"/>
  <c r="Y345" i="1" s="1"/>
  <c r="Y35" i="1"/>
  <c r="Y34" i="1"/>
  <c r="AB313" i="1"/>
  <c r="AB296" i="1"/>
  <c r="AB266" i="1"/>
  <c r="AB245" i="1"/>
  <c r="AB187" i="1"/>
  <c r="AB127" i="1"/>
  <c r="AB37" i="1"/>
  <c r="U49" i="1"/>
  <c r="R294" i="1"/>
  <c r="R295" i="1"/>
  <c r="S295" i="1" s="1"/>
  <c r="T295" i="1" s="1"/>
  <c r="R296" i="1"/>
  <c r="R297" i="1"/>
  <c r="R298" i="1"/>
  <c r="R299" i="1"/>
  <c r="S299" i="1" s="1"/>
  <c r="T299" i="1" s="1"/>
  <c r="R300" i="1"/>
  <c r="R301" i="1"/>
  <c r="S301" i="1" s="1"/>
  <c r="T301" i="1" s="1"/>
  <c r="R302" i="1"/>
  <c r="R303" i="1"/>
  <c r="S303" i="1" s="1"/>
  <c r="T303" i="1" s="1"/>
  <c r="R304" i="1"/>
  <c r="R305" i="1"/>
  <c r="R306" i="1"/>
  <c r="R307" i="1"/>
  <c r="S307" i="1" s="1"/>
  <c r="T307" i="1" s="1"/>
  <c r="R308" i="1"/>
  <c r="R309" i="1"/>
  <c r="S309" i="1" s="1"/>
  <c r="T309" i="1" s="1"/>
  <c r="R310" i="1"/>
  <c r="R311" i="1"/>
  <c r="S311" i="1" s="1"/>
  <c r="T311" i="1" s="1"/>
  <c r="R312" i="1"/>
  <c r="R313" i="1"/>
  <c r="R314" i="1"/>
  <c r="R315" i="1"/>
  <c r="S315" i="1" s="1"/>
  <c r="T315" i="1" s="1"/>
  <c r="R316" i="1"/>
  <c r="R317" i="1"/>
  <c r="S317" i="1" s="1"/>
  <c r="T317" i="1" s="1"/>
  <c r="R318" i="1"/>
  <c r="R319" i="1"/>
  <c r="S319" i="1" s="1"/>
  <c r="T319" i="1" s="1"/>
  <c r="R320" i="1"/>
  <c r="R321" i="1"/>
  <c r="R322" i="1"/>
  <c r="R323" i="1"/>
  <c r="S323" i="1" s="1"/>
  <c r="T323" i="1" s="1"/>
  <c r="R324" i="1"/>
  <c r="R325" i="1"/>
  <c r="S325" i="1" s="1"/>
  <c r="T325" i="1" s="1"/>
  <c r="R326" i="1"/>
  <c r="R327" i="1"/>
  <c r="S327" i="1" s="1"/>
  <c r="T327" i="1" s="1"/>
  <c r="R328" i="1"/>
  <c r="R329" i="1"/>
  <c r="R330" i="1"/>
  <c r="R331" i="1"/>
  <c r="S331" i="1" s="1"/>
  <c r="T331" i="1" s="1"/>
  <c r="R332" i="1"/>
  <c r="R333" i="1"/>
  <c r="S333" i="1" s="1"/>
  <c r="T333" i="1" s="1"/>
  <c r="R334" i="1"/>
  <c r="R335" i="1"/>
  <c r="S335" i="1" s="1"/>
  <c r="T335" i="1" s="1"/>
  <c r="R336" i="1"/>
  <c r="R337" i="1"/>
  <c r="R338" i="1"/>
  <c r="R339" i="1"/>
  <c r="S339" i="1" s="1"/>
  <c r="T339" i="1" s="1"/>
  <c r="R340" i="1"/>
  <c r="R341" i="1"/>
  <c r="S341" i="1" s="1"/>
  <c r="T341" i="1" s="1"/>
  <c r="R342" i="1"/>
  <c r="R343" i="1"/>
  <c r="S343" i="1" s="1"/>
  <c r="T343" i="1" s="1"/>
  <c r="R344" i="1"/>
  <c r="R345" i="1"/>
  <c r="S186" i="1"/>
  <c r="T186" i="1" s="1"/>
  <c r="S188" i="1"/>
  <c r="T188" i="1" s="1"/>
  <c r="S192" i="1"/>
  <c r="T192" i="1" s="1"/>
  <c r="S194" i="1"/>
  <c r="T194" i="1" s="1"/>
  <c r="S196" i="1"/>
  <c r="T196" i="1" s="1"/>
  <c r="S200" i="1"/>
  <c r="T200" i="1" s="1"/>
  <c r="S202" i="1"/>
  <c r="T202" i="1" s="1"/>
  <c r="S204" i="1"/>
  <c r="T204" i="1" s="1"/>
  <c r="S208" i="1"/>
  <c r="T208" i="1" s="1"/>
  <c r="S210" i="1"/>
  <c r="T210" i="1" s="1"/>
  <c r="S212" i="1"/>
  <c r="T212" i="1" s="1"/>
  <c r="S216" i="1"/>
  <c r="T216" i="1" s="1"/>
  <c r="S218" i="1"/>
  <c r="T218" i="1" s="1"/>
  <c r="S220" i="1"/>
  <c r="T220" i="1" s="1"/>
  <c r="S224" i="1"/>
  <c r="T224" i="1" s="1"/>
  <c r="S226" i="1"/>
  <c r="T226" i="1" s="1"/>
  <c r="S228" i="1"/>
  <c r="T228" i="1" s="1"/>
  <c r="S232" i="1"/>
  <c r="T232" i="1" s="1"/>
  <c r="S234" i="1"/>
  <c r="T234" i="1" s="1"/>
  <c r="S236" i="1"/>
  <c r="T236" i="1" s="1"/>
  <c r="S240" i="1"/>
  <c r="T240" i="1" s="1"/>
  <c r="R242" i="1"/>
  <c r="S242" i="1" s="1"/>
  <c r="T242" i="1" s="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39" i="1"/>
  <c r="S39" i="1" s="1"/>
  <c r="T39" i="1" s="1"/>
  <c r="T35" i="1"/>
  <c r="T36" i="1"/>
  <c r="T37" i="1"/>
  <c r="T38" i="1"/>
  <c r="T40" i="1"/>
  <c r="T42" i="1"/>
  <c r="T46" i="1"/>
  <c r="T48" i="1"/>
  <c r="T50" i="1"/>
  <c r="T54" i="1"/>
  <c r="T56" i="1"/>
  <c r="T58" i="1"/>
  <c r="T62" i="1"/>
  <c r="T64" i="1"/>
  <c r="T66" i="1"/>
  <c r="T70" i="1"/>
  <c r="T72" i="1"/>
  <c r="T74" i="1"/>
  <c r="T78" i="1"/>
  <c r="T80" i="1"/>
  <c r="T82" i="1"/>
  <c r="T86" i="1"/>
  <c r="T88" i="1"/>
  <c r="T90" i="1"/>
  <c r="T94" i="1"/>
  <c r="T96" i="1"/>
  <c r="T98" i="1"/>
  <c r="T102" i="1"/>
  <c r="T104" i="1"/>
  <c r="T106" i="1"/>
  <c r="T110" i="1"/>
  <c r="T112" i="1"/>
  <c r="T114" i="1"/>
  <c r="T118" i="1"/>
  <c r="T120" i="1"/>
  <c r="T122"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34" i="1"/>
  <c r="S35" i="1"/>
  <c r="S36" i="1"/>
  <c r="S37" i="1"/>
  <c r="S38" i="1"/>
  <c r="S40" i="1"/>
  <c r="S41" i="1"/>
  <c r="T41" i="1" s="1"/>
  <c r="S42" i="1"/>
  <c r="S43" i="1"/>
  <c r="T43" i="1" s="1"/>
  <c r="S44" i="1"/>
  <c r="T44" i="1" s="1"/>
  <c r="S45" i="1"/>
  <c r="T45" i="1" s="1"/>
  <c r="S46" i="1"/>
  <c r="S47" i="1"/>
  <c r="T47" i="1" s="1"/>
  <c r="S48" i="1"/>
  <c r="S49" i="1"/>
  <c r="T49" i="1" s="1"/>
  <c r="S50" i="1"/>
  <c r="S51" i="1"/>
  <c r="T51" i="1" s="1"/>
  <c r="S52" i="1"/>
  <c r="T52" i="1" s="1"/>
  <c r="S53" i="1"/>
  <c r="T53" i="1" s="1"/>
  <c r="S54" i="1"/>
  <c r="S55" i="1"/>
  <c r="T55" i="1" s="1"/>
  <c r="S56" i="1"/>
  <c r="S57" i="1"/>
  <c r="T57" i="1" s="1"/>
  <c r="S58" i="1"/>
  <c r="S59" i="1"/>
  <c r="T59" i="1" s="1"/>
  <c r="S60" i="1"/>
  <c r="T60" i="1" s="1"/>
  <c r="S61" i="1"/>
  <c r="T61" i="1" s="1"/>
  <c r="S62" i="1"/>
  <c r="S63" i="1"/>
  <c r="T63" i="1" s="1"/>
  <c r="S64" i="1"/>
  <c r="S65" i="1"/>
  <c r="T65" i="1" s="1"/>
  <c r="S66" i="1"/>
  <c r="S67" i="1"/>
  <c r="T67" i="1" s="1"/>
  <c r="S68" i="1"/>
  <c r="T68" i="1" s="1"/>
  <c r="S69" i="1"/>
  <c r="T69" i="1" s="1"/>
  <c r="S70" i="1"/>
  <c r="S71" i="1"/>
  <c r="T71" i="1" s="1"/>
  <c r="S72" i="1"/>
  <c r="S73" i="1"/>
  <c r="T73" i="1" s="1"/>
  <c r="S74" i="1"/>
  <c r="S75" i="1"/>
  <c r="T75" i="1" s="1"/>
  <c r="S76" i="1"/>
  <c r="T76" i="1" s="1"/>
  <c r="S77" i="1"/>
  <c r="T77" i="1" s="1"/>
  <c r="S78" i="1"/>
  <c r="S79" i="1"/>
  <c r="T79" i="1" s="1"/>
  <c r="S80" i="1"/>
  <c r="S81" i="1"/>
  <c r="T81" i="1" s="1"/>
  <c r="S82" i="1"/>
  <c r="S83" i="1"/>
  <c r="T83" i="1" s="1"/>
  <c r="S84" i="1"/>
  <c r="T84" i="1" s="1"/>
  <c r="S85" i="1"/>
  <c r="T85" i="1" s="1"/>
  <c r="S86" i="1"/>
  <c r="S87" i="1"/>
  <c r="T87" i="1" s="1"/>
  <c r="S88" i="1"/>
  <c r="S89" i="1"/>
  <c r="T89" i="1" s="1"/>
  <c r="S90" i="1"/>
  <c r="S91" i="1"/>
  <c r="T91" i="1" s="1"/>
  <c r="S92" i="1"/>
  <c r="T92" i="1" s="1"/>
  <c r="S93" i="1"/>
  <c r="T93" i="1" s="1"/>
  <c r="S94" i="1"/>
  <c r="S95" i="1"/>
  <c r="T95" i="1" s="1"/>
  <c r="S96" i="1"/>
  <c r="S97" i="1"/>
  <c r="T97" i="1" s="1"/>
  <c r="S98" i="1"/>
  <c r="S99" i="1"/>
  <c r="T99" i="1" s="1"/>
  <c r="S100" i="1"/>
  <c r="T100" i="1" s="1"/>
  <c r="S101" i="1"/>
  <c r="T101" i="1" s="1"/>
  <c r="S102" i="1"/>
  <c r="S103" i="1"/>
  <c r="T103" i="1" s="1"/>
  <c r="S104" i="1"/>
  <c r="S105" i="1"/>
  <c r="T105" i="1" s="1"/>
  <c r="S106" i="1"/>
  <c r="S107" i="1"/>
  <c r="T107" i="1" s="1"/>
  <c r="S108" i="1"/>
  <c r="T108" i="1" s="1"/>
  <c r="S109" i="1"/>
  <c r="T109" i="1" s="1"/>
  <c r="S110" i="1"/>
  <c r="S111" i="1"/>
  <c r="T111" i="1" s="1"/>
  <c r="S112" i="1"/>
  <c r="S113" i="1"/>
  <c r="T113" i="1" s="1"/>
  <c r="S114" i="1"/>
  <c r="S115" i="1"/>
  <c r="T115" i="1" s="1"/>
  <c r="S116" i="1"/>
  <c r="T116" i="1" s="1"/>
  <c r="S117" i="1"/>
  <c r="T117" i="1" s="1"/>
  <c r="S118" i="1"/>
  <c r="S119" i="1"/>
  <c r="T119" i="1" s="1"/>
  <c r="S120" i="1"/>
  <c r="S121" i="1"/>
  <c r="T121" i="1" s="1"/>
  <c r="S122" i="1"/>
  <c r="S123" i="1"/>
  <c r="T123" i="1" s="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T184" i="1" s="1"/>
  <c r="S185" i="1"/>
  <c r="T185" i="1" s="1"/>
  <c r="S187" i="1"/>
  <c r="T187" i="1" s="1"/>
  <c r="S189" i="1"/>
  <c r="T189" i="1" s="1"/>
  <c r="S190" i="1"/>
  <c r="T190" i="1" s="1"/>
  <c r="S191" i="1"/>
  <c r="T191" i="1" s="1"/>
  <c r="S193" i="1"/>
  <c r="T193" i="1" s="1"/>
  <c r="S195" i="1"/>
  <c r="T195" i="1" s="1"/>
  <c r="S197" i="1"/>
  <c r="T197" i="1" s="1"/>
  <c r="S198" i="1"/>
  <c r="T198" i="1" s="1"/>
  <c r="S199" i="1"/>
  <c r="T199" i="1" s="1"/>
  <c r="S201" i="1"/>
  <c r="T201" i="1" s="1"/>
  <c r="S203" i="1"/>
  <c r="T203" i="1" s="1"/>
  <c r="S205" i="1"/>
  <c r="T205" i="1" s="1"/>
  <c r="S206" i="1"/>
  <c r="T206" i="1" s="1"/>
  <c r="S207" i="1"/>
  <c r="T207" i="1" s="1"/>
  <c r="S209" i="1"/>
  <c r="T209" i="1" s="1"/>
  <c r="S211" i="1"/>
  <c r="T211" i="1" s="1"/>
  <c r="S213" i="1"/>
  <c r="T213" i="1" s="1"/>
  <c r="S214" i="1"/>
  <c r="T214" i="1" s="1"/>
  <c r="S215" i="1"/>
  <c r="T215" i="1" s="1"/>
  <c r="S217" i="1"/>
  <c r="T217" i="1" s="1"/>
  <c r="S219" i="1"/>
  <c r="T219" i="1" s="1"/>
  <c r="S221" i="1"/>
  <c r="T221" i="1" s="1"/>
  <c r="S222" i="1"/>
  <c r="T222" i="1" s="1"/>
  <c r="S223" i="1"/>
  <c r="T223" i="1" s="1"/>
  <c r="S225" i="1"/>
  <c r="T225" i="1" s="1"/>
  <c r="S227" i="1"/>
  <c r="T227" i="1" s="1"/>
  <c r="S229" i="1"/>
  <c r="T229" i="1" s="1"/>
  <c r="S230" i="1"/>
  <c r="T230" i="1" s="1"/>
  <c r="S231" i="1"/>
  <c r="T231" i="1" s="1"/>
  <c r="S233" i="1"/>
  <c r="T233" i="1" s="1"/>
  <c r="S235" i="1"/>
  <c r="T235" i="1" s="1"/>
  <c r="S237" i="1"/>
  <c r="T237" i="1" s="1"/>
  <c r="S238" i="1"/>
  <c r="T238" i="1" s="1"/>
  <c r="S239" i="1"/>
  <c r="T239" i="1" s="1"/>
  <c r="S241" i="1"/>
  <c r="T241" i="1" s="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T294" i="1" s="1"/>
  <c r="S296" i="1"/>
  <c r="T296" i="1" s="1"/>
  <c r="S297" i="1"/>
  <c r="T297" i="1" s="1"/>
  <c r="S298" i="1"/>
  <c r="T298" i="1" s="1"/>
  <c r="S300" i="1"/>
  <c r="T300" i="1" s="1"/>
  <c r="S302" i="1"/>
  <c r="T302" i="1" s="1"/>
  <c r="S304" i="1"/>
  <c r="T304" i="1" s="1"/>
  <c r="S305" i="1"/>
  <c r="T305" i="1" s="1"/>
  <c r="S306" i="1"/>
  <c r="T306" i="1" s="1"/>
  <c r="S308" i="1"/>
  <c r="T308" i="1" s="1"/>
  <c r="S310" i="1"/>
  <c r="T310" i="1" s="1"/>
  <c r="S312" i="1"/>
  <c r="T312" i="1" s="1"/>
  <c r="S313" i="1"/>
  <c r="T313" i="1" s="1"/>
  <c r="S314" i="1"/>
  <c r="T314" i="1" s="1"/>
  <c r="S316" i="1"/>
  <c r="T316" i="1" s="1"/>
  <c r="S318" i="1"/>
  <c r="T318" i="1" s="1"/>
  <c r="S320" i="1"/>
  <c r="T320" i="1" s="1"/>
  <c r="S321" i="1"/>
  <c r="T321" i="1" s="1"/>
  <c r="S322" i="1"/>
  <c r="T322" i="1" s="1"/>
  <c r="S324" i="1"/>
  <c r="T324" i="1" s="1"/>
  <c r="S326" i="1"/>
  <c r="T326" i="1" s="1"/>
  <c r="S328" i="1"/>
  <c r="T328" i="1" s="1"/>
  <c r="S329" i="1"/>
  <c r="T329" i="1" s="1"/>
  <c r="S330" i="1"/>
  <c r="T330" i="1" s="1"/>
  <c r="S332" i="1"/>
  <c r="T332" i="1" s="1"/>
  <c r="S334" i="1"/>
  <c r="T334" i="1" s="1"/>
  <c r="S336" i="1"/>
  <c r="T336" i="1" s="1"/>
  <c r="S337" i="1"/>
  <c r="T337" i="1" s="1"/>
  <c r="S338" i="1"/>
  <c r="T338" i="1" s="1"/>
  <c r="S340" i="1"/>
  <c r="T340" i="1" s="1"/>
  <c r="S342" i="1"/>
  <c r="T342" i="1" s="1"/>
  <c r="S344" i="1"/>
  <c r="T344" i="1" s="1"/>
  <c r="S345" i="1"/>
  <c r="T345" i="1" s="1"/>
  <c r="S34" i="1"/>
  <c r="P51" i="1"/>
  <c r="P52" i="1" s="1"/>
  <c r="P53" i="1" s="1"/>
  <c r="P54" i="1" s="1"/>
  <c r="P55" i="1" s="1"/>
  <c r="P56" i="1" s="1"/>
  <c r="P57" i="1" s="1"/>
  <c r="P58" i="1" s="1"/>
  <c r="P65" i="1" s="1"/>
  <c r="P66" i="1" s="1"/>
  <c r="P67" i="1" s="1"/>
  <c r="P68" i="1" s="1"/>
  <c r="P69" i="1" s="1"/>
  <c r="P70" i="1" s="1"/>
  <c r="P71" i="1" s="1"/>
  <c r="P72" i="1" s="1"/>
  <c r="P73" i="1" s="1"/>
  <c r="P78" i="1" s="1"/>
  <c r="P79" i="1" s="1"/>
  <c r="P83" i="1" s="1"/>
  <c r="P88" i="1" s="1"/>
  <c r="P89" i="1" s="1"/>
  <c r="P90" i="1" s="1"/>
  <c r="P91" i="1" s="1"/>
  <c r="P92" i="1" s="1"/>
  <c r="P93" i="1" s="1"/>
  <c r="P94" i="1" s="1"/>
  <c r="P95" i="1" s="1"/>
  <c r="P96" i="1" s="1"/>
  <c r="P100" i="1" s="1"/>
  <c r="P101" i="1" s="1"/>
  <c r="P102" i="1" s="1"/>
  <c r="P103" i="1" s="1"/>
  <c r="P104" i="1" s="1"/>
  <c r="P105" i="1" s="1"/>
  <c r="P106" i="1" s="1"/>
  <c r="P107" i="1" s="1"/>
  <c r="P108" i="1" s="1"/>
  <c r="P109" i="1" s="1"/>
  <c r="P110" i="1" s="1"/>
  <c r="P111" i="1" s="1"/>
  <c r="P112" i="1" s="1"/>
  <c r="P113" i="1" s="1"/>
  <c r="P114" i="1" s="1"/>
  <c r="P115" i="1" s="1"/>
  <c r="P116" i="1" s="1"/>
  <c r="P117" i="1" s="1"/>
  <c r="P118" i="1" s="1"/>
  <c r="P119" i="1" s="1"/>
  <c r="P120" i="1" s="1"/>
  <c r="P121" i="1" s="1"/>
  <c r="P122" i="1" s="1"/>
  <c r="P123" i="1" s="1"/>
  <c r="P124" i="1" s="1"/>
  <c r="P125" i="1" s="1"/>
  <c r="P126" i="1" s="1"/>
  <c r="P127" i="1" s="1"/>
  <c r="P128" i="1" s="1"/>
  <c r="P129" i="1" s="1"/>
  <c r="P130" i="1" s="1"/>
  <c r="P131" i="1" s="1"/>
  <c r="P132" i="1" s="1"/>
  <c r="P133" i="1" s="1"/>
  <c r="P134" i="1" s="1"/>
  <c r="P135" i="1" s="1"/>
  <c r="P136" i="1" s="1"/>
  <c r="P137" i="1" s="1"/>
  <c r="P138" i="1" s="1"/>
  <c r="P139" i="1" s="1"/>
  <c r="P140" i="1" s="1"/>
  <c r="P141" i="1" s="1"/>
  <c r="P142" i="1" s="1"/>
  <c r="P143" i="1" s="1"/>
  <c r="P144" i="1" s="1"/>
  <c r="P145" i="1" s="1"/>
  <c r="P146" i="1" s="1"/>
  <c r="P147" i="1" s="1"/>
  <c r="P148" i="1" s="1"/>
  <c r="P149" i="1" s="1"/>
  <c r="P150" i="1" s="1"/>
  <c r="P151" i="1" s="1"/>
  <c r="P152" i="1" s="1"/>
  <c r="P153" i="1" s="1"/>
  <c r="P154" i="1" s="1"/>
  <c r="P155" i="1" s="1"/>
  <c r="P156" i="1" s="1"/>
  <c r="P157" i="1" s="1"/>
  <c r="P158" i="1" s="1"/>
  <c r="P159" i="1" s="1"/>
  <c r="P160" i="1" s="1"/>
  <c r="P161" i="1" s="1"/>
  <c r="P162" i="1" s="1"/>
  <c r="P163" i="1" s="1"/>
  <c r="P164" i="1" s="1"/>
  <c r="P165" i="1" s="1"/>
  <c r="P166" i="1" s="1"/>
  <c r="P167" i="1" s="1"/>
  <c r="P168" i="1" s="1"/>
  <c r="P169" i="1" s="1"/>
  <c r="P170" i="1" s="1"/>
  <c r="P171" i="1" s="1"/>
  <c r="P172" i="1" s="1"/>
  <c r="P173" i="1" s="1"/>
  <c r="P174" i="1" s="1"/>
  <c r="P175" i="1" s="1"/>
  <c r="P176" i="1" s="1"/>
  <c r="P177" i="1" s="1"/>
  <c r="P178" i="1" s="1"/>
  <c r="P179" i="1" s="1"/>
  <c r="P180" i="1" s="1"/>
  <c r="P181" i="1" s="1"/>
  <c r="P182" i="1" s="1"/>
  <c r="P183" i="1" s="1"/>
  <c r="P184" i="1" s="1"/>
  <c r="P185" i="1" s="1"/>
  <c r="P186" i="1" s="1"/>
  <c r="P187" i="1" s="1"/>
  <c r="P188" i="1" s="1"/>
  <c r="P189" i="1" s="1"/>
  <c r="P190" i="1" s="1"/>
  <c r="P191" i="1" s="1"/>
  <c r="P192" i="1" s="1"/>
  <c r="P193" i="1" s="1"/>
  <c r="P194" i="1" s="1"/>
  <c r="P195" i="1" s="1"/>
  <c r="P196" i="1" s="1"/>
  <c r="P197" i="1" s="1"/>
  <c r="P198" i="1" s="1"/>
  <c r="P199" i="1" s="1"/>
  <c r="P200" i="1" s="1"/>
  <c r="P201" i="1" s="1"/>
  <c r="P202" i="1" s="1"/>
  <c r="P203" i="1" s="1"/>
  <c r="P204" i="1" s="1"/>
  <c r="P205" i="1" s="1"/>
  <c r="P206" i="1" s="1"/>
  <c r="P207" i="1" s="1"/>
  <c r="P208" i="1" s="1"/>
  <c r="P209" i="1" s="1"/>
  <c r="P210" i="1" s="1"/>
  <c r="P211" i="1" s="1"/>
  <c r="P212" i="1" s="1"/>
  <c r="P213" i="1" s="1"/>
  <c r="P214" i="1" s="1"/>
  <c r="P215" i="1" s="1"/>
  <c r="P216" i="1" s="1"/>
  <c r="P217" i="1" s="1"/>
  <c r="P218" i="1" s="1"/>
  <c r="P219" i="1" s="1"/>
  <c r="P220" i="1" s="1"/>
  <c r="P221" i="1" s="1"/>
  <c r="P222" i="1" s="1"/>
  <c r="P223" i="1" s="1"/>
  <c r="P224" i="1" s="1"/>
  <c r="P225" i="1" s="1"/>
  <c r="P226" i="1" s="1"/>
  <c r="P227" i="1" s="1"/>
  <c r="P228" i="1" s="1"/>
  <c r="P229" i="1" s="1"/>
  <c r="P230" i="1" s="1"/>
  <c r="P231" i="1" s="1"/>
  <c r="P232" i="1" s="1"/>
  <c r="P233" i="1" s="1"/>
  <c r="P234" i="1" s="1"/>
  <c r="P235" i="1" s="1"/>
  <c r="P236" i="1" s="1"/>
  <c r="P237" i="1" s="1"/>
  <c r="P238" i="1" s="1"/>
  <c r="P239" i="1" s="1"/>
  <c r="P240" i="1" s="1"/>
  <c r="P241" i="1" s="1"/>
  <c r="P242" i="1" s="1"/>
  <c r="P243" i="1" s="1"/>
  <c r="P244" i="1" s="1"/>
  <c r="P245" i="1" s="1"/>
  <c r="P246" i="1" s="1"/>
  <c r="P247" i="1" s="1"/>
  <c r="P248" i="1" s="1"/>
  <c r="P249" i="1" s="1"/>
  <c r="P250" i="1" s="1"/>
  <c r="P251" i="1" s="1"/>
  <c r="P252" i="1" s="1"/>
  <c r="P253" i="1" s="1"/>
  <c r="P254" i="1" s="1"/>
  <c r="P255" i="1" s="1"/>
  <c r="P256" i="1" s="1"/>
  <c r="P257" i="1" s="1"/>
  <c r="P258" i="1" s="1"/>
  <c r="P259" i="1" s="1"/>
  <c r="P260" i="1" s="1"/>
  <c r="P261" i="1" s="1"/>
  <c r="P262" i="1" s="1"/>
  <c r="P263" i="1" s="1"/>
  <c r="P264" i="1" s="1"/>
  <c r="P265" i="1" s="1"/>
  <c r="P266" i="1" s="1"/>
  <c r="P267" i="1" s="1"/>
  <c r="P268" i="1" s="1"/>
  <c r="P269" i="1" s="1"/>
  <c r="P270" i="1" s="1"/>
  <c r="P271" i="1" s="1"/>
  <c r="P272" i="1" s="1"/>
  <c r="P273" i="1" s="1"/>
  <c r="P274" i="1" s="1"/>
  <c r="P275" i="1" s="1"/>
  <c r="P276" i="1" s="1"/>
  <c r="P277" i="1" s="1"/>
  <c r="P278" i="1" s="1"/>
  <c r="P279" i="1" s="1"/>
  <c r="P280" i="1" s="1"/>
  <c r="P281" i="1" s="1"/>
  <c r="P282" i="1" s="1"/>
  <c r="P283" i="1" s="1"/>
  <c r="P284" i="1" s="1"/>
  <c r="P285" i="1" s="1"/>
  <c r="P286" i="1" s="1"/>
  <c r="P287" i="1" s="1"/>
  <c r="P288" i="1" s="1"/>
  <c r="P289" i="1" s="1"/>
  <c r="P290" i="1" s="1"/>
  <c r="P291" i="1" s="1"/>
  <c r="P292" i="1" s="1"/>
  <c r="P293" i="1" s="1"/>
  <c r="P294" i="1" s="1"/>
  <c r="P295" i="1" s="1"/>
  <c r="P296" i="1" s="1"/>
  <c r="P297" i="1" s="1"/>
  <c r="P298" i="1" s="1"/>
  <c r="P299" i="1" s="1"/>
  <c r="P300" i="1" s="1"/>
  <c r="P301" i="1" s="1"/>
  <c r="P302" i="1" s="1"/>
  <c r="P303" i="1" s="1"/>
  <c r="P304" i="1" s="1"/>
  <c r="P305" i="1" s="1"/>
  <c r="P306" i="1" s="1"/>
  <c r="P307" i="1" s="1"/>
  <c r="P308" i="1" s="1"/>
  <c r="P309" i="1" s="1"/>
  <c r="P310" i="1" s="1"/>
  <c r="P311" i="1" s="1"/>
  <c r="P312" i="1" s="1"/>
  <c r="P313" i="1" s="1"/>
  <c r="P314" i="1" s="1"/>
  <c r="P315" i="1" s="1"/>
  <c r="P316" i="1" s="1"/>
  <c r="P317" i="1" s="1"/>
  <c r="P318" i="1" s="1"/>
  <c r="P319" i="1" s="1"/>
  <c r="P320" i="1" s="1"/>
  <c r="P321" i="1" s="1"/>
  <c r="P335" i="1" s="1"/>
  <c r="P336" i="1" s="1"/>
  <c r="P337" i="1" s="1"/>
  <c r="P338" i="1" s="1"/>
  <c r="P339" i="1" s="1"/>
  <c r="P340" i="1" s="1"/>
  <c r="P341" i="1" s="1"/>
  <c r="P342" i="1" s="1"/>
  <c r="P343" i="1" s="1"/>
  <c r="P50" i="1"/>
  <c r="P49" i="1"/>
  <c r="P8" i="1"/>
  <c r="P7"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 i="1"/>
  <c r="L41" i="1"/>
  <c r="L39" i="1"/>
  <c r="L37" i="1"/>
  <c r="L131" i="1"/>
  <c r="L129" i="1"/>
  <c r="L127" i="1"/>
  <c r="L296" i="1"/>
  <c r="L298" i="1"/>
  <c r="L300" i="1"/>
  <c r="L313" i="1"/>
  <c r="L315" i="1"/>
  <c r="L317" i="1"/>
  <c r="K186" i="1"/>
  <c r="K187" i="1" s="1"/>
  <c r="K188" i="1" s="1"/>
  <c r="K189" i="1" s="1"/>
  <c r="K190" i="1" s="1"/>
  <c r="K191" i="1" s="1"/>
  <c r="K192" i="1" s="1"/>
  <c r="K193" i="1" s="1"/>
  <c r="K194" i="1" s="1"/>
  <c r="K195" i="1" s="1"/>
  <c r="K196" i="1" s="1"/>
  <c r="K197"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126" i="1"/>
  <c r="K127" i="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9" i="1" s="1"/>
  <c r="K161" i="1" s="1"/>
  <c r="K162" i="1" s="1"/>
  <c r="K165" i="1" s="1"/>
  <c r="K166" i="1" s="1"/>
  <c r="K167" i="1" s="1"/>
  <c r="K168" i="1" s="1"/>
  <c r="K169" i="1" s="1"/>
  <c r="K170" i="1" s="1"/>
  <c r="K171" i="1" s="1"/>
  <c r="K172" i="1" s="1"/>
  <c r="K173" i="1" s="1"/>
  <c r="K185" i="1" s="1"/>
  <c r="K125" i="1"/>
  <c r="J36" i="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9" i="1" s="1"/>
  <c r="J161" i="1" s="1"/>
  <c r="J162" i="1" s="1"/>
  <c r="J165" i="1" s="1"/>
  <c r="J166" i="1" s="1"/>
  <c r="J167" i="1" s="1"/>
  <c r="J168" i="1" s="1"/>
  <c r="J169" i="1" s="1"/>
  <c r="J170" i="1" s="1"/>
  <c r="J171" i="1" s="1"/>
  <c r="J172" i="1" s="1"/>
  <c r="J173" i="1" s="1"/>
  <c r="J184" i="1" s="1"/>
  <c r="J185" i="1" s="1"/>
  <c r="J186" i="1" s="1"/>
  <c r="J187" i="1" s="1"/>
  <c r="J188" i="1" s="1"/>
  <c r="J189" i="1" s="1"/>
  <c r="J190" i="1" s="1"/>
  <c r="J191" i="1" s="1"/>
  <c r="J192" i="1" s="1"/>
  <c r="J193" i="1" s="1"/>
  <c r="J194" i="1" s="1"/>
  <c r="J195" i="1" s="1"/>
  <c r="J196" i="1" s="1"/>
  <c r="J197"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5" i="1"/>
  <c r="J34" i="1"/>
  <c r="V189" i="1" l="1"/>
  <c r="V193" i="1"/>
  <c r="V195" i="1" s="1"/>
  <c r="V191" i="1"/>
  <c r="V251" i="1" l="1"/>
  <c r="V253" i="1" s="1"/>
  <c r="V247" i="1"/>
  <c r="V249" i="1"/>
  <c r="V268" i="1" l="1"/>
  <c r="V272" i="1"/>
  <c r="V274" i="1" s="1"/>
  <c r="V270" i="1"/>
  <c r="V298" i="1" l="1"/>
  <c r="V300" i="1"/>
  <c r="V302" i="1"/>
  <c r="V304" i="1" s="1"/>
  <c r="V317" i="1" l="1"/>
  <c r="V319" i="1"/>
  <c r="V321" i="1" s="1"/>
</calcChain>
</file>

<file path=xl/sharedStrings.xml><?xml version="1.0" encoding="utf-8"?>
<sst xmlns="http://schemas.openxmlformats.org/spreadsheetml/2006/main" count="170" uniqueCount="68">
  <si>
    <t>LAMBX</t>
  </si>
  <si>
    <t>LAMBY</t>
  </si>
  <si>
    <t>DATE</t>
  </si>
  <si>
    <t>PRELIQ_Q</t>
  </si>
  <si>
    <t>T_Q</t>
  </si>
  <si>
    <t>SSI_Q</t>
  </si>
  <si>
    <t>ETP_Q</t>
  </si>
  <si>
    <t>TINF_H_Q</t>
  </si>
  <si>
    <t>TSUP_H_Q</t>
  </si>
  <si>
    <t>TEMPERATURE</t>
  </si>
  <si>
    <t>EAU</t>
  </si>
  <si>
    <t>BILAN HYDRIQUE</t>
  </si>
  <si>
    <t>SOLAIRE</t>
  </si>
  <si>
    <t>Floraison</t>
  </si>
  <si>
    <t>Vernalisation</t>
  </si>
  <si>
    <t>Période</t>
  </si>
  <si>
    <t>GDD_Cumul</t>
  </si>
  <si>
    <t>GDD/période</t>
  </si>
  <si>
    <t>Indicateurs</t>
  </si>
  <si>
    <t>P-ETP</t>
  </si>
  <si>
    <t>RU_avant_semis</t>
  </si>
  <si>
    <t>i</t>
  </si>
  <si>
    <t>kc</t>
  </si>
  <si>
    <t>ETM</t>
  </si>
  <si>
    <t>P-ETM</t>
  </si>
  <si>
    <t>WSCi</t>
  </si>
  <si>
    <t>indicateur</t>
  </si>
  <si>
    <t>QTP</t>
  </si>
  <si>
    <t>SSI_Cumul</t>
  </si>
  <si>
    <t>SSI/période</t>
  </si>
  <si>
    <t>photopériode</t>
  </si>
  <si>
    <t>Indicateur</t>
  </si>
  <si>
    <t>SEMIS</t>
  </si>
  <si>
    <t>RECOLTE</t>
  </si>
  <si>
    <t>Hiver</t>
  </si>
  <si>
    <t>Fin Hiver</t>
  </si>
  <si>
    <t>P600</t>
  </si>
  <si>
    <t>MATURE</t>
  </si>
  <si>
    <t>LGDD</t>
  </si>
  <si>
    <t>TMN</t>
  </si>
  <si>
    <t>TMIN</t>
  </si>
  <si>
    <t>TMAX</t>
  </si>
  <si>
    <t>NBD_HT</t>
  </si>
  <si>
    <t>NBD_LT</t>
  </si>
  <si>
    <t>NBD_FR</t>
  </si>
  <si>
    <t>FALL</t>
  </si>
  <si>
    <t>CLIMATIC WINTER</t>
  </si>
  <si>
    <t>BOLTING</t>
  </si>
  <si>
    <t>FLOWERING</t>
  </si>
  <si>
    <t>P300</t>
  </si>
  <si>
    <t>P1000</t>
  </si>
  <si>
    <t>Fin floraison</t>
  </si>
  <si>
    <t>NBD_WD</t>
  </si>
  <si>
    <t>NBD_WS</t>
  </si>
  <si>
    <t>WSC_MIN</t>
  </si>
  <si>
    <t>WSC_MAX</t>
  </si>
  <si>
    <t>WSC_MN</t>
  </si>
  <si>
    <t>SSR</t>
  </si>
  <si>
    <t>QPT</t>
  </si>
  <si>
    <t>NBD_DSR</t>
  </si>
  <si>
    <t>s</t>
  </si>
  <si>
    <t>NBD_VERN_OPTI</t>
  </si>
  <si>
    <t>N72</t>
  </si>
  <si>
    <t>WSC_I</t>
  </si>
  <si>
    <t>BI</t>
  </si>
  <si>
    <t>DRF</t>
  </si>
  <si>
    <t>TS</t>
  </si>
  <si>
    <t>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</si>
</sst>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1"/>
      <color theme="1"/>
      <name val="Calibri"/>
      <family val="2"/>
      <scheme val="minor"/>
    </font>
    <font>
      <b/>
      <sz val="11"/>
      <color theme="1"/>
      <name val="Calibri"/>
      <family val="2"/>
      <scheme val="minor"/>
    </font>
    <font>
      <b/>
      <i/>
      <u/>
      <sz val="11"/>
      <color theme="1"/>
      <name val="Calibri"/>
      <family val="2"/>
      <scheme val="minor"/>
    </font>
  </fonts>
  <fills count="1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5FC9"/>
        <bgColor indexed="64"/>
      </patternFill>
    </fill>
    <fill>
      <patternFill patternType="solid">
        <fgColor rgb="FFC67DFF"/>
        <bgColor indexed="64"/>
      </patternFill>
    </fill>
    <fill>
      <patternFill patternType="solid">
        <fgColor rgb="FF05A6FF"/>
        <bgColor indexed="64"/>
      </patternFill>
    </fill>
    <fill>
      <patternFill patternType="solid">
        <fgColor rgb="FF0ABFC6"/>
        <bgColor indexed="64"/>
      </patternFill>
    </fill>
    <fill>
      <patternFill patternType="solid">
        <fgColor rgb="FF00CC67"/>
        <bgColor indexed="64"/>
      </patternFill>
    </fill>
    <fill>
      <patternFill patternType="solid">
        <fgColor rgb="FF7BAE02"/>
        <bgColor indexed="64"/>
      </patternFill>
    </fill>
    <fill>
      <patternFill patternType="solid">
        <fgColor rgb="FFCF9C01"/>
        <bgColor indexed="64"/>
      </patternFill>
    </fill>
    <fill>
      <patternFill patternType="solid">
        <fgColor theme="6"/>
        <bgColor indexed="64"/>
      </patternFill>
    </fill>
    <fill>
      <patternFill patternType="solid">
        <fgColor theme="3"/>
        <bgColor indexed="64"/>
      </patternFill>
    </fill>
    <fill>
      <patternFill patternType="solid">
        <fgColor theme="2"/>
        <bgColor indexed="64"/>
      </patternFill>
    </fill>
  </fills>
  <borders count="9">
    <border>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72">
    <xf numFmtId="0" fontId="0" fillId="0" borderId="0" xfId="0"/>
    <xf numFmtId="14" fontId="0" fillId="0" borderId="0" xfId="0" applyNumberFormat="1"/>
    <xf numFmtId="0" fontId="1" fillId="0" borderId="0" xfId="0" applyFont="1"/>
    <xf numFmtId="0" fontId="1" fillId="0" borderId="0" xfId="0" applyNumberFormat="1" applyFont="1" applyFill="1"/>
    <xf numFmtId="0" fontId="1" fillId="0" borderId="1" xfId="0" applyFont="1" applyFill="1" applyBorder="1"/>
    <xf numFmtId="0" fontId="1" fillId="0" borderId="0" xfId="0" applyFont="1" applyFill="1"/>
    <xf numFmtId="0" fontId="1" fillId="0" borderId="0" xfId="0" applyNumberFormat="1" applyFont="1" applyFill="1" applyBorder="1"/>
    <xf numFmtId="0" fontId="1" fillId="0" borderId="0" xfId="0" applyFont="1" applyFill="1" applyBorder="1"/>
    <xf numFmtId="0" fontId="0" fillId="2" borderId="2" xfId="0" applyFill="1" applyBorder="1"/>
    <xf numFmtId="0" fontId="0" fillId="3" borderId="0" xfId="0" applyFill="1"/>
    <xf numFmtId="0" fontId="1" fillId="5" borderId="1" xfId="0" applyFont="1" applyFill="1" applyBorder="1"/>
    <xf numFmtId="0" fontId="0" fillId="0" borderId="1" xfId="0" applyBorder="1"/>
    <xf numFmtId="0" fontId="0" fillId="0" borderId="1" xfId="0" applyFont="1" applyBorder="1"/>
    <xf numFmtId="0" fontId="1" fillId="6" borderId="1" xfId="0" applyFont="1" applyFill="1" applyBorder="1"/>
    <xf numFmtId="0" fontId="1" fillId="7" borderId="1" xfId="0" applyFont="1" applyFill="1" applyBorder="1"/>
    <xf numFmtId="0" fontId="1" fillId="8" borderId="1" xfId="0" applyFont="1" applyFill="1" applyBorder="1"/>
    <xf numFmtId="2" fontId="0" fillId="0" borderId="1" xfId="0" applyNumberFormat="1" applyBorder="1"/>
    <xf numFmtId="0" fontId="0" fillId="0" borderId="1" xfId="0" applyFill="1" applyBorder="1"/>
    <xf numFmtId="0" fontId="1" fillId="9" borderId="1" xfId="0" applyFont="1" applyFill="1" applyBorder="1"/>
    <xf numFmtId="0" fontId="1" fillId="10" borderId="1" xfId="0" applyFont="1" applyFill="1" applyBorder="1"/>
    <xf numFmtId="0" fontId="1" fillId="11" borderId="1" xfId="0" applyFont="1" applyFill="1" applyBorder="1"/>
    <xf numFmtId="164" fontId="0" fillId="0" borderId="1" xfId="0" applyNumberFormat="1" applyBorder="1"/>
    <xf numFmtId="0" fontId="0" fillId="2" borderId="4" xfId="0" applyFill="1" applyBorder="1"/>
    <xf numFmtId="0" fontId="0" fillId="3" borderId="1" xfId="0" applyFill="1" applyBorder="1"/>
    <xf numFmtId="0" fontId="1" fillId="0" borderId="1" xfId="0" applyFont="1" applyBorder="1" applyAlignment="1">
      <alignment horizontal="center" vertical="center"/>
    </xf>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0" fillId="0" borderId="0" xfId="0" applyFill="1" applyBorder="1"/>
    <xf numFmtId="2" fontId="0" fillId="0" borderId="0" xfId="0" applyNumberFormat="1"/>
    <xf numFmtId="164" fontId="0" fillId="0" borderId="0" xfId="0" applyNumberFormat="1"/>
    <xf numFmtId="0" fontId="1" fillId="0" borderId="5" xfId="0" applyFont="1" applyBorder="1"/>
    <xf numFmtId="14" fontId="1" fillId="0" borderId="5" xfId="0" applyNumberFormat="1" applyFont="1" applyBorder="1"/>
    <xf numFmtId="0" fontId="1" fillId="0" borderId="6" xfId="0" applyFont="1" applyBorder="1"/>
    <xf numFmtId="0" fontId="1" fillId="0" borderId="5" xfId="0" applyFont="1" applyFill="1" applyBorder="1"/>
    <xf numFmtId="164" fontId="1" fillId="0" borderId="5" xfId="0" applyNumberFormat="1" applyFont="1" applyBorder="1"/>
    <xf numFmtId="2" fontId="1" fillId="0" borderId="5" xfId="0" applyNumberFormat="1" applyFont="1" applyBorder="1"/>
    <xf numFmtId="0" fontId="0" fillId="12" borderId="0" xfId="0" applyFill="1"/>
    <xf numFmtId="0" fontId="1" fillId="12" borderId="5" xfId="0" applyFont="1" applyFill="1" applyBorder="1"/>
    <xf numFmtId="0" fontId="0" fillId="0" borderId="0" xfId="0" applyFont="1" applyBorder="1"/>
    <xf numFmtId="14" fontId="0" fillId="0" borderId="0" xfId="0" applyNumberFormat="1" applyFont="1" applyBorder="1"/>
    <xf numFmtId="164" fontId="0" fillId="0" borderId="0" xfId="0" applyNumberFormat="1" applyFont="1" applyBorder="1"/>
    <xf numFmtId="2" fontId="0" fillId="0" borderId="0" xfId="0" applyNumberFormat="1" applyFont="1" applyBorder="1"/>
    <xf numFmtId="0" fontId="0" fillId="0" borderId="0" xfId="0" applyFont="1" applyFill="1" applyBorder="1"/>
    <xf numFmtId="0" fontId="2" fillId="3" borderId="2" xfId="0" applyFont="1" applyFill="1" applyBorder="1" applyAlignment="1">
      <alignment horizontal="center" vertical="center"/>
    </xf>
    <xf numFmtId="0" fontId="2" fillId="4" borderId="0" xfId="0" applyFont="1" applyFill="1" applyAlignment="1">
      <alignment horizontal="center"/>
    </xf>
    <xf numFmtId="0" fontId="1" fillId="5" borderId="3" xfId="0" applyFont="1" applyFill="1" applyBorder="1" applyAlignment="1">
      <alignment horizontal="center" vertical="center" textRotation="255"/>
    </xf>
    <xf numFmtId="0" fontId="1" fillId="5" borderId="1" xfId="0" applyFont="1" applyFill="1" applyBorder="1" applyAlignment="1">
      <alignment horizontal="center" vertical="center" textRotation="255"/>
    </xf>
    <xf numFmtId="0" fontId="1" fillId="6" borderId="1" xfId="0" applyFont="1" applyFill="1" applyBorder="1" applyAlignment="1">
      <alignment horizontal="center" vertical="center" textRotation="255"/>
    </xf>
    <xf numFmtId="0" fontId="1" fillId="10" borderId="0" xfId="0" applyFont="1" applyFill="1" applyBorder="1" applyAlignment="1">
      <alignment horizontal="center" vertical="center" textRotation="255"/>
    </xf>
    <xf numFmtId="0" fontId="1" fillId="11" borderId="0" xfId="0" applyFont="1" applyFill="1" applyBorder="1" applyAlignment="1">
      <alignment horizontal="center" vertical="center" textRotation="255"/>
    </xf>
    <xf numFmtId="0" fontId="1" fillId="7" borderId="1" xfId="0" applyFont="1" applyFill="1" applyBorder="1" applyAlignment="1">
      <alignment horizontal="center" vertical="center" textRotation="255"/>
    </xf>
    <xf numFmtId="0" fontId="1" fillId="8" borderId="0" xfId="0" applyFont="1" applyFill="1" applyBorder="1" applyAlignment="1">
      <alignment horizontal="center" vertical="center" textRotation="255"/>
    </xf>
    <xf numFmtId="0" fontId="1" fillId="9" borderId="0" xfId="0" applyFont="1" applyFill="1" applyBorder="1" applyAlignment="1">
      <alignment horizontal="center" vertical="center" textRotation="255"/>
    </xf>
    <xf numFmtId="0" fontId="1" fillId="0" borderId="0" xfId="0" applyFont="1" applyAlignment="1">
      <alignment horizontal="center" vertical="center"/>
    </xf>
    <xf numFmtId="0" fontId="2" fillId="2" borderId="2" xfId="0" applyFont="1" applyFill="1" applyBorder="1" applyAlignment="1">
      <alignment horizontal="center" vertical="center"/>
    </xf>
    <xf numFmtId="0" fontId="0" fillId="13" borderId="0" xfId="0" applyFill="1"/>
    <xf numFmtId="14" fontId="0" fillId="13" borderId="0" xfId="0" applyNumberFormat="1" applyFill="1"/>
    <xf numFmtId="0" fontId="0" fillId="13" borderId="1" xfId="0" applyFill="1" applyBorder="1"/>
    <xf numFmtId="164" fontId="0" fillId="13" borderId="0" xfId="0" applyNumberFormat="1" applyFill="1"/>
    <xf numFmtId="2" fontId="0" fillId="13" borderId="0" xfId="0" applyNumberFormat="1" applyFill="1"/>
    <xf numFmtId="0" fontId="0" fillId="14" borderId="0" xfId="0" applyFill="1"/>
    <xf numFmtId="2" fontId="0" fillId="14" borderId="0" xfId="0" applyNumberFormat="1" applyFill="1"/>
    <xf numFmtId="0" fontId="0" fillId="14" borderId="8" xfId="0" applyFill="1" applyBorder="1"/>
    <xf numFmtId="0" fontId="0" fillId="14" borderId="7" xfId="0" applyFill="1" applyBorder="1"/>
    <xf numFmtId="0" fontId="1" fillId="14" borderId="5" xfId="0" applyFont="1" applyFill="1" applyBorder="1"/>
    <xf numFmtId="0" fontId="0" fillId="14" borderId="0" xfId="0" applyFont="1" applyFill="1" applyBorder="1"/>
    <xf numFmtId="1" fontId="0" fillId="0" borderId="0" xfId="0" applyNumberFormat="1"/>
  </cellXfs>
  <cellStyles count="1">
    <cellStyle name="Normal" xfId="0" builtinId="0"/>
  </cellStyles>
  <dxfs count="27">
    <dxf>
      <fill>
        <patternFill>
          <bgColor theme="5" tint="0.59996337778862885"/>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4" tint="0.39994506668294322"/>
        </patternFill>
      </fill>
    </dxf>
    <dxf>
      <fill>
        <patternFill>
          <bgColor rgb="FFFFC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01"/>
  <sheetViews>
    <sheetView tabSelected="1" zoomScale="70" zoomScaleNormal="70" workbookViewId="0">
      <pane xSplit="6" ySplit="2" topLeftCell="G206" activePane="bottomRight" state="frozen"/>
      <selection pane="topRight" activeCell="G1" sqref="G1"/>
      <selection pane="bottomLeft" activeCell="A3" sqref="A3"/>
      <selection pane="bottomRight" activeCell="AE234" sqref="AE234"/>
    </sheetView>
  </sheetViews>
  <sheetFormatPr baseColWidth="10" defaultRowHeight="15" x14ac:dyDescent="0.25"/>
  <cols>
    <col min="12" max="12" width="11.42578125" style="11"/>
    <col min="22" max="22" width="11.42578125" style="11"/>
    <col min="28" max="28" width="11.42578125" style="11"/>
  </cols>
  <sheetData>
    <row r="1" spans="1:28" x14ac:dyDescent="0.25">
      <c r="G1" s="58" t="s">
        <v>9</v>
      </c>
      <c r="H1" s="58"/>
      <c r="I1" s="58"/>
      <c r="J1" s="58"/>
      <c r="K1" s="58"/>
      <c r="L1" s="58"/>
      <c r="M1" s="58" t="s">
        <v>10</v>
      </c>
      <c r="N1" s="58"/>
      <c r="O1" s="58"/>
      <c r="P1" s="58"/>
      <c r="Q1" s="58" t="s">
        <v>11</v>
      </c>
      <c r="R1" s="58"/>
      <c r="S1" s="58"/>
      <c r="T1" s="58"/>
      <c r="U1" s="58"/>
      <c r="V1" s="24"/>
      <c r="W1" s="58" t="s">
        <v>12</v>
      </c>
      <c r="X1" s="58"/>
      <c r="Y1" s="58"/>
      <c r="Z1" s="58"/>
      <c r="AA1" s="58"/>
      <c r="AB1" s="58"/>
    </row>
    <row r="2" spans="1:28" x14ac:dyDescent="0.25">
      <c r="A2" s="2" t="s">
        <v>0</v>
      </c>
      <c r="B2" s="2" t="s">
        <v>1</v>
      </c>
      <c r="C2" s="2" t="s">
        <v>2</v>
      </c>
      <c r="D2" s="2" t="s">
        <v>13</v>
      </c>
      <c r="E2" s="2" t="s">
        <v>14</v>
      </c>
      <c r="F2" s="2" t="s">
        <v>15</v>
      </c>
      <c r="G2" s="2" t="s">
        <v>4</v>
      </c>
      <c r="H2" s="2" t="s">
        <v>7</v>
      </c>
      <c r="I2" s="2" t="s">
        <v>8</v>
      </c>
      <c r="J2" s="3" t="s">
        <v>16</v>
      </c>
      <c r="K2" s="3" t="s">
        <v>17</v>
      </c>
      <c r="L2" s="4" t="s">
        <v>18</v>
      </c>
      <c r="M2" s="5" t="s">
        <v>3</v>
      </c>
      <c r="N2" s="5" t="s">
        <v>6</v>
      </c>
      <c r="O2" s="6" t="s">
        <v>19</v>
      </c>
      <c r="P2" s="7" t="s">
        <v>20</v>
      </c>
      <c r="Q2" s="7" t="s">
        <v>21</v>
      </c>
      <c r="R2" s="7" t="s">
        <v>22</v>
      </c>
      <c r="S2" s="7" t="s">
        <v>23</v>
      </c>
      <c r="T2" s="6" t="s">
        <v>24</v>
      </c>
      <c r="U2" s="7" t="s">
        <v>25</v>
      </c>
      <c r="V2" s="4" t="s">
        <v>26</v>
      </c>
      <c r="W2" s="5" t="s">
        <v>5</v>
      </c>
      <c r="X2" s="5" t="s">
        <v>27</v>
      </c>
      <c r="Y2" s="5" t="s">
        <v>28</v>
      </c>
      <c r="Z2" s="5" t="s">
        <v>29</v>
      </c>
      <c r="AA2" s="5" t="s">
        <v>30</v>
      </c>
      <c r="AB2" s="4" t="s">
        <v>31</v>
      </c>
    </row>
    <row r="3" spans="1:28" x14ac:dyDescent="0.25">
      <c r="A3">
        <v>5160</v>
      </c>
      <c r="B3">
        <v>23050</v>
      </c>
      <c r="C3" s="1">
        <v>42582</v>
      </c>
      <c r="G3">
        <v>20.3</v>
      </c>
      <c r="H3">
        <v>15.7</v>
      </c>
      <c r="I3">
        <v>25.1</v>
      </c>
      <c r="M3">
        <v>0</v>
      </c>
      <c r="N3">
        <v>4.0999999999999996</v>
      </c>
      <c r="O3">
        <f>M3-N3</f>
        <v>-4.0999999999999996</v>
      </c>
      <c r="P3">
        <v>0</v>
      </c>
      <c r="W3">
        <v>1787.7</v>
      </c>
    </row>
    <row r="4" spans="1:28" x14ac:dyDescent="0.25">
      <c r="A4">
        <v>5160</v>
      </c>
      <c r="B4">
        <v>23050</v>
      </c>
      <c r="C4" s="1">
        <v>42583</v>
      </c>
      <c r="G4">
        <v>19.5</v>
      </c>
      <c r="H4">
        <v>14.5</v>
      </c>
      <c r="I4">
        <v>23.8</v>
      </c>
      <c r="M4">
        <v>0</v>
      </c>
      <c r="N4">
        <v>4.4000000000000004</v>
      </c>
      <c r="O4">
        <f t="shared" ref="O4:O32" si="0">M4-N4</f>
        <v>-4.4000000000000004</v>
      </c>
      <c r="P4">
        <v>0</v>
      </c>
      <c r="W4">
        <v>1923.8</v>
      </c>
    </row>
    <row r="5" spans="1:28" x14ac:dyDescent="0.25">
      <c r="A5">
        <v>5160</v>
      </c>
      <c r="B5">
        <v>23050</v>
      </c>
      <c r="C5" s="1">
        <v>42584</v>
      </c>
      <c r="G5">
        <v>20.399999999999999</v>
      </c>
      <c r="H5">
        <v>17.5</v>
      </c>
      <c r="I5">
        <v>24.2</v>
      </c>
      <c r="M5">
        <v>0</v>
      </c>
      <c r="N5">
        <v>3.2</v>
      </c>
      <c r="O5">
        <f t="shared" si="0"/>
        <v>-3.2</v>
      </c>
      <c r="P5">
        <v>0</v>
      </c>
      <c r="W5">
        <v>881.8</v>
      </c>
    </row>
    <row r="6" spans="1:28" x14ac:dyDescent="0.25">
      <c r="A6">
        <v>5160</v>
      </c>
      <c r="B6">
        <v>23050</v>
      </c>
      <c r="C6" s="1">
        <v>42585</v>
      </c>
      <c r="G6">
        <v>20.9</v>
      </c>
      <c r="H6">
        <v>16.899999999999999</v>
      </c>
      <c r="I6">
        <v>26.3</v>
      </c>
      <c r="M6">
        <v>0</v>
      </c>
      <c r="N6">
        <v>4.5</v>
      </c>
      <c r="O6">
        <f t="shared" si="0"/>
        <v>-4.5</v>
      </c>
      <c r="P6">
        <v>0</v>
      </c>
      <c r="W6">
        <v>1674.8</v>
      </c>
    </row>
    <row r="7" spans="1:28" x14ac:dyDescent="0.25">
      <c r="A7">
        <v>5160</v>
      </c>
      <c r="B7">
        <v>23050</v>
      </c>
      <c r="C7" s="1">
        <v>42586</v>
      </c>
      <c r="G7">
        <v>17.3</v>
      </c>
      <c r="H7">
        <v>17</v>
      </c>
      <c r="I7">
        <v>19.100000000000001</v>
      </c>
      <c r="M7">
        <v>5.4</v>
      </c>
      <c r="N7">
        <v>2</v>
      </c>
      <c r="O7">
        <f t="shared" si="0"/>
        <v>3.4000000000000004</v>
      </c>
      <c r="P7">
        <f>O7</f>
        <v>3.4000000000000004</v>
      </c>
      <c r="W7">
        <v>1491</v>
      </c>
    </row>
    <row r="8" spans="1:28" x14ac:dyDescent="0.25">
      <c r="A8">
        <v>5160</v>
      </c>
      <c r="B8">
        <v>23050</v>
      </c>
      <c r="C8" s="1">
        <v>42587</v>
      </c>
      <c r="G8">
        <v>17.100000000000001</v>
      </c>
      <c r="H8">
        <v>12.9</v>
      </c>
      <c r="I8">
        <v>22.1</v>
      </c>
      <c r="M8">
        <v>0</v>
      </c>
      <c r="N8">
        <v>2.9</v>
      </c>
      <c r="O8">
        <f t="shared" si="0"/>
        <v>-2.9</v>
      </c>
      <c r="P8">
        <f>P7+O8</f>
        <v>0.50000000000000044</v>
      </c>
      <c r="W8">
        <v>1363.1</v>
      </c>
    </row>
    <row r="9" spans="1:28" x14ac:dyDescent="0.25">
      <c r="A9">
        <v>5160</v>
      </c>
      <c r="B9">
        <v>23050</v>
      </c>
      <c r="C9" s="1">
        <v>42588</v>
      </c>
      <c r="G9">
        <v>18</v>
      </c>
      <c r="H9">
        <v>10.8</v>
      </c>
      <c r="I9">
        <v>24.6</v>
      </c>
      <c r="M9">
        <v>0</v>
      </c>
      <c r="N9">
        <v>3.9</v>
      </c>
      <c r="O9">
        <f t="shared" si="0"/>
        <v>-3.9</v>
      </c>
      <c r="P9">
        <v>0</v>
      </c>
      <c r="W9">
        <v>2004.1</v>
      </c>
    </row>
    <row r="10" spans="1:28" x14ac:dyDescent="0.25">
      <c r="A10">
        <v>5160</v>
      </c>
      <c r="B10">
        <v>23050</v>
      </c>
      <c r="C10" s="1">
        <v>42589</v>
      </c>
      <c r="G10">
        <v>21.5</v>
      </c>
      <c r="H10">
        <v>13.7</v>
      </c>
      <c r="I10">
        <v>28</v>
      </c>
      <c r="M10">
        <v>0</v>
      </c>
      <c r="N10">
        <v>5.7</v>
      </c>
      <c r="O10">
        <f t="shared" si="0"/>
        <v>-5.7</v>
      </c>
      <c r="P10">
        <v>0</v>
      </c>
      <c r="W10">
        <v>2790.1</v>
      </c>
    </row>
    <row r="11" spans="1:28" x14ac:dyDescent="0.25">
      <c r="A11">
        <v>5160</v>
      </c>
      <c r="B11">
        <v>23050</v>
      </c>
      <c r="C11" s="1">
        <v>42590</v>
      </c>
      <c r="G11">
        <v>19.600000000000001</v>
      </c>
      <c r="H11">
        <v>17.399999999999999</v>
      </c>
      <c r="I11">
        <v>23.1</v>
      </c>
      <c r="M11">
        <v>0</v>
      </c>
      <c r="N11">
        <v>3.8</v>
      </c>
      <c r="O11">
        <f t="shared" si="0"/>
        <v>-3.8</v>
      </c>
      <c r="P11">
        <v>0</v>
      </c>
      <c r="W11">
        <v>1425.9</v>
      </c>
    </row>
    <row r="12" spans="1:28" x14ac:dyDescent="0.25">
      <c r="A12">
        <v>5160</v>
      </c>
      <c r="B12">
        <v>23050</v>
      </c>
      <c r="C12" s="1">
        <v>42591</v>
      </c>
      <c r="G12">
        <v>17</v>
      </c>
      <c r="H12">
        <v>12.3</v>
      </c>
      <c r="I12">
        <v>21.5</v>
      </c>
      <c r="M12">
        <v>0</v>
      </c>
      <c r="N12">
        <v>2.9</v>
      </c>
      <c r="O12">
        <f t="shared" si="0"/>
        <v>-2.9</v>
      </c>
      <c r="P12">
        <v>0</v>
      </c>
      <c r="W12">
        <v>1241.9000000000001</v>
      </c>
    </row>
    <row r="13" spans="1:28" x14ac:dyDescent="0.25">
      <c r="A13">
        <v>5160</v>
      </c>
      <c r="B13">
        <v>23050</v>
      </c>
      <c r="C13" s="1">
        <v>42592</v>
      </c>
      <c r="G13">
        <v>14.1</v>
      </c>
      <c r="H13">
        <v>9.4</v>
      </c>
      <c r="I13">
        <v>19.5</v>
      </c>
      <c r="M13">
        <v>0</v>
      </c>
      <c r="N13">
        <v>2.5</v>
      </c>
      <c r="O13">
        <f t="shared" si="0"/>
        <v>-2.5</v>
      </c>
      <c r="P13">
        <v>0</v>
      </c>
      <c r="W13">
        <v>1280.3</v>
      </c>
    </row>
    <row r="14" spans="1:28" x14ac:dyDescent="0.25">
      <c r="A14">
        <v>5160</v>
      </c>
      <c r="B14">
        <v>23050</v>
      </c>
      <c r="C14" s="1">
        <v>42593</v>
      </c>
      <c r="G14">
        <v>15.4</v>
      </c>
      <c r="H14">
        <v>7.8</v>
      </c>
      <c r="I14">
        <v>22.1</v>
      </c>
      <c r="M14">
        <v>0</v>
      </c>
      <c r="N14">
        <v>3.1</v>
      </c>
      <c r="O14">
        <f t="shared" si="0"/>
        <v>-3.1</v>
      </c>
      <c r="P14">
        <v>0</v>
      </c>
      <c r="W14">
        <v>1615.3</v>
      </c>
    </row>
    <row r="15" spans="1:28" x14ac:dyDescent="0.25">
      <c r="A15">
        <v>5160</v>
      </c>
      <c r="B15">
        <v>23050</v>
      </c>
      <c r="C15" s="1">
        <v>42594</v>
      </c>
      <c r="G15">
        <v>19.100000000000001</v>
      </c>
      <c r="H15">
        <v>11.6</v>
      </c>
      <c r="I15">
        <v>26.6</v>
      </c>
      <c r="M15">
        <v>0</v>
      </c>
      <c r="N15">
        <v>5.6</v>
      </c>
      <c r="O15">
        <f t="shared" si="0"/>
        <v>-5.6</v>
      </c>
      <c r="P15">
        <v>0</v>
      </c>
      <c r="W15">
        <v>2760</v>
      </c>
    </row>
    <row r="16" spans="1:28" x14ac:dyDescent="0.25">
      <c r="A16">
        <v>5160</v>
      </c>
      <c r="B16">
        <v>23050</v>
      </c>
      <c r="C16" s="1">
        <v>42595</v>
      </c>
      <c r="G16">
        <v>21.5</v>
      </c>
      <c r="H16">
        <v>12.8</v>
      </c>
      <c r="I16">
        <v>28.8</v>
      </c>
      <c r="M16">
        <v>0</v>
      </c>
      <c r="N16">
        <v>5.8</v>
      </c>
      <c r="O16">
        <f t="shared" si="0"/>
        <v>-5.8</v>
      </c>
      <c r="P16">
        <v>0</v>
      </c>
      <c r="W16">
        <v>2681.9</v>
      </c>
    </row>
    <row r="17" spans="1:23" x14ac:dyDescent="0.25">
      <c r="A17">
        <v>5160</v>
      </c>
      <c r="B17">
        <v>23050</v>
      </c>
      <c r="C17" s="1">
        <v>42596</v>
      </c>
      <c r="G17">
        <v>22.7</v>
      </c>
      <c r="H17">
        <v>15.6</v>
      </c>
      <c r="I17">
        <v>28.6</v>
      </c>
      <c r="M17">
        <v>0</v>
      </c>
      <c r="N17">
        <v>5.8</v>
      </c>
      <c r="O17">
        <f t="shared" si="0"/>
        <v>-5.8</v>
      </c>
      <c r="P17">
        <v>0</v>
      </c>
      <c r="W17">
        <v>2267.6999999999998</v>
      </c>
    </row>
    <row r="18" spans="1:23" x14ac:dyDescent="0.25">
      <c r="A18">
        <v>5160</v>
      </c>
      <c r="B18">
        <v>23050</v>
      </c>
      <c r="C18" s="1">
        <v>42597</v>
      </c>
      <c r="G18">
        <v>22.7</v>
      </c>
      <c r="H18">
        <v>15.9</v>
      </c>
      <c r="I18">
        <v>28.4</v>
      </c>
      <c r="M18">
        <v>0</v>
      </c>
      <c r="N18">
        <v>6.3</v>
      </c>
      <c r="O18">
        <f t="shared" si="0"/>
        <v>-6.3</v>
      </c>
      <c r="P18">
        <v>0</v>
      </c>
      <c r="W18">
        <v>2714.2</v>
      </c>
    </row>
    <row r="19" spans="1:23" x14ac:dyDescent="0.25">
      <c r="A19">
        <v>5160</v>
      </c>
      <c r="B19">
        <v>23050</v>
      </c>
      <c r="C19" s="1">
        <v>42598</v>
      </c>
      <c r="G19">
        <v>23.2</v>
      </c>
      <c r="H19">
        <v>15.9</v>
      </c>
      <c r="I19">
        <v>29.8</v>
      </c>
      <c r="M19">
        <v>0</v>
      </c>
      <c r="N19">
        <v>6.2</v>
      </c>
      <c r="O19">
        <f t="shared" si="0"/>
        <v>-6.2</v>
      </c>
      <c r="P19">
        <v>0</v>
      </c>
      <c r="W19">
        <v>2740.7</v>
      </c>
    </row>
    <row r="20" spans="1:23" x14ac:dyDescent="0.25">
      <c r="A20">
        <v>5160</v>
      </c>
      <c r="B20">
        <v>23050</v>
      </c>
      <c r="C20" s="1">
        <v>42599</v>
      </c>
      <c r="G20">
        <v>23.7</v>
      </c>
      <c r="H20">
        <v>15</v>
      </c>
      <c r="I20">
        <v>31.2</v>
      </c>
      <c r="M20">
        <v>3.5</v>
      </c>
      <c r="N20">
        <v>5.3</v>
      </c>
      <c r="O20">
        <f t="shared" si="0"/>
        <v>-1.7999999999999998</v>
      </c>
      <c r="P20">
        <v>0</v>
      </c>
      <c r="W20">
        <v>2259.8000000000002</v>
      </c>
    </row>
    <row r="21" spans="1:23" x14ac:dyDescent="0.25">
      <c r="A21">
        <v>5160</v>
      </c>
      <c r="B21">
        <v>23050</v>
      </c>
      <c r="C21" s="1">
        <v>42600</v>
      </c>
      <c r="G21">
        <v>19.8</v>
      </c>
      <c r="H21">
        <v>18.7</v>
      </c>
      <c r="I21">
        <v>22.4</v>
      </c>
      <c r="M21">
        <v>1.2</v>
      </c>
      <c r="N21">
        <v>2.1</v>
      </c>
      <c r="O21">
        <f t="shared" si="0"/>
        <v>-0.90000000000000013</v>
      </c>
      <c r="P21">
        <v>0</v>
      </c>
      <c r="W21">
        <v>586.20000000000005</v>
      </c>
    </row>
    <row r="22" spans="1:23" x14ac:dyDescent="0.25">
      <c r="A22">
        <v>5160</v>
      </c>
      <c r="B22">
        <v>23050</v>
      </c>
      <c r="C22" s="1">
        <v>42601</v>
      </c>
      <c r="G22">
        <v>16.7</v>
      </c>
      <c r="H22">
        <v>13.3</v>
      </c>
      <c r="I22">
        <v>20.8</v>
      </c>
      <c r="M22">
        <v>1.2</v>
      </c>
      <c r="N22">
        <v>1.9</v>
      </c>
      <c r="O22">
        <f t="shared" si="0"/>
        <v>-0.7</v>
      </c>
      <c r="P22">
        <v>0</v>
      </c>
      <c r="W22">
        <v>1159.2</v>
      </c>
    </row>
    <row r="23" spans="1:23" x14ac:dyDescent="0.25">
      <c r="A23">
        <v>5160</v>
      </c>
      <c r="B23">
        <v>23050</v>
      </c>
      <c r="C23" s="1">
        <v>42602</v>
      </c>
      <c r="G23">
        <v>18.600000000000001</v>
      </c>
      <c r="H23">
        <v>14.6</v>
      </c>
      <c r="I23">
        <v>23.6</v>
      </c>
      <c r="M23">
        <v>0</v>
      </c>
      <c r="N23">
        <v>4.0999999999999996</v>
      </c>
      <c r="O23">
        <f t="shared" si="0"/>
        <v>-4.0999999999999996</v>
      </c>
      <c r="P23">
        <v>0</v>
      </c>
      <c r="W23">
        <v>1329.2</v>
      </c>
    </row>
    <row r="24" spans="1:23" x14ac:dyDescent="0.25">
      <c r="A24">
        <v>5160</v>
      </c>
      <c r="B24">
        <v>23050</v>
      </c>
      <c r="C24" s="1">
        <v>42603</v>
      </c>
      <c r="G24">
        <v>17.100000000000001</v>
      </c>
      <c r="H24">
        <v>12.3</v>
      </c>
      <c r="I24">
        <v>21.7</v>
      </c>
      <c r="M24">
        <v>0</v>
      </c>
      <c r="N24">
        <v>3.5</v>
      </c>
      <c r="O24">
        <f t="shared" si="0"/>
        <v>-3.5</v>
      </c>
      <c r="P24">
        <v>0</v>
      </c>
      <c r="W24">
        <v>1229.5</v>
      </c>
    </row>
    <row r="25" spans="1:23" x14ac:dyDescent="0.25">
      <c r="A25">
        <v>5160</v>
      </c>
      <c r="B25">
        <v>23050</v>
      </c>
      <c r="C25" s="1">
        <v>42604</v>
      </c>
      <c r="G25">
        <v>20.3</v>
      </c>
      <c r="H25">
        <v>11.9</v>
      </c>
      <c r="I25">
        <v>27</v>
      </c>
      <c r="M25">
        <v>0</v>
      </c>
      <c r="N25">
        <v>5.2</v>
      </c>
      <c r="O25">
        <f t="shared" si="0"/>
        <v>-5.2</v>
      </c>
      <c r="P25">
        <v>0</v>
      </c>
      <c r="W25">
        <v>2494.3000000000002</v>
      </c>
    </row>
    <row r="26" spans="1:23" x14ac:dyDescent="0.25">
      <c r="A26">
        <v>5160</v>
      </c>
      <c r="B26">
        <v>23050</v>
      </c>
      <c r="C26" s="1">
        <v>42605</v>
      </c>
      <c r="G26">
        <v>24.4</v>
      </c>
      <c r="H26">
        <v>16.8</v>
      </c>
      <c r="I26">
        <v>32.200000000000003</v>
      </c>
      <c r="M26">
        <v>0</v>
      </c>
      <c r="N26">
        <v>7.1</v>
      </c>
      <c r="O26">
        <f t="shared" si="0"/>
        <v>-7.1</v>
      </c>
      <c r="P26">
        <v>0</v>
      </c>
      <c r="W26">
        <v>2573.4</v>
      </c>
    </row>
    <row r="27" spans="1:23" x14ac:dyDescent="0.25">
      <c r="A27">
        <v>5160</v>
      </c>
      <c r="B27">
        <v>23050</v>
      </c>
      <c r="C27" s="1">
        <v>42606</v>
      </c>
      <c r="G27">
        <v>26.7</v>
      </c>
      <c r="H27">
        <v>18.399999999999999</v>
      </c>
      <c r="I27">
        <v>34.799999999999997</v>
      </c>
      <c r="M27">
        <v>0</v>
      </c>
      <c r="N27">
        <v>6.4</v>
      </c>
      <c r="O27">
        <f t="shared" si="0"/>
        <v>-6.4</v>
      </c>
      <c r="P27">
        <v>0</v>
      </c>
      <c r="W27">
        <v>2554.6</v>
      </c>
    </row>
    <row r="28" spans="1:23" x14ac:dyDescent="0.25">
      <c r="A28">
        <v>5160</v>
      </c>
      <c r="B28">
        <v>23050</v>
      </c>
      <c r="C28" s="1">
        <v>42607</v>
      </c>
      <c r="G28">
        <v>25.7</v>
      </c>
      <c r="H28">
        <v>17.3</v>
      </c>
      <c r="I28">
        <v>33.6</v>
      </c>
      <c r="M28">
        <v>0</v>
      </c>
      <c r="N28">
        <v>6.1</v>
      </c>
      <c r="O28">
        <f t="shared" si="0"/>
        <v>-6.1</v>
      </c>
      <c r="P28">
        <v>0</v>
      </c>
      <c r="W28">
        <v>2480.8000000000002</v>
      </c>
    </row>
    <row r="29" spans="1:23" x14ac:dyDescent="0.25">
      <c r="A29">
        <v>5160</v>
      </c>
      <c r="B29">
        <v>23050</v>
      </c>
      <c r="C29" s="1">
        <v>42608</v>
      </c>
      <c r="G29">
        <v>25.8</v>
      </c>
      <c r="H29">
        <v>18.899999999999999</v>
      </c>
      <c r="I29">
        <v>33.299999999999997</v>
      </c>
      <c r="M29">
        <v>0</v>
      </c>
      <c r="N29">
        <v>4.9000000000000004</v>
      </c>
      <c r="O29">
        <f t="shared" si="0"/>
        <v>-4.9000000000000004</v>
      </c>
      <c r="P29">
        <v>0</v>
      </c>
      <c r="W29">
        <v>2068.1999999999998</v>
      </c>
    </row>
    <row r="30" spans="1:23" x14ac:dyDescent="0.25">
      <c r="A30">
        <v>5160</v>
      </c>
      <c r="B30">
        <v>23050</v>
      </c>
      <c r="C30" s="1">
        <v>42609</v>
      </c>
      <c r="G30">
        <v>25.1</v>
      </c>
      <c r="H30">
        <v>16.3</v>
      </c>
      <c r="I30">
        <v>32.700000000000003</v>
      </c>
      <c r="M30">
        <v>0</v>
      </c>
      <c r="N30">
        <v>5.7</v>
      </c>
      <c r="O30">
        <f t="shared" si="0"/>
        <v>-5.7</v>
      </c>
      <c r="P30">
        <v>0</v>
      </c>
      <c r="W30">
        <v>2346.1999999999998</v>
      </c>
    </row>
    <row r="31" spans="1:23" x14ac:dyDescent="0.25">
      <c r="A31">
        <v>5160</v>
      </c>
      <c r="B31">
        <v>23050</v>
      </c>
      <c r="C31" s="1">
        <v>42610</v>
      </c>
      <c r="G31">
        <v>21.4</v>
      </c>
      <c r="H31">
        <v>17.3</v>
      </c>
      <c r="I31">
        <v>24.6</v>
      </c>
      <c r="M31">
        <v>0</v>
      </c>
      <c r="N31">
        <v>3.6</v>
      </c>
      <c r="O31">
        <f t="shared" si="0"/>
        <v>-3.6</v>
      </c>
      <c r="P31">
        <v>0</v>
      </c>
      <c r="V31" s="11">
        <v>146.69999999999999</v>
      </c>
      <c r="W31">
        <v>1309.4000000000001</v>
      </c>
    </row>
    <row r="32" spans="1:23" x14ac:dyDescent="0.25">
      <c r="A32">
        <v>5160</v>
      </c>
      <c r="B32">
        <v>23050</v>
      </c>
      <c r="C32" s="1">
        <v>42611</v>
      </c>
      <c r="G32">
        <v>19.600000000000001</v>
      </c>
      <c r="H32">
        <v>17.7</v>
      </c>
      <c r="I32">
        <v>22</v>
      </c>
      <c r="M32">
        <v>0.2</v>
      </c>
      <c r="N32">
        <v>2.9</v>
      </c>
      <c r="O32">
        <f t="shared" si="0"/>
        <v>-2.6999999999999997</v>
      </c>
      <c r="P32">
        <v>0</v>
      </c>
      <c r="V32" s="11">
        <f>V31/3</f>
        <v>48.9</v>
      </c>
      <c r="W32">
        <v>1364</v>
      </c>
    </row>
    <row r="33" spans="1:28" s="8" customFormat="1" x14ac:dyDescent="0.25">
      <c r="A33" s="59" t="s">
        <v>32</v>
      </c>
      <c r="B33" s="59"/>
      <c r="C33" s="59"/>
      <c r="D33" s="59"/>
      <c r="E33" s="59"/>
      <c r="F33" s="59"/>
      <c r="L33" s="22"/>
      <c r="V33" s="22"/>
      <c r="AB33" s="22"/>
    </row>
    <row r="34" spans="1:28" x14ac:dyDescent="0.25">
      <c r="A34">
        <v>5160</v>
      </c>
      <c r="B34">
        <v>23050</v>
      </c>
      <c r="C34" s="1">
        <v>42612</v>
      </c>
      <c r="F34" s="50" t="s">
        <v>45</v>
      </c>
      <c r="G34">
        <v>20.2</v>
      </c>
      <c r="H34">
        <v>14.3</v>
      </c>
      <c r="I34">
        <v>25.4</v>
      </c>
      <c r="J34">
        <f>G34</f>
        <v>20.2</v>
      </c>
      <c r="L34" s="10" t="s">
        <v>38</v>
      </c>
      <c r="M34">
        <v>0</v>
      </c>
      <c r="N34">
        <v>4.0999999999999996</v>
      </c>
      <c r="O34">
        <f>M34-N34</f>
        <v>-4.0999999999999996</v>
      </c>
      <c r="P34">
        <v>0</v>
      </c>
      <c r="Q34">
        <v>1</v>
      </c>
      <c r="R34" s="32">
        <v>0.35</v>
      </c>
      <c r="S34" s="34">
        <f>R34*N34</f>
        <v>1.4349999999999998</v>
      </c>
      <c r="T34" s="33">
        <f>M34-S34</f>
        <v>-1.4349999999999998</v>
      </c>
      <c r="U34">
        <v>0</v>
      </c>
      <c r="V34" s="25" t="s">
        <v>52</v>
      </c>
      <c r="W34">
        <v>1918.3</v>
      </c>
      <c r="Y34">
        <f>W34</f>
        <v>1918.3</v>
      </c>
      <c r="AA34">
        <v>13.261049787572679</v>
      </c>
      <c r="AB34" s="25" t="s">
        <v>57</v>
      </c>
    </row>
    <row r="35" spans="1:28" x14ac:dyDescent="0.25">
      <c r="A35">
        <v>5160</v>
      </c>
      <c r="B35">
        <v>23050</v>
      </c>
      <c r="C35" s="1">
        <v>42613</v>
      </c>
      <c r="F35" s="51"/>
      <c r="G35">
        <v>21</v>
      </c>
      <c r="H35">
        <v>13.6</v>
      </c>
      <c r="I35">
        <v>27</v>
      </c>
      <c r="J35">
        <f>J34+G35</f>
        <v>41.2</v>
      </c>
      <c r="L35" s="11">
        <v>1105.9000000000001</v>
      </c>
      <c r="M35">
        <v>0</v>
      </c>
      <c r="N35">
        <v>3.2</v>
      </c>
      <c r="O35">
        <f t="shared" ref="O35:O98" si="1">M35-N35</f>
        <v>-3.2</v>
      </c>
      <c r="P35" s="32">
        <v>0</v>
      </c>
      <c r="Q35" s="32">
        <v>2</v>
      </c>
      <c r="R35" s="32">
        <v>0.35</v>
      </c>
      <c r="S35" s="34">
        <f t="shared" ref="S35:S98" si="2">R35*N35</f>
        <v>1.1199999999999999</v>
      </c>
      <c r="T35" s="33">
        <f t="shared" ref="T35:T98" si="3">M35-S35</f>
        <v>-1.1199999999999999</v>
      </c>
      <c r="U35" s="32">
        <v>0</v>
      </c>
      <c r="V35" s="32">
        <v>15</v>
      </c>
      <c r="W35">
        <v>1229.4000000000001</v>
      </c>
      <c r="Y35">
        <f>W35+Y34</f>
        <v>3147.7</v>
      </c>
      <c r="AA35">
        <v>13.203654341973955</v>
      </c>
      <c r="AB35">
        <v>65384.6</v>
      </c>
    </row>
    <row r="36" spans="1:28" x14ac:dyDescent="0.25">
      <c r="A36">
        <v>5160</v>
      </c>
      <c r="B36">
        <v>23050</v>
      </c>
      <c r="C36" s="1">
        <v>42614</v>
      </c>
      <c r="F36" s="51"/>
      <c r="G36">
        <v>20.8</v>
      </c>
      <c r="H36">
        <v>13.3</v>
      </c>
      <c r="I36">
        <v>26.8</v>
      </c>
      <c r="J36">
        <f t="shared" ref="J36:J99" si="4">J35+G36</f>
        <v>62</v>
      </c>
      <c r="L36" s="10" t="s">
        <v>39</v>
      </c>
      <c r="M36">
        <v>0</v>
      </c>
      <c r="N36">
        <v>3.5</v>
      </c>
      <c r="O36">
        <f t="shared" si="1"/>
        <v>-3.5</v>
      </c>
      <c r="P36" s="32">
        <v>0</v>
      </c>
      <c r="Q36">
        <v>3</v>
      </c>
      <c r="R36" s="32">
        <v>0.35</v>
      </c>
      <c r="S36" s="34">
        <f t="shared" si="2"/>
        <v>1.2249999999999999</v>
      </c>
      <c r="T36" s="33">
        <f t="shared" si="3"/>
        <v>-1.2249999999999999</v>
      </c>
      <c r="U36">
        <v>0</v>
      </c>
      <c r="V36" s="25" t="s">
        <v>53</v>
      </c>
      <c r="W36">
        <v>1698.5</v>
      </c>
      <c r="Y36">
        <f t="shared" ref="Y36:Y99" si="5">W36+Y35</f>
        <v>4846.2</v>
      </c>
      <c r="AA36">
        <v>13.146071360234192</v>
      </c>
      <c r="AB36" s="25" t="s">
        <v>58</v>
      </c>
    </row>
    <row r="37" spans="1:28" x14ac:dyDescent="0.25">
      <c r="A37">
        <v>5160</v>
      </c>
      <c r="B37">
        <v>23050</v>
      </c>
      <c r="C37" s="1">
        <v>42615</v>
      </c>
      <c r="F37" s="51"/>
      <c r="G37">
        <v>21.5</v>
      </c>
      <c r="H37">
        <v>13.5</v>
      </c>
      <c r="I37">
        <v>29.3</v>
      </c>
      <c r="J37">
        <f t="shared" si="4"/>
        <v>83.5</v>
      </c>
      <c r="L37" s="21">
        <f>AVERAGE(G34:G123)</f>
        <v>12.287777777777777</v>
      </c>
      <c r="M37">
        <v>0</v>
      </c>
      <c r="N37">
        <v>3.5</v>
      </c>
      <c r="O37">
        <f t="shared" si="1"/>
        <v>-3.5</v>
      </c>
      <c r="P37" s="32">
        <v>0</v>
      </c>
      <c r="Q37" s="32">
        <v>4</v>
      </c>
      <c r="R37" s="32">
        <v>0.35</v>
      </c>
      <c r="S37" s="34">
        <f t="shared" si="2"/>
        <v>1.2249999999999999</v>
      </c>
      <c r="T37" s="33">
        <f t="shared" si="3"/>
        <v>-1.2249999999999999</v>
      </c>
      <c r="U37" s="32">
        <v>0</v>
      </c>
      <c r="V37" s="32">
        <v>69</v>
      </c>
      <c r="W37">
        <v>1523.2</v>
      </c>
      <c r="Y37">
        <f t="shared" si="5"/>
        <v>6369.4</v>
      </c>
      <c r="AA37">
        <v>13.088311880834222</v>
      </c>
      <c r="AB37">
        <f>(AB35/100)/L35</f>
        <v>0.5912342888145401</v>
      </c>
    </row>
    <row r="38" spans="1:28" x14ac:dyDescent="0.25">
      <c r="A38">
        <v>5160</v>
      </c>
      <c r="B38">
        <v>23050</v>
      </c>
      <c r="C38" s="1">
        <v>42616</v>
      </c>
      <c r="F38" s="51"/>
      <c r="G38">
        <v>21</v>
      </c>
      <c r="H38">
        <v>12.8</v>
      </c>
      <c r="I38">
        <v>27.2</v>
      </c>
      <c r="J38">
        <f t="shared" si="4"/>
        <v>104.5</v>
      </c>
      <c r="L38" s="10" t="s">
        <v>40</v>
      </c>
      <c r="M38">
        <v>0</v>
      </c>
      <c r="N38">
        <v>3.5</v>
      </c>
      <c r="O38">
        <f t="shared" si="1"/>
        <v>-3.5</v>
      </c>
      <c r="P38" s="32">
        <v>0</v>
      </c>
      <c r="Q38">
        <v>5</v>
      </c>
      <c r="R38" s="32">
        <v>0.35</v>
      </c>
      <c r="S38" s="34">
        <f t="shared" si="2"/>
        <v>1.2249999999999999</v>
      </c>
      <c r="T38" s="33">
        <f t="shared" si="3"/>
        <v>-1.2249999999999999</v>
      </c>
      <c r="U38" s="32">
        <v>0</v>
      </c>
      <c r="V38" s="25" t="s">
        <v>54</v>
      </c>
      <c r="W38">
        <v>1669.3</v>
      </c>
      <c r="Y38">
        <f t="shared" si="5"/>
        <v>8038.7</v>
      </c>
      <c r="AA38">
        <v>13.030386664638117</v>
      </c>
      <c r="AB38" s="25" t="s">
        <v>59</v>
      </c>
    </row>
    <row r="39" spans="1:28" x14ac:dyDescent="0.25">
      <c r="A39">
        <v>5160</v>
      </c>
      <c r="B39">
        <v>23050</v>
      </c>
      <c r="C39" s="1">
        <v>42617</v>
      </c>
      <c r="F39" s="51"/>
      <c r="G39">
        <v>20.399999999999999</v>
      </c>
      <c r="H39">
        <v>17.5</v>
      </c>
      <c r="I39">
        <v>23.3</v>
      </c>
      <c r="J39">
        <f t="shared" si="4"/>
        <v>124.9</v>
      </c>
      <c r="L39" s="12">
        <f>MIN(H34:H123)</f>
        <v>-0.2</v>
      </c>
      <c r="M39">
        <v>0.6</v>
      </c>
      <c r="N39">
        <v>1.7</v>
      </c>
      <c r="O39">
        <f t="shared" si="1"/>
        <v>-1.1000000000000001</v>
      </c>
      <c r="P39" s="32">
        <v>0</v>
      </c>
      <c r="Q39" s="32">
        <v>6</v>
      </c>
      <c r="R39">
        <f>0.35+((Q39-5)/85)*(1-0.35)</f>
        <v>0.35764705882352937</v>
      </c>
      <c r="S39" s="34">
        <f t="shared" si="2"/>
        <v>0.60799999999999987</v>
      </c>
      <c r="T39" s="33">
        <f t="shared" si="3"/>
        <v>-7.9999999999998961E-3</v>
      </c>
      <c r="U39" s="32">
        <v>0</v>
      </c>
      <c r="V39">
        <f>MIN(U34:U123)</f>
        <v>0</v>
      </c>
      <c r="W39">
        <v>870.7</v>
      </c>
      <c r="Y39">
        <f t="shared" si="5"/>
        <v>8909.4</v>
      </c>
      <c r="AA39">
        <v>12.972306207490314</v>
      </c>
      <c r="AB39">
        <v>59</v>
      </c>
    </row>
    <row r="40" spans="1:28" x14ac:dyDescent="0.25">
      <c r="A40">
        <v>5160</v>
      </c>
      <c r="B40">
        <v>23050</v>
      </c>
      <c r="C40" s="1">
        <v>42618</v>
      </c>
      <c r="F40" s="51"/>
      <c r="G40">
        <v>21.3</v>
      </c>
      <c r="H40">
        <v>19.3</v>
      </c>
      <c r="I40">
        <v>23.8</v>
      </c>
      <c r="J40">
        <f t="shared" si="4"/>
        <v>146.20000000000002</v>
      </c>
      <c r="L40" s="10" t="s">
        <v>41</v>
      </c>
      <c r="M40">
        <v>0</v>
      </c>
      <c r="N40">
        <v>1.6</v>
      </c>
      <c r="O40">
        <f t="shared" si="1"/>
        <v>-1.6</v>
      </c>
      <c r="P40" s="32">
        <v>0</v>
      </c>
      <c r="Q40">
        <v>7</v>
      </c>
      <c r="R40">
        <f t="shared" ref="R40:R103" si="6">0.35+((Q40-5)/85)*(1-0.35)</f>
        <v>0.36529411764705882</v>
      </c>
      <c r="S40" s="34">
        <f t="shared" si="2"/>
        <v>0.58447058823529419</v>
      </c>
      <c r="T40" s="33">
        <f t="shared" si="3"/>
        <v>-0.58447058823529419</v>
      </c>
      <c r="U40" s="32">
        <v>0</v>
      </c>
      <c r="V40" s="25" t="s">
        <v>55</v>
      </c>
      <c r="W40">
        <v>487.1</v>
      </c>
      <c r="Y40">
        <f t="shared" si="5"/>
        <v>9396.5</v>
      </c>
      <c r="AA40">
        <v>12.914080753114455</v>
      </c>
    </row>
    <row r="41" spans="1:28" x14ac:dyDescent="0.25">
      <c r="A41">
        <v>5160</v>
      </c>
      <c r="B41">
        <v>23050</v>
      </c>
      <c r="C41" s="1">
        <v>42619</v>
      </c>
      <c r="F41" s="51"/>
      <c r="G41">
        <v>20.2</v>
      </c>
      <c r="H41">
        <v>15.9</v>
      </c>
      <c r="I41">
        <v>23.4</v>
      </c>
      <c r="J41">
        <f t="shared" si="4"/>
        <v>166.4</v>
      </c>
      <c r="L41" s="11">
        <f>MAX(I34:I123)</f>
        <v>31.1</v>
      </c>
      <c r="M41">
        <v>0.1</v>
      </c>
      <c r="N41">
        <v>2</v>
      </c>
      <c r="O41">
        <f t="shared" si="1"/>
        <v>-1.9</v>
      </c>
      <c r="P41" s="32">
        <v>0</v>
      </c>
      <c r="Q41" s="32">
        <v>8</v>
      </c>
      <c r="R41">
        <f t="shared" si="6"/>
        <v>0.37294117647058822</v>
      </c>
      <c r="S41" s="34">
        <f t="shared" si="2"/>
        <v>0.74588235294117644</v>
      </c>
      <c r="T41" s="33">
        <f t="shared" si="3"/>
        <v>-0.64588235294117646</v>
      </c>
      <c r="U41" s="32">
        <v>0</v>
      </c>
      <c r="V41">
        <f>MAX(U34:U123)</f>
        <v>55.173647058823505</v>
      </c>
      <c r="W41">
        <v>835.4</v>
      </c>
      <c r="Y41">
        <f t="shared" si="5"/>
        <v>10231.9</v>
      </c>
      <c r="AA41">
        <v>12.85572030628612</v>
      </c>
    </row>
    <row r="42" spans="1:28" x14ac:dyDescent="0.25">
      <c r="A42">
        <v>5160</v>
      </c>
      <c r="B42">
        <v>23050</v>
      </c>
      <c r="C42" s="1">
        <v>42620</v>
      </c>
      <c r="F42" s="51"/>
      <c r="G42">
        <v>20.7</v>
      </c>
      <c r="H42">
        <v>14.6</v>
      </c>
      <c r="I42">
        <v>26.7</v>
      </c>
      <c r="J42">
        <f t="shared" si="4"/>
        <v>187.1</v>
      </c>
      <c r="L42" s="10" t="s">
        <v>42</v>
      </c>
      <c r="M42">
        <v>0</v>
      </c>
      <c r="N42">
        <v>4.5999999999999996</v>
      </c>
      <c r="O42">
        <f t="shared" si="1"/>
        <v>-4.5999999999999996</v>
      </c>
      <c r="P42" s="32">
        <v>0</v>
      </c>
      <c r="Q42">
        <v>9</v>
      </c>
      <c r="R42">
        <f t="shared" si="6"/>
        <v>0.38058823529411762</v>
      </c>
      <c r="S42" s="34">
        <f t="shared" si="2"/>
        <v>1.7507058823529409</v>
      </c>
      <c r="T42" s="33">
        <f t="shared" si="3"/>
        <v>-1.7507058823529409</v>
      </c>
      <c r="U42" s="32">
        <v>0</v>
      </c>
      <c r="V42" s="25" t="s">
        <v>56</v>
      </c>
      <c r="W42">
        <v>1894.8</v>
      </c>
      <c r="Y42">
        <f t="shared" si="5"/>
        <v>12126.699999999999</v>
      </c>
      <c r="AA42">
        <v>12.797234646253564</v>
      </c>
    </row>
    <row r="43" spans="1:28" x14ac:dyDescent="0.25">
      <c r="A43">
        <v>5160</v>
      </c>
      <c r="B43">
        <v>23050</v>
      </c>
      <c r="C43" s="1">
        <v>42621</v>
      </c>
      <c r="F43" s="51"/>
      <c r="G43">
        <v>18.7</v>
      </c>
      <c r="H43">
        <v>14.7</v>
      </c>
      <c r="I43">
        <v>23</v>
      </c>
      <c r="J43">
        <f t="shared" si="4"/>
        <v>205.79999999999998</v>
      </c>
      <c r="L43" s="11">
        <v>9</v>
      </c>
      <c r="M43">
        <v>0</v>
      </c>
      <c r="N43">
        <v>2.6</v>
      </c>
      <c r="O43">
        <f t="shared" si="1"/>
        <v>-2.6</v>
      </c>
      <c r="P43" s="32">
        <v>0</v>
      </c>
      <c r="Q43" s="32">
        <v>10</v>
      </c>
      <c r="R43">
        <f t="shared" si="6"/>
        <v>0.38823529411764701</v>
      </c>
      <c r="S43" s="34">
        <f t="shared" si="2"/>
        <v>1.0094117647058822</v>
      </c>
      <c r="T43" s="33">
        <f t="shared" si="3"/>
        <v>-1.0094117647058822</v>
      </c>
      <c r="U43" s="32">
        <v>0</v>
      </c>
      <c r="V43" s="11">
        <f>AVERAGE(U34:U123)</f>
        <v>15.248024836601305</v>
      </c>
      <c r="W43">
        <v>773.2</v>
      </c>
      <c r="Y43">
        <f t="shared" si="5"/>
        <v>12899.9</v>
      </c>
      <c r="AA43">
        <v>12.738633340382298</v>
      </c>
    </row>
    <row r="44" spans="1:28" x14ac:dyDescent="0.25">
      <c r="A44">
        <v>5160</v>
      </c>
      <c r="B44">
        <v>23050</v>
      </c>
      <c r="C44" s="1">
        <v>42622</v>
      </c>
      <c r="F44" s="51"/>
      <c r="G44">
        <v>17.100000000000001</v>
      </c>
      <c r="H44">
        <v>9.6999999999999993</v>
      </c>
      <c r="I44">
        <v>24.3</v>
      </c>
      <c r="J44">
        <f t="shared" si="4"/>
        <v>222.89999999999998</v>
      </c>
      <c r="L44" s="10" t="s">
        <v>43</v>
      </c>
      <c r="M44">
        <v>0</v>
      </c>
      <c r="N44">
        <v>3.2</v>
      </c>
      <c r="O44">
        <f t="shared" si="1"/>
        <v>-3.2</v>
      </c>
      <c r="P44" s="32">
        <v>0</v>
      </c>
      <c r="Q44">
        <v>11</v>
      </c>
      <c r="R44">
        <f t="shared" si="6"/>
        <v>0.39588235294117646</v>
      </c>
      <c r="S44" s="34">
        <f t="shared" si="2"/>
        <v>1.2668235294117647</v>
      </c>
      <c r="T44" s="33">
        <f t="shared" si="3"/>
        <v>-1.2668235294117647</v>
      </c>
      <c r="U44" s="32">
        <v>0</v>
      </c>
      <c r="W44">
        <v>1619.9</v>
      </c>
      <c r="Y44">
        <f t="shared" si="5"/>
        <v>14519.8</v>
      </c>
      <c r="AA44">
        <v>12.679925758001071</v>
      </c>
    </row>
    <row r="45" spans="1:28" x14ac:dyDescent="0.25">
      <c r="A45">
        <v>5160</v>
      </c>
      <c r="B45">
        <v>23050</v>
      </c>
      <c r="C45" s="1">
        <v>42623</v>
      </c>
      <c r="F45" s="51"/>
      <c r="G45">
        <v>17.8</v>
      </c>
      <c r="H45">
        <v>9.3000000000000007</v>
      </c>
      <c r="I45">
        <v>24.1</v>
      </c>
      <c r="J45">
        <f t="shared" si="4"/>
        <v>240.7</v>
      </c>
      <c r="L45" s="11">
        <v>20</v>
      </c>
      <c r="M45">
        <v>0</v>
      </c>
      <c r="N45">
        <v>3.1</v>
      </c>
      <c r="O45">
        <f t="shared" si="1"/>
        <v>-3.1</v>
      </c>
      <c r="P45" s="32">
        <v>0</v>
      </c>
      <c r="Q45" s="32">
        <v>12</v>
      </c>
      <c r="R45">
        <f t="shared" si="6"/>
        <v>0.40352941176470586</v>
      </c>
      <c r="S45" s="34">
        <f t="shared" si="2"/>
        <v>1.2509411764705882</v>
      </c>
      <c r="T45" s="33">
        <f t="shared" si="3"/>
        <v>-1.2509411764705882</v>
      </c>
      <c r="U45" s="32">
        <v>0</v>
      </c>
      <c r="V45" s="11">
        <f>(V43*100)/146.7</f>
        <v>10.39401829352509</v>
      </c>
      <c r="W45">
        <v>1617.4</v>
      </c>
      <c r="Y45">
        <f t="shared" si="5"/>
        <v>16137.199999999999</v>
      </c>
      <c r="AA45">
        <v>12.621121084428383</v>
      </c>
    </row>
    <row r="46" spans="1:28" x14ac:dyDescent="0.25">
      <c r="A46">
        <v>5160</v>
      </c>
      <c r="B46">
        <v>23050</v>
      </c>
      <c r="C46" s="1">
        <v>42624</v>
      </c>
      <c r="F46" s="51"/>
      <c r="G46">
        <v>20.3</v>
      </c>
      <c r="H46">
        <v>17.600000000000001</v>
      </c>
      <c r="I46">
        <v>23.3</v>
      </c>
      <c r="J46">
        <f t="shared" si="4"/>
        <v>261</v>
      </c>
      <c r="L46" s="10" t="s">
        <v>44</v>
      </c>
      <c r="M46">
        <v>0</v>
      </c>
      <c r="N46">
        <v>1.4</v>
      </c>
      <c r="O46">
        <f t="shared" si="1"/>
        <v>-1.4</v>
      </c>
      <c r="P46" s="32">
        <v>0</v>
      </c>
      <c r="Q46">
        <v>13</v>
      </c>
      <c r="R46">
        <f t="shared" si="6"/>
        <v>0.41117647058823525</v>
      </c>
      <c r="S46" s="34">
        <f t="shared" si="2"/>
        <v>0.57564705882352929</v>
      </c>
      <c r="T46" s="33">
        <f t="shared" si="3"/>
        <v>-0.57564705882352929</v>
      </c>
      <c r="U46" s="32">
        <v>0</v>
      </c>
      <c r="W46">
        <v>490.9</v>
      </c>
      <c r="Y46">
        <f t="shared" si="5"/>
        <v>16628.099999999999</v>
      </c>
      <c r="AA46">
        <v>12.562228335160158</v>
      </c>
    </row>
    <row r="47" spans="1:28" x14ac:dyDescent="0.25">
      <c r="A47">
        <v>5160</v>
      </c>
      <c r="B47">
        <v>23050</v>
      </c>
      <c r="C47" s="1">
        <v>42625</v>
      </c>
      <c r="F47" s="51"/>
      <c r="G47">
        <v>21.8</v>
      </c>
      <c r="H47">
        <v>14.3</v>
      </c>
      <c r="I47">
        <v>29.8</v>
      </c>
      <c r="J47">
        <f t="shared" si="4"/>
        <v>282.8</v>
      </c>
      <c r="L47" s="11">
        <v>1</v>
      </c>
      <c r="M47">
        <v>0.4</v>
      </c>
      <c r="N47">
        <v>2.6</v>
      </c>
      <c r="O47">
        <f t="shared" si="1"/>
        <v>-2.2000000000000002</v>
      </c>
      <c r="P47" s="32">
        <v>0</v>
      </c>
      <c r="Q47" s="32">
        <v>14</v>
      </c>
      <c r="R47">
        <f t="shared" si="6"/>
        <v>0.41882352941176471</v>
      </c>
      <c r="S47" s="34">
        <f t="shared" si="2"/>
        <v>1.0889411764705883</v>
      </c>
      <c r="T47" s="33">
        <f t="shared" si="3"/>
        <v>-0.68894117647058828</v>
      </c>
      <c r="U47" s="32">
        <v>0</v>
      </c>
      <c r="W47">
        <v>1132</v>
      </c>
      <c r="Y47">
        <f t="shared" si="5"/>
        <v>17760.099999999999</v>
      </c>
      <c r="AA47">
        <v>12.503256370200555</v>
      </c>
    </row>
    <row r="48" spans="1:28" x14ac:dyDescent="0.25">
      <c r="A48">
        <v>5160</v>
      </c>
      <c r="B48">
        <v>23050</v>
      </c>
      <c r="C48" s="1">
        <v>42626</v>
      </c>
      <c r="F48" s="51"/>
      <c r="G48">
        <v>23.6</v>
      </c>
      <c r="H48">
        <v>17</v>
      </c>
      <c r="I48">
        <v>31.1</v>
      </c>
      <c r="J48">
        <f t="shared" si="4"/>
        <v>306.40000000000003</v>
      </c>
      <c r="M48">
        <v>0</v>
      </c>
      <c r="N48">
        <v>4.4000000000000004</v>
      </c>
      <c r="O48">
        <f t="shared" si="1"/>
        <v>-4.4000000000000004</v>
      </c>
      <c r="P48" s="32">
        <v>0</v>
      </c>
      <c r="Q48">
        <v>15</v>
      </c>
      <c r="R48">
        <f t="shared" si="6"/>
        <v>0.4264705882352941</v>
      </c>
      <c r="S48" s="34">
        <f t="shared" si="2"/>
        <v>1.8764705882352941</v>
      </c>
      <c r="T48" s="33">
        <f t="shared" si="3"/>
        <v>-1.8764705882352941</v>
      </c>
      <c r="U48" s="32">
        <v>0</v>
      </c>
      <c r="W48">
        <v>1638.1</v>
      </c>
      <c r="Y48">
        <f t="shared" si="5"/>
        <v>19398.199999999997</v>
      </c>
      <c r="AA48">
        <v>12.444213908519203</v>
      </c>
    </row>
    <row r="49" spans="1:27" x14ac:dyDescent="0.25">
      <c r="A49">
        <v>5160</v>
      </c>
      <c r="B49">
        <v>23050</v>
      </c>
      <c r="C49" s="1">
        <v>42627</v>
      </c>
      <c r="F49" s="51"/>
      <c r="G49">
        <v>17.3</v>
      </c>
      <c r="H49">
        <v>14.3</v>
      </c>
      <c r="I49">
        <v>20.7</v>
      </c>
      <c r="J49">
        <f t="shared" si="4"/>
        <v>323.70000000000005</v>
      </c>
      <c r="M49">
        <v>7.9</v>
      </c>
      <c r="N49">
        <v>1.9</v>
      </c>
      <c r="O49">
        <f t="shared" si="1"/>
        <v>6</v>
      </c>
      <c r="P49">
        <f>O49</f>
        <v>6</v>
      </c>
      <c r="Q49" s="32">
        <v>16</v>
      </c>
      <c r="R49">
        <f t="shared" si="6"/>
        <v>0.4341176470588235</v>
      </c>
      <c r="S49" s="34">
        <f t="shared" si="2"/>
        <v>0.82482352941176462</v>
      </c>
      <c r="T49" s="33">
        <f t="shared" si="3"/>
        <v>7.0751764705882358</v>
      </c>
      <c r="U49" s="33">
        <f>T49</f>
        <v>7.0751764705882358</v>
      </c>
      <c r="W49">
        <v>1044.7</v>
      </c>
      <c r="Y49">
        <f t="shared" si="5"/>
        <v>20442.899999999998</v>
      </c>
      <c r="AA49">
        <v>12.385109542619295</v>
      </c>
    </row>
    <row r="50" spans="1:27" x14ac:dyDescent="0.25">
      <c r="A50">
        <v>5160</v>
      </c>
      <c r="B50">
        <v>23050</v>
      </c>
      <c r="C50" s="1">
        <v>42628</v>
      </c>
      <c r="F50" s="51"/>
      <c r="G50">
        <v>16</v>
      </c>
      <c r="H50">
        <v>15.4</v>
      </c>
      <c r="I50">
        <v>17</v>
      </c>
      <c r="J50">
        <f t="shared" si="4"/>
        <v>339.70000000000005</v>
      </c>
      <c r="M50">
        <v>1.5</v>
      </c>
      <c r="N50">
        <v>1.1000000000000001</v>
      </c>
      <c r="O50">
        <f t="shared" si="1"/>
        <v>0.39999999999999991</v>
      </c>
      <c r="P50">
        <f>P49+O50</f>
        <v>6.4</v>
      </c>
      <c r="Q50">
        <v>17</v>
      </c>
      <c r="R50">
        <f t="shared" si="6"/>
        <v>0.44176470588235295</v>
      </c>
      <c r="S50" s="34">
        <f t="shared" si="2"/>
        <v>0.48594117647058827</v>
      </c>
      <c r="T50" s="33">
        <f t="shared" si="3"/>
        <v>1.0140588235294117</v>
      </c>
      <c r="U50" s="33">
        <f>MIN(U49+T50,146.7)</f>
        <v>8.089235294117648</v>
      </c>
      <c r="W50">
        <v>592.5</v>
      </c>
      <c r="Y50">
        <f t="shared" si="5"/>
        <v>21035.399999999998</v>
      </c>
      <c r="AA50">
        <v>12.325951753202009</v>
      </c>
    </row>
    <row r="51" spans="1:27" x14ac:dyDescent="0.25">
      <c r="A51">
        <v>5160</v>
      </c>
      <c r="B51">
        <v>23050</v>
      </c>
      <c r="C51" s="1">
        <v>42629</v>
      </c>
      <c r="F51" s="51"/>
      <c r="G51">
        <v>13.4</v>
      </c>
      <c r="H51">
        <v>11.4</v>
      </c>
      <c r="I51">
        <v>15.6</v>
      </c>
      <c r="J51">
        <f t="shared" si="4"/>
        <v>353.1</v>
      </c>
      <c r="M51">
        <v>5.8</v>
      </c>
      <c r="N51">
        <v>0.9</v>
      </c>
      <c r="O51">
        <f t="shared" si="1"/>
        <v>4.8999999999999995</v>
      </c>
      <c r="P51">
        <f t="shared" ref="P51:P114" si="7">P50+O51</f>
        <v>11.3</v>
      </c>
      <c r="Q51" s="32">
        <v>18</v>
      </c>
      <c r="R51">
        <f t="shared" si="6"/>
        <v>0.44941176470588234</v>
      </c>
      <c r="S51" s="34">
        <f t="shared" si="2"/>
        <v>0.40447058823529414</v>
      </c>
      <c r="T51" s="33">
        <f t="shared" si="3"/>
        <v>5.3955294117647057</v>
      </c>
      <c r="U51" s="33">
        <f t="shared" ref="U51:U114" si="8">MIN(U50+T51,146.7)</f>
        <v>13.484764705882354</v>
      </c>
      <c r="W51">
        <v>499</v>
      </c>
      <c r="Y51">
        <f t="shared" si="5"/>
        <v>21534.399999999998</v>
      </c>
      <c r="AA51">
        <v>12.266748923913722</v>
      </c>
    </row>
    <row r="52" spans="1:27" x14ac:dyDescent="0.25">
      <c r="A52">
        <v>5160</v>
      </c>
      <c r="B52">
        <v>23050</v>
      </c>
      <c r="C52" s="1">
        <v>42630</v>
      </c>
      <c r="F52" s="51"/>
      <c r="G52">
        <v>13.8</v>
      </c>
      <c r="H52">
        <v>10.9</v>
      </c>
      <c r="I52">
        <v>16.899999999999999</v>
      </c>
      <c r="J52">
        <f t="shared" si="4"/>
        <v>366.90000000000003</v>
      </c>
      <c r="M52">
        <v>0.8</v>
      </c>
      <c r="N52">
        <v>1.7</v>
      </c>
      <c r="O52">
        <f t="shared" si="1"/>
        <v>-0.89999999999999991</v>
      </c>
      <c r="P52">
        <f t="shared" si="7"/>
        <v>10.4</v>
      </c>
      <c r="Q52">
        <v>19</v>
      </c>
      <c r="R52">
        <f t="shared" si="6"/>
        <v>0.45705882352941174</v>
      </c>
      <c r="S52" s="34">
        <f t="shared" si="2"/>
        <v>0.77699999999999991</v>
      </c>
      <c r="T52" s="33">
        <f t="shared" si="3"/>
        <v>2.3000000000000131E-2</v>
      </c>
      <c r="U52" s="33">
        <f t="shared" si="8"/>
        <v>13.507764705882353</v>
      </c>
      <c r="W52">
        <v>916.1</v>
      </c>
      <c r="Y52">
        <f t="shared" si="5"/>
        <v>22450.499999999996</v>
      </c>
      <c r="AA52">
        <v>12.207509356163264</v>
      </c>
    </row>
    <row r="53" spans="1:27" x14ac:dyDescent="0.25">
      <c r="A53">
        <v>5160</v>
      </c>
      <c r="B53">
        <v>23050</v>
      </c>
      <c r="C53" s="1">
        <v>42631</v>
      </c>
      <c r="F53" s="51"/>
      <c r="G53">
        <v>15.8</v>
      </c>
      <c r="H53">
        <v>13.2</v>
      </c>
      <c r="I53">
        <v>18.899999999999999</v>
      </c>
      <c r="J53">
        <f t="shared" si="4"/>
        <v>382.70000000000005</v>
      </c>
      <c r="M53">
        <v>0.2</v>
      </c>
      <c r="N53">
        <v>0.9</v>
      </c>
      <c r="O53">
        <f t="shared" si="1"/>
        <v>-0.7</v>
      </c>
      <c r="P53">
        <f t="shared" si="7"/>
        <v>9.7000000000000011</v>
      </c>
      <c r="Q53" s="32">
        <v>20</v>
      </c>
      <c r="R53">
        <f t="shared" si="6"/>
        <v>0.46470588235294119</v>
      </c>
      <c r="S53" s="34">
        <f t="shared" si="2"/>
        <v>0.41823529411764709</v>
      </c>
      <c r="T53" s="33">
        <f t="shared" si="3"/>
        <v>-0.21823529411764708</v>
      </c>
      <c r="U53" s="33">
        <f t="shared" si="8"/>
        <v>13.289529411764706</v>
      </c>
      <c r="W53">
        <v>379.5</v>
      </c>
      <c r="Y53">
        <f t="shared" si="5"/>
        <v>22829.999999999996</v>
      </c>
      <c r="AA53">
        <v>12.148241283997226</v>
      </c>
    </row>
    <row r="54" spans="1:27" x14ac:dyDescent="0.25">
      <c r="A54">
        <v>5160</v>
      </c>
      <c r="B54">
        <v>23050</v>
      </c>
      <c r="C54" s="1">
        <v>42632</v>
      </c>
      <c r="F54" s="51"/>
      <c r="G54">
        <v>15.8</v>
      </c>
      <c r="H54">
        <v>12.5</v>
      </c>
      <c r="I54">
        <v>19.5</v>
      </c>
      <c r="J54">
        <f t="shared" si="4"/>
        <v>398.50000000000006</v>
      </c>
      <c r="M54">
        <v>0</v>
      </c>
      <c r="N54">
        <v>1.6</v>
      </c>
      <c r="O54">
        <f t="shared" si="1"/>
        <v>-1.6</v>
      </c>
      <c r="P54">
        <f t="shared" si="7"/>
        <v>8.1000000000000014</v>
      </c>
      <c r="Q54">
        <v>21</v>
      </c>
      <c r="R54">
        <f t="shared" si="6"/>
        <v>0.47235294117647059</v>
      </c>
      <c r="S54" s="34">
        <f t="shared" si="2"/>
        <v>0.75576470588235301</v>
      </c>
      <c r="T54" s="33">
        <f t="shared" si="3"/>
        <v>-0.75576470588235301</v>
      </c>
      <c r="U54" s="33">
        <f t="shared" si="8"/>
        <v>12.533764705882353</v>
      </c>
      <c r="W54">
        <v>1016.3</v>
      </c>
      <c r="Y54">
        <f t="shared" si="5"/>
        <v>23846.299999999996</v>
      </c>
      <c r="AA54">
        <v>12.088952889021916</v>
      </c>
    </row>
    <row r="55" spans="1:27" x14ac:dyDescent="0.25">
      <c r="A55">
        <v>5160</v>
      </c>
      <c r="B55">
        <v>23050</v>
      </c>
      <c r="C55" s="1">
        <v>42633</v>
      </c>
      <c r="F55" s="51"/>
      <c r="G55">
        <v>14.9</v>
      </c>
      <c r="H55">
        <v>12.4</v>
      </c>
      <c r="I55">
        <v>18.8</v>
      </c>
      <c r="J55">
        <f t="shared" si="4"/>
        <v>413.40000000000003</v>
      </c>
      <c r="M55">
        <v>1</v>
      </c>
      <c r="N55">
        <v>1.6</v>
      </c>
      <c r="O55">
        <f t="shared" si="1"/>
        <v>-0.60000000000000009</v>
      </c>
      <c r="P55">
        <f t="shared" si="7"/>
        <v>7.5000000000000018</v>
      </c>
      <c r="Q55" s="32">
        <v>22</v>
      </c>
      <c r="R55">
        <f t="shared" si="6"/>
        <v>0.48</v>
      </c>
      <c r="S55" s="34">
        <f t="shared" si="2"/>
        <v>0.76800000000000002</v>
      </c>
      <c r="T55" s="33">
        <f t="shared" si="3"/>
        <v>0.23199999999999998</v>
      </c>
      <c r="U55" s="33">
        <f t="shared" si="8"/>
        <v>12.765764705882352</v>
      </c>
      <c r="W55">
        <v>953.6</v>
      </c>
      <c r="Y55">
        <f t="shared" si="5"/>
        <v>24799.899999999994</v>
      </c>
      <c r="AA55">
        <v>12.029652315361083</v>
      </c>
    </row>
    <row r="56" spans="1:27" x14ac:dyDescent="0.25">
      <c r="A56">
        <v>5160</v>
      </c>
      <c r="B56">
        <v>23050</v>
      </c>
      <c r="C56" s="1">
        <v>42634</v>
      </c>
      <c r="F56" s="51"/>
      <c r="G56">
        <v>13.9</v>
      </c>
      <c r="H56">
        <v>7.1</v>
      </c>
      <c r="I56">
        <v>20.5</v>
      </c>
      <c r="J56">
        <f t="shared" si="4"/>
        <v>427.3</v>
      </c>
      <c r="M56">
        <v>0</v>
      </c>
      <c r="N56">
        <v>2.5</v>
      </c>
      <c r="O56">
        <f t="shared" si="1"/>
        <v>-2.5</v>
      </c>
      <c r="P56">
        <f t="shared" si="7"/>
        <v>5.0000000000000018</v>
      </c>
      <c r="Q56">
        <v>23</v>
      </c>
      <c r="R56">
        <f t="shared" si="6"/>
        <v>0.48764705882352943</v>
      </c>
      <c r="S56" s="34">
        <f t="shared" si="2"/>
        <v>1.2191176470588236</v>
      </c>
      <c r="T56" s="33">
        <f t="shared" si="3"/>
        <v>-1.2191176470588236</v>
      </c>
      <c r="U56" s="33">
        <f t="shared" si="8"/>
        <v>11.546647058823529</v>
      </c>
      <c r="W56">
        <v>1568.2</v>
      </c>
      <c r="Y56">
        <f t="shared" si="5"/>
        <v>26368.099999999995</v>
      </c>
      <c r="AA56">
        <v>11.970347684638918</v>
      </c>
    </row>
    <row r="57" spans="1:27" x14ac:dyDescent="0.25">
      <c r="A57">
        <v>5160</v>
      </c>
      <c r="B57">
        <v>23050</v>
      </c>
      <c r="C57" s="1">
        <v>42635</v>
      </c>
      <c r="F57" s="51"/>
      <c r="G57">
        <v>15.9</v>
      </c>
      <c r="H57">
        <v>9.1</v>
      </c>
      <c r="I57">
        <v>22.6</v>
      </c>
      <c r="J57">
        <f t="shared" si="4"/>
        <v>443.2</v>
      </c>
      <c r="M57">
        <v>0</v>
      </c>
      <c r="N57">
        <v>2.2999999999999998</v>
      </c>
      <c r="O57">
        <f t="shared" si="1"/>
        <v>-2.2999999999999998</v>
      </c>
      <c r="P57">
        <f t="shared" si="7"/>
        <v>2.700000000000002</v>
      </c>
      <c r="Q57" s="32">
        <v>24</v>
      </c>
      <c r="R57">
        <f t="shared" si="6"/>
        <v>0.49529411764705877</v>
      </c>
      <c r="S57" s="34">
        <f t="shared" si="2"/>
        <v>1.139176470588235</v>
      </c>
      <c r="T57" s="33">
        <f t="shared" si="3"/>
        <v>-1.139176470588235</v>
      </c>
      <c r="U57" s="33">
        <f t="shared" si="8"/>
        <v>10.407470588235295</v>
      </c>
      <c r="W57">
        <v>1298.0999999999999</v>
      </c>
      <c r="Y57">
        <f t="shared" si="5"/>
        <v>27666.199999999993</v>
      </c>
      <c r="AA57">
        <v>11.911047110978085</v>
      </c>
    </row>
    <row r="58" spans="1:27" x14ac:dyDescent="0.25">
      <c r="A58">
        <v>5160</v>
      </c>
      <c r="B58">
        <v>23050</v>
      </c>
      <c r="C58" s="1">
        <v>42636</v>
      </c>
      <c r="F58" s="51"/>
      <c r="G58">
        <v>16.7</v>
      </c>
      <c r="H58">
        <v>11</v>
      </c>
      <c r="I58">
        <v>23.8</v>
      </c>
      <c r="J58">
        <f t="shared" si="4"/>
        <v>459.9</v>
      </c>
      <c r="M58">
        <v>0</v>
      </c>
      <c r="N58">
        <v>2.6</v>
      </c>
      <c r="O58">
        <f t="shared" si="1"/>
        <v>-2.6</v>
      </c>
      <c r="P58">
        <f t="shared" si="7"/>
        <v>0.10000000000000187</v>
      </c>
      <c r="Q58">
        <v>25</v>
      </c>
      <c r="R58">
        <f t="shared" si="6"/>
        <v>0.50294117647058822</v>
      </c>
      <c r="S58" s="34">
        <f t="shared" si="2"/>
        <v>1.3076470588235294</v>
      </c>
      <c r="T58" s="33">
        <f t="shared" si="3"/>
        <v>-1.3076470588235294</v>
      </c>
      <c r="U58" s="33">
        <f t="shared" si="8"/>
        <v>9.0998235294117649</v>
      </c>
      <c r="W58">
        <v>1394.8</v>
      </c>
      <c r="Y58">
        <f t="shared" si="5"/>
        <v>29060.999999999993</v>
      </c>
      <c r="AA58">
        <v>11.851758716002776</v>
      </c>
    </row>
    <row r="59" spans="1:27" x14ac:dyDescent="0.25">
      <c r="A59">
        <v>5160</v>
      </c>
      <c r="B59">
        <v>23050</v>
      </c>
      <c r="C59" s="1">
        <v>42637</v>
      </c>
      <c r="F59" s="51"/>
      <c r="G59">
        <v>16.7</v>
      </c>
      <c r="H59">
        <v>9.6</v>
      </c>
      <c r="I59">
        <v>25.1</v>
      </c>
      <c r="J59">
        <f t="shared" si="4"/>
        <v>476.59999999999997</v>
      </c>
      <c r="M59">
        <v>0</v>
      </c>
      <c r="N59">
        <v>3.6</v>
      </c>
      <c r="O59">
        <f t="shared" si="1"/>
        <v>-3.6</v>
      </c>
      <c r="P59">
        <v>0</v>
      </c>
      <c r="Q59" s="32">
        <v>26</v>
      </c>
      <c r="R59">
        <f t="shared" si="6"/>
        <v>0.51058823529411768</v>
      </c>
      <c r="S59" s="34">
        <f t="shared" si="2"/>
        <v>1.8381176470588236</v>
      </c>
      <c r="T59" s="33">
        <f t="shared" si="3"/>
        <v>-1.8381176470588236</v>
      </c>
      <c r="U59" s="33">
        <f t="shared" si="8"/>
        <v>7.261705882352941</v>
      </c>
      <c r="W59">
        <v>1558.6</v>
      </c>
      <c r="Y59">
        <f t="shared" si="5"/>
        <v>30619.599999999991</v>
      </c>
      <c r="AA59">
        <v>11.792490643836736</v>
      </c>
    </row>
    <row r="60" spans="1:27" x14ac:dyDescent="0.25">
      <c r="A60">
        <v>5160</v>
      </c>
      <c r="B60">
        <v>23050</v>
      </c>
      <c r="C60" s="1">
        <v>42638</v>
      </c>
      <c r="F60" s="51"/>
      <c r="G60">
        <v>14.7</v>
      </c>
      <c r="H60">
        <v>13.2</v>
      </c>
      <c r="I60">
        <v>18.8</v>
      </c>
      <c r="J60">
        <f t="shared" si="4"/>
        <v>491.29999999999995</v>
      </c>
      <c r="M60">
        <v>0.5</v>
      </c>
      <c r="N60">
        <v>2.2999999999999998</v>
      </c>
      <c r="O60">
        <f t="shared" si="1"/>
        <v>-1.7999999999999998</v>
      </c>
      <c r="P60">
        <v>0</v>
      </c>
      <c r="Q60">
        <v>27</v>
      </c>
      <c r="R60">
        <f t="shared" si="6"/>
        <v>0.51823529411764713</v>
      </c>
      <c r="S60" s="34">
        <f t="shared" si="2"/>
        <v>1.1919411764705883</v>
      </c>
      <c r="T60" s="33">
        <f t="shared" si="3"/>
        <v>-0.69194117647058828</v>
      </c>
      <c r="U60" s="33">
        <f t="shared" si="8"/>
        <v>6.5697647058823527</v>
      </c>
      <c r="W60">
        <v>1090.5999999999999</v>
      </c>
      <c r="Y60">
        <f t="shared" si="5"/>
        <v>31710.19999999999</v>
      </c>
      <c r="AA60">
        <v>11.733251076086276</v>
      </c>
    </row>
    <row r="61" spans="1:27" x14ac:dyDescent="0.25">
      <c r="A61">
        <v>5160</v>
      </c>
      <c r="B61">
        <v>23050</v>
      </c>
      <c r="C61" s="1">
        <v>42639</v>
      </c>
      <c r="F61" s="51"/>
      <c r="G61">
        <v>13.8</v>
      </c>
      <c r="H61">
        <v>7.2</v>
      </c>
      <c r="I61">
        <v>21.1</v>
      </c>
      <c r="J61">
        <f t="shared" si="4"/>
        <v>505.09999999999997</v>
      </c>
      <c r="M61">
        <v>0</v>
      </c>
      <c r="N61">
        <v>1.7</v>
      </c>
      <c r="O61">
        <f t="shared" si="1"/>
        <v>-1.7</v>
      </c>
      <c r="P61">
        <v>0</v>
      </c>
      <c r="Q61" s="32">
        <v>28</v>
      </c>
      <c r="R61">
        <f t="shared" si="6"/>
        <v>0.52588235294117647</v>
      </c>
      <c r="S61" s="34">
        <f t="shared" si="2"/>
        <v>0.89400000000000002</v>
      </c>
      <c r="T61" s="33">
        <f t="shared" si="3"/>
        <v>-0.89400000000000002</v>
      </c>
      <c r="U61" s="33">
        <f t="shared" si="8"/>
        <v>5.6757647058823526</v>
      </c>
      <c r="W61">
        <v>923.1</v>
      </c>
      <c r="Y61">
        <f t="shared" si="5"/>
        <v>32633.299999999988</v>
      </c>
      <c r="AA61">
        <v>11.674048246797987</v>
      </c>
    </row>
    <row r="62" spans="1:27" x14ac:dyDescent="0.25">
      <c r="A62">
        <v>5160</v>
      </c>
      <c r="B62">
        <v>23050</v>
      </c>
      <c r="C62" s="1">
        <v>42640</v>
      </c>
      <c r="F62" s="51"/>
      <c r="G62">
        <v>16.3</v>
      </c>
      <c r="H62">
        <v>9.5</v>
      </c>
      <c r="I62">
        <v>23.1</v>
      </c>
      <c r="J62">
        <f t="shared" si="4"/>
        <v>521.4</v>
      </c>
      <c r="M62">
        <v>0</v>
      </c>
      <c r="N62">
        <v>2.2999999999999998</v>
      </c>
      <c r="O62">
        <f t="shared" si="1"/>
        <v>-2.2999999999999998</v>
      </c>
      <c r="P62">
        <v>0</v>
      </c>
      <c r="Q62">
        <v>29</v>
      </c>
      <c r="R62">
        <f t="shared" si="6"/>
        <v>0.53352941176470581</v>
      </c>
      <c r="S62" s="34">
        <f t="shared" si="2"/>
        <v>1.2271176470588232</v>
      </c>
      <c r="T62" s="33">
        <f t="shared" si="3"/>
        <v>-1.2271176470588232</v>
      </c>
      <c r="U62" s="33">
        <f t="shared" si="8"/>
        <v>4.4486470588235294</v>
      </c>
      <c r="W62">
        <v>967.4</v>
      </c>
      <c r="Y62">
        <f t="shared" si="5"/>
        <v>33600.69999999999</v>
      </c>
      <c r="AA62">
        <v>11.614890457380705</v>
      </c>
    </row>
    <row r="63" spans="1:27" x14ac:dyDescent="0.25">
      <c r="A63">
        <v>5160</v>
      </c>
      <c r="B63">
        <v>23050</v>
      </c>
      <c r="C63" s="1">
        <v>42641</v>
      </c>
      <c r="F63" s="51"/>
      <c r="G63">
        <v>15.8</v>
      </c>
      <c r="H63">
        <v>10.8</v>
      </c>
      <c r="I63">
        <v>21.4</v>
      </c>
      <c r="J63">
        <f t="shared" si="4"/>
        <v>537.19999999999993</v>
      </c>
      <c r="M63">
        <v>0.1</v>
      </c>
      <c r="N63">
        <v>1.2</v>
      </c>
      <c r="O63">
        <f t="shared" si="1"/>
        <v>-1.0999999999999999</v>
      </c>
      <c r="P63">
        <v>0</v>
      </c>
      <c r="Q63" s="32">
        <v>30</v>
      </c>
      <c r="R63">
        <f t="shared" si="6"/>
        <v>0.54117647058823526</v>
      </c>
      <c r="S63" s="34">
        <f t="shared" si="2"/>
        <v>0.64941176470588224</v>
      </c>
      <c r="T63" s="33">
        <f t="shared" si="3"/>
        <v>-0.54941176470588227</v>
      </c>
      <c r="U63" s="33">
        <f t="shared" si="8"/>
        <v>3.8992352941176471</v>
      </c>
      <c r="W63">
        <v>511.2</v>
      </c>
      <c r="Y63">
        <f t="shared" si="5"/>
        <v>34111.899999999987</v>
      </c>
      <c r="AA63">
        <v>11.555786091480796</v>
      </c>
    </row>
    <row r="64" spans="1:27" x14ac:dyDescent="0.25">
      <c r="A64">
        <v>5160</v>
      </c>
      <c r="B64">
        <v>23050</v>
      </c>
      <c r="C64" s="1">
        <v>42642</v>
      </c>
      <c r="F64" s="51"/>
      <c r="G64">
        <v>17.399999999999999</v>
      </c>
      <c r="H64">
        <v>11.6</v>
      </c>
      <c r="I64">
        <v>23.4</v>
      </c>
      <c r="J64">
        <f t="shared" si="4"/>
        <v>554.59999999999991</v>
      </c>
      <c r="M64">
        <v>0.3</v>
      </c>
      <c r="N64">
        <v>2.2000000000000002</v>
      </c>
      <c r="O64">
        <f t="shared" si="1"/>
        <v>-1.9000000000000001</v>
      </c>
      <c r="P64">
        <v>0</v>
      </c>
      <c r="Q64">
        <v>31</v>
      </c>
      <c r="R64">
        <f t="shared" si="6"/>
        <v>0.54882352941176471</v>
      </c>
      <c r="S64" s="34">
        <f t="shared" si="2"/>
        <v>1.2074117647058824</v>
      </c>
      <c r="T64" s="33">
        <f t="shared" si="3"/>
        <v>-0.90741176470588236</v>
      </c>
      <c r="U64" s="33">
        <f t="shared" si="8"/>
        <v>2.9918235294117648</v>
      </c>
      <c r="W64">
        <v>847.4</v>
      </c>
      <c r="Y64">
        <f t="shared" si="5"/>
        <v>34959.299999999988</v>
      </c>
      <c r="AA64">
        <v>11.496743629799445</v>
      </c>
    </row>
    <row r="65" spans="1:27" x14ac:dyDescent="0.25">
      <c r="A65">
        <v>5160</v>
      </c>
      <c r="B65">
        <v>23050</v>
      </c>
      <c r="C65" s="1">
        <v>42643</v>
      </c>
      <c r="F65" s="51"/>
      <c r="G65">
        <v>14.6</v>
      </c>
      <c r="H65">
        <v>13.4</v>
      </c>
      <c r="I65">
        <v>17</v>
      </c>
      <c r="J65">
        <f t="shared" si="4"/>
        <v>569.19999999999993</v>
      </c>
      <c r="M65">
        <v>17.600000000000001</v>
      </c>
      <c r="N65">
        <v>0.8</v>
      </c>
      <c r="O65">
        <f t="shared" si="1"/>
        <v>16.8</v>
      </c>
      <c r="P65">
        <f t="shared" si="7"/>
        <v>16.8</v>
      </c>
      <c r="Q65" s="32">
        <v>32</v>
      </c>
      <c r="R65">
        <f t="shared" si="6"/>
        <v>0.55647058823529405</v>
      </c>
      <c r="S65" s="34">
        <f t="shared" si="2"/>
        <v>0.44517647058823528</v>
      </c>
      <c r="T65" s="33">
        <f t="shared" si="3"/>
        <v>17.154823529411765</v>
      </c>
      <c r="U65" s="33">
        <f t="shared" si="8"/>
        <v>20.146647058823529</v>
      </c>
      <c r="W65">
        <v>529</v>
      </c>
      <c r="Y65">
        <f t="shared" si="5"/>
        <v>35488.299999999988</v>
      </c>
      <c r="AA65">
        <v>11.437771664839843</v>
      </c>
    </row>
    <row r="66" spans="1:27" x14ac:dyDescent="0.25">
      <c r="A66">
        <v>5160</v>
      </c>
      <c r="B66">
        <v>23050</v>
      </c>
      <c r="C66" s="1">
        <v>42644</v>
      </c>
      <c r="F66" s="51"/>
      <c r="G66">
        <v>13.6</v>
      </c>
      <c r="H66">
        <v>12.3</v>
      </c>
      <c r="I66">
        <v>17.5</v>
      </c>
      <c r="J66">
        <f t="shared" si="4"/>
        <v>582.79999999999995</v>
      </c>
      <c r="M66">
        <v>1.3</v>
      </c>
      <c r="N66">
        <v>2</v>
      </c>
      <c r="O66">
        <f t="shared" si="1"/>
        <v>-0.7</v>
      </c>
      <c r="P66">
        <f t="shared" si="7"/>
        <v>16.100000000000001</v>
      </c>
      <c r="Q66">
        <v>33</v>
      </c>
      <c r="R66">
        <f t="shared" si="6"/>
        <v>0.5641176470588235</v>
      </c>
      <c r="S66" s="34">
        <f t="shared" si="2"/>
        <v>1.128235294117647</v>
      </c>
      <c r="T66" s="33">
        <f t="shared" si="3"/>
        <v>0.17176470588235304</v>
      </c>
      <c r="U66" s="33">
        <f t="shared" si="8"/>
        <v>20.318411764705882</v>
      </c>
      <c r="W66">
        <v>801.6</v>
      </c>
      <c r="Y66">
        <f t="shared" si="5"/>
        <v>36289.899999999987</v>
      </c>
      <c r="AA66">
        <v>11.378878915571617</v>
      </c>
    </row>
    <row r="67" spans="1:27" x14ac:dyDescent="0.25">
      <c r="A67">
        <v>5160</v>
      </c>
      <c r="B67">
        <v>23050</v>
      </c>
      <c r="C67" s="1">
        <v>42645</v>
      </c>
      <c r="F67" s="51"/>
      <c r="G67">
        <v>10.6</v>
      </c>
      <c r="H67">
        <v>6.4</v>
      </c>
      <c r="I67">
        <v>16.100000000000001</v>
      </c>
      <c r="J67">
        <f t="shared" si="4"/>
        <v>593.4</v>
      </c>
      <c r="M67">
        <v>0</v>
      </c>
      <c r="N67">
        <v>1.5</v>
      </c>
      <c r="O67">
        <f t="shared" si="1"/>
        <v>-1.5</v>
      </c>
      <c r="P67">
        <f t="shared" si="7"/>
        <v>14.600000000000001</v>
      </c>
      <c r="Q67" s="32">
        <v>34</v>
      </c>
      <c r="R67">
        <f t="shared" si="6"/>
        <v>0.57176470588235295</v>
      </c>
      <c r="S67" s="34">
        <f t="shared" si="2"/>
        <v>0.85764705882352943</v>
      </c>
      <c r="T67" s="33">
        <f t="shared" si="3"/>
        <v>-0.85764705882352943</v>
      </c>
      <c r="U67" s="33">
        <f t="shared" si="8"/>
        <v>19.460764705882351</v>
      </c>
      <c r="W67">
        <v>930.5</v>
      </c>
      <c r="Y67">
        <f t="shared" si="5"/>
        <v>37220.399999999987</v>
      </c>
      <c r="AA67">
        <v>11.320074241998929</v>
      </c>
    </row>
    <row r="68" spans="1:27" x14ac:dyDescent="0.25">
      <c r="A68">
        <v>5160</v>
      </c>
      <c r="B68">
        <v>23050</v>
      </c>
      <c r="C68" s="1">
        <v>42646</v>
      </c>
      <c r="F68" s="51"/>
      <c r="G68">
        <v>11</v>
      </c>
      <c r="H68">
        <v>4.5999999999999996</v>
      </c>
      <c r="I68">
        <v>17.399999999999999</v>
      </c>
      <c r="J68">
        <f t="shared" si="4"/>
        <v>604.4</v>
      </c>
      <c r="M68">
        <v>0</v>
      </c>
      <c r="N68">
        <v>2.4</v>
      </c>
      <c r="O68">
        <f t="shared" si="1"/>
        <v>-2.4</v>
      </c>
      <c r="P68">
        <f t="shared" si="7"/>
        <v>12.200000000000001</v>
      </c>
      <c r="Q68">
        <v>35</v>
      </c>
      <c r="R68">
        <f t="shared" si="6"/>
        <v>0.57941176470588229</v>
      </c>
      <c r="S68" s="34">
        <f t="shared" si="2"/>
        <v>1.3905882352941175</v>
      </c>
      <c r="T68" s="33">
        <f t="shared" si="3"/>
        <v>-1.3905882352941175</v>
      </c>
      <c r="U68" s="33">
        <f t="shared" si="8"/>
        <v>18.070176470588233</v>
      </c>
      <c r="W68">
        <v>1544.1</v>
      </c>
      <c r="Y68">
        <f t="shared" si="5"/>
        <v>38764.499999999985</v>
      </c>
      <c r="AA68">
        <v>11.261366659617702</v>
      </c>
    </row>
    <row r="69" spans="1:27" x14ac:dyDescent="0.25">
      <c r="A69">
        <v>5160</v>
      </c>
      <c r="B69">
        <v>23050</v>
      </c>
      <c r="C69" s="1">
        <v>42647</v>
      </c>
      <c r="F69" s="51"/>
      <c r="G69">
        <v>13</v>
      </c>
      <c r="H69">
        <v>8.1999999999999993</v>
      </c>
      <c r="I69">
        <v>18.8</v>
      </c>
      <c r="J69">
        <f t="shared" si="4"/>
        <v>617.4</v>
      </c>
      <c r="M69">
        <v>0</v>
      </c>
      <c r="N69">
        <v>3.1</v>
      </c>
      <c r="O69">
        <f t="shared" si="1"/>
        <v>-3.1</v>
      </c>
      <c r="P69">
        <f t="shared" si="7"/>
        <v>9.1000000000000014</v>
      </c>
      <c r="Q69" s="32">
        <v>36</v>
      </c>
      <c r="R69">
        <f t="shared" si="6"/>
        <v>0.58705882352941174</v>
      </c>
      <c r="S69" s="34">
        <f t="shared" si="2"/>
        <v>1.8198823529411765</v>
      </c>
      <c r="T69" s="33">
        <f t="shared" si="3"/>
        <v>-1.8198823529411765</v>
      </c>
      <c r="U69" s="33">
        <f t="shared" si="8"/>
        <v>16.250294117647059</v>
      </c>
      <c r="W69">
        <v>1507.1</v>
      </c>
      <c r="Y69">
        <f t="shared" si="5"/>
        <v>40271.599999999984</v>
      </c>
      <c r="AA69">
        <v>11.202765353746438</v>
      </c>
    </row>
    <row r="70" spans="1:27" x14ac:dyDescent="0.25">
      <c r="A70">
        <v>5160</v>
      </c>
      <c r="B70">
        <v>23050</v>
      </c>
      <c r="C70" s="1">
        <v>42648</v>
      </c>
      <c r="F70" s="51"/>
      <c r="G70">
        <v>11.8</v>
      </c>
      <c r="H70">
        <v>8.8000000000000007</v>
      </c>
      <c r="I70">
        <v>16.8</v>
      </c>
      <c r="J70">
        <f t="shared" si="4"/>
        <v>629.19999999999993</v>
      </c>
      <c r="M70">
        <v>0</v>
      </c>
      <c r="N70">
        <v>2.8</v>
      </c>
      <c r="O70">
        <f t="shared" si="1"/>
        <v>-2.8</v>
      </c>
      <c r="P70">
        <f t="shared" si="7"/>
        <v>6.3000000000000016</v>
      </c>
      <c r="Q70">
        <v>37</v>
      </c>
      <c r="R70">
        <f t="shared" si="6"/>
        <v>0.5947058823529412</v>
      </c>
      <c r="S70" s="34">
        <f t="shared" si="2"/>
        <v>1.6651764705882353</v>
      </c>
      <c r="T70" s="33">
        <f t="shared" si="3"/>
        <v>-1.6651764705882353</v>
      </c>
      <c r="U70" s="33">
        <f t="shared" si="8"/>
        <v>14.585117647058823</v>
      </c>
      <c r="W70">
        <v>1417.2</v>
      </c>
      <c r="Y70">
        <f t="shared" si="5"/>
        <v>41688.799999999981</v>
      </c>
      <c r="AA70">
        <v>11.144279693713882</v>
      </c>
    </row>
    <row r="71" spans="1:27" x14ac:dyDescent="0.25">
      <c r="A71">
        <v>5160</v>
      </c>
      <c r="B71">
        <v>23050</v>
      </c>
      <c r="C71" s="1">
        <v>42649</v>
      </c>
      <c r="F71" s="51"/>
      <c r="G71">
        <v>9.5</v>
      </c>
      <c r="H71">
        <v>4.9000000000000004</v>
      </c>
      <c r="I71">
        <v>14</v>
      </c>
      <c r="J71">
        <f t="shared" si="4"/>
        <v>638.69999999999993</v>
      </c>
      <c r="M71">
        <v>0</v>
      </c>
      <c r="N71">
        <v>2.6</v>
      </c>
      <c r="O71">
        <f t="shared" si="1"/>
        <v>-2.6</v>
      </c>
      <c r="P71">
        <f t="shared" si="7"/>
        <v>3.7000000000000015</v>
      </c>
      <c r="Q71" s="32">
        <v>38</v>
      </c>
      <c r="R71">
        <f t="shared" si="6"/>
        <v>0.60235294117647054</v>
      </c>
      <c r="S71" s="34">
        <f t="shared" si="2"/>
        <v>1.5661176470588234</v>
      </c>
      <c r="T71" s="33">
        <f t="shared" si="3"/>
        <v>-1.5661176470588234</v>
      </c>
      <c r="U71" s="33">
        <f t="shared" si="8"/>
        <v>13.019</v>
      </c>
      <c r="W71">
        <v>1605.5</v>
      </c>
      <c r="Y71">
        <f t="shared" si="5"/>
        <v>43294.299999999981</v>
      </c>
      <c r="AA71">
        <v>11.085919246885544</v>
      </c>
    </row>
    <row r="72" spans="1:27" x14ac:dyDescent="0.25">
      <c r="A72">
        <v>5160</v>
      </c>
      <c r="B72">
        <v>23050</v>
      </c>
      <c r="C72" s="1">
        <v>42650</v>
      </c>
      <c r="F72" s="51"/>
      <c r="G72">
        <v>10.3</v>
      </c>
      <c r="H72">
        <v>6.1</v>
      </c>
      <c r="I72">
        <v>13</v>
      </c>
      <c r="J72">
        <f t="shared" si="4"/>
        <v>648.99999999999989</v>
      </c>
      <c r="M72">
        <v>0</v>
      </c>
      <c r="N72">
        <v>1</v>
      </c>
      <c r="O72">
        <f t="shared" si="1"/>
        <v>-1</v>
      </c>
      <c r="P72">
        <f t="shared" si="7"/>
        <v>2.7000000000000015</v>
      </c>
      <c r="Q72">
        <v>39</v>
      </c>
      <c r="R72">
        <f t="shared" si="6"/>
        <v>0.61</v>
      </c>
      <c r="S72" s="34">
        <f t="shared" si="2"/>
        <v>0.61</v>
      </c>
      <c r="T72" s="33">
        <f t="shared" si="3"/>
        <v>-0.61</v>
      </c>
      <c r="U72" s="33">
        <f t="shared" si="8"/>
        <v>12.409000000000001</v>
      </c>
      <c r="W72">
        <v>483.8</v>
      </c>
      <c r="Y72">
        <f t="shared" si="5"/>
        <v>43778.099999999984</v>
      </c>
      <c r="AA72">
        <v>11.027693792509684</v>
      </c>
    </row>
    <row r="73" spans="1:27" x14ac:dyDescent="0.25">
      <c r="A73">
        <v>5160</v>
      </c>
      <c r="B73">
        <v>23050</v>
      </c>
      <c r="C73" s="1">
        <v>42651</v>
      </c>
      <c r="F73" s="51"/>
      <c r="G73">
        <v>12</v>
      </c>
      <c r="H73">
        <v>10.7</v>
      </c>
      <c r="I73">
        <v>14.9</v>
      </c>
      <c r="J73">
        <f t="shared" si="4"/>
        <v>660.99999999999989</v>
      </c>
      <c r="M73">
        <v>0</v>
      </c>
      <c r="N73">
        <v>1.4</v>
      </c>
      <c r="O73">
        <f t="shared" si="1"/>
        <v>-1.4</v>
      </c>
      <c r="P73">
        <f t="shared" si="7"/>
        <v>1.3000000000000016</v>
      </c>
      <c r="Q73" s="32">
        <v>40</v>
      </c>
      <c r="R73">
        <f t="shared" si="6"/>
        <v>0.61764705882352944</v>
      </c>
      <c r="S73" s="34">
        <f t="shared" si="2"/>
        <v>0.86470588235294121</v>
      </c>
      <c r="T73" s="33">
        <f t="shared" si="3"/>
        <v>-0.86470588235294121</v>
      </c>
      <c r="U73" s="33">
        <f t="shared" si="8"/>
        <v>11.544294117647059</v>
      </c>
      <c r="W73">
        <v>392.6</v>
      </c>
      <c r="Y73">
        <f t="shared" si="5"/>
        <v>44170.699999999983</v>
      </c>
      <c r="AA73">
        <v>10.969613335361885</v>
      </c>
    </row>
    <row r="74" spans="1:27" x14ac:dyDescent="0.25">
      <c r="A74">
        <v>5160</v>
      </c>
      <c r="B74">
        <v>23050</v>
      </c>
      <c r="C74" s="1">
        <v>42652</v>
      </c>
      <c r="F74" s="51"/>
      <c r="G74">
        <v>10.5</v>
      </c>
      <c r="H74">
        <v>7.5</v>
      </c>
      <c r="I74">
        <v>15.5</v>
      </c>
      <c r="J74">
        <f t="shared" si="4"/>
        <v>671.49999999999989</v>
      </c>
      <c r="M74">
        <v>0</v>
      </c>
      <c r="N74">
        <v>2</v>
      </c>
      <c r="O74">
        <f t="shared" si="1"/>
        <v>-2</v>
      </c>
      <c r="P74">
        <v>0</v>
      </c>
      <c r="Q74">
        <v>41</v>
      </c>
      <c r="R74">
        <f t="shared" si="6"/>
        <v>0.62529411764705878</v>
      </c>
      <c r="S74" s="34">
        <f t="shared" si="2"/>
        <v>1.2505882352941176</v>
      </c>
      <c r="T74" s="33">
        <f t="shared" si="3"/>
        <v>-1.2505882352941176</v>
      </c>
      <c r="U74" s="33">
        <f t="shared" si="8"/>
        <v>10.293705882352942</v>
      </c>
      <c r="W74">
        <v>909.2</v>
      </c>
      <c r="Y74">
        <f t="shared" si="5"/>
        <v>45079.89999999998</v>
      </c>
      <c r="AA74">
        <v>10.911688119165778</v>
      </c>
    </row>
    <row r="75" spans="1:27" x14ac:dyDescent="0.25">
      <c r="A75">
        <v>5160</v>
      </c>
      <c r="B75">
        <v>23050</v>
      </c>
      <c r="C75" s="1">
        <v>42653</v>
      </c>
      <c r="F75" s="51"/>
      <c r="G75">
        <v>8.6999999999999993</v>
      </c>
      <c r="H75">
        <v>2.7</v>
      </c>
      <c r="I75">
        <v>14.5</v>
      </c>
      <c r="J75">
        <f t="shared" si="4"/>
        <v>680.19999999999993</v>
      </c>
      <c r="M75">
        <v>0.1</v>
      </c>
      <c r="N75">
        <v>1.3</v>
      </c>
      <c r="O75">
        <f t="shared" si="1"/>
        <v>-1.2</v>
      </c>
      <c r="P75">
        <v>0</v>
      </c>
      <c r="Q75" s="32">
        <v>42</v>
      </c>
      <c r="R75">
        <f t="shared" si="6"/>
        <v>0.63294117647058823</v>
      </c>
      <c r="S75" s="34">
        <f t="shared" si="2"/>
        <v>0.82282352941176473</v>
      </c>
      <c r="T75" s="33">
        <f t="shared" si="3"/>
        <v>-0.72282352941176475</v>
      </c>
      <c r="U75" s="33">
        <f t="shared" si="8"/>
        <v>9.5708823529411777</v>
      </c>
      <c r="W75">
        <v>817.3</v>
      </c>
      <c r="Y75">
        <f t="shared" si="5"/>
        <v>45897.199999999983</v>
      </c>
      <c r="AA75">
        <v>10.853928639765806</v>
      </c>
    </row>
    <row r="76" spans="1:27" x14ac:dyDescent="0.25">
      <c r="A76">
        <v>5160</v>
      </c>
      <c r="B76">
        <v>23050</v>
      </c>
      <c r="C76" s="1">
        <v>42654</v>
      </c>
      <c r="F76" s="51"/>
      <c r="G76">
        <v>7.9</v>
      </c>
      <c r="H76">
        <v>3.7</v>
      </c>
      <c r="I76">
        <v>12.4</v>
      </c>
      <c r="J76">
        <f t="shared" si="4"/>
        <v>688.09999999999991</v>
      </c>
      <c r="M76">
        <v>0</v>
      </c>
      <c r="N76">
        <v>1.3</v>
      </c>
      <c r="O76">
        <f t="shared" si="1"/>
        <v>-1.3</v>
      </c>
      <c r="P76">
        <v>0</v>
      </c>
      <c r="Q76">
        <v>43</v>
      </c>
      <c r="R76">
        <f t="shared" si="6"/>
        <v>0.64058823529411768</v>
      </c>
      <c r="S76" s="34">
        <f t="shared" si="2"/>
        <v>0.83276470588235296</v>
      </c>
      <c r="T76" s="33">
        <f t="shared" si="3"/>
        <v>-0.83276470588235296</v>
      </c>
      <c r="U76" s="33">
        <f t="shared" si="8"/>
        <v>8.7381176470588251</v>
      </c>
      <c r="W76">
        <v>934.8</v>
      </c>
      <c r="Y76">
        <f t="shared" si="5"/>
        <v>46831.999999999985</v>
      </c>
      <c r="AA76">
        <v>10.796345658026043</v>
      </c>
    </row>
    <row r="77" spans="1:27" x14ac:dyDescent="0.25">
      <c r="A77">
        <v>5160</v>
      </c>
      <c r="B77">
        <v>23050</v>
      </c>
      <c r="C77" s="1">
        <v>42655</v>
      </c>
      <c r="F77" s="51"/>
      <c r="G77">
        <v>8.6</v>
      </c>
      <c r="H77">
        <v>3.5</v>
      </c>
      <c r="I77">
        <v>14</v>
      </c>
      <c r="J77">
        <f t="shared" si="4"/>
        <v>696.69999999999993</v>
      </c>
      <c r="M77">
        <v>0</v>
      </c>
      <c r="N77">
        <v>1.9</v>
      </c>
      <c r="O77">
        <f t="shared" si="1"/>
        <v>-1.9</v>
      </c>
      <c r="P77">
        <v>0</v>
      </c>
      <c r="Q77" s="32">
        <v>44</v>
      </c>
      <c r="R77">
        <f t="shared" si="6"/>
        <v>0.64823529411764702</v>
      </c>
      <c r="S77" s="34">
        <f t="shared" si="2"/>
        <v>1.2316470588235293</v>
      </c>
      <c r="T77" s="33">
        <f t="shared" si="3"/>
        <v>-1.2316470588235293</v>
      </c>
      <c r="U77" s="33">
        <f t="shared" si="8"/>
        <v>7.5064705882352953</v>
      </c>
      <c r="W77">
        <v>1084</v>
      </c>
      <c r="Y77">
        <f t="shared" si="5"/>
        <v>47915.999999999985</v>
      </c>
      <c r="AA77">
        <v>10.738950212427325</v>
      </c>
    </row>
    <row r="78" spans="1:27" x14ac:dyDescent="0.25">
      <c r="A78">
        <v>5160</v>
      </c>
      <c r="B78">
        <v>23050</v>
      </c>
      <c r="C78" s="1">
        <v>42656</v>
      </c>
      <c r="F78" s="51"/>
      <c r="G78">
        <v>7.8</v>
      </c>
      <c r="H78">
        <v>4.4000000000000004</v>
      </c>
      <c r="I78">
        <v>9.6</v>
      </c>
      <c r="J78">
        <f t="shared" si="4"/>
        <v>704.49999999999989</v>
      </c>
      <c r="M78">
        <v>1.4</v>
      </c>
      <c r="N78">
        <v>0.3</v>
      </c>
      <c r="O78">
        <f t="shared" si="1"/>
        <v>1.0999999999999999</v>
      </c>
      <c r="P78">
        <f t="shared" si="7"/>
        <v>1.0999999999999999</v>
      </c>
      <c r="Q78">
        <v>45</v>
      </c>
      <c r="R78">
        <f t="shared" si="6"/>
        <v>0.65588235294117647</v>
      </c>
      <c r="S78" s="34">
        <f t="shared" si="2"/>
        <v>0.19676470588235292</v>
      </c>
      <c r="T78" s="33">
        <f t="shared" si="3"/>
        <v>1.203235294117647</v>
      </c>
      <c r="U78" s="33">
        <f t="shared" si="8"/>
        <v>8.7097058823529423</v>
      </c>
      <c r="W78">
        <v>244.3</v>
      </c>
      <c r="Y78">
        <f t="shared" si="5"/>
        <v>48160.299999999988</v>
      </c>
      <c r="AA78">
        <v>10.68175363133291</v>
      </c>
    </row>
    <row r="79" spans="1:27" x14ac:dyDescent="0.25">
      <c r="A79">
        <v>5160</v>
      </c>
      <c r="B79">
        <v>23050</v>
      </c>
      <c r="C79" s="1">
        <v>42657</v>
      </c>
      <c r="F79" s="51"/>
      <c r="G79">
        <v>10.199999999999999</v>
      </c>
      <c r="H79">
        <v>9.1999999999999993</v>
      </c>
      <c r="I79">
        <v>11.7</v>
      </c>
      <c r="J79">
        <f t="shared" si="4"/>
        <v>714.69999999999993</v>
      </c>
      <c r="M79">
        <v>0</v>
      </c>
      <c r="N79">
        <v>0.6</v>
      </c>
      <c r="O79">
        <f t="shared" si="1"/>
        <v>-0.6</v>
      </c>
      <c r="P79">
        <f t="shared" si="7"/>
        <v>0.49999999999999989</v>
      </c>
      <c r="Q79" s="32">
        <v>46</v>
      </c>
      <c r="R79">
        <f t="shared" si="6"/>
        <v>0.66352941176470592</v>
      </c>
      <c r="S79" s="34">
        <f t="shared" si="2"/>
        <v>0.39811764705882352</v>
      </c>
      <c r="T79" s="33">
        <f t="shared" si="3"/>
        <v>-0.39811764705882352</v>
      </c>
      <c r="U79" s="33">
        <f t="shared" si="8"/>
        <v>8.3115882352941188</v>
      </c>
      <c r="W79">
        <v>322.3</v>
      </c>
      <c r="Y79">
        <f t="shared" si="5"/>
        <v>48482.599999999991</v>
      </c>
      <c r="AA79">
        <v>10.624767544890924</v>
      </c>
    </row>
    <row r="80" spans="1:27" x14ac:dyDescent="0.25">
      <c r="A80">
        <v>5160</v>
      </c>
      <c r="B80">
        <v>23050</v>
      </c>
      <c r="C80" s="1">
        <v>42658</v>
      </c>
      <c r="F80" s="51"/>
      <c r="G80">
        <v>11.9</v>
      </c>
      <c r="H80">
        <v>6.7</v>
      </c>
      <c r="I80">
        <v>17.8</v>
      </c>
      <c r="J80">
        <f t="shared" si="4"/>
        <v>726.59999999999991</v>
      </c>
      <c r="M80">
        <v>0</v>
      </c>
      <c r="N80">
        <v>1.7</v>
      </c>
      <c r="O80">
        <f t="shared" si="1"/>
        <v>-1.7</v>
      </c>
      <c r="P80">
        <v>0</v>
      </c>
      <c r="Q80">
        <v>47</v>
      </c>
      <c r="R80">
        <f t="shared" si="6"/>
        <v>0.67117647058823526</v>
      </c>
      <c r="S80" s="34">
        <f t="shared" si="2"/>
        <v>1.141</v>
      </c>
      <c r="T80" s="33">
        <f t="shared" si="3"/>
        <v>-1.141</v>
      </c>
      <c r="U80" s="33">
        <f t="shared" si="8"/>
        <v>7.1705882352941188</v>
      </c>
      <c r="W80">
        <v>750.7</v>
      </c>
      <c r="Y80">
        <f t="shared" si="5"/>
        <v>49233.299999999988</v>
      </c>
      <c r="AA80">
        <v>10.568003896539588</v>
      </c>
    </row>
    <row r="81" spans="1:27" x14ac:dyDescent="0.25">
      <c r="A81">
        <v>5160</v>
      </c>
      <c r="B81">
        <v>23050</v>
      </c>
      <c r="C81" s="1">
        <v>42659</v>
      </c>
      <c r="F81" s="51"/>
      <c r="G81">
        <v>13.6</v>
      </c>
      <c r="H81">
        <v>7.5</v>
      </c>
      <c r="I81">
        <v>19.899999999999999</v>
      </c>
      <c r="J81">
        <f t="shared" si="4"/>
        <v>740.19999999999993</v>
      </c>
      <c r="M81">
        <v>0.6</v>
      </c>
      <c r="N81">
        <v>1.7</v>
      </c>
      <c r="O81">
        <f t="shared" si="1"/>
        <v>-1.1000000000000001</v>
      </c>
      <c r="P81">
        <v>0</v>
      </c>
      <c r="Q81" s="32">
        <v>48</v>
      </c>
      <c r="R81">
        <f t="shared" si="6"/>
        <v>0.6788235294117646</v>
      </c>
      <c r="S81" s="34">
        <f t="shared" si="2"/>
        <v>1.1539999999999997</v>
      </c>
      <c r="T81" s="33">
        <f t="shared" si="3"/>
        <v>-0.55399999999999971</v>
      </c>
      <c r="U81" s="33">
        <f t="shared" si="8"/>
        <v>6.6165882352941194</v>
      </c>
      <c r="W81">
        <v>863.5</v>
      </c>
      <c r="Y81">
        <f t="shared" si="5"/>
        <v>50096.799999999988</v>
      </c>
      <c r="AA81">
        <v>10.511474954079198</v>
      </c>
    </row>
    <row r="82" spans="1:27" x14ac:dyDescent="0.25">
      <c r="A82">
        <v>5160</v>
      </c>
      <c r="B82">
        <v>23050</v>
      </c>
      <c r="C82" s="1">
        <v>42660</v>
      </c>
      <c r="F82" s="51"/>
      <c r="G82">
        <v>12.3</v>
      </c>
      <c r="H82">
        <v>9.1</v>
      </c>
      <c r="I82">
        <v>18.5</v>
      </c>
      <c r="J82">
        <f t="shared" si="4"/>
        <v>752.49999999999989</v>
      </c>
      <c r="M82">
        <v>0.6</v>
      </c>
      <c r="N82">
        <v>1.1000000000000001</v>
      </c>
      <c r="O82">
        <f t="shared" si="1"/>
        <v>-0.50000000000000011</v>
      </c>
      <c r="P82">
        <v>0</v>
      </c>
      <c r="Q82">
        <v>49</v>
      </c>
      <c r="R82">
        <f t="shared" si="6"/>
        <v>0.68647058823529417</v>
      </c>
      <c r="S82" s="34">
        <f t="shared" si="2"/>
        <v>0.75511764705882367</v>
      </c>
      <c r="T82" s="33">
        <f t="shared" si="3"/>
        <v>-0.15511764705882369</v>
      </c>
      <c r="U82" s="33">
        <f t="shared" si="8"/>
        <v>6.4614705882352954</v>
      </c>
      <c r="W82">
        <v>486</v>
      </c>
      <c r="Y82">
        <f t="shared" si="5"/>
        <v>50582.799999999988</v>
      </c>
      <c r="AA82">
        <v>10.455193320272503</v>
      </c>
    </row>
    <row r="83" spans="1:27" x14ac:dyDescent="0.25">
      <c r="A83">
        <v>5160</v>
      </c>
      <c r="B83">
        <v>23050</v>
      </c>
      <c r="C83" s="1">
        <v>42661</v>
      </c>
      <c r="F83" s="51"/>
      <c r="G83">
        <v>10.5</v>
      </c>
      <c r="H83">
        <v>4</v>
      </c>
      <c r="I83">
        <v>15.7</v>
      </c>
      <c r="J83">
        <f t="shared" si="4"/>
        <v>762.99999999999989</v>
      </c>
      <c r="M83">
        <v>1</v>
      </c>
      <c r="N83">
        <v>1</v>
      </c>
      <c r="O83">
        <f t="shared" si="1"/>
        <v>0</v>
      </c>
      <c r="P83">
        <f t="shared" si="7"/>
        <v>0</v>
      </c>
      <c r="Q83" s="32">
        <v>50</v>
      </c>
      <c r="R83">
        <f t="shared" si="6"/>
        <v>0.69411764705882351</v>
      </c>
      <c r="S83" s="34">
        <f t="shared" si="2"/>
        <v>0.69411764705882351</v>
      </c>
      <c r="T83" s="33">
        <f t="shared" si="3"/>
        <v>0.30588235294117649</v>
      </c>
      <c r="U83" s="33">
        <f t="shared" si="8"/>
        <v>6.7673529411764717</v>
      </c>
      <c r="W83">
        <v>607.6</v>
      </c>
      <c r="Y83">
        <f t="shared" si="5"/>
        <v>51190.399999999987</v>
      </c>
      <c r="AA83">
        <v>10.399171942932849</v>
      </c>
    </row>
    <row r="84" spans="1:27" x14ac:dyDescent="0.25">
      <c r="A84">
        <v>5160</v>
      </c>
      <c r="B84">
        <v>23050</v>
      </c>
      <c r="C84" s="1">
        <v>42662</v>
      </c>
      <c r="F84" s="51"/>
      <c r="G84">
        <v>10</v>
      </c>
      <c r="H84">
        <v>6.5</v>
      </c>
      <c r="I84">
        <v>14</v>
      </c>
      <c r="J84">
        <f t="shared" si="4"/>
        <v>772.99999999999989</v>
      </c>
      <c r="M84">
        <v>0.1</v>
      </c>
      <c r="N84">
        <v>1.2</v>
      </c>
      <c r="O84">
        <f t="shared" si="1"/>
        <v>-1.0999999999999999</v>
      </c>
      <c r="P84">
        <v>0</v>
      </c>
      <c r="Q84">
        <v>51</v>
      </c>
      <c r="R84">
        <f t="shared" si="6"/>
        <v>0.70176470588235285</v>
      </c>
      <c r="S84" s="34">
        <f t="shared" si="2"/>
        <v>0.84211764705882342</v>
      </c>
      <c r="T84" s="33">
        <f t="shared" si="3"/>
        <v>-0.74211764705882344</v>
      </c>
      <c r="U84" s="33">
        <f t="shared" si="8"/>
        <v>6.0252352941176479</v>
      </c>
      <c r="W84">
        <v>669.6</v>
      </c>
      <c r="Y84">
        <f t="shared" si="5"/>
        <v>51859.999999999985</v>
      </c>
      <c r="AA84">
        <v>10.343424124457126</v>
      </c>
    </row>
    <row r="85" spans="1:27" x14ac:dyDescent="0.25">
      <c r="A85">
        <v>5160</v>
      </c>
      <c r="B85">
        <v>23050</v>
      </c>
      <c r="C85" s="1">
        <v>42663</v>
      </c>
      <c r="F85" s="51"/>
      <c r="G85">
        <v>10.5</v>
      </c>
      <c r="H85">
        <v>7.7</v>
      </c>
      <c r="I85">
        <v>13.6</v>
      </c>
      <c r="J85">
        <f t="shared" si="4"/>
        <v>783.49999999999989</v>
      </c>
      <c r="M85">
        <v>0</v>
      </c>
      <c r="N85">
        <v>1.1000000000000001</v>
      </c>
      <c r="O85">
        <f t="shared" si="1"/>
        <v>-1.1000000000000001</v>
      </c>
      <c r="P85">
        <v>0</v>
      </c>
      <c r="Q85" s="32">
        <v>52</v>
      </c>
      <c r="R85">
        <f t="shared" si="6"/>
        <v>0.70941176470588241</v>
      </c>
      <c r="S85" s="34">
        <f t="shared" si="2"/>
        <v>0.78035294117647069</v>
      </c>
      <c r="T85" s="33">
        <f t="shared" si="3"/>
        <v>-0.78035294117647069</v>
      </c>
      <c r="U85" s="33">
        <f t="shared" si="8"/>
        <v>5.2448823529411772</v>
      </c>
      <c r="W85">
        <v>570.20000000000005</v>
      </c>
      <c r="Y85">
        <f t="shared" si="5"/>
        <v>52430.199999999983</v>
      </c>
      <c r="AA85">
        <v>10.287963530758265</v>
      </c>
    </row>
    <row r="86" spans="1:27" x14ac:dyDescent="0.25">
      <c r="A86">
        <v>5160</v>
      </c>
      <c r="B86">
        <v>23050</v>
      </c>
      <c r="C86" s="1">
        <v>42664</v>
      </c>
      <c r="F86" s="51"/>
      <c r="G86">
        <v>10</v>
      </c>
      <c r="H86">
        <v>7.2</v>
      </c>
      <c r="I86">
        <v>13.3</v>
      </c>
      <c r="J86">
        <f t="shared" si="4"/>
        <v>793.49999999999989</v>
      </c>
      <c r="M86">
        <v>0</v>
      </c>
      <c r="N86">
        <v>0.7</v>
      </c>
      <c r="O86">
        <f t="shared" si="1"/>
        <v>-0.7</v>
      </c>
      <c r="P86">
        <v>0</v>
      </c>
      <c r="Q86">
        <v>53</v>
      </c>
      <c r="R86">
        <f t="shared" si="6"/>
        <v>0.71705882352941175</v>
      </c>
      <c r="S86" s="34">
        <f t="shared" si="2"/>
        <v>0.50194117647058822</v>
      </c>
      <c r="T86" s="33">
        <f t="shared" si="3"/>
        <v>-0.50194117647058822</v>
      </c>
      <c r="U86" s="33">
        <f t="shared" si="8"/>
        <v>4.7429411764705893</v>
      </c>
      <c r="W86">
        <v>532.79999999999995</v>
      </c>
      <c r="Y86">
        <f t="shared" si="5"/>
        <v>52962.999999999985</v>
      </c>
      <c r="AA86">
        <v>10.232804199549612</v>
      </c>
    </row>
    <row r="87" spans="1:27" x14ac:dyDescent="0.25">
      <c r="A87">
        <v>5160</v>
      </c>
      <c r="B87">
        <v>23050</v>
      </c>
      <c r="C87" s="1">
        <v>42665</v>
      </c>
      <c r="F87" s="51"/>
      <c r="G87">
        <v>7.7</v>
      </c>
      <c r="H87">
        <v>3.2</v>
      </c>
      <c r="I87">
        <v>11.5</v>
      </c>
      <c r="J87">
        <f t="shared" si="4"/>
        <v>801.19999999999993</v>
      </c>
      <c r="M87">
        <v>0</v>
      </c>
      <c r="N87">
        <v>0.4</v>
      </c>
      <c r="O87">
        <f t="shared" si="1"/>
        <v>-0.4</v>
      </c>
      <c r="P87">
        <v>0</v>
      </c>
      <c r="Q87" s="32">
        <v>54</v>
      </c>
      <c r="R87">
        <f t="shared" si="6"/>
        <v>0.72470588235294109</v>
      </c>
      <c r="S87" s="34">
        <f t="shared" si="2"/>
        <v>0.28988235294117642</v>
      </c>
      <c r="T87" s="33">
        <f t="shared" si="3"/>
        <v>-0.28988235294117642</v>
      </c>
      <c r="U87" s="33">
        <f t="shared" si="8"/>
        <v>4.4530588235294131</v>
      </c>
      <c r="W87">
        <v>487.5</v>
      </c>
      <c r="Y87">
        <f t="shared" si="5"/>
        <v>53450.499999999985</v>
      </c>
      <c r="AA87">
        <v>10.177960547931221</v>
      </c>
    </row>
    <row r="88" spans="1:27" x14ac:dyDescent="0.25">
      <c r="A88">
        <v>5160</v>
      </c>
      <c r="B88">
        <v>23050</v>
      </c>
      <c r="C88" s="1">
        <v>42666</v>
      </c>
      <c r="F88" s="51"/>
      <c r="G88">
        <v>7.7</v>
      </c>
      <c r="H88">
        <v>4.2</v>
      </c>
      <c r="I88">
        <v>10.4</v>
      </c>
      <c r="J88">
        <f t="shared" si="4"/>
        <v>808.9</v>
      </c>
      <c r="M88">
        <v>4.8</v>
      </c>
      <c r="N88">
        <v>0.4</v>
      </c>
      <c r="O88">
        <f t="shared" si="1"/>
        <v>4.3999999999999995</v>
      </c>
      <c r="P88">
        <f t="shared" si="7"/>
        <v>4.3999999999999995</v>
      </c>
      <c r="Q88">
        <v>55</v>
      </c>
      <c r="R88">
        <f t="shared" si="6"/>
        <v>0.73235294117647065</v>
      </c>
      <c r="S88" s="34">
        <f t="shared" si="2"/>
        <v>0.29294117647058826</v>
      </c>
      <c r="T88" s="33">
        <f t="shared" si="3"/>
        <v>4.5070588235294116</v>
      </c>
      <c r="U88" s="33">
        <f t="shared" si="8"/>
        <v>8.9601176470588246</v>
      </c>
      <c r="W88">
        <v>225.7</v>
      </c>
      <c r="Y88">
        <f t="shared" si="5"/>
        <v>53676.199999999983</v>
      </c>
      <c r="AA88">
        <v>10.123447379225777</v>
      </c>
    </row>
    <row r="89" spans="1:27" x14ac:dyDescent="0.25">
      <c r="A89">
        <v>5160</v>
      </c>
      <c r="B89">
        <v>23050</v>
      </c>
      <c r="C89" s="1">
        <v>42667</v>
      </c>
      <c r="F89" s="51"/>
      <c r="G89">
        <v>12</v>
      </c>
      <c r="H89">
        <v>8</v>
      </c>
      <c r="I89">
        <v>13.4</v>
      </c>
      <c r="J89">
        <f t="shared" si="4"/>
        <v>820.9</v>
      </c>
      <c r="M89">
        <v>1.5</v>
      </c>
      <c r="N89">
        <v>0</v>
      </c>
      <c r="O89">
        <f t="shared" si="1"/>
        <v>1.5</v>
      </c>
      <c r="P89">
        <f t="shared" si="7"/>
        <v>5.8999999999999995</v>
      </c>
      <c r="Q89" s="32">
        <v>56</v>
      </c>
      <c r="R89">
        <f t="shared" si="6"/>
        <v>0.74</v>
      </c>
      <c r="S89" s="34">
        <f t="shared" si="2"/>
        <v>0</v>
      </c>
      <c r="T89" s="33">
        <f t="shared" si="3"/>
        <v>1.5</v>
      </c>
      <c r="U89" s="33">
        <f t="shared" si="8"/>
        <v>10.460117647058825</v>
      </c>
      <c r="W89">
        <v>249.3</v>
      </c>
      <c r="Y89">
        <f t="shared" si="5"/>
        <v>53925.499999999985</v>
      </c>
      <c r="AA89">
        <v>10.069279889009639</v>
      </c>
    </row>
    <row r="90" spans="1:27" x14ac:dyDescent="0.25">
      <c r="A90">
        <v>5160</v>
      </c>
      <c r="B90">
        <v>23050</v>
      </c>
      <c r="C90" s="1">
        <v>42668</v>
      </c>
      <c r="F90" s="51"/>
      <c r="G90">
        <v>12.7</v>
      </c>
      <c r="H90">
        <v>12</v>
      </c>
      <c r="I90">
        <v>14.1</v>
      </c>
      <c r="J90">
        <f t="shared" si="4"/>
        <v>833.6</v>
      </c>
      <c r="M90">
        <v>0</v>
      </c>
      <c r="N90">
        <v>0.3</v>
      </c>
      <c r="O90">
        <f t="shared" si="1"/>
        <v>-0.3</v>
      </c>
      <c r="P90">
        <f t="shared" si="7"/>
        <v>5.6</v>
      </c>
      <c r="Q90">
        <v>57</v>
      </c>
      <c r="R90">
        <f t="shared" si="6"/>
        <v>0.74764705882352944</v>
      </c>
      <c r="S90" s="34">
        <f t="shared" si="2"/>
        <v>0.22429411764705884</v>
      </c>
      <c r="T90" s="33">
        <f t="shared" si="3"/>
        <v>-0.22429411764705884</v>
      </c>
      <c r="U90" s="33">
        <f t="shared" si="8"/>
        <v>10.235823529411766</v>
      </c>
      <c r="W90">
        <v>299.89999999999998</v>
      </c>
      <c r="Y90">
        <f t="shared" si="5"/>
        <v>54225.399999999987</v>
      </c>
      <c r="AA90">
        <v>10.015473670282287</v>
      </c>
    </row>
    <row r="91" spans="1:27" x14ac:dyDescent="0.25">
      <c r="A91">
        <v>5160</v>
      </c>
      <c r="B91">
        <v>23050</v>
      </c>
      <c r="C91" s="1">
        <v>42669</v>
      </c>
      <c r="F91" s="51"/>
      <c r="G91">
        <v>10.3</v>
      </c>
      <c r="H91">
        <v>10.199999999999999</v>
      </c>
      <c r="I91">
        <v>13</v>
      </c>
      <c r="J91">
        <f t="shared" si="4"/>
        <v>843.9</v>
      </c>
      <c r="M91">
        <v>0.2</v>
      </c>
      <c r="N91">
        <v>0.7</v>
      </c>
      <c r="O91">
        <f t="shared" si="1"/>
        <v>-0.49999999999999994</v>
      </c>
      <c r="P91">
        <f t="shared" si="7"/>
        <v>5.0999999999999996</v>
      </c>
      <c r="Q91" s="32">
        <v>58</v>
      </c>
      <c r="R91">
        <f t="shared" si="6"/>
        <v>0.75529411764705889</v>
      </c>
      <c r="S91" s="34">
        <f t="shared" si="2"/>
        <v>0.52870588235294114</v>
      </c>
      <c r="T91" s="33">
        <f t="shared" si="3"/>
        <v>-0.32870588235294113</v>
      </c>
      <c r="U91" s="33">
        <f t="shared" si="8"/>
        <v>9.9071176470588256</v>
      </c>
      <c r="W91">
        <v>268</v>
      </c>
      <c r="Y91">
        <f t="shared" si="5"/>
        <v>54493.399999999987</v>
      </c>
      <c r="AA91">
        <v>9.9620447177154041</v>
      </c>
    </row>
    <row r="92" spans="1:27" x14ac:dyDescent="0.25">
      <c r="A92">
        <v>5160</v>
      </c>
      <c r="B92">
        <v>23050</v>
      </c>
      <c r="C92" s="1">
        <v>42670</v>
      </c>
      <c r="F92" s="51"/>
      <c r="G92">
        <v>8.1999999999999993</v>
      </c>
      <c r="H92">
        <v>4.3</v>
      </c>
      <c r="I92">
        <v>10.7</v>
      </c>
      <c r="J92">
        <f t="shared" si="4"/>
        <v>852.1</v>
      </c>
      <c r="M92">
        <v>0.1</v>
      </c>
      <c r="N92">
        <v>0.7</v>
      </c>
      <c r="O92">
        <f t="shared" si="1"/>
        <v>-0.6</v>
      </c>
      <c r="P92">
        <f t="shared" si="7"/>
        <v>4.5</v>
      </c>
      <c r="Q92">
        <v>59</v>
      </c>
      <c r="R92">
        <f t="shared" si="6"/>
        <v>0.76294117647058823</v>
      </c>
      <c r="S92" s="34">
        <f t="shared" si="2"/>
        <v>0.5340588235294117</v>
      </c>
      <c r="T92" s="33">
        <f t="shared" si="3"/>
        <v>-0.43405882352941172</v>
      </c>
      <c r="U92" s="33">
        <f t="shared" si="8"/>
        <v>9.4730588235294135</v>
      </c>
      <c r="W92">
        <v>501.8</v>
      </c>
      <c r="Y92">
        <f t="shared" si="5"/>
        <v>54995.19999999999</v>
      </c>
      <c r="AA92">
        <v>9.9090094309208752</v>
      </c>
    </row>
    <row r="93" spans="1:27" x14ac:dyDescent="0.25">
      <c r="A93">
        <v>5160</v>
      </c>
      <c r="B93">
        <v>23050</v>
      </c>
      <c r="C93" s="1">
        <v>42671</v>
      </c>
      <c r="F93" s="51"/>
      <c r="G93">
        <v>8.1</v>
      </c>
      <c r="H93">
        <v>4.7</v>
      </c>
      <c r="I93">
        <v>10.9</v>
      </c>
      <c r="J93">
        <f t="shared" si="4"/>
        <v>860.2</v>
      </c>
      <c r="M93">
        <v>0.1</v>
      </c>
      <c r="N93">
        <v>0.7</v>
      </c>
      <c r="O93">
        <f t="shared" si="1"/>
        <v>-0.6</v>
      </c>
      <c r="P93">
        <f t="shared" si="7"/>
        <v>3.9</v>
      </c>
      <c r="Q93" s="32">
        <v>60</v>
      </c>
      <c r="R93">
        <f t="shared" si="6"/>
        <v>0.77058823529411768</v>
      </c>
      <c r="S93" s="34">
        <f t="shared" si="2"/>
        <v>0.53941176470588237</v>
      </c>
      <c r="T93" s="33">
        <f t="shared" si="3"/>
        <v>-0.43941176470588239</v>
      </c>
      <c r="U93" s="33">
        <f t="shared" si="8"/>
        <v>9.0336470588235311</v>
      </c>
      <c r="W93">
        <v>470.1</v>
      </c>
      <c r="Y93">
        <f t="shared" si="5"/>
        <v>55465.299999999988</v>
      </c>
      <c r="AA93">
        <v>9.8563846166752658</v>
      </c>
    </row>
    <row r="94" spans="1:27" x14ac:dyDescent="0.25">
      <c r="A94">
        <v>5160</v>
      </c>
      <c r="B94">
        <v>23050</v>
      </c>
      <c r="C94" s="1">
        <v>42672</v>
      </c>
      <c r="F94" s="51"/>
      <c r="G94">
        <v>9.1999999999999993</v>
      </c>
      <c r="H94">
        <v>5.9</v>
      </c>
      <c r="I94">
        <v>11.4</v>
      </c>
      <c r="J94">
        <f t="shared" si="4"/>
        <v>869.40000000000009</v>
      </c>
      <c r="M94">
        <v>0.1</v>
      </c>
      <c r="N94">
        <v>0.5</v>
      </c>
      <c r="O94">
        <f t="shared" si="1"/>
        <v>-0.4</v>
      </c>
      <c r="P94">
        <f t="shared" si="7"/>
        <v>3.5</v>
      </c>
      <c r="Q94">
        <v>61</v>
      </c>
      <c r="R94">
        <f t="shared" si="6"/>
        <v>0.77823529411764703</v>
      </c>
      <c r="S94" s="34">
        <f t="shared" si="2"/>
        <v>0.38911764705882351</v>
      </c>
      <c r="T94" s="33">
        <f t="shared" si="3"/>
        <v>-0.28911764705882348</v>
      </c>
      <c r="U94" s="33">
        <f t="shared" si="8"/>
        <v>8.7445294117647077</v>
      </c>
      <c r="W94">
        <v>244.4</v>
      </c>
      <c r="Y94">
        <f t="shared" si="5"/>
        <v>55709.69999999999</v>
      </c>
      <c r="AA94">
        <v>9.8041874900366626</v>
      </c>
    </row>
    <row r="95" spans="1:27" x14ac:dyDescent="0.25">
      <c r="A95">
        <v>5160</v>
      </c>
      <c r="B95">
        <v>23050</v>
      </c>
      <c r="C95" s="1">
        <v>42673</v>
      </c>
      <c r="F95" s="51"/>
      <c r="G95">
        <v>10.8</v>
      </c>
      <c r="H95">
        <v>7</v>
      </c>
      <c r="I95">
        <v>14.8</v>
      </c>
      <c r="J95">
        <f t="shared" si="4"/>
        <v>880.2</v>
      </c>
      <c r="M95">
        <v>0</v>
      </c>
      <c r="N95">
        <v>1.6</v>
      </c>
      <c r="O95">
        <f t="shared" si="1"/>
        <v>-1.6</v>
      </c>
      <c r="P95">
        <f t="shared" si="7"/>
        <v>1.9</v>
      </c>
      <c r="Q95" s="32">
        <v>62</v>
      </c>
      <c r="R95">
        <f t="shared" si="6"/>
        <v>0.78588235294117648</v>
      </c>
      <c r="S95" s="34">
        <f t="shared" si="2"/>
        <v>1.2574117647058825</v>
      </c>
      <c r="T95" s="33">
        <f t="shared" si="3"/>
        <v>-1.2574117647058825</v>
      </c>
      <c r="U95" s="33">
        <f t="shared" si="8"/>
        <v>7.4871176470588257</v>
      </c>
      <c r="W95">
        <v>1058.3</v>
      </c>
      <c r="Y95">
        <f t="shared" si="5"/>
        <v>56767.999999999993</v>
      </c>
      <c r="AA95">
        <v>9.7524356742885132</v>
      </c>
    </row>
    <row r="96" spans="1:27" x14ac:dyDescent="0.25">
      <c r="A96">
        <v>5160</v>
      </c>
      <c r="B96">
        <v>23050</v>
      </c>
      <c r="C96" s="1">
        <v>42674</v>
      </c>
      <c r="F96" s="51"/>
      <c r="G96">
        <v>10.7</v>
      </c>
      <c r="H96">
        <v>6.4</v>
      </c>
      <c r="I96">
        <v>16.3</v>
      </c>
      <c r="J96">
        <f t="shared" si="4"/>
        <v>890.90000000000009</v>
      </c>
      <c r="M96">
        <v>0.1</v>
      </c>
      <c r="N96">
        <v>1.8</v>
      </c>
      <c r="O96">
        <f t="shared" si="1"/>
        <v>-1.7</v>
      </c>
      <c r="P96">
        <f t="shared" si="7"/>
        <v>0.19999999999999996</v>
      </c>
      <c r="Q96">
        <v>63</v>
      </c>
      <c r="R96">
        <f t="shared" si="6"/>
        <v>0.79352941176470582</v>
      </c>
      <c r="S96" s="34">
        <f t="shared" si="2"/>
        <v>1.4283529411764706</v>
      </c>
      <c r="T96" s="33">
        <f t="shared" si="3"/>
        <v>-1.3283529411764705</v>
      </c>
      <c r="U96" s="33">
        <f t="shared" si="8"/>
        <v>6.1587647058823549</v>
      </c>
      <c r="W96">
        <v>1102.4000000000001</v>
      </c>
      <c r="Y96">
        <f t="shared" si="5"/>
        <v>57870.399999999994</v>
      </c>
      <c r="AA96">
        <v>9.7011471996440051</v>
      </c>
    </row>
    <row r="97" spans="1:27" x14ac:dyDescent="0.25">
      <c r="A97">
        <v>5160</v>
      </c>
      <c r="B97">
        <v>23050</v>
      </c>
      <c r="C97" s="1">
        <v>42675</v>
      </c>
      <c r="F97" s="51"/>
      <c r="G97">
        <v>6.8</v>
      </c>
      <c r="H97">
        <v>4.8</v>
      </c>
      <c r="I97">
        <v>8.8000000000000007</v>
      </c>
      <c r="J97">
        <f t="shared" si="4"/>
        <v>897.7</v>
      </c>
      <c r="M97">
        <v>0.2</v>
      </c>
      <c r="N97">
        <v>0.5</v>
      </c>
      <c r="O97">
        <f t="shared" si="1"/>
        <v>-0.3</v>
      </c>
      <c r="P97">
        <v>0</v>
      </c>
      <c r="Q97" s="32">
        <v>64</v>
      </c>
      <c r="R97">
        <f t="shared" si="6"/>
        <v>0.80117647058823527</v>
      </c>
      <c r="S97" s="34">
        <f t="shared" si="2"/>
        <v>0.40058823529411763</v>
      </c>
      <c r="T97" s="33">
        <f t="shared" si="3"/>
        <v>-0.20058823529411762</v>
      </c>
      <c r="U97" s="33">
        <f t="shared" si="8"/>
        <v>5.9581764705882376</v>
      </c>
      <c r="W97">
        <v>355.8</v>
      </c>
      <c r="Y97">
        <f t="shared" si="5"/>
        <v>58226.2</v>
      </c>
      <c r="AA97">
        <v>9.6503405006437362</v>
      </c>
    </row>
    <row r="98" spans="1:27" x14ac:dyDescent="0.25">
      <c r="A98">
        <v>5160</v>
      </c>
      <c r="B98">
        <v>23050</v>
      </c>
      <c r="C98" s="1">
        <v>42676</v>
      </c>
      <c r="F98" s="51"/>
      <c r="G98">
        <v>7.4</v>
      </c>
      <c r="H98">
        <v>3.9</v>
      </c>
      <c r="I98">
        <v>10.9</v>
      </c>
      <c r="J98">
        <f t="shared" si="4"/>
        <v>905.1</v>
      </c>
      <c r="M98">
        <v>0</v>
      </c>
      <c r="N98">
        <v>0.2</v>
      </c>
      <c r="O98">
        <f t="shared" si="1"/>
        <v>-0.2</v>
      </c>
      <c r="P98">
        <v>0</v>
      </c>
      <c r="Q98">
        <v>65</v>
      </c>
      <c r="R98">
        <f t="shared" si="6"/>
        <v>0.80882352941176472</v>
      </c>
      <c r="S98" s="34">
        <f t="shared" si="2"/>
        <v>0.16176470588235295</v>
      </c>
      <c r="T98" s="33">
        <f t="shared" si="3"/>
        <v>-0.16176470588235295</v>
      </c>
      <c r="U98" s="33">
        <f t="shared" si="8"/>
        <v>5.7964117647058844</v>
      </c>
      <c r="W98">
        <v>272</v>
      </c>
      <c r="Y98">
        <f t="shared" si="5"/>
        <v>58498.2</v>
      </c>
      <c r="AA98">
        <v>9.6000344121790473</v>
      </c>
    </row>
    <row r="99" spans="1:27" x14ac:dyDescent="0.25">
      <c r="A99">
        <v>5160</v>
      </c>
      <c r="B99">
        <v>23050</v>
      </c>
      <c r="C99" s="1">
        <v>42677</v>
      </c>
      <c r="F99" s="51"/>
      <c r="G99">
        <v>5.4</v>
      </c>
      <c r="H99">
        <v>1.1000000000000001</v>
      </c>
      <c r="I99">
        <v>10.4</v>
      </c>
      <c r="J99">
        <f t="shared" si="4"/>
        <v>910.5</v>
      </c>
      <c r="M99">
        <v>0</v>
      </c>
      <c r="N99">
        <v>1.2</v>
      </c>
      <c r="O99">
        <f t="shared" ref="O99:O162" si="9">M99-N99</f>
        <v>-1.2</v>
      </c>
      <c r="P99">
        <v>0</v>
      </c>
      <c r="Q99" s="32">
        <v>66</v>
      </c>
      <c r="R99">
        <f t="shared" si="6"/>
        <v>0.81647058823529406</v>
      </c>
      <c r="S99" s="34">
        <f t="shared" ref="S99:S162" si="10">R99*N99</f>
        <v>0.97976470588235287</v>
      </c>
      <c r="T99" s="33">
        <f t="shared" ref="T99:T162" si="11">M99-S99</f>
        <v>-0.97976470588235287</v>
      </c>
      <c r="U99" s="33">
        <f t="shared" si="8"/>
        <v>4.8166470588235315</v>
      </c>
      <c r="W99">
        <v>991.4</v>
      </c>
      <c r="Y99">
        <f t="shared" si="5"/>
        <v>59489.599999999999</v>
      </c>
      <c r="AA99">
        <v>9.5502481640734693</v>
      </c>
    </row>
    <row r="100" spans="1:27" x14ac:dyDescent="0.25">
      <c r="A100">
        <v>5160</v>
      </c>
      <c r="B100">
        <v>23050</v>
      </c>
      <c r="C100" s="1">
        <v>42678</v>
      </c>
      <c r="F100" s="51"/>
      <c r="G100">
        <v>7.2</v>
      </c>
      <c r="H100">
        <v>1.3</v>
      </c>
      <c r="I100">
        <v>11</v>
      </c>
      <c r="J100">
        <f t="shared" ref="J100:J162" si="12">J99+G100</f>
        <v>917.7</v>
      </c>
      <c r="M100">
        <v>7.7</v>
      </c>
      <c r="N100">
        <v>0.4</v>
      </c>
      <c r="O100">
        <f t="shared" si="9"/>
        <v>7.3</v>
      </c>
      <c r="P100">
        <f t="shared" si="7"/>
        <v>7.3</v>
      </c>
      <c r="Q100">
        <v>67</v>
      </c>
      <c r="R100">
        <f t="shared" si="6"/>
        <v>0.82411764705882351</v>
      </c>
      <c r="S100" s="34">
        <f t="shared" si="10"/>
        <v>0.3296470588235294</v>
      </c>
      <c r="T100" s="33">
        <f t="shared" si="11"/>
        <v>7.3703529411764706</v>
      </c>
      <c r="U100" s="33">
        <f t="shared" si="8"/>
        <v>12.187000000000001</v>
      </c>
      <c r="W100">
        <v>263</v>
      </c>
      <c r="Y100">
        <f t="shared" ref="Y100:Y163" si="13">W100+Y99</f>
        <v>59752.6</v>
      </c>
      <c r="AA100">
        <v>9.5010013741550114</v>
      </c>
    </row>
    <row r="101" spans="1:27" x14ac:dyDescent="0.25">
      <c r="A101">
        <v>5160</v>
      </c>
      <c r="B101">
        <v>23050</v>
      </c>
      <c r="C101" s="1">
        <v>42679</v>
      </c>
      <c r="F101" s="51"/>
      <c r="G101">
        <v>7.9</v>
      </c>
      <c r="H101">
        <v>6.7</v>
      </c>
      <c r="I101">
        <v>10.3</v>
      </c>
      <c r="J101">
        <f t="shared" si="12"/>
        <v>925.6</v>
      </c>
      <c r="M101">
        <v>0.5</v>
      </c>
      <c r="N101">
        <v>0.7</v>
      </c>
      <c r="O101">
        <f t="shared" si="9"/>
        <v>-0.19999999999999996</v>
      </c>
      <c r="P101">
        <f t="shared" si="7"/>
        <v>7.1</v>
      </c>
      <c r="Q101" s="32">
        <v>68</v>
      </c>
      <c r="R101">
        <f t="shared" si="6"/>
        <v>0.83176470588235296</v>
      </c>
      <c r="S101" s="34">
        <f t="shared" si="10"/>
        <v>0.58223529411764707</v>
      </c>
      <c r="T101" s="33">
        <f t="shared" si="11"/>
        <v>-8.2235294117647073E-2</v>
      </c>
      <c r="U101" s="33">
        <f t="shared" si="8"/>
        <v>12.104764705882355</v>
      </c>
      <c r="W101">
        <v>400.8</v>
      </c>
      <c r="Y101">
        <f t="shared" si="13"/>
        <v>60153.4</v>
      </c>
      <c r="AA101">
        <v>9.4523140397531975</v>
      </c>
    </row>
    <row r="102" spans="1:27" x14ac:dyDescent="0.25">
      <c r="A102">
        <v>5160</v>
      </c>
      <c r="B102">
        <v>23050</v>
      </c>
      <c r="C102" s="1">
        <v>42680</v>
      </c>
      <c r="F102" s="51"/>
      <c r="G102">
        <v>3.9</v>
      </c>
      <c r="H102">
        <v>3.5</v>
      </c>
      <c r="I102">
        <v>6.7</v>
      </c>
      <c r="J102">
        <f t="shared" si="12"/>
        <v>929.5</v>
      </c>
      <c r="M102">
        <v>1.1000000000000001</v>
      </c>
      <c r="N102">
        <v>0.5</v>
      </c>
      <c r="O102">
        <f t="shared" si="9"/>
        <v>0.60000000000000009</v>
      </c>
      <c r="P102">
        <f t="shared" si="7"/>
        <v>7.6999999999999993</v>
      </c>
      <c r="Q102">
        <v>69</v>
      </c>
      <c r="R102">
        <f t="shared" si="6"/>
        <v>0.8394117647058823</v>
      </c>
      <c r="S102" s="34">
        <f t="shared" si="10"/>
        <v>0.41970588235294115</v>
      </c>
      <c r="T102" s="33">
        <f t="shared" si="11"/>
        <v>0.68029411764705894</v>
      </c>
      <c r="U102" s="33">
        <f t="shared" si="8"/>
        <v>12.785058823529413</v>
      </c>
      <c r="W102">
        <v>452.4</v>
      </c>
      <c r="Y102">
        <f t="shared" si="13"/>
        <v>60605.8</v>
      </c>
      <c r="AA102">
        <v>9.4042065275560667</v>
      </c>
    </row>
    <row r="103" spans="1:27" x14ac:dyDescent="0.25">
      <c r="A103">
        <v>5160</v>
      </c>
      <c r="B103">
        <v>23050</v>
      </c>
      <c r="C103" s="1">
        <v>42681</v>
      </c>
      <c r="F103" s="51"/>
      <c r="G103">
        <v>3.3</v>
      </c>
      <c r="H103">
        <v>-0.2</v>
      </c>
      <c r="I103">
        <v>6</v>
      </c>
      <c r="J103">
        <f t="shared" si="12"/>
        <v>932.8</v>
      </c>
      <c r="M103">
        <v>5.0999999999999996</v>
      </c>
      <c r="N103">
        <v>0.2</v>
      </c>
      <c r="O103">
        <f t="shared" si="9"/>
        <v>4.8999999999999995</v>
      </c>
      <c r="P103">
        <f t="shared" si="7"/>
        <v>12.599999999999998</v>
      </c>
      <c r="Q103" s="32">
        <v>70</v>
      </c>
      <c r="R103">
        <f t="shared" si="6"/>
        <v>0.84705882352941175</v>
      </c>
      <c r="S103" s="34">
        <f t="shared" si="10"/>
        <v>0.16941176470588237</v>
      </c>
      <c r="T103" s="33">
        <f t="shared" si="11"/>
        <v>4.9305882352941168</v>
      </c>
      <c r="U103" s="33">
        <f t="shared" si="8"/>
        <v>17.715647058823528</v>
      </c>
      <c r="W103">
        <v>196.3</v>
      </c>
      <c r="Y103">
        <f t="shared" si="13"/>
        <v>60802.100000000006</v>
      </c>
      <c r="AA103">
        <v>9.3566995617645983</v>
      </c>
    </row>
    <row r="104" spans="1:27" x14ac:dyDescent="0.25">
      <c r="A104">
        <v>5160</v>
      </c>
      <c r="B104">
        <v>23050</v>
      </c>
      <c r="C104" s="1">
        <v>42682</v>
      </c>
      <c r="F104" s="51"/>
      <c r="G104">
        <v>5</v>
      </c>
      <c r="H104">
        <v>2.8</v>
      </c>
      <c r="I104">
        <v>6.6</v>
      </c>
      <c r="J104">
        <f t="shared" si="12"/>
        <v>937.8</v>
      </c>
      <c r="M104">
        <v>8.4</v>
      </c>
      <c r="N104">
        <v>0.4</v>
      </c>
      <c r="O104">
        <f t="shared" si="9"/>
        <v>8</v>
      </c>
      <c r="P104">
        <f t="shared" si="7"/>
        <v>20.599999999999998</v>
      </c>
      <c r="Q104">
        <v>71</v>
      </c>
      <c r="R104">
        <f t="shared" ref="R104:R123" si="14">0.35+((Q104-5)/85)*(1-0.35)</f>
        <v>0.8547058823529412</v>
      </c>
      <c r="S104" s="34">
        <f t="shared" si="10"/>
        <v>0.34188235294117653</v>
      </c>
      <c r="T104" s="33">
        <f t="shared" si="11"/>
        <v>8.0581176470588236</v>
      </c>
      <c r="U104" s="33">
        <f t="shared" si="8"/>
        <v>25.77376470588235</v>
      </c>
      <c r="W104">
        <v>449.7</v>
      </c>
      <c r="Y104">
        <f t="shared" si="13"/>
        <v>61251.8</v>
      </c>
      <c r="AA104">
        <v>9.3098142104846477</v>
      </c>
    </row>
    <row r="105" spans="1:27" x14ac:dyDescent="0.25">
      <c r="A105">
        <v>5160</v>
      </c>
      <c r="B105">
        <v>23050</v>
      </c>
      <c r="C105" s="1">
        <v>42683</v>
      </c>
      <c r="F105" s="51"/>
      <c r="G105">
        <v>8.1</v>
      </c>
      <c r="H105">
        <v>5.6</v>
      </c>
      <c r="I105">
        <v>10.6</v>
      </c>
      <c r="J105">
        <f t="shared" si="12"/>
        <v>945.9</v>
      </c>
      <c r="M105">
        <v>1</v>
      </c>
      <c r="N105">
        <v>1</v>
      </c>
      <c r="O105">
        <f t="shared" si="9"/>
        <v>0</v>
      </c>
      <c r="P105">
        <f t="shared" si="7"/>
        <v>20.599999999999998</v>
      </c>
      <c r="Q105" s="32">
        <v>72</v>
      </c>
      <c r="R105">
        <f t="shared" si="14"/>
        <v>0.86235294117647054</v>
      </c>
      <c r="S105" s="34">
        <f t="shared" si="10"/>
        <v>0.86235294117647054</v>
      </c>
      <c r="T105" s="33">
        <f t="shared" si="11"/>
        <v>0.13764705882352946</v>
      </c>
      <c r="U105" s="33">
        <f t="shared" si="8"/>
        <v>25.911411764705878</v>
      </c>
      <c r="W105">
        <v>213.7</v>
      </c>
      <c r="Y105">
        <f t="shared" si="13"/>
        <v>61465.5</v>
      </c>
      <c r="AA105">
        <v>9.2635718703000745</v>
      </c>
    </row>
    <row r="106" spans="1:27" x14ac:dyDescent="0.25">
      <c r="A106">
        <v>5160</v>
      </c>
      <c r="B106">
        <v>23050</v>
      </c>
      <c r="C106" s="1">
        <v>42684</v>
      </c>
      <c r="F106" s="51"/>
      <c r="G106">
        <v>9.3000000000000007</v>
      </c>
      <c r="H106">
        <v>8</v>
      </c>
      <c r="I106">
        <v>10.6</v>
      </c>
      <c r="J106">
        <f t="shared" si="12"/>
        <v>955.19999999999993</v>
      </c>
      <c r="M106">
        <v>2.4</v>
      </c>
      <c r="N106">
        <v>0.7</v>
      </c>
      <c r="O106">
        <f t="shared" si="9"/>
        <v>1.7</v>
      </c>
      <c r="P106">
        <f t="shared" si="7"/>
        <v>22.299999999999997</v>
      </c>
      <c r="Q106">
        <v>73</v>
      </c>
      <c r="R106">
        <f t="shared" si="14"/>
        <v>0.87</v>
      </c>
      <c r="S106" s="34">
        <f t="shared" si="10"/>
        <v>0.60899999999999999</v>
      </c>
      <c r="T106" s="33">
        <f t="shared" si="11"/>
        <v>1.7909999999999999</v>
      </c>
      <c r="U106" s="33">
        <f t="shared" si="8"/>
        <v>27.702411764705879</v>
      </c>
      <c r="W106">
        <v>159.6</v>
      </c>
      <c r="Y106">
        <f t="shared" si="13"/>
        <v>61625.1</v>
      </c>
      <c r="AA106">
        <v>9.2179942489747937</v>
      </c>
    </row>
    <row r="107" spans="1:27" x14ac:dyDescent="0.25">
      <c r="A107">
        <v>5160</v>
      </c>
      <c r="B107">
        <v>23050</v>
      </c>
      <c r="C107" s="1">
        <v>42685</v>
      </c>
      <c r="F107" s="51"/>
      <c r="G107">
        <v>5.7</v>
      </c>
      <c r="H107">
        <v>3.6</v>
      </c>
      <c r="I107">
        <v>8.9</v>
      </c>
      <c r="J107">
        <f t="shared" si="12"/>
        <v>960.9</v>
      </c>
      <c r="M107">
        <v>0</v>
      </c>
      <c r="N107">
        <v>0.7</v>
      </c>
      <c r="O107">
        <f t="shared" si="9"/>
        <v>-0.7</v>
      </c>
      <c r="P107">
        <f t="shared" si="7"/>
        <v>21.599999999999998</v>
      </c>
      <c r="Q107" s="32">
        <v>74</v>
      </c>
      <c r="R107">
        <f t="shared" si="14"/>
        <v>0.87764705882352945</v>
      </c>
      <c r="S107" s="34">
        <f t="shared" si="10"/>
        <v>0.61435294117647055</v>
      </c>
      <c r="T107" s="33">
        <f t="shared" si="11"/>
        <v>-0.61435294117647055</v>
      </c>
      <c r="U107" s="33">
        <f t="shared" si="8"/>
        <v>27.088058823529408</v>
      </c>
      <c r="W107">
        <v>295.89999999999998</v>
      </c>
      <c r="Y107">
        <f t="shared" si="13"/>
        <v>61921</v>
      </c>
      <c r="AA107">
        <v>9.1731033462365925</v>
      </c>
    </row>
    <row r="108" spans="1:27" x14ac:dyDescent="0.25">
      <c r="A108">
        <v>5160</v>
      </c>
      <c r="B108">
        <v>23050</v>
      </c>
      <c r="C108" s="1">
        <v>42686</v>
      </c>
      <c r="F108" s="51"/>
      <c r="G108">
        <v>5.0999999999999996</v>
      </c>
      <c r="H108">
        <v>0.3</v>
      </c>
      <c r="I108">
        <v>10.1</v>
      </c>
      <c r="J108">
        <f t="shared" si="12"/>
        <v>966</v>
      </c>
      <c r="M108">
        <v>6</v>
      </c>
      <c r="N108">
        <v>0.3</v>
      </c>
      <c r="O108">
        <f t="shared" si="9"/>
        <v>5.7</v>
      </c>
      <c r="P108">
        <f t="shared" si="7"/>
        <v>27.299999999999997</v>
      </c>
      <c r="Q108">
        <v>75</v>
      </c>
      <c r="R108">
        <f t="shared" si="14"/>
        <v>0.88529411764705879</v>
      </c>
      <c r="S108" s="34">
        <f t="shared" si="10"/>
        <v>0.26558823529411762</v>
      </c>
      <c r="T108" s="33">
        <f t="shared" si="11"/>
        <v>5.7344117647058823</v>
      </c>
      <c r="U108" s="33">
        <f t="shared" si="8"/>
        <v>32.822470588235291</v>
      </c>
      <c r="W108">
        <v>163.19999999999999</v>
      </c>
      <c r="Y108">
        <f t="shared" si="13"/>
        <v>62084.2</v>
      </c>
      <c r="AA108">
        <v>9.1289214326012704</v>
      </c>
    </row>
    <row r="109" spans="1:27" x14ac:dyDescent="0.25">
      <c r="A109">
        <v>5160</v>
      </c>
      <c r="B109">
        <v>23050</v>
      </c>
      <c r="C109" s="1">
        <v>42687</v>
      </c>
      <c r="F109" s="51"/>
      <c r="G109">
        <v>9.4</v>
      </c>
      <c r="H109">
        <v>7.7</v>
      </c>
      <c r="I109">
        <v>10.7</v>
      </c>
      <c r="J109">
        <f t="shared" si="12"/>
        <v>975.4</v>
      </c>
      <c r="M109">
        <v>0.1</v>
      </c>
      <c r="N109">
        <v>0.3</v>
      </c>
      <c r="O109">
        <f t="shared" si="9"/>
        <v>-0.19999999999999998</v>
      </c>
      <c r="P109">
        <f t="shared" si="7"/>
        <v>27.099999999999998</v>
      </c>
      <c r="Q109" s="32">
        <v>76</v>
      </c>
      <c r="R109">
        <f t="shared" si="14"/>
        <v>0.89294117647058824</v>
      </c>
      <c r="S109" s="34">
        <f t="shared" si="10"/>
        <v>0.26788235294117646</v>
      </c>
      <c r="T109" s="33">
        <f t="shared" si="11"/>
        <v>-0.16788235294117645</v>
      </c>
      <c r="U109" s="33">
        <f t="shared" si="8"/>
        <v>32.654588235294113</v>
      </c>
      <c r="W109">
        <v>171.2</v>
      </c>
      <c r="Y109">
        <f t="shared" si="13"/>
        <v>62255.399999999994</v>
      </c>
      <c r="AA109">
        <v>9.0854710262024412</v>
      </c>
    </row>
    <row r="110" spans="1:27" x14ac:dyDescent="0.25">
      <c r="A110">
        <v>5160</v>
      </c>
      <c r="B110">
        <v>23050</v>
      </c>
      <c r="C110" s="1">
        <v>42688</v>
      </c>
      <c r="F110" s="51"/>
      <c r="G110">
        <v>7.4</v>
      </c>
      <c r="H110">
        <v>6.3</v>
      </c>
      <c r="I110">
        <v>8.3000000000000007</v>
      </c>
      <c r="J110">
        <f t="shared" si="12"/>
        <v>982.8</v>
      </c>
      <c r="M110">
        <v>0</v>
      </c>
      <c r="N110">
        <v>0.4</v>
      </c>
      <c r="O110">
        <f t="shared" si="9"/>
        <v>-0.4</v>
      </c>
      <c r="P110">
        <f t="shared" si="7"/>
        <v>26.7</v>
      </c>
      <c r="Q110">
        <v>77</v>
      </c>
      <c r="R110">
        <f t="shared" si="14"/>
        <v>0.90058823529411769</v>
      </c>
      <c r="S110" s="34">
        <f t="shared" si="10"/>
        <v>0.3602352941176471</v>
      </c>
      <c r="T110" s="33">
        <f t="shared" si="11"/>
        <v>-0.3602352941176471</v>
      </c>
      <c r="U110" s="33">
        <f t="shared" si="8"/>
        <v>32.294352941176463</v>
      </c>
      <c r="W110">
        <v>131.80000000000001</v>
      </c>
      <c r="Y110">
        <f t="shared" si="13"/>
        <v>62387.199999999997</v>
      </c>
      <c r="AA110">
        <v>9.0427748675998583</v>
      </c>
    </row>
    <row r="111" spans="1:27" x14ac:dyDescent="0.25">
      <c r="A111">
        <v>5160</v>
      </c>
      <c r="B111">
        <v>23050</v>
      </c>
      <c r="C111" s="1">
        <v>42689</v>
      </c>
      <c r="F111" s="51"/>
      <c r="G111">
        <v>9.5</v>
      </c>
      <c r="H111">
        <v>6.9</v>
      </c>
      <c r="I111">
        <v>11.2</v>
      </c>
      <c r="J111">
        <f t="shared" si="12"/>
        <v>992.3</v>
      </c>
      <c r="M111">
        <v>4</v>
      </c>
      <c r="N111">
        <v>0.3</v>
      </c>
      <c r="O111">
        <f t="shared" si="9"/>
        <v>3.7</v>
      </c>
      <c r="P111">
        <f t="shared" si="7"/>
        <v>30.4</v>
      </c>
      <c r="Q111" s="32">
        <v>78</v>
      </c>
      <c r="R111">
        <f t="shared" si="14"/>
        <v>0.90823529411764703</v>
      </c>
      <c r="S111" s="34">
        <f t="shared" si="10"/>
        <v>0.27247058823529408</v>
      </c>
      <c r="T111" s="33">
        <f t="shared" si="11"/>
        <v>3.727529411764706</v>
      </c>
      <c r="U111" s="33">
        <f t="shared" si="8"/>
        <v>36.021882352941169</v>
      </c>
      <c r="W111">
        <v>165.5</v>
      </c>
      <c r="Y111">
        <f t="shared" si="13"/>
        <v>62552.7</v>
      </c>
      <c r="AA111">
        <v>9.0008558925476532</v>
      </c>
    </row>
    <row r="112" spans="1:27" x14ac:dyDescent="0.25">
      <c r="A112">
        <v>5160</v>
      </c>
      <c r="B112">
        <v>23050</v>
      </c>
      <c r="C112" s="1">
        <v>42690</v>
      </c>
      <c r="E112" t="s">
        <v>60</v>
      </c>
      <c r="F112" s="51"/>
      <c r="G112">
        <v>11</v>
      </c>
      <c r="H112">
        <v>10.6</v>
      </c>
      <c r="I112">
        <v>11.4</v>
      </c>
      <c r="J112">
        <f t="shared" si="12"/>
        <v>1003.3</v>
      </c>
      <c r="M112">
        <v>4.3</v>
      </c>
      <c r="N112">
        <v>0.4</v>
      </c>
      <c r="O112">
        <f t="shared" si="9"/>
        <v>3.9</v>
      </c>
      <c r="P112">
        <f t="shared" si="7"/>
        <v>34.299999999999997</v>
      </c>
      <c r="Q112">
        <v>79</v>
      </c>
      <c r="R112">
        <f t="shared" si="14"/>
        <v>0.91588235294117648</v>
      </c>
      <c r="S112" s="34">
        <f t="shared" si="10"/>
        <v>0.3663529411764706</v>
      </c>
      <c r="T112" s="33">
        <f t="shared" si="11"/>
        <v>3.9336470588235293</v>
      </c>
      <c r="U112" s="33">
        <f t="shared" si="8"/>
        <v>39.955529411764701</v>
      </c>
      <c r="W112">
        <v>120.1</v>
      </c>
      <c r="Y112">
        <f t="shared" si="13"/>
        <v>62672.799999999996</v>
      </c>
      <c r="AA112" s="41">
        <v>8.9597372027133009</v>
      </c>
    </row>
    <row r="113" spans="1:28" x14ac:dyDescent="0.25">
      <c r="A113">
        <v>5160</v>
      </c>
      <c r="B113">
        <v>23050</v>
      </c>
      <c r="C113" s="1">
        <v>42691</v>
      </c>
      <c r="F113" s="51"/>
      <c r="G113">
        <v>12.1</v>
      </c>
      <c r="H113">
        <v>11</v>
      </c>
      <c r="I113">
        <v>13.2</v>
      </c>
      <c r="J113">
        <f t="shared" si="12"/>
        <v>1015.4</v>
      </c>
      <c r="M113">
        <v>3.7</v>
      </c>
      <c r="N113">
        <v>0.9</v>
      </c>
      <c r="O113">
        <f t="shared" si="9"/>
        <v>2.8000000000000003</v>
      </c>
      <c r="P113">
        <f t="shared" si="7"/>
        <v>37.099999999999994</v>
      </c>
      <c r="Q113" s="32">
        <v>80</v>
      </c>
      <c r="R113">
        <f t="shared" si="14"/>
        <v>0.92352941176470582</v>
      </c>
      <c r="S113" s="34">
        <f t="shared" si="10"/>
        <v>0.83117647058823529</v>
      </c>
      <c r="T113" s="33">
        <f t="shared" si="11"/>
        <v>2.868823529411765</v>
      </c>
      <c r="U113" s="33">
        <f t="shared" si="8"/>
        <v>42.824352941176464</v>
      </c>
      <c r="W113">
        <v>233.8</v>
      </c>
      <c r="Y113">
        <f t="shared" si="13"/>
        <v>62906.6</v>
      </c>
      <c r="AA113" s="41">
        <v>8.9194420343485934</v>
      </c>
    </row>
    <row r="114" spans="1:28" x14ac:dyDescent="0.25">
      <c r="A114">
        <v>5160</v>
      </c>
      <c r="B114">
        <v>23050</v>
      </c>
      <c r="C114" s="1">
        <v>42692</v>
      </c>
      <c r="F114" s="51"/>
      <c r="G114">
        <v>7.5</v>
      </c>
      <c r="H114">
        <v>5.8</v>
      </c>
      <c r="I114">
        <v>8.5</v>
      </c>
      <c r="J114">
        <f t="shared" si="12"/>
        <v>1022.9</v>
      </c>
      <c r="M114">
        <v>2.2999999999999998</v>
      </c>
      <c r="N114">
        <v>0.7</v>
      </c>
      <c r="O114">
        <f t="shared" si="9"/>
        <v>1.5999999999999999</v>
      </c>
      <c r="P114">
        <f t="shared" si="7"/>
        <v>38.699999999999996</v>
      </c>
      <c r="Q114">
        <v>81</v>
      </c>
      <c r="R114">
        <f t="shared" si="14"/>
        <v>0.93117647058823527</v>
      </c>
      <c r="S114" s="34">
        <f t="shared" si="10"/>
        <v>0.65182352941176469</v>
      </c>
      <c r="T114" s="33">
        <f t="shared" si="11"/>
        <v>1.6481764705882351</v>
      </c>
      <c r="U114" s="33">
        <f t="shared" si="8"/>
        <v>44.472529411764697</v>
      </c>
      <c r="W114">
        <v>130.80000000000001</v>
      </c>
      <c r="Y114">
        <f t="shared" si="13"/>
        <v>63037.4</v>
      </c>
      <c r="AA114" s="41">
        <v>8.879993724925038</v>
      </c>
    </row>
    <row r="115" spans="1:28" x14ac:dyDescent="0.25">
      <c r="A115">
        <v>5160</v>
      </c>
      <c r="B115">
        <v>23050</v>
      </c>
      <c r="C115" s="1">
        <v>42693</v>
      </c>
      <c r="F115" s="51"/>
      <c r="G115">
        <v>7.2</v>
      </c>
      <c r="H115">
        <v>4.3</v>
      </c>
      <c r="I115">
        <v>10.7</v>
      </c>
      <c r="J115">
        <f t="shared" si="12"/>
        <v>1030.0999999999999</v>
      </c>
      <c r="M115">
        <v>1.6</v>
      </c>
      <c r="N115">
        <v>1.2</v>
      </c>
      <c r="O115">
        <f t="shared" si="9"/>
        <v>0.40000000000000013</v>
      </c>
      <c r="P115">
        <f t="shared" ref="P115:P178" si="15">P114+O115</f>
        <v>39.099999999999994</v>
      </c>
      <c r="Q115" s="32">
        <v>82</v>
      </c>
      <c r="R115">
        <f t="shared" si="14"/>
        <v>0.93882352941176472</v>
      </c>
      <c r="S115" s="34">
        <f t="shared" si="10"/>
        <v>1.1265882352941177</v>
      </c>
      <c r="T115" s="33">
        <f t="shared" si="11"/>
        <v>0.47341176470588242</v>
      </c>
      <c r="U115" s="33">
        <f t="shared" ref="U115:U178" si="16">MIN(U114+T115,146.7)</f>
        <v>44.945941176470576</v>
      </c>
      <c r="W115">
        <v>657.1</v>
      </c>
      <c r="Y115">
        <f t="shared" si="13"/>
        <v>63694.5</v>
      </c>
      <c r="AA115" s="41">
        <v>8.8414156777585298</v>
      </c>
    </row>
    <row r="116" spans="1:28" x14ac:dyDescent="0.25">
      <c r="A116">
        <v>5160</v>
      </c>
      <c r="B116">
        <v>23050</v>
      </c>
      <c r="C116" s="1">
        <v>42694</v>
      </c>
      <c r="F116" s="51"/>
      <c r="G116">
        <v>11.6</v>
      </c>
      <c r="H116">
        <v>8</v>
      </c>
      <c r="I116">
        <v>13.1</v>
      </c>
      <c r="J116">
        <f t="shared" si="12"/>
        <v>1041.6999999999998</v>
      </c>
      <c r="M116">
        <v>3.2</v>
      </c>
      <c r="N116">
        <v>0.8</v>
      </c>
      <c r="O116">
        <f t="shared" si="9"/>
        <v>2.4000000000000004</v>
      </c>
      <c r="P116">
        <f t="shared" si="15"/>
        <v>41.499999999999993</v>
      </c>
      <c r="Q116">
        <v>83</v>
      </c>
      <c r="R116">
        <f t="shared" si="14"/>
        <v>0.94647058823529406</v>
      </c>
      <c r="S116" s="34">
        <f t="shared" si="10"/>
        <v>0.75717647058823534</v>
      </c>
      <c r="T116" s="33">
        <f t="shared" si="11"/>
        <v>2.4428235294117648</v>
      </c>
      <c r="U116" s="33">
        <f t="shared" si="16"/>
        <v>47.388764705882338</v>
      </c>
      <c r="W116">
        <v>169.3</v>
      </c>
      <c r="Y116">
        <f t="shared" si="13"/>
        <v>63863.8</v>
      </c>
      <c r="AA116" s="41">
        <v>8.8037313246610811</v>
      </c>
    </row>
    <row r="117" spans="1:28" x14ac:dyDescent="0.25">
      <c r="A117">
        <v>5160</v>
      </c>
      <c r="B117">
        <v>23050</v>
      </c>
      <c r="C117" s="1">
        <v>42695</v>
      </c>
      <c r="F117" s="51"/>
      <c r="G117">
        <v>11.3</v>
      </c>
      <c r="H117">
        <v>10.6</v>
      </c>
      <c r="I117">
        <v>11.9</v>
      </c>
      <c r="J117">
        <f t="shared" si="12"/>
        <v>1052.9999999999998</v>
      </c>
      <c r="M117">
        <v>0.7</v>
      </c>
      <c r="N117">
        <v>1</v>
      </c>
      <c r="O117">
        <f t="shared" si="9"/>
        <v>-0.30000000000000004</v>
      </c>
      <c r="P117">
        <f t="shared" si="15"/>
        <v>41.199999999999996</v>
      </c>
      <c r="Q117" s="32">
        <v>84</v>
      </c>
      <c r="R117">
        <f t="shared" si="14"/>
        <v>0.95411764705882351</v>
      </c>
      <c r="S117" s="34">
        <f t="shared" si="10"/>
        <v>0.95411764705882351</v>
      </c>
      <c r="T117" s="33">
        <f t="shared" si="11"/>
        <v>-0.25411764705882356</v>
      </c>
      <c r="U117" s="33">
        <f t="shared" si="16"/>
        <v>47.134647058823511</v>
      </c>
      <c r="W117">
        <v>221.5</v>
      </c>
      <c r="Y117">
        <f t="shared" si="13"/>
        <v>64085.3</v>
      </c>
      <c r="AA117" s="41">
        <v>8.7669640866714094</v>
      </c>
    </row>
    <row r="118" spans="1:28" x14ac:dyDescent="0.25">
      <c r="A118">
        <v>5160</v>
      </c>
      <c r="B118">
        <v>23050</v>
      </c>
      <c r="C118" s="1">
        <v>42696</v>
      </c>
      <c r="F118" s="51"/>
      <c r="G118">
        <v>9.4</v>
      </c>
      <c r="H118">
        <v>8.1</v>
      </c>
      <c r="I118">
        <v>11.6</v>
      </c>
      <c r="J118">
        <f t="shared" si="12"/>
        <v>1062.3999999999999</v>
      </c>
      <c r="M118">
        <v>8.6999999999999993</v>
      </c>
      <c r="N118">
        <v>0.7</v>
      </c>
      <c r="O118">
        <f t="shared" si="9"/>
        <v>7.9999999999999991</v>
      </c>
      <c r="P118">
        <f t="shared" si="15"/>
        <v>49.199999999999996</v>
      </c>
      <c r="Q118">
        <v>85</v>
      </c>
      <c r="R118">
        <f t="shared" si="14"/>
        <v>0.96176470588235297</v>
      </c>
      <c r="S118" s="34">
        <f t="shared" si="10"/>
        <v>0.67323529411764704</v>
      </c>
      <c r="T118" s="33">
        <f t="shared" si="11"/>
        <v>8.0267647058823517</v>
      </c>
      <c r="U118" s="33">
        <f t="shared" si="16"/>
        <v>55.161411764705861</v>
      </c>
      <c r="W118">
        <v>304.7</v>
      </c>
      <c r="Y118">
        <f t="shared" si="13"/>
        <v>64390</v>
      </c>
      <c r="AA118" s="41">
        <v>8.7311373329307891</v>
      </c>
    </row>
    <row r="119" spans="1:28" x14ac:dyDescent="0.25">
      <c r="A119">
        <v>5160</v>
      </c>
      <c r="B119">
        <v>23050</v>
      </c>
      <c r="C119" s="1">
        <v>42697</v>
      </c>
      <c r="F119" s="51"/>
      <c r="G119">
        <v>10.7</v>
      </c>
      <c r="H119">
        <v>8.1999999999999993</v>
      </c>
      <c r="I119">
        <v>13.1</v>
      </c>
      <c r="J119">
        <f t="shared" si="12"/>
        <v>1073.0999999999999</v>
      </c>
      <c r="M119">
        <v>0.4</v>
      </c>
      <c r="N119">
        <v>0.4</v>
      </c>
      <c r="O119">
        <f t="shared" si="9"/>
        <v>0</v>
      </c>
      <c r="P119">
        <f t="shared" si="15"/>
        <v>49.199999999999996</v>
      </c>
      <c r="Q119" s="32">
        <v>86</v>
      </c>
      <c r="R119">
        <f t="shared" si="14"/>
        <v>0.96941176470588231</v>
      </c>
      <c r="S119" s="34">
        <f t="shared" si="10"/>
        <v>0.38776470588235296</v>
      </c>
      <c r="T119" s="33">
        <f t="shared" si="11"/>
        <v>1.2235294117647066E-2</v>
      </c>
      <c r="U119" s="33">
        <f t="shared" si="16"/>
        <v>55.173647058823505</v>
      </c>
      <c r="W119">
        <v>189.7</v>
      </c>
      <c r="Y119">
        <f t="shared" si="13"/>
        <v>64579.7</v>
      </c>
      <c r="AA119" s="41">
        <v>8.6962743377859795</v>
      </c>
    </row>
    <row r="120" spans="1:28" x14ac:dyDescent="0.25">
      <c r="A120">
        <v>5160</v>
      </c>
      <c r="B120">
        <v>23050</v>
      </c>
      <c r="C120" s="1">
        <v>42698</v>
      </c>
      <c r="F120" s="51"/>
      <c r="G120">
        <v>10.1</v>
      </c>
      <c r="H120">
        <v>9.6</v>
      </c>
      <c r="I120">
        <v>11.1</v>
      </c>
      <c r="J120">
        <f t="shared" si="12"/>
        <v>1083.1999999999998</v>
      </c>
      <c r="M120">
        <v>0</v>
      </c>
      <c r="N120">
        <v>0.8</v>
      </c>
      <c r="O120">
        <f t="shared" si="9"/>
        <v>-0.8</v>
      </c>
      <c r="P120">
        <f t="shared" si="15"/>
        <v>48.4</v>
      </c>
      <c r="Q120">
        <v>87</v>
      </c>
      <c r="R120">
        <f t="shared" si="14"/>
        <v>0.97705882352941176</v>
      </c>
      <c r="S120" s="34">
        <f t="shared" si="10"/>
        <v>0.78164705882352947</v>
      </c>
      <c r="T120" s="33">
        <f t="shared" si="11"/>
        <v>-0.78164705882352947</v>
      </c>
      <c r="U120" s="33">
        <f t="shared" si="16"/>
        <v>54.391999999999975</v>
      </c>
      <c r="W120">
        <v>139.80000000000001</v>
      </c>
      <c r="Y120">
        <f t="shared" si="13"/>
        <v>64719.5</v>
      </c>
      <c r="AA120" s="41">
        <v>8.6623982362169407</v>
      </c>
    </row>
    <row r="121" spans="1:28" x14ac:dyDescent="0.25">
      <c r="A121">
        <v>5160</v>
      </c>
      <c r="B121">
        <v>23050</v>
      </c>
      <c r="C121" s="1">
        <v>42699</v>
      </c>
      <c r="F121" s="51"/>
      <c r="G121">
        <v>8.5</v>
      </c>
      <c r="H121">
        <v>8.4</v>
      </c>
      <c r="I121">
        <v>9.1</v>
      </c>
      <c r="J121">
        <f t="shared" si="12"/>
        <v>1091.6999999999998</v>
      </c>
      <c r="M121">
        <v>0</v>
      </c>
      <c r="N121">
        <v>0.8</v>
      </c>
      <c r="O121">
        <f t="shared" si="9"/>
        <v>-0.8</v>
      </c>
      <c r="P121">
        <f t="shared" si="15"/>
        <v>47.6</v>
      </c>
      <c r="Q121" s="32">
        <v>88</v>
      </c>
      <c r="R121">
        <f t="shared" si="14"/>
        <v>0.98470588235294121</v>
      </c>
      <c r="S121" s="34">
        <f t="shared" si="10"/>
        <v>0.78776470588235303</v>
      </c>
      <c r="T121" s="33">
        <f t="shared" si="11"/>
        <v>-0.78776470588235303</v>
      </c>
      <c r="U121" s="33">
        <f t="shared" si="16"/>
        <v>53.604235294117622</v>
      </c>
      <c r="W121">
        <v>106.7</v>
      </c>
      <c r="Y121">
        <f t="shared" si="13"/>
        <v>64826.2</v>
      </c>
      <c r="AA121" s="41">
        <v>8.6295319777033352</v>
      </c>
    </row>
    <row r="122" spans="1:28" x14ac:dyDescent="0.25">
      <c r="A122">
        <v>5160</v>
      </c>
      <c r="B122">
        <v>23050</v>
      </c>
      <c r="C122" s="1">
        <v>42700</v>
      </c>
      <c r="F122" s="51"/>
      <c r="G122">
        <v>7.5</v>
      </c>
      <c r="H122">
        <v>6.8</v>
      </c>
      <c r="I122">
        <v>8.6</v>
      </c>
      <c r="J122">
        <f t="shared" si="12"/>
        <v>1099.1999999999998</v>
      </c>
      <c r="M122">
        <v>0.1</v>
      </c>
      <c r="N122">
        <v>0.3</v>
      </c>
      <c r="O122">
        <f t="shared" si="9"/>
        <v>-0.19999999999999998</v>
      </c>
      <c r="P122">
        <f t="shared" si="15"/>
        <v>47.4</v>
      </c>
      <c r="Q122">
        <v>89</v>
      </c>
      <c r="R122">
        <f t="shared" si="14"/>
        <v>0.99235294117647066</v>
      </c>
      <c r="S122" s="34">
        <f t="shared" si="10"/>
        <v>0.29770588235294121</v>
      </c>
      <c r="T122" s="33">
        <f t="shared" si="11"/>
        <v>-0.1977058823529412</v>
      </c>
      <c r="U122" s="33">
        <f t="shared" si="16"/>
        <v>53.40652941176468</v>
      </c>
      <c r="W122">
        <v>223.1</v>
      </c>
      <c r="Y122">
        <f t="shared" si="13"/>
        <v>65049.299999999996</v>
      </c>
      <c r="AA122" s="41">
        <v>8.5976982786605642</v>
      </c>
    </row>
    <row r="123" spans="1:28" s="35" customFormat="1" ht="15.75" thickBot="1" x14ac:dyDescent="0.3">
      <c r="A123" s="35">
        <v>5160</v>
      </c>
      <c r="B123" s="35">
        <v>23050</v>
      </c>
      <c r="C123" s="36">
        <v>42701</v>
      </c>
      <c r="F123" s="51"/>
      <c r="G123" s="35">
        <v>6.7</v>
      </c>
      <c r="H123" s="35">
        <v>5.9</v>
      </c>
      <c r="I123" s="35">
        <v>8.6</v>
      </c>
      <c r="J123" s="35">
        <f t="shared" si="12"/>
        <v>1105.8999999999999</v>
      </c>
      <c r="L123" s="37"/>
      <c r="M123" s="35">
        <v>0</v>
      </c>
      <c r="N123" s="35">
        <v>0.7</v>
      </c>
      <c r="O123" s="35">
        <f t="shared" si="9"/>
        <v>-0.7</v>
      </c>
      <c r="P123" s="35">
        <f t="shared" si="15"/>
        <v>46.699999999999996</v>
      </c>
      <c r="Q123" s="38">
        <v>90</v>
      </c>
      <c r="R123" s="35">
        <f t="shared" si="14"/>
        <v>1</v>
      </c>
      <c r="S123" s="35">
        <f t="shared" si="10"/>
        <v>0.7</v>
      </c>
      <c r="T123" s="40">
        <f t="shared" si="11"/>
        <v>-0.7</v>
      </c>
      <c r="U123" s="33">
        <f t="shared" si="16"/>
        <v>52.706529411764677</v>
      </c>
      <c r="V123" s="37"/>
      <c r="W123" s="35">
        <v>335.3</v>
      </c>
      <c r="Y123" s="35">
        <f t="shared" si="13"/>
        <v>65384.6</v>
      </c>
      <c r="AA123" s="42">
        <v>8.5669195735928181</v>
      </c>
      <c r="AB123" s="37"/>
    </row>
    <row r="124" spans="1:28" x14ac:dyDescent="0.25">
      <c r="A124">
        <v>5160</v>
      </c>
      <c r="B124">
        <v>23050</v>
      </c>
      <c r="C124" s="1">
        <v>42702</v>
      </c>
      <c r="D124" t="s">
        <v>34</v>
      </c>
      <c r="E124" s="41">
        <v>1</v>
      </c>
      <c r="F124" s="52" t="s">
        <v>46</v>
      </c>
      <c r="G124">
        <v>3.8</v>
      </c>
      <c r="H124">
        <v>2.8</v>
      </c>
      <c r="I124">
        <v>6.8</v>
      </c>
      <c r="J124">
        <f t="shared" si="12"/>
        <v>1109.6999999999998</v>
      </c>
      <c r="K124">
        <v>3.8</v>
      </c>
      <c r="L124" s="13" t="s">
        <v>38</v>
      </c>
      <c r="M124">
        <v>0</v>
      </c>
      <c r="N124">
        <v>1.6</v>
      </c>
      <c r="O124">
        <f t="shared" si="9"/>
        <v>-1.6</v>
      </c>
      <c r="P124">
        <f t="shared" si="15"/>
        <v>45.099999999999994</v>
      </c>
      <c r="Q124">
        <v>91</v>
      </c>
      <c r="R124">
        <v>1</v>
      </c>
      <c r="S124">
        <f t="shared" si="10"/>
        <v>1.6</v>
      </c>
      <c r="T124" s="33">
        <f t="shared" si="11"/>
        <v>-1.6</v>
      </c>
      <c r="U124" s="33">
        <f t="shared" si="16"/>
        <v>51.106529411764676</v>
      </c>
      <c r="V124" s="26" t="s">
        <v>52</v>
      </c>
      <c r="W124">
        <v>774</v>
      </c>
      <c r="Y124">
        <f t="shared" si="13"/>
        <v>66158.600000000006</v>
      </c>
      <c r="Z124">
        <f>W124</f>
        <v>774</v>
      </c>
      <c r="AA124" s="41">
        <v>8.5372179651273754</v>
      </c>
      <c r="AB124" s="26" t="s">
        <v>57</v>
      </c>
    </row>
    <row r="125" spans="1:28" x14ac:dyDescent="0.25">
      <c r="A125">
        <v>5160</v>
      </c>
      <c r="B125">
        <v>23050</v>
      </c>
      <c r="C125" s="1">
        <v>42703</v>
      </c>
      <c r="E125" s="41">
        <v>2</v>
      </c>
      <c r="F125" s="52"/>
      <c r="G125">
        <v>0</v>
      </c>
      <c r="H125">
        <v>-1.8</v>
      </c>
      <c r="I125">
        <v>2.6</v>
      </c>
      <c r="J125">
        <f t="shared" si="12"/>
        <v>1109.6999999999998</v>
      </c>
      <c r="K125">
        <f>K124+G125</f>
        <v>3.8</v>
      </c>
      <c r="L125" s="11">
        <v>162.19999999999999</v>
      </c>
      <c r="M125">
        <v>0</v>
      </c>
      <c r="N125">
        <v>1</v>
      </c>
      <c r="O125">
        <f t="shared" si="9"/>
        <v>-1</v>
      </c>
      <c r="P125">
        <f t="shared" si="15"/>
        <v>44.099999999999994</v>
      </c>
      <c r="Q125" s="32">
        <v>92</v>
      </c>
      <c r="R125">
        <v>1</v>
      </c>
      <c r="S125">
        <f t="shared" si="10"/>
        <v>1</v>
      </c>
      <c r="T125" s="33">
        <f t="shared" si="11"/>
        <v>-1</v>
      </c>
      <c r="U125" s="33">
        <f t="shared" si="16"/>
        <v>50.106529411764676</v>
      </c>
      <c r="V125">
        <v>0</v>
      </c>
      <c r="W125">
        <v>790</v>
      </c>
      <c r="Y125">
        <f t="shared" si="13"/>
        <v>66948.600000000006</v>
      </c>
      <c r="Z125">
        <f>Z124+W125</f>
        <v>1564</v>
      </c>
      <c r="AA125" s="41">
        <v>8.5086151731109094</v>
      </c>
      <c r="AB125">
        <v>25649.9</v>
      </c>
    </row>
    <row r="126" spans="1:28" x14ac:dyDescent="0.25">
      <c r="A126">
        <v>5160</v>
      </c>
      <c r="B126">
        <v>23050</v>
      </c>
      <c r="C126" s="1">
        <v>42704</v>
      </c>
      <c r="E126" s="41">
        <v>3</v>
      </c>
      <c r="F126" s="52"/>
      <c r="G126">
        <v>1</v>
      </c>
      <c r="H126">
        <v>-2.8</v>
      </c>
      <c r="I126">
        <v>5.7</v>
      </c>
      <c r="J126">
        <f t="shared" si="12"/>
        <v>1110.6999999999998</v>
      </c>
      <c r="K126">
        <f t="shared" ref="K126:K189" si="17">K125+G126</f>
        <v>4.8</v>
      </c>
      <c r="L126" s="13" t="s">
        <v>39</v>
      </c>
      <c r="M126">
        <v>0</v>
      </c>
      <c r="N126">
        <v>0.8</v>
      </c>
      <c r="O126">
        <f t="shared" si="9"/>
        <v>-0.8</v>
      </c>
      <c r="P126">
        <f t="shared" si="15"/>
        <v>43.3</v>
      </c>
      <c r="Q126">
        <v>93</v>
      </c>
      <c r="R126">
        <v>1</v>
      </c>
      <c r="S126">
        <f t="shared" si="10"/>
        <v>0.8</v>
      </c>
      <c r="T126" s="33">
        <f t="shared" si="11"/>
        <v>-0.8</v>
      </c>
      <c r="U126" s="33">
        <f t="shared" si="16"/>
        <v>49.306529411764679</v>
      </c>
      <c r="V126" s="26" t="s">
        <v>53</v>
      </c>
      <c r="W126">
        <v>774.3</v>
      </c>
      <c r="Y126">
        <f t="shared" si="13"/>
        <v>67722.900000000009</v>
      </c>
      <c r="Z126">
        <f t="shared" ref="Z126:Z189" si="18">Z125+W126</f>
        <v>2338.3000000000002</v>
      </c>
      <c r="AA126" s="41">
        <v>8.4811324829646537</v>
      </c>
      <c r="AB126" s="26" t="s">
        <v>58</v>
      </c>
    </row>
    <row r="127" spans="1:28" x14ac:dyDescent="0.25">
      <c r="A127">
        <v>5160</v>
      </c>
      <c r="B127">
        <v>23050</v>
      </c>
      <c r="C127" s="1">
        <v>42705</v>
      </c>
      <c r="E127" s="41">
        <v>4</v>
      </c>
      <c r="F127" s="52"/>
      <c r="G127">
        <v>0.7</v>
      </c>
      <c r="H127">
        <v>-2.1</v>
      </c>
      <c r="I127">
        <v>5.3</v>
      </c>
      <c r="J127">
        <f t="shared" si="12"/>
        <v>1111.3999999999999</v>
      </c>
      <c r="K127">
        <f t="shared" si="17"/>
        <v>5.5</v>
      </c>
      <c r="L127" s="11">
        <f>AVERAGE(G124:G183)</f>
        <v>2.1199999999999997</v>
      </c>
      <c r="M127">
        <v>0</v>
      </c>
      <c r="N127">
        <v>0.8</v>
      </c>
      <c r="O127">
        <f t="shared" si="9"/>
        <v>-0.8</v>
      </c>
      <c r="P127">
        <f t="shared" si="15"/>
        <v>42.5</v>
      </c>
      <c r="Q127" s="32">
        <v>94</v>
      </c>
      <c r="R127">
        <v>1</v>
      </c>
      <c r="S127">
        <f t="shared" si="10"/>
        <v>0.8</v>
      </c>
      <c r="T127" s="33">
        <f t="shared" si="11"/>
        <v>-0.8</v>
      </c>
      <c r="U127" s="33">
        <f t="shared" si="16"/>
        <v>48.506529411764681</v>
      </c>
      <c r="V127">
        <v>20</v>
      </c>
      <c r="W127">
        <v>760.6</v>
      </c>
      <c r="Y127">
        <f t="shared" si="13"/>
        <v>68483.500000000015</v>
      </c>
      <c r="Z127">
        <f t="shared" si="18"/>
        <v>3098.9</v>
      </c>
      <c r="AA127" s="41">
        <v>8.4547906935106294</v>
      </c>
      <c r="AB127">
        <f>(AB125/100)/L125</f>
        <v>1.5813748458692973</v>
      </c>
    </row>
    <row r="128" spans="1:28" x14ac:dyDescent="0.25">
      <c r="A128">
        <v>5160</v>
      </c>
      <c r="B128">
        <v>23050</v>
      </c>
      <c r="C128" s="1">
        <v>42706</v>
      </c>
      <c r="E128" s="41">
        <v>5</v>
      </c>
      <c r="F128" s="52"/>
      <c r="G128">
        <v>1.7</v>
      </c>
      <c r="H128">
        <v>-1.6</v>
      </c>
      <c r="I128">
        <v>4.3</v>
      </c>
      <c r="J128">
        <f t="shared" si="12"/>
        <v>1113.0999999999999</v>
      </c>
      <c r="K128">
        <f t="shared" si="17"/>
        <v>7.2</v>
      </c>
      <c r="L128" s="13" t="s">
        <v>40</v>
      </c>
      <c r="M128">
        <v>0</v>
      </c>
      <c r="N128">
        <v>0.2</v>
      </c>
      <c r="O128">
        <f t="shared" si="9"/>
        <v>-0.2</v>
      </c>
      <c r="P128">
        <f t="shared" si="15"/>
        <v>42.3</v>
      </c>
      <c r="Q128">
        <v>95</v>
      </c>
      <c r="R128">
        <v>1</v>
      </c>
      <c r="S128">
        <f t="shared" si="10"/>
        <v>0.2</v>
      </c>
      <c r="T128" s="33">
        <f t="shared" si="11"/>
        <v>-0.2</v>
      </c>
      <c r="U128" s="33">
        <f t="shared" si="16"/>
        <v>48.306529411764679</v>
      </c>
      <c r="V128" s="26" t="s">
        <v>54</v>
      </c>
      <c r="W128">
        <v>240</v>
      </c>
      <c r="Y128">
        <f t="shared" si="13"/>
        <v>68723.500000000015</v>
      </c>
      <c r="Z128">
        <f t="shared" si="18"/>
        <v>3338.9</v>
      </c>
      <c r="AA128" s="41">
        <v>8.4296100644956873</v>
      </c>
      <c r="AB128" s="26" t="s">
        <v>59</v>
      </c>
    </row>
    <row r="129" spans="1:28" x14ac:dyDescent="0.25">
      <c r="A129">
        <v>5160</v>
      </c>
      <c r="B129">
        <v>23050</v>
      </c>
      <c r="C129" s="1">
        <v>42707</v>
      </c>
      <c r="E129" s="41">
        <v>6</v>
      </c>
      <c r="F129" s="52"/>
      <c r="G129">
        <v>4.3</v>
      </c>
      <c r="H129">
        <v>3.3</v>
      </c>
      <c r="I129">
        <v>7</v>
      </c>
      <c r="J129">
        <f t="shared" si="12"/>
        <v>1117.3999999999999</v>
      </c>
      <c r="K129">
        <f t="shared" si="17"/>
        <v>11.5</v>
      </c>
      <c r="L129" s="12">
        <f>MIN(H124:H183)</f>
        <v>-7.8</v>
      </c>
      <c r="M129">
        <v>0</v>
      </c>
      <c r="N129">
        <v>1</v>
      </c>
      <c r="O129">
        <f t="shared" si="9"/>
        <v>-1</v>
      </c>
      <c r="P129">
        <f t="shared" si="15"/>
        <v>41.3</v>
      </c>
      <c r="Q129" s="32">
        <v>96</v>
      </c>
      <c r="R129">
        <v>1</v>
      </c>
      <c r="S129">
        <f t="shared" si="10"/>
        <v>1</v>
      </c>
      <c r="T129" s="33">
        <f t="shared" si="11"/>
        <v>-1</v>
      </c>
      <c r="U129" s="33">
        <f t="shared" si="16"/>
        <v>47.306529411764679</v>
      </c>
      <c r="V129" s="33">
        <f>MIN(U124:U183)</f>
        <v>39.906529411764687</v>
      </c>
      <c r="W129">
        <v>626.1</v>
      </c>
      <c r="Y129">
        <f t="shared" si="13"/>
        <v>69349.60000000002</v>
      </c>
      <c r="Z129">
        <f t="shared" si="18"/>
        <v>3965</v>
      </c>
      <c r="AA129" s="41">
        <v>8.4056102640534807</v>
      </c>
      <c r="AB129">
        <v>59</v>
      </c>
    </row>
    <row r="130" spans="1:28" x14ac:dyDescent="0.25">
      <c r="A130">
        <v>5160</v>
      </c>
      <c r="B130">
        <v>23050</v>
      </c>
      <c r="C130" s="1">
        <v>42708</v>
      </c>
      <c r="E130" s="41">
        <v>7</v>
      </c>
      <c r="F130" s="52"/>
      <c r="G130">
        <v>0.9</v>
      </c>
      <c r="H130">
        <v>-0.3</v>
      </c>
      <c r="I130">
        <v>2.5</v>
      </c>
      <c r="J130">
        <f t="shared" si="12"/>
        <v>1118.3</v>
      </c>
      <c r="K130">
        <f t="shared" si="17"/>
        <v>12.4</v>
      </c>
      <c r="L130" s="13" t="s">
        <v>41</v>
      </c>
      <c r="M130">
        <v>0.2</v>
      </c>
      <c r="N130">
        <v>0.3</v>
      </c>
      <c r="O130">
        <f t="shared" si="9"/>
        <v>-9.9999999999999978E-2</v>
      </c>
      <c r="P130">
        <f t="shared" si="15"/>
        <v>41.199999999999996</v>
      </c>
      <c r="Q130">
        <v>97</v>
      </c>
      <c r="R130">
        <v>1</v>
      </c>
      <c r="S130">
        <f t="shared" si="10"/>
        <v>0.3</v>
      </c>
      <c r="T130" s="33">
        <f t="shared" si="11"/>
        <v>-9.9999999999999978E-2</v>
      </c>
      <c r="U130" s="33">
        <f t="shared" si="16"/>
        <v>47.206529411764677</v>
      </c>
      <c r="V130" s="26" t="s">
        <v>55</v>
      </c>
      <c r="W130">
        <v>249.7</v>
      </c>
      <c r="Y130">
        <f t="shared" si="13"/>
        <v>69599.300000000017</v>
      </c>
      <c r="Z130">
        <f t="shared" si="18"/>
        <v>4214.7</v>
      </c>
      <c r="AA130" s="41">
        <v>8.3828103163564318</v>
      </c>
      <c r="AB130" s="11" t="s">
        <v>61</v>
      </c>
    </row>
    <row r="131" spans="1:28" x14ac:dyDescent="0.25">
      <c r="A131">
        <v>5160</v>
      </c>
      <c r="B131">
        <v>23050</v>
      </c>
      <c r="C131" s="1">
        <v>42709</v>
      </c>
      <c r="F131" s="52"/>
      <c r="G131">
        <v>5.4</v>
      </c>
      <c r="H131">
        <v>1.1000000000000001</v>
      </c>
      <c r="I131">
        <v>10.7</v>
      </c>
      <c r="J131">
        <f t="shared" si="12"/>
        <v>1123.7</v>
      </c>
      <c r="K131">
        <f t="shared" si="17"/>
        <v>17.8</v>
      </c>
      <c r="L131" s="11">
        <f>MAX(I124:I183)</f>
        <v>11.7</v>
      </c>
      <c r="M131">
        <v>0</v>
      </c>
      <c r="N131">
        <v>0.9</v>
      </c>
      <c r="O131">
        <f t="shared" si="9"/>
        <v>-0.9</v>
      </c>
      <c r="P131">
        <f t="shared" si="15"/>
        <v>40.299999999999997</v>
      </c>
      <c r="Q131" s="32">
        <v>98</v>
      </c>
      <c r="R131">
        <v>1</v>
      </c>
      <c r="S131">
        <f t="shared" si="10"/>
        <v>0.9</v>
      </c>
      <c r="T131" s="33">
        <f t="shared" si="11"/>
        <v>-0.9</v>
      </c>
      <c r="U131" s="33">
        <f t="shared" si="16"/>
        <v>46.306529411764679</v>
      </c>
      <c r="V131" s="33">
        <f>MAX(U124:U183)</f>
        <v>69.40652941176468</v>
      </c>
      <c r="W131">
        <v>675.9</v>
      </c>
      <c r="Y131">
        <f t="shared" si="13"/>
        <v>70275.200000000012</v>
      </c>
      <c r="Z131">
        <f t="shared" si="18"/>
        <v>4890.5999999999995</v>
      </c>
      <c r="AA131" s="41">
        <v>8.3612285497202077</v>
      </c>
      <c r="AB131" s="11">
        <v>47</v>
      </c>
    </row>
    <row r="132" spans="1:28" x14ac:dyDescent="0.25">
      <c r="A132">
        <v>5160</v>
      </c>
      <c r="B132">
        <v>23050</v>
      </c>
      <c r="C132" s="1">
        <v>42710</v>
      </c>
      <c r="E132" s="41">
        <v>8</v>
      </c>
      <c r="F132" s="52"/>
      <c r="G132">
        <v>4.9000000000000004</v>
      </c>
      <c r="H132">
        <v>1.3</v>
      </c>
      <c r="I132">
        <v>10.1</v>
      </c>
      <c r="J132">
        <f t="shared" si="12"/>
        <v>1128.6000000000001</v>
      </c>
      <c r="K132">
        <f t="shared" si="17"/>
        <v>22.700000000000003</v>
      </c>
      <c r="L132" s="13" t="s">
        <v>42</v>
      </c>
      <c r="M132">
        <v>0</v>
      </c>
      <c r="N132">
        <v>0.7</v>
      </c>
      <c r="O132">
        <f t="shared" si="9"/>
        <v>-0.7</v>
      </c>
      <c r="P132">
        <f t="shared" si="15"/>
        <v>39.599999999999994</v>
      </c>
      <c r="Q132">
        <v>99</v>
      </c>
      <c r="R132">
        <v>1</v>
      </c>
      <c r="S132">
        <f t="shared" si="10"/>
        <v>0.7</v>
      </c>
      <c r="T132" s="33">
        <f t="shared" si="11"/>
        <v>-0.7</v>
      </c>
      <c r="U132" s="33">
        <f t="shared" si="16"/>
        <v>45.606529411764676</v>
      </c>
      <c r="V132" s="26" t="s">
        <v>56</v>
      </c>
      <c r="W132">
        <v>556.29999999999995</v>
      </c>
      <c r="Y132">
        <f t="shared" si="13"/>
        <v>70831.500000000015</v>
      </c>
      <c r="Z132">
        <f t="shared" si="18"/>
        <v>5446.9</v>
      </c>
      <c r="AA132" s="41">
        <v>8.3408825454316631</v>
      </c>
    </row>
    <row r="133" spans="1:28" x14ac:dyDescent="0.25">
      <c r="A133">
        <v>5160</v>
      </c>
      <c r="B133">
        <v>23050</v>
      </c>
      <c r="C133" s="1">
        <v>42711</v>
      </c>
      <c r="E133" s="41">
        <v>9</v>
      </c>
      <c r="F133" s="52"/>
      <c r="G133">
        <v>4.7</v>
      </c>
      <c r="H133">
        <v>1.7</v>
      </c>
      <c r="I133">
        <v>10.9</v>
      </c>
      <c r="J133">
        <f t="shared" si="12"/>
        <v>1133.3000000000002</v>
      </c>
      <c r="K133">
        <f t="shared" si="17"/>
        <v>27.400000000000002</v>
      </c>
      <c r="L133" s="11">
        <v>0</v>
      </c>
      <c r="M133">
        <v>0</v>
      </c>
      <c r="N133">
        <v>1</v>
      </c>
      <c r="O133">
        <f t="shared" si="9"/>
        <v>-1</v>
      </c>
      <c r="P133">
        <f t="shared" si="15"/>
        <v>38.599999999999994</v>
      </c>
      <c r="Q133" s="32">
        <v>100</v>
      </c>
      <c r="R133">
        <v>1</v>
      </c>
      <c r="S133">
        <f t="shared" si="10"/>
        <v>1</v>
      </c>
      <c r="T133" s="33">
        <f t="shared" si="11"/>
        <v>-1</v>
      </c>
      <c r="U133" s="33">
        <f t="shared" si="16"/>
        <v>44.606529411764676</v>
      </c>
      <c r="V133" s="16">
        <f>AVERAGE(U124:U183)</f>
        <v>53.496529411764655</v>
      </c>
      <c r="W133">
        <v>650.20000000000005</v>
      </c>
      <c r="Y133">
        <f t="shared" si="13"/>
        <v>71481.700000000012</v>
      </c>
      <c r="Z133">
        <f t="shared" si="18"/>
        <v>6097.0999999999995</v>
      </c>
      <c r="AA133" s="41">
        <v>8.3217890875777734</v>
      </c>
    </row>
    <row r="134" spans="1:28" x14ac:dyDescent="0.25">
      <c r="A134">
        <v>5160</v>
      </c>
      <c r="B134">
        <v>23050</v>
      </c>
      <c r="C134" s="1">
        <v>42712</v>
      </c>
      <c r="E134" s="41">
        <v>10</v>
      </c>
      <c r="F134" s="52"/>
      <c r="G134">
        <v>4.2</v>
      </c>
      <c r="H134">
        <v>-0.7</v>
      </c>
      <c r="I134">
        <v>9.6999999999999993</v>
      </c>
      <c r="J134">
        <f t="shared" si="12"/>
        <v>1137.5000000000002</v>
      </c>
      <c r="K134">
        <f t="shared" si="17"/>
        <v>31.6</v>
      </c>
      <c r="L134" s="13" t="s">
        <v>43</v>
      </c>
      <c r="M134">
        <v>0</v>
      </c>
      <c r="N134">
        <v>0.8</v>
      </c>
      <c r="O134">
        <f t="shared" si="9"/>
        <v>-0.8</v>
      </c>
      <c r="P134">
        <f t="shared" si="15"/>
        <v>37.799999999999997</v>
      </c>
      <c r="Q134">
        <v>101</v>
      </c>
      <c r="R134">
        <v>1</v>
      </c>
      <c r="S134">
        <f t="shared" si="10"/>
        <v>0.8</v>
      </c>
      <c r="T134" s="33">
        <f t="shared" si="11"/>
        <v>-0.8</v>
      </c>
      <c r="U134" s="33">
        <f t="shared" si="16"/>
        <v>43.806529411764679</v>
      </c>
      <c r="W134">
        <v>611.6</v>
      </c>
      <c r="Y134">
        <f t="shared" si="13"/>
        <v>72093.300000000017</v>
      </c>
      <c r="Z134">
        <f t="shared" si="18"/>
        <v>6708.7</v>
      </c>
      <c r="AA134" s="41">
        <v>8.3039641141571767</v>
      </c>
    </row>
    <row r="135" spans="1:28" x14ac:dyDescent="0.25">
      <c r="A135">
        <v>5160</v>
      </c>
      <c r="B135">
        <v>23050</v>
      </c>
      <c r="C135" s="1">
        <v>42713</v>
      </c>
      <c r="F135" s="52"/>
      <c r="G135">
        <v>5.0999999999999996</v>
      </c>
      <c r="H135">
        <v>0.3</v>
      </c>
      <c r="I135">
        <v>11.3</v>
      </c>
      <c r="J135">
        <f t="shared" si="12"/>
        <v>1142.6000000000001</v>
      </c>
      <c r="K135">
        <f t="shared" si="17"/>
        <v>36.700000000000003</v>
      </c>
      <c r="L135" s="11">
        <v>23</v>
      </c>
      <c r="M135">
        <v>0.1</v>
      </c>
      <c r="N135">
        <v>0.6</v>
      </c>
      <c r="O135">
        <f t="shared" si="9"/>
        <v>-0.5</v>
      </c>
      <c r="P135">
        <f t="shared" si="15"/>
        <v>37.299999999999997</v>
      </c>
      <c r="Q135" s="32">
        <v>102</v>
      </c>
      <c r="R135">
        <v>1</v>
      </c>
      <c r="S135">
        <f t="shared" si="10"/>
        <v>0.6</v>
      </c>
      <c r="T135" s="33">
        <f t="shared" si="11"/>
        <v>-0.5</v>
      </c>
      <c r="U135" s="33">
        <f t="shared" si="16"/>
        <v>43.306529411764679</v>
      </c>
      <c r="V135" s="11">
        <f>(V133*100)/146.7</f>
        <v>36.466618549260168</v>
      </c>
      <c r="W135">
        <v>461.2</v>
      </c>
      <c r="Y135">
        <f t="shared" si="13"/>
        <v>72554.500000000015</v>
      </c>
      <c r="Z135">
        <f t="shared" si="18"/>
        <v>7169.9</v>
      </c>
      <c r="AA135" s="41">
        <v>8.2874226697578273</v>
      </c>
    </row>
    <row r="136" spans="1:28" x14ac:dyDescent="0.25">
      <c r="A136">
        <v>5160</v>
      </c>
      <c r="B136">
        <v>23050</v>
      </c>
      <c r="C136" s="1">
        <v>42714</v>
      </c>
      <c r="E136" s="41">
        <v>11</v>
      </c>
      <c r="F136" s="52"/>
      <c r="G136">
        <v>2.9</v>
      </c>
      <c r="H136">
        <v>0.4</v>
      </c>
      <c r="I136">
        <v>7.4</v>
      </c>
      <c r="J136">
        <f t="shared" si="12"/>
        <v>1145.5000000000002</v>
      </c>
      <c r="K136">
        <f t="shared" si="17"/>
        <v>39.6</v>
      </c>
      <c r="L136" s="13" t="s">
        <v>44</v>
      </c>
      <c r="M136">
        <v>0.4</v>
      </c>
      <c r="N136">
        <v>0.7</v>
      </c>
      <c r="O136">
        <f t="shared" si="9"/>
        <v>-0.29999999999999993</v>
      </c>
      <c r="P136">
        <f t="shared" si="15"/>
        <v>37</v>
      </c>
      <c r="Q136">
        <v>103</v>
      </c>
      <c r="R136">
        <v>1</v>
      </c>
      <c r="S136">
        <f t="shared" si="10"/>
        <v>0.7</v>
      </c>
      <c r="T136" s="33">
        <f t="shared" si="11"/>
        <v>-0.29999999999999993</v>
      </c>
      <c r="U136" s="33">
        <f t="shared" si="16"/>
        <v>43.006529411764681</v>
      </c>
      <c r="W136">
        <v>484</v>
      </c>
      <c r="Y136">
        <f t="shared" si="13"/>
        <v>73038.500000000015</v>
      </c>
      <c r="Z136">
        <f t="shared" si="18"/>
        <v>7653.9</v>
      </c>
      <c r="AA136" s="41">
        <v>8.2721788600832991</v>
      </c>
    </row>
    <row r="137" spans="1:28" x14ac:dyDescent="0.25">
      <c r="A137">
        <v>5160</v>
      </c>
      <c r="B137">
        <v>23050</v>
      </c>
      <c r="C137" s="1">
        <v>42715</v>
      </c>
      <c r="E137" s="41">
        <v>12</v>
      </c>
      <c r="F137" s="52"/>
      <c r="G137">
        <v>5</v>
      </c>
      <c r="H137">
        <v>2</v>
      </c>
      <c r="I137">
        <v>6</v>
      </c>
      <c r="J137">
        <f t="shared" si="12"/>
        <v>1150.5000000000002</v>
      </c>
      <c r="K137">
        <f t="shared" si="17"/>
        <v>44.6</v>
      </c>
      <c r="L137" s="11">
        <v>32</v>
      </c>
      <c r="M137">
        <v>0.4</v>
      </c>
      <c r="N137">
        <v>0.4</v>
      </c>
      <c r="O137">
        <f t="shared" si="9"/>
        <v>0</v>
      </c>
      <c r="P137">
        <f t="shared" si="15"/>
        <v>37</v>
      </c>
      <c r="Q137" s="32">
        <v>104</v>
      </c>
      <c r="R137">
        <v>1</v>
      </c>
      <c r="S137">
        <f t="shared" si="10"/>
        <v>0.4</v>
      </c>
      <c r="T137" s="33">
        <f t="shared" si="11"/>
        <v>0</v>
      </c>
      <c r="U137" s="33">
        <f t="shared" si="16"/>
        <v>43.006529411764681</v>
      </c>
      <c r="W137">
        <v>281.60000000000002</v>
      </c>
      <c r="Y137">
        <f t="shared" si="13"/>
        <v>73320.10000000002</v>
      </c>
      <c r="Z137">
        <f t="shared" si="18"/>
        <v>7935.5</v>
      </c>
      <c r="AA137" s="41">
        <v>8.2582458086068513</v>
      </c>
    </row>
    <row r="138" spans="1:28" x14ac:dyDescent="0.25">
      <c r="A138">
        <v>5160</v>
      </c>
      <c r="B138">
        <v>23050</v>
      </c>
      <c r="C138" s="1">
        <v>42716</v>
      </c>
      <c r="E138" s="41">
        <v>13</v>
      </c>
      <c r="F138" s="52"/>
      <c r="G138">
        <v>5</v>
      </c>
      <c r="H138">
        <v>4.3</v>
      </c>
      <c r="I138">
        <v>5.6</v>
      </c>
      <c r="J138">
        <f t="shared" si="12"/>
        <v>1155.5000000000002</v>
      </c>
      <c r="K138">
        <f t="shared" si="17"/>
        <v>49.6</v>
      </c>
      <c r="M138">
        <v>0.3</v>
      </c>
      <c r="N138">
        <v>0.2</v>
      </c>
      <c r="O138">
        <f t="shared" si="9"/>
        <v>9.9999999999999978E-2</v>
      </c>
      <c r="P138">
        <f t="shared" si="15"/>
        <v>37.1</v>
      </c>
      <c r="Q138">
        <v>105</v>
      </c>
      <c r="R138">
        <v>1</v>
      </c>
      <c r="S138">
        <f t="shared" si="10"/>
        <v>0.2</v>
      </c>
      <c r="T138" s="33">
        <f t="shared" si="11"/>
        <v>9.9999999999999978E-2</v>
      </c>
      <c r="U138" s="33">
        <f t="shared" si="16"/>
        <v>43.106529411764683</v>
      </c>
      <c r="W138">
        <v>77.2</v>
      </c>
      <c r="Y138">
        <f t="shared" si="13"/>
        <v>73397.300000000017</v>
      </c>
      <c r="Z138">
        <f t="shared" si="18"/>
        <v>8012.7</v>
      </c>
      <c r="AA138" s="41">
        <v>8.2456356156258845</v>
      </c>
    </row>
    <row r="139" spans="1:28" x14ac:dyDescent="0.25">
      <c r="A139">
        <v>5160</v>
      </c>
      <c r="B139">
        <v>23050</v>
      </c>
      <c r="C139" s="1">
        <v>42717</v>
      </c>
      <c r="F139" s="52"/>
      <c r="G139">
        <v>6.1</v>
      </c>
      <c r="H139">
        <v>4.9000000000000004</v>
      </c>
      <c r="I139">
        <v>10.199999999999999</v>
      </c>
      <c r="J139">
        <f t="shared" si="12"/>
        <v>1161.6000000000001</v>
      </c>
      <c r="K139">
        <f t="shared" si="17"/>
        <v>55.7</v>
      </c>
      <c r="M139">
        <v>0</v>
      </c>
      <c r="N139">
        <v>0.8</v>
      </c>
      <c r="O139">
        <f t="shared" si="9"/>
        <v>-0.8</v>
      </c>
      <c r="P139">
        <f t="shared" si="15"/>
        <v>36.300000000000004</v>
      </c>
      <c r="Q139" s="32">
        <v>106</v>
      </c>
      <c r="R139">
        <v>1</v>
      </c>
      <c r="S139">
        <f t="shared" si="10"/>
        <v>0.8</v>
      </c>
      <c r="T139" s="33">
        <f t="shared" si="11"/>
        <v>-0.8</v>
      </c>
      <c r="U139" s="33">
        <f t="shared" si="16"/>
        <v>42.306529411764686</v>
      </c>
      <c r="W139">
        <v>257.2</v>
      </c>
      <c r="Y139">
        <f t="shared" si="13"/>
        <v>73654.500000000015</v>
      </c>
      <c r="Z139">
        <f t="shared" si="18"/>
        <v>8269.9</v>
      </c>
      <c r="AA139" s="41">
        <v>8.2343593199804008</v>
      </c>
    </row>
    <row r="140" spans="1:28" x14ac:dyDescent="0.25">
      <c r="A140">
        <v>5160</v>
      </c>
      <c r="B140">
        <v>23050</v>
      </c>
      <c r="C140" s="1">
        <v>42718</v>
      </c>
      <c r="E140" s="41">
        <v>14</v>
      </c>
      <c r="F140" s="52"/>
      <c r="G140">
        <v>3.5</v>
      </c>
      <c r="H140">
        <v>0</v>
      </c>
      <c r="I140">
        <v>7.4</v>
      </c>
      <c r="J140">
        <f t="shared" si="12"/>
        <v>1165.1000000000001</v>
      </c>
      <c r="K140">
        <f t="shared" si="17"/>
        <v>59.2</v>
      </c>
      <c r="M140">
        <v>0</v>
      </c>
      <c r="N140">
        <v>0.6</v>
      </c>
      <c r="O140">
        <f t="shared" si="9"/>
        <v>-0.6</v>
      </c>
      <c r="P140">
        <f t="shared" si="15"/>
        <v>35.700000000000003</v>
      </c>
      <c r="Q140">
        <v>107</v>
      </c>
      <c r="R140">
        <v>1</v>
      </c>
      <c r="S140">
        <f t="shared" si="10"/>
        <v>0.6</v>
      </c>
      <c r="T140" s="33">
        <f t="shared" si="11"/>
        <v>-0.6</v>
      </c>
      <c r="U140" s="33">
        <f t="shared" si="16"/>
        <v>41.706529411764684</v>
      </c>
      <c r="W140">
        <v>699.4</v>
      </c>
      <c r="Y140">
        <f t="shared" si="13"/>
        <v>74353.900000000009</v>
      </c>
      <c r="Z140">
        <f t="shared" si="18"/>
        <v>8969.2999999999993</v>
      </c>
      <c r="AA140" s="41">
        <v>8.2244268636868725</v>
      </c>
    </row>
    <row r="141" spans="1:28" x14ac:dyDescent="0.25">
      <c r="A141">
        <v>5160</v>
      </c>
      <c r="B141">
        <v>23050</v>
      </c>
      <c r="C141" s="1">
        <v>42719</v>
      </c>
      <c r="E141" s="41">
        <v>15</v>
      </c>
      <c r="F141" s="52"/>
      <c r="G141">
        <v>2.9</v>
      </c>
      <c r="H141">
        <v>-0.6</v>
      </c>
      <c r="I141">
        <v>5.3</v>
      </c>
      <c r="J141">
        <f t="shared" si="12"/>
        <v>1168.0000000000002</v>
      </c>
      <c r="K141">
        <f t="shared" si="17"/>
        <v>62.1</v>
      </c>
      <c r="M141">
        <v>0</v>
      </c>
      <c r="N141">
        <v>0.3</v>
      </c>
      <c r="O141">
        <f t="shared" si="9"/>
        <v>-0.3</v>
      </c>
      <c r="P141">
        <f t="shared" si="15"/>
        <v>35.400000000000006</v>
      </c>
      <c r="Q141" s="32">
        <v>108</v>
      </c>
      <c r="R141">
        <v>1</v>
      </c>
      <c r="S141">
        <f t="shared" si="10"/>
        <v>0.3</v>
      </c>
      <c r="T141" s="33">
        <f t="shared" si="11"/>
        <v>-0.3</v>
      </c>
      <c r="U141" s="33">
        <f t="shared" si="16"/>
        <v>41.406529411764687</v>
      </c>
      <c r="W141">
        <v>238.7</v>
      </c>
      <c r="Y141">
        <f t="shared" si="13"/>
        <v>74592.600000000006</v>
      </c>
      <c r="Z141">
        <f t="shared" si="18"/>
        <v>9208</v>
      </c>
      <c r="AA141" s="41">
        <v>8.2158470597242363</v>
      </c>
    </row>
    <row r="142" spans="1:28" x14ac:dyDescent="0.25">
      <c r="A142">
        <v>5160</v>
      </c>
      <c r="B142">
        <v>23050</v>
      </c>
      <c r="C142" s="1">
        <v>42720</v>
      </c>
      <c r="F142" s="52"/>
      <c r="G142">
        <v>5.2</v>
      </c>
      <c r="H142">
        <v>2.5</v>
      </c>
      <c r="I142">
        <v>10.7</v>
      </c>
      <c r="J142">
        <f t="shared" si="12"/>
        <v>1173.2000000000003</v>
      </c>
      <c r="K142">
        <f t="shared" si="17"/>
        <v>67.3</v>
      </c>
      <c r="M142">
        <v>0</v>
      </c>
      <c r="N142">
        <v>0.7</v>
      </c>
      <c r="O142">
        <f t="shared" si="9"/>
        <v>-0.7</v>
      </c>
      <c r="P142">
        <f t="shared" si="15"/>
        <v>34.700000000000003</v>
      </c>
      <c r="Q142">
        <v>109</v>
      </c>
      <c r="R142">
        <v>1</v>
      </c>
      <c r="S142">
        <f t="shared" si="10"/>
        <v>0.7</v>
      </c>
      <c r="T142" s="33">
        <f t="shared" si="11"/>
        <v>-0.7</v>
      </c>
      <c r="U142" s="33">
        <f t="shared" si="16"/>
        <v>40.706529411764684</v>
      </c>
      <c r="W142">
        <v>455.1</v>
      </c>
      <c r="Y142">
        <f t="shared" si="13"/>
        <v>75047.700000000012</v>
      </c>
      <c r="Z142">
        <f t="shared" si="18"/>
        <v>9663.1</v>
      </c>
      <c r="AA142" s="41">
        <v>8.2086275631911736</v>
      </c>
    </row>
    <row r="143" spans="1:28" x14ac:dyDescent="0.25">
      <c r="A143">
        <v>5160</v>
      </c>
      <c r="B143">
        <v>23050</v>
      </c>
      <c r="C143" s="1">
        <v>42721</v>
      </c>
      <c r="E143" s="41">
        <v>16</v>
      </c>
      <c r="F143" s="52"/>
      <c r="G143">
        <v>2.2999999999999998</v>
      </c>
      <c r="H143">
        <v>-1.3</v>
      </c>
      <c r="I143">
        <v>6.2</v>
      </c>
      <c r="J143">
        <f t="shared" si="12"/>
        <v>1175.5000000000002</v>
      </c>
      <c r="K143">
        <f t="shared" si="17"/>
        <v>69.599999999999994</v>
      </c>
      <c r="M143">
        <v>0.3</v>
      </c>
      <c r="N143">
        <v>0.6</v>
      </c>
      <c r="O143">
        <f t="shared" si="9"/>
        <v>-0.3</v>
      </c>
      <c r="P143">
        <f t="shared" si="15"/>
        <v>34.400000000000006</v>
      </c>
      <c r="Q143" s="32">
        <v>110</v>
      </c>
      <c r="R143">
        <v>1</v>
      </c>
      <c r="S143">
        <f t="shared" si="10"/>
        <v>0.6</v>
      </c>
      <c r="T143" s="33">
        <f t="shared" si="11"/>
        <v>-0.3</v>
      </c>
      <c r="U143" s="33">
        <f t="shared" si="16"/>
        <v>40.406529411764687</v>
      </c>
      <c r="W143">
        <v>536.1</v>
      </c>
      <c r="Y143">
        <f t="shared" si="13"/>
        <v>75583.800000000017</v>
      </c>
      <c r="Z143">
        <f t="shared" si="18"/>
        <v>10199.200000000001</v>
      </c>
      <c r="AA143" s="41">
        <v>8.2027748460337513</v>
      </c>
    </row>
    <row r="144" spans="1:28" x14ac:dyDescent="0.25">
      <c r="A144">
        <v>5160</v>
      </c>
      <c r="B144">
        <v>23050</v>
      </c>
      <c r="C144" s="1">
        <v>42722</v>
      </c>
      <c r="E144" s="41">
        <v>17</v>
      </c>
      <c r="F144" s="52"/>
      <c r="G144">
        <v>1.8</v>
      </c>
      <c r="H144">
        <v>0.8</v>
      </c>
      <c r="I144">
        <v>2.6</v>
      </c>
      <c r="J144">
        <f t="shared" si="12"/>
        <v>1177.3000000000002</v>
      </c>
      <c r="K144">
        <f t="shared" si="17"/>
        <v>71.399999999999991</v>
      </c>
      <c r="M144">
        <v>0.1</v>
      </c>
      <c r="N144">
        <v>0.3</v>
      </c>
      <c r="O144">
        <f t="shared" si="9"/>
        <v>-0.19999999999999998</v>
      </c>
      <c r="P144">
        <f t="shared" si="15"/>
        <v>34.200000000000003</v>
      </c>
      <c r="Q144">
        <v>111</v>
      </c>
      <c r="R144">
        <v>1</v>
      </c>
      <c r="S144">
        <f t="shared" si="10"/>
        <v>0.3</v>
      </c>
      <c r="T144" s="33">
        <f t="shared" si="11"/>
        <v>-0.19999999999999998</v>
      </c>
      <c r="U144" s="33">
        <f t="shared" si="16"/>
        <v>40.206529411764684</v>
      </c>
      <c r="W144">
        <v>329.5</v>
      </c>
      <c r="Y144">
        <f t="shared" si="13"/>
        <v>75913.300000000017</v>
      </c>
      <c r="Z144">
        <f t="shared" si="18"/>
        <v>10528.7</v>
      </c>
      <c r="AA144" s="41">
        <v>8.1982941755200809</v>
      </c>
    </row>
    <row r="145" spans="1:27" x14ac:dyDescent="0.25">
      <c r="A145">
        <v>5160</v>
      </c>
      <c r="B145">
        <v>23050</v>
      </c>
      <c r="C145" s="1">
        <v>42723</v>
      </c>
      <c r="E145" s="41">
        <v>18</v>
      </c>
      <c r="F145" s="52"/>
      <c r="G145">
        <v>2.7</v>
      </c>
      <c r="H145">
        <v>0.5</v>
      </c>
      <c r="I145">
        <v>3.9</v>
      </c>
      <c r="J145">
        <f t="shared" si="12"/>
        <v>1180.0000000000002</v>
      </c>
      <c r="K145">
        <f t="shared" si="17"/>
        <v>74.099999999999994</v>
      </c>
      <c r="M145">
        <v>0.1</v>
      </c>
      <c r="N145">
        <v>0.1</v>
      </c>
      <c r="O145">
        <f t="shared" si="9"/>
        <v>0</v>
      </c>
      <c r="P145">
        <f t="shared" si="15"/>
        <v>34.200000000000003</v>
      </c>
      <c r="Q145" s="32">
        <v>112</v>
      </c>
      <c r="R145">
        <v>1</v>
      </c>
      <c r="S145">
        <f t="shared" si="10"/>
        <v>0.1</v>
      </c>
      <c r="T145" s="33">
        <f t="shared" si="11"/>
        <v>0</v>
      </c>
      <c r="U145" s="33">
        <f t="shared" si="16"/>
        <v>40.206529411764684</v>
      </c>
      <c r="W145">
        <v>127.9</v>
      </c>
      <c r="Y145">
        <f t="shared" si="13"/>
        <v>76041.200000000012</v>
      </c>
      <c r="Z145">
        <f t="shared" si="18"/>
        <v>10656.6</v>
      </c>
      <c r="AA145" s="41">
        <v>8.1951895966140746</v>
      </c>
    </row>
    <row r="146" spans="1:27" x14ac:dyDescent="0.25">
      <c r="A146">
        <v>5160</v>
      </c>
      <c r="B146">
        <v>23050</v>
      </c>
      <c r="C146" s="1">
        <v>42724</v>
      </c>
      <c r="E146" s="41">
        <v>19</v>
      </c>
      <c r="F146" s="52"/>
      <c r="G146">
        <v>2.1</v>
      </c>
      <c r="H146">
        <v>1.7</v>
      </c>
      <c r="I146">
        <v>3.6</v>
      </c>
      <c r="J146">
        <f t="shared" si="12"/>
        <v>1182.1000000000001</v>
      </c>
      <c r="K146">
        <f t="shared" si="17"/>
        <v>76.199999999999989</v>
      </c>
      <c r="M146">
        <v>0</v>
      </c>
      <c r="N146">
        <v>0.3</v>
      </c>
      <c r="O146">
        <f t="shared" si="9"/>
        <v>-0.3</v>
      </c>
      <c r="P146">
        <f t="shared" si="15"/>
        <v>33.900000000000006</v>
      </c>
      <c r="Q146">
        <v>113</v>
      </c>
      <c r="R146">
        <v>1</v>
      </c>
      <c r="S146">
        <f t="shared" si="10"/>
        <v>0.3</v>
      </c>
      <c r="T146" s="33">
        <f t="shared" si="11"/>
        <v>-0.3</v>
      </c>
      <c r="U146" s="33">
        <f t="shared" si="16"/>
        <v>39.906529411764687</v>
      </c>
      <c r="W146">
        <v>185.3</v>
      </c>
      <c r="Y146">
        <f t="shared" si="13"/>
        <v>76226.500000000015</v>
      </c>
      <c r="Z146">
        <f t="shared" si="18"/>
        <v>10841.9</v>
      </c>
      <c r="AA146" s="41">
        <v>8.1934639183738778</v>
      </c>
    </row>
    <row r="147" spans="1:27" x14ac:dyDescent="0.25">
      <c r="A147">
        <v>5160</v>
      </c>
      <c r="B147">
        <v>23050</v>
      </c>
      <c r="C147" s="1">
        <v>42725</v>
      </c>
      <c r="E147" s="41">
        <v>20</v>
      </c>
      <c r="F147" s="52"/>
      <c r="G147">
        <v>3.2</v>
      </c>
      <c r="H147">
        <v>-1.3</v>
      </c>
      <c r="I147">
        <v>6.9</v>
      </c>
      <c r="J147">
        <f t="shared" si="12"/>
        <v>1185.3000000000002</v>
      </c>
      <c r="K147">
        <f t="shared" si="17"/>
        <v>79.399999999999991</v>
      </c>
      <c r="M147">
        <v>14.8</v>
      </c>
      <c r="N147">
        <v>0.2</v>
      </c>
      <c r="O147">
        <f t="shared" si="9"/>
        <v>14.600000000000001</v>
      </c>
      <c r="P147">
        <f t="shared" si="15"/>
        <v>48.500000000000007</v>
      </c>
      <c r="Q147" s="32">
        <v>114</v>
      </c>
      <c r="R147">
        <v>1</v>
      </c>
      <c r="S147">
        <f t="shared" si="10"/>
        <v>0.2</v>
      </c>
      <c r="T147" s="33">
        <f t="shared" si="11"/>
        <v>14.600000000000001</v>
      </c>
      <c r="U147" s="33">
        <f t="shared" si="16"/>
        <v>54.506529411764689</v>
      </c>
      <c r="W147">
        <v>158.80000000000001</v>
      </c>
      <c r="Y147">
        <f t="shared" si="13"/>
        <v>76385.300000000017</v>
      </c>
      <c r="Z147">
        <f t="shared" si="18"/>
        <v>11000.699999999999</v>
      </c>
      <c r="AA147" s="41">
        <v>8.193118704472635</v>
      </c>
    </row>
    <row r="148" spans="1:27" x14ac:dyDescent="0.25">
      <c r="A148">
        <v>5160</v>
      </c>
      <c r="B148">
        <v>23050</v>
      </c>
      <c r="C148" s="1">
        <v>42726</v>
      </c>
      <c r="F148" s="52"/>
      <c r="G148">
        <v>6.5</v>
      </c>
      <c r="H148">
        <v>6</v>
      </c>
      <c r="I148">
        <v>7.9</v>
      </c>
      <c r="J148">
        <f t="shared" si="12"/>
        <v>1191.8000000000002</v>
      </c>
      <c r="K148">
        <f t="shared" si="17"/>
        <v>85.899999999999991</v>
      </c>
      <c r="M148">
        <v>1.3</v>
      </c>
      <c r="N148">
        <v>0.4</v>
      </c>
      <c r="O148">
        <f t="shared" si="9"/>
        <v>0.9</v>
      </c>
      <c r="P148">
        <f t="shared" si="15"/>
        <v>49.400000000000006</v>
      </c>
      <c r="Q148">
        <v>115</v>
      </c>
      <c r="R148">
        <v>1</v>
      </c>
      <c r="S148">
        <f t="shared" si="10"/>
        <v>0.4</v>
      </c>
      <c r="T148" s="33">
        <f t="shared" si="11"/>
        <v>0.9</v>
      </c>
      <c r="U148" s="33">
        <f t="shared" si="16"/>
        <v>55.406529411764687</v>
      </c>
      <c r="W148">
        <v>110</v>
      </c>
      <c r="Y148">
        <f t="shared" si="13"/>
        <v>76495.300000000017</v>
      </c>
      <c r="Z148">
        <f t="shared" si="18"/>
        <v>11110.699999999999</v>
      </c>
      <c r="AA148" s="41">
        <v>8.1941542679099033</v>
      </c>
    </row>
    <row r="149" spans="1:27" x14ac:dyDescent="0.25">
      <c r="A149">
        <v>5160</v>
      </c>
      <c r="B149">
        <v>23050</v>
      </c>
      <c r="C149" s="1">
        <v>42727</v>
      </c>
      <c r="E149" s="41">
        <v>21</v>
      </c>
      <c r="F149" s="52"/>
      <c r="G149">
        <v>5</v>
      </c>
      <c r="H149">
        <v>2.7</v>
      </c>
      <c r="I149">
        <v>9.3000000000000007</v>
      </c>
      <c r="J149">
        <f t="shared" si="12"/>
        <v>1196.8000000000002</v>
      </c>
      <c r="K149">
        <f t="shared" si="17"/>
        <v>90.899999999999991</v>
      </c>
      <c r="M149">
        <v>0</v>
      </c>
      <c r="N149">
        <v>0.4</v>
      </c>
      <c r="O149">
        <f t="shared" si="9"/>
        <v>-0.4</v>
      </c>
      <c r="P149">
        <f t="shared" si="15"/>
        <v>49.000000000000007</v>
      </c>
      <c r="Q149" s="32">
        <v>116</v>
      </c>
      <c r="R149">
        <v>1</v>
      </c>
      <c r="S149">
        <f t="shared" si="10"/>
        <v>0.4</v>
      </c>
      <c r="T149" s="33">
        <f t="shared" si="11"/>
        <v>-0.4</v>
      </c>
      <c r="U149" s="33">
        <f t="shared" si="16"/>
        <v>55.006529411764689</v>
      </c>
      <c r="W149">
        <v>146.19999999999999</v>
      </c>
      <c r="Y149">
        <f t="shared" si="13"/>
        <v>76641.500000000015</v>
      </c>
      <c r="Z149">
        <f t="shared" si="18"/>
        <v>11256.9</v>
      </c>
      <c r="AA149" s="41">
        <v>8.1965696699520318</v>
      </c>
    </row>
    <row r="150" spans="1:27" x14ac:dyDescent="0.25">
      <c r="A150">
        <v>5160</v>
      </c>
      <c r="B150">
        <v>23050</v>
      </c>
      <c r="C150" s="1">
        <v>42728</v>
      </c>
      <c r="F150" s="52"/>
      <c r="G150">
        <v>7.7</v>
      </c>
      <c r="H150">
        <v>6</v>
      </c>
      <c r="I150">
        <v>9.1999999999999993</v>
      </c>
      <c r="J150">
        <f t="shared" si="12"/>
        <v>1204.5000000000002</v>
      </c>
      <c r="K150">
        <f t="shared" si="17"/>
        <v>98.6</v>
      </c>
      <c r="M150">
        <v>0</v>
      </c>
      <c r="N150">
        <v>0.2</v>
      </c>
      <c r="O150">
        <f t="shared" si="9"/>
        <v>-0.2</v>
      </c>
      <c r="P150">
        <f t="shared" si="15"/>
        <v>48.800000000000004</v>
      </c>
      <c r="Q150">
        <v>117</v>
      </c>
      <c r="R150">
        <v>1</v>
      </c>
      <c r="S150">
        <f t="shared" si="10"/>
        <v>0.2</v>
      </c>
      <c r="T150" s="33">
        <f t="shared" si="11"/>
        <v>-0.2</v>
      </c>
      <c r="U150" s="33">
        <f t="shared" si="16"/>
        <v>54.806529411764686</v>
      </c>
      <c r="W150">
        <v>328.5</v>
      </c>
      <c r="Y150">
        <f t="shared" si="13"/>
        <v>76970.000000000015</v>
      </c>
      <c r="Z150">
        <f t="shared" si="18"/>
        <v>11585.4</v>
      </c>
      <c r="AA150" s="41">
        <v>8.2003627233091336</v>
      </c>
    </row>
    <row r="151" spans="1:27" x14ac:dyDescent="0.25">
      <c r="A151">
        <v>5160</v>
      </c>
      <c r="B151">
        <v>23050</v>
      </c>
      <c r="C151" s="1">
        <v>42729</v>
      </c>
      <c r="F151" s="52"/>
      <c r="G151">
        <v>8.6999999999999993</v>
      </c>
      <c r="H151">
        <v>6.2</v>
      </c>
      <c r="I151">
        <v>10.1</v>
      </c>
      <c r="J151">
        <f t="shared" si="12"/>
        <v>1213.2000000000003</v>
      </c>
      <c r="K151">
        <f t="shared" si="17"/>
        <v>107.3</v>
      </c>
      <c r="M151">
        <v>0.4</v>
      </c>
      <c r="N151">
        <v>0.3</v>
      </c>
      <c r="O151">
        <f t="shared" si="9"/>
        <v>0.10000000000000003</v>
      </c>
      <c r="P151">
        <f t="shared" si="15"/>
        <v>48.900000000000006</v>
      </c>
      <c r="Q151" s="32">
        <v>118</v>
      </c>
      <c r="R151">
        <v>1</v>
      </c>
      <c r="S151">
        <f t="shared" si="10"/>
        <v>0.3</v>
      </c>
      <c r="T151" s="33">
        <f t="shared" si="11"/>
        <v>0.10000000000000003</v>
      </c>
      <c r="U151" s="33">
        <f t="shared" si="16"/>
        <v>54.906529411764687</v>
      </c>
      <c r="W151">
        <v>95.2</v>
      </c>
      <c r="Y151">
        <f t="shared" si="13"/>
        <v>77065.200000000012</v>
      </c>
      <c r="Z151">
        <f t="shared" si="18"/>
        <v>11680.6</v>
      </c>
      <c r="AA151" s="41">
        <v>8.2055299995256785</v>
      </c>
    </row>
    <row r="152" spans="1:27" x14ac:dyDescent="0.25">
      <c r="A152">
        <v>5160</v>
      </c>
      <c r="B152">
        <v>23050</v>
      </c>
      <c r="C152" s="1">
        <v>42730</v>
      </c>
      <c r="F152" s="52"/>
      <c r="G152">
        <v>8.1999999999999993</v>
      </c>
      <c r="H152">
        <v>5.9</v>
      </c>
      <c r="I152">
        <v>11.7</v>
      </c>
      <c r="J152">
        <f t="shared" si="12"/>
        <v>1221.4000000000003</v>
      </c>
      <c r="K152">
        <f t="shared" si="17"/>
        <v>115.5</v>
      </c>
      <c r="M152">
        <v>0.1</v>
      </c>
      <c r="N152">
        <v>0.3</v>
      </c>
      <c r="O152">
        <f t="shared" si="9"/>
        <v>-0.19999999999999998</v>
      </c>
      <c r="P152">
        <f t="shared" si="15"/>
        <v>48.7</v>
      </c>
      <c r="Q152">
        <v>119</v>
      </c>
      <c r="R152">
        <v>1</v>
      </c>
      <c r="S152">
        <f t="shared" si="10"/>
        <v>0.3</v>
      </c>
      <c r="T152" s="33">
        <f t="shared" si="11"/>
        <v>-0.19999999999999998</v>
      </c>
      <c r="U152" s="33">
        <f t="shared" si="16"/>
        <v>54.706529411764684</v>
      </c>
      <c r="W152">
        <v>121.4</v>
      </c>
      <c r="Y152">
        <f t="shared" si="13"/>
        <v>77186.600000000006</v>
      </c>
      <c r="Z152">
        <f t="shared" si="18"/>
        <v>11802</v>
      </c>
      <c r="AA152" s="41">
        <v>8.2120668405312962</v>
      </c>
    </row>
    <row r="153" spans="1:27" x14ac:dyDescent="0.25">
      <c r="A153">
        <v>5160</v>
      </c>
      <c r="B153">
        <v>23050</v>
      </c>
      <c r="C153" s="1">
        <v>42731</v>
      </c>
      <c r="E153" s="41">
        <v>22</v>
      </c>
      <c r="F153" s="52"/>
      <c r="G153">
        <v>2.6</v>
      </c>
      <c r="H153">
        <v>0</v>
      </c>
      <c r="I153">
        <v>5.7</v>
      </c>
      <c r="J153">
        <f t="shared" si="12"/>
        <v>1224.0000000000002</v>
      </c>
      <c r="K153">
        <f t="shared" si="17"/>
        <v>118.1</v>
      </c>
      <c r="M153">
        <v>0.1</v>
      </c>
      <c r="N153">
        <v>0.5</v>
      </c>
      <c r="O153">
        <f t="shared" si="9"/>
        <v>-0.4</v>
      </c>
      <c r="P153">
        <f t="shared" si="15"/>
        <v>48.300000000000004</v>
      </c>
      <c r="Q153" s="32">
        <v>120</v>
      </c>
      <c r="R153">
        <v>1</v>
      </c>
      <c r="S153">
        <f t="shared" si="10"/>
        <v>0.5</v>
      </c>
      <c r="T153" s="33">
        <f t="shared" si="11"/>
        <v>-0.4</v>
      </c>
      <c r="U153" s="33">
        <f t="shared" si="16"/>
        <v>54.306529411764686</v>
      </c>
      <c r="W153">
        <v>676.8</v>
      </c>
      <c r="Y153">
        <f t="shared" si="13"/>
        <v>77863.400000000009</v>
      </c>
      <c r="Z153">
        <f t="shared" si="18"/>
        <v>12478.8</v>
      </c>
      <c r="AA153" s="41">
        <v>8.2199673742686574</v>
      </c>
    </row>
    <row r="154" spans="1:27" x14ac:dyDescent="0.25">
      <c r="A154">
        <v>5160</v>
      </c>
      <c r="B154">
        <v>23050</v>
      </c>
      <c r="C154" s="1">
        <v>42732</v>
      </c>
      <c r="E154" s="41">
        <v>23</v>
      </c>
      <c r="F154" s="52"/>
      <c r="G154">
        <v>1.8</v>
      </c>
      <c r="H154">
        <v>-0.1</v>
      </c>
      <c r="I154">
        <v>4.0999999999999996</v>
      </c>
      <c r="J154">
        <f t="shared" si="12"/>
        <v>1225.8000000000002</v>
      </c>
      <c r="K154">
        <f t="shared" si="17"/>
        <v>119.89999999999999</v>
      </c>
      <c r="M154">
        <v>0.1</v>
      </c>
      <c r="N154">
        <v>0.6</v>
      </c>
      <c r="O154">
        <f t="shared" si="9"/>
        <v>-0.5</v>
      </c>
      <c r="P154">
        <f t="shared" si="15"/>
        <v>47.800000000000004</v>
      </c>
      <c r="Q154">
        <v>121</v>
      </c>
      <c r="R154">
        <v>1</v>
      </c>
      <c r="S154">
        <f t="shared" si="10"/>
        <v>0.6</v>
      </c>
      <c r="T154" s="33">
        <f t="shared" si="11"/>
        <v>-0.5</v>
      </c>
      <c r="U154" s="33">
        <f t="shared" si="16"/>
        <v>53.806529411764686</v>
      </c>
      <c r="W154">
        <v>591.5</v>
      </c>
      <c r="Y154">
        <f t="shared" si="13"/>
        <v>78454.900000000009</v>
      </c>
      <c r="Z154">
        <f t="shared" si="18"/>
        <v>13070.3</v>
      </c>
      <c r="AA154" s="41">
        <v>8.2292245342866703</v>
      </c>
    </row>
    <row r="155" spans="1:27" x14ac:dyDescent="0.25">
      <c r="A155">
        <v>5160</v>
      </c>
      <c r="B155">
        <v>23050</v>
      </c>
      <c r="C155" s="1">
        <v>42733</v>
      </c>
      <c r="E155" s="41">
        <v>24</v>
      </c>
      <c r="F155" s="52"/>
      <c r="G155">
        <v>-1.6</v>
      </c>
      <c r="H155">
        <v>-2.1</v>
      </c>
      <c r="I155">
        <v>-1.3</v>
      </c>
      <c r="J155">
        <v>1225.8</v>
      </c>
      <c r="K155">
        <v>119.9</v>
      </c>
      <c r="M155">
        <v>0</v>
      </c>
      <c r="N155">
        <v>0.3</v>
      </c>
      <c r="O155">
        <f t="shared" si="9"/>
        <v>-0.3</v>
      </c>
      <c r="P155">
        <f t="shared" si="15"/>
        <v>47.500000000000007</v>
      </c>
      <c r="Q155" s="32">
        <v>122</v>
      </c>
      <c r="R155">
        <v>1</v>
      </c>
      <c r="S155">
        <f t="shared" si="10"/>
        <v>0.3</v>
      </c>
      <c r="T155" s="33">
        <f t="shared" si="11"/>
        <v>-0.3</v>
      </c>
      <c r="U155" s="33">
        <f t="shared" si="16"/>
        <v>53.506529411764689</v>
      </c>
      <c r="W155">
        <v>365.2</v>
      </c>
      <c r="Y155">
        <f t="shared" si="13"/>
        <v>78820.100000000006</v>
      </c>
      <c r="Z155">
        <f t="shared" si="18"/>
        <v>13435.5</v>
      </c>
      <c r="AA155" s="41">
        <v>8.2398300831599212</v>
      </c>
    </row>
    <row r="156" spans="1:27" x14ac:dyDescent="0.25">
      <c r="A156">
        <v>5160</v>
      </c>
      <c r="B156">
        <v>23050</v>
      </c>
      <c r="C156" s="1">
        <v>42734</v>
      </c>
      <c r="E156" s="41">
        <v>25</v>
      </c>
      <c r="F156" s="52"/>
      <c r="G156">
        <v>-3.3</v>
      </c>
      <c r="H156">
        <v>-3.8</v>
      </c>
      <c r="I156">
        <v>-3.1</v>
      </c>
      <c r="J156">
        <v>1225.8</v>
      </c>
      <c r="K156">
        <v>119.9</v>
      </c>
      <c r="M156">
        <v>0</v>
      </c>
      <c r="N156">
        <v>0.3</v>
      </c>
      <c r="O156">
        <f t="shared" si="9"/>
        <v>-0.3</v>
      </c>
      <c r="P156">
        <f t="shared" si="15"/>
        <v>47.20000000000001</v>
      </c>
      <c r="Q156">
        <v>123</v>
      </c>
      <c r="R156">
        <v>1</v>
      </c>
      <c r="S156">
        <f t="shared" si="10"/>
        <v>0.3</v>
      </c>
      <c r="T156" s="33">
        <f t="shared" si="11"/>
        <v>-0.3</v>
      </c>
      <c r="U156" s="33">
        <f t="shared" si="16"/>
        <v>53.206529411764691</v>
      </c>
      <c r="W156">
        <v>385.5</v>
      </c>
      <c r="Y156">
        <f t="shared" si="13"/>
        <v>79205.600000000006</v>
      </c>
      <c r="Z156">
        <f t="shared" si="18"/>
        <v>13821</v>
      </c>
      <c r="AA156" s="41">
        <v>8.2517746395697458</v>
      </c>
    </row>
    <row r="157" spans="1:27" x14ac:dyDescent="0.25">
      <c r="A157">
        <v>5160</v>
      </c>
      <c r="B157">
        <v>23050</v>
      </c>
      <c r="C157" s="1">
        <v>42735</v>
      </c>
      <c r="E157" s="41">
        <v>26</v>
      </c>
      <c r="F157" s="52"/>
      <c r="G157">
        <v>-3.9</v>
      </c>
      <c r="H157">
        <v>-4.5</v>
      </c>
      <c r="I157">
        <v>-3.5</v>
      </c>
      <c r="J157">
        <v>1225.8</v>
      </c>
      <c r="K157">
        <v>119.9</v>
      </c>
      <c r="M157">
        <v>0.1</v>
      </c>
      <c r="N157">
        <v>0.3</v>
      </c>
      <c r="O157">
        <f t="shared" si="9"/>
        <v>-0.19999999999999998</v>
      </c>
      <c r="P157">
        <f t="shared" si="15"/>
        <v>47.000000000000007</v>
      </c>
      <c r="Q157" s="32">
        <v>124</v>
      </c>
      <c r="R157">
        <v>1</v>
      </c>
      <c r="S157">
        <f t="shared" si="10"/>
        <v>0.3</v>
      </c>
      <c r="T157" s="33">
        <f t="shared" si="11"/>
        <v>-0.19999999999999998</v>
      </c>
      <c r="U157" s="33">
        <f t="shared" si="16"/>
        <v>53.006529411764689</v>
      </c>
      <c r="W157">
        <v>386.5</v>
      </c>
      <c r="Y157">
        <f t="shared" si="13"/>
        <v>79592.100000000006</v>
      </c>
      <c r="Z157">
        <f t="shared" si="18"/>
        <v>14207.5</v>
      </c>
      <c r="AA157" s="41">
        <v>8.2650477088587948</v>
      </c>
    </row>
    <row r="158" spans="1:27" x14ac:dyDescent="0.25">
      <c r="A158">
        <v>5160</v>
      </c>
      <c r="B158">
        <v>23050</v>
      </c>
      <c r="C158" s="1">
        <v>42736</v>
      </c>
      <c r="E158" s="41">
        <v>27</v>
      </c>
      <c r="F158" s="52"/>
      <c r="G158">
        <v>-1.7</v>
      </c>
      <c r="H158">
        <v>-3.8</v>
      </c>
      <c r="I158">
        <v>0.7</v>
      </c>
      <c r="J158">
        <v>1225.8</v>
      </c>
      <c r="K158">
        <v>119.9</v>
      </c>
      <c r="M158">
        <v>0.2</v>
      </c>
      <c r="N158">
        <v>0.2</v>
      </c>
      <c r="O158">
        <f t="shared" si="9"/>
        <v>0</v>
      </c>
      <c r="P158">
        <f t="shared" si="15"/>
        <v>47.000000000000007</v>
      </c>
      <c r="Q158">
        <v>125</v>
      </c>
      <c r="R158">
        <v>1</v>
      </c>
      <c r="S158">
        <f t="shared" si="10"/>
        <v>0.2</v>
      </c>
      <c r="T158" s="33">
        <f t="shared" si="11"/>
        <v>0</v>
      </c>
      <c r="U158" s="33">
        <f t="shared" si="16"/>
        <v>53.006529411764689</v>
      </c>
      <c r="W158">
        <v>213.6</v>
      </c>
      <c r="Y158">
        <f t="shared" si="13"/>
        <v>79805.700000000012</v>
      </c>
      <c r="Z158">
        <f t="shared" si="18"/>
        <v>14421.1</v>
      </c>
      <c r="AA158" s="41">
        <v>8.2796377168496544</v>
      </c>
    </row>
    <row r="159" spans="1:27" x14ac:dyDescent="0.25">
      <c r="A159">
        <v>5160</v>
      </c>
      <c r="B159">
        <v>23050</v>
      </c>
      <c r="C159" s="1">
        <v>42737</v>
      </c>
      <c r="E159" s="41">
        <v>28</v>
      </c>
      <c r="F159" s="52"/>
      <c r="G159">
        <v>0.9</v>
      </c>
      <c r="H159">
        <v>-0.2</v>
      </c>
      <c r="I159">
        <v>2</v>
      </c>
      <c r="J159">
        <f t="shared" si="12"/>
        <v>1226.7</v>
      </c>
      <c r="K159">
        <f t="shared" si="17"/>
        <v>120.80000000000001</v>
      </c>
      <c r="M159">
        <v>0.1</v>
      </c>
      <c r="N159">
        <v>0.1</v>
      </c>
      <c r="O159">
        <f t="shared" si="9"/>
        <v>0</v>
      </c>
      <c r="P159">
        <f t="shared" si="15"/>
        <v>47.000000000000007</v>
      </c>
      <c r="Q159" s="32">
        <v>126</v>
      </c>
      <c r="R159">
        <v>1</v>
      </c>
      <c r="S159">
        <f t="shared" si="10"/>
        <v>0.1</v>
      </c>
      <c r="T159" s="33">
        <f t="shared" si="11"/>
        <v>0</v>
      </c>
      <c r="U159" s="33">
        <f t="shared" si="16"/>
        <v>53.006529411764689</v>
      </c>
      <c r="W159">
        <v>144.6</v>
      </c>
      <c r="Y159">
        <f t="shared" si="13"/>
        <v>79950.300000000017</v>
      </c>
      <c r="Z159">
        <f t="shared" si="18"/>
        <v>14565.7</v>
      </c>
      <c r="AA159" s="41">
        <v>8.2955320466992468</v>
      </c>
    </row>
    <row r="160" spans="1:27" x14ac:dyDescent="0.25">
      <c r="A160">
        <v>5160</v>
      </c>
      <c r="B160">
        <v>23050</v>
      </c>
      <c r="C160" s="1">
        <v>42738</v>
      </c>
      <c r="E160" s="41">
        <v>29</v>
      </c>
      <c r="F160" s="52"/>
      <c r="G160">
        <v>-1.1000000000000001</v>
      </c>
      <c r="H160">
        <v>-1.3</v>
      </c>
      <c r="I160">
        <v>-0.7</v>
      </c>
      <c r="J160">
        <v>1226.7</v>
      </c>
      <c r="K160">
        <v>120.8</v>
      </c>
      <c r="M160">
        <v>0</v>
      </c>
      <c r="N160">
        <v>0.2</v>
      </c>
      <c r="O160">
        <f t="shared" si="9"/>
        <v>-0.2</v>
      </c>
      <c r="P160">
        <f t="shared" si="15"/>
        <v>46.800000000000004</v>
      </c>
      <c r="Q160">
        <v>127</v>
      </c>
      <c r="R160">
        <v>1</v>
      </c>
      <c r="S160">
        <f t="shared" si="10"/>
        <v>0.2</v>
      </c>
      <c r="T160" s="33">
        <f t="shared" si="11"/>
        <v>-0.2</v>
      </c>
      <c r="U160" s="33">
        <f t="shared" si="16"/>
        <v>52.806529411764686</v>
      </c>
      <c r="W160">
        <v>195</v>
      </c>
      <c r="Y160">
        <f t="shared" si="13"/>
        <v>80145.300000000017</v>
      </c>
      <c r="Z160">
        <f t="shared" si="18"/>
        <v>14760.7</v>
      </c>
      <c r="AA160" s="41">
        <v>8.3127170785446474</v>
      </c>
    </row>
    <row r="161" spans="1:27" x14ac:dyDescent="0.25">
      <c r="A161">
        <v>5160</v>
      </c>
      <c r="B161">
        <v>23050</v>
      </c>
      <c r="C161" s="1">
        <v>42739</v>
      </c>
      <c r="E161" s="41">
        <v>30</v>
      </c>
      <c r="F161" s="52"/>
      <c r="G161">
        <v>0.3</v>
      </c>
      <c r="H161">
        <v>-2</v>
      </c>
      <c r="I161">
        <v>2.4</v>
      </c>
      <c r="J161">
        <f t="shared" si="12"/>
        <v>1227</v>
      </c>
      <c r="K161">
        <f t="shared" si="17"/>
        <v>121.1</v>
      </c>
      <c r="M161">
        <v>0.1</v>
      </c>
      <c r="N161">
        <v>0.1</v>
      </c>
      <c r="O161">
        <f t="shared" si="9"/>
        <v>0</v>
      </c>
      <c r="P161">
        <f t="shared" si="15"/>
        <v>46.800000000000004</v>
      </c>
      <c r="Q161" s="32">
        <v>128</v>
      </c>
      <c r="R161">
        <v>1</v>
      </c>
      <c r="S161">
        <f t="shared" si="10"/>
        <v>0.1</v>
      </c>
      <c r="T161" s="33">
        <f t="shared" si="11"/>
        <v>0</v>
      </c>
      <c r="U161" s="33">
        <f t="shared" si="16"/>
        <v>52.806529411764686</v>
      </c>
      <c r="W161">
        <v>132.69999999999999</v>
      </c>
      <c r="Y161">
        <f t="shared" si="13"/>
        <v>80278.000000000015</v>
      </c>
      <c r="Z161">
        <f t="shared" si="18"/>
        <v>14893.400000000001</v>
      </c>
      <c r="AA161" s="41">
        <v>8.3311782316823777</v>
      </c>
    </row>
    <row r="162" spans="1:27" x14ac:dyDescent="0.25">
      <c r="A162">
        <v>5160</v>
      </c>
      <c r="B162">
        <v>23050</v>
      </c>
      <c r="C162" s="1">
        <v>42740</v>
      </c>
      <c r="E162" s="41">
        <v>31</v>
      </c>
      <c r="F162" s="52"/>
      <c r="G162">
        <v>1.3</v>
      </c>
      <c r="H162">
        <v>-1.2</v>
      </c>
      <c r="I162">
        <v>4.4000000000000004</v>
      </c>
      <c r="J162">
        <f t="shared" si="12"/>
        <v>1228.3</v>
      </c>
      <c r="K162">
        <f t="shared" si="17"/>
        <v>122.39999999999999</v>
      </c>
      <c r="M162">
        <v>0</v>
      </c>
      <c r="N162">
        <v>0.3</v>
      </c>
      <c r="O162">
        <f t="shared" si="9"/>
        <v>-0.3</v>
      </c>
      <c r="P162">
        <f t="shared" si="15"/>
        <v>46.500000000000007</v>
      </c>
      <c r="Q162">
        <v>129</v>
      </c>
      <c r="R162">
        <v>1</v>
      </c>
      <c r="S162">
        <f t="shared" si="10"/>
        <v>0.3</v>
      </c>
      <c r="T162" s="33">
        <f t="shared" si="11"/>
        <v>-0.3</v>
      </c>
      <c r="U162" s="33">
        <f t="shared" si="16"/>
        <v>52.506529411764689</v>
      </c>
      <c r="W162">
        <v>521.6</v>
      </c>
      <c r="Y162">
        <f t="shared" si="13"/>
        <v>80799.60000000002</v>
      </c>
      <c r="Z162">
        <f t="shared" si="18"/>
        <v>15415.000000000002</v>
      </c>
      <c r="AA162" s="41">
        <v>8.3509000090128005</v>
      </c>
    </row>
    <row r="163" spans="1:27" x14ac:dyDescent="0.25">
      <c r="A163">
        <v>5160</v>
      </c>
      <c r="B163">
        <v>23050</v>
      </c>
      <c r="C163" s="1">
        <v>42741</v>
      </c>
      <c r="E163" s="41">
        <v>32</v>
      </c>
      <c r="F163" s="52"/>
      <c r="G163">
        <v>-1.4</v>
      </c>
      <c r="H163">
        <v>-2.5</v>
      </c>
      <c r="I163">
        <v>0.9</v>
      </c>
      <c r="J163">
        <v>1228.3</v>
      </c>
      <c r="K163">
        <v>122.4</v>
      </c>
      <c r="M163">
        <v>0</v>
      </c>
      <c r="N163">
        <v>0.5</v>
      </c>
      <c r="O163">
        <f t="shared" ref="O163:O226" si="19">M163-N163</f>
        <v>-0.5</v>
      </c>
      <c r="P163">
        <f t="shared" si="15"/>
        <v>46.000000000000007</v>
      </c>
      <c r="Q163" s="32">
        <v>130</v>
      </c>
      <c r="R163">
        <v>1</v>
      </c>
      <c r="S163">
        <f t="shared" ref="S163:S226" si="20">R163*N163</f>
        <v>0.5</v>
      </c>
      <c r="T163" s="33">
        <f t="shared" ref="T163:T226" si="21">M163-S163</f>
        <v>-0.5</v>
      </c>
      <c r="U163" s="33">
        <f t="shared" si="16"/>
        <v>52.006529411764689</v>
      </c>
      <c r="W163">
        <v>673.3</v>
      </c>
      <c r="Y163">
        <f t="shared" si="13"/>
        <v>81472.900000000023</v>
      </c>
      <c r="Z163">
        <f t="shared" si="18"/>
        <v>16088.300000000001</v>
      </c>
      <c r="AA163" s="41">
        <v>8.3718660434732843</v>
      </c>
    </row>
    <row r="164" spans="1:27" x14ac:dyDescent="0.25">
      <c r="A164">
        <v>5160</v>
      </c>
      <c r="B164">
        <v>23050</v>
      </c>
      <c r="C164" s="1">
        <v>42742</v>
      </c>
      <c r="E164" s="41">
        <v>33</v>
      </c>
      <c r="F164" s="52"/>
      <c r="G164">
        <v>-1.8</v>
      </c>
      <c r="H164">
        <v>-5</v>
      </c>
      <c r="I164">
        <v>1.4</v>
      </c>
      <c r="J164">
        <v>1228.3</v>
      </c>
      <c r="K164">
        <v>122.4</v>
      </c>
      <c r="M164">
        <v>1.4</v>
      </c>
      <c r="N164">
        <v>0.4</v>
      </c>
      <c r="O164">
        <f t="shared" si="19"/>
        <v>0.99999999999999989</v>
      </c>
      <c r="P164">
        <f t="shared" si="15"/>
        <v>47.000000000000007</v>
      </c>
      <c r="Q164">
        <v>131</v>
      </c>
      <c r="R164">
        <v>1</v>
      </c>
      <c r="S164">
        <f t="shared" si="20"/>
        <v>0.4</v>
      </c>
      <c r="T164" s="33">
        <f t="shared" si="21"/>
        <v>0.99999999999999989</v>
      </c>
      <c r="U164" s="33">
        <f t="shared" si="16"/>
        <v>53.006529411764689</v>
      </c>
      <c r="W164">
        <v>180.6</v>
      </c>
      <c r="Y164">
        <f t="shared" ref="Y164:Y227" si="22">W164+Y163</f>
        <v>81653.500000000029</v>
      </c>
      <c r="Z164">
        <f t="shared" si="18"/>
        <v>16268.900000000001</v>
      </c>
      <c r="AA164" s="41">
        <v>8.3940591461790603</v>
      </c>
    </row>
    <row r="165" spans="1:27" x14ac:dyDescent="0.25">
      <c r="A165">
        <v>5160</v>
      </c>
      <c r="B165">
        <v>23050</v>
      </c>
      <c r="C165" s="1">
        <v>42743</v>
      </c>
      <c r="E165" s="41">
        <v>34</v>
      </c>
      <c r="F165" s="52"/>
      <c r="G165">
        <v>3.8</v>
      </c>
      <c r="H165">
        <v>-0.2</v>
      </c>
      <c r="I165">
        <v>5.7</v>
      </c>
      <c r="J165">
        <f t="shared" ref="J165:J227" si="23">J164+G165</f>
        <v>1232.0999999999999</v>
      </c>
      <c r="K165">
        <f t="shared" si="17"/>
        <v>126.2</v>
      </c>
      <c r="M165">
        <v>0.9</v>
      </c>
      <c r="N165">
        <v>0.2</v>
      </c>
      <c r="O165">
        <f t="shared" si="19"/>
        <v>0.7</v>
      </c>
      <c r="P165">
        <f t="shared" si="15"/>
        <v>47.70000000000001</v>
      </c>
      <c r="Q165" s="32">
        <v>132</v>
      </c>
      <c r="R165">
        <v>1</v>
      </c>
      <c r="S165">
        <f t="shared" si="20"/>
        <v>0.2</v>
      </c>
      <c r="T165" s="33">
        <f t="shared" si="21"/>
        <v>0.7</v>
      </c>
      <c r="U165" s="33">
        <f t="shared" si="16"/>
        <v>53.706529411764691</v>
      </c>
      <c r="W165">
        <v>160.69999999999999</v>
      </c>
      <c r="Y165">
        <f t="shared" si="22"/>
        <v>81814.200000000026</v>
      </c>
      <c r="Z165">
        <f t="shared" si="18"/>
        <v>16429.600000000002</v>
      </c>
      <c r="AA165" s="41">
        <v>8.41746135598836</v>
      </c>
    </row>
    <row r="166" spans="1:27" x14ac:dyDescent="0.25">
      <c r="A166">
        <v>5160</v>
      </c>
      <c r="B166">
        <v>23050</v>
      </c>
      <c r="C166" s="1">
        <v>42744</v>
      </c>
      <c r="F166" s="52"/>
      <c r="G166">
        <v>6.3</v>
      </c>
      <c r="H166">
        <v>4.5</v>
      </c>
      <c r="I166">
        <v>7.7</v>
      </c>
      <c r="J166">
        <f t="shared" si="23"/>
        <v>1238.3999999999999</v>
      </c>
      <c r="K166">
        <f t="shared" si="17"/>
        <v>132.5</v>
      </c>
      <c r="M166">
        <v>4.9000000000000004</v>
      </c>
      <c r="N166">
        <v>0.2</v>
      </c>
      <c r="O166">
        <f t="shared" si="19"/>
        <v>4.7</v>
      </c>
      <c r="P166">
        <f t="shared" si="15"/>
        <v>52.400000000000013</v>
      </c>
      <c r="Q166">
        <v>133</v>
      </c>
      <c r="R166">
        <v>1</v>
      </c>
      <c r="S166">
        <f t="shared" si="20"/>
        <v>0.2</v>
      </c>
      <c r="T166" s="33">
        <f t="shared" si="21"/>
        <v>4.7</v>
      </c>
      <c r="U166" s="33">
        <f t="shared" si="16"/>
        <v>58.406529411764694</v>
      </c>
      <c r="W166">
        <v>126.1</v>
      </c>
      <c r="Y166">
        <f t="shared" si="22"/>
        <v>81940.300000000032</v>
      </c>
      <c r="Z166">
        <f t="shared" si="18"/>
        <v>16555.7</v>
      </c>
      <c r="AA166" s="41">
        <v>8.442053990208974</v>
      </c>
    </row>
    <row r="167" spans="1:27" x14ac:dyDescent="0.25">
      <c r="A167">
        <v>5160</v>
      </c>
      <c r="B167">
        <v>23050</v>
      </c>
      <c r="C167" s="1">
        <v>42745</v>
      </c>
      <c r="F167" s="52"/>
      <c r="G167">
        <v>5.4</v>
      </c>
      <c r="H167">
        <v>4.8</v>
      </c>
      <c r="I167">
        <v>6.8</v>
      </c>
      <c r="J167">
        <f t="shared" si="23"/>
        <v>1243.8</v>
      </c>
      <c r="K167">
        <f t="shared" si="17"/>
        <v>137.9</v>
      </c>
      <c r="M167">
        <v>0.2</v>
      </c>
      <c r="N167">
        <v>0.3</v>
      </c>
      <c r="O167">
        <f t="shared" si="19"/>
        <v>-9.9999999999999978E-2</v>
      </c>
      <c r="P167">
        <f t="shared" si="15"/>
        <v>52.300000000000011</v>
      </c>
      <c r="Q167" s="32">
        <v>134</v>
      </c>
      <c r="R167">
        <v>1</v>
      </c>
      <c r="S167">
        <f t="shared" si="20"/>
        <v>0.3</v>
      </c>
      <c r="T167" s="33">
        <f t="shared" si="21"/>
        <v>-9.9999999999999978E-2</v>
      </c>
      <c r="U167" s="33">
        <f t="shared" si="16"/>
        <v>58.306529411764693</v>
      </c>
      <c r="W167">
        <v>299.3</v>
      </c>
      <c r="Y167">
        <f t="shared" si="22"/>
        <v>82239.600000000035</v>
      </c>
      <c r="Z167">
        <f t="shared" si="18"/>
        <v>16855</v>
      </c>
      <c r="AA167" s="41">
        <v>8.4678176961663816</v>
      </c>
    </row>
    <row r="168" spans="1:27" x14ac:dyDescent="0.25">
      <c r="A168">
        <v>5160</v>
      </c>
      <c r="B168">
        <v>23050</v>
      </c>
      <c r="C168" s="1">
        <v>42746</v>
      </c>
      <c r="F168" s="52"/>
      <c r="G168">
        <v>7</v>
      </c>
      <c r="H168">
        <v>1.6</v>
      </c>
      <c r="I168">
        <v>9.4</v>
      </c>
      <c r="J168">
        <f t="shared" si="23"/>
        <v>1250.8</v>
      </c>
      <c r="K168">
        <f t="shared" si="17"/>
        <v>144.9</v>
      </c>
      <c r="M168">
        <v>0.2</v>
      </c>
      <c r="N168">
        <v>0</v>
      </c>
      <c r="O168">
        <f t="shared" si="19"/>
        <v>0.2</v>
      </c>
      <c r="P168">
        <f t="shared" si="15"/>
        <v>52.500000000000014</v>
      </c>
      <c r="Q168">
        <v>135</v>
      </c>
      <c r="R168">
        <v>1</v>
      </c>
      <c r="S168">
        <f t="shared" si="20"/>
        <v>0</v>
      </c>
      <c r="T168" s="33">
        <f t="shared" si="21"/>
        <v>0.2</v>
      </c>
      <c r="U168" s="33">
        <f t="shared" si="16"/>
        <v>58.506529411764696</v>
      </c>
      <c r="W168">
        <v>145</v>
      </c>
      <c r="Y168">
        <f t="shared" si="22"/>
        <v>82384.600000000035</v>
      </c>
      <c r="Z168">
        <f t="shared" si="18"/>
        <v>17000</v>
      </c>
      <c r="AA168" s="41">
        <v>8.4947325033589109</v>
      </c>
    </row>
    <row r="169" spans="1:27" x14ac:dyDescent="0.25">
      <c r="A169">
        <v>5160</v>
      </c>
      <c r="B169">
        <v>23050</v>
      </c>
      <c r="C169" s="1">
        <v>42747</v>
      </c>
      <c r="F169" s="52"/>
      <c r="G169">
        <v>6.7</v>
      </c>
      <c r="H169">
        <v>5.5</v>
      </c>
      <c r="I169">
        <v>9.6</v>
      </c>
      <c r="J169">
        <f t="shared" si="23"/>
        <v>1257.5</v>
      </c>
      <c r="K169">
        <f t="shared" si="17"/>
        <v>151.6</v>
      </c>
      <c r="M169">
        <v>7</v>
      </c>
      <c r="N169">
        <v>1</v>
      </c>
      <c r="O169">
        <f t="shared" si="19"/>
        <v>6</v>
      </c>
      <c r="P169">
        <f t="shared" si="15"/>
        <v>58.500000000000014</v>
      </c>
      <c r="Q169" s="32">
        <v>136</v>
      </c>
      <c r="R169">
        <v>1</v>
      </c>
      <c r="S169">
        <f t="shared" si="20"/>
        <v>1</v>
      </c>
      <c r="T169" s="33">
        <f t="shared" si="21"/>
        <v>6</v>
      </c>
      <c r="U169" s="33">
        <f t="shared" si="16"/>
        <v>64.506529411764689</v>
      </c>
      <c r="W169">
        <v>99.3</v>
      </c>
      <c r="Y169">
        <f t="shared" si="22"/>
        <v>82483.900000000038</v>
      </c>
      <c r="Z169">
        <f t="shared" si="18"/>
        <v>17099.3</v>
      </c>
      <c r="AA169" s="41">
        <v>8.5227778759329809</v>
      </c>
    </row>
    <row r="170" spans="1:27" x14ac:dyDescent="0.25">
      <c r="A170">
        <v>5160</v>
      </c>
      <c r="B170">
        <v>23050</v>
      </c>
      <c r="C170" s="1">
        <v>42748</v>
      </c>
      <c r="E170" s="41">
        <v>35</v>
      </c>
      <c r="F170" s="52"/>
      <c r="G170">
        <v>3.2</v>
      </c>
      <c r="H170">
        <v>1.4</v>
      </c>
      <c r="I170">
        <v>4.8</v>
      </c>
      <c r="J170">
        <f t="shared" si="23"/>
        <v>1260.7</v>
      </c>
      <c r="K170">
        <f t="shared" si="17"/>
        <v>154.79999999999998</v>
      </c>
      <c r="M170">
        <v>0.9</v>
      </c>
      <c r="N170">
        <v>0.8</v>
      </c>
      <c r="O170">
        <f t="shared" si="19"/>
        <v>9.9999999999999978E-2</v>
      </c>
      <c r="P170">
        <f t="shared" si="15"/>
        <v>58.600000000000016</v>
      </c>
      <c r="Q170">
        <v>137</v>
      </c>
      <c r="R170">
        <v>1</v>
      </c>
      <c r="S170">
        <f t="shared" si="20"/>
        <v>0.8</v>
      </c>
      <c r="T170" s="33">
        <f t="shared" si="21"/>
        <v>9.9999999999999978E-2</v>
      </c>
      <c r="U170" s="33">
        <f t="shared" si="16"/>
        <v>64.606529411764683</v>
      </c>
      <c r="W170">
        <v>524.1</v>
      </c>
      <c r="Y170">
        <f t="shared" si="22"/>
        <v>83008.000000000044</v>
      </c>
      <c r="Z170">
        <f t="shared" si="18"/>
        <v>17623.399999999998</v>
      </c>
      <c r="AA170" s="41">
        <v>8.5519327652208741</v>
      </c>
    </row>
    <row r="171" spans="1:27" x14ac:dyDescent="0.25">
      <c r="A171">
        <v>5160</v>
      </c>
      <c r="B171">
        <v>23050</v>
      </c>
      <c r="C171" s="1">
        <v>42749</v>
      </c>
      <c r="E171" s="41">
        <v>36</v>
      </c>
      <c r="F171" s="52"/>
      <c r="G171">
        <v>2.2999999999999998</v>
      </c>
      <c r="H171">
        <v>-0.1</v>
      </c>
      <c r="I171">
        <v>4.3</v>
      </c>
      <c r="J171">
        <f t="shared" si="23"/>
        <v>1263</v>
      </c>
      <c r="K171">
        <f t="shared" si="17"/>
        <v>157.1</v>
      </c>
      <c r="M171">
        <v>1</v>
      </c>
      <c r="N171">
        <v>0.5</v>
      </c>
      <c r="O171">
        <f t="shared" si="19"/>
        <v>0.5</v>
      </c>
      <c r="P171">
        <f t="shared" si="15"/>
        <v>59.100000000000016</v>
      </c>
      <c r="Q171" s="32">
        <v>138</v>
      </c>
      <c r="R171">
        <v>1</v>
      </c>
      <c r="S171">
        <f t="shared" si="20"/>
        <v>0.5</v>
      </c>
      <c r="T171" s="33">
        <f t="shared" si="21"/>
        <v>0.5</v>
      </c>
      <c r="U171" s="33">
        <f t="shared" si="16"/>
        <v>65.106529411764683</v>
      </c>
      <c r="W171">
        <v>541.1</v>
      </c>
      <c r="Y171">
        <f t="shared" si="22"/>
        <v>83549.100000000049</v>
      </c>
      <c r="Z171">
        <f t="shared" si="18"/>
        <v>18164.499999999996</v>
      </c>
      <c r="AA171" s="41">
        <v>8.5821756620948335</v>
      </c>
    </row>
    <row r="172" spans="1:27" x14ac:dyDescent="0.25">
      <c r="A172">
        <v>5160</v>
      </c>
      <c r="B172">
        <v>23050</v>
      </c>
      <c r="C172" s="1">
        <v>42750</v>
      </c>
      <c r="E172" s="41">
        <v>37</v>
      </c>
      <c r="F172" s="52"/>
      <c r="G172">
        <v>3.1</v>
      </c>
      <c r="H172">
        <v>0.5</v>
      </c>
      <c r="I172">
        <v>5.6</v>
      </c>
      <c r="J172">
        <f t="shared" si="23"/>
        <v>1266.0999999999999</v>
      </c>
      <c r="K172">
        <f t="shared" si="17"/>
        <v>160.19999999999999</v>
      </c>
      <c r="M172">
        <v>4.5999999999999996</v>
      </c>
      <c r="N172">
        <v>0.3</v>
      </c>
      <c r="O172">
        <f t="shared" si="19"/>
        <v>4.3</v>
      </c>
      <c r="P172">
        <f t="shared" si="15"/>
        <v>63.400000000000013</v>
      </c>
      <c r="Q172">
        <v>139</v>
      </c>
      <c r="R172">
        <v>1</v>
      </c>
      <c r="S172">
        <f t="shared" si="20"/>
        <v>0.3</v>
      </c>
      <c r="T172" s="33">
        <f t="shared" si="21"/>
        <v>4.3</v>
      </c>
      <c r="U172" s="33">
        <f t="shared" si="16"/>
        <v>69.40652941176468</v>
      </c>
      <c r="W172">
        <v>146.30000000000001</v>
      </c>
      <c r="Y172">
        <f t="shared" si="22"/>
        <v>83695.400000000052</v>
      </c>
      <c r="Z172">
        <f t="shared" si="18"/>
        <v>18310.799999999996</v>
      </c>
      <c r="AA172" s="41">
        <v>8.6134846489037926</v>
      </c>
    </row>
    <row r="173" spans="1:27" x14ac:dyDescent="0.25">
      <c r="A173">
        <v>5160</v>
      </c>
      <c r="B173">
        <v>23050</v>
      </c>
      <c r="C173" s="1">
        <v>42751</v>
      </c>
      <c r="E173" s="41">
        <v>38</v>
      </c>
      <c r="F173" s="52"/>
      <c r="G173">
        <v>2</v>
      </c>
      <c r="H173">
        <v>1.3</v>
      </c>
      <c r="I173">
        <v>2.8</v>
      </c>
      <c r="J173">
        <f t="shared" si="23"/>
        <v>1268.0999999999999</v>
      </c>
      <c r="K173">
        <f t="shared" si="17"/>
        <v>162.19999999999999</v>
      </c>
      <c r="M173">
        <v>0.1</v>
      </c>
      <c r="N173">
        <v>0.2</v>
      </c>
      <c r="O173">
        <f t="shared" si="19"/>
        <v>-0.1</v>
      </c>
      <c r="P173">
        <f t="shared" si="15"/>
        <v>63.300000000000011</v>
      </c>
      <c r="Q173" s="32">
        <v>140</v>
      </c>
      <c r="R173">
        <v>1</v>
      </c>
      <c r="S173">
        <f t="shared" si="20"/>
        <v>0.2</v>
      </c>
      <c r="T173" s="33">
        <f t="shared" si="21"/>
        <v>-0.1</v>
      </c>
      <c r="U173" s="33">
        <f t="shared" si="16"/>
        <v>69.306529411764686</v>
      </c>
      <c r="W173">
        <v>181.9</v>
      </c>
      <c r="Y173">
        <f t="shared" si="22"/>
        <v>83877.300000000047</v>
      </c>
      <c r="Z173">
        <f t="shared" si="18"/>
        <v>18492.699999999997</v>
      </c>
      <c r="AA173" s="41">
        <v>8.6458374507732607</v>
      </c>
    </row>
    <row r="174" spans="1:27" x14ac:dyDescent="0.25">
      <c r="A174">
        <v>5160</v>
      </c>
      <c r="B174">
        <v>23050</v>
      </c>
      <c r="C174" s="1">
        <v>42752</v>
      </c>
      <c r="E174" s="41">
        <v>39</v>
      </c>
      <c r="F174" s="52"/>
      <c r="G174">
        <v>-1.4</v>
      </c>
      <c r="H174">
        <v>-2.1</v>
      </c>
      <c r="I174">
        <v>0.4</v>
      </c>
      <c r="J174">
        <v>1268.0999999999999</v>
      </c>
      <c r="K174">
        <v>162.19999999999999</v>
      </c>
      <c r="M174">
        <v>0</v>
      </c>
      <c r="N174">
        <v>0.6</v>
      </c>
      <c r="O174">
        <f t="shared" si="19"/>
        <v>-0.6</v>
      </c>
      <c r="P174">
        <f t="shared" si="15"/>
        <v>62.70000000000001</v>
      </c>
      <c r="Q174">
        <v>141</v>
      </c>
      <c r="R174">
        <v>1</v>
      </c>
      <c r="S174">
        <f t="shared" si="20"/>
        <v>0.6</v>
      </c>
      <c r="T174" s="33">
        <f t="shared" si="21"/>
        <v>-0.6</v>
      </c>
      <c r="U174" s="33">
        <f t="shared" si="16"/>
        <v>68.706529411764691</v>
      </c>
      <c r="W174">
        <v>795.6</v>
      </c>
      <c r="Y174">
        <f t="shared" si="22"/>
        <v>84672.900000000052</v>
      </c>
      <c r="Z174">
        <f t="shared" si="18"/>
        <v>19288.299999999996</v>
      </c>
      <c r="AA174" s="41">
        <v>8.6792114860636023</v>
      </c>
    </row>
    <row r="175" spans="1:27" x14ac:dyDescent="0.25">
      <c r="A175">
        <v>5160</v>
      </c>
      <c r="B175">
        <v>23050</v>
      </c>
      <c r="C175" s="1">
        <v>42753</v>
      </c>
      <c r="E175" s="41">
        <v>40</v>
      </c>
      <c r="F175" s="52"/>
      <c r="G175">
        <v>-2.6</v>
      </c>
      <c r="H175">
        <v>-4</v>
      </c>
      <c r="I175">
        <v>-1.3</v>
      </c>
      <c r="J175">
        <v>1268.0999999999999</v>
      </c>
      <c r="K175">
        <v>162.19999999999999</v>
      </c>
      <c r="M175">
        <v>0</v>
      </c>
      <c r="N175">
        <v>0.7</v>
      </c>
      <c r="O175">
        <f t="shared" si="19"/>
        <v>-0.7</v>
      </c>
      <c r="P175">
        <f t="shared" si="15"/>
        <v>62.000000000000007</v>
      </c>
      <c r="Q175" s="32">
        <v>142</v>
      </c>
      <c r="R175">
        <v>1</v>
      </c>
      <c r="S175">
        <f t="shared" si="20"/>
        <v>0.7</v>
      </c>
      <c r="T175" s="33">
        <f t="shared" si="21"/>
        <v>-0.7</v>
      </c>
      <c r="U175" s="33">
        <f t="shared" si="16"/>
        <v>68.006529411764689</v>
      </c>
      <c r="W175">
        <v>664.1</v>
      </c>
      <c r="Y175">
        <f t="shared" si="22"/>
        <v>85337.000000000058</v>
      </c>
      <c r="Z175">
        <f t="shared" si="18"/>
        <v>19952.399999999994</v>
      </c>
      <c r="AA175" s="41">
        <v>8.7135839157979458</v>
      </c>
    </row>
    <row r="176" spans="1:27" x14ac:dyDescent="0.25">
      <c r="A176">
        <v>5160</v>
      </c>
      <c r="B176">
        <v>23050</v>
      </c>
      <c r="C176" s="1">
        <v>42754</v>
      </c>
      <c r="E176" s="41">
        <v>41</v>
      </c>
      <c r="F176" s="52"/>
      <c r="G176">
        <v>-3.5</v>
      </c>
      <c r="H176">
        <v>-5.2</v>
      </c>
      <c r="I176">
        <v>-1.9</v>
      </c>
      <c r="J176">
        <v>1268.0999999999999</v>
      </c>
      <c r="K176">
        <v>162.19999999999999</v>
      </c>
      <c r="M176">
        <v>0</v>
      </c>
      <c r="N176">
        <v>0.6</v>
      </c>
      <c r="O176">
        <f t="shared" si="19"/>
        <v>-0.6</v>
      </c>
      <c r="P176">
        <f t="shared" si="15"/>
        <v>61.400000000000006</v>
      </c>
      <c r="Q176">
        <v>143</v>
      </c>
      <c r="R176">
        <v>1</v>
      </c>
      <c r="S176">
        <f t="shared" si="20"/>
        <v>0.6</v>
      </c>
      <c r="T176" s="33">
        <f t="shared" si="21"/>
        <v>-0.6</v>
      </c>
      <c r="U176" s="33">
        <f t="shared" si="16"/>
        <v>67.406529411764694</v>
      </c>
      <c r="W176">
        <v>873.2</v>
      </c>
      <c r="Y176">
        <f t="shared" si="22"/>
        <v>86210.200000000055</v>
      </c>
      <c r="Z176">
        <f t="shared" si="18"/>
        <v>20825.599999999995</v>
      </c>
      <c r="AA176" s="41">
        <v>8.7489316918871367</v>
      </c>
    </row>
    <row r="177" spans="1:28" x14ac:dyDescent="0.25">
      <c r="A177">
        <v>5160</v>
      </c>
      <c r="B177">
        <v>23050</v>
      </c>
      <c r="C177" s="1">
        <v>42755</v>
      </c>
      <c r="E177" s="41">
        <v>42</v>
      </c>
      <c r="F177" s="52"/>
      <c r="G177">
        <v>-4</v>
      </c>
      <c r="H177">
        <v>-6.3</v>
      </c>
      <c r="I177">
        <v>-1.2</v>
      </c>
      <c r="J177">
        <v>1268.0999999999999</v>
      </c>
      <c r="K177">
        <v>162.19999999999999</v>
      </c>
      <c r="M177">
        <v>0</v>
      </c>
      <c r="N177">
        <v>0.5</v>
      </c>
      <c r="O177">
        <f t="shared" si="19"/>
        <v>-0.5</v>
      </c>
      <c r="P177">
        <f t="shared" si="15"/>
        <v>60.900000000000006</v>
      </c>
      <c r="Q177" s="32">
        <v>144</v>
      </c>
      <c r="R177">
        <v>1</v>
      </c>
      <c r="S177">
        <f t="shared" si="20"/>
        <v>0.5</v>
      </c>
      <c r="T177" s="33">
        <f t="shared" si="21"/>
        <v>-0.5</v>
      </c>
      <c r="U177" s="33">
        <f t="shared" si="16"/>
        <v>66.906529411764694</v>
      </c>
      <c r="W177">
        <v>870.6</v>
      </c>
      <c r="Y177">
        <f t="shared" si="22"/>
        <v>87080.800000000061</v>
      </c>
      <c r="Z177">
        <f t="shared" si="18"/>
        <v>21696.199999999993</v>
      </c>
      <c r="AA177" s="41">
        <v>8.7852316039958342</v>
      </c>
    </row>
    <row r="178" spans="1:28" x14ac:dyDescent="0.25">
      <c r="A178">
        <v>5160</v>
      </c>
      <c r="B178">
        <v>23050</v>
      </c>
      <c r="C178" s="1">
        <v>42756</v>
      </c>
      <c r="E178" s="41">
        <v>43</v>
      </c>
      <c r="F178" s="52"/>
      <c r="G178">
        <v>-2.6</v>
      </c>
      <c r="H178">
        <v>-7.8</v>
      </c>
      <c r="I178">
        <v>1</v>
      </c>
      <c r="J178">
        <v>1268.0999999999999</v>
      </c>
      <c r="K178">
        <v>162.19999999999999</v>
      </c>
      <c r="M178">
        <v>0</v>
      </c>
      <c r="N178">
        <v>0.5</v>
      </c>
      <c r="O178">
        <f t="shared" si="19"/>
        <v>-0.5</v>
      </c>
      <c r="P178">
        <f t="shared" si="15"/>
        <v>60.400000000000006</v>
      </c>
      <c r="Q178">
        <v>145</v>
      </c>
      <c r="R178">
        <v>1</v>
      </c>
      <c r="S178">
        <f t="shared" si="20"/>
        <v>0.5</v>
      </c>
      <c r="T178" s="33">
        <f t="shared" si="21"/>
        <v>-0.5</v>
      </c>
      <c r="U178" s="33">
        <f t="shared" si="16"/>
        <v>66.406529411764694</v>
      </c>
      <c r="W178">
        <v>840.4</v>
      </c>
      <c r="Y178">
        <f t="shared" si="22"/>
        <v>87921.200000000055</v>
      </c>
      <c r="Z178">
        <f t="shared" si="18"/>
        <v>22536.599999999995</v>
      </c>
      <c r="AA178" s="41">
        <v>8.8224603249107023</v>
      </c>
    </row>
    <row r="179" spans="1:28" x14ac:dyDescent="0.25">
      <c r="A179">
        <v>5160</v>
      </c>
      <c r="B179">
        <v>23050</v>
      </c>
      <c r="C179" s="1">
        <v>42757</v>
      </c>
      <c r="E179" s="41">
        <v>44</v>
      </c>
      <c r="F179" s="52"/>
      <c r="G179">
        <v>-0.7</v>
      </c>
      <c r="H179">
        <v>-5.0999999999999996</v>
      </c>
      <c r="I179">
        <v>2.8</v>
      </c>
      <c r="J179">
        <v>1268.0999999999999</v>
      </c>
      <c r="K179">
        <v>162.19999999999999</v>
      </c>
      <c r="M179">
        <v>0</v>
      </c>
      <c r="N179">
        <v>0.6</v>
      </c>
      <c r="O179">
        <f t="shared" si="19"/>
        <v>-0.6</v>
      </c>
      <c r="P179">
        <f t="shared" ref="P179:P242" si="24">P178+O179</f>
        <v>59.800000000000004</v>
      </c>
      <c r="Q179" s="32">
        <v>146</v>
      </c>
      <c r="R179">
        <v>1</v>
      </c>
      <c r="S179">
        <f t="shared" si="20"/>
        <v>0.6</v>
      </c>
      <c r="T179" s="33">
        <f t="shared" si="21"/>
        <v>-0.6</v>
      </c>
      <c r="U179" s="33">
        <f t="shared" ref="U179:U242" si="25">MIN(U178+T179,146.7)</f>
        <v>65.8065294117647</v>
      </c>
      <c r="W179">
        <v>737.1</v>
      </c>
      <c r="Y179">
        <f t="shared" si="22"/>
        <v>88658.300000000061</v>
      </c>
      <c r="Z179">
        <f t="shared" si="18"/>
        <v>23273.699999999993</v>
      </c>
      <c r="AA179" s="41">
        <v>8.8605944542883233</v>
      </c>
    </row>
    <row r="180" spans="1:28" x14ac:dyDescent="0.25">
      <c r="A180">
        <v>5160</v>
      </c>
      <c r="B180">
        <v>23050</v>
      </c>
      <c r="C180" s="1">
        <v>42758</v>
      </c>
      <c r="E180" s="41">
        <v>45</v>
      </c>
      <c r="F180" s="52"/>
      <c r="G180">
        <v>-0.6</v>
      </c>
      <c r="H180">
        <v>-3.3</v>
      </c>
      <c r="I180">
        <v>3.2</v>
      </c>
      <c r="J180">
        <v>1268.0999999999999</v>
      </c>
      <c r="K180">
        <v>162.19999999999999</v>
      </c>
      <c r="M180">
        <v>0</v>
      </c>
      <c r="N180">
        <v>0.9</v>
      </c>
      <c r="O180">
        <f t="shared" si="19"/>
        <v>-0.9</v>
      </c>
      <c r="P180">
        <f t="shared" si="24"/>
        <v>58.900000000000006</v>
      </c>
      <c r="Q180">
        <v>147</v>
      </c>
      <c r="R180">
        <v>1</v>
      </c>
      <c r="S180">
        <f t="shared" si="20"/>
        <v>0.9</v>
      </c>
      <c r="T180" s="33">
        <f t="shared" si="21"/>
        <v>-0.9</v>
      </c>
      <c r="U180" s="33">
        <f t="shared" si="25"/>
        <v>64.906529411764694</v>
      </c>
      <c r="W180">
        <v>806.7</v>
      </c>
      <c r="Y180">
        <f t="shared" si="22"/>
        <v>89465.000000000058</v>
      </c>
      <c r="Z180">
        <f t="shared" si="18"/>
        <v>24080.399999999994</v>
      </c>
      <c r="AA180" s="41">
        <v>8.8996105606770026</v>
      </c>
    </row>
    <row r="181" spans="1:28" x14ac:dyDescent="0.25">
      <c r="A181">
        <v>5160</v>
      </c>
      <c r="B181">
        <v>23050</v>
      </c>
      <c r="C181" s="1">
        <v>42759</v>
      </c>
      <c r="E181" s="41">
        <v>46</v>
      </c>
      <c r="F181" s="52"/>
      <c r="G181">
        <v>-1.9</v>
      </c>
      <c r="H181">
        <v>-5.0999999999999996</v>
      </c>
      <c r="I181">
        <v>0.2</v>
      </c>
      <c r="J181">
        <v>1268.0999999999999</v>
      </c>
      <c r="K181">
        <v>162.19999999999999</v>
      </c>
      <c r="M181">
        <v>0</v>
      </c>
      <c r="N181">
        <v>0.4</v>
      </c>
      <c r="O181">
        <f t="shared" si="19"/>
        <v>-0.4</v>
      </c>
      <c r="P181">
        <f t="shared" si="24"/>
        <v>58.500000000000007</v>
      </c>
      <c r="Q181" s="32">
        <v>148</v>
      </c>
      <c r="R181">
        <v>1</v>
      </c>
      <c r="S181">
        <f t="shared" si="20"/>
        <v>0.4</v>
      </c>
      <c r="T181" s="33">
        <f t="shared" si="21"/>
        <v>-0.4</v>
      </c>
      <c r="U181" s="33">
        <f t="shared" si="25"/>
        <v>64.506529411764689</v>
      </c>
      <c r="W181">
        <v>498.4</v>
      </c>
      <c r="Y181">
        <f t="shared" si="22"/>
        <v>89963.400000000052</v>
      </c>
      <c r="Z181">
        <f t="shared" si="18"/>
        <v>24578.799999999996</v>
      </c>
      <c r="AA181" s="41">
        <v>8.9394852217227943</v>
      </c>
    </row>
    <row r="182" spans="1:28" x14ac:dyDescent="0.25">
      <c r="A182">
        <v>5160</v>
      </c>
      <c r="B182">
        <v>23050</v>
      </c>
      <c r="C182" s="1">
        <v>42760</v>
      </c>
      <c r="E182" s="41">
        <v>47</v>
      </c>
      <c r="F182" s="52"/>
      <c r="G182">
        <v>-1.8</v>
      </c>
      <c r="H182">
        <v>-2.5</v>
      </c>
      <c r="I182">
        <v>-0.7</v>
      </c>
      <c r="J182">
        <v>1268.0999999999999</v>
      </c>
      <c r="K182">
        <v>162.19999999999999</v>
      </c>
      <c r="M182">
        <v>0</v>
      </c>
      <c r="N182">
        <v>0.4</v>
      </c>
      <c r="O182">
        <f t="shared" si="19"/>
        <v>-0.4</v>
      </c>
      <c r="P182">
        <f t="shared" si="24"/>
        <v>58.100000000000009</v>
      </c>
      <c r="Q182">
        <v>149</v>
      </c>
      <c r="R182">
        <v>1</v>
      </c>
      <c r="S182">
        <f t="shared" si="20"/>
        <v>0.4</v>
      </c>
      <c r="T182" s="33">
        <f t="shared" si="21"/>
        <v>-0.4</v>
      </c>
      <c r="U182" s="33">
        <f t="shared" si="25"/>
        <v>64.106529411764683</v>
      </c>
      <c r="W182">
        <v>141.5</v>
      </c>
      <c r="Y182">
        <f t="shared" si="22"/>
        <v>90104.900000000052</v>
      </c>
      <c r="Z182">
        <f t="shared" si="18"/>
        <v>24720.299999999996</v>
      </c>
      <c r="AA182" s="41">
        <v>8.980195062485727</v>
      </c>
    </row>
    <row r="183" spans="1:28" s="35" customFormat="1" ht="15.75" thickBot="1" x14ac:dyDescent="0.3">
      <c r="A183" s="35">
        <v>5160</v>
      </c>
      <c r="B183" s="35">
        <v>23050</v>
      </c>
      <c r="C183" s="36">
        <v>42761</v>
      </c>
      <c r="D183" s="35" t="s">
        <v>35</v>
      </c>
      <c r="F183" s="52"/>
      <c r="G183" s="35">
        <v>-1.1000000000000001</v>
      </c>
      <c r="H183" s="35">
        <v>-6.2</v>
      </c>
      <c r="I183" s="35">
        <v>2.4</v>
      </c>
      <c r="J183" s="35">
        <v>1268.0999999999999</v>
      </c>
      <c r="K183" s="35">
        <v>162.19999999999999</v>
      </c>
      <c r="L183" s="37"/>
      <c r="M183" s="35">
        <v>0</v>
      </c>
      <c r="N183" s="35">
        <v>0.7</v>
      </c>
      <c r="O183" s="35">
        <f t="shared" si="19"/>
        <v>-0.7</v>
      </c>
      <c r="P183" s="35">
        <f t="shared" si="24"/>
        <v>57.400000000000006</v>
      </c>
      <c r="Q183" s="38">
        <v>150</v>
      </c>
      <c r="R183" s="35">
        <v>1</v>
      </c>
      <c r="S183" s="35">
        <f t="shared" si="20"/>
        <v>0.7</v>
      </c>
      <c r="T183" s="40">
        <f t="shared" si="21"/>
        <v>-0.7</v>
      </c>
      <c r="U183" s="33">
        <f t="shared" si="25"/>
        <v>63.40652941176468</v>
      </c>
      <c r="V183" s="37"/>
      <c r="W183" s="35">
        <v>929.6</v>
      </c>
      <c r="Y183" s="35">
        <f t="shared" si="22"/>
        <v>91034.500000000058</v>
      </c>
      <c r="Z183" s="35">
        <f t="shared" si="18"/>
        <v>25649.899999999994</v>
      </c>
      <c r="AA183" s="35">
        <v>9.0217167918071812</v>
      </c>
      <c r="AB183" s="37"/>
    </row>
    <row r="184" spans="1:28" ht="15" customHeight="1" x14ac:dyDescent="0.25">
      <c r="A184">
        <v>5160</v>
      </c>
      <c r="B184">
        <v>23050</v>
      </c>
      <c r="C184" s="1">
        <v>42762</v>
      </c>
      <c r="F184" s="55" t="s">
        <v>47</v>
      </c>
      <c r="G184">
        <v>5.2</v>
      </c>
      <c r="H184">
        <v>-0.7</v>
      </c>
      <c r="I184">
        <v>8</v>
      </c>
      <c r="J184">
        <f t="shared" si="23"/>
        <v>1273.3</v>
      </c>
      <c r="K184">
        <v>5.2</v>
      </c>
      <c r="L184" s="14" t="s">
        <v>38</v>
      </c>
      <c r="M184">
        <v>0</v>
      </c>
      <c r="N184">
        <v>0.7</v>
      </c>
      <c r="O184">
        <f t="shared" si="19"/>
        <v>-0.7</v>
      </c>
      <c r="P184">
        <f t="shared" si="24"/>
        <v>56.7</v>
      </c>
      <c r="Q184">
        <v>151</v>
      </c>
      <c r="R184">
        <f>1+((Q184-150)/58)*(1.15-1)</f>
        <v>1.0025862068965516</v>
      </c>
      <c r="S184" s="34">
        <f t="shared" si="20"/>
        <v>0.70181034482758609</v>
      </c>
      <c r="T184" s="33">
        <f t="shared" si="21"/>
        <v>-0.70181034482758609</v>
      </c>
      <c r="U184" s="33">
        <f t="shared" si="25"/>
        <v>62.704719066937095</v>
      </c>
      <c r="V184" s="27" t="s">
        <v>52</v>
      </c>
      <c r="W184">
        <v>420.2</v>
      </c>
      <c r="Y184">
        <f t="shared" si="22"/>
        <v>91454.700000000055</v>
      </c>
      <c r="Z184">
        <v>420.2</v>
      </c>
      <c r="AA184">
        <v>9.0640272366837333</v>
      </c>
      <c r="AB184" s="27" t="s">
        <v>57</v>
      </c>
    </row>
    <row r="185" spans="1:28" x14ac:dyDescent="0.25">
      <c r="A185">
        <v>5160</v>
      </c>
      <c r="B185">
        <v>23050</v>
      </c>
      <c r="C185" s="1">
        <v>42763</v>
      </c>
      <c r="F185" s="55"/>
      <c r="G185">
        <v>6.1</v>
      </c>
      <c r="H185">
        <v>4.5</v>
      </c>
      <c r="I185">
        <v>8.1999999999999993</v>
      </c>
      <c r="J185">
        <f t="shared" si="23"/>
        <v>1279.3999999999999</v>
      </c>
      <c r="K185">
        <f t="shared" si="17"/>
        <v>11.3</v>
      </c>
      <c r="L185" s="11">
        <v>445.7</v>
      </c>
      <c r="M185">
        <v>0.2</v>
      </c>
      <c r="N185">
        <v>0.9</v>
      </c>
      <c r="O185">
        <f t="shared" si="19"/>
        <v>-0.7</v>
      </c>
      <c r="P185">
        <f t="shared" si="24"/>
        <v>56</v>
      </c>
      <c r="Q185" s="32">
        <v>152</v>
      </c>
      <c r="R185">
        <f t="shared" ref="R185:R241" si="26">1+((Q185-150)/58)*(1.15-1)</f>
        <v>1.0051724137931035</v>
      </c>
      <c r="S185" s="34">
        <f t="shared" si="20"/>
        <v>0.90465517241379323</v>
      </c>
      <c r="T185" s="33">
        <f t="shared" si="21"/>
        <v>-0.70465517241379327</v>
      </c>
      <c r="U185" s="33">
        <f t="shared" si="25"/>
        <v>62.000063894523301</v>
      </c>
      <c r="V185">
        <v>0</v>
      </c>
      <c r="W185">
        <v>458.6</v>
      </c>
      <c r="Y185">
        <f t="shared" si="22"/>
        <v>91913.300000000061</v>
      </c>
      <c r="Z185">
        <f t="shared" si="18"/>
        <v>878.8</v>
      </c>
      <c r="AA185">
        <v>9.1071033746162957</v>
      </c>
      <c r="AB185">
        <v>31075</v>
      </c>
    </row>
    <row r="186" spans="1:28" x14ac:dyDescent="0.25">
      <c r="A186">
        <v>5160</v>
      </c>
      <c r="B186">
        <v>23050</v>
      </c>
      <c r="C186" s="1">
        <v>42764</v>
      </c>
      <c r="F186" s="55"/>
      <c r="G186">
        <v>6.6</v>
      </c>
      <c r="H186">
        <v>4</v>
      </c>
      <c r="I186">
        <v>8.5</v>
      </c>
      <c r="J186">
        <f t="shared" si="23"/>
        <v>1285.9999999999998</v>
      </c>
      <c r="K186">
        <f t="shared" si="17"/>
        <v>17.899999999999999</v>
      </c>
      <c r="L186" s="14" t="s">
        <v>39</v>
      </c>
      <c r="M186">
        <v>0</v>
      </c>
      <c r="N186">
        <v>0.5</v>
      </c>
      <c r="O186">
        <f t="shared" si="19"/>
        <v>-0.5</v>
      </c>
      <c r="P186">
        <f t="shared" si="24"/>
        <v>55.5</v>
      </c>
      <c r="Q186">
        <v>153</v>
      </c>
      <c r="R186">
        <f t="shared" si="26"/>
        <v>1.0077586206896552</v>
      </c>
      <c r="S186" s="34">
        <f t="shared" si="20"/>
        <v>0.50387931034482758</v>
      </c>
      <c r="T186" s="33">
        <f t="shared" si="21"/>
        <v>-0.50387931034482758</v>
      </c>
      <c r="U186" s="33">
        <f t="shared" si="25"/>
        <v>61.496184584178472</v>
      </c>
      <c r="V186" s="27" t="s">
        <v>53</v>
      </c>
      <c r="W186">
        <v>140.4</v>
      </c>
      <c r="Y186">
        <f t="shared" si="22"/>
        <v>92053.700000000055</v>
      </c>
      <c r="Z186">
        <f t="shared" si="18"/>
        <v>1019.1999999999999</v>
      </c>
      <c r="AA186">
        <v>9.1509223639159742</v>
      </c>
      <c r="AB186" s="27" t="s">
        <v>58</v>
      </c>
    </row>
    <row r="187" spans="1:28" x14ac:dyDescent="0.25">
      <c r="A187">
        <v>5160</v>
      </c>
      <c r="B187">
        <v>23050</v>
      </c>
      <c r="C187" s="1">
        <v>42765</v>
      </c>
      <c r="F187" s="55"/>
      <c r="G187">
        <v>9.6</v>
      </c>
      <c r="H187">
        <v>7.9</v>
      </c>
      <c r="I187">
        <v>10.7</v>
      </c>
      <c r="J187">
        <f t="shared" si="23"/>
        <v>1295.5999999999997</v>
      </c>
      <c r="K187">
        <f t="shared" si="17"/>
        <v>27.5</v>
      </c>
      <c r="L187" s="21">
        <f>AVERAGE(G184:G241)</f>
        <v>7.6655172413793089</v>
      </c>
      <c r="M187">
        <v>3.3</v>
      </c>
      <c r="N187">
        <v>0.3</v>
      </c>
      <c r="O187">
        <f t="shared" si="19"/>
        <v>3</v>
      </c>
      <c r="P187">
        <f t="shared" si="24"/>
        <v>58.5</v>
      </c>
      <c r="Q187" s="32">
        <v>154</v>
      </c>
      <c r="R187">
        <f t="shared" si="26"/>
        <v>1.0103448275862068</v>
      </c>
      <c r="S187" s="34">
        <f t="shared" si="20"/>
        <v>0.30310344827586205</v>
      </c>
      <c r="T187" s="33">
        <f t="shared" si="21"/>
        <v>2.9968965517241379</v>
      </c>
      <c r="U187" s="33">
        <f t="shared" si="25"/>
        <v>64.493081135902614</v>
      </c>
      <c r="V187">
        <v>0</v>
      </c>
      <c r="W187">
        <v>128.1</v>
      </c>
      <c r="Y187">
        <f t="shared" si="22"/>
        <v>92181.800000000061</v>
      </c>
      <c r="Z187">
        <f t="shared" si="18"/>
        <v>1147.3</v>
      </c>
      <c r="AA187">
        <v>9.1954615719599548</v>
      </c>
      <c r="AB187">
        <f>(AB185/100)/L185</f>
        <v>0.69721785954678039</v>
      </c>
    </row>
    <row r="188" spans="1:28" x14ac:dyDescent="0.25">
      <c r="A188">
        <v>5160</v>
      </c>
      <c r="B188">
        <v>23050</v>
      </c>
      <c r="C188" s="1">
        <v>42766</v>
      </c>
      <c r="F188" s="55"/>
      <c r="G188">
        <v>10.4</v>
      </c>
      <c r="H188">
        <v>9.9</v>
      </c>
      <c r="I188">
        <v>11.6</v>
      </c>
      <c r="J188">
        <f t="shared" si="23"/>
        <v>1305.9999999999998</v>
      </c>
      <c r="K188">
        <f t="shared" si="17"/>
        <v>37.9</v>
      </c>
      <c r="L188" s="14" t="s">
        <v>40</v>
      </c>
      <c r="M188">
        <v>0.2</v>
      </c>
      <c r="N188">
        <v>0.4</v>
      </c>
      <c r="O188">
        <f t="shared" si="19"/>
        <v>-0.2</v>
      </c>
      <c r="P188">
        <f t="shared" si="24"/>
        <v>58.3</v>
      </c>
      <c r="Q188">
        <v>155</v>
      </c>
      <c r="R188">
        <f t="shared" si="26"/>
        <v>1.0129310344827587</v>
      </c>
      <c r="S188" s="34">
        <f t="shared" si="20"/>
        <v>0.40517241379310348</v>
      </c>
      <c r="T188" s="33">
        <f t="shared" si="21"/>
        <v>-0.20517241379310347</v>
      </c>
      <c r="U188" s="33">
        <f t="shared" si="25"/>
        <v>64.287908722109506</v>
      </c>
      <c r="V188" s="27" t="s">
        <v>54</v>
      </c>
      <c r="W188">
        <v>230.5</v>
      </c>
      <c r="Y188">
        <f t="shared" si="22"/>
        <v>92412.300000000061</v>
      </c>
      <c r="Z188">
        <f t="shared" si="18"/>
        <v>1377.8</v>
      </c>
      <c r="AA188">
        <v>9.2406986014014461</v>
      </c>
      <c r="AB188" s="27" t="s">
        <v>59</v>
      </c>
    </row>
    <row r="189" spans="1:28" x14ac:dyDescent="0.25">
      <c r="A189">
        <v>5160</v>
      </c>
      <c r="B189">
        <v>23050</v>
      </c>
      <c r="C189" s="1">
        <v>42767</v>
      </c>
      <c r="F189" s="55"/>
      <c r="G189">
        <v>8.5</v>
      </c>
      <c r="H189">
        <v>5.5</v>
      </c>
      <c r="I189">
        <v>10.7</v>
      </c>
      <c r="J189">
        <f t="shared" si="23"/>
        <v>1314.4999999999998</v>
      </c>
      <c r="K189">
        <f t="shared" si="17"/>
        <v>46.4</v>
      </c>
      <c r="L189" s="12">
        <f>MIN(H184:H241)</f>
        <v>-4.0999999999999996</v>
      </c>
      <c r="M189">
        <v>0</v>
      </c>
      <c r="N189">
        <v>0.2</v>
      </c>
      <c r="O189">
        <f t="shared" si="19"/>
        <v>-0.2</v>
      </c>
      <c r="P189">
        <f t="shared" si="24"/>
        <v>58.099999999999994</v>
      </c>
      <c r="Q189" s="32">
        <v>156</v>
      </c>
      <c r="R189">
        <f t="shared" si="26"/>
        <v>1.0155172413793103</v>
      </c>
      <c r="S189" s="34">
        <f t="shared" si="20"/>
        <v>0.20310344827586208</v>
      </c>
      <c r="T189" s="33">
        <f t="shared" si="21"/>
        <v>-0.20310344827586208</v>
      </c>
      <c r="U189" s="33">
        <f t="shared" si="25"/>
        <v>64.084805273833638</v>
      </c>
      <c r="V189" s="33">
        <f>MIN(U184:U241)</f>
        <v>61.496184584178472</v>
      </c>
      <c r="W189">
        <v>200.2</v>
      </c>
      <c r="Y189">
        <f t="shared" si="22"/>
        <v>92612.500000000058</v>
      </c>
      <c r="Z189">
        <f t="shared" si="18"/>
        <v>1578</v>
      </c>
      <c r="AA189">
        <v>9.2866113143477591</v>
      </c>
      <c r="AB189">
        <v>49</v>
      </c>
    </row>
    <row r="190" spans="1:28" x14ac:dyDescent="0.25">
      <c r="A190">
        <v>5160</v>
      </c>
      <c r="B190">
        <v>23050</v>
      </c>
      <c r="C190" s="1">
        <v>42768</v>
      </c>
      <c r="F190" s="55"/>
      <c r="G190">
        <v>9.6999999999999993</v>
      </c>
      <c r="H190">
        <v>7.8</v>
      </c>
      <c r="I190">
        <v>11.1</v>
      </c>
      <c r="J190">
        <f t="shared" si="23"/>
        <v>1324.1999999999998</v>
      </c>
      <c r="K190">
        <f t="shared" ref="K190:K241" si="27">K189+G190</f>
        <v>56.099999999999994</v>
      </c>
      <c r="L190" s="14" t="s">
        <v>41</v>
      </c>
      <c r="M190">
        <v>1.8</v>
      </c>
      <c r="N190">
        <v>0.8</v>
      </c>
      <c r="O190">
        <f t="shared" si="19"/>
        <v>1</v>
      </c>
      <c r="P190">
        <f t="shared" si="24"/>
        <v>59.099999999999994</v>
      </c>
      <c r="Q190">
        <v>157</v>
      </c>
      <c r="R190">
        <f t="shared" si="26"/>
        <v>1.018103448275862</v>
      </c>
      <c r="S190" s="34">
        <f t="shared" si="20"/>
        <v>0.81448275862068964</v>
      </c>
      <c r="T190" s="33">
        <f t="shared" si="21"/>
        <v>0.9855172413793104</v>
      </c>
      <c r="U190" s="33">
        <f t="shared" si="25"/>
        <v>65.070322515212951</v>
      </c>
      <c r="V190" s="27" t="s">
        <v>55</v>
      </c>
      <c r="W190">
        <v>168.4</v>
      </c>
      <c r="Y190">
        <f t="shared" si="22"/>
        <v>92780.900000000052</v>
      </c>
      <c r="Z190">
        <f t="shared" ref="Z190:Z241" si="28">Z189+W190</f>
        <v>1746.4</v>
      </c>
      <c r="AA190">
        <v>9.3331778545294419</v>
      </c>
    </row>
    <row r="191" spans="1:28" x14ac:dyDescent="0.25">
      <c r="A191">
        <v>5160</v>
      </c>
      <c r="B191">
        <v>23050</v>
      </c>
      <c r="C191" s="1">
        <v>42769</v>
      </c>
      <c r="F191" s="55"/>
      <c r="G191">
        <v>7</v>
      </c>
      <c r="H191">
        <v>5.9</v>
      </c>
      <c r="I191">
        <v>8</v>
      </c>
      <c r="J191">
        <f t="shared" si="23"/>
        <v>1331.1999999999998</v>
      </c>
      <c r="K191">
        <f t="shared" si="27"/>
        <v>63.099999999999994</v>
      </c>
      <c r="L191" s="11">
        <f>MAX(I184:I241)</f>
        <v>17.7</v>
      </c>
      <c r="M191">
        <v>7.9</v>
      </c>
      <c r="N191">
        <v>0.7</v>
      </c>
      <c r="O191">
        <f t="shared" si="19"/>
        <v>7.2</v>
      </c>
      <c r="P191">
        <f t="shared" si="24"/>
        <v>66.3</v>
      </c>
      <c r="Q191" s="32">
        <v>158</v>
      </c>
      <c r="R191">
        <f t="shared" si="26"/>
        <v>1.0206896551724138</v>
      </c>
      <c r="S191" s="34">
        <f t="shared" si="20"/>
        <v>0.71448275862068966</v>
      </c>
      <c r="T191" s="33">
        <f t="shared" si="21"/>
        <v>7.1855172413793102</v>
      </c>
      <c r="U191" s="33">
        <f t="shared" si="25"/>
        <v>72.255839756592266</v>
      </c>
      <c r="V191" s="33">
        <f>MAX(U184:U241)</f>
        <v>117.71506389452327</v>
      </c>
      <c r="W191">
        <v>194.8</v>
      </c>
      <c r="Y191">
        <f t="shared" si="22"/>
        <v>92975.700000000055</v>
      </c>
      <c r="Z191">
        <f t="shared" si="28"/>
        <v>1941.2</v>
      </c>
      <c r="AA191">
        <v>9.3803766674915074</v>
      </c>
    </row>
    <row r="192" spans="1:28" x14ac:dyDescent="0.25">
      <c r="A192">
        <v>5160</v>
      </c>
      <c r="B192">
        <v>23050</v>
      </c>
      <c r="C192" s="1">
        <v>42770</v>
      </c>
      <c r="F192" s="55"/>
      <c r="G192">
        <v>6.5</v>
      </c>
      <c r="H192">
        <v>5.4</v>
      </c>
      <c r="I192">
        <v>7.2</v>
      </c>
      <c r="J192">
        <f t="shared" si="23"/>
        <v>1337.6999999999998</v>
      </c>
      <c r="K192">
        <f t="shared" si="27"/>
        <v>69.599999999999994</v>
      </c>
      <c r="L192" s="14" t="s">
        <v>42</v>
      </c>
      <c r="M192">
        <v>5.5</v>
      </c>
      <c r="N192">
        <v>0.7</v>
      </c>
      <c r="O192">
        <f t="shared" si="19"/>
        <v>4.8</v>
      </c>
      <c r="P192">
        <f t="shared" si="24"/>
        <v>71.099999999999994</v>
      </c>
      <c r="Q192">
        <v>159</v>
      </c>
      <c r="R192">
        <f t="shared" si="26"/>
        <v>1.0232758620689655</v>
      </c>
      <c r="S192" s="34">
        <f t="shared" si="20"/>
        <v>0.71629310344827579</v>
      </c>
      <c r="T192" s="33">
        <f t="shared" si="21"/>
        <v>4.783706896551724</v>
      </c>
      <c r="U192" s="33">
        <f t="shared" si="25"/>
        <v>77.039546653143987</v>
      </c>
      <c r="V192" s="27" t="s">
        <v>56</v>
      </c>
      <c r="W192">
        <v>244.7</v>
      </c>
      <c r="Y192">
        <f t="shared" si="22"/>
        <v>93220.400000000052</v>
      </c>
      <c r="Z192">
        <f t="shared" si="28"/>
        <v>2185.9</v>
      </c>
      <c r="AA192">
        <v>9.4281865188449725</v>
      </c>
    </row>
    <row r="193" spans="1:27" x14ac:dyDescent="0.25">
      <c r="A193">
        <v>5160</v>
      </c>
      <c r="B193">
        <v>23050</v>
      </c>
      <c r="C193" s="1">
        <v>42771</v>
      </c>
      <c r="F193" s="55"/>
      <c r="G193">
        <v>7.6</v>
      </c>
      <c r="H193">
        <v>5.7</v>
      </c>
      <c r="I193">
        <v>10.3</v>
      </c>
      <c r="J193">
        <f t="shared" si="23"/>
        <v>1345.2999999999997</v>
      </c>
      <c r="K193">
        <f t="shared" si="27"/>
        <v>77.199999999999989</v>
      </c>
      <c r="L193" s="11">
        <v>0</v>
      </c>
      <c r="M193">
        <v>0.9</v>
      </c>
      <c r="N193">
        <v>1</v>
      </c>
      <c r="O193">
        <f t="shared" si="19"/>
        <v>-9.9999999999999978E-2</v>
      </c>
      <c r="P193">
        <f t="shared" si="24"/>
        <v>71</v>
      </c>
      <c r="Q193" s="32">
        <v>160</v>
      </c>
      <c r="R193">
        <f t="shared" si="26"/>
        <v>1.0258620689655171</v>
      </c>
      <c r="S193" s="34">
        <f t="shared" si="20"/>
        <v>1.0258620689655171</v>
      </c>
      <c r="T193" s="33">
        <f t="shared" si="21"/>
        <v>-0.1258620689655171</v>
      </c>
      <c r="U193" s="33">
        <f t="shared" si="25"/>
        <v>76.913684584178469</v>
      </c>
      <c r="V193" s="16">
        <f>AVERAGE(U184:U241)</f>
        <v>87.86328030356016</v>
      </c>
      <c r="W193">
        <v>308.8</v>
      </c>
      <c r="Y193">
        <f t="shared" si="22"/>
        <v>93529.200000000055</v>
      </c>
      <c r="Z193">
        <f t="shared" si="28"/>
        <v>2494.7000000000003</v>
      </c>
      <c r="AA193">
        <v>9.4765865106230063</v>
      </c>
    </row>
    <row r="194" spans="1:27" x14ac:dyDescent="0.25">
      <c r="A194">
        <v>5160</v>
      </c>
      <c r="B194">
        <v>23050</v>
      </c>
      <c r="C194" s="1">
        <v>42772</v>
      </c>
      <c r="F194" s="55"/>
      <c r="G194">
        <v>5.7</v>
      </c>
      <c r="H194">
        <v>3.5</v>
      </c>
      <c r="I194">
        <v>7.6</v>
      </c>
      <c r="J194">
        <f t="shared" si="23"/>
        <v>1350.9999999999998</v>
      </c>
      <c r="K194">
        <f t="shared" si="27"/>
        <v>82.899999999999991</v>
      </c>
      <c r="L194" s="14" t="s">
        <v>43</v>
      </c>
      <c r="M194">
        <v>4.2</v>
      </c>
      <c r="N194">
        <v>0.7</v>
      </c>
      <c r="O194">
        <f t="shared" si="19"/>
        <v>3.5</v>
      </c>
      <c r="P194">
        <f t="shared" si="24"/>
        <v>74.5</v>
      </c>
      <c r="Q194">
        <v>161</v>
      </c>
      <c r="R194">
        <f t="shared" si="26"/>
        <v>1.028448275862069</v>
      </c>
      <c r="S194" s="34">
        <f t="shared" si="20"/>
        <v>0.71991379310344827</v>
      </c>
      <c r="T194" s="33">
        <f t="shared" si="21"/>
        <v>3.4800862068965519</v>
      </c>
      <c r="U194" s="33">
        <f t="shared" si="25"/>
        <v>80.393770791075028</v>
      </c>
      <c r="W194">
        <v>779.3</v>
      </c>
      <c r="Y194">
        <f t="shared" si="22"/>
        <v>94308.500000000058</v>
      </c>
      <c r="Z194">
        <f t="shared" si="28"/>
        <v>3274</v>
      </c>
      <c r="AA194">
        <v>9.5255560957916199</v>
      </c>
    </row>
    <row r="195" spans="1:27" x14ac:dyDescent="0.25">
      <c r="A195">
        <v>5160</v>
      </c>
      <c r="B195">
        <v>23050</v>
      </c>
      <c r="C195" s="1">
        <v>42773</v>
      </c>
      <c r="F195" s="55"/>
      <c r="G195">
        <v>6.5</v>
      </c>
      <c r="H195">
        <v>4.9000000000000004</v>
      </c>
      <c r="I195">
        <v>10.1</v>
      </c>
      <c r="J195">
        <f t="shared" si="23"/>
        <v>1357.4999999999998</v>
      </c>
      <c r="K195">
        <f t="shared" si="27"/>
        <v>89.399999999999991</v>
      </c>
      <c r="L195" s="11">
        <v>19</v>
      </c>
      <c r="M195">
        <v>0.1</v>
      </c>
      <c r="N195">
        <v>0.8</v>
      </c>
      <c r="O195">
        <f t="shared" si="19"/>
        <v>-0.70000000000000007</v>
      </c>
      <c r="P195">
        <f t="shared" si="24"/>
        <v>73.8</v>
      </c>
      <c r="Q195" s="32">
        <v>162</v>
      </c>
      <c r="R195">
        <f t="shared" si="26"/>
        <v>1.0310344827586206</v>
      </c>
      <c r="S195" s="34">
        <f t="shared" si="20"/>
        <v>0.82482758620689656</v>
      </c>
      <c r="T195" s="33">
        <f t="shared" si="21"/>
        <v>-0.72482758620689658</v>
      </c>
      <c r="U195" s="33">
        <f t="shared" si="25"/>
        <v>79.668943204868128</v>
      </c>
      <c r="V195" s="21">
        <f>(V193*100)/146.7</f>
        <v>59.893169941077147</v>
      </c>
      <c r="W195">
        <v>522.29999999999995</v>
      </c>
      <c r="Y195">
        <f t="shared" si="22"/>
        <v>94830.800000000061</v>
      </c>
      <c r="Z195">
        <f t="shared" si="28"/>
        <v>3796.3</v>
      </c>
      <c r="AA195">
        <v>9.5750750909691824</v>
      </c>
    </row>
    <row r="196" spans="1:27" x14ac:dyDescent="0.25">
      <c r="A196">
        <v>5160</v>
      </c>
      <c r="B196">
        <v>23050</v>
      </c>
      <c r="C196" s="1">
        <v>42774</v>
      </c>
      <c r="F196" s="55"/>
      <c r="G196">
        <v>4.7</v>
      </c>
      <c r="H196">
        <v>2.6</v>
      </c>
      <c r="I196">
        <v>7</v>
      </c>
      <c r="J196">
        <f t="shared" si="23"/>
        <v>1362.1999999999998</v>
      </c>
      <c r="K196">
        <f t="shared" si="27"/>
        <v>94.1</v>
      </c>
      <c r="L196" s="14" t="s">
        <v>44</v>
      </c>
      <c r="M196">
        <v>0</v>
      </c>
      <c r="N196">
        <v>0.5</v>
      </c>
      <c r="O196">
        <f t="shared" si="19"/>
        <v>-0.5</v>
      </c>
      <c r="P196">
        <f t="shared" si="24"/>
        <v>73.3</v>
      </c>
      <c r="Q196">
        <v>163</v>
      </c>
      <c r="R196">
        <f t="shared" si="26"/>
        <v>1.0336206896551725</v>
      </c>
      <c r="S196" s="34">
        <f t="shared" si="20"/>
        <v>0.51681034482758625</v>
      </c>
      <c r="T196" s="33">
        <f t="shared" si="21"/>
        <v>-0.51681034482758625</v>
      </c>
      <c r="U196" s="33">
        <f t="shared" si="25"/>
        <v>79.152132860040538</v>
      </c>
      <c r="W196">
        <v>194.3</v>
      </c>
      <c r="Y196">
        <f t="shared" si="22"/>
        <v>95025.100000000064</v>
      </c>
      <c r="Z196">
        <f t="shared" si="28"/>
        <v>3990.6000000000004</v>
      </c>
      <c r="AA196">
        <v>9.6251236874130441</v>
      </c>
    </row>
    <row r="197" spans="1:27" x14ac:dyDescent="0.25">
      <c r="A197">
        <v>5160</v>
      </c>
      <c r="B197">
        <v>23050</v>
      </c>
      <c r="C197" s="1">
        <v>42775</v>
      </c>
      <c r="F197" s="55"/>
      <c r="G197">
        <v>2.2000000000000002</v>
      </c>
      <c r="H197">
        <v>1.2</v>
      </c>
      <c r="I197">
        <v>4.0999999999999996</v>
      </c>
      <c r="J197">
        <f t="shared" si="23"/>
        <v>1364.3999999999999</v>
      </c>
      <c r="K197">
        <f t="shared" si="27"/>
        <v>96.3</v>
      </c>
      <c r="L197" s="11">
        <v>6</v>
      </c>
      <c r="M197">
        <v>0</v>
      </c>
      <c r="N197">
        <v>0.4</v>
      </c>
      <c r="O197">
        <f t="shared" si="19"/>
        <v>-0.4</v>
      </c>
      <c r="P197">
        <f t="shared" si="24"/>
        <v>72.899999999999991</v>
      </c>
      <c r="Q197" s="32">
        <v>164</v>
      </c>
      <c r="R197">
        <f t="shared" si="26"/>
        <v>1.0362068965517242</v>
      </c>
      <c r="S197" s="34">
        <f t="shared" si="20"/>
        <v>0.41448275862068967</v>
      </c>
      <c r="T197" s="33">
        <f t="shared" si="21"/>
        <v>-0.41448275862068967</v>
      </c>
      <c r="U197" s="33">
        <f t="shared" si="25"/>
        <v>78.737650101419845</v>
      </c>
      <c r="W197">
        <v>316.10000000000002</v>
      </c>
      <c r="Y197">
        <f t="shared" si="22"/>
        <v>95341.20000000007</v>
      </c>
      <c r="Z197">
        <f t="shared" si="28"/>
        <v>4306.7000000000007</v>
      </c>
      <c r="AA197">
        <v>9.6756824603345581</v>
      </c>
    </row>
    <row r="198" spans="1:27" x14ac:dyDescent="0.25">
      <c r="A198">
        <v>5160</v>
      </c>
      <c r="B198">
        <v>23050</v>
      </c>
      <c r="C198" s="1">
        <v>42776</v>
      </c>
      <c r="F198" s="55"/>
      <c r="G198">
        <v>-0.3</v>
      </c>
      <c r="H198">
        <v>-2</v>
      </c>
      <c r="I198">
        <v>1.1000000000000001</v>
      </c>
      <c r="J198">
        <v>1364.4</v>
      </c>
      <c r="K198">
        <v>96.3</v>
      </c>
      <c r="M198">
        <v>0</v>
      </c>
      <c r="N198">
        <v>0.4</v>
      </c>
      <c r="O198">
        <f t="shared" si="19"/>
        <v>-0.4</v>
      </c>
      <c r="P198">
        <f t="shared" si="24"/>
        <v>72.499999999999986</v>
      </c>
      <c r="Q198">
        <v>165</v>
      </c>
      <c r="R198">
        <f t="shared" si="26"/>
        <v>1.0387931034482758</v>
      </c>
      <c r="S198" s="34">
        <f t="shared" si="20"/>
        <v>0.41551724137931034</v>
      </c>
      <c r="T198" s="33">
        <f t="shared" si="21"/>
        <v>-0.41551724137931034</v>
      </c>
      <c r="U198" s="33">
        <f t="shared" si="25"/>
        <v>78.32213286004054</v>
      </c>
      <c r="W198">
        <v>407.4</v>
      </c>
      <c r="Y198">
        <f t="shared" si="22"/>
        <v>95748.600000000064</v>
      </c>
      <c r="Z198">
        <f t="shared" si="28"/>
        <v>4714.1000000000004</v>
      </c>
      <c r="AA198">
        <v>9.7267323766062148</v>
      </c>
    </row>
    <row r="199" spans="1:27" x14ac:dyDescent="0.25">
      <c r="A199">
        <v>5160</v>
      </c>
      <c r="B199">
        <v>23050</v>
      </c>
      <c r="C199" s="1">
        <v>42777</v>
      </c>
      <c r="F199" s="55"/>
      <c r="G199">
        <v>-0.8</v>
      </c>
      <c r="H199">
        <v>-4.0999999999999996</v>
      </c>
      <c r="I199">
        <v>1.1000000000000001</v>
      </c>
      <c r="J199">
        <v>1364.4</v>
      </c>
      <c r="K199">
        <v>96.3</v>
      </c>
      <c r="M199">
        <v>0</v>
      </c>
      <c r="N199">
        <v>0.5</v>
      </c>
      <c r="O199">
        <f t="shared" si="19"/>
        <v>-0.5</v>
      </c>
      <c r="P199">
        <f t="shared" si="24"/>
        <v>71.999999999999986</v>
      </c>
      <c r="Q199" s="32">
        <v>166</v>
      </c>
      <c r="R199">
        <f t="shared" si="26"/>
        <v>1.0413793103448277</v>
      </c>
      <c r="S199" s="34">
        <f t="shared" si="20"/>
        <v>0.52068965517241383</v>
      </c>
      <c r="T199" s="33">
        <f t="shared" si="21"/>
        <v>-0.52068965517241383</v>
      </c>
      <c r="U199" s="33">
        <f t="shared" si="25"/>
        <v>77.801443204868121</v>
      </c>
      <c r="W199">
        <v>656.9</v>
      </c>
      <c r="Y199">
        <f t="shared" si="22"/>
        <v>96405.500000000058</v>
      </c>
      <c r="Z199">
        <f t="shared" si="28"/>
        <v>5371</v>
      </c>
      <c r="AA199">
        <v>9.7782548009264207</v>
      </c>
    </row>
    <row r="200" spans="1:27" x14ac:dyDescent="0.25">
      <c r="A200">
        <v>5160</v>
      </c>
      <c r="B200">
        <v>23050</v>
      </c>
      <c r="C200" s="1">
        <v>42778</v>
      </c>
      <c r="F200" s="55"/>
      <c r="G200">
        <v>2.9</v>
      </c>
      <c r="H200">
        <v>-0.4</v>
      </c>
      <c r="I200">
        <v>7.6</v>
      </c>
      <c r="J200">
        <f t="shared" si="23"/>
        <v>1367.3000000000002</v>
      </c>
      <c r="K200">
        <f t="shared" si="27"/>
        <v>99.2</v>
      </c>
      <c r="M200">
        <v>0.1</v>
      </c>
      <c r="N200">
        <v>0.8</v>
      </c>
      <c r="O200">
        <f t="shared" si="19"/>
        <v>-0.70000000000000007</v>
      </c>
      <c r="P200">
        <f t="shared" si="24"/>
        <v>71.299999999999983</v>
      </c>
      <c r="Q200">
        <v>167</v>
      </c>
      <c r="R200">
        <f t="shared" si="26"/>
        <v>1.0439655172413793</v>
      </c>
      <c r="S200" s="34">
        <f t="shared" si="20"/>
        <v>0.83517241379310347</v>
      </c>
      <c r="T200" s="33">
        <f t="shared" si="21"/>
        <v>-0.7351724137931035</v>
      </c>
      <c r="U200" s="33">
        <f t="shared" si="25"/>
        <v>77.066270791075013</v>
      </c>
      <c r="W200">
        <v>278.39999999999998</v>
      </c>
      <c r="Y200">
        <f t="shared" si="22"/>
        <v>96683.900000000052</v>
      </c>
      <c r="Z200">
        <f t="shared" si="28"/>
        <v>5649.4</v>
      </c>
      <c r="AA200">
        <v>9.8302315005086882</v>
      </c>
    </row>
    <row r="201" spans="1:27" x14ac:dyDescent="0.25">
      <c r="A201">
        <v>5160</v>
      </c>
      <c r="B201">
        <v>23050</v>
      </c>
      <c r="C201" s="1">
        <v>42779</v>
      </c>
      <c r="F201" s="55"/>
      <c r="G201">
        <v>8.6999999999999993</v>
      </c>
      <c r="H201">
        <v>5.6</v>
      </c>
      <c r="I201">
        <v>11.8</v>
      </c>
      <c r="J201">
        <f t="shared" si="23"/>
        <v>1376.0000000000002</v>
      </c>
      <c r="K201">
        <f t="shared" si="27"/>
        <v>107.9</v>
      </c>
      <c r="M201">
        <v>1.2</v>
      </c>
      <c r="N201">
        <v>1.4</v>
      </c>
      <c r="O201">
        <f t="shared" si="19"/>
        <v>-0.19999999999999996</v>
      </c>
      <c r="P201">
        <f t="shared" si="24"/>
        <v>71.09999999999998</v>
      </c>
      <c r="Q201" s="32">
        <v>168</v>
      </c>
      <c r="R201">
        <f t="shared" si="26"/>
        <v>1.046551724137931</v>
      </c>
      <c r="S201" s="34">
        <f t="shared" si="20"/>
        <v>1.4651724137931033</v>
      </c>
      <c r="T201" s="33">
        <f t="shared" si="21"/>
        <v>-0.2651724137931033</v>
      </c>
      <c r="U201" s="33">
        <f t="shared" si="25"/>
        <v>76.801098377281903</v>
      </c>
      <c r="W201">
        <v>742.7</v>
      </c>
      <c r="Y201">
        <f t="shared" si="22"/>
        <v>97426.600000000049</v>
      </c>
      <c r="Z201">
        <f t="shared" si="28"/>
        <v>6392.0999999999995</v>
      </c>
      <c r="AA201">
        <v>9.8826446483626551</v>
      </c>
    </row>
    <row r="202" spans="1:27" x14ac:dyDescent="0.25">
      <c r="A202">
        <v>5160</v>
      </c>
      <c r="B202">
        <v>23050</v>
      </c>
      <c r="C202" s="1">
        <v>42780</v>
      </c>
      <c r="F202" s="55"/>
      <c r="G202">
        <v>10.5</v>
      </c>
      <c r="H202">
        <v>7.3</v>
      </c>
      <c r="I202">
        <v>12.1</v>
      </c>
      <c r="J202">
        <f t="shared" si="23"/>
        <v>1386.5000000000002</v>
      </c>
      <c r="K202">
        <f t="shared" si="27"/>
        <v>118.4</v>
      </c>
      <c r="M202">
        <v>0.2</v>
      </c>
      <c r="N202">
        <v>0.9</v>
      </c>
      <c r="O202">
        <f t="shared" si="19"/>
        <v>-0.7</v>
      </c>
      <c r="P202">
        <f t="shared" si="24"/>
        <v>70.399999999999977</v>
      </c>
      <c r="Q202">
        <v>169</v>
      </c>
      <c r="R202">
        <f t="shared" si="26"/>
        <v>1.0491379310344828</v>
      </c>
      <c r="S202" s="34">
        <f t="shared" si="20"/>
        <v>0.94422413793103455</v>
      </c>
      <c r="T202" s="33">
        <f t="shared" si="21"/>
        <v>-0.74422413793103459</v>
      </c>
      <c r="U202" s="33">
        <f t="shared" si="25"/>
        <v>76.056874239350861</v>
      </c>
      <c r="W202">
        <v>287.60000000000002</v>
      </c>
      <c r="Y202">
        <f t="shared" si="22"/>
        <v>97714.200000000055</v>
      </c>
      <c r="Z202">
        <f t="shared" si="28"/>
        <v>6679.7</v>
      </c>
      <c r="AA202">
        <v>9.9354768252346357</v>
      </c>
    </row>
    <row r="203" spans="1:27" x14ac:dyDescent="0.25">
      <c r="A203">
        <v>5160</v>
      </c>
      <c r="B203">
        <v>23050</v>
      </c>
      <c r="C203" s="1">
        <v>42781</v>
      </c>
      <c r="F203" s="55"/>
      <c r="G203">
        <v>10.9</v>
      </c>
      <c r="H203">
        <v>8</v>
      </c>
      <c r="I203">
        <v>15.4</v>
      </c>
      <c r="J203">
        <f t="shared" si="23"/>
        <v>1397.4000000000003</v>
      </c>
      <c r="K203">
        <f t="shared" si="27"/>
        <v>129.30000000000001</v>
      </c>
      <c r="M203">
        <v>0</v>
      </c>
      <c r="N203">
        <v>1.5</v>
      </c>
      <c r="O203">
        <f t="shared" si="19"/>
        <v>-1.5</v>
      </c>
      <c r="P203">
        <f t="shared" si="24"/>
        <v>68.899999999999977</v>
      </c>
      <c r="Q203" s="32">
        <v>170</v>
      </c>
      <c r="R203">
        <f t="shared" si="26"/>
        <v>1.0517241379310345</v>
      </c>
      <c r="S203" s="34">
        <f t="shared" si="20"/>
        <v>1.5775862068965516</v>
      </c>
      <c r="T203" s="33">
        <f t="shared" si="21"/>
        <v>-1.5775862068965516</v>
      </c>
      <c r="U203" s="33">
        <f t="shared" si="25"/>
        <v>74.479288032454306</v>
      </c>
      <c r="W203">
        <v>834.4</v>
      </c>
      <c r="Y203">
        <f t="shared" si="22"/>
        <v>98548.600000000049</v>
      </c>
      <c r="Z203">
        <f t="shared" si="28"/>
        <v>7514.0999999999995</v>
      </c>
      <c r="AA203">
        <v>9.988711020275149</v>
      </c>
    </row>
    <row r="204" spans="1:27" x14ac:dyDescent="0.25">
      <c r="A204">
        <v>5160</v>
      </c>
      <c r="B204">
        <v>23050</v>
      </c>
      <c r="C204" s="1">
        <v>42782</v>
      </c>
      <c r="F204" s="55"/>
      <c r="G204">
        <v>8</v>
      </c>
      <c r="H204">
        <v>6.5</v>
      </c>
      <c r="I204">
        <v>10.3</v>
      </c>
      <c r="J204">
        <f t="shared" si="23"/>
        <v>1405.4000000000003</v>
      </c>
      <c r="K204">
        <f t="shared" si="27"/>
        <v>137.30000000000001</v>
      </c>
      <c r="M204">
        <v>1.9</v>
      </c>
      <c r="N204">
        <v>0.5</v>
      </c>
      <c r="O204">
        <f t="shared" si="19"/>
        <v>1.4</v>
      </c>
      <c r="P204">
        <f t="shared" si="24"/>
        <v>70.299999999999983</v>
      </c>
      <c r="Q204">
        <v>171</v>
      </c>
      <c r="R204">
        <f t="shared" si="26"/>
        <v>1.0543103448275861</v>
      </c>
      <c r="S204" s="34">
        <f t="shared" si="20"/>
        <v>0.52715517241379306</v>
      </c>
      <c r="T204" s="33">
        <f t="shared" si="21"/>
        <v>1.3728448275862069</v>
      </c>
      <c r="U204" s="33">
        <f t="shared" si="25"/>
        <v>75.852132860040513</v>
      </c>
      <c r="W204">
        <v>653.5</v>
      </c>
      <c r="Y204">
        <f t="shared" si="22"/>
        <v>99202.100000000049</v>
      </c>
      <c r="Z204">
        <f t="shared" si="28"/>
        <v>8167.5999999999995</v>
      </c>
      <c r="AA204">
        <v>10.042330630500315</v>
      </c>
    </row>
    <row r="205" spans="1:27" x14ac:dyDescent="0.25">
      <c r="A205">
        <v>5160</v>
      </c>
      <c r="B205">
        <v>23050</v>
      </c>
      <c r="C205" s="1">
        <v>42783</v>
      </c>
      <c r="F205" s="55"/>
      <c r="G205">
        <v>4</v>
      </c>
      <c r="H205">
        <v>1.1000000000000001</v>
      </c>
      <c r="I205">
        <v>6.2</v>
      </c>
      <c r="J205">
        <f t="shared" si="23"/>
        <v>1409.4000000000003</v>
      </c>
      <c r="K205">
        <f t="shared" si="27"/>
        <v>141.30000000000001</v>
      </c>
      <c r="M205">
        <v>0</v>
      </c>
      <c r="N205">
        <v>0.5</v>
      </c>
      <c r="O205">
        <f t="shared" si="19"/>
        <v>-0.5</v>
      </c>
      <c r="P205">
        <f t="shared" si="24"/>
        <v>69.799999999999983</v>
      </c>
      <c r="Q205" s="32">
        <v>172</v>
      </c>
      <c r="R205">
        <f t="shared" si="26"/>
        <v>1.056896551724138</v>
      </c>
      <c r="S205" s="34">
        <f t="shared" si="20"/>
        <v>0.52844827586206899</v>
      </c>
      <c r="T205" s="33">
        <f t="shared" si="21"/>
        <v>-0.52844827586206899</v>
      </c>
      <c r="U205" s="33">
        <f t="shared" si="25"/>
        <v>75.323684584178437</v>
      </c>
      <c r="W205">
        <v>409.6</v>
      </c>
      <c r="Y205">
        <f t="shared" si="22"/>
        <v>99611.700000000055</v>
      </c>
      <c r="Z205">
        <f t="shared" si="28"/>
        <v>8577.1999999999989</v>
      </c>
      <c r="AA205">
        <v>10.096319459113115</v>
      </c>
    </row>
    <row r="206" spans="1:27" x14ac:dyDescent="0.25">
      <c r="A206">
        <v>5160</v>
      </c>
      <c r="B206">
        <v>23050</v>
      </c>
      <c r="C206" s="1">
        <v>42784</v>
      </c>
      <c r="F206" s="55"/>
      <c r="G206">
        <v>5.4</v>
      </c>
      <c r="H206">
        <v>0.1</v>
      </c>
      <c r="I206">
        <v>10.199999999999999</v>
      </c>
      <c r="J206">
        <f t="shared" si="23"/>
        <v>1414.8000000000004</v>
      </c>
      <c r="K206">
        <f t="shared" si="27"/>
        <v>146.70000000000002</v>
      </c>
      <c r="M206">
        <v>0</v>
      </c>
      <c r="N206">
        <v>1.3</v>
      </c>
      <c r="O206">
        <f t="shared" si="19"/>
        <v>-1.3</v>
      </c>
      <c r="P206">
        <f t="shared" si="24"/>
        <v>68.499999999999986</v>
      </c>
      <c r="Q206">
        <v>173</v>
      </c>
      <c r="R206">
        <f t="shared" si="26"/>
        <v>1.0594827586206896</v>
      </c>
      <c r="S206" s="34">
        <f t="shared" si="20"/>
        <v>1.3773275862068965</v>
      </c>
      <c r="T206" s="33">
        <f t="shared" si="21"/>
        <v>-1.3773275862068965</v>
      </c>
      <c r="U206" s="33">
        <f t="shared" si="25"/>
        <v>73.946356997971534</v>
      </c>
      <c r="W206">
        <v>1223.0999999999999</v>
      </c>
      <c r="Y206">
        <f t="shared" si="22"/>
        <v>100834.80000000006</v>
      </c>
      <c r="Z206">
        <f t="shared" si="28"/>
        <v>9800.2999999999993</v>
      </c>
      <c r="AA206">
        <v>10.15066171274923</v>
      </c>
    </row>
    <row r="207" spans="1:27" x14ac:dyDescent="0.25">
      <c r="A207">
        <v>5160</v>
      </c>
      <c r="B207">
        <v>23050</v>
      </c>
      <c r="C207" s="1">
        <v>42785</v>
      </c>
      <c r="F207" s="55"/>
      <c r="G207">
        <v>4.7</v>
      </c>
      <c r="H207">
        <v>-2</v>
      </c>
      <c r="I207">
        <v>8.4</v>
      </c>
      <c r="J207">
        <f t="shared" si="23"/>
        <v>1419.5000000000005</v>
      </c>
      <c r="K207">
        <f t="shared" si="27"/>
        <v>151.4</v>
      </c>
      <c r="M207">
        <v>0.1</v>
      </c>
      <c r="N207">
        <v>0.7</v>
      </c>
      <c r="O207">
        <f t="shared" si="19"/>
        <v>-0.6</v>
      </c>
      <c r="P207">
        <f t="shared" si="24"/>
        <v>67.899999999999991</v>
      </c>
      <c r="Q207" s="32">
        <v>174</v>
      </c>
      <c r="R207">
        <f t="shared" si="26"/>
        <v>1.0620689655172413</v>
      </c>
      <c r="S207" s="34">
        <f t="shared" si="20"/>
        <v>0.74344827586206885</v>
      </c>
      <c r="T207" s="33">
        <f t="shared" si="21"/>
        <v>-0.64344827586206887</v>
      </c>
      <c r="U207" s="33">
        <f t="shared" si="25"/>
        <v>73.302908722109464</v>
      </c>
      <c r="W207">
        <v>949.3</v>
      </c>
      <c r="Y207">
        <f t="shared" si="22"/>
        <v>101784.10000000006</v>
      </c>
      <c r="Z207">
        <f t="shared" si="28"/>
        <v>10749.599999999999</v>
      </c>
      <c r="AA207">
        <v>10.205341997710802</v>
      </c>
    </row>
    <row r="208" spans="1:27" x14ac:dyDescent="0.25">
      <c r="A208">
        <v>5160</v>
      </c>
      <c r="B208">
        <v>23050</v>
      </c>
      <c r="C208" s="1">
        <v>42786</v>
      </c>
      <c r="F208" s="55"/>
      <c r="G208">
        <v>8.1999999999999993</v>
      </c>
      <c r="H208">
        <v>4.9000000000000004</v>
      </c>
      <c r="I208">
        <v>10.8</v>
      </c>
      <c r="J208">
        <f t="shared" si="23"/>
        <v>1427.7000000000005</v>
      </c>
      <c r="K208">
        <f t="shared" si="27"/>
        <v>159.6</v>
      </c>
      <c r="M208">
        <v>0.3</v>
      </c>
      <c r="N208">
        <v>0.2</v>
      </c>
      <c r="O208">
        <f t="shared" si="19"/>
        <v>9.9999999999999978E-2</v>
      </c>
      <c r="P208">
        <f t="shared" si="24"/>
        <v>67.999999999999986</v>
      </c>
      <c r="Q208">
        <v>175</v>
      </c>
      <c r="R208">
        <f t="shared" si="26"/>
        <v>1.0646551724137931</v>
      </c>
      <c r="S208" s="34">
        <f t="shared" si="20"/>
        <v>0.21293103448275863</v>
      </c>
      <c r="T208" s="33">
        <f t="shared" si="21"/>
        <v>8.7068965517241359E-2</v>
      </c>
      <c r="U208" s="33">
        <f t="shared" si="25"/>
        <v>73.389977687626711</v>
      </c>
      <c r="W208">
        <v>205.8</v>
      </c>
      <c r="Y208">
        <f t="shared" si="22"/>
        <v>101989.90000000007</v>
      </c>
      <c r="Z208">
        <f t="shared" si="28"/>
        <v>10955.399999999998</v>
      </c>
      <c r="AA208">
        <v>10.260345315249687</v>
      </c>
    </row>
    <row r="209" spans="1:29" x14ac:dyDescent="0.25">
      <c r="A209">
        <v>5160</v>
      </c>
      <c r="B209">
        <v>23050</v>
      </c>
      <c r="C209" s="1">
        <v>42787</v>
      </c>
      <c r="F209" s="55"/>
      <c r="G209">
        <v>10.7</v>
      </c>
      <c r="H209">
        <v>10.199999999999999</v>
      </c>
      <c r="I209">
        <v>11.6</v>
      </c>
      <c r="J209">
        <f t="shared" si="23"/>
        <v>1438.4000000000005</v>
      </c>
      <c r="K209">
        <f t="shared" si="27"/>
        <v>170.29999999999998</v>
      </c>
      <c r="M209">
        <v>0</v>
      </c>
      <c r="N209">
        <v>0.6</v>
      </c>
      <c r="O209">
        <f t="shared" si="19"/>
        <v>-0.6</v>
      </c>
      <c r="P209">
        <f t="shared" si="24"/>
        <v>67.399999999999991</v>
      </c>
      <c r="Q209" s="32">
        <v>176</v>
      </c>
      <c r="R209">
        <f t="shared" si="26"/>
        <v>1.0672413793103448</v>
      </c>
      <c r="S209" s="34">
        <f t="shared" si="20"/>
        <v>0.64034482758620681</v>
      </c>
      <c r="T209" s="33">
        <f t="shared" si="21"/>
        <v>-0.64034482758620681</v>
      </c>
      <c r="U209" s="33">
        <f t="shared" si="25"/>
        <v>72.749632860040506</v>
      </c>
      <c r="W209">
        <v>229.6</v>
      </c>
      <c r="Y209">
        <f t="shared" si="22"/>
        <v>102219.50000000007</v>
      </c>
      <c r="Z209">
        <f t="shared" si="28"/>
        <v>11184.999999999998</v>
      </c>
      <c r="AA209">
        <v>10.31565705596001</v>
      </c>
    </row>
    <row r="210" spans="1:29" x14ac:dyDescent="0.25">
      <c r="A210">
        <v>5160</v>
      </c>
      <c r="B210">
        <v>23050</v>
      </c>
      <c r="C210" s="1">
        <v>42788</v>
      </c>
      <c r="F210" s="55"/>
      <c r="G210">
        <v>9.5</v>
      </c>
      <c r="H210">
        <v>8.4</v>
      </c>
      <c r="I210">
        <v>10.4</v>
      </c>
      <c r="J210">
        <f t="shared" si="23"/>
        <v>1447.9000000000005</v>
      </c>
      <c r="K210">
        <f t="shared" si="27"/>
        <v>179.79999999999998</v>
      </c>
      <c r="M210">
        <v>0</v>
      </c>
      <c r="N210">
        <v>1.1000000000000001</v>
      </c>
      <c r="O210">
        <f t="shared" si="19"/>
        <v>-1.1000000000000001</v>
      </c>
      <c r="P210">
        <f t="shared" si="24"/>
        <v>66.3</v>
      </c>
      <c r="Q210">
        <v>177</v>
      </c>
      <c r="R210">
        <f t="shared" si="26"/>
        <v>1.0698275862068964</v>
      </c>
      <c r="S210" s="34">
        <f t="shared" si="20"/>
        <v>1.1768103448275862</v>
      </c>
      <c r="T210" s="33">
        <f t="shared" si="21"/>
        <v>-1.1768103448275862</v>
      </c>
      <c r="U210" s="33">
        <f t="shared" si="25"/>
        <v>71.57282251521292</v>
      </c>
      <c r="W210">
        <v>196.4</v>
      </c>
      <c r="Y210">
        <f t="shared" si="22"/>
        <v>102415.90000000007</v>
      </c>
      <c r="Z210">
        <f t="shared" si="28"/>
        <v>11381.399999999998</v>
      </c>
      <c r="AA210">
        <v>10.371262993337711</v>
      </c>
    </row>
    <row r="211" spans="1:29" x14ac:dyDescent="0.25">
      <c r="A211">
        <v>5160</v>
      </c>
      <c r="B211">
        <v>23050</v>
      </c>
      <c r="C211" s="1">
        <v>42789</v>
      </c>
      <c r="F211" s="55"/>
      <c r="G211">
        <v>8.5</v>
      </c>
      <c r="H211">
        <v>8.3000000000000007</v>
      </c>
      <c r="I211">
        <v>10.6</v>
      </c>
      <c r="J211">
        <f t="shared" si="23"/>
        <v>1456.4000000000005</v>
      </c>
      <c r="K211">
        <f t="shared" si="27"/>
        <v>188.29999999999998</v>
      </c>
      <c r="M211">
        <v>1.1000000000000001</v>
      </c>
      <c r="N211">
        <v>1.5</v>
      </c>
      <c r="O211">
        <f t="shared" si="19"/>
        <v>-0.39999999999999991</v>
      </c>
      <c r="P211">
        <f t="shared" si="24"/>
        <v>65.899999999999991</v>
      </c>
      <c r="Q211" s="32">
        <v>178</v>
      </c>
      <c r="R211">
        <f t="shared" si="26"/>
        <v>1.0724137931034483</v>
      </c>
      <c r="S211" s="34">
        <f t="shared" si="20"/>
        <v>1.6086206896551725</v>
      </c>
      <c r="T211" s="33">
        <f t="shared" si="21"/>
        <v>-0.50862068965517238</v>
      </c>
      <c r="U211" s="33">
        <f t="shared" si="25"/>
        <v>71.064201825557745</v>
      </c>
      <c r="W211">
        <v>351.2</v>
      </c>
      <c r="Y211">
        <f t="shared" si="22"/>
        <v>102767.10000000006</v>
      </c>
      <c r="Z211">
        <f t="shared" si="28"/>
        <v>11732.599999999999</v>
      </c>
      <c r="AA211">
        <v>10.427149276562766</v>
      </c>
    </row>
    <row r="212" spans="1:29" x14ac:dyDescent="0.25">
      <c r="A212">
        <v>5160</v>
      </c>
      <c r="B212">
        <v>23050</v>
      </c>
      <c r="C212" s="1">
        <v>42790</v>
      </c>
      <c r="F212" s="55"/>
      <c r="G212">
        <v>4.4000000000000004</v>
      </c>
      <c r="H212">
        <v>1.9</v>
      </c>
      <c r="I212">
        <v>8.4</v>
      </c>
      <c r="J212">
        <f t="shared" si="23"/>
        <v>1460.8000000000006</v>
      </c>
      <c r="K212">
        <f t="shared" si="27"/>
        <v>192.7</v>
      </c>
      <c r="M212">
        <v>0</v>
      </c>
      <c r="N212">
        <v>1</v>
      </c>
      <c r="O212">
        <f t="shared" si="19"/>
        <v>-1</v>
      </c>
      <c r="P212">
        <f t="shared" si="24"/>
        <v>64.899999999999991</v>
      </c>
      <c r="Q212">
        <v>179</v>
      </c>
      <c r="R212">
        <f t="shared" si="26"/>
        <v>1.075</v>
      </c>
      <c r="S212" s="34">
        <f t="shared" si="20"/>
        <v>1.075</v>
      </c>
      <c r="T212" s="33">
        <f t="shared" si="21"/>
        <v>-1.075</v>
      </c>
      <c r="U212" s="33">
        <f t="shared" si="25"/>
        <v>69.989201825557743</v>
      </c>
      <c r="W212">
        <v>705</v>
      </c>
      <c r="Y212">
        <f t="shared" si="22"/>
        <v>103472.10000000006</v>
      </c>
      <c r="Z212">
        <f t="shared" si="28"/>
        <v>12437.599999999999</v>
      </c>
      <c r="AA212">
        <v>10.483302422557461</v>
      </c>
    </row>
    <row r="213" spans="1:29" x14ac:dyDescent="0.25">
      <c r="A213">
        <v>5160</v>
      </c>
      <c r="B213">
        <v>23050</v>
      </c>
      <c r="C213" s="1">
        <v>42791</v>
      </c>
      <c r="F213" s="55"/>
      <c r="G213">
        <v>4.3</v>
      </c>
      <c r="H213">
        <v>-1.8</v>
      </c>
      <c r="I213">
        <v>10.199999999999999</v>
      </c>
      <c r="J213">
        <f t="shared" si="23"/>
        <v>1465.1000000000006</v>
      </c>
      <c r="K213">
        <f t="shared" si="27"/>
        <v>197</v>
      </c>
      <c r="M213">
        <v>0</v>
      </c>
      <c r="N213">
        <v>1.5</v>
      </c>
      <c r="O213">
        <f t="shared" si="19"/>
        <v>-1.5</v>
      </c>
      <c r="P213">
        <f t="shared" si="24"/>
        <v>63.399999999999991</v>
      </c>
      <c r="Q213" s="32">
        <v>180</v>
      </c>
      <c r="R213">
        <f t="shared" si="26"/>
        <v>1.0775862068965516</v>
      </c>
      <c r="S213" s="34">
        <f t="shared" si="20"/>
        <v>1.6163793103448274</v>
      </c>
      <c r="T213" s="33">
        <f t="shared" si="21"/>
        <v>-1.6163793103448274</v>
      </c>
      <c r="U213" s="33">
        <f t="shared" si="25"/>
        <v>68.372822515212917</v>
      </c>
      <c r="W213">
        <v>1300.2</v>
      </c>
      <c r="Y213">
        <f t="shared" si="22"/>
        <v>104772.30000000006</v>
      </c>
      <c r="Z213">
        <f t="shared" si="28"/>
        <v>13737.8</v>
      </c>
      <c r="AA213">
        <v>10.53970930737186</v>
      </c>
    </row>
    <row r="214" spans="1:29" x14ac:dyDescent="0.25">
      <c r="A214">
        <v>5160</v>
      </c>
      <c r="B214">
        <v>23050</v>
      </c>
      <c r="C214" s="1">
        <v>42792</v>
      </c>
      <c r="F214" s="55"/>
      <c r="G214">
        <v>8</v>
      </c>
      <c r="H214">
        <v>2.2000000000000002</v>
      </c>
      <c r="I214">
        <v>10.9</v>
      </c>
      <c r="J214">
        <f t="shared" si="23"/>
        <v>1473.1000000000006</v>
      </c>
      <c r="K214">
        <f t="shared" si="27"/>
        <v>205</v>
      </c>
      <c r="M214" s="65">
        <v>0</v>
      </c>
      <c r="N214">
        <v>0.3</v>
      </c>
      <c r="O214">
        <f t="shared" si="19"/>
        <v>-0.3</v>
      </c>
      <c r="P214">
        <f t="shared" si="24"/>
        <v>63.099999999999994</v>
      </c>
      <c r="Q214">
        <v>181</v>
      </c>
      <c r="R214">
        <f t="shared" si="26"/>
        <v>1.0801724137931035</v>
      </c>
      <c r="S214" s="34">
        <f t="shared" si="20"/>
        <v>0.32405172413793104</v>
      </c>
      <c r="T214" s="33">
        <f t="shared" si="21"/>
        <v>-0.32405172413793104</v>
      </c>
      <c r="U214" s="33">
        <f t="shared" si="25"/>
        <v>68.048770791074986</v>
      </c>
      <c r="W214">
        <v>172</v>
      </c>
      <c r="Y214">
        <f t="shared" si="22"/>
        <v>104944.30000000006</v>
      </c>
      <c r="Z214">
        <f t="shared" si="28"/>
        <v>13909.8</v>
      </c>
      <c r="AA214">
        <v>10.596357156945265</v>
      </c>
      <c r="AC214" s="2" t="s">
        <v>63</v>
      </c>
    </row>
    <row r="215" spans="1:29" x14ac:dyDescent="0.25">
      <c r="A215">
        <v>5160</v>
      </c>
      <c r="B215">
        <v>23050</v>
      </c>
      <c r="C215" s="1">
        <v>42793</v>
      </c>
      <c r="F215" s="55"/>
      <c r="G215">
        <v>8.6</v>
      </c>
      <c r="H215">
        <v>6.6</v>
      </c>
      <c r="I215">
        <v>10.9</v>
      </c>
      <c r="J215">
        <f t="shared" si="23"/>
        <v>1481.7000000000005</v>
      </c>
      <c r="K215">
        <f t="shared" si="27"/>
        <v>213.6</v>
      </c>
      <c r="M215" s="65">
        <v>10.1</v>
      </c>
      <c r="N215">
        <v>1.1000000000000001</v>
      </c>
      <c r="O215">
        <f t="shared" si="19"/>
        <v>9</v>
      </c>
      <c r="P215">
        <f t="shared" si="24"/>
        <v>72.099999999999994</v>
      </c>
      <c r="Q215" s="32">
        <v>182</v>
      </c>
      <c r="R215">
        <f t="shared" si="26"/>
        <v>1.0827586206896551</v>
      </c>
      <c r="S215" s="34">
        <f t="shared" si="20"/>
        <v>1.1910344827586208</v>
      </c>
      <c r="T215" s="33">
        <f t="shared" si="21"/>
        <v>8.9089655172413789</v>
      </c>
      <c r="U215" s="33">
        <f t="shared" si="25"/>
        <v>76.95773630831637</v>
      </c>
      <c r="W215">
        <v>236.8</v>
      </c>
      <c r="Y215">
        <f t="shared" si="22"/>
        <v>105181.10000000006</v>
      </c>
      <c r="Z215">
        <f t="shared" si="28"/>
        <v>14146.599999999999</v>
      </c>
      <c r="AA215">
        <v>10.653233537290166</v>
      </c>
      <c r="AC215" s="33">
        <f>AVERAGE(U221:U234)</f>
        <v>111.31995921472033</v>
      </c>
    </row>
    <row r="216" spans="1:29" x14ac:dyDescent="0.25">
      <c r="A216">
        <v>5160</v>
      </c>
      <c r="B216">
        <v>23050</v>
      </c>
      <c r="C216" s="1">
        <v>42794</v>
      </c>
      <c r="F216" s="55"/>
      <c r="G216">
        <v>5.8</v>
      </c>
      <c r="H216">
        <v>4.5999999999999996</v>
      </c>
      <c r="I216">
        <v>6.9</v>
      </c>
      <c r="J216">
        <f t="shared" si="23"/>
        <v>1487.5000000000005</v>
      </c>
      <c r="K216">
        <f t="shared" si="27"/>
        <v>219.4</v>
      </c>
      <c r="M216" s="65">
        <v>3.8</v>
      </c>
      <c r="N216">
        <v>1</v>
      </c>
      <c r="O216">
        <f t="shared" si="19"/>
        <v>2.8</v>
      </c>
      <c r="P216">
        <f t="shared" si="24"/>
        <v>74.899999999999991</v>
      </c>
      <c r="Q216">
        <v>183</v>
      </c>
      <c r="R216">
        <f t="shared" si="26"/>
        <v>1.0853448275862068</v>
      </c>
      <c r="S216" s="34">
        <f t="shared" si="20"/>
        <v>1.0853448275862068</v>
      </c>
      <c r="T216" s="33">
        <f t="shared" si="21"/>
        <v>2.7146551724137931</v>
      </c>
      <c r="U216" s="33">
        <f t="shared" si="25"/>
        <v>79.67239148073017</v>
      </c>
      <c r="W216">
        <v>273.5</v>
      </c>
      <c r="Y216">
        <f t="shared" si="22"/>
        <v>105454.60000000006</v>
      </c>
      <c r="Z216">
        <f t="shared" si="28"/>
        <v>14420.099999999999</v>
      </c>
      <c r="AA216">
        <v>10.710326344142754</v>
      </c>
      <c r="AC216" s="2" t="s">
        <v>64</v>
      </c>
    </row>
    <row r="217" spans="1:29" x14ac:dyDescent="0.25">
      <c r="A217">
        <v>5160</v>
      </c>
      <c r="B217">
        <v>23050</v>
      </c>
      <c r="C217" s="1">
        <v>42795</v>
      </c>
      <c r="F217" s="55"/>
      <c r="G217">
        <v>8.4</v>
      </c>
      <c r="H217">
        <v>5.9</v>
      </c>
      <c r="I217">
        <v>10.9</v>
      </c>
      <c r="J217">
        <f t="shared" si="23"/>
        <v>1495.9000000000005</v>
      </c>
      <c r="K217">
        <f t="shared" si="27"/>
        <v>227.8</v>
      </c>
      <c r="M217" s="65">
        <v>8.1999999999999993</v>
      </c>
      <c r="N217">
        <v>0.7</v>
      </c>
      <c r="O217">
        <f t="shared" si="19"/>
        <v>7.4999999999999991</v>
      </c>
      <c r="P217">
        <f t="shared" si="24"/>
        <v>82.399999999999991</v>
      </c>
      <c r="Q217" s="32">
        <v>184</v>
      </c>
      <c r="R217">
        <f t="shared" si="26"/>
        <v>1.0879310344827586</v>
      </c>
      <c r="S217" s="34">
        <f t="shared" si="20"/>
        <v>0.76155172413793104</v>
      </c>
      <c r="T217" s="33">
        <f t="shared" si="21"/>
        <v>7.4384482758620685</v>
      </c>
      <c r="U217" s="33">
        <f t="shared" si="25"/>
        <v>87.110839756592242</v>
      </c>
      <c r="W217">
        <v>296.60000000000002</v>
      </c>
      <c r="Y217">
        <f t="shared" si="22"/>
        <v>105751.20000000007</v>
      </c>
      <c r="Z217">
        <f t="shared" si="28"/>
        <v>14716.699999999999</v>
      </c>
      <c r="AA217">
        <v>10.767623792121803</v>
      </c>
      <c r="AC217">
        <v>1</v>
      </c>
    </row>
    <row r="218" spans="1:29" x14ac:dyDescent="0.25">
      <c r="A218">
        <v>5160</v>
      </c>
      <c r="B218">
        <v>23050</v>
      </c>
      <c r="C218" s="1">
        <v>42796</v>
      </c>
      <c r="F218" s="55"/>
      <c r="G218">
        <v>6.9</v>
      </c>
      <c r="H218">
        <v>3.4</v>
      </c>
      <c r="I218">
        <v>10.3</v>
      </c>
      <c r="J218">
        <f t="shared" si="23"/>
        <v>1502.8000000000006</v>
      </c>
      <c r="K218">
        <f t="shared" si="27"/>
        <v>234.70000000000002</v>
      </c>
      <c r="M218" s="65">
        <v>0</v>
      </c>
      <c r="N218">
        <v>1.1000000000000001</v>
      </c>
      <c r="O218">
        <f t="shared" si="19"/>
        <v>-1.1000000000000001</v>
      </c>
      <c r="P218">
        <f t="shared" si="24"/>
        <v>81.3</v>
      </c>
      <c r="Q218">
        <v>185</v>
      </c>
      <c r="R218">
        <f t="shared" si="26"/>
        <v>1.0905172413793103</v>
      </c>
      <c r="S218" s="34">
        <f t="shared" si="20"/>
        <v>1.1995689655172415</v>
      </c>
      <c r="T218" s="33">
        <f t="shared" si="21"/>
        <v>-1.1995689655172415</v>
      </c>
      <c r="U218" s="33">
        <f t="shared" si="25"/>
        <v>85.911270791074998</v>
      </c>
      <c r="W218">
        <v>824</v>
      </c>
      <c r="Y218">
        <f t="shared" si="22"/>
        <v>106575.20000000007</v>
      </c>
      <c r="Z218">
        <f t="shared" si="28"/>
        <v>15540.699999999999</v>
      </c>
      <c r="AA218">
        <v>10.825114403435423</v>
      </c>
      <c r="AC218" s="2" t="s">
        <v>65</v>
      </c>
    </row>
    <row r="219" spans="1:29" x14ac:dyDescent="0.25">
      <c r="A219">
        <v>5160</v>
      </c>
      <c r="B219">
        <v>23050</v>
      </c>
      <c r="C219" s="1">
        <v>42797</v>
      </c>
      <c r="F219" s="55"/>
      <c r="G219">
        <v>10.3</v>
      </c>
      <c r="H219">
        <v>6</v>
      </c>
      <c r="I219">
        <v>13.3</v>
      </c>
      <c r="J219">
        <f t="shared" si="23"/>
        <v>1513.1000000000006</v>
      </c>
      <c r="K219">
        <f t="shared" si="27"/>
        <v>245.00000000000003</v>
      </c>
      <c r="M219" s="65">
        <v>9.6</v>
      </c>
      <c r="N219">
        <v>1.6</v>
      </c>
      <c r="O219">
        <f t="shared" si="19"/>
        <v>8</v>
      </c>
      <c r="P219">
        <f t="shared" si="24"/>
        <v>89.3</v>
      </c>
      <c r="Q219" s="32">
        <v>186</v>
      </c>
      <c r="R219">
        <f t="shared" si="26"/>
        <v>1.0931034482758619</v>
      </c>
      <c r="S219" s="34">
        <f t="shared" si="20"/>
        <v>1.7489655172413792</v>
      </c>
      <c r="T219" s="33">
        <f t="shared" si="21"/>
        <v>7.8510344827586209</v>
      </c>
      <c r="U219" s="33">
        <f t="shared" si="25"/>
        <v>93.762305273833618</v>
      </c>
      <c r="W219">
        <v>1010.8</v>
      </c>
      <c r="Y219">
        <f t="shared" si="22"/>
        <v>107586.00000000007</v>
      </c>
      <c r="Z219">
        <f t="shared" si="28"/>
        <v>16551.5</v>
      </c>
      <c r="AA219">
        <v>10.882786996172834</v>
      </c>
      <c r="AC219">
        <v>8</v>
      </c>
    </row>
    <row r="220" spans="1:29" x14ac:dyDescent="0.25">
      <c r="A220">
        <v>5160</v>
      </c>
      <c r="B220">
        <v>23050</v>
      </c>
      <c r="C220" s="1">
        <v>42798</v>
      </c>
      <c r="F220" s="55"/>
      <c r="G220">
        <v>7.7</v>
      </c>
      <c r="H220">
        <v>7.1</v>
      </c>
      <c r="I220">
        <v>8.8000000000000007</v>
      </c>
      <c r="J220">
        <f t="shared" si="23"/>
        <v>1520.8000000000006</v>
      </c>
      <c r="K220">
        <f t="shared" si="27"/>
        <v>252.70000000000002</v>
      </c>
      <c r="M220" s="65">
        <v>5.2</v>
      </c>
      <c r="N220">
        <v>0.5</v>
      </c>
      <c r="O220">
        <f t="shared" si="19"/>
        <v>4.7</v>
      </c>
      <c r="P220">
        <f t="shared" si="24"/>
        <v>94</v>
      </c>
      <c r="Q220">
        <v>187</v>
      </c>
      <c r="R220">
        <f t="shared" si="26"/>
        <v>1.0956896551724138</v>
      </c>
      <c r="S220" s="34">
        <f t="shared" si="20"/>
        <v>0.5478448275862069</v>
      </c>
      <c r="T220" s="33">
        <f t="shared" si="21"/>
        <v>4.6521551724137931</v>
      </c>
      <c r="U220" s="33">
        <f t="shared" si="25"/>
        <v>98.414460446247418</v>
      </c>
      <c r="W220">
        <v>395.7</v>
      </c>
      <c r="Y220">
        <f t="shared" si="22"/>
        <v>107981.70000000007</v>
      </c>
      <c r="Z220">
        <f t="shared" si="28"/>
        <v>16947.2</v>
      </c>
      <c r="AA220">
        <v>10.940630672216232</v>
      </c>
      <c r="AC220" s="2" t="s">
        <v>66</v>
      </c>
    </row>
    <row r="221" spans="1:29" x14ac:dyDescent="0.25">
      <c r="A221">
        <v>5160</v>
      </c>
      <c r="B221">
        <v>23050</v>
      </c>
      <c r="C221" s="1">
        <v>42799</v>
      </c>
      <c r="F221" s="55"/>
      <c r="G221">
        <v>7.2</v>
      </c>
      <c r="H221">
        <v>5</v>
      </c>
      <c r="I221">
        <v>9.8000000000000007</v>
      </c>
      <c r="J221">
        <f t="shared" si="23"/>
        <v>1528.0000000000007</v>
      </c>
      <c r="K221">
        <f t="shared" si="27"/>
        <v>259.90000000000003</v>
      </c>
      <c r="M221" s="65">
        <v>10.6</v>
      </c>
      <c r="N221">
        <v>1.1000000000000001</v>
      </c>
      <c r="O221">
        <f t="shared" si="19"/>
        <v>9.5</v>
      </c>
      <c r="P221">
        <f t="shared" si="24"/>
        <v>103.5</v>
      </c>
      <c r="Q221" s="32">
        <v>188</v>
      </c>
      <c r="R221">
        <f t="shared" si="26"/>
        <v>1.0982758620689654</v>
      </c>
      <c r="S221" s="34">
        <f t="shared" si="20"/>
        <v>1.2081034482758621</v>
      </c>
      <c r="T221" s="33">
        <f t="shared" si="21"/>
        <v>9.3918965517241375</v>
      </c>
      <c r="U221" s="66">
        <f t="shared" si="25"/>
        <v>107.80635699797156</v>
      </c>
      <c r="W221">
        <v>333.7</v>
      </c>
      <c r="Y221">
        <f t="shared" si="22"/>
        <v>108315.40000000007</v>
      </c>
      <c r="Z221">
        <f t="shared" si="28"/>
        <v>17280.900000000001</v>
      </c>
      <c r="AA221">
        <v>10.998634804805535</v>
      </c>
      <c r="AC221">
        <v>0</v>
      </c>
    </row>
    <row r="222" spans="1:29" x14ac:dyDescent="0.25">
      <c r="A222">
        <v>5160</v>
      </c>
      <c r="B222">
        <v>23050</v>
      </c>
      <c r="C222" s="1">
        <v>42800</v>
      </c>
      <c r="F222" s="55"/>
      <c r="G222">
        <v>6.9</v>
      </c>
      <c r="H222">
        <v>6</v>
      </c>
      <c r="I222">
        <v>8.4</v>
      </c>
      <c r="J222">
        <f t="shared" si="23"/>
        <v>1534.9000000000008</v>
      </c>
      <c r="K222">
        <f t="shared" si="27"/>
        <v>266.8</v>
      </c>
      <c r="M222" s="65">
        <v>8.3000000000000007</v>
      </c>
      <c r="N222">
        <v>0.9</v>
      </c>
      <c r="O222">
        <f t="shared" si="19"/>
        <v>7.4</v>
      </c>
      <c r="P222">
        <f t="shared" si="24"/>
        <v>110.9</v>
      </c>
      <c r="Q222">
        <v>189</v>
      </c>
      <c r="R222">
        <f t="shared" si="26"/>
        <v>1.1008620689655171</v>
      </c>
      <c r="S222" s="34">
        <f t="shared" si="20"/>
        <v>0.9907758620689654</v>
      </c>
      <c r="T222" s="33">
        <f t="shared" si="21"/>
        <v>7.309224137931035</v>
      </c>
      <c r="U222" s="66">
        <f t="shared" si="25"/>
        <v>115.1155811359026</v>
      </c>
      <c r="W222">
        <v>288.3</v>
      </c>
      <c r="Y222">
        <f t="shared" si="22"/>
        <v>108603.70000000007</v>
      </c>
      <c r="Z222">
        <f t="shared" si="28"/>
        <v>17569.2</v>
      </c>
      <c r="AA222">
        <v>11.056789025786802</v>
      </c>
      <c r="AC222" s="2" t="s">
        <v>67</v>
      </c>
    </row>
    <row r="223" spans="1:29" x14ac:dyDescent="0.25">
      <c r="A223">
        <v>5160</v>
      </c>
      <c r="B223">
        <v>23050</v>
      </c>
      <c r="C223" s="1">
        <v>42801</v>
      </c>
      <c r="F223" s="55"/>
      <c r="G223">
        <v>6.7</v>
      </c>
      <c r="H223">
        <v>5.0999999999999996</v>
      </c>
      <c r="I223">
        <v>8.3000000000000007</v>
      </c>
      <c r="J223">
        <f t="shared" si="23"/>
        <v>1541.6000000000008</v>
      </c>
      <c r="K223">
        <f t="shared" si="27"/>
        <v>273.5</v>
      </c>
      <c r="M223" s="65">
        <v>2.5</v>
      </c>
      <c r="N223">
        <v>0.7</v>
      </c>
      <c r="O223">
        <f t="shared" si="19"/>
        <v>1.8</v>
      </c>
      <c r="P223">
        <f t="shared" si="24"/>
        <v>112.7</v>
      </c>
      <c r="Q223" s="32">
        <v>190</v>
      </c>
      <c r="R223">
        <f t="shared" si="26"/>
        <v>1.103448275862069</v>
      </c>
      <c r="S223" s="34">
        <f t="shared" si="20"/>
        <v>0.77241379310344827</v>
      </c>
      <c r="T223" s="33">
        <f t="shared" si="21"/>
        <v>1.7275862068965517</v>
      </c>
      <c r="U223" s="66">
        <f t="shared" si="25"/>
        <v>116.84316734279915</v>
      </c>
      <c r="W223">
        <v>241.8</v>
      </c>
      <c r="Y223">
        <f t="shared" si="22"/>
        <v>108845.50000000007</v>
      </c>
      <c r="Z223">
        <f t="shared" si="28"/>
        <v>17811</v>
      </c>
      <c r="AA223">
        <v>11.115083212573104</v>
      </c>
      <c r="AC223">
        <f>SUM(M225:M234)</f>
        <v>0.60000000000000009</v>
      </c>
    </row>
    <row r="224" spans="1:29" s="60" customFormat="1" x14ac:dyDescent="0.25">
      <c r="A224" s="60">
        <v>5160</v>
      </c>
      <c r="B224" s="60">
        <v>23050</v>
      </c>
      <c r="C224" s="61">
        <v>42802</v>
      </c>
      <c r="D224" s="60" t="s">
        <v>62</v>
      </c>
      <c r="F224" s="55"/>
      <c r="G224" s="60">
        <v>10.199999999999999</v>
      </c>
      <c r="H224" s="60">
        <v>6.3</v>
      </c>
      <c r="I224" s="60">
        <v>12.5</v>
      </c>
      <c r="J224" s="60">
        <f t="shared" si="23"/>
        <v>1551.8000000000009</v>
      </c>
      <c r="K224" s="60">
        <f t="shared" si="27"/>
        <v>283.7</v>
      </c>
      <c r="L224" s="62"/>
      <c r="M224" s="60">
        <v>0</v>
      </c>
      <c r="N224" s="60">
        <v>0.3</v>
      </c>
      <c r="O224" s="60">
        <f t="shared" si="19"/>
        <v>-0.3</v>
      </c>
      <c r="P224" s="60">
        <f t="shared" si="24"/>
        <v>112.4</v>
      </c>
      <c r="Q224" s="60">
        <v>191</v>
      </c>
      <c r="R224" s="60">
        <f t="shared" si="26"/>
        <v>1.1060344827586206</v>
      </c>
      <c r="S224" s="63">
        <f t="shared" si="20"/>
        <v>0.33181034482758615</v>
      </c>
      <c r="T224" s="64">
        <f t="shared" si="21"/>
        <v>-0.33181034482758615</v>
      </c>
      <c r="U224" s="64">
        <f t="shared" si="25"/>
        <v>116.51135699797156</v>
      </c>
      <c r="V224" s="62"/>
      <c r="W224" s="60">
        <v>238.3</v>
      </c>
      <c r="Y224" s="60">
        <f t="shared" si="22"/>
        <v>109083.80000000008</v>
      </c>
      <c r="Z224" s="60">
        <f t="shared" si="28"/>
        <v>18049.3</v>
      </c>
      <c r="AA224" s="60">
        <v>11.17350747484465</v>
      </c>
      <c r="AB224" s="62"/>
    </row>
    <row r="225" spans="1:31" x14ac:dyDescent="0.25">
      <c r="A225">
        <v>5160</v>
      </c>
      <c r="B225">
        <v>23050</v>
      </c>
      <c r="C225" s="1">
        <v>42803</v>
      </c>
      <c r="F225" s="55"/>
      <c r="G225">
        <v>12.2</v>
      </c>
      <c r="H225">
        <v>10.6</v>
      </c>
      <c r="I225">
        <v>13.7</v>
      </c>
      <c r="J225">
        <f t="shared" si="23"/>
        <v>1564.0000000000009</v>
      </c>
      <c r="K225">
        <f t="shared" si="27"/>
        <v>295.89999999999998</v>
      </c>
      <c r="M225" s="67">
        <v>0.4</v>
      </c>
      <c r="N225">
        <v>1</v>
      </c>
      <c r="O225">
        <f t="shared" si="19"/>
        <v>-0.6</v>
      </c>
      <c r="P225">
        <f t="shared" si="24"/>
        <v>111.80000000000001</v>
      </c>
      <c r="Q225" s="32">
        <v>192</v>
      </c>
      <c r="R225">
        <f t="shared" si="26"/>
        <v>1.1086206896551722</v>
      </c>
      <c r="S225" s="34">
        <f t="shared" si="20"/>
        <v>1.1086206896551722</v>
      </c>
      <c r="T225" s="33">
        <f t="shared" si="21"/>
        <v>-0.70862068965517222</v>
      </c>
      <c r="U225" s="66">
        <f t="shared" si="25"/>
        <v>115.80273630831638</v>
      </c>
      <c r="W225">
        <v>328.1</v>
      </c>
      <c r="Y225">
        <f t="shared" si="22"/>
        <v>109411.90000000008</v>
      </c>
      <c r="Z225">
        <f t="shared" si="28"/>
        <v>18377.399999999998</v>
      </c>
      <c r="AA225">
        <v>11.232052141013222</v>
      </c>
    </row>
    <row r="226" spans="1:31" x14ac:dyDescent="0.25">
      <c r="A226">
        <v>5160</v>
      </c>
      <c r="B226">
        <v>23050</v>
      </c>
      <c r="C226" s="1">
        <v>42804</v>
      </c>
      <c r="F226" s="55"/>
      <c r="G226">
        <v>11.1</v>
      </c>
      <c r="H226">
        <v>10.7</v>
      </c>
      <c r="I226">
        <v>13.3</v>
      </c>
      <c r="J226">
        <f t="shared" si="23"/>
        <v>1575.1000000000008</v>
      </c>
      <c r="K226">
        <f t="shared" si="27"/>
        <v>307</v>
      </c>
      <c r="M226" s="67">
        <v>0.2</v>
      </c>
      <c r="N226">
        <v>0.8</v>
      </c>
      <c r="O226">
        <f t="shared" si="19"/>
        <v>-0.60000000000000009</v>
      </c>
      <c r="P226">
        <f t="shared" si="24"/>
        <v>111.20000000000002</v>
      </c>
      <c r="Q226">
        <v>193</v>
      </c>
      <c r="R226">
        <f t="shared" si="26"/>
        <v>1.1112068965517241</v>
      </c>
      <c r="S226" s="34">
        <f t="shared" si="20"/>
        <v>0.88896551724137929</v>
      </c>
      <c r="T226" s="33">
        <f t="shared" si="21"/>
        <v>-0.68896551724137933</v>
      </c>
      <c r="U226" s="66">
        <f t="shared" si="25"/>
        <v>115.113770791075</v>
      </c>
      <c r="W226">
        <v>481.9</v>
      </c>
      <c r="Y226">
        <f t="shared" si="22"/>
        <v>109893.80000000008</v>
      </c>
      <c r="Z226">
        <f t="shared" si="28"/>
        <v>18859.3</v>
      </c>
      <c r="AA226">
        <v>11.290707744474197</v>
      </c>
    </row>
    <row r="227" spans="1:31" x14ac:dyDescent="0.25">
      <c r="A227">
        <v>5160</v>
      </c>
      <c r="B227">
        <v>23050</v>
      </c>
      <c r="C227" s="1">
        <v>42805</v>
      </c>
      <c r="F227" s="55"/>
      <c r="G227">
        <v>9.9</v>
      </c>
      <c r="H227">
        <v>3.7</v>
      </c>
      <c r="I227">
        <v>14.6</v>
      </c>
      <c r="J227">
        <f t="shared" si="23"/>
        <v>1585.0000000000009</v>
      </c>
      <c r="K227">
        <f t="shared" si="27"/>
        <v>316.89999999999998</v>
      </c>
      <c r="M227" s="67">
        <v>0</v>
      </c>
      <c r="N227">
        <v>1.2</v>
      </c>
      <c r="O227">
        <f t="shared" ref="O227:O290" si="29">M227-N227</f>
        <v>-1.2</v>
      </c>
      <c r="P227">
        <f t="shared" si="24"/>
        <v>110.00000000000001</v>
      </c>
      <c r="Q227" s="32">
        <v>194</v>
      </c>
      <c r="R227">
        <f t="shared" si="26"/>
        <v>1.1137931034482758</v>
      </c>
      <c r="S227" s="34">
        <f t="shared" ref="S227:S290" si="30">R227*N227</f>
        <v>1.3365517241379308</v>
      </c>
      <c r="T227" s="33">
        <f t="shared" ref="T227:T290" si="31">M227-S227</f>
        <v>-1.3365517241379308</v>
      </c>
      <c r="U227" s="66">
        <f t="shared" si="25"/>
        <v>113.77721906693706</v>
      </c>
      <c r="W227">
        <v>1158.3</v>
      </c>
      <c r="Y227">
        <f t="shared" si="22"/>
        <v>111052.10000000008</v>
      </c>
      <c r="Z227">
        <f t="shared" si="28"/>
        <v>20017.599999999999</v>
      </c>
      <c r="AA227">
        <v>11.349465009667769</v>
      </c>
    </row>
    <row r="228" spans="1:31" x14ac:dyDescent="0.25">
      <c r="A228">
        <v>5160</v>
      </c>
      <c r="B228">
        <v>23050</v>
      </c>
      <c r="C228" s="1">
        <v>42806</v>
      </c>
      <c r="F228" s="55"/>
      <c r="G228">
        <v>10.9</v>
      </c>
      <c r="H228">
        <v>6.5</v>
      </c>
      <c r="I228">
        <v>15.4</v>
      </c>
      <c r="J228">
        <f t="shared" ref="J228:J291" si="32">J227+G228</f>
        <v>1595.900000000001</v>
      </c>
      <c r="K228">
        <f t="shared" si="27"/>
        <v>327.79999999999995</v>
      </c>
      <c r="M228" s="67">
        <v>0</v>
      </c>
      <c r="N228">
        <v>1</v>
      </c>
      <c r="O228">
        <f t="shared" si="29"/>
        <v>-1</v>
      </c>
      <c r="P228">
        <f t="shared" si="24"/>
        <v>109.00000000000001</v>
      </c>
      <c r="Q228">
        <v>195</v>
      </c>
      <c r="R228">
        <f t="shared" si="26"/>
        <v>1.1163793103448274</v>
      </c>
      <c r="S228" s="34">
        <f t="shared" si="30"/>
        <v>1.1163793103448274</v>
      </c>
      <c r="T228" s="33">
        <f t="shared" si="31"/>
        <v>-1.1163793103448274</v>
      </c>
      <c r="U228" s="66">
        <f t="shared" si="25"/>
        <v>112.66083975659224</v>
      </c>
      <c r="W228">
        <v>390.7</v>
      </c>
      <c r="Y228">
        <f t="shared" ref="Y228:Y291" si="33">W228+Y227</f>
        <v>111442.80000000008</v>
      </c>
      <c r="Z228">
        <f t="shared" si="28"/>
        <v>20408.3</v>
      </c>
      <c r="AA228">
        <v>11.408314837969542</v>
      </c>
    </row>
    <row r="229" spans="1:31" x14ac:dyDescent="0.25">
      <c r="A229">
        <v>5160</v>
      </c>
      <c r="B229">
        <v>23050</v>
      </c>
      <c r="C229" s="1">
        <v>42807</v>
      </c>
      <c r="F229" s="55"/>
      <c r="G229">
        <v>10.4</v>
      </c>
      <c r="H229">
        <v>7</v>
      </c>
      <c r="I229">
        <v>13.7</v>
      </c>
      <c r="J229">
        <f t="shared" si="32"/>
        <v>1606.3000000000011</v>
      </c>
      <c r="K229">
        <f t="shared" si="27"/>
        <v>338.19999999999993</v>
      </c>
      <c r="M229" s="67">
        <v>0</v>
      </c>
      <c r="N229">
        <v>1</v>
      </c>
      <c r="O229">
        <f t="shared" si="29"/>
        <v>-1</v>
      </c>
      <c r="P229">
        <f t="shared" si="24"/>
        <v>108.00000000000001</v>
      </c>
      <c r="Q229" s="32">
        <v>196</v>
      </c>
      <c r="R229">
        <f t="shared" si="26"/>
        <v>1.1189655172413793</v>
      </c>
      <c r="S229" s="34">
        <f t="shared" si="30"/>
        <v>1.1189655172413793</v>
      </c>
      <c r="T229" s="33">
        <f t="shared" si="31"/>
        <v>-1.1189655172413793</v>
      </c>
      <c r="U229" s="66">
        <f t="shared" si="25"/>
        <v>111.54187423935086</v>
      </c>
      <c r="W229">
        <v>762.6</v>
      </c>
      <c r="Y229">
        <f t="shared" si="33"/>
        <v>112205.40000000008</v>
      </c>
      <c r="Z229">
        <f t="shared" si="28"/>
        <v>21170.899999999998</v>
      </c>
      <c r="AA229">
        <v>11.467248293429105</v>
      </c>
    </row>
    <row r="230" spans="1:31" x14ac:dyDescent="0.25">
      <c r="A230">
        <v>5160</v>
      </c>
      <c r="B230">
        <v>23050</v>
      </c>
      <c r="C230" s="1">
        <v>42808</v>
      </c>
      <c r="F230" s="55"/>
      <c r="G230">
        <v>9.1999999999999993</v>
      </c>
      <c r="H230">
        <v>4</v>
      </c>
      <c r="I230">
        <v>13.1</v>
      </c>
      <c r="J230">
        <f t="shared" si="32"/>
        <v>1615.5000000000011</v>
      </c>
      <c r="K230">
        <f t="shared" si="27"/>
        <v>347.39999999999992</v>
      </c>
      <c r="M230" s="67">
        <v>0</v>
      </c>
      <c r="N230">
        <v>1.9</v>
      </c>
      <c r="O230">
        <f t="shared" si="29"/>
        <v>-1.9</v>
      </c>
      <c r="P230">
        <f t="shared" si="24"/>
        <v>106.10000000000001</v>
      </c>
      <c r="Q230">
        <v>197</v>
      </c>
      <c r="R230">
        <f t="shared" si="26"/>
        <v>1.1215517241379309</v>
      </c>
      <c r="S230" s="34">
        <f t="shared" si="30"/>
        <v>2.1309482758620688</v>
      </c>
      <c r="T230" s="33">
        <f t="shared" si="31"/>
        <v>-2.1309482758620688</v>
      </c>
      <c r="U230" s="66">
        <f t="shared" si="25"/>
        <v>109.41092596348879</v>
      </c>
      <c r="W230">
        <v>1653.2</v>
      </c>
      <c r="Y230">
        <f t="shared" si="33"/>
        <v>113858.60000000008</v>
      </c>
      <c r="Z230">
        <f t="shared" si="28"/>
        <v>22824.1</v>
      </c>
      <c r="AA230">
        <v>11.526256588373997</v>
      </c>
    </row>
    <row r="231" spans="1:31" x14ac:dyDescent="0.25">
      <c r="A231">
        <v>5160</v>
      </c>
      <c r="B231">
        <v>23050</v>
      </c>
      <c r="C231" s="1">
        <v>42809</v>
      </c>
      <c r="F231" s="55"/>
      <c r="G231">
        <v>9.4</v>
      </c>
      <c r="H231">
        <v>5.9</v>
      </c>
      <c r="I231">
        <v>12.1</v>
      </c>
      <c r="J231">
        <f t="shared" si="32"/>
        <v>1624.9000000000012</v>
      </c>
      <c r="K231">
        <f t="shared" si="27"/>
        <v>356.7999999999999</v>
      </c>
      <c r="M231" s="68">
        <v>0</v>
      </c>
      <c r="N231">
        <v>0.6</v>
      </c>
      <c r="O231">
        <f t="shared" si="29"/>
        <v>-0.6</v>
      </c>
      <c r="P231">
        <f t="shared" si="24"/>
        <v>105.50000000000001</v>
      </c>
      <c r="Q231" s="32">
        <v>198</v>
      </c>
      <c r="R231">
        <f t="shared" si="26"/>
        <v>1.1241379310344828</v>
      </c>
      <c r="S231" s="34">
        <f t="shared" si="30"/>
        <v>0.67448275862068963</v>
      </c>
      <c r="T231" s="33">
        <f t="shared" si="31"/>
        <v>-0.67448275862068963</v>
      </c>
      <c r="U231" s="66">
        <f t="shared" si="25"/>
        <v>108.73644320486811</v>
      </c>
      <c r="W231">
        <v>555</v>
      </c>
      <c r="Y231">
        <f t="shared" si="33"/>
        <v>114413.60000000008</v>
      </c>
      <c r="Z231">
        <f t="shared" si="28"/>
        <v>23379.1</v>
      </c>
      <c r="AA231">
        <v>11.585331068895167</v>
      </c>
    </row>
    <row r="232" spans="1:31" s="60" customFormat="1" x14ac:dyDescent="0.25">
      <c r="A232" s="60">
        <v>5160</v>
      </c>
      <c r="B232" s="60">
        <v>23050</v>
      </c>
      <c r="C232" s="61">
        <v>42810</v>
      </c>
      <c r="D232" s="60" t="s">
        <v>62</v>
      </c>
      <c r="F232" s="55"/>
      <c r="G232" s="60">
        <v>11.9</v>
      </c>
      <c r="H232" s="60">
        <v>5</v>
      </c>
      <c r="I232" s="60">
        <v>17.7</v>
      </c>
      <c r="J232" s="60">
        <f t="shared" si="32"/>
        <v>1636.8000000000013</v>
      </c>
      <c r="K232" s="60">
        <f t="shared" si="27"/>
        <v>368.69999999999987</v>
      </c>
      <c r="L232" s="62"/>
      <c r="M232" s="60">
        <v>0</v>
      </c>
      <c r="N232" s="60">
        <v>2.4</v>
      </c>
      <c r="O232" s="60">
        <f t="shared" si="29"/>
        <v>-2.4</v>
      </c>
      <c r="P232" s="60">
        <f t="shared" si="24"/>
        <v>103.10000000000001</v>
      </c>
      <c r="Q232" s="60">
        <v>199</v>
      </c>
      <c r="R232" s="60">
        <f t="shared" si="26"/>
        <v>1.1267241379310344</v>
      </c>
      <c r="S232" s="63">
        <f t="shared" si="30"/>
        <v>2.7041379310344826</v>
      </c>
      <c r="T232" s="64">
        <f t="shared" si="31"/>
        <v>-2.7041379310344826</v>
      </c>
      <c r="U232" s="64">
        <f t="shared" si="25"/>
        <v>106.03230527383363</v>
      </c>
      <c r="V232" s="62"/>
      <c r="W232" s="60">
        <v>1652.6</v>
      </c>
      <c r="Y232" s="60">
        <f t="shared" si="33"/>
        <v>116066.20000000008</v>
      </c>
      <c r="Z232" s="60">
        <f t="shared" si="28"/>
        <v>25031.699999999997</v>
      </c>
      <c r="AA232" s="60">
        <v>11.644463200228968</v>
      </c>
      <c r="AB232" s="62"/>
    </row>
    <row r="233" spans="1:31" x14ac:dyDescent="0.25">
      <c r="A233">
        <v>5160</v>
      </c>
      <c r="B233">
        <v>23050</v>
      </c>
      <c r="C233" s="1">
        <v>42811</v>
      </c>
      <c r="F233" s="55"/>
      <c r="G233">
        <v>8.1</v>
      </c>
      <c r="H233">
        <v>6.9</v>
      </c>
      <c r="I233">
        <v>10.7</v>
      </c>
      <c r="J233">
        <f t="shared" si="32"/>
        <v>1644.9000000000012</v>
      </c>
      <c r="K233">
        <f t="shared" si="27"/>
        <v>376.7999999999999</v>
      </c>
      <c r="M233" s="65">
        <v>0</v>
      </c>
      <c r="N233">
        <v>1</v>
      </c>
      <c r="O233">
        <f t="shared" si="29"/>
        <v>-1</v>
      </c>
      <c r="P233">
        <f t="shared" si="24"/>
        <v>102.10000000000001</v>
      </c>
      <c r="Q233" s="32">
        <v>200</v>
      </c>
      <c r="R233">
        <f t="shared" si="26"/>
        <v>1.1293103448275861</v>
      </c>
      <c r="S233" s="34">
        <f t="shared" si="30"/>
        <v>1.1293103448275861</v>
      </c>
      <c r="T233" s="33">
        <f t="shared" si="31"/>
        <v>-1.1293103448275861</v>
      </c>
      <c r="U233" s="66">
        <f t="shared" si="25"/>
        <v>104.90299492900604</v>
      </c>
      <c r="W233">
        <v>647.20000000000005</v>
      </c>
      <c r="Y233">
        <f t="shared" si="33"/>
        <v>116713.40000000008</v>
      </c>
      <c r="Z233">
        <f t="shared" si="28"/>
        <v>25678.899999999998</v>
      </c>
      <c r="AA233">
        <v>11.703644552049687</v>
      </c>
      <c r="AC233" s="2" t="s">
        <v>63</v>
      </c>
      <c r="AE233" s="2" t="s">
        <v>63</v>
      </c>
    </row>
    <row r="234" spans="1:31" x14ac:dyDescent="0.25">
      <c r="A234">
        <v>5160</v>
      </c>
      <c r="B234">
        <v>23050</v>
      </c>
      <c r="C234" s="1">
        <v>42812</v>
      </c>
      <c r="F234" s="55"/>
      <c r="G234">
        <v>9.1999999999999993</v>
      </c>
      <c r="H234">
        <v>5.0999999999999996</v>
      </c>
      <c r="I234">
        <v>12.2</v>
      </c>
      <c r="J234">
        <f t="shared" si="32"/>
        <v>1654.1000000000013</v>
      </c>
      <c r="K234">
        <f t="shared" si="27"/>
        <v>385.99999999999989</v>
      </c>
      <c r="M234" s="65">
        <v>0</v>
      </c>
      <c r="N234">
        <v>0.6</v>
      </c>
      <c r="O234">
        <f t="shared" si="29"/>
        <v>-0.6</v>
      </c>
      <c r="P234">
        <f t="shared" si="24"/>
        <v>101.50000000000001</v>
      </c>
      <c r="Q234">
        <v>201</v>
      </c>
      <c r="R234">
        <f t="shared" si="26"/>
        <v>1.1318965517241379</v>
      </c>
      <c r="S234" s="34">
        <f t="shared" si="30"/>
        <v>0.67913793103448272</v>
      </c>
      <c r="T234" s="33">
        <f t="shared" si="31"/>
        <v>-0.67913793103448272</v>
      </c>
      <c r="U234" s="66">
        <f t="shared" si="25"/>
        <v>104.22385699797155</v>
      </c>
      <c r="W234">
        <v>256.8</v>
      </c>
      <c r="Y234">
        <f t="shared" si="33"/>
        <v>116970.20000000008</v>
      </c>
      <c r="Z234">
        <f t="shared" si="28"/>
        <v>25935.699999999997</v>
      </c>
      <c r="AA234">
        <v>11.762866783685784</v>
      </c>
      <c r="AC234" s="33">
        <f>AVERAGE(U229:U242)</f>
        <v>109.29348753984345</v>
      </c>
      <c r="AE234" s="33">
        <f>(AC215*(72/144))+(AC234*(72/144))</f>
        <v>110.30672337728188</v>
      </c>
    </row>
    <row r="235" spans="1:31" x14ac:dyDescent="0.25">
      <c r="A235">
        <v>5160</v>
      </c>
      <c r="B235">
        <v>23050</v>
      </c>
      <c r="C235" s="1">
        <v>42813</v>
      </c>
      <c r="F235" s="55"/>
      <c r="G235">
        <v>10.6</v>
      </c>
      <c r="H235">
        <v>9.6999999999999993</v>
      </c>
      <c r="I235">
        <v>11.8</v>
      </c>
      <c r="J235">
        <f t="shared" si="32"/>
        <v>1664.7000000000012</v>
      </c>
      <c r="K235">
        <f t="shared" si="27"/>
        <v>396.59999999999991</v>
      </c>
      <c r="M235" s="65">
        <v>0</v>
      </c>
      <c r="N235">
        <v>1</v>
      </c>
      <c r="O235">
        <f t="shared" si="29"/>
        <v>-1</v>
      </c>
      <c r="P235">
        <f t="shared" si="24"/>
        <v>100.50000000000001</v>
      </c>
      <c r="Q235" s="32">
        <v>202</v>
      </c>
      <c r="R235">
        <f t="shared" si="26"/>
        <v>1.1344827586206896</v>
      </c>
      <c r="S235" s="34">
        <f t="shared" si="30"/>
        <v>1.1344827586206896</v>
      </c>
      <c r="T235" s="33">
        <f t="shared" si="31"/>
        <v>-1.1344827586206896</v>
      </c>
      <c r="U235" s="66">
        <f t="shared" si="25"/>
        <v>103.08937423935086</v>
      </c>
      <c r="W235">
        <v>337.3</v>
      </c>
      <c r="Y235">
        <f t="shared" si="33"/>
        <v>117307.50000000009</v>
      </c>
      <c r="Z235">
        <f t="shared" si="28"/>
        <v>26272.999999999996</v>
      </c>
      <c r="AA235">
        <v>11.822121629272132</v>
      </c>
      <c r="AC235" s="2" t="s">
        <v>64</v>
      </c>
      <c r="AE235" s="2" t="s">
        <v>64</v>
      </c>
    </row>
    <row r="236" spans="1:31" x14ac:dyDescent="0.25">
      <c r="A236">
        <v>5160</v>
      </c>
      <c r="B236">
        <v>23050</v>
      </c>
      <c r="C236" s="1">
        <v>42814</v>
      </c>
      <c r="F236" s="55"/>
      <c r="G236">
        <v>10.1</v>
      </c>
      <c r="H236">
        <v>8.6</v>
      </c>
      <c r="I236">
        <v>11.8</v>
      </c>
      <c r="J236">
        <f t="shared" si="32"/>
        <v>1674.8000000000011</v>
      </c>
      <c r="K236">
        <f t="shared" si="27"/>
        <v>406.69999999999993</v>
      </c>
      <c r="M236" s="65">
        <v>0.2</v>
      </c>
      <c r="N236">
        <v>1.5</v>
      </c>
      <c r="O236">
        <f t="shared" si="29"/>
        <v>-1.3</v>
      </c>
      <c r="P236">
        <f t="shared" si="24"/>
        <v>99.200000000000017</v>
      </c>
      <c r="Q236">
        <v>203</v>
      </c>
      <c r="R236">
        <f t="shared" si="26"/>
        <v>1.1370689655172412</v>
      </c>
      <c r="S236" s="34">
        <f t="shared" si="30"/>
        <v>1.7056034482758617</v>
      </c>
      <c r="T236" s="33">
        <f t="shared" si="31"/>
        <v>-1.5056034482758618</v>
      </c>
      <c r="U236" s="66">
        <f t="shared" si="25"/>
        <v>101.583770791075</v>
      </c>
      <c r="W236">
        <v>261.2</v>
      </c>
      <c r="Y236">
        <f t="shared" si="33"/>
        <v>117568.70000000008</v>
      </c>
      <c r="Z236">
        <f t="shared" si="28"/>
        <v>26534.199999999997</v>
      </c>
      <c r="AA236">
        <v>11.881400882850018</v>
      </c>
      <c r="AC236">
        <v>5</v>
      </c>
      <c r="AE236" s="71">
        <f>(AC217*(72/144))+(AC236*(72/144))</f>
        <v>3</v>
      </c>
    </row>
    <row r="237" spans="1:31" x14ac:dyDescent="0.25">
      <c r="A237">
        <v>5160</v>
      </c>
      <c r="B237">
        <v>23050</v>
      </c>
      <c r="C237" s="1">
        <v>42815</v>
      </c>
      <c r="F237" s="55"/>
      <c r="G237">
        <v>7.6</v>
      </c>
      <c r="H237">
        <v>6.9</v>
      </c>
      <c r="I237">
        <v>8.6999999999999993</v>
      </c>
      <c r="J237">
        <f t="shared" si="32"/>
        <v>1682.400000000001</v>
      </c>
      <c r="K237">
        <f t="shared" si="27"/>
        <v>414.29999999999995</v>
      </c>
      <c r="M237" s="65">
        <v>2.2000000000000002</v>
      </c>
      <c r="N237">
        <v>0.9</v>
      </c>
      <c r="O237">
        <f t="shared" si="29"/>
        <v>1.3000000000000003</v>
      </c>
      <c r="P237">
        <f t="shared" si="24"/>
        <v>100.50000000000001</v>
      </c>
      <c r="Q237" s="32">
        <v>204</v>
      </c>
      <c r="R237">
        <f t="shared" si="26"/>
        <v>1.1396551724137931</v>
      </c>
      <c r="S237" s="34">
        <f t="shared" si="30"/>
        <v>1.0256896551724137</v>
      </c>
      <c r="T237" s="33">
        <f t="shared" si="31"/>
        <v>1.1743103448275864</v>
      </c>
      <c r="U237" s="66">
        <f t="shared" si="25"/>
        <v>102.75808113590259</v>
      </c>
      <c r="W237">
        <v>963.3</v>
      </c>
      <c r="Y237">
        <f t="shared" si="33"/>
        <v>118532.00000000009</v>
      </c>
      <c r="Z237">
        <f t="shared" si="28"/>
        <v>27497.499999999996</v>
      </c>
      <c r="AA237">
        <v>11.940696383425946</v>
      </c>
      <c r="AC237" s="2" t="s">
        <v>65</v>
      </c>
      <c r="AE237" s="2" t="s">
        <v>65</v>
      </c>
    </row>
    <row r="238" spans="1:31" x14ac:dyDescent="0.25">
      <c r="A238">
        <v>5160</v>
      </c>
      <c r="B238">
        <v>23050</v>
      </c>
      <c r="C238" s="1">
        <v>42816</v>
      </c>
      <c r="F238" s="55"/>
      <c r="G238">
        <v>6.5</v>
      </c>
      <c r="H238">
        <v>3.2</v>
      </c>
      <c r="I238">
        <v>9.9</v>
      </c>
      <c r="J238">
        <f t="shared" si="32"/>
        <v>1688.900000000001</v>
      </c>
      <c r="K238">
        <f t="shared" si="27"/>
        <v>420.79999999999995</v>
      </c>
      <c r="M238" s="65">
        <v>15.1</v>
      </c>
      <c r="N238">
        <v>0.7</v>
      </c>
      <c r="O238">
        <f t="shared" si="29"/>
        <v>14.4</v>
      </c>
      <c r="P238">
        <f t="shared" si="24"/>
        <v>114.90000000000002</v>
      </c>
      <c r="Q238">
        <v>205</v>
      </c>
      <c r="R238">
        <f t="shared" si="26"/>
        <v>1.1422413793103448</v>
      </c>
      <c r="S238" s="34">
        <f t="shared" si="30"/>
        <v>0.79956896551724133</v>
      </c>
      <c r="T238" s="33">
        <f t="shared" si="31"/>
        <v>14.300431034482758</v>
      </c>
      <c r="U238" s="66">
        <f t="shared" si="25"/>
        <v>117.05851217038534</v>
      </c>
      <c r="W238">
        <v>437.7</v>
      </c>
      <c r="Y238">
        <f t="shared" si="33"/>
        <v>118969.70000000008</v>
      </c>
      <c r="Z238">
        <f t="shared" si="28"/>
        <v>27935.199999999997</v>
      </c>
      <c r="AA238">
        <v>12</v>
      </c>
      <c r="AC238">
        <v>5</v>
      </c>
      <c r="AE238">
        <f>(AC219*(72/144))+(AC238*(72/144))</f>
        <v>6.5</v>
      </c>
    </row>
    <row r="239" spans="1:31" x14ac:dyDescent="0.25">
      <c r="A239">
        <v>5160</v>
      </c>
      <c r="B239">
        <v>23050</v>
      </c>
      <c r="C239" s="1">
        <v>42817</v>
      </c>
      <c r="F239" s="55"/>
      <c r="G239">
        <v>6</v>
      </c>
      <c r="H239">
        <v>5.0999999999999996</v>
      </c>
      <c r="I239">
        <v>7.7</v>
      </c>
      <c r="J239">
        <f t="shared" si="32"/>
        <v>1694.900000000001</v>
      </c>
      <c r="K239">
        <f t="shared" si="27"/>
        <v>426.79999999999995</v>
      </c>
      <c r="M239" s="65">
        <v>1</v>
      </c>
      <c r="N239">
        <v>0.3</v>
      </c>
      <c r="O239">
        <f t="shared" si="29"/>
        <v>0.7</v>
      </c>
      <c r="P239">
        <f t="shared" si="24"/>
        <v>115.60000000000002</v>
      </c>
      <c r="Q239" s="32">
        <v>206</v>
      </c>
      <c r="R239">
        <f t="shared" si="26"/>
        <v>1.1448275862068964</v>
      </c>
      <c r="S239" s="34">
        <f t="shared" si="30"/>
        <v>0.34344827586206889</v>
      </c>
      <c r="T239" s="33">
        <f t="shared" si="31"/>
        <v>0.65655172413793106</v>
      </c>
      <c r="U239" s="66">
        <f t="shared" si="25"/>
        <v>117.71506389452327</v>
      </c>
      <c r="W239">
        <v>370.5</v>
      </c>
      <c r="Y239">
        <f t="shared" si="33"/>
        <v>119340.20000000008</v>
      </c>
      <c r="Z239">
        <f t="shared" si="28"/>
        <v>28305.699999999997</v>
      </c>
      <c r="AA239">
        <v>12.059303616574052</v>
      </c>
      <c r="AC239" s="2" t="s">
        <v>66</v>
      </c>
      <c r="AE239" s="2" t="s">
        <v>66</v>
      </c>
    </row>
    <row r="240" spans="1:31" x14ac:dyDescent="0.25">
      <c r="A240">
        <v>5160</v>
      </c>
      <c r="B240">
        <v>23050</v>
      </c>
      <c r="C240" s="1">
        <v>42818</v>
      </c>
      <c r="F240" s="55"/>
      <c r="G240">
        <v>8</v>
      </c>
      <c r="H240">
        <v>2.9</v>
      </c>
      <c r="I240">
        <v>11.5</v>
      </c>
      <c r="J240">
        <f t="shared" si="32"/>
        <v>1702.900000000001</v>
      </c>
      <c r="K240">
        <f t="shared" si="27"/>
        <v>434.79999999999995</v>
      </c>
      <c r="M240" s="65">
        <v>0.2</v>
      </c>
      <c r="N240">
        <v>0.7</v>
      </c>
      <c r="O240">
        <f t="shared" si="29"/>
        <v>-0.49999999999999994</v>
      </c>
      <c r="P240">
        <f t="shared" si="24"/>
        <v>115.10000000000002</v>
      </c>
      <c r="Q240">
        <v>207</v>
      </c>
      <c r="R240">
        <f t="shared" si="26"/>
        <v>1.1474137931034483</v>
      </c>
      <c r="S240" s="34">
        <f t="shared" si="30"/>
        <v>0.8031896551724137</v>
      </c>
      <c r="T240" s="33">
        <f t="shared" si="31"/>
        <v>-0.60318965517241363</v>
      </c>
      <c r="U240" s="66">
        <f t="shared" si="25"/>
        <v>117.11187423935085</v>
      </c>
      <c r="W240">
        <v>869.9</v>
      </c>
      <c r="Y240">
        <f t="shared" si="33"/>
        <v>120210.10000000008</v>
      </c>
      <c r="Z240">
        <f t="shared" si="28"/>
        <v>29175.599999999999</v>
      </c>
      <c r="AA240">
        <v>12.11859911714998</v>
      </c>
      <c r="AC240">
        <v>0</v>
      </c>
      <c r="AE240">
        <f>(AC221*(72/144))+(AC240*(72/144))</f>
        <v>0</v>
      </c>
    </row>
    <row r="241" spans="1:31" s="35" customFormat="1" ht="15.75" thickBot="1" x14ac:dyDescent="0.3">
      <c r="A241" s="35">
        <v>5160</v>
      </c>
      <c r="B241" s="35">
        <v>23050</v>
      </c>
      <c r="C241" s="36">
        <v>42819</v>
      </c>
      <c r="F241" s="55"/>
      <c r="G241" s="35">
        <v>10.9</v>
      </c>
      <c r="H241" s="35">
        <v>6.5</v>
      </c>
      <c r="I241" s="35">
        <v>14.4</v>
      </c>
      <c r="J241" s="35">
        <f t="shared" si="32"/>
        <v>1713.8000000000011</v>
      </c>
      <c r="K241" s="35">
        <f t="shared" si="27"/>
        <v>445.69999999999993</v>
      </c>
      <c r="L241" s="37"/>
      <c r="M241" s="69">
        <v>0</v>
      </c>
      <c r="N241" s="35">
        <v>2.7</v>
      </c>
      <c r="O241" s="35">
        <f t="shared" si="29"/>
        <v>-2.7</v>
      </c>
      <c r="P241" s="35">
        <f t="shared" si="24"/>
        <v>112.40000000000002</v>
      </c>
      <c r="Q241" s="38">
        <v>208</v>
      </c>
      <c r="R241">
        <f t="shared" si="26"/>
        <v>1.1499999999999999</v>
      </c>
      <c r="S241" s="39">
        <f t="shared" si="30"/>
        <v>3.105</v>
      </c>
      <c r="T241" s="40">
        <f t="shared" si="31"/>
        <v>-3.105</v>
      </c>
      <c r="U241" s="66">
        <f t="shared" si="25"/>
        <v>114.00687423935085</v>
      </c>
      <c r="V241" s="37"/>
      <c r="W241" s="35">
        <v>1899.4</v>
      </c>
      <c r="Y241" s="35">
        <f t="shared" si="33"/>
        <v>122109.50000000007</v>
      </c>
      <c r="Z241" s="35">
        <f t="shared" si="28"/>
        <v>31075</v>
      </c>
      <c r="AA241" s="35">
        <v>12.177878370727868</v>
      </c>
      <c r="AB241" s="37"/>
      <c r="AC241" s="2" t="s">
        <v>67</v>
      </c>
      <c r="AE241" s="2" t="s">
        <v>67</v>
      </c>
    </row>
    <row r="242" spans="1:31" s="43" customFormat="1" x14ac:dyDescent="0.25">
      <c r="A242" s="43">
        <v>5160</v>
      </c>
      <c r="B242" s="43">
        <v>23050</v>
      </c>
      <c r="C242" s="44">
        <v>42820</v>
      </c>
      <c r="D242" t="s">
        <v>13</v>
      </c>
      <c r="F242" s="56" t="s">
        <v>48</v>
      </c>
      <c r="G242" s="43">
        <v>10.1</v>
      </c>
      <c r="H242" s="43">
        <v>3.9</v>
      </c>
      <c r="I242" s="43">
        <v>14.8</v>
      </c>
      <c r="J242" s="43">
        <f t="shared" si="32"/>
        <v>1723.900000000001</v>
      </c>
      <c r="K242" s="43">
        <f>G242</f>
        <v>10.1</v>
      </c>
      <c r="L242" s="15" t="s">
        <v>38</v>
      </c>
      <c r="M242" s="70">
        <v>0</v>
      </c>
      <c r="N242" s="43">
        <v>1.8</v>
      </c>
      <c r="O242" s="43">
        <f t="shared" si="29"/>
        <v>-1.8</v>
      </c>
      <c r="P242" s="43">
        <f t="shared" si="24"/>
        <v>110.60000000000002</v>
      </c>
      <c r="Q242" s="43">
        <v>209</v>
      </c>
      <c r="R242" s="43">
        <f t="shared" ref="R242" si="34">1+((Q242-150)/59)*(1.15-1)</f>
        <v>1.1499999999999999</v>
      </c>
      <c r="S242" s="45">
        <f t="shared" si="30"/>
        <v>2.0699999999999998</v>
      </c>
      <c r="T242" s="46">
        <f t="shared" si="31"/>
        <v>-2.0699999999999998</v>
      </c>
      <c r="U242" s="66">
        <f t="shared" si="25"/>
        <v>111.93687423935086</v>
      </c>
      <c r="V242" s="28" t="s">
        <v>52</v>
      </c>
      <c r="W242" s="43">
        <v>1337.5</v>
      </c>
      <c r="Y242" s="43">
        <f t="shared" si="33"/>
        <v>123447.00000000007</v>
      </c>
      <c r="Z242" s="43">
        <f>W242</f>
        <v>1337.5</v>
      </c>
      <c r="AA242" s="43">
        <v>12.237133216314216</v>
      </c>
      <c r="AB242" s="28" t="s">
        <v>57</v>
      </c>
      <c r="AC242" s="43">
        <f>SUM(M233:M242)</f>
        <v>18.7</v>
      </c>
      <c r="AE242" s="34">
        <f>(AC223*(72/144))+(AC242*(72/144))</f>
        <v>9.65</v>
      </c>
    </row>
    <row r="243" spans="1:31" ht="15" customHeight="1" x14ac:dyDescent="0.25">
      <c r="A243">
        <v>5160</v>
      </c>
      <c r="B243">
        <v>23050</v>
      </c>
      <c r="C243" s="1">
        <v>42821</v>
      </c>
      <c r="F243" s="56"/>
      <c r="G243">
        <v>11.6</v>
      </c>
      <c r="H243">
        <v>5.7</v>
      </c>
      <c r="I243">
        <v>17.8</v>
      </c>
      <c r="J243">
        <f t="shared" si="32"/>
        <v>1735.5000000000009</v>
      </c>
      <c r="K243">
        <f>K242+G243</f>
        <v>21.7</v>
      </c>
      <c r="L243" s="11">
        <v>243.4</v>
      </c>
      <c r="M243">
        <v>1.6</v>
      </c>
      <c r="N243">
        <v>3.2</v>
      </c>
      <c r="O243">
        <f t="shared" si="29"/>
        <v>-1.6</v>
      </c>
      <c r="P243">
        <f t="shared" ref="P243:P306" si="35">P242+O243</f>
        <v>109.00000000000003</v>
      </c>
      <c r="Q243" s="32">
        <v>210</v>
      </c>
      <c r="R243">
        <v>1.1499999999999999</v>
      </c>
      <c r="S243" s="34">
        <f t="shared" si="30"/>
        <v>3.6799999999999997</v>
      </c>
      <c r="T243" s="33">
        <f t="shared" si="31"/>
        <v>-2.0799999999999996</v>
      </c>
      <c r="U243" s="33">
        <f t="shared" ref="U243:U306" si="36">MIN(U242+T243,146.7)</f>
        <v>109.85687423935086</v>
      </c>
      <c r="V243">
        <v>0</v>
      </c>
      <c r="W243">
        <v>2066.9</v>
      </c>
      <c r="Y243">
        <f t="shared" si="33"/>
        <v>125513.90000000007</v>
      </c>
      <c r="Z243">
        <f>Z242+W243</f>
        <v>3404.4</v>
      </c>
      <c r="AA243">
        <v>12.296355447950313</v>
      </c>
      <c r="AB243">
        <v>31721.3</v>
      </c>
    </row>
    <row r="244" spans="1:31" x14ac:dyDescent="0.25">
      <c r="A244">
        <v>5160</v>
      </c>
      <c r="B244">
        <v>23050</v>
      </c>
      <c r="C244" s="1">
        <v>42822</v>
      </c>
      <c r="F244" s="56"/>
      <c r="G244">
        <v>11.6</v>
      </c>
      <c r="H244">
        <v>6.8</v>
      </c>
      <c r="I244">
        <v>15.9</v>
      </c>
      <c r="J244">
        <f t="shared" si="32"/>
        <v>1747.1000000000008</v>
      </c>
      <c r="K244">
        <f t="shared" ref="K244:K307" si="37">K243+G244</f>
        <v>33.299999999999997</v>
      </c>
      <c r="L244" s="15" t="s">
        <v>39</v>
      </c>
      <c r="M244">
        <v>0.3</v>
      </c>
      <c r="N244">
        <v>1.2</v>
      </c>
      <c r="O244">
        <f t="shared" si="29"/>
        <v>-0.89999999999999991</v>
      </c>
      <c r="P244">
        <f t="shared" si="35"/>
        <v>108.10000000000002</v>
      </c>
      <c r="Q244">
        <v>211</v>
      </c>
      <c r="R244">
        <v>1.1499999999999999</v>
      </c>
      <c r="S244" s="34">
        <f t="shared" si="30"/>
        <v>1.38</v>
      </c>
      <c r="T244" s="33">
        <f t="shared" si="31"/>
        <v>-1.0799999999999998</v>
      </c>
      <c r="U244" s="33">
        <f t="shared" si="36"/>
        <v>108.77687423935086</v>
      </c>
      <c r="V244" s="28" t="s">
        <v>53</v>
      </c>
      <c r="W244">
        <v>865.3</v>
      </c>
      <c r="Y244">
        <f t="shared" si="33"/>
        <v>126379.20000000007</v>
      </c>
      <c r="Z244">
        <f t="shared" ref="Z244:Z307" si="38">Z243+W244</f>
        <v>4269.7</v>
      </c>
      <c r="AA244">
        <v>12.355536799771032</v>
      </c>
      <c r="AB244" s="28" t="s">
        <v>58</v>
      </c>
    </row>
    <row r="245" spans="1:31" x14ac:dyDescent="0.25">
      <c r="A245">
        <v>5160</v>
      </c>
      <c r="B245">
        <v>23050</v>
      </c>
      <c r="C245" s="1">
        <v>42823</v>
      </c>
      <c r="F245" s="56"/>
      <c r="G245">
        <v>12.4</v>
      </c>
      <c r="H245">
        <v>4.5999999999999996</v>
      </c>
      <c r="I245">
        <v>19.3</v>
      </c>
      <c r="J245">
        <f t="shared" si="32"/>
        <v>1759.5000000000009</v>
      </c>
      <c r="K245">
        <f t="shared" si="37"/>
        <v>45.699999999999996</v>
      </c>
      <c r="L245" s="16">
        <f>AVERAGE(G242:G262)</f>
        <v>11.59047619047619</v>
      </c>
      <c r="M245">
        <v>0</v>
      </c>
      <c r="N245">
        <v>2.4</v>
      </c>
      <c r="O245">
        <f t="shared" si="29"/>
        <v>-2.4</v>
      </c>
      <c r="P245">
        <f t="shared" si="35"/>
        <v>105.70000000000002</v>
      </c>
      <c r="Q245" s="32">
        <v>212</v>
      </c>
      <c r="R245">
        <v>1.1499999999999999</v>
      </c>
      <c r="S245" s="34">
        <f t="shared" si="30"/>
        <v>2.76</v>
      </c>
      <c r="T245" s="33">
        <f t="shared" si="31"/>
        <v>-2.76</v>
      </c>
      <c r="U245" s="33">
        <f t="shared" si="36"/>
        <v>106.01687423935086</v>
      </c>
      <c r="V245">
        <v>0</v>
      </c>
      <c r="W245">
        <v>1568.5</v>
      </c>
      <c r="Y245">
        <f t="shared" si="33"/>
        <v>127947.70000000007</v>
      </c>
      <c r="Z245">
        <f t="shared" si="38"/>
        <v>5838.2</v>
      </c>
      <c r="AA245">
        <v>12.414668931104833</v>
      </c>
      <c r="AB245" s="33">
        <f>(AB243/100)/L243</f>
        <v>1.3032580115036974</v>
      </c>
    </row>
    <row r="246" spans="1:31" x14ac:dyDescent="0.25">
      <c r="A246">
        <v>5160</v>
      </c>
      <c r="B246">
        <v>23050</v>
      </c>
      <c r="C246" s="1">
        <v>42824</v>
      </c>
      <c r="F246" s="56"/>
      <c r="G246">
        <v>15.1</v>
      </c>
      <c r="H246">
        <v>6.3</v>
      </c>
      <c r="I246">
        <v>22.5</v>
      </c>
      <c r="J246">
        <f t="shared" si="32"/>
        <v>1774.6000000000008</v>
      </c>
      <c r="K246">
        <f t="shared" si="37"/>
        <v>60.8</v>
      </c>
      <c r="L246" s="15" t="s">
        <v>40</v>
      </c>
      <c r="M246">
        <v>0</v>
      </c>
      <c r="N246">
        <v>3.2</v>
      </c>
      <c r="O246">
        <f t="shared" si="29"/>
        <v>-3.2</v>
      </c>
      <c r="P246">
        <f t="shared" si="35"/>
        <v>102.50000000000001</v>
      </c>
      <c r="Q246">
        <v>213</v>
      </c>
      <c r="R246">
        <v>1.1499999999999999</v>
      </c>
      <c r="S246" s="34">
        <f t="shared" si="30"/>
        <v>3.6799999999999997</v>
      </c>
      <c r="T246" s="33">
        <f t="shared" si="31"/>
        <v>-3.6799999999999997</v>
      </c>
      <c r="U246" s="33">
        <f t="shared" si="36"/>
        <v>102.33687423935086</v>
      </c>
      <c r="V246" s="28" t="s">
        <v>54</v>
      </c>
      <c r="W246">
        <v>1912.4</v>
      </c>
      <c r="Y246">
        <f t="shared" si="33"/>
        <v>129860.10000000006</v>
      </c>
      <c r="Z246">
        <f t="shared" si="38"/>
        <v>7750.6</v>
      </c>
      <c r="AA246">
        <v>12.473743411626003</v>
      </c>
      <c r="AB246" s="28" t="s">
        <v>59</v>
      </c>
    </row>
    <row r="247" spans="1:31" x14ac:dyDescent="0.25">
      <c r="A247">
        <v>5160</v>
      </c>
      <c r="B247">
        <v>23050</v>
      </c>
      <c r="C247" s="1">
        <v>42825</v>
      </c>
      <c r="F247" s="56"/>
      <c r="G247">
        <v>13.7</v>
      </c>
      <c r="H247">
        <v>12.2</v>
      </c>
      <c r="I247">
        <v>16.3</v>
      </c>
      <c r="J247">
        <f t="shared" si="32"/>
        <v>1788.3000000000009</v>
      </c>
      <c r="K247">
        <f t="shared" si="37"/>
        <v>74.5</v>
      </c>
      <c r="L247" s="12">
        <f>MIN(H242:H262)</f>
        <v>2.9</v>
      </c>
      <c r="M247">
        <v>0.4</v>
      </c>
      <c r="N247">
        <v>2.4</v>
      </c>
      <c r="O247">
        <f t="shared" si="29"/>
        <v>-2</v>
      </c>
      <c r="P247">
        <f t="shared" si="35"/>
        <v>100.50000000000001</v>
      </c>
      <c r="Q247" s="32">
        <v>214</v>
      </c>
      <c r="R247">
        <v>1.1499999999999999</v>
      </c>
      <c r="S247" s="34">
        <f t="shared" si="30"/>
        <v>2.76</v>
      </c>
      <c r="T247" s="33">
        <f t="shared" si="31"/>
        <v>-2.36</v>
      </c>
      <c r="U247" s="33">
        <f t="shared" si="36"/>
        <v>99.976874239350863</v>
      </c>
      <c r="V247" s="33">
        <f>MIN(U242:U262)</f>
        <v>60.601874239350856</v>
      </c>
      <c r="W247">
        <v>777.9</v>
      </c>
      <c r="Y247">
        <f t="shared" si="33"/>
        <v>130638.00000000006</v>
      </c>
      <c r="Z247">
        <f t="shared" si="38"/>
        <v>8528.5</v>
      </c>
      <c r="AA247">
        <v>12.532751706570895</v>
      </c>
      <c r="AB247">
        <v>5</v>
      </c>
    </row>
    <row r="248" spans="1:31" x14ac:dyDescent="0.25">
      <c r="A248">
        <v>5160</v>
      </c>
      <c r="B248">
        <v>23050</v>
      </c>
      <c r="C248" s="1">
        <v>42826</v>
      </c>
      <c r="F248" s="56"/>
      <c r="G248">
        <v>10.7</v>
      </c>
      <c r="H248">
        <v>7.6</v>
      </c>
      <c r="I248">
        <v>14.3</v>
      </c>
      <c r="J248">
        <f t="shared" si="32"/>
        <v>1799.0000000000009</v>
      </c>
      <c r="K248">
        <f t="shared" si="37"/>
        <v>85.2</v>
      </c>
      <c r="L248" s="15" t="s">
        <v>41</v>
      </c>
      <c r="M248">
        <v>0.1</v>
      </c>
      <c r="N248">
        <v>1</v>
      </c>
      <c r="O248">
        <f t="shared" si="29"/>
        <v>-0.9</v>
      </c>
      <c r="P248">
        <f t="shared" si="35"/>
        <v>99.600000000000009</v>
      </c>
      <c r="Q248">
        <v>215</v>
      </c>
      <c r="R248">
        <v>1.1499999999999999</v>
      </c>
      <c r="S248" s="34">
        <f t="shared" si="30"/>
        <v>1.1499999999999999</v>
      </c>
      <c r="T248" s="33">
        <f t="shared" si="31"/>
        <v>-1.0499999999999998</v>
      </c>
      <c r="U248" s="33">
        <f t="shared" si="36"/>
        <v>98.926874239350866</v>
      </c>
      <c r="V248" s="28" t="s">
        <v>55</v>
      </c>
      <c r="W248">
        <v>665.5</v>
      </c>
      <c r="Y248">
        <f t="shared" si="33"/>
        <v>131303.50000000006</v>
      </c>
      <c r="Z248">
        <f t="shared" si="38"/>
        <v>9194</v>
      </c>
      <c r="AA248">
        <v>12.591685162030457</v>
      </c>
    </row>
    <row r="249" spans="1:31" x14ac:dyDescent="0.25">
      <c r="A249">
        <v>5160</v>
      </c>
      <c r="B249">
        <v>23050</v>
      </c>
      <c r="C249" s="1">
        <v>42827</v>
      </c>
      <c r="F249" s="56"/>
      <c r="G249">
        <v>11</v>
      </c>
      <c r="H249">
        <v>6.7</v>
      </c>
      <c r="I249">
        <v>15.1</v>
      </c>
      <c r="J249">
        <f t="shared" si="32"/>
        <v>1810.0000000000009</v>
      </c>
      <c r="K249">
        <f t="shared" si="37"/>
        <v>96.2</v>
      </c>
      <c r="L249" s="11">
        <f>MAX(I242:I262)</f>
        <v>23.8</v>
      </c>
      <c r="M249">
        <v>0</v>
      </c>
      <c r="N249">
        <v>1.8</v>
      </c>
      <c r="O249">
        <f t="shared" si="29"/>
        <v>-1.8</v>
      </c>
      <c r="P249">
        <f t="shared" si="35"/>
        <v>97.800000000000011</v>
      </c>
      <c r="Q249" s="32">
        <v>216</v>
      </c>
      <c r="R249">
        <v>1.1499999999999999</v>
      </c>
      <c r="S249" s="34">
        <f t="shared" si="30"/>
        <v>2.0699999999999998</v>
      </c>
      <c r="T249" s="33">
        <f t="shared" si="31"/>
        <v>-2.0699999999999998</v>
      </c>
      <c r="U249" s="33">
        <f t="shared" si="36"/>
        <v>96.856874239350873</v>
      </c>
      <c r="V249" s="33">
        <f>MAX(U242:U262)</f>
        <v>111.93687423935086</v>
      </c>
      <c r="W249">
        <v>1373</v>
      </c>
      <c r="Y249">
        <f t="shared" si="33"/>
        <v>132676.50000000006</v>
      </c>
      <c r="Z249">
        <f t="shared" si="38"/>
        <v>10567</v>
      </c>
      <c r="AA249">
        <v>12.650534990332229</v>
      </c>
    </row>
    <row r="250" spans="1:31" x14ac:dyDescent="0.25">
      <c r="A250">
        <v>5160</v>
      </c>
      <c r="B250">
        <v>23050</v>
      </c>
      <c r="C250" s="1">
        <v>42828</v>
      </c>
      <c r="F250" s="56"/>
      <c r="G250">
        <v>12.3</v>
      </c>
      <c r="H250">
        <v>5.6</v>
      </c>
      <c r="I250">
        <v>18.100000000000001</v>
      </c>
      <c r="J250">
        <f t="shared" si="32"/>
        <v>1822.3000000000009</v>
      </c>
      <c r="K250">
        <f t="shared" si="37"/>
        <v>108.5</v>
      </c>
      <c r="L250" s="15" t="s">
        <v>42</v>
      </c>
      <c r="M250">
        <v>0</v>
      </c>
      <c r="N250">
        <v>2.7</v>
      </c>
      <c r="O250">
        <f t="shared" si="29"/>
        <v>-2.7</v>
      </c>
      <c r="P250">
        <f t="shared" si="35"/>
        <v>95.100000000000009</v>
      </c>
      <c r="Q250">
        <v>217</v>
      </c>
      <c r="R250">
        <v>1.1499999999999999</v>
      </c>
      <c r="S250" s="34">
        <f t="shared" si="30"/>
        <v>3.105</v>
      </c>
      <c r="T250" s="33">
        <f t="shared" si="31"/>
        <v>-3.105</v>
      </c>
      <c r="U250" s="33">
        <f t="shared" si="36"/>
        <v>93.751874239350869</v>
      </c>
      <c r="V250" s="28" t="s">
        <v>56</v>
      </c>
      <c r="W250">
        <v>1737.4</v>
      </c>
      <c r="Y250">
        <f t="shared" si="33"/>
        <v>134413.90000000005</v>
      </c>
      <c r="Z250">
        <f t="shared" si="38"/>
        <v>12304.4</v>
      </c>
      <c r="AA250">
        <v>12.709292255525803</v>
      </c>
    </row>
    <row r="251" spans="1:31" x14ac:dyDescent="0.25">
      <c r="A251">
        <v>5160</v>
      </c>
      <c r="B251">
        <v>23050</v>
      </c>
      <c r="C251" s="1">
        <v>42829</v>
      </c>
      <c r="F251" s="56"/>
      <c r="G251">
        <v>10.6</v>
      </c>
      <c r="H251">
        <v>5.5</v>
      </c>
      <c r="I251">
        <v>15.6</v>
      </c>
      <c r="J251">
        <f t="shared" si="32"/>
        <v>1832.9000000000008</v>
      </c>
      <c r="K251">
        <f t="shared" si="37"/>
        <v>119.1</v>
      </c>
      <c r="L251" s="11">
        <v>0</v>
      </c>
      <c r="M251">
        <v>0</v>
      </c>
      <c r="N251">
        <v>1.5</v>
      </c>
      <c r="O251">
        <f t="shared" si="29"/>
        <v>-1.5</v>
      </c>
      <c r="P251">
        <f t="shared" si="35"/>
        <v>93.600000000000009</v>
      </c>
      <c r="Q251" s="32">
        <v>218</v>
      </c>
      <c r="R251">
        <v>1.1499999999999999</v>
      </c>
      <c r="S251" s="34">
        <f t="shared" si="30"/>
        <v>1.7249999999999999</v>
      </c>
      <c r="T251" s="33">
        <f t="shared" si="31"/>
        <v>-1.7249999999999999</v>
      </c>
      <c r="U251" s="33">
        <f t="shared" si="36"/>
        <v>92.026874239350875</v>
      </c>
      <c r="V251" s="16">
        <f>AVERAGE(U242:U262)</f>
        <v>86.884731382208003</v>
      </c>
      <c r="W251">
        <v>824.2</v>
      </c>
      <c r="Y251">
        <f t="shared" si="33"/>
        <v>135238.10000000006</v>
      </c>
      <c r="Z251">
        <f t="shared" si="38"/>
        <v>13128.6</v>
      </c>
      <c r="AA251">
        <v>12.767947858986778</v>
      </c>
    </row>
    <row r="252" spans="1:31" x14ac:dyDescent="0.25">
      <c r="A252">
        <v>5160</v>
      </c>
      <c r="B252">
        <v>23050</v>
      </c>
      <c r="C252" s="1">
        <v>42830</v>
      </c>
      <c r="F252" s="56"/>
      <c r="G252">
        <v>10.9</v>
      </c>
      <c r="H252">
        <v>7.7</v>
      </c>
      <c r="I252">
        <v>14.7</v>
      </c>
      <c r="J252">
        <f t="shared" si="32"/>
        <v>1843.8000000000009</v>
      </c>
      <c r="K252">
        <f t="shared" si="37"/>
        <v>130</v>
      </c>
      <c r="L252" s="15" t="s">
        <v>43</v>
      </c>
      <c r="M252">
        <v>0</v>
      </c>
      <c r="N252">
        <v>2.1</v>
      </c>
      <c r="O252">
        <f t="shared" si="29"/>
        <v>-2.1</v>
      </c>
      <c r="P252">
        <f t="shared" si="35"/>
        <v>91.500000000000014</v>
      </c>
      <c r="Q252">
        <v>219</v>
      </c>
      <c r="R252">
        <v>1.1499999999999999</v>
      </c>
      <c r="S252" s="34">
        <f t="shared" si="30"/>
        <v>2.415</v>
      </c>
      <c r="T252" s="33">
        <f t="shared" si="31"/>
        <v>-2.415</v>
      </c>
      <c r="U252" s="33">
        <f t="shared" si="36"/>
        <v>89.611874239350868</v>
      </c>
      <c r="W252">
        <v>1391.2</v>
      </c>
      <c r="Y252">
        <f t="shared" si="33"/>
        <v>136629.30000000008</v>
      </c>
      <c r="Z252">
        <f t="shared" si="38"/>
        <v>14519.800000000001</v>
      </c>
      <c r="AA252">
        <v>12.82649252515535</v>
      </c>
    </row>
    <row r="253" spans="1:31" x14ac:dyDescent="0.25">
      <c r="A253">
        <v>5160</v>
      </c>
      <c r="B253">
        <v>23050</v>
      </c>
      <c r="C253" s="1">
        <v>42831</v>
      </c>
      <c r="F253" s="56"/>
      <c r="G253">
        <v>8.8000000000000007</v>
      </c>
      <c r="H253">
        <v>3.8</v>
      </c>
      <c r="I253">
        <v>12.6</v>
      </c>
      <c r="J253">
        <f t="shared" si="32"/>
        <v>1852.6000000000008</v>
      </c>
      <c r="K253">
        <f t="shared" si="37"/>
        <v>138.80000000000001</v>
      </c>
      <c r="L253" s="11">
        <v>7</v>
      </c>
      <c r="M253">
        <v>0</v>
      </c>
      <c r="N253">
        <v>2.4</v>
      </c>
      <c r="O253">
        <f t="shared" si="29"/>
        <v>-2.4</v>
      </c>
      <c r="P253">
        <f t="shared" si="35"/>
        <v>89.100000000000009</v>
      </c>
      <c r="Q253" s="32">
        <v>220</v>
      </c>
      <c r="R253">
        <v>1.1499999999999999</v>
      </c>
      <c r="S253" s="34">
        <f t="shared" si="30"/>
        <v>2.76</v>
      </c>
      <c r="T253" s="33">
        <f t="shared" si="31"/>
        <v>-2.76</v>
      </c>
      <c r="U253" s="33">
        <f t="shared" si="36"/>
        <v>86.851874239350863</v>
      </c>
      <c r="V253" s="21">
        <f>(V251*100)/146.7</f>
        <v>59.22612909489299</v>
      </c>
      <c r="W253">
        <v>1699.3</v>
      </c>
      <c r="Y253">
        <f t="shared" si="33"/>
        <v>138328.60000000006</v>
      </c>
      <c r="Z253">
        <f t="shared" si="38"/>
        <v>16219.1</v>
      </c>
      <c r="AA253">
        <v>12.884916787426894</v>
      </c>
    </row>
    <row r="254" spans="1:31" x14ac:dyDescent="0.25">
      <c r="A254">
        <v>5160</v>
      </c>
      <c r="B254">
        <v>23050</v>
      </c>
      <c r="C254" s="1">
        <v>42832</v>
      </c>
      <c r="F254" s="56"/>
      <c r="G254">
        <v>10.199999999999999</v>
      </c>
      <c r="H254">
        <v>3</v>
      </c>
      <c r="I254">
        <v>16.2</v>
      </c>
      <c r="J254">
        <f t="shared" si="32"/>
        <v>1862.8000000000009</v>
      </c>
      <c r="K254">
        <f t="shared" si="37"/>
        <v>149</v>
      </c>
      <c r="L254" s="15" t="s">
        <v>44</v>
      </c>
      <c r="M254">
        <v>0</v>
      </c>
      <c r="N254">
        <v>3</v>
      </c>
      <c r="O254">
        <f t="shared" si="29"/>
        <v>-3</v>
      </c>
      <c r="P254">
        <f t="shared" si="35"/>
        <v>86.100000000000009</v>
      </c>
      <c r="Q254">
        <v>221</v>
      </c>
      <c r="R254">
        <v>1.1499999999999999</v>
      </c>
      <c r="S254" s="34">
        <f t="shared" si="30"/>
        <v>3.4499999999999997</v>
      </c>
      <c r="T254" s="33">
        <f t="shared" si="31"/>
        <v>-3.4499999999999997</v>
      </c>
      <c r="U254" s="33">
        <f t="shared" si="36"/>
        <v>83.40187423935086</v>
      </c>
      <c r="W254">
        <v>2156.9</v>
      </c>
      <c r="Y254">
        <f t="shared" si="33"/>
        <v>140485.50000000006</v>
      </c>
      <c r="Z254">
        <f t="shared" si="38"/>
        <v>18376</v>
      </c>
      <c r="AA254">
        <v>12.943210974213198</v>
      </c>
    </row>
    <row r="255" spans="1:31" x14ac:dyDescent="0.25">
      <c r="A255">
        <v>5160</v>
      </c>
      <c r="B255">
        <v>23050</v>
      </c>
      <c r="C255" s="1">
        <v>42833</v>
      </c>
      <c r="F255" s="56"/>
      <c r="G255">
        <v>13.9</v>
      </c>
      <c r="H255">
        <v>6.5</v>
      </c>
      <c r="I255">
        <v>20.2</v>
      </c>
      <c r="J255">
        <f t="shared" si="32"/>
        <v>1876.700000000001</v>
      </c>
      <c r="K255">
        <f t="shared" si="37"/>
        <v>162.9</v>
      </c>
      <c r="L255" s="17">
        <v>0</v>
      </c>
      <c r="M255">
        <v>0</v>
      </c>
      <c r="N255">
        <v>3.8</v>
      </c>
      <c r="O255">
        <f t="shared" si="29"/>
        <v>-3.8</v>
      </c>
      <c r="P255">
        <f t="shared" si="35"/>
        <v>82.300000000000011</v>
      </c>
      <c r="Q255" s="32">
        <v>222</v>
      </c>
      <c r="R255">
        <v>1.1499999999999999</v>
      </c>
      <c r="S255" s="34">
        <f t="shared" si="30"/>
        <v>4.3699999999999992</v>
      </c>
      <c r="T255" s="33">
        <f t="shared" si="31"/>
        <v>-4.3699999999999992</v>
      </c>
      <c r="U255" s="33">
        <f t="shared" si="36"/>
        <v>79.031874239350856</v>
      </c>
      <c r="W255">
        <v>2359.1999999999998</v>
      </c>
      <c r="Y255">
        <f t="shared" si="33"/>
        <v>142844.70000000007</v>
      </c>
      <c r="Z255">
        <f t="shared" si="38"/>
        <v>20735.2</v>
      </c>
      <c r="AA255">
        <v>13.001365195194463</v>
      </c>
    </row>
    <row r="256" spans="1:31" x14ac:dyDescent="0.25">
      <c r="A256">
        <v>5160</v>
      </c>
      <c r="B256">
        <v>23050</v>
      </c>
      <c r="C256" s="1">
        <v>42834</v>
      </c>
      <c r="F256" s="56"/>
      <c r="G256">
        <v>16.3</v>
      </c>
      <c r="H256">
        <v>8.3000000000000007</v>
      </c>
      <c r="I256">
        <v>23.8</v>
      </c>
      <c r="J256">
        <f t="shared" si="32"/>
        <v>1893.0000000000009</v>
      </c>
      <c r="K256">
        <f t="shared" si="37"/>
        <v>179.20000000000002</v>
      </c>
      <c r="M256">
        <v>0</v>
      </c>
      <c r="N256">
        <v>4.2</v>
      </c>
      <c r="O256">
        <f t="shared" si="29"/>
        <v>-4.2</v>
      </c>
      <c r="P256">
        <f t="shared" si="35"/>
        <v>78.100000000000009</v>
      </c>
      <c r="Q256">
        <v>223</v>
      </c>
      <c r="R256">
        <v>1.1499999999999999</v>
      </c>
      <c r="S256" s="34">
        <f t="shared" si="30"/>
        <v>4.83</v>
      </c>
      <c r="T256" s="33">
        <f t="shared" si="31"/>
        <v>-4.83</v>
      </c>
      <c r="U256" s="33">
        <f t="shared" si="36"/>
        <v>74.201874239350857</v>
      </c>
      <c r="W256">
        <v>2397.1</v>
      </c>
      <c r="Y256">
        <f t="shared" si="33"/>
        <v>145241.80000000008</v>
      </c>
      <c r="Z256">
        <f t="shared" si="38"/>
        <v>23132.3</v>
      </c>
      <c r="AA256">
        <v>13.059369327783767</v>
      </c>
    </row>
    <row r="257" spans="1:28" x14ac:dyDescent="0.25">
      <c r="A257">
        <v>5160</v>
      </c>
      <c r="B257">
        <v>23050</v>
      </c>
      <c r="C257" s="1">
        <v>42835</v>
      </c>
      <c r="F257" s="56"/>
      <c r="G257">
        <v>11.7</v>
      </c>
      <c r="H257">
        <v>8.1</v>
      </c>
      <c r="I257">
        <v>16</v>
      </c>
      <c r="J257">
        <f t="shared" si="32"/>
        <v>1904.700000000001</v>
      </c>
      <c r="K257">
        <f t="shared" si="37"/>
        <v>190.9</v>
      </c>
      <c r="M257">
        <v>0</v>
      </c>
      <c r="N257">
        <v>1.7</v>
      </c>
      <c r="O257">
        <f t="shared" si="29"/>
        <v>-1.7</v>
      </c>
      <c r="P257">
        <f t="shared" si="35"/>
        <v>76.400000000000006</v>
      </c>
      <c r="Q257" s="32">
        <v>224</v>
      </c>
      <c r="R257">
        <v>1.1499999999999999</v>
      </c>
      <c r="S257" s="34">
        <f t="shared" si="30"/>
        <v>1.9549999999999998</v>
      </c>
      <c r="T257" s="33">
        <f t="shared" si="31"/>
        <v>-1.9549999999999998</v>
      </c>
      <c r="U257" s="33">
        <f t="shared" si="36"/>
        <v>72.246874239350859</v>
      </c>
      <c r="W257">
        <v>1108.5999999999999</v>
      </c>
      <c r="Y257">
        <f t="shared" si="33"/>
        <v>146350.40000000008</v>
      </c>
      <c r="Z257">
        <f t="shared" si="38"/>
        <v>24240.899999999998</v>
      </c>
      <c r="AA257">
        <v>13.117213003827164</v>
      </c>
    </row>
    <row r="258" spans="1:28" x14ac:dyDescent="0.25">
      <c r="A258">
        <v>5160</v>
      </c>
      <c r="B258">
        <v>23050</v>
      </c>
      <c r="C258" s="1">
        <v>42836</v>
      </c>
      <c r="F258" s="56"/>
      <c r="G258">
        <v>9.5</v>
      </c>
      <c r="H258">
        <v>4.4000000000000004</v>
      </c>
      <c r="I258">
        <v>14</v>
      </c>
      <c r="J258">
        <f t="shared" si="32"/>
        <v>1914.200000000001</v>
      </c>
      <c r="K258">
        <f t="shared" si="37"/>
        <v>200.4</v>
      </c>
      <c r="M258">
        <v>0</v>
      </c>
      <c r="N258">
        <v>3.1</v>
      </c>
      <c r="O258">
        <f t="shared" si="29"/>
        <v>-3.1</v>
      </c>
      <c r="P258">
        <f t="shared" si="35"/>
        <v>73.300000000000011</v>
      </c>
      <c r="Q258">
        <v>225</v>
      </c>
      <c r="R258">
        <v>1.1499999999999999</v>
      </c>
      <c r="S258" s="34">
        <f t="shared" si="30"/>
        <v>3.5649999999999999</v>
      </c>
      <c r="T258" s="33">
        <f t="shared" si="31"/>
        <v>-3.5649999999999999</v>
      </c>
      <c r="U258" s="33">
        <f t="shared" si="36"/>
        <v>68.681874239350861</v>
      </c>
      <c r="W258">
        <v>2180.4</v>
      </c>
      <c r="Y258">
        <f t="shared" si="33"/>
        <v>148530.80000000008</v>
      </c>
      <c r="Z258">
        <f t="shared" si="38"/>
        <v>26421.3</v>
      </c>
      <c r="AA258">
        <v>13.174885596564577</v>
      </c>
    </row>
    <row r="259" spans="1:28" x14ac:dyDescent="0.25">
      <c r="A259">
        <v>5160</v>
      </c>
      <c r="B259">
        <v>23050</v>
      </c>
      <c r="C259" s="1">
        <v>42837</v>
      </c>
      <c r="F259" s="56"/>
      <c r="G259">
        <v>10.5</v>
      </c>
      <c r="H259">
        <v>3</v>
      </c>
      <c r="I259">
        <v>16.7</v>
      </c>
      <c r="J259">
        <f t="shared" si="32"/>
        <v>1924.700000000001</v>
      </c>
      <c r="K259">
        <f t="shared" si="37"/>
        <v>210.9</v>
      </c>
      <c r="M259">
        <v>0</v>
      </c>
      <c r="N259">
        <v>3.3</v>
      </c>
      <c r="O259">
        <f t="shared" si="29"/>
        <v>-3.3</v>
      </c>
      <c r="P259">
        <f t="shared" si="35"/>
        <v>70.000000000000014</v>
      </c>
      <c r="Q259" s="32">
        <v>226</v>
      </c>
      <c r="R259">
        <v>1.1499999999999999</v>
      </c>
      <c r="S259" s="34">
        <f t="shared" si="30"/>
        <v>3.7949999999999995</v>
      </c>
      <c r="T259" s="33">
        <f t="shared" si="31"/>
        <v>-3.7949999999999995</v>
      </c>
      <c r="U259" s="33">
        <f t="shared" si="36"/>
        <v>64.88687423935086</v>
      </c>
      <c r="W259">
        <v>2428.8000000000002</v>
      </c>
      <c r="Y259">
        <f t="shared" si="33"/>
        <v>150959.60000000006</v>
      </c>
      <c r="Z259">
        <f t="shared" si="38"/>
        <v>28850.1</v>
      </c>
      <c r="AA259">
        <v>13.232376207878195</v>
      </c>
    </row>
    <row r="260" spans="1:28" x14ac:dyDescent="0.25">
      <c r="A260">
        <v>5160</v>
      </c>
      <c r="B260">
        <v>23050</v>
      </c>
      <c r="C260" s="1">
        <v>42838</v>
      </c>
      <c r="F260" s="56"/>
      <c r="G260">
        <v>10</v>
      </c>
      <c r="H260">
        <v>2.9</v>
      </c>
      <c r="I260">
        <v>14.8</v>
      </c>
      <c r="J260">
        <f t="shared" si="32"/>
        <v>1934.700000000001</v>
      </c>
      <c r="K260">
        <f t="shared" si="37"/>
        <v>220.9</v>
      </c>
      <c r="M260">
        <v>0</v>
      </c>
      <c r="N260">
        <v>1.5</v>
      </c>
      <c r="O260">
        <f t="shared" si="29"/>
        <v>-1.5</v>
      </c>
      <c r="P260">
        <f t="shared" si="35"/>
        <v>68.500000000000014</v>
      </c>
      <c r="Q260">
        <v>227</v>
      </c>
      <c r="R260">
        <v>1.1499999999999999</v>
      </c>
      <c r="S260" s="34">
        <f t="shared" si="30"/>
        <v>1.7249999999999999</v>
      </c>
      <c r="T260" s="33">
        <f t="shared" si="31"/>
        <v>-1.7249999999999999</v>
      </c>
      <c r="U260" s="33">
        <f t="shared" si="36"/>
        <v>63.161874239350858</v>
      </c>
      <c r="W260">
        <v>1393.6</v>
      </c>
      <c r="Y260">
        <f t="shared" si="33"/>
        <v>152353.20000000007</v>
      </c>
      <c r="Z260">
        <f t="shared" si="38"/>
        <v>30243.699999999997</v>
      </c>
      <c r="AA260">
        <v>13.289673655857245</v>
      </c>
    </row>
    <row r="261" spans="1:28" x14ac:dyDescent="0.25">
      <c r="A261">
        <v>5160</v>
      </c>
      <c r="B261">
        <v>23050</v>
      </c>
      <c r="C261" s="1">
        <v>42839</v>
      </c>
      <c r="F261" s="56"/>
      <c r="G261">
        <v>11.9</v>
      </c>
      <c r="H261">
        <v>8</v>
      </c>
      <c r="I261">
        <v>15.6</v>
      </c>
      <c r="J261">
        <f t="shared" si="32"/>
        <v>1946.600000000001</v>
      </c>
      <c r="K261">
        <f t="shared" si="37"/>
        <v>232.8</v>
      </c>
      <c r="M261">
        <v>0</v>
      </c>
      <c r="N261">
        <v>1.5</v>
      </c>
      <c r="O261">
        <f t="shared" si="29"/>
        <v>-1.5</v>
      </c>
      <c r="P261">
        <f t="shared" si="35"/>
        <v>67.000000000000014</v>
      </c>
      <c r="Q261" s="32">
        <v>228</v>
      </c>
      <c r="R261">
        <v>1.1499999999999999</v>
      </c>
      <c r="S261" s="34">
        <f t="shared" si="30"/>
        <v>1.7249999999999999</v>
      </c>
      <c r="T261" s="33">
        <f t="shared" si="31"/>
        <v>-1.7249999999999999</v>
      </c>
      <c r="U261" s="33">
        <f t="shared" si="36"/>
        <v>61.436874239350857</v>
      </c>
      <c r="W261">
        <v>1081.5999999999999</v>
      </c>
      <c r="Y261">
        <f t="shared" si="33"/>
        <v>153434.80000000008</v>
      </c>
      <c r="Z261">
        <f t="shared" si="38"/>
        <v>31325.299999999996</v>
      </c>
      <c r="AA261">
        <v>13.346766462709832</v>
      </c>
    </row>
    <row r="262" spans="1:28" s="35" customFormat="1" ht="15.75" thickBot="1" x14ac:dyDescent="0.3">
      <c r="A262" s="35">
        <v>5160</v>
      </c>
      <c r="B262" s="35">
        <v>23050</v>
      </c>
      <c r="C262" s="36">
        <v>42840</v>
      </c>
      <c r="D262" s="35" t="s">
        <v>51</v>
      </c>
      <c r="F262" s="56"/>
      <c r="G262" s="35">
        <v>10.6</v>
      </c>
      <c r="H262" s="35">
        <v>7.9</v>
      </c>
      <c r="I262" s="35">
        <v>12.7</v>
      </c>
      <c r="J262" s="35">
        <f t="shared" si="32"/>
        <v>1957.200000000001</v>
      </c>
      <c r="K262" s="35">
        <f t="shared" si="37"/>
        <v>243.4</v>
      </c>
      <c r="L262" s="37"/>
      <c r="M262" s="35">
        <v>0.2</v>
      </c>
      <c r="N262" s="35">
        <v>0.9</v>
      </c>
      <c r="O262" s="35">
        <f t="shared" si="29"/>
        <v>-0.7</v>
      </c>
      <c r="P262" s="35">
        <f t="shared" si="35"/>
        <v>66.300000000000011</v>
      </c>
      <c r="Q262" s="35">
        <v>229</v>
      </c>
      <c r="R262" s="35">
        <v>1.1499999999999999</v>
      </c>
      <c r="S262" s="39">
        <f t="shared" si="30"/>
        <v>1.0349999999999999</v>
      </c>
      <c r="T262" s="40">
        <f t="shared" si="31"/>
        <v>-0.83499999999999996</v>
      </c>
      <c r="U262" s="33">
        <f t="shared" si="36"/>
        <v>60.601874239350856</v>
      </c>
      <c r="V262" s="37"/>
      <c r="W262" s="35">
        <v>396</v>
      </c>
      <c r="Y262" s="35">
        <f t="shared" si="33"/>
        <v>153830.80000000008</v>
      </c>
      <c r="Z262" s="35">
        <f t="shared" si="38"/>
        <v>31721.299999999996</v>
      </c>
      <c r="AA262" s="35">
        <v>13.403642843054733</v>
      </c>
      <c r="AB262" s="37"/>
    </row>
    <row r="263" spans="1:28" s="43" customFormat="1" x14ac:dyDescent="0.25">
      <c r="A263" s="43">
        <v>5160</v>
      </c>
      <c r="B263" s="43">
        <v>23050</v>
      </c>
      <c r="C263" s="44">
        <v>42841</v>
      </c>
      <c r="F263" s="57" t="s">
        <v>49</v>
      </c>
      <c r="G263" s="43">
        <v>10</v>
      </c>
      <c r="H263" s="43">
        <v>6.6</v>
      </c>
      <c r="I263" s="43">
        <v>13.3</v>
      </c>
      <c r="J263" s="43">
        <f t="shared" si="32"/>
        <v>1967.200000000001</v>
      </c>
      <c r="K263">
        <f>G263</f>
        <v>10</v>
      </c>
      <c r="L263" s="18" t="s">
        <v>38</v>
      </c>
      <c r="M263" s="43">
        <v>0</v>
      </c>
      <c r="N263" s="43">
        <v>1.4</v>
      </c>
      <c r="O263" s="43">
        <f t="shared" si="29"/>
        <v>-1.4</v>
      </c>
      <c r="P263" s="43">
        <f t="shared" si="35"/>
        <v>64.900000000000006</v>
      </c>
      <c r="Q263" s="47">
        <v>230</v>
      </c>
      <c r="R263" s="43">
        <v>1.1499999999999999</v>
      </c>
      <c r="S263" s="45">
        <f t="shared" si="30"/>
        <v>1.6099999999999999</v>
      </c>
      <c r="T263" s="46">
        <f t="shared" si="31"/>
        <v>-1.6099999999999999</v>
      </c>
      <c r="U263" s="33">
        <f t="shared" si="36"/>
        <v>58.991874239350857</v>
      </c>
      <c r="V263" s="29" t="s">
        <v>52</v>
      </c>
      <c r="W263" s="43">
        <v>871.9</v>
      </c>
      <c r="Y263" s="43">
        <f t="shared" si="33"/>
        <v>154702.70000000007</v>
      </c>
      <c r="Z263">
        <f>W263</f>
        <v>871.9</v>
      </c>
      <c r="AA263" s="43">
        <v>13.46029069262814</v>
      </c>
      <c r="AB263" s="29" t="s">
        <v>57</v>
      </c>
    </row>
    <row r="264" spans="1:28" ht="15" customHeight="1" x14ac:dyDescent="0.25">
      <c r="A264">
        <v>5160</v>
      </c>
      <c r="B264">
        <v>23050</v>
      </c>
      <c r="C264" s="1">
        <v>42842</v>
      </c>
      <c r="F264" s="57"/>
      <c r="G264">
        <v>9</v>
      </c>
      <c r="H264">
        <v>4.0999999999999996</v>
      </c>
      <c r="I264">
        <v>13.9</v>
      </c>
      <c r="J264">
        <f t="shared" si="32"/>
        <v>1976.200000000001</v>
      </c>
      <c r="K264">
        <f t="shared" si="37"/>
        <v>19</v>
      </c>
      <c r="L264" s="11">
        <v>311</v>
      </c>
      <c r="M264">
        <v>0</v>
      </c>
      <c r="N264">
        <v>1.8</v>
      </c>
      <c r="O264">
        <f t="shared" si="29"/>
        <v>-1.8</v>
      </c>
      <c r="P264">
        <f t="shared" si="35"/>
        <v>63.100000000000009</v>
      </c>
      <c r="Q264">
        <v>231</v>
      </c>
      <c r="R264">
        <v>1.1499999999999999</v>
      </c>
      <c r="S264" s="34">
        <f t="shared" si="30"/>
        <v>2.0699999999999998</v>
      </c>
      <c r="T264" s="33">
        <f t="shared" si="31"/>
        <v>-2.0699999999999998</v>
      </c>
      <c r="U264" s="33">
        <f t="shared" si="36"/>
        <v>56.921874239350856</v>
      </c>
      <c r="V264">
        <v>0</v>
      </c>
      <c r="W264">
        <v>1463.8</v>
      </c>
      <c r="Y264">
        <f t="shared" si="33"/>
        <v>156166.50000000006</v>
      </c>
      <c r="Z264">
        <f t="shared" si="38"/>
        <v>2335.6999999999998</v>
      </c>
      <c r="AA264">
        <v>13.516697577442539</v>
      </c>
      <c r="AB264">
        <v>45891.3</v>
      </c>
    </row>
    <row r="265" spans="1:28" x14ac:dyDescent="0.25">
      <c r="A265">
        <v>5160</v>
      </c>
      <c r="B265">
        <v>23050</v>
      </c>
      <c r="C265" s="1">
        <v>42843</v>
      </c>
      <c r="F265" s="57"/>
      <c r="G265">
        <v>7.4</v>
      </c>
      <c r="H265">
        <v>3.2</v>
      </c>
      <c r="I265">
        <v>11.8</v>
      </c>
      <c r="J265">
        <f t="shared" si="32"/>
        <v>1983.600000000001</v>
      </c>
      <c r="K265">
        <f t="shared" si="37"/>
        <v>26.4</v>
      </c>
      <c r="L265" s="18" t="s">
        <v>39</v>
      </c>
      <c r="M265">
        <v>0</v>
      </c>
      <c r="N265">
        <v>2.4</v>
      </c>
      <c r="O265">
        <f t="shared" si="29"/>
        <v>-2.4</v>
      </c>
      <c r="P265">
        <f t="shared" si="35"/>
        <v>60.70000000000001</v>
      </c>
      <c r="Q265" s="32">
        <v>232</v>
      </c>
      <c r="R265">
        <v>1.1499999999999999</v>
      </c>
      <c r="S265" s="34">
        <f t="shared" si="30"/>
        <v>2.76</v>
      </c>
      <c r="T265" s="33">
        <f t="shared" si="31"/>
        <v>-2.76</v>
      </c>
      <c r="U265" s="33">
        <f t="shared" si="36"/>
        <v>54.161874239350858</v>
      </c>
      <c r="V265" s="29" t="s">
        <v>53</v>
      </c>
      <c r="W265">
        <v>1754.1</v>
      </c>
      <c r="Y265">
        <f t="shared" si="33"/>
        <v>157920.60000000006</v>
      </c>
      <c r="Z265">
        <f t="shared" si="38"/>
        <v>4089.7999999999997</v>
      </c>
      <c r="AA265">
        <v>13.572850723437234</v>
      </c>
      <c r="AB265" s="29" t="s">
        <v>58</v>
      </c>
    </row>
    <row r="266" spans="1:28" x14ac:dyDescent="0.25">
      <c r="A266">
        <v>5160</v>
      </c>
      <c r="B266">
        <v>23050</v>
      </c>
      <c r="C266" s="1">
        <v>42844</v>
      </c>
      <c r="F266" s="57"/>
      <c r="G266">
        <v>6.4</v>
      </c>
      <c r="H266">
        <v>2</v>
      </c>
      <c r="I266">
        <v>11.6</v>
      </c>
      <c r="J266">
        <f t="shared" si="32"/>
        <v>1990.0000000000011</v>
      </c>
      <c r="K266">
        <f t="shared" si="37"/>
        <v>32.799999999999997</v>
      </c>
      <c r="L266" s="16">
        <f>AVERAGE(G263:G292)</f>
        <v>10.366666666666667</v>
      </c>
      <c r="M266">
        <v>0</v>
      </c>
      <c r="N266">
        <v>3</v>
      </c>
      <c r="O266">
        <f t="shared" si="29"/>
        <v>-3</v>
      </c>
      <c r="P266">
        <f t="shared" si="35"/>
        <v>57.70000000000001</v>
      </c>
      <c r="Q266">
        <v>233</v>
      </c>
      <c r="R266">
        <v>1.1499999999999999</v>
      </c>
      <c r="S266" s="34">
        <f t="shared" si="30"/>
        <v>3.4499999999999997</v>
      </c>
      <c r="T266" s="33">
        <f t="shared" si="31"/>
        <v>-3.4499999999999997</v>
      </c>
      <c r="U266" s="33">
        <f t="shared" si="36"/>
        <v>50.711874239350855</v>
      </c>
      <c r="V266">
        <v>26</v>
      </c>
      <c r="W266">
        <v>1902</v>
      </c>
      <c r="Y266">
        <f t="shared" si="33"/>
        <v>159822.60000000006</v>
      </c>
      <c r="Z266">
        <f t="shared" si="38"/>
        <v>5991.7999999999993</v>
      </c>
      <c r="AA266">
        <v>13.628737006662288</v>
      </c>
      <c r="AB266">
        <f>(AB264/100)/L264</f>
        <v>1.4756045016077171</v>
      </c>
    </row>
    <row r="267" spans="1:28" x14ac:dyDescent="0.25">
      <c r="A267">
        <v>5160</v>
      </c>
      <c r="B267">
        <v>23050</v>
      </c>
      <c r="C267" s="1">
        <v>42845</v>
      </c>
      <c r="F267" s="57"/>
      <c r="G267">
        <v>6.2</v>
      </c>
      <c r="H267">
        <v>-0.1</v>
      </c>
      <c r="I267">
        <v>11.4</v>
      </c>
      <c r="J267">
        <f t="shared" si="32"/>
        <v>1996.2000000000012</v>
      </c>
      <c r="K267">
        <f t="shared" si="37"/>
        <v>39</v>
      </c>
      <c r="L267" s="18" t="s">
        <v>40</v>
      </c>
      <c r="M267">
        <v>0</v>
      </c>
      <c r="N267">
        <v>3.6</v>
      </c>
      <c r="O267">
        <f t="shared" si="29"/>
        <v>-3.6</v>
      </c>
      <c r="P267">
        <f t="shared" si="35"/>
        <v>54.100000000000009</v>
      </c>
      <c r="Q267" s="32">
        <v>234</v>
      </c>
      <c r="R267">
        <v>1.1499999999999999</v>
      </c>
      <c r="S267" s="34">
        <f t="shared" si="30"/>
        <v>4.1399999999999997</v>
      </c>
      <c r="T267" s="33">
        <f t="shared" si="31"/>
        <v>-4.1399999999999997</v>
      </c>
      <c r="U267" s="33">
        <f t="shared" si="36"/>
        <v>46.571874239350855</v>
      </c>
      <c r="V267" s="29" t="s">
        <v>54</v>
      </c>
      <c r="W267">
        <v>2697</v>
      </c>
      <c r="Y267">
        <f t="shared" si="33"/>
        <v>162519.60000000006</v>
      </c>
      <c r="Z267">
        <f t="shared" si="38"/>
        <v>8688.7999999999993</v>
      </c>
      <c r="AA267">
        <v>13.684342944039988</v>
      </c>
      <c r="AB267" s="29" t="s">
        <v>59</v>
      </c>
    </row>
    <row r="268" spans="1:28" x14ac:dyDescent="0.25">
      <c r="A268">
        <v>5160</v>
      </c>
      <c r="B268">
        <v>23050</v>
      </c>
      <c r="C268" s="1">
        <v>42846</v>
      </c>
      <c r="F268" s="57"/>
      <c r="G268">
        <v>9.1</v>
      </c>
      <c r="H268">
        <v>2.5</v>
      </c>
      <c r="I268">
        <v>15.5</v>
      </c>
      <c r="J268">
        <f t="shared" si="32"/>
        <v>2005.3000000000011</v>
      </c>
      <c r="K268">
        <f t="shared" si="37"/>
        <v>48.1</v>
      </c>
      <c r="L268" s="12">
        <v>-0.1</v>
      </c>
      <c r="M268">
        <v>0</v>
      </c>
      <c r="N268">
        <v>4.2</v>
      </c>
      <c r="O268">
        <f t="shared" si="29"/>
        <v>-4.2</v>
      </c>
      <c r="P268">
        <f t="shared" si="35"/>
        <v>49.900000000000006</v>
      </c>
      <c r="Q268">
        <v>235</v>
      </c>
      <c r="R268">
        <v>1.1499999999999999</v>
      </c>
      <c r="S268" s="34">
        <f t="shared" si="30"/>
        <v>4.83</v>
      </c>
      <c r="T268" s="33">
        <f t="shared" si="31"/>
        <v>-4.83</v>
      </c>
      <c r="U268" s="33">
        <f t="shared" si="36"/>
        <v>41.741874239350857</v>
      </c>
      <c r="V268" s="33">
        <f>MIN(U263:U292)</f>
        <v>20.671874239350863</v>
      </c>
      <c r="W268">
        <v>2701.5</v>
      </c>
      <c r="Y268">
        <f t="shared" si="33"/>
        <v>165221.10000000006</v>
      </c>
      <c r="Z268">
        <f t="shared" si="38"/>
        <v>11390.3</v>
      </c>
      <c r="AA268">
        <v>13.739654684750311</v>
      </c>
      <c r="AB268">
        <v>5</v>
      </c>
    </row>
    <row r="269" spans="1:28" x14ac:dyDescent="0.25">
      <c r="A269">
        <v>5160</v>
      </c>
      <c r="B269">
        <v>23050</v>
      </c>
      <c r="C269" s="1">
        <v>42847</v>
      </c>
      <c r="F269" s="57"/>
      <c r="G269">
        <v>10.5</v>
      </c>
      <c r="H269">
        <v>2.9</v>
      </c>
      <c r="I269">
        <v>16.899999999999999</v>
      </c>
      <c r="J269">
        <f t="shared" si="32"/>
        <v>2015.8000000000011</v>
      </c>
      <c r="K269">
        <f t="shared" si="37"/>
        <v>58.6</v>
      </c>
      <c r="L269" s="18" t="s">
        <v>41</v>
      </c>
      <c r="M269">
        <v>0</v>
      </c>
      <c r="N269">
        <v>2.4</v>
      </c>
      <c r="O269">
        <f t="shared" si="29"/>
        <v>-2.4</v>
      </c>
      <c r="P269">
        <f t="shared" si="35"/>
        <v>47.500000000000007</v>
      </c>
      <c r="Q269" s="32">
        <v>236</v>
      </c>
      <c r="R269">
        <v>1.1499999999999999</v>
      </c>
      <c r="S269" s="34">
        <f t="shared" si="30"/>
        <v>2.76</v>
      </c>
      <c r="T269" s="33">
        <f t="shared" si="31"/>
        <v>-2.76</v>
      </c>
      <c r="U269" s="33">
        <f t="shared" si="36"/>
        <v>38.981874239350859</v>
      </c>
      <c r="V269" s="29" t="s">
        <v>55</v>
      </c>
      <c r="W269">
        <v>1491.6</v>
      </c>
      <c r="Y269">
        <f t="shared" si="33"/>
        <v>166712.70000000007</v>
      </c>
      <c r="Z269">
        <f t="shared" si="38"/>
        <v>12881.9</v>
      </c>
      <c r="AA269">
        <v>13.794658002289198</v>
      </c>
    </row>
    <row r="270" spans="1:28" x14ac:dyDescent="0.25">
      <c r="A270">
        <v>5160</v>
      </c>
      <c r="B270">
        <v>23050</v>
      </c>
      <c r="C270" s="1">
        <v>42848</v>
      </c>
      <c r="F270" s="57"/>
      <c r="G270">
        <v>9.6999999999999993</v>
      </c>
      <c r="H270">
        <v>4.9000000000000004</v>
      </c>
      <c r="I270">
        <v>14.4</v>
      </c>
      <c r="J270">
        <f t="shared" si="32"/>
        <v>2025.5000000000011</v>
      </c>
      <c r="K270">
        <f t="shared" si="37"/>
        <v>68.3</v>
      </c>
      <c r="L270" s="11">
        <f>MAX(I263:I292)</f>
        <v>22.9</v>
      </c>
      <c r="M270">
        <v>0</v>
      </c>
      <c r="N270">
        <v>3.9</v>
      </c>
      <c r="O270">
        <f t="shared" si="29"/>
        <v>-3.9</v>
      </c>
      <c r="P270">
        <f t="shared" si="35"/>
        <v>43.600000000000009</v>
      </c>
      <c r="Q270">
        <v>237</v>
      </c>
      <c r="R270">
        <v>1.1499999999999999</v>
      </c>
      <c r="S270" s="34">
        <f t="shared" si="30"/>
        <v>4.4849999999999994</v>
      </c>
      <c r="T270" s="33">
        <f t="shared" si="31"/>
        <v>-4.4849999999999994</v>
      </c>
      <c r="U270" s="33">
        <f t="shared" si="36"/>
        <v>34.496874239350859</v>
      </c>
      <c r="V270" s="33">
        <f>MAX(U263:U292)</f>
        <v>58.991874239350857</v>
      </c>
      <c r="W270">
        <v>2681.2</v>
      </c>
      <c r="Y270">
        <f t="shared" si="33"/>
        <v>169393.90000000008</v>
      </c>
      <c r="Z270">
        <f t="shared" si="38"/>
        <v>15563.099999999999</v>
      </c>
      <c r="AA270">
        <v>13.84933828725077</v>
      </c>
    </row>
    <row r="271" spans="1:28" x14ac:dyDescent="0.25">
      <c r="A271">
        <v>5160</v>
      </c>
      <c r="B271">
        <v>23050</v>
      </c>
      <c r="C271" s="1">
        <v>42849</v>
      </c>
      <c r="F271" s="57"/>
      <c r="G271">
        <v>10</v>
      </c>
      <c r="H271">
        <v>4</v>
      </c>
      <c r="I271">
        <v>15.9</v>
      </c>
      <c r="J271">
        <f t="shared" si="32"/>
        <v>2035.5000000000011</v>
      </c>
      <c r="K271">
        <f t="shared" si="37"/>
        <v>78.3</v>
      </c>
      <c r="L271" s="18" t="s">
        <v>42</v>
      </c>
      <c r="M271">
        <v>0</v>
      </c>
      <c r="N271">
        <v>3.2</v>
      </c>
      <c r="O271">
        <f t="shared" si="29"/>
        <v>-3.2</v>
      </c>
      <c r="P271">
        <f t="shared" si="35"/>
        <v>40.400000000000006</v>
      </c>
      <c r="Q271" s="32">
        <v>238</v>
      </c>
      <c r="R271">
        <v>1.1499999999999999</v>
      </c>
      <c r="S271" s="34">
        <f t="shared" si="30"/>
        <v>3.6799999999999997</v>
      </c>
      <c r="T271" s="33">
        <f t="shared" si="31"/>
        <v>-3.6799999999999997</v>
      </c>
      <c r="U271" s="33">
        <f t="shared" si="36"/>
        <v>30.816874239350859</v>
      </c>
      <c r="V271" s="29" t="s">
        <v>56</v>
      </c>
      <c r="W271">
        <v>2227.9</v>
      </c>
      <c r="Y271">
        <f t="shared" si="33"/>
        <v>171621.80000000008</v>
      </c>
      <c r="Z271">
        <f t="shared" si="38"/>
        <v>17791</v>
      </c>
      <c r="AA271">
        <v>13.903680540886885</v>
      </c>
    </row>
    <row r="272" spans="1:28" x14ac:dyDescent="0.25">
      <c r="A272">
        <v>5160</v>
      </c>
      <c r="B272">
        <v>23050</v>
      </c>
      <c r="C272" s="1">
        <v>42850</v>
      </c>
      <c r="F272" s="57"/>
      <c r="G272">
        <v>6.4</v>
      </c>
      <c r="H272">
        <v>4.8</v>
      </c>
      <c r="I272">
        <v>7.6</v>
      </c>
      <c r="J272">
        <f t="shared" si="32"/>
        <v>2041.9000000000012</v>
      </c>
      <c r="K272">
        <f t="shared" si="37"/>
        <v>84.7</v>
      </c>
      <c r="L272" s="11">
        <v>0</v>
      </c>
      <c r="M272">
        <v>1.1000000000000001</v>
      </c>
      <c r="N272">
        <v>0.9</v>
      </c>
      <c r="O272">
        <f t="shared" si="29"/>
        <v>0.20000000000000007</v>
      </c>
      <c r="P272">
        <f t="shared" si="35"/>
        <v>40.600000000000009</v>
      </c>
      <c r="Q272">
        <v>239</v>
      </c>
      <c r="R272">
        <v>1.1499999999999999</v>
      </c>
      <c r="S272" s="34">
        <f t="shared" si="30"/>
        <v>1.0349999999999999</v>
      </c>
      <c r="T272" s="33">
        <f t="shared" si="31"/>
        <v>6.5000000000000169E-2</v>
      </c>
      <c r="U272" s="33">
        <f t="shared" si="36"/>
        <v>30.881874239350861</v>
      </c>
      <c r="V272" s="16">
        <f>AVERAGE(U263:U292)</f>
        <v>36.867707572684203</v>
      </c>
      <c r="W272">
        <v>789.2</v>
      </c>
      <c r="Y272">
        <f t="shared" si="33"/>
        <v>172411.00000000009</v>
      </c>
      <c r="Z272">
        <f t="shared" si="38"/>
        <v>18580.2</v>
      </c>
      <c r="AA272">
        <v>13.957669369499683</v>
      </c>
    </row>
    <row r="273" spans="1:27" x14ac:dyDescent="0.25">
      <c r="A273">
        <v>5160</v>
      </c>
      <c r="B273">
        <v>23050</v>
      </c>
      <c r="C273" s="1">
        <v>42851</v>
      </c>
      <c r="F273" s="57"/>
      <c r="G273">
        <v>4.7</v>
      </c>
      <c r="H273">
        <v>2.4</v>
      </c>
      <c r="I273">
        <v>9.5</v>
      </c>
      <c r="J273">
        <f t="shared" si="32"/>
        <v>2046.6000000000013</v>
      </c>
      <c r="K273">
        <f t="shared" si="37"/>
        <v>89.4</v>
      </c>
      <c r="L273" s="18" t="s">
        <v>43</v>
      </c>
      <c r="M273">
        <v>0.4</v>
      </c>
      <c r="N273">
        <v>2.2000000000000002</v>
      </c>
      <c r="O273">
        <f t="shared" si="29"/>
        <v>-1.8000000000000003</v>
      </c>
      <c r="P273">
        <f t="shared" si="35"/>
        <v>38.800000000000011</v>
      </c>
      <c r="Q273" s="32">
        <v>240</v>
      </c>
      <c r="R273">
        <v>1.1499999999999999</v>
      </c>
      <c r="S273" s="34">
        <f t="shared" si="30"/>
        <v>2.5299999999999998</v>
      </c>
      <c r="T273" s="33">
        <f t="shared" si="31"/>
        <v>-2.13</v>
      </c>
      <c r="U273" s="33">
        <f t="shared" si="36"/>
        <v>28.751874239350862</v>
      </c>
      <c r="W273">
        <v>1562.1</v>
      </c>
      <c r="Y273">
        <f t="shared" si="33"/>
        <v>173973.10000000009</v>
      </c>
      <c r="Z273">
        <f t="shared" si="38"/>
        <v>20142.3</v>
      </c>
      <c r="AA273">
        <v>14.011288979724851</v>
      </c>
    </row>
    <row r="274" spans="1:27" x14ac:dyDescent="0.25">
      <c r="A274">
        <v>5160</v>
      </c>
      <c r="B274">
        <v>23050</v>
      </c>
      <c r="C274" s="1">
        <v>42852</v>
      </c>
      <c r="F274" s="57"/>
      <c r="G274">
        <v>5.6</v>
      </c>
      <c r="H274">
        <v>0.6</v>
      </c>
      <c r="I274">
        <v>10.1</v>
      </c>
      <c r="J274">
        <f t="shared" si="32"/>
        <v>2052.2000000000012</v>
      </c>
      <c r="K274">
        <f t="shared" si="37"/>
        <v>95</v>
      </c>
      <c r="L274" s="11">
        <v>12</v>
      </c>
      <c r="M274">
        <v>0</v>
      </c>
      <c r="N274">
        <v>2.2000000000000002</v>
      </c>
      <c r="O274">
        <f t="shared" si="29"/>
        <v>-2.2000000000000002</v>
      </c>
      <c r="P274">
        <f t="shared" si="35"/>
        <v>36.600000000000009</v>
      </c>
      <c r="Q274">
        <v>241</v>
      </c>
      <c r="R274">
        <v>1.1499999999999999</v>
      </c>
      <c r="S274" s="34">
        <f t="shared" si="30"/>
        <v>2.5299999999999998</v>
      </c>
      <c r="T274" s="33">
        <f t="shared" si="31"/>
        <v>-2.5299999999999998</v>
      </c>
      <c r="U274" s="33">
        <f t="shared" si="36"/>
        <v>26.221874239350861</v>
      </c>
      <c r="V274" s="21">
        <f>(V272*100)/146.7</f>
        <v>25.131361671904706</v>
      </c>
      <c r="W274">
        <v>1787.4</v>
      </c>
      <c r="Y274">
        <f t="shared" si="33"/>
        <v>175760.50000000009</v>
      </c>
      <c r="Z274">
        <f t="shared" si="38"/>
        <v>21929.7</v>
      </c>
      <c r="AA274">
        <v>14.064523174765363</v>
      </c>
    </row>
    <row r="275" spans="1:27" x14ac:dyDescent="0.25">
      <c r="A275">
        <v>5160</v>
      </c>
      <c r="B275">
        <v>23050</v>
      </c>
      <c r="C275" s="1">
        <v>42853</v>
      </c>
      <c r="F275" s="57"/>
      <c r="G275">
        <v>7.4</v>
      </c>
      <c r="H275">
        <v>2.8</v>
      </c>
      <c r="I275">
        <v>12.3</v>
      </c>
      <c r="J275">
        <f t="shared" si="32"/>
        <v>2059.6000000000013</v>
      </c>
      <c r="K275">
        <f t="shared" si="37"/>
        <v>102.4</v>
      </c>
      <c r="L275" s="18" t="s">
        <v>44</v>
      </c>
      <c r="M275">
        <v>0.2</v>
      </c>
      <c r="N275">
        <v>1.7</v>
      </c>
      <c r="O275">
        <f t="shared" si="29"/>
        <v>-1.5</v>
      </c>
      <c r="P275">
        <f t="shared" si="35"/>
        <v>35.100000000000009</v>
      </c>
      <c r="Q275" s="32">
        <v>242</v>
      </c>
      <c r="R275">
        <v>1.1499999999999999</v>
      </c>
      <c r="S275" s="34">
        <f t="shared" si="30"/>
        <v>1.9549999999999998</v>
      </c>
      <c r="T275" s="33">
        <f t="shared" si="31"/>
        <v>-1.7549999999999999</v>
      </c>
      <c r="U275" s="33">
        <f t="shared" si="36"/>
        <v>24.466874239350862</v>
      </c>
      <c r="W275">
        <v>1210.2</v>
      </c>
      <c r="Y275">
        <f t="shared" si="33"/>
        <v>176970.7000000001</v>
      </c>
      <c r="Z275">
        <f t="shared" si="38"/>
        <v>23139.9</v>
      </c>
      <c r="AA275">
        <v>14.117355351637345</v>
      </c>
    </row>
    <row r="276" spans="1:27" x14ac:dyDescent="0.25">
      <c r="A276">
        <v>5160</v>
      </c>
      <c r="B276">
        <v>23050</v>
      </c>
      <c r="C276" s="1">
        <v>42854</v>
      </c>
      <c r="F276" s="57"/>
      <c r="G276">
        <v>10.1</v>
      </c>
      <c r="H276">
        <v>2.8</v>
      </c>
      <c r="I276">
        <v>16.3</v>
      </c>
      <c r="J276">
        <f t="shared" si="32"/>
        <v>2069.7000000000012</v>
      </c>
      <c r="K276">
        <f t="shared" si="37"/>
        <v>112.5</v>
      </c>
      <c r="L276" s="17">
        <v>1</v>
      </c>
      <c r="M276">
        <v>0</v>
      </c>
      <c r="N276">
        <v>3.3</v>
      </c>
      <c r="O276">
        <f t="shared" si="29"/>
        <v>-3.3</v>
      </c>
      <c r="P276">
        <f t="shared" si="35"/>
        <v>31.800000000000008</v>
      </c>
      <c r="Q276">
        <v>243</v>
      </c>
      <c r="R276">
        <v>1.1499999999999999</v>
      </c>
      <c r="S276" s="34">
        <f t="shared" si="30"/>
        <v>3.7949999999999995</v>
      </c>
      <c r="T276" s="33">
        <f t="shared" si="31"/>
        <v>-3.7949999999999995</v>
      </c>
      <c r="U276" s="33">
        <f t="shared" si="36"/>
        <v>20.671874239350863</v>
      </c>
      <c r="W276">
        <v>1995.8</v>
      </c>
      <c r="Y276">
        <f t="shared" si="33"/>
        <v>178966.50000000009</v>
      </c>
      <c r="Z276">
        <f t="shared" si="38"/>
        <v>25135.7</v>
      </c>
      <c r="AA276">
        <v>14.169768499491312</v>
      </c>
    </row>
    <row r="277" spans="1:27" x14ac:dyDescent="0.25">
      <c r="A277">
        <v>5160</v>
      </c>
      <c r="B277">
        <v>23050</v>
      </c>
      <c r="C277" s="1">
        <v>42855</v>
      </c>
      <c r="F277" s="57"/>
      <c r="G277">
        <v>10.1</v>
      </c>
      <c r="H277">
        <v>6.8</v>
      </c>
      <c r="I277">
        <v>17.2</v>
      </c>
      <c r="J277">
        <f t="shared" si="32"/>
        <v>2079.8000000000011</v>
      </c>
      <c r="K277">
        <f t="shared" si="37"/>
        <v>122.6</v>
      </c>
      <c r="M277">
        <v>11.5</v>
      </c>
      <c r="N277">
        <v>2.6</v>
      </c>
      <c r="O277">
        <f t="shared" si="29"/>
        <v>8.9</v>
      </c>
      <c r="P277">
        <f t="shared" si="35"/>
        <v>40.70000000000001</v>
      </c>
      <c r="Q277" s="32">
        <v>244</v>
      </c>
      <c r="R277">
        <v>1.1499999999999999</v>
      </c>
      <c r="S277" s="34">
        <f t="shared" si="30"/>
        <v>2.9899999999999998</v>
      </c>
      <c r="T277" s="33">
        <f t="shared" si="31"/>
        <v>8.51</v>
      </c>
      <c r="U277" s="33">
        <f t="shared" si="36"/>
        <v>29.181874239350861</v>
      </c>
      <c r="W277">
        <v>951.8</v>
      </c>
      <c r="Y277">
        <f t="shared" si="33"/>
        <v>179918.30000000008</v>
      </c>
      <c r="Z277">
        <f t="shared" si="38"/>
        <v>26087.5</v>
      </c>
      <c r="AA277">
        <v>14.221745199073579</v>
      </c>
    </row>
    <row r="278" spans="1:27" x14ac:dyDescent="0.25">
      <c r="A278">
        <v>5160</v>
      </c>
      <c r="B278">
        <v>23050</v>
      </c>
      <c r="C278" s="1">
        <v>42856</v>
      </c>
      <c r="F278" s="57"/>
      <c r="G278">
        <v>9.1</v>
      </c>
      <c r="H278">
        <v>6.5</v>
      </c>
      <c r="I278">
        <v>11</v>
      </c>
      <c r="J278">
        <f t="shared" si="32"/>
        <v>2088.900000000001</v>
      </c>
      <c r="K278">
        <f t="shared" si="37"/>
        <v>131.69999999999999</v>
      </c>
      <c r="M278">
        <v>2.6</v>
      </c>
      <c r="N278">
        <v>1.7</v>
      </c>
      <c r="O278">
        <f t="shared" si="29"/>
        <v>0.90000000000000013</v>
      </c>
      <c r="P278">
        <f t="shared" si="35"/>
        <v>41.600000000000009</v>
      </c>
      <c r="Q278">
        <v>245</v>
      </c>
      <c r="R278">
        <v>1.1499999999999999</v>
      </c>
      <c r="S278" s="34">
        <f t="shared" si="30"/>
        <v>1.9549999999999998</v>
      </c>
      <c r="T278" s="33">
        <f t="shared" si="31"/>
        <v>0.64500000000000024</v>
      </c>
      <c r="U278" s="33">
        <f t="shared" si="36"/>
        <v>29.826874239350861</v>
      </c>
      <c r="W278">
        <v>1263.4000000000001</v>
      </c>
      <c r="Y278">
        <f t="shared" si="33"/>
        <v>181181.70000000007</v>
      </c>
      <c r="Z278">
        <f t="shared" si="38"/>
        <v>27350.9</v>
      </c>
      <c r="AA278">
        <v>14.273267623393783</v>
      </c>
    </row>
    <row r="279" spans="1:27" x14ac:dyDescent="0.25">
      <c r="A279">
        <v>5160</v>
      </c>
      <c r="B279">
        <v>23050</v>
      </c>
      <c r="C279" s="1">
        <v>42857</v>
      </c>
      <c r="F279" s="57"/>
      <c r="G279">
        <v>10.9</v>
      </c>
      <c r="H279">
        <v>7.8</v>
      </c>
      <c r="I279">
        <v>14.2</v>
      </c>
      <c r="J279">
        <f t="shared" si="32"/>
        <v>2099.8000000000011</v>
      </c>
      <c r="K279">
        <f t="shared" si="37"/>
        <v>142.6</v>
      </c>
      <c r="M279">
        <v>0.4</v>
      </c>
      <c r="N279">
        <v>1.5</v>
      </c>
      <c r="O279">
        <f t="shared" si="29"/>
        <v>-1.1000000000000001</v>
      </c>
      <c r="P279">
        <f t="shared" si="35"/>
        <v>40.500000000000007</v>
      </c>
      <c r="Q279" s="32">
        <v>246</v>
      </c>
      <c r="R279">
        <v>1.1499999999999999</v>
      </c>
      <c r="S279" s="34">
        <f t="shared" si="30"/>
        <v>1.7249999999999999</v>
      </c>
      <c r="T279" s="33">
        <f t="shared" si="31"/>
        <v>-1.3249999999999997</v>
      </c>
      <c r="U279" s="33">
        <f t="shared" si="36"/>
        <v>28.501874239350862</v>
      </c>
      <c r="W279">
        <v>1098.0999999999999</v>
      </c>
      <c r="Y279">
        <f t="shared" si="33"/>
        <v>182279.80000000008</v>
      </c>
      <c r="Z279">
        <f t="shared" si="38"/>
        <v>28449</v>
      </c>
      <c r="AA279">
        <v>14.32431753966544</v>
      </c>
    </row>
    <row r="280" spans="1:27" x14ac:dyDescent="0.25">
      <c r="A280">
        <v>5160</v>
      </c>
      <c r="B280">
        <v>23050</v>
      </c>
      <c r="C280" s="1">
        <v>42858</v>
      </c>
      <c r="F280" s="57"/>
      <c r="G280">
        <v>9.6999999999999993</v>
      </c>
      <c r="H280">
        <v>8.6</v>
      </c>
      <c r="I280">
        <v>12.5</v>
      </c>
      <c r="J280">
        <f t="shared" si="32"/>
        <v>2109.5000000000009</v>
      </c>
      <c r="K280">
        <f t="shared" si="37"/>
        <v>152.29999999999998</v>
      </c>
      <c r="M280">
        <v>1.1000000000000001</v>
      </c>
      <c r="N280">
        <v>0.9</v>
      </c>
      <c r="O280">
        <f t="shared" si="29"/>
        <v>0.20000000000000007</v>
      </c>
      <c r="P280">
        <f t="shared" si="35"/>
        <v>40.70000000000001</v>
      </c>
      <c r="Q280">
        <v>247</v>
      </c>
      <c r="R280">
        <v>1.1499999999999999</v>
      </c>
      <c r="S280" s="34">
        <f t="shared" si="30"/>
        <v>1.0349999999999999</v>
      </c>
      <c r="T280" s="33">
        <f t="shared" si="31"/>
        <v>6.5000000000000169E-2</v>
      </c>
      <c r="U280" s="33">
        <f t="shared" si="36"/>
        <v>28.566874239350863</v>
      </c>
      <c r="W280">
        <v>847.8</v>
      </c>
      <c r="Y280">
        <f t="shared" si="33"/>
        <v>183127.60000000006</v>
      </c>
      <c r="Z280">
        <f t="shared" si="38"/>
        <v>29296.799999999999</v>
      </c>
      <c r="AA280">
        <v>14.374876312586956</v>
      </c>
    </row>
    <row r="281" spans="1:27" x14ac:dyDescent="0.25">
      <c r="A281">
        <v>5160</v>
      </c>
      <c r="B281">
        <v>23050</v>
      </c>
      <c r="C281" s="1">
        <v>42859</v>
      </c>
      <c r="F281" s="57"/>
      <c r="G281">
        <v>11.3</v>
      </c>
      <c r="H281">
        <v>7.4</v>
      </c>
      <c r="I281">
        <v>15.1</v>
      </c>
      <c r="J281">
        <f t="shared" si="32"/>
        <v>2120.8000000000011</v>
      </c>
      <c r="K281">
        <f t="shared" si="37"/>
        <v>163.6</v>
      </c>
      <c r="M281">
        <v>0.2</v>
      </c>
      <c r="N281">
        <v>1.4</v>
      </c>
      <c r="O281">
        <f t="shared" si="29"/>
        <v>-1.2</v>
      </c>
      <c r="P281">
        <f t="shared" si="35"/>
        <v>39.500000000000007</v>
      </c>
      <c r="Q281" s="32">
        <v>248</v>
      </c>
      <c r="R281">
        <v>1.1499999999999999</v>
      </c>
      <c r="S281" s="34">
        <f t="shared" si="30"/>
        <v>1.6099999999999999</v>
      </c>
      <c r="T281" s="33">
        <f t="shared" si="31"/>
        <v>-1.41</v>
      </c>
      <c r="U281" s="33">
        <f t="shared" si="36"/>
        <v>27.156874239350863</v>
      </c>
      <c r="W281">
        <v>1005.5</v>
      </c>
      <c r="Y281">
        <f t="shared" si="33"/>
        <v>184133.10000000006</v>
      </c>
      <c r="Z281">
        <f t="shared" si="38"/>
        <v>30302.3</v>
      </c>
      <c r="AA281">
        <v>14.424924909030816</v>
      </c>
    </row>
    <row r="282" spans="1:27" x14ac:dyDescent="0.25">
      <c r="A282">
        <v>5160</v>
      </c>
      <c r="B282">
        <v>23050</v>
      </c>
      <c r="C282" s="1">
        <v>42860</v>
      </c>
      <c r="F282" s="57"/>
      <c r="G282">
        <v>13.4</v>
      </c>
      <c r="H282">
        <v>7</v>
      </c>
      <c r="I282">
        <v>18.399999999999999</v>
      </c>
      <c r="J282">
        <f t="shared" si="32"/>
        <v>2134.2000000000012</v>
      </c>
      <c r="K282">
        <f t="shared" si="37"/>
        <v>177</v>
      </c>
      <c r="M282">
        <v>13.2</v>
      </c>
      <c r="N282">
        <v>2.2999999999999998</v>
      </c>
      <c r="O282">
        <f t="shared" si="29"/>
        <v>10.899999999999999</v>
      </c>
      <c r="P282">
        <f t="shared" si="35"/>
        <v>50.400000000000006</v>
      </c>
      <c r="Q282">
        <v>249</v>
      </c>
      <c r="R282">
        <v>1.1499999999999999</v>
      </c>
      <c r="S282" s="34">
        <f t="shared" si="30"/>
        <v>2.6449999999999996</v>
      </c>
      <c r="T282" s="33">
        <f t="shared" si="31"/>
        <v>10.555</v>
      </c>
      <c r="U282" s="33">
        <f t="shared" si="36"/>
        <v>37.711874239350863</v>
      </c>
      <c r="W282">
        <v>1316.7</v>
      </c>
      <c r="Y282">
        <f t="shared" si="33"/>
        <v>185449.80000000008</v>
      </c>
      <c r="Z282">
        <f t="shared" si="38"/>
        <v>31619</v>
      </c>
      <c r="AA282">
        <v>14.474443904208378</v>
      </c>
    </row>
    <row r="283" spans="1:27" x14ac:dyDescent="0.25">
      <c r="A283">
        <v>5160</v>
      </c>
      <c r="B283">
        <v>23050</v>
      </c>
      <c r="C283" s="1">
        <v>42861</v>
      </c>
      <c r="F283" s="57"/>
      <c r="G283">
        <v>13.1</v>
      </c>
      <c r="H283">
        <v>11.5</v>
      </c>
      <c r="I283">
        <v>14.8</v>
      </c>
      <c r="J283">
        <f t="shared" si="32"/>
        <v>2147.3000000000011</v>
      </c>
      <c r="K283">
        <f t="shared" si="37"/>
        <v>190.1</v>
      </c>
      <c r="M283">
        <v>4.3</v>
      </c>
      <c r="N283">
        <v>0.9</v>
      </c>
      <c r="O283">
        <f t="shared" si="29"/>
        <v>3.4</v>
      </c>
      <c r="P283">
        <f t="shared" si="35"/>
        <v>53.800000000000004</v>
      </c>
      <c r="Q283" s="32">
        <v>250</v>
      </c>
      <c r="R283">
        <v>1.1499999999999999</v>
      </c>
      <c r="S283" s="34">
        <f t="shared" si="30"/>
        <v>1.0349999999999999</v>
      </c>
      <c r="T283" s="33">
        <f t="shared" si="31"/>
        <v>3.2649999999999997</v>
      </c>
      <c r="U283" s="33">
        <f t="shared" si="36"/>
        <v>40.976874239350863</v>
      </c>
      <c r="W283">
        <v>545</v>
      </c>
      <c r="Y283">
        <f t="shared" si="33"/>
        <v>185994.80000000008</v>
      </c>
      <c r="Z283">
        <f t="shared" si="38"/>
        <v>32164</v>
      </c>
      <c r="AA283">
        <v>14.52341348937699</v>
      </c>
    </row>
    <row r="284" spans="1:27" x14ac:dyDescent="0.25">
      <c r="A284">
        <v>5160</v>
      </c>
      <c r="B284">
        <v>23050</v>
      </c>
      <c r="C284" s="1">
        <v>42862</v>
      </c>
      <c r="F284" s="57"/>
      <c r="G284">
        <v>12.5</v>
      </c>
      <c r="H284">
        <v>10.6</v>
      </c>
      <c r="I284">
        <v>15.4</v>
      </c>
      <c r="J284">
        <f t="shared" si="32"/>
        <v>2159.8000000000011</v>
      </c>
      <c r="K284">
        <f t="shared" si="37"/>
        <v>202.6</v>
      </c>
      <c r="M284">
        <v>0</v>
      </c>
      <c r="N284">
        <v>2.2999999999999998</v>
      </c>
      <c r="O284">
        <f t="shared" si="29"/>
        <v>-2.2999999999999998</v>
      </c>
      <c r="P284">
        <f t="shared" si="35"/>
        <v>51.500000000000007</v>
      </c>
      <c r="Q284">
        <v>251</v>
      </c>
      <c r="R284">
        <v>1.1499999999999999</v>
      </c>
      <c r="S284" s="34">
        <f t="shared" si="30"/>
        <v>2.6449999999999996</v>
      </c>
      <c r="T284" s="33">
        <f t="shared" si="31"/>
        <v>-2.6449999999999996</v>
      </c>
      <c r="U284" s="33">
        <f t="shared" si="36"/>
        <v>38.331874239350867</v>
      </c>
      <c r="W284">
        <v>1427.9</v>
      </c>
      <c r="Y284">
        <f t="shared" si="33"/>
        <v>187422.70000000007</v>
      </c>
      <c r="Z284">
        <f t="shared" si="38"/>
        <v>33591.9</v>
      </c>
      <c r="AA284">
        <v>14.571813481155028</v>
      </c>
    </row>
    <row r="285" spans="1:27" x14ac:dyDescent="0.25">
      <c r="A285">
        <v>5160</v>
      </c>
      <c r="B285">
        <v>23050</v>
      </c>
      <c r="C285" s="1">
        <v>42863</v>
      </c>
      <c r="F285" s="57"/>
      <c r="G285">
        <v>10.6</v>
      </c>
      <c r="H285">
        <v>6.4</v>
      </c>
      <c r="I285">
        <v>14.5</v>
      </c>
      <c r="J285">
        <f t="shared" si="32"/>
        <v>2170.400000000001</v>
      </c>
      <c r="K285">
        <f t="shared" si="37"/>
        <v>213.2</v>
      </c>
      <c r="M285">
        <v>0</v>
      </c>
      <c r="N285">
        <v>1.2</v>
      </c>
      <c r="O285">
        <f t="shared" si="29"/>
        <v>-1.2</v>
      </c>
      <c r="P285">
        <f t="shared" si="35"/>
        <v>50.300000000000004</v>
      </c>
      <c r="Q285" s="32">
        <v>252</v>
      </c>
      <c r="R285">
        <v>1.1499999999999999</v>
      </c>
      <c r="S285" s="34">
        <f t="shared" si="30"/>
        <v>1.38</v>
      </c>
      <c r="T285" s="33">
        <f t="shared" si="31"/>
        <v>-1.38</v>
      </c>
      <c r="U285" s="33">
        <f t="shared" si="36"/>
        <v>36.951874239350865</v>
      </c>
      <c r="W285">
        <v>528.9</v>
      </c>
      <c r="Y285">
        <f t="shared" si="33"/>
        <v>187951.60000000006</v>
      </c>
      <c r="Z285">
        <f t="shared" si="38"/>
        <v>34120.800000000003</v>
      </c>
      <c r="AA285">
        <v>14.619623332508493</v>
      </c>
    </row>
    <row r="286" spans="1:27" x14ac:dyDescent="0.25">
      <c r="A286">
        <v>5160</v>
      </c>
      <c r="B286">
        <v>23050</v>
      </c>
      <c r="C286" s="1">
        <v>42864</v>
      </c>
      <c r="F286" s="57"/>
      <c r="G286">
        <v>11.2</v>
      </c>
      <c r="H286">
        <v>7.7</v>
      </c>
      <c r="I286">
        <v>14.8</v>
      </c>
      <c r="J286">
        <f t="shared" si="32"/>
        <v>2181.6000000000008</v>
      </c>
      <c r="K286">
        <f t="shared" si="37"/>
        <v>224.39999999999998</v>
      </c>
      <c r="M286">
        <v>0</v>
      </c>
      <c r="N286">
        <v>2.7</v>
      </c>
      <c r="O286">
        <f t="shared" si="29"/>
        <v>-2.7</v>
      </c>
      <c r="P286">
        <f t="shared" si="35"/>
        <v>47.6</v>
      </c>
      <c r="Q286">
        <v>253</v>
      </c>
      <c r="R286">
        <v>1.1499999999999999</v>
      </c>
      <c r="S286" s="34">
        <f t="shared" si="30"/>
        <v>3.105</v>
      </c>
      <c r="T286" s="33">
        <f t="shared" si="31"/>
        <v>-3.105</v>
      </c>
      <c r="U286" s="33">
        <f t="shared" si="36"/>
        <v>33.846874239350868</v>
      </c>
      <c r="W286">
        <v>1446.2</v>
      </c>
      <c r="Y286">
        <f t="shared" si="33"/>
        <v>189397.80000000008</v>
      </c>
      <c r="Z286">
        <f t="shared" si="38"/>
        <v>35567</v>
      </c>
      <c r="AA286">
        <v>14.666822145470558</v>
      </c>
    </row>
    <row r="287" spans="1:27" x14ac:dyDescent="0.25">
      <c r="A287">
        <v>5160</v>
      </c>
      <c r="B287">
        <v>23050</v>
      </c>
      <c r="C287" s="1">
        <v>42865</v>
      </c>
      <c r="F287" s="57"/>
      <c r="G287">
        <v>14.2</v>
      </c>
      <c r="H287">
        <v>7.7</v>
      </c>
      <c r="I287">
        <v>20.100000000000001</v>
      </c>
      <c r="J287">
        <f t="shared" si="32"/>
        <v>2195.8000000000006</v>
      </c>
      <c r="K287">
        <f t="shared" si="37"/>
        <v>238.59999999999997</v>
      </c>
      <c r="M287">
        <v>0.1</v>
      </c>
      <c r="N287">
        <v>4.0999999999999996</v>
      </c>
      <c r="O287">
        <f t="shared" si="29"/>
        <v>-3.9999999999999996</v>
      </c>
      <c r="P287">
        <f t="shared" si="35"/>
        <v>43.6</v>
      </c>
      <c r="Q287" s="32">
        <v>254</v>
      </c>
      <c r="R287">
        <v>1.1499999999999999</v>
      </c>
      <c r="S287" s="34">
        <f t="shared" si="30"/>
        <v>4.714999999999999</v>
      </c>
      <c r="T287" s="33">
        <f t="shared" si="31"/>
        <v>-4.6149999999999993</v>
      </c>
      <c r="U287" s="33">
        <f t="shared" si="36"/>
        <v>29.231874239350869</v>
      </c>
      <c r="W287">
        <v>2525.3000000000002</v>
      </c>
      <c r="Y287">
        <f t="shared" si="33"/>
        <v>191923.10000000006</v>
      </c>
      <c r="Z287">
        <f t="shared" si="38"/>
        <v>38092.300000000003</v>
      </c>
      <c r="AA287">
        <v>14.713388685652239</v>
      </c>
    </row>
    <row r="288" spans="1:27" x14ac:dyDescent="0.25">
      <c r="A288">
        <v>5160</v>
      </c>
      <c r="B288">
        <v>23050</v>
      </c>
      <c r="C288" s="1">
        <v>42866</v>
      </c>
      <c r="F288" s="57"/>
      <c r="G288">
        <v>12.9</v>
      </c>
      <c r="H288">
        <v>12.2</v>
      </c>
      <c r="I288">
        <v>15</v>
      </c>
      <c r="J288">
        <f t="shared" si="32"/>
        <v>2208.7000000000007</v>
      </c>
      <c r="K288">
        <f t="shared" si="37"/>
        <v>251.49999999999997</v>
      </c>
      <c r="M288">
        <v>10.9</v>
      </c>
      <c r="N288">
        <v>1.5</v>
      </c>
      <c r="O288">
        <f t="shared" si="29"/>
        <v>9.4</v>
      </c>
      <c r="P288">
        <f t="shared" si="35"/>
        <v>53</v>
      </c>
      <c r="Q288">
        <v>255</v>
      </c>
      <c r="R288">
        <v>1.1499999999999999</v>
      </c>
      <c r="S288" s="34">
        <f t="shared" si="30"/>
        <v>1.7249999999999999</v>
      </c>
      <c r="T288" s="33">
        <f t="shared" si="31"/>
        <v>9.1750000000000007</v>
      </c>
      <c r="U288" s="33">
        <f t="shared" si="36"/>
        <v>38.40687423935087</v>
      </c>
      <c r="W288">
        <v>1088.9000000000001</v>
      </c>
      <c r="Y288">
        <f t="shared" si="33"/>
        <v>193012.00000000006</v>
      </c>
      <c r="Z288">
        <f t="shared" si="38"/>
        <v>39181.200000000004</v>
      </c>
      <c r="AA288">
        <v>14.759301398598552</v>
      </c>
    </row>
    <row r="289" spans="1:28" x14ac:dyDescent="0.25">
      <c r="A289">
        <v>5160</v>
      </c>
      <c r="B289">
        <v>23050</v>
      </c>
      <c r="C289" s="1">
        <v>42867</v>
      </c>
      <c r="F289" s="57"/>
      <c r="G289">
        <v>14.2</v>
      </c>
      <c r="H289">
        <v>11</v>
      </c>
      <c r="I289">
        <v>18.899999999999999</v>
      </c>
      <c r="J289">
        <f t="shared" si="32"/>
        <v>2222.9000000000005</v>
      </c>
      <c r="K289">
        <f t="shared" si="37"/>
        <v>265.7</v>
      </c>
      <c r="M289">
        <v>8.9</v>
      </c>
      <c r="N289">
        <v>1.6</v>
      </c>
      <c r="O289">
        <f t="shared" si="29"/>
        <v>7.3000000000000007</v>
      </c>
      <c r="P289">
        <f t="shared" si="35"/>
        <v>60.3</v>
      </c>
      <c r="Q289" s="32">
        <v>256</v>
      </c>
      <c r="R289">
        <v>1.1499999999999999</v>
      </c>
      <c r="S289" s="34">
        <f t="shared" si="30"/>
        <v>1.8399999999999999</v>
      </c>
      <c r="T289" s="33">
        <f t="shared" si="31"/>
        <v>7.0600000000000005</v>
      </c>
      <c r="U289" s="33">
        <f t="shared" si="36"/>
        <v>45.466874239350872</v>
      </c>
      <c r="W289">
        <v>1157.2</v>
      </c>
      <c r="Y289">
        <f t="shared" si="33"/>
        <v>194169.20000000007</v>
      </c>
      <c r="Z289">
        <f t="shared" si="38"/>
        <v>40338.400000000001</v>
      </c>
      <c r="AA289">
        <v>14.804538428040045</v>
      </c>
    </row>
    <row r="290" spans="1:28" x14ac:dyDescent="0.25">
      <c r="A290">
        <v>5160</v>
      </c>
      <c r="B290">
        <v>23050</v>
      </c>
      <c r="C290" s="1">
        <v>42868</v>
      </c>
      <c r="F290" s="57"/>
      <c r="G290">
        <v>14.1</v>
      </c>
      <c r="H290">
        <v>10.7</v>
      </c>
      <c r="I290">
        <v>18</v>
      </c>
      <c r="J290">
        <f t="shared" si="32"/>
        <v>2237.0000000000005</v>
      </c>
      <c r="K290">
        <f t="shared" si="37"/>
        <v>279.8</v>
      </c>
      <c r="M290">
        <v>0</v>
      </c>
      <c r="N290">
        <v>2.9</v>
      </c>
      <c r="O290">
        <f t="shared" si="29"/>
        <v>-2.9</v>
      </c>
      <c r="P290">
        <f t="shared" si="35"/>
        <v>57.4</v>
      </c>
      <c r="Q290">
        <v>257</v>
      </c>
      <c r="R290">
        <v>1.1499999999999999</v>
      </c>
      <c r="S290" s="34">
        <f t="shared" si="30"/>
        <v>3.3349999999999995</v>
      </c>
      <c r="T290" s="33">
        <f t="shared" si="31"/>
        <v>-3.3349999999999995</v>
      </c>
      <c r="U290" s="33">
        <f t="shared" si="36"/>
        <v>42.131874239350871</v>
      </c>
      <c r="W290">
        <v>1904.5</v>
      </c>
      <c r="Y290">
        <f t="shared" si="33"/>
        <v>196073.70000000007</v>
      </c>
      <c r="Z290">
        <f t="shared" si="38"/>
        <v>42242.9</v>
      </c>
      <c r="AA290">
        <v>14.849077636084024</v>
      </c>
    </row>
    <row r="291" spans="1:28" x14ac:dyDescent="0.25">
      <c r="A291">
        <v>5160</v>
      </c>
      <c r="B291">
        <v>23050</v>
      </c>
      <c r="C291" s="1">
        <v>42869</v>
      </c>
      <c r="F291" s="57"/>
      <c r="G291">
        <v>14.2</v>
      </c>
      <c r="H291">
        <v>9.1999999999999993</v>
      </c>
      <c r="I291">
        <v>19</v>
      </c>
      <c r="J291">
        <f t="shared" si="32"/>
        <v>2251.2000000000003</v>
      </c>
      <c r="K291">
        <f t="shared" si="37"/>
        <v>294</v>
      </c>
      <c r="M291">
        <v>0.2</v>
      </c>
      <c r="N291">
        <v>2.5</v>
      </c>
      <c r="O291">
        <f t="shared" ref="O291:O345" si="39">M291-N291</f>
        <v>-2.2999999999999998</v>
      </c>
      <c r="P291">
        <f t="shared" si="35"/>
        <v>55.1</v>
      </c>
      <c r="Q291" s="32">
        <v>258</v>
      </c>
      <c r="R291">
        <v>1.1499999999999999</v>
      </c>
      <c r="S291" s="34">
        <f t="shared" ref="S291:S345" si="40">R291*N291</f>
        <v>2.875</v>
      </c>
      <c r="T291" s="33">
        <f t="shared" ref="T291:T345" si="41">M291-S291</f>
        <v>-2.6749999999999998</v>
      </c>
      <c r="U291" s="33">
        <f t="shared" si="36"/>
        <v>39.456874239350874</v>
      </c>
      <c r="W291">
        <v>1603.2</v>
      </c>
      <c r="Y291">
        <f t="shared" si="33"/>
        <v>197676.90000000008</v>
      </c>
      <c r="Z291">
        <f t="shared" si="38"/>
        <v>43846.1</v>
      </c>
      <c r="AA291">
        <v>14.892896625383704</v>
      </c>
    </row>
    <row r="292" spans="1:28" s="35" customFormat="1" ht="15.75" thickBot="1" x14ac:dyDescent="0.3">
      <c r="A292" s="35">
        <v>5160</v>
      </c>
      <c r="B292" s="35">
        <v>23050</v>
      </c>
      <c r="C292" s="36">
        <v>42870</v>
      </c>
      <c r="F292" s="57"/>
      <c r="G292" s="35">
        <v>17</v>
      </c>
      <c r="H292" s="35">
        <v>9</v>
      </c>
      <c r="I292" s="35">
        <v>22.9</v>
      </c>
      <c r="J292" s="35">
        <f t="shared" ref="J292:J345" si="42">J291+G292</f>
        <v>2268.2000000000003</v>
      </c>
      <c r="K292" s="35">
        <f t="shared" si="37"/>
        <v>311</v>
      </c>
      <c r="M292" s="35">
        <v>0</v>
      </c>
      <c r="N292" s="35">
        <v>3.1</v>
      </c>
      <c r="O292" s="35">
        <f t="shared" si="39"/>
        <v>-3.1</v>
      </c>
      <c r="P292" s="35">
        <f t="shared" si="35"/>
        <v>52</v>
      </c>
      <c r="Q292" s="35">
        <v>259</v>
      </c>
      <c r="R292" s="35">
        <v>1.1499999999999999</v>
      </c>
      <c r="S292" s="39">
        <f t="shared" si="40"/>
        <v>3.5649999999999999</v>
      </c>
      <c r="T292" s="40">
        <f t="shared" si="41"/>
        <v>-3.5649999999999999</v>
      </c>
      <c r="U292" s="33">
        <f t="shared" si="36"/>
        <v>35.891874239350877</v>
      </c>
      <c r="W292" s="35">
        <v>2045.2</v>
      </c>
      <c r="Y292" s="35">
        <f t="shared" ref="Y292:Y345" si="43">W292+Y291</f>
        <v>199722.10000000009</v>
      </c>
      <c r="Z292" s="35">
        <f t="shared" si="38"/>
        <v>45891.299999999996</v>
      </c>
      <c r="AA292" s="35">
        <v>14.935972763316265</v>
      </c>
    </row>
    <row r="293" spans="1:28" x14ac:dyDescent="0.25">
      <c r="A293">
        <v>5160</v>
      </c>
      <c r="B293">
        <v>23050</v>
      </c>
      <c r="C293" s="1">
        <v>42871</v>
      </c>
      <c r="F293" s="53" t="s">
        <v>36</v>
      </c>
      <c r="G293">
        <v>20.100000000000001</v>
      </c>
      <c r="H293">
        <v>14.1</v>
      </c>
      <c r="I293">
        <v>25.6</v>
      </c>
      <c r="J293">
        <f t="shared" si="42"/>
        <v>2288.3000000000002</v>
      </c>
      <c r="K293">
        <f>G293</f>
        <v>20.100000000000001</v>
      </c>
      <c r="L293" s="19" t="s">
        <v>38</v>
      </c>
      <c r="M293">
        <v>0</v>
      </c>
      <c r="N293">
        <v>2.8</v>
      </c>
      <c r="O293">
        <f t="shared" si="39"/>
        <v>-2.8</v>
      </c>
      <c r="P293">
        <f t="shared" si="35"/>
        <v>49.2</v>
      </c>
      <c r="Q293" s="32">
        <v>260</v>
      </c>
      <c r="R293">
        <f>1.15+((Q293-259)/53)*(0.35-1.15)</f>
        <v>1.1349056603773584</v>
      </c>
      <c r="S293" s="34">
        <f t="shared" si="40"/>
        <v>3.1777358490566034</v>
      </c>
      <c r="T293" s="33">
        <f t="shared" si="41"/>
        <v>-3.1777358490566034</v>
      </c>
      <c r="U293" s="33">
        <f t="shared" si="36"/>
        <v>32.714138390294274</v>
      </c>
      <c r="V293" s="30" t="s">
        <v>52</v>
      </c>
      <c r="W293">
        <v>1534.7</v>
      </c>
      <c r="Y293">
        <f t="shared" si="43"/>
        <v>201256.8000000001</v>
      </c>
      <c r="Z293">
        <f>W293</f>
        <v>1534.7</v>
      </c>
      <c r="AA293">
        <v>14.978283208192819</v>
      </c>
      <c r="AB293" s="30" t="s">
        <v>57</v>
      </c>
    </row>
    <row r="294" spans="1:28" x14ac:dyDescent="0.25">
      <c r="A294">
        <v>5160</v>
      </c>
      <c r="B294">
        <v>23050</v>
      </c>
      <c r="C294" s="1">
        <v>42872</v>
      </c>
      <c r="F294" s="53"/>
      <c r="G294">
        <v>19.600000000000001</v>
      </c>
      <c r="H294">
        <v>14.1</v>
      </c>
      <c r="I294">
        <v>27.2</v>
      </c>
      <c r="J294">
        <f t="shared" si="42"/>
        <v>2307.9</v>
      </c>
      <c r="K294">
        <f t="shared" si="37"/>
        <v>39.700000000000003</v>
      </c>
      <c r="L294" s="11">
        <v>311.89999999999998</v>
      </c>
      <c r="M294">
        <v>6.3</v>
      </c>
      <c r="N294">
        <v>3.5</v>
      </c>
      <c r="O294">
        <f t="shared" si="39"/>
        <v>2.8</v>
      </c>
      <c r="P294">
        <f t="shared" si="35"/>
        <v>52</v>
      </c>
      <c r="Q294">
        <v>261</v>
      </c>
      <c r="R294">
        <f t="shared" ref="R294:R345" si="44">1.15+((Q294-259)/53)*(0.35-1.15)</f>
        <v>1.1198113207547169</v>
      </c>
      <c r="S294" s="34">
        <f t="shared" si="40"/>
        <v>3.9193396226415089</v>
      </c>
      <c r="T294" s="33">
        <f t="shared" si="41"/>
        <v>2.3806603773584909</v>
      </c>
      <c r="U294" s="33">
        <f t="shared" si="36"/>
        <v>35.094798767652762</v>
      </c>
      <c r="V294">
        <v>0</v>
      </c>
      <c r="W294">
        <v>1750.1</v>
      </c>
      <c r="Y294">
        <f t="shared" si="43"/>
        <v>203006.90000000011</v>
      </c>
      <c r="Z294">
        <f t="shared" si="38"/>
        <v>3284.8</v>
      </c>
      <c r="AA294">
        <v>15.019804937514271</v>
      </c>
      <c r="AB294">
        <v>33179</v>
      </c>
    </row>
    <row r="295" spans="1:28" x14ac:dyDescent="0.25">
      <c r="A295">
        <v>5160</v>
      </c>
      <c r="B295">
        <v>23050</v>
      </c>
      <c r="C295" s="1">
        <v>42873</v>
      </c>
      <c r="F295" s="53"/>
      <c r="G295">
        <v>13.6</v>
      </c>
      <c r="H295">
        <v>11.6</v>
      </c>
      <c r="I295">
        <v>16</v>
      </c>
      <c r="J295">
        <f t="shared" si="42"/>
        <v>2321.5</v>
      </c>
      <c r="K295">
        <f t="shared" si="37"/>
        <v>53.300000000000004</v>
      </c>
      <c r="L295" s="19" t="s">
        <v>39</v>
      </c>
      <c r="M295">
        <v>24</v>
      </c>
      <c r="N295">
        <v>1</v>
      </c>
      <c r="O295">
        <f t="shared" si="39"/>
        <v>23</v>
      </c>
      <c r="P295">
        <f t="shared" si="35"/>
        <v>75</v>
      </c>
      <c r="Q295" s="32">
        <v>262</v>
      </c>
      <c r="R295">
        <f t="shared" si="44"/>
        <v>1.1047169811320754</v>
      </c>
      <c r="S295" s="34">
        <f t="shared" si="40"/>
        <v>1.1047169811320754</v>
      </c>
      <c r="T295" s="33">
        <f t="shared" si="41"/>
        <v>22.895283018867925</v>
      </c>
      <c r="U295" s="33">
        <f t="shared" si="36"/>
        <v>57.99008178652069</v>
      </c>
      <c r="V295" s="30" t="s">
        <v>53</v>
      </c>
      <c r="W295">
        <v>614.20000000000005</v>
      </c>
      <c r="Y295">
        <f t="shared" si="43"/>
        <v>203621.10000000012</v>
      </c>
      <c r="Z295">
        <f t="shared" si="38"/>
        <v>3899</v>
      </c>
      <c r="AA295">
        <v>15.060514778277204</v>
      </c>
      <c r="AB295" s="30" t="s">
        <v>58</v>
      </c>
    </row>
    <row r="296" spans="1:28" x14ac:dyDescent="0.25">
      <c r="A296">
        <v>5160</v>
      </c>
      <c r="B296">
        <v>23050</v>
      </c>
      <c r="C296" s="1">
        <v>42874</v>
      </c>
      <c r="F296" s="53"/>
      <c r="G296">
        <v>10</v>
      </c>
      <c r="H296">
        <v>9.4</v>
      </c>
      <c r="I296">
        <v>11.3</v>
      </c>
      <c r="J296">
        <f t="shared" si="42"/>
        <v>2331.5</v>
      </c>
      <c r="K296">
        <f t="shared" si="37"/>
        <v>63.300000000000004</v>
      </c>
      <c r="L296" s="16">
        <f>AVERAGE(G293:G309)</f>
        <v>18.347058823529412</v>
      </c>
      <c r="M296">
        <v>4.5999999999999996</v>
      </c>
      <c r="N296">
        <v>1.2</v>
      </c>
      <c r="O296">
        <f t="shared" si="39"/>
        <v>3.3999999999999995</v>
      </c>
      <c r="P296">
        <f t="shared" si="35"/>
        <v>78.400000000000006</v>
      </c>
      <c r="Q296">
        <v>263</v>
      </c>
      <c r="R296">
        <f t="shared" si="44"/>
        <v>1.0896226415094339</v>
      </c>
      <c r="S296" s="34">
        <f t="shared" si="40"/>
        <v>1.3075471698113206</v>
      </c>
      <c r="T296" s="33">
        <f t="shared" si="41"/>
        <v>3.2924528301886791</v>
      </c>
      <c r="U296" s="33">
        <f t="shared" si="36"/>
        <v>61.28253461670937</v>
      </c>
      <c r="V296">
        <v>11</v>
      </c>
      <c r="W296">
        <v>1295.5</v>
      </c>
      <c r="Y296">
        <f t="shared" si="43"/>
        <v>204916.60000000012</v>
      </c>
      <c r="Z296">
        <f t="shared" si="38"/>
        <v>5194.5</v>
      </c>
      <c r="AA296">
        <v>15.100389439322997</v>
      </c>
      <c r="AB296">
        <f>(AB294/100)/L294</f>
        <v>1.0637704392433474</v>
      </c>
    </row>
    <row r="297" spans="1:28" x14ac:dyDescent="0.25">
      <c r="A297">
        <v>5160</v>
      </c>
      <c r="B297">
        <v>23050</v>
      </c>
      <c r="C297" s="1">
        <v>42875</v>
      </c>
      <c r="F297" s="53"/>
      <c r="G297">
        <v>11.4</v>
      </c>
      <c r="H297">
        <v>7.2</v>
      </c>
      <c r="I297">
        <v>15.1</v>
      </c>
      <c r="J297">
        <f t="shared" si="42"/>
        <v>2342.9</v>
      </c>
      <c r="K297">
        <f t="shared" si="37"/>
        <v>74.7</v>
      </c>
      <c r="L297" s="19" t="s">
        <v>40</v>
      </c>
      <c r="M297">
        <v>1.4</v>
      </c>
      <c r="N297">
        <v>2.2999999999999998</v>
      </c>
      <c r="O297">
        <f t="shared" si="39"/>
        <v>-0.89999999999999991</v>
      </c>
      <c r="P297">
        <f t="shared" si="35"/>
        <v>77.5</v>
      </c>
      <c r="Q297" s="32">
        <v>264</v>
      </c>
      <c r="R297">
        <f t="shared" si="44"/>
        <v>1.0745283018867924</v>
      </c>
      <c r="S297" s="34">
        <f t="shared" si="40"/>
        <v>2.4714150943396223</v>
      </c>
      <c r="T297" s="33">
        <f t="shared" si="41"/>
        <v>-1.0714150943396223</v>
      </c>
      <c r="U297" s="33">
        <f t="shared" si="36"/>
        <v>60.211119522369749</v>
      </c>
      <c r="V297" s="30" t="s">
        <v>54</v>
      </c>
      <c r="W297">
        <v>1646.2</v>
      </c>
      <c r="Y297">
        <f t="shared" si="43"/>
        <v>206562.80000000013</v>
      </c>
      <c r="Z297">
        <f t="shared" si="38"/>
        <v>6840.7</v>
      </c>
      <c r="AA297">
        <v>15.139405545711675</v>
      </c>
      <c r="AB297" s="30" t="s">
        <v>59</v>
      </c>
    </row>
    <row r="298" spans="1:28" x14ac:dyDescent="0.25">
      <c r="A298">
        <v>5160</v>
      </c>
      <c r="B298">
        <v>23050</v>
      </c>
      <c r="C298" s="1">
        <v>42876</v>
      </c>
      <c r="F298" s="53"/>
      <c r="G298">
        <v>14.7</v>
      </c>
      <c r="H298">
        <v>8</v>
      </c>
      <c r="I298">
        <v>20.100000000000001</v>
      </c>
      <c r="J298">
        <f t="shared" si="42"/>
        <v>2357.6</v>
      </c>
      <c r="K298">
        <f t="shared" si="37"/>
        <v>89.4</v>
      </c>
      <c r="L298" s="12">
        <f>MIN(H293:H309)</f>
        <v>7.2</v>
      </c>
      <c r="M298">
        <v>0</v>
      </c>
      <c r="N298">
        <v>3.2</v>
      </c>
      <c r="O298">
        <f t="shared" si="39"/>
        <v>-3.2</v>
      </c>
      <c r="P298">
        <f t="shared" si="35"/>
        <v>74.3</v>
      </c>
      <c r="Q298">
        <v>265</v>
      </c>
      <c r="R298">
        <f t="shared" si="44"/>
        <v>1.0594339622641509</v>
      </c>
      <c r="S298" s="34">
        <f t="shared" si="40"/>
        <v>3.3901886792452829</v>
      </c>
      <c r="T298" s="33">
        <f t="shared" si="41"/>
        <v>-3.3901886792452829</v>
      </c>
      <c r="U298" s="33">
        <f t="shared" si="36"/>
        <v>56.820930843124465</v>
      </c>
      <c r="V298" s="33">
        <f>MIN(U293:U309)</f>
        <v>12.321213861992394</v>
      </c>
      <c r="W298">
        <v>2015.2</v>
      </c>
      <c r="Y298">
        <f t="shared" si="43"/>
        <v>208578.00000000015</v>
      </c>
      <c r="Z298">
        <f t="shared" si="38"/>
        <v>8855.9</v>
      </c>
      <c r="AA298">
        <v>15.177539675089296</v>
      </c>
      <c r="AB298">
        <v>1</v>
      </c>
    </row>
    <row r="299" spans="1:28" x14ac:dyDescent="0.25">
      <c r="A299">
        <v>5160</v>
      </c>
      <c r="B299">
        <v>23050</v>
      </c>
      <c r="C299" s="1">
        <v>42877</v>
      </c>
      <c r="F299" s="53"/>
      <c r="G299">
        <v>18.2</v>
      </c>
      <c r="H299">
        <v>11.7</v>
      </c>
      <c r="I299">
        <v>24.9</v>
      </c>
      <c r="J299">
        <f t="shared" si="42"/>
        <v>2375.7999999999997</v>
      </c>
      <c r="K299">
        <f t="shared" si="37"/>
        <v>107.60000000000001</v>
      </c>
      <c r="L299" s="19" t="s">
        <v>41</v>
      </c>
      <c r="M299">
        <v>0</v>
      </c>
      <c r="N299">
        <v>3.8</v>
      </c>
      <c r="O299">
        <f t="shared" si="39"/>
        <v>-3.8</v>
      </c>
      <c r="P299">
        <f t="shared" si="35"/>
        <v>70.5</v>
      </c>
      <c r="Q299" s="32">
        <v>266</v>
      </c>
      <c r="R299">
        <f t="shared" si="44"/>
        <v>1.0443396226415094</v>
      </c>
      <c r="S299" s="34">
        <f t="shared" si="40"/>
        <v>3.9684905660377354</v>
      </c>
      <c r="T299" s="33">
        <f t="shared" si="41"/>
        <v>-3.9684905660377354</v>
      </c>
      <c r="U299" s="33">
        <f t="shared" si="36"/>
        <v>52.852440277086728</v>
      </c>
      <c r="V299" s="30" t="s">
        <v>55</v>
      </c>
      <c r="W299">
        <v>2285.9</v>
      </c>
      <c r="Y299">
        <f t="shared" si="43"/>
        <v>210863.90000000014</v>
      </c>
      <c r="Z299">
        <f t="shared" si="38"/>
        <v>11141.8</v>
      </c>
      <c r="AA299">
        <v>15.214768396004164</v>
      </c>
    </row>
    <row r="300" spans="1:28" x14ac:dyDescent="0.25">
      <c r="A300">
        <v>5160</v>
      </c>
      <c r="B300">
        <v>23050</v>
      </c>
      <c r="C300" s="1">
        <v>42878</v>
      </c>
      <c r="F300" s="53"/>
      <c r="G300">
        <v>17.7</v>
      </c>
      <c r="H300">
        <v>13.4</v>
      </c>
      <c r="I300">
        <v>22</v>
      </c>
      <c r="J300">
        <f t="shared" si="42"/>
        <v>2393.4999999999995</v>
      </c>
      <c r="K300">
        <f t="shared" si="37"/>
        <v>125.30000000000001</v>
      </c>
      <c r="L300" s="11">
        <f>MAX(I293:I309)</f>
        <v>29.3</v>
      </c>
      <c r="M300">
        <v>0</v>
      </c>
      <c r="N300">
        <v>3.7</v>
      </c>
      <c r="O300">
        <f t="shared" si="39"/>
        <v>-3.7</v>
      </c>
      <c r="P300">
        <f t="shared" si="35"/>
        <v>66.8</v>
      </c>
      <c r="Q300">
        <v>267</v>
      </c>
      <c r="R300">
        <f t="shared" si="44"/>
        <v>1.0292452830188679</v>
      </c>
      <c r="S300" s="34">
        <f t="shared" si="40"/>
        <v>3.8082075471698111</v>
      </c>
      <c r="T300" s="33">
        <f t="shared" si="41"/>
        <v>-3.8082075471698111</v>
      </c>
      <c r="U300" s="33">
        <f t="shared" si="36"/>
        <v>49.044232729916914</v>
      </c>
      <c r="V300" s="33">
        <f>MAX(U293:U309)</f>
        <v>61.28253461670937</v>
      </c>
      <c r="W300">
        <v>2123.6999999999998</v>
      </c>
      <c r="Y300">
        <f t="shared" si="43"/>
        <v>212987.60000000015</v>
      </c>
      <c r="Z300">
        <f t="shared" si="38"/>
        <v>13265.5</v>
      </c>
      <c r="AA300">
        <v>15.251068308112863</v>
      </c>
    </row>
    <row r="301" spans="1:28" x14ac:dyDescent="0.25">
      <c r="A301">
        <v>5160</v>
      </c>
      <c r="B301">
        <v>23050</v>
      </c>
      <c r="C301" s="1">
        <v>42879</v>
      </c>
      <c r="F301" s="53"/>
      <c r="G301">
        <v>18.100000000000001</v>
      </c>
      <c r="H301">
        <v>14.5</v>
      </c>
      <c r="I301">
        <v>21.7</v>
      </c>
      <c r="J301">
        <f t="shared" si="42"/>
        <v>2411.5999999999995</v>
      </c>
      <c r="K301">
        <f t="shared" si="37"/>
        <v>143.4</v>
      </c>
      <c r="L301" s="19" t="s">
        <v>42</v>
      </c>
      <c r="M301">
        <v>0</v>
      </c>
      <c r="N301">
        <v>2.6</v>
      </c>
      <c r="O301">
        <f t="shared" si="39"/>
        <v>-2.6</v>
      </c>
      <c r="P301">
        <f t="shared" si="35"/>
        <v>64.2</v>
      </c>
      <c r="Q301" s="32">
        <v>268</v>
      </c>
      <c r="R301">
        <f t="shared" si="44"/>
        <v>1.0141509433962264</v>
      </c>
      <c r="S301" s="34">
        <f t="shared" si="40"/>
        <v>2.6367924528301887</v>
      </c>
      <c r="T301" s="33">
        <f t="shared" si="41"/>
        <v>-2.6367924528301887</v>
      </c>
      <c r="U301" s="33">
        <f t="shared" si="36"/>
        <v>46.407440277086728</v>
      </c>
      <c r="V301" s="30" t="s">
        <v>56</v>
      </c>
      <c r="W301">
        <v>1552.7</v>
      </c>
      <c r="Y301">
        <f t="shared" si="43"/>
        <v>214540.30000000016</v>
      </c>
      <c r="Z301">
        <f t="shared" si="38"/>
        <v>14818.2</v>
      </c>
      <c r="AA301">
        <v>15.286416084202054</v>
      </c>
    </row>
    <row r="302" spans="1:28" x14ac:dyDescent="0.25">
      <c r="A302">
        <v>5160</v>
      </c>
      <c r="B302">
        <v>23050</v>
      </c>
      <c r="C302" s="1">
        <v>42880</v>
      </c>
      <c r="F302" s="53"/>
      <c r="G302">
        <v>20.100000000000001</v>
      </c>
      <c r="H302">
        <v>15.2</v>
      </c>
      <c r="I302">
        <v>24.9</v>
      </c>
      <c r="J302">
        <f t="shared" si="42"/>
        <v>2431.6999999999994</v>
      </c>
      <c r="K302">
        <f t="shared" si="37"/>
        <v>163.5</v>
      </c>
      <c r="L302" s="11">
        <v>7</v>
      </c>
      <c r="M302">
        <v>0</v>
      </c>
      <c r="N302">
        <v>6.3</v>
      </c>
      <c r="O302">
        <f t="shared" si="39"/>
        <v>-6.3</v>
      </c>
      <c r="P302">
        <f t="shared" si="35"/>
        <v>57.900000000000006</v>
      </c>
      <c r="Q302">
        <v>269</v>
      </c>
      <c r="R302">
        <f t="shared" si="44"/>
        <v>0.99905660377358485</v>
      </c>
      <c r="S302" s="34">
        <f t="shared" si="40"/>
        <v>6.2940566037735843</v>
      </c>
      <c r="T302" s="33">
        <f t="shared" si="41"/>
        <v>-6.2940566037735843</v>
      </c>
      <c r="U302" s="33">
        <f t="shared" si="36"/>
        <v>40.113383673313145</v>
      </c>
      <c r="V302" s="16">
        <f>AVERAGE(U293:U309)</f>
        <v>38.455126181637226</v>
      </c>
      <c r="W302">
        <v>3168.1</v>
      </c>
      <c r="Y302">
        <f t="shared" si="43"/>
        <v>217708.40000000017</v>
      </c>
      <c r="Z302">
        <f t="shared" si="38"/>
        <v>17986.3</v>
      </c>
      <c r="AA302">
        <v>15.320788513936398</v>
      </c>
    </row>
    <row r="303" spans="1:28" x14ac:dyDescent="0.25">
      <c r="A303">
        <v>5160</v>
      </c>
      <c r="B303">
        <v>23050</v>
      </c>
      <c r="C303" s="1">
        <v>42881</v>
      </c>
      <c r="F303" s="53"/>
      <c r="G303">
        <v>21.8</v>
      </c>
      <c r="H303">
        <v>15.8</v>
      </c>
      <c r="I303">
        <v>27.6</v>
      </c>
      <c r="J303">
        <f t="shared" si="42"/>
        <v>2453.4999999999995</v>
      </c>
      <c r="K303">
        <f t="shared" si="37"/>
        <v>185.3</v>
      </c>
      <c r="L303" s="19" t="s">
        <v>43</v>
      </c>
      <c r="M303">
        <v>0</v>
      </c>
      <c r="N303">
        <v>6.5</v>
      </c>
      <c r="O303">
        <f t="shared" si="39"/>
        <v>-6.5</v>
      </c>
      <c r="P303">
        <f t="shared" si="35"/>
        <v>51.400000000000006</v>
      </c>
      <c r="Q303" s="32">
        <v>270</v>
      </c>
      <c r="R303">
        <f t="shared" si="44"/>
        <v>0.98396226415094334</v>
      </c>
      <c r="S303" s="34">
        <f t="shared" si="40"/>
        <v>6.3957547169811315</v>
      </c>
      <c r="T303" s="33">
        <f t="shared" si="41"/>
        <v>-6.3957547169811315</v>
      </c>
      <c r="U303" s="33">
        <f t="shared" si="36"/>
        <v>33.717628956332014</v>
      </c>
      <c r="W303">
        <v>3185.8</v>
      </c>
      <c r="Y303">
        <f t="shared" si="43"/>
        <v>220894.20000000016</v>
      </c>
      <c r="Z303">
        <f t="shared" si="38"/>
        <v>21172.1</v>
      </c>
      <c r="AA303">
        <v>15.354162549226739</v>
      </c>
    </row>
    <row r="304" spans="1:28" x14ac:dyDescent="0.25">
      <c r="A304">
        <v>5160</v>
      </c>
      <c r="B304">
        <v>23050</v>
      </c>
      <c r="C304" s="1">
        <v>42882</v>
      </c>
      <c r="F304" s="53"/>
      <c r="G304">
        <v>23.5</v>
      </c>
      <c r="H304">
        <v>18.100000000000001</v>
      </c>
      <c r="I304">
        <v>27.4</v>
      </c>
      <c r="J304">
        <f t="shared" si="42"/>
        <v>2476.9999999999995</v>
      </c>
      <c r="K304">
        <f t="shared" si="37"/>
        <v>208.8</v>
      </c>
      <c r="L304" s="11">
        <v>0</v>
      </c>
      <c r="M304">
        <v>0</v>
      </c>
      <c r="N304">
        <v>4.0999999999999996</v>
      </c>
      <c r="O304">
        <f t="shared" si="39"/>
        <v>-4.0999999999999996</v>
      </c>
      <c r="P304">
        <f t="shared" si="35"/>
        <v>47.300000000000004</v>
      </c>
      <c r="Q304">
        <v>271</v>
      </c>
      <c r="R304">
        <f t="shared" si="44"/>
        <v>0.96886792452830184</v>
      </c>
      <c r="S304" s="34">
        <f t="shared" si="40"/>
        <v>3.9723584905660374</v>
      </c>
      <c r="T304" s="33">
        <f t="shared" si="41"/>
        <v>-3.9723584905660374</v>
      </c>
      <c r="U304" s="33">
        <f t="shared" si="36"/>
        <v>29.745270465765977</v>
      </c>
      <c r="V304" s="21">
        <f>(V302*100)/146.7</f>
        <v>26.213446613249644</v>
      </c>
      <c r="W304">
        <v>2129.1999999999998</v>
      </c>
      <c r="Y304">
        <f t="shared" si="43"/>
        <v>223023.40000000017</v>
      </c>
      <c r="Z304">
        <f t="shared" si="38"/>
        <v>23301.3</v>
      </c>
      <c r="AA304">
        <v>15.386515351096206</v>
      </c>
    </row>
    <row r="305" spans="1:28" x14ac:dyDescent="0.25">
      <c r="A305">
        <v>5160</v>
      </c>
      <c r="B305">
        <v>23050</v>
      </c>
      <c r="C305" s="1">
        <v>42883</v>
      </c>
      <c r="F305" s="53"/>
      <c r="G305">
        <v>24.2</v>
      </c>
      <c r="H305">
        <v>19.3</v>
      </c>
      <c r="I305">
        <v>29.3</v>
      </c>
      <c r="J305">
        <f t="shared" si="42"/>
        <v>2501.1999999999994</v>
      </c>
      <c r="K305">
        <f t="shared" si="37"/>
        <v>233</v>
      </c>
      <c r="L305" s="19" t="s">
        <v>44</v>
      </c>
      <c r="M305">
        <v>0</v>
      </c>
      <c r="N305">
        <v>4.0999999999999996</v>
      </c>
      <c r="O305">
        <f t="shared" si="39"/>
        <v>-4.0999999999999996</v>
      </c>
      <c r="P305">
        <f t="shared" si="35"/>
        <v>43.2</v>
      </c>
      <c r="Q305" s="32">
        <v>272</v>
      </c>
      <c r="R305">
        <f t="shared" si="44"/>
        <v>0.95377358490566033</v>
      </c>
      <c r="S305" s="34">
        <f t="shared" si="40"/>
        <v>3.9104716981132071</v>
      </c>
      <c r="T305" s="33">
        <f t="shared" si="41"/>
        <v>-3.9104716981132071</v>
      </c>
      <c r="U305" s="33">
        <f t="shared" si="36"/>
        <v>25.834798767652771</v>
      </c>
      <c r="W305">
        <v>2207.6999999999998</v>
      </c>
      <c r="Y305">
        <f t="shared" si="43"/>
        <v>225231.10000000018</v>
      </c>
      <c r="Z305">
        <f t="shared" si="38"/>
        <v>25509</v>
      </c>
      <c r="AA305">
        <v>15.417824337905166</v>
      </c>
    </row>
    <row r="306" spans="1:28" x14ac:dyDescent="0.25">
      <c r="A306">
        <v>5160</v>
      </c>
      <c r="B306">
        <v>23050</v>
      </c>
      <c r="C306" s="1">
        <v>42884</v>
      </c>
      <c r="F306" s="53"/>
      <c r="G306">
        <v>21.3</v>
      </c>
      <c r="H306">
        <v>19.7</v>
      </c>
      <c r="I306">
        <v>25.6</v>
      </c>
      <c r="J306">
        <f t="shared" si="42"/>
        <v>2522.4999999999995</v>
      </c>
      <c r="K306">
        <f t="shared" si="37"/>
        <v>254.3</v>
      </c>
      <c r="L306" s="17">
        <v>0</v>
      </c>
      <c r="M306">
        <v>0</v>
      </c>
      <c r="N306">
        <v>3.4</v>
      </c>
      <c r="O306">
        <f t="shared" si="39"/>
        <v>-3.4</v>
      </c>
      <c r="P306">
        <f t="shared" si="35"/>
        <v>39.800000000000004</v>
      </c>
      <c r="Q306">
        <v>273</v>
      </c>
      <c r="R306">
        <f t="shared" si="44"/>
        <v>0.93867924528301883</v>
      </c>
      <c r="S306" s="34">
        <f t="shared" si="40"/>
        <v>3.1915094339622638</v>
      </c>
      <c r="T306" s="33">
        <f t="shared" si="41"/>
        <v>-3.1915094339622638</v>
      </c>
      <c r="U306" s="33">
        <f t="shared" si="36"/>
        <v>22.643289333690507</v>
      </c>
      <c r="W306">
        <v>1582.2</v>
      </c>
      <c r="Y306">
        <f t="shared" si="43"/>
        <v>226813.30000000019</v>
      </c>
      <c r="Z306">
        <f t="shared" si="38"/>
        <v>27091.200000000001</v>
      </c>
      <c r="AA306">
        <v>15.448067234779122</v>
      </c>
    </row>
    <row r="307" spans="1:28" x14ac:dyDescent="0.25">
      <c r="A307">
        <v>5160</v>
      </c>
      <c r="B307">
        <v>23050</v>
      </c>
      <c r="C307" s="1">
        <v>42885</v>
      </c>
      <c r="F307" s="53"/>
      <c r="G307">
        <v>18.5</v>
      </c>
      <c r="H307">
        <v>16.399999999999999</v>
      </c>
      <c r="I307">
        <v>21.6</v>
      </c>
      <c r="J307">
        <f t="shared" si="42"/>
        <v>2540.9999999999995</v>
      </c>
      <c r="K307">
        <f t="shared" si="37"/>
        <v>272.8</v>
      </c>
      <c r="M307">
        <v>0</v>
      </c>
      <c r="N307">
        <v>2.5</v>
      </c>
      <c r="O307">
        <f t="shared" si="39"/>
        <v>-2.5</v>
      </c>
      <c r="P307">
        <f t="shared" ref="P307:P343" si="45">P306+O307</f>
        <v>37.300000000000004</v>
      </c>
      <c r="Q307" s="32">
        <v>274</v>
      </c>
      <c r="R307">
        <f t="shared" si="44"/>
        <v>0.92358490566037732</v>
      </c>
      <c r="S307" s="34">
        <f t="shared" si="40"/>
        <v>2.3089622641509431</v>
      </c>
      <c r="T307" s="33">
        <f t="shared" si="41"/>
        <v>-2.3089622641509431</v>
      </c>
      <c r="U307" s="33">
        <f t="shared" ref="U307:U345" si="46">MIN(U306+T307,146.7)</f>
        <v>20.334327069539565</v>
      </c>
      <c r="W307">
        <v>1198.9000000000001</v>
      </c>
      <c r="Y307">
        <f t="shared" si="43"/>
        <v>228012.20000000019</v>
      </c>
      <c r="Z307">
        <f t="shared" si="38"/>
        <v>28290.100000000002</v>
      </c>
      <c r="AA307">
        <v>15.477222124067021</v>
      </c>
    </row>
    <row r="308" spans="1:28" x14ac:dyDescent="0.25">
      <c r="A308">
        <v>5160</v>
      </c>
      <c r="B308">
        <v>23050</v>
      </c>
      <c r="C308" s="1">
        <v>42886</v>
      </c>
      <c r="F308" s="53"/>
      <c r="G308">
        <v>18.100000000000001</v>
      </c>
      <c r="H308">
        <v>13</v>
      </c>
      <c r="I308">
        <v>21.6</v>
      </c>
      <c r="J308">
        <f t="shared" si="42"/>
        <v>2559.0999999999995</v>
      </c>
      <c r="K308">
        <f t="shared" ref="K308:K345" si="47">K307+G308</f>
        <v>290.90000000000003</v>
      </c>
      <c r="M308">
        <v>0</v>
      </c>
      <c r="N308">
        <v>4.0999999999999996</v>
      </c>
      <c r="O308">
        <f t="shared" si="39"/>
        <v>-4.0999999999999996</v>
      </c>
      <c r="P308">
        <f t="shared" si="45"/>
        <v>33.200000000000003</v>
      </c>
      <c r="Q308">
        <v>275</v>
      </c>
      <c r="R308">
        <f t="shared" si="44"/>
        <v>0.90849056603773581</v>
      </c>
      <c r="S308" s="34">
        <f t="shared" si="40"/>
        <v>3.7248113207547164</v>
      </c>
      <c r="T308" s="33">
        <f t="shared" si="41"/>
        <v>-3.7248113207547164</v>
      </c>
      <c r="U308" s="33">
        <f t="shared" si="46"/>
        <v>16.609515748784847</v>
      </c>
      <c r="W308">
        <v>2472.5</v>
      </c>
      <c r="Y308">
        <f t="shared" si="43"/>
        <v>230484.70000000019</v>
      </c>
      <c r="Z308">
        <f t="shared" ref="Z308:Z345" si="48">Z307+W308</f>
        <v>30762.600000000002</v>
      </c>
      <c r="AA308">
        <v>15.505267496641089</v>
      </c>
    </row>
    <row r="309" spans="1:28" s="35" customFormat="1" ht="15.75" thickBot="1" x14ac:dyDescent="0.3">
      <c r="A309" s="35">
        <v>5160</v>
      </c>
      <c r="B309" s="35">
        <v>23050</v>
      </c>
      <c r="C309" s="36">
        <v>42887</v>
      </c>
      <c r="F309" s="53"/>
      <c r="G309" s="35">
        <v>21</v>
      </c>
      <c r="H309" s="35">
        <v>15.5</v>
      </c>
      <c r="I309" s="35">
        <v>26</v>
      </c>
      <c r="J309" s="35">
        <f t="shared" si="42"/>
        <v>2580.0999999999995</v>
      </c>
      <c r="K309" s="35">
        <f t="shared" si="47"/>
        <v>311.90000000000003</v>
      </c>
      <c r="M309" s="35">
        <v>0</v>
      </c>
      <c r="N309" s="35">
        <v>4.8</v>
      </c>
      <c r="O309" s="35">
        <f t="shared" si="39"/>
        <v>-4.8</v>
      </c>
      <c r="P309" s="35">
        <f t="shared" si="45"/>
        <v>28.400000000000002</v>
      </c>
      <c r="Q309" s="38">
        <v>276</v>
      </c>
      <c r="R309" s="35">
        <f t="shared" si="44"/>
        <v>0.89339622641509431</v>
      </c>
      <c r="S309" s="39">
        <f t="shared" si="40"/>
        <v>4.2883018867924525</v>
      </c>
      <c r="T309" s="40">
        <f t="shared" si="41"/>
        <v>-4.2883018867924525</v>
      </c>
      <c r="U309" s="33">
        <f t="shared" si="46"/>
        <v>12.321213861992394</v>
      </c>
      <c r="W309" s="35">
        <v>2416.4</v>
      </c>
      <c r="Y309" s="35">
        <f t="shared" si="43"/>
        <v>232901.10000000018</v>
      </c>
      <c r="Z309" s="35">
        <f t="shared" si="48"/>
        <v>33179</v>
      </c>
      <c r="AA309" s="35">
        <v>15.53218230383362</v>
      </c>
    </row>
    <row r="310" spans="1:28" x14ac:dyDescent="0.25">
      <c r="A310">
        <v>5160</v>
      </c>
      <c r="B310">
        <v>23050</v>
      </c>
      <c r="C310" s="1">
        <v>42888</v>
      </c>
      <c r="F310" s="54" t="s">
        <v>50</v>
      </c>
      <c r="G310">
        <v>22</v>
      </c>
      <c r="H310">
        <v>17.5</v>
      </c>
      <c r="I310">
        <v>27.8</v>
      </c>
      <c r="J310">
        <f t="shared" si="42"/>
        <v>2602.0999999999995</v>
      </c>
      <c r="K310">
        <f>G310</f>
        <v>22</v>
      </c>
      <c r="L310" s="20" t="s">
        <v>38</v>
      </c>
      <c r="M310">
        <v>1.1000000000000001</v>
      </c>
      <c r="N310">
        <v>4.0999999999999996</v>
      </c>
      <c r="O310">
        <f t="shared" si="39"/>
        <v>-2.9999999999999996</v>
      </c>
      <c r="P310">
        <f t="shared" si="45"/>
        <v>25.400000000000002</v>
      </c>
      <c r="Q310">
        <v>277</v>
      </c>
      <c r="R310">
        <f t="shared" si="44"/>
        <v>0.8783018867924528</v>
      </c>
      <c r="S310" s="34">
        <f t="shared" si="40"/>
        <v>3.6010377358490562</v>
      </c>
      <c r="T310" s="33">
        <f t="shared" si="41"/>
        <v>-2.5010377358490561</v>
      </c>
      <c r="U310" s="33">
        <f t="shared" si="46"/>
        <v>9.8201761261433376</v>
      </c>
      <c r="V310" s="31" t="s">
        <v>52</v>
      </c>
      <c r="W310">
        <v>1976.7</v>
      </c>
      <c r="Y310">
        <f t="shared" si="43"/>
        <v>234877.80000000019</v>
      </c>
      <c r="Z310">
        <f>W310</f>
        <v>1976.7</v>
      </c>
      <c r="AA310">
        <v>15.557946009791026</v>
      </c>
      <c r="AB310" s="31" t="s">
        <v>57</v>
      </c>
    </row>
    <row r="311" spans="1:28" x14ac:dyDescent="0.25">
      <c r="A311">
        <v>5160</v>
      </c>
      <c r="B311">
        <v>23050</v>
      </c>
      <c r="C311" s="1">
        <v>42889</v>
      </c>
      <c r="F311" s="54"/>
      <c r="G311">
        <v>15.7</v>
      </c>
      <c r="H311">
        <v>15</v>
      </c>
      <c r="I311">
        <v>18.7</v>
      </c>
      <c r="J311">
        <f t="shared" si="42"/>
        <v>2617.7999999999993</v>
      </c>
      <c r="K311">
        <f t="shared" si="47"/>
        <v>37.700000000000003</v>
      </c>
      <c r="L311" s="11">
        <v>406.5</v>
      </c>
      <c r="M311">
        <v>0.2</v>
      </c>
      <c r="N311">
        <v>1</v>
      </c>
      <c r="O311">
        <f t="shared" si="39"/>
        <v>-0.8</v>
      </c>
      <c r="P311">
        <f t="shared" si="45"/>
        <v>24.6</v>
      </c>
      <c r="Q311" s="32">
        <v>278</v>
      </c>
      <c r="R311">
        <f t="shared" si="44"/>
        <v>0.8632075471698113</v>
      </c>
      <c r="S311" s="34">
        <f t="shared" si="40"/>
        <v>0.8632075471698113</v>
      </c>
      <c r="T311" s="33">
        <f t="shared" si="41"/>
        <v>-0.66320754716981134</v>
      </c>
      <c r="U311" s="33">
        <f t="shared" si="46"/>
        <v>9.156968578973526</v>
      </c>
      <c r="V311">
        <v>10</v>
      </c>
      <c r="W311">
        <v>691</v>
      </c>
      <c r="Y311">
        <f t="shared" si="43"/>
        <v>235568.80000000019</v>
      </c>
      <c r="Z311">
        <f t="shared" si="48"/>
        <v>2667.7</v>
      </c>
      <c r="AA311">
        <v>15.582538644011638</v>
      </c>
      <c r="AB311">
        <v>45196.7</v>
      </c>
    </row>
    <row r="312" spans="1:28" x14ac:dyDescent="0.25">
      <c r="A312">
        <v>5160</v>
      </c>
      <c r="B312">
        <v>23050</v>
      </c>
      <c r="C312" s="1">
        <v>42890</v>
      </c>
      <c r="F312" s="54"/>
      <c r="G312">
        <v>16</v>
      </c>
      <c r="H312">
        <v>10.8</v>
      </c>
      <c r="I312">
        <v>20.8</v>
      </c>
      <c r="J312">
        <f t="shared" si="42"/>
        <v>2633.7999999999993</v>
      </c>
      <c r="K312">
        <f t="shared" si="47"/>
        <v>53.7</v>
      </c>
      <c r="L312" s="20" t="s">
        <v>39</v>
      </c>
      <c r="M312">
        <v>0</v>
      </c>
      <c r="N312">
        <v>1.9</v>
      </c>
      <c r="O312">
        <f t="shared" si="39"/>
        <v>-1.9</v>
      </c>
      <c r="P312">
        <f t="shared" si="45"/>
        <v>22.700000000000003</v>
      </c>
      <c r="Q312">
        <v>279</v>
      </c>
      <c r="R312">
        <f t="shared" si="44"/>
        <v>0.84811320754716979</v>
      </c>
      <c r="S312" s="34">
        <f t="shared" si="40"/>
        <v>1.6114150943396226</v>
      </c>
      <c r="T312" s="33">
        <f t="shared" si="41"/>
        <v>-1.6114150943396226</v>
      </c>
      <c r="U312" s="33">
        <f t="shared" si="46"/>
        <v>7.5455534846339036</v>
      </c>
      <c r="V312" s="31" t="s">
        <v>53</v>
      </c>
      <c r="W312">
        <v>1285.8</v>
      </c>
      <c r="Y312">
        <f t="shared" si="43"/>
        <v>236854.60000000018</v>
      </c>
      <c r="Z312">
        <f t="shared" si="48"/>
        <v>3953.5</v>
      </c>
      <c r="AA312">
        <v>15.605940853820938</v>
      </c>
      <c r="AB312" s="31" t="s">
        <v>58</v>
      </c>
    </row>
    <row r="313" spans="1:28" x14ac:dyDescent="0.25">
      <c r="A313">
        <v>5160</v>
      </c>
      <c r="B313">
        <v>23050</v>
      </c>
      <c r="C313" s="1">
        <v>42891</v>
      </c>
      <c r="F313" s="54"/>
      <c r="G313">
        <v>16.899999999999999</v>
      </c>
      <c r="H313">
        <v>12.4</v>
      </c>
      <c r="I313">
        <v>21.9</v>
      </c>
      <c r="J313">
        <f t="shared" si="42"/>
        <v>2650.6999999999994</v>
      </c>
      <c r="K313">
        <f t="shared" si="47"/>
        <v>70.599999999999994</v>
      </c>
      <c r="L313" s="11">
        <f>AVERAGE(G310:G329)</f>
        <v>20.324999999999996</v>
      </c>
      <c r="M313">
        <v>5.6</v>
      </c>
      <c r="N313">
        <v>4</v>
      </c>
      <c r="O313">
        <f t="shared" si="39"/>
        <v>1.5999999999999996</v>
      </c>
      <c r="P313">
        <f t="shared" si="45"/>
        <v>24.300000000000004</v>
      </c>
      <c r="Q313" s="32">
        <v>280</v>
      </c>
      <c r="R313">
        <f t="shared" si="44"/>
        <v>0.83301886792452828</v>
      </c>
      <c r="S313" s="34">
        <f t="shared" si="40"/>
        <v>3.3320754716981131</v>
      </c>
      <c r="T313" s="33">
        <f t="shared" si="41"/>
        <v>2.2679245283018865</v>
      </c>
      <c r="U313" s="33">
        <f t="shared" si="46"/>
        <v>9.8134780129357893</v>
      </c>
      <c r="V313">
        <v>10</v>
      </c>
      <c r="W313">
        <v>1970.3</v>
      </c>
      <c r="Y313">
        <f t="shared" si="43"/>
        <v>238824.90000000017</v>
      </c>
      <c r="Z313">
        <f t="shared" si="48"/>
        <v>5923.8</v>
      </c>
      <c r="AA313">
        <v>15.628133956526714</v>
      </c>
      <c r="AB313">
        <f>(AB311/100)/L311</f>
        <v>1.111849938499385</v>
      </c>
    </row>
    <row r="314" spans="1:28" x14ac:dyDescent="0.25">
      <c r="A314">
        <v>5160</v>
      </c>
      <c r="B314">
        <v>23050</v>
      </c>
      <c r="C314" s="1">
        <v>42892</v>
      </c>
      <c r="F314" s="54"/>
      <c r="G314">
        <v>13.5</v>
      </c>
      <c r="H314">
        <v>11.2</v>
      </c>
      <c r="I314">
        <v>18.3</v>
      </c>
      <c r="J314">
        <f t="shared" si="42"/>
        <v>2664.1999999999994</v>
      </c>
      <c r="K314">
        <f t="shared" si="47"/>
        <v>84.1</v>
      </c>
      <c r="L314" s="20" t="s">
        <v>40</v>
      </c>
      <c r="M314">
        <v>1.4</v>
      </c>
      <c r="N314">
        <v>3.9</v>
      </c>
      <c r="O314">
        <f t="shared" si="39"/>
        <v>-2.5</v>
      </c>
      <c r="P314">
        <f t="shared" si="45"/>
        <v>21.800000000000004</v>
      </c>
      <c r="Q314">
        <v>281</v>
      </c>
      <c r="R314">
        <f t="shared" si="44"/>
        <v>0.81792452830188678</v>
      </c>
      <c r="S314" s="34">
        <f t="shared" si="40"/>
        <v>3.1899056603773586</v>
      </c>
      <c r="T314" s="33">
        <f t="shared" si="41"/>
        <v>-1.7899056603773587</v>
      </c>
      <c r="U314" s="33">
        <f t="shared" si="46"/>
        <v>8.0235723525584302</v>
      </c>
      <c r="V314" s="31" t="s">
        <v>54</v>
      </c>
      <c r="W314">
        <v>1708.1</v>
      </c>
      <c r="Y314">
        <f t="shared" si="43"/>
        <v>240533.00000000017</v>
      </c>
      <c r="Z314">
        <f t="shared" si="48"/>
        <v>7631.9</v>
      </c>
      <c r="AA314">
        <v>15.6490999909872</v>
      </c>
      <c r="AB314" s="31" t="s">
        <v>59</v>
      </c>
    </row>
    <row r="315" spans="1:28" x14ac:dyDescent="0.25">
      <c r="A315">
        <v>5160</v>
      </c>
      <c r="B315">
        <v>23050</v>
      </c>
      <c r="C315" s="1">
        <v>42893</v>
      </c>
      <c r="F315" s="54"/>
      <c r="G315">
        <v>14.8</v>
      </c>
      <c r="H315">
        <v>8.9</v>
      </c>
      <c r="I315">
        <v>19.899999999999999</v>
      </c>
      <c r="J315">
        <f t="shared" si="42"/>
        <v>2678.9999999999995</v>
      </c>
      <c r="K315">
        <f t="shared" si="47"/>
        <v>98.899999999999991</v>
      </c>
      <c r="L315" s="11">
        <f>MIN(H310:H329)</f>
        <v>8.9</v>
      </c>
      <c r="M315">
        <v>0</v>
      </c>
      <c r="N315">
        <v>3.1</v>
      </c>
      <c r="O315">
        <f t="shared" si="39"/>
        <v>-3.1</v>
      </c>
      <c r="P315">
        <f t="shared" si="45"/>
        <v>18.700000000000003</v>
      </c>
      <c r="Q315" s="32">
        <v>282</v>
      </c>
      <c r="R315">
        <f t="shared" si="44"/>
        <v>0.80283018867924527</v>
      </c>
      <c r="S315" s="34">
        <f t="shared" si="40"/>
        <v>2.4887735849056605</v>
      </c>
      <c r="T315" s="33">
        <f t="shared" si="41"/>
        <v>-2.4887735849056605</v>
      </c>
      <c r="U315" s="33">
        <f t="shared" si="46"/>
        <v>5.5347987676527701</v>
      </c>
      <c r="V315">
        <v>0</v>
      </c>
      <c r="W315">
        <v>1605.2</v>
      </c>
      <c r="Y315">
        <f t="shared" si="43"/>
        <v>242138.20000000019</v>
      </c>
      <c r="Z315">
        <f t="shared" si="48"/>
        <v>9237.1</v>
      </c>
      <c r="AA315">
        <v>15.668821768317621</v>
      </c>
      <c r="AB315">
        <v>1</v>
      </c>
    </row>
    <row r="316" spans="1:28" x14ac:dyDescent="0.25">
      <c r="A316">
        <v>5160</v>
      </c>
      <c r="B316">
        <v>23050</v>
      </c>
      <c r="C316" s="1">
        <v>42894</v>
      </c>
      <c r="F316" s="54"/>
      <c r="G316">
        <v>19.5</v>
      </c>
      <c r="H316">
        <v>11.4</v>
      </c>
      <c r="I316">
        <v>25.9</v>
      </c>
      <c r="J316">
        <f t="shared" si="42"/>
        <v>2698.4999999999995</v>
      </c>
      <c r="K316">
        <f t="shared" si="47"/>
        <v>118.39999999999999</v>
      </c>
      <c r="L316" s="20" t="s">
        <v>41</v>
      </c>
      <c r="M316">
        <v>11.8</v>
      </c>
      <c r="N316">
        <v>4.7</v>
      </c>
      <c r="O316">
        <f t="shared" si="39"/>
        <v>7.1000000000000005</v>
      </c>
      <c r="P316">
        <f t="shared" si="45"/>
        <v>25.800000000000004</v>
      </c>
      <c r="Q316">
        <v>283</v>
      </c>
      <c r="R316">
        <f t="shared" si="44"/>
        <v>0.78773584905660377</v>
      </c>
      <c r="S316" s="34">
        <f t="shared" si="40"/>
        <v>3.7023584905660378</v>
      </c>
      <c r="T316" s="33">
        <f t="shared" si="41"/>
        <v>8.0976415094339629</v>
      </c>
      <c r="U316" s="33">
        <f t="shared" si="46"/>
        <v>13.632440277086733</v>
      </c>
      <c r="V316" s="31" t="s">
        <v>55</v>
      </c>
      <c r="W316">
        <v>2599.4</v>
      </c>
      <c r="Y316">
        <f t="shared" si="43"/>
        <v>244737.60000000018</v>
      </c>
      <c r="Z316">
        <f t="shared" si="48"/>
        <v>11836.5</v>
      </c>
      <c r="AA316">
        <v>15.687282921455353</v>
      </c>
    </row>
    <row r="317" spans="1:28" x14ac:dyDescent="0.25">
      <c r="A317">
        <v>5160</v>
      </c>
      <c r="B317">
        <v>23050</v>
      </c>
      <c r="C317" s="1">
        <v>42895</v>
      </c>
      <c r="F317" s="54"/>
      <c r="G317">
        <v>18.3</v>
      </c>
      <c r="H317">
        <v>16</v>
      </c>
      <c r="I317">
        <v>22.1</v>
      </c>
      <c r="J317">
        <f t="shared" si="42"/>
        <v>2716.7999999999997</v>
      </c>
      <c r="K317">
        <f t="shared" si="47"/>
        <v>136.69999999999999</v>
      </c>
      <c r="L317" s="11">
        <f>MAX(I310:I329)</f>
        <v>35.1</v>
      </c>
      <c r="M317">
        <v>0</v>
      </c>
      <c r="N317">
        <v>3</v>
      </c>
      <c r="O317">
        <f t="shared" si="39"/>
        <v>-3</v>
      </c>
      <c r="P317">
        <f t="shared" si="45"/>
        <v>22.800000000000004</v>
      </c>
      <c r="Q317" s="32">
        <v>284</v>
      </c>
      <c r="R317">
        <f t="shared" si="44"/>
        <v>0.77264150943396226</v>
      </c>
      <c r="S317" s="34">
        <f t="shared" si="40"/>
        <v>2.3179245283018868</v>
      </c>
      <c r="T317" s="33">
        <f t="shared" si="41"/>
        <v>-2.3179245283018868</v>
      </c>
      <c r="U317" s="33">
        <f t="shared" si="46"/>
        <v>11.314515748784846</v>
      </c>
      <c r="V317" s="33">
        <f>MAX(U310:U329)</f>
        <v>13.632440277086733</v>
      </c>
      <c r="W317">
        <v>1442.8</v>
      </c>
      <c r="Y317">
        <f t="shared" si="43"/>
        <v>246180.40000000017</v>
      </c>
      <c r="Z317">
        <f t="shared" si="48"/>
        <v>13279.3</v>
      </c>
      <c r="AA317">
        <v>15.704467953300753</v>
      </c>
    </row>
    <row r="318" spans="1:28" x14ac:dyDescent="0.25">
      <c r="A318">
        <v>5160</v>
      </c>
      <c r="B318">
        <v>23050</v>
      </c>
      <c r="C318" s="1">
        <v>42896</v>
      </c>
      <c r="F318" s="54"/>
      <c r="G318">
        <v>19.8</v>
      </c>
      <c r="H318">
        <v>12.8</v>
      </c>
      <c r="I318">
        <v>26.6</v>
      </c>
      <c r="J318">
        <f t="shared" si="42"/>
        <v>2736.6</v>
      </c>
      <c r="K318">
        <f t="shared" si="47"/>
        <v>156.5</v>
      </c>
      <c r="L318" s="20" t="s">
        <v>42</v>
      </c>
      <c r="M318">
        <v>0</v>
      </c>
      <c r="N318">
        <v>6.2</v>
      </c>
      <c r="O318">
        <f t="shared" si="39"/>
        <v>-6.2</v>
      </c>
      <c r="P318">
        <f t="shared" si="45"/>
        <v>16.600000000000005</v>
      </c>
      <c r="Q318">
        <v>285</v>
      </c>
      <c r="R318">
        <f t="shared" si="44"/>
        <v>0.75754716981132075</v>
      </c>
      <c r="S318" s="34">
        <f t="shared" si="40"/>
        <v>4.6967924528301888</v>
      </c>
      <c r="T318" s="33">
        <f t="shared" si="41"/>
        <v>-4.6967924528301888</v>
      </c>
      <c r="U318" s="33">
        <f t="shared" si="46"/>
        <v>6.617723295954657</v>
      </c>
      <c r="V318" s="31" t="s">
        <v>56</v>
      </c>
      <c r="W318">
        <v>3200.3</v>
      </c>
      <c r="Y318">
        <f t="shared" si="43"/>
        <v>249380.70000000016</v>
      </c>
      <c r="Z318">
        <f t="shared" si="48"/>
        <v>16479.599999999999</v>
      </c>
      <c r="AA318">
        <v>15.720362283150342</v>
      </c>
    </row>
    <row r="319" spans="1:28" x14ac:dyDescent="0.25">
      <c r="A319">
        <v>5160</v>
      </c>
      <c r="B319">
        <v>23050</v>
      </c>
      <c r="C319" s="1">
        <v>42897</v>
      </c>
      <c r="F319" s="54"/>
      <c r="G319">
        <v>21.7</v>
      </c>
      <c r="H319">
        <v>14.5</v>
      </c>
      <c r="I319">
        <v>28.6</v>
      </c>
      <c r="J319">
        <f t="shared" si="42"/>
        <v>2758.2999999999997</v>
      </c>
      <c r="K319">
        <f t="shared" si="47"/>
        <v>178.2</v>
      </c>
      <c r="L319" s="11">
        <v>11</v>
      </c>
      <c r="M319">
        <v>0</v>
      </c>
      <c r="N319">
        <v>4.8</v>
      </c>
      <c r="O319">
        <f t="shared" si="39"/>
        <v>-4.8</v>
      </c>
      <c r="P319">
        <f t="shared" si="45"/>
        <v>11.800000000000004</v>
      </c>
      <c r="Q319" s="32">
        <v>286</v>
      </c>
      <c r="R319">
        <f t="shared" si="44"/>
        <v>0.74245283018867925</v>
      </c>
      <c r="S319" s="34">
        <f t="shared" si="40"/>
        <v>3.5637735849056602</v>
      </c>
      <c r="T319" s="33">
        <f t="shared" si="41"/>
        <v>-3.5637735849056602</v>
      </c>
      <c r="U319" s="33">
        <f t="shared" si="46"/>
        <v>3.0539497110489968</v>
      </c>
      <c r="V319" s="16">
        <f>AVERAGE(U310:U329)</f>
        <v>4.2256588177886503</v>
      </c>
      <c r="W319">
        <v>2061.6999999999998</v>
      </c>
      <c r="Y319">
        <f t="shared" si="43"/>
        <v>251442.40000000017</v>
      </c>
      <c r="Z319">
        <f t="shared" si="48"/>
        <v>18541.3</v>
      </c>
      <c r="AA319">
        <v>15.734952291141203</v>
      </c>
    </row>
    <row r="320" spans="1:28" x14ac:dyDescent="0.25">
      <c r="A320">
        <v>5160</v>
      </c>
      <c r="B320">
        <v>23050</v>
      </c>
      <c r="C320" s="1">
        <v>42898</v>
      </c>
      <c r="F320" s="54"/>
      <c r="G320">
        <v>18.100000000000001</v>
      </c>
      <c r="H320">
        <v>14.8</v>
      </c>
      <c r="I320">
        <v>22.5</v>
      </c>
      <c r="J320">
        <f t="shared" si="42"/>
        <v>2776.3999999999996</v>
      </c>
      <c r="K320">
        <f t="shared" si="47"/>
        <v>196.29999999999998</v>
      </c>
      <c r="L320" s="20" t="s">
        <v>43</v>
      </c>
      <c r="M320">
        <v>0</v>
      </c>
      <c r="N320">
        <v>5.2</v>
      </c>
      <c r="O320">
        <f t="shared" si="39"/>
        <v>-5.2</v>
      </c>
      <c r="P320">
        <f t="shared" si="45"/>
        <v>6.6000000000000041</v>
      </c>
      <c r="Q320">
        <v>287</v>
      </c>
      <c r="R320">
        <f t="shared" si="44"/>
        <v>0.72735849056603774</v>
      </c>
      <c r="S320" s="34">
        <f t="shared" si="40"/>
        <v>3.7822641509433965</v>
      </c>
      <c r="T320" s="33">
        <f t="shared" si="41"/>
        <v>-3.7822641509433965</v>
      </c>
      <c r="U320" s="33">
        <v>0</v>
      </c>
      <c r="W320">
        <v>2613.9</v>
      </c>
      <c r="Y320">
        <f t="shared" si="43"/>
        <v>254056.30000000016</v>
      </c>
      <c r="Z320">
        <f t="shared" si="48"/>
        <v>21155.200000000001</v>
      </c>
      <c r="AA320">
        <v>15.748225360430254</v>
      </c>
    </row>
    <row r="321" spans="1:27" x14ac:dyDescent="0.25">
      <c r="A321">
        <v>5160</v>
      </c>
      <c r="B321">
        <v>23050</v>
      </c>
      <c r="C321" s="1">
        <v>42899</v>
      </c>
      <c r="F321" s="54"/>
      <c r="G321">
        <v>17.8</v>
      </c>
      <c r="H321">
        <v>12.7</v>
      </c>
      <c r="I321">
        <v>21.9</v>
      </c>
      <c r="J321">
        <f t="shared" si="42"/>
        <v>2794.2</v>
      </c>
      <c r="K321">
        <f t="shared" si="47"/>
        <v>214.1</v>
      </c>
      <c r="L321" s="11">
        <v>0</v>
      </c>
      <c r="M321">
        <v>0</v>
      </c>
      <c r="N321">
        <v>4</v>
      </c>
      <c r="O321">
        <f t="shared" si="39"/>
        <v>-4</v>
      </c>
      <c r="P321">
        <f t="shared" si="45"/>
        <v>2.6000000000000041</v>
      </c>
      <c r="Q321" s="32">
        <v>288</v>
      </c>
      <c r="R321">
        <f t="shared" si="44"/>
        <v>0.71226415094339623</v>
      </c>
      <c r="S321" s="34">
        <f t="shared" si="40"/>
        <v>2.8490566037735849</v>
      </c>
      <c r="T321" s="33">
        <f t="shared" si="41"/>
        <v>-2.8490566037735849</v>
      </c>
      <c r="U321" s="33">
        <v>0</v>
      </c>
      <c r="V321" s="21">
        <f>(V319*100)/146.7</f>
        <v>2.8804763584108048</v>
      </c>
      <c r="W321">
        <v>2281.4</v>
      </c>
      <c r="Y321">
        <f t="shared" si="43"/>
        <v>256337.70000000016</v>
      </c>
      <c r="Z321">
        <f t="shared" si="48"/>
        <v>23436.600000000002</v>
      </c>
      <c r="AA321">
        <v>15.760169916840077</v>
      </c>
    </row>
    <row r="322" spans="1:27" x14ac:dyDescent="0.25">
      <c r="A322">
        <v>5160</v>
      </c>
      <c r="B322">
        <v>23050</v>
      </c>
      <c r="C322" s="1">
        <v>42900</v>
      </c>
      <c r="F322" s="54"/>
      <c r="G322">
        <v>22.2</v>
      </c>
      <c r="H322">
        <v>16.3</v>
      </c>
      <c r="I322">
        <v>28.8</v>
      </c>
      <c r="J322">
        <f t="shared" si="42"/>
        <v>2816.3999999999996</v>
      </c>
      <c r="K322">
        <f t="shared" si="47"/>
        <v>236.29999999999998</v>
      </c>
      <c r="L322" s="20" t="s">
        <v>44</v>
      </c>
      <c r="M322">
        <v>0</v>
      </c>
      <c r="N322">
        <v>3</v>
      </c>
      <c r="O322">
        <f t="shared" si="39"/>
        <v>-3</v>
      </c>
      <c r="P322">
        <v>0</v>
      </c>
      <c r="Q322">
        <v>289</v>
      </c>
      <c r="R322">
        <f t="shared" si="44"/>
        <v>0.69716981132075473</v>
      </c>
      <c r="S322" s="34">
        <f t="shared" si="40"/>
        <v>2.0915094339622642</v>
      </c>
      <c r="T322" s="33">
        <f t="shared" si="41"/>
        <v>-2.0915094339622642</v>
      </c>
      <c r="U322" s="33">
        <v>0</v>
      </c>
      <c r="W322">
        <v>1505</v>
      </c>
      <c r="Y322">
        <f t="shared" si="43"/>
        <v>257842.70000000016</v>
      </c>
      <c r="Z322">
        <f t="shared" si="48"/>
        <v>24941.600000000002</v>
      </c>
      <c r="AA322">
        <v>15.770775465713326</v>
      </c>
    </row>
    <row r="323" spans="1:27" x14ac:dyDescent="0.25">
      <c r="A323">
        <v>5160</v>
      </c>
      <c r="B323">
        <v>23050</v>
      </c>
      <c r="C323" s="1">
        <v>42901</v>
      </c>
      <c r="F323" s="54"/>
      <c r="G323">
        <v>23.3</v>
      </c>
      <c r="H323">
        <v>18.899999999999999</v>
      </c>
      <c r="I323">
        <v>29</v>
      </c>
      <c r="J323">
        <f t="shared" si="42"/>
        <v>2839.7</v>
      </c>
      <c r="K323">
        <f t="shared" si="47"/>
        <v>259.59999999999997</v>
      </c>
      <c r="L323" s="11">
        <v>0</v>
      </c>
      <c r="M323">
        <v>0</v>
      </c>
      <c r="N323">
        <v>6.5</v>
      </c>
      <c r="O323">
        <f t="shared" si="39"/>
        <v>-6.5</v>
      </c>
      <c r="P323">
        <v>0</v>
      </c>
      <c r="Q323" s="32">
        <v>290</v>
      </c>
      <c r="R323">
        <f t="shared" si="44"/>
        <v>0.68207547169811322</v>
      </c>
      <c r="S323" s="34">
        <f t="shared" si="40"/>
        <v>4.4334905660377357</v>
      </c>
      <c r="T323" s="33">
        <f t="shared" si="41"/>
        <v>-4.4334905660377357</v>
      </c>
      <c r="U323" s="33">
        <v>0</v>
      </c>
      <c r="W323">
        <v>3038.9</v>
      </c>
      <c r="Y323">
        <f t="shared" si="43"/>
        <v>260881.60000000015</v>
      </c>
      <c r="Z323">
        <f t="shared" si="48"/>
        <v>27980.500000000004</v>
      </c>
      <c r="AA323">
        <v>15.780032625731343</v>
      </c>
    </row>
    <row r="324" spans="1:27" x14ac:dyDescent="0.25">
      <c r="A324">
        <v>5160</v>
      </c>
      <c r="B324">
        <v>23050</v>
      </c>
      <c r="C324" s="1">
        <v>42902</v>
      </c>
      <c r="F324" s="54"/>
      <c r="G324">
        <v>18.899999999999999</v>
      </c>
      <c r="H324">
        <v>14.7</v>
      </c>
      <c r="I324">
        <v>23.8</v>
      </c>
      <c r="J324">
        <f t="shared" si="42"/>
        <v>2858.6</v>
      </c>
      <c r="K324">
        <f t="shared" si="47"/>
        <v>278.49999999999994</v>
      </c>
      <c r="M324">
        <v>0</v>
      </c>
      <c r="N324">
        <v>5.4</v>
      </c>
      <c r="O324">
        <f t="shared" si="39"/>
        <v>-5.4</v>
      </c>
      <c r="P324">
        <v>0</v>
      </c>
      <c r="Q324">
        <v>291</v>
      </c>
      <c r="R324">
        <f t="shared" si="44"/>
        <v>0.66698113207547172</v>
      </c>
      <c r="S324" s="34">
        <f t="shared" si="40"/>
        <v>3.6016981132075476</v>
      </c>
      <c r="T324" s="33">
        <f t="shared" si="41"/>
        <v>-3.6016981132075476</v>
      </c>
      <c r="U324" s="33">
        <v>0</v>
      </c>
      <c r="W324">
        <v>2639</v>
      </c>
      <c r="Y324">
        <f t="shared" si="43"/>
        <v>263520.60000000015</v>
      </c>
      <c r="Z324">
        <f t="shared" si="48"/>
        <v>30619.500000000004</v>
      </c>
      <c r="AA324">
        <v>15.787933159468702</v>
      </c>
    </row>
    <row r="325" spans="1:27" x14ac:dyDescent="0.25">
      <c r="A325">
        <v>5160</v>
      </c>
      <c r="B325">
        <v>23050</v>
      </c>
      <c r="C325" s="1">
        <v>42903</v>
      </c>
      <c r="F325" s="54"/>
      <c r="G325">
        <v>20.7</v>
      </c>
      <c r="H325">
        <v>14</v>
      </c>
      <c r="I325">
        <v>26.1</v>
      </c>
      <c r="J325">
        <f t="shared" si="42"/>
        <v>2879.2999999999997</v>
      </c>
      <c r="K325">
        <f t="shared" si="47"/>
        <v>299.19999999999993</v>
      </c>
      <c r="M325">
        <v>0</v>
      </c>
      <c r="N325">
        <v>5.7</v>
      </c>
      <c r="O325">
        <f t="shared" si="39"/>
        <v>-5.7</v>
      </c>
      <c r="P325">
        <v>0</v>
      </c>
      <c r="Q325" s="32">
        <v>292</v>
      </c>
      <c r="R325">
        <f t="shared" si="44"/>
        <v>0.65188679245283021</v>
      </c>
      <c r="S325" s="34">
        <f t="shared" si="40"/>
        <v>3.7157547169811322</v>
      </c>
      <c r="T325" s="33">
        <f t="shared" si="41"/>
        <v>-3.7157547169811322</v>
      </c>
      <c r="U325" s="33">
        <v>0</v>
      </c>
      <c r="W325">
        <v>2784.9</v>
      </c>
      <c r="Y325">
        <f t="shared" si="43"/>
        <v>266305.50000000017</v>
      </c>
      <c r="Z325">
        <f t="shared" si="48"/>
        <v>33404.400000000001</v>
      </c>
      <c r="AA325">
        <v>15.794470000474318</v>
      </c>
    </row>
    <row r="326" spans="1:27" x14ac:dyDescent="0.25">
      <c r="A326">
        <v>5160</v>
      </c>
      <c r="B326">
        <v>23050</v>
      </c>
      <c r="C326" s="1">
        <v>42904</v>
      </c>
      <c r="F326" s="54"/>
      <c r="G326">
        <v>23.5</v>
      </c>
      <c r="H326">
        <v>17.899999999999999</v>
      </c>
      <c r="I326">
        <v>28.7</v>
      </c>
      <c r="J326">
        <f t="shared" si="42"/>
        <v>2902.7999999999997</v>
      </c>
      <c r="K326">
        <f t="shared" si="47"/>
        <v>322.69999999999993</v>
      </c>
      <c r="M326">
        <v>0</v>
      </c>
      <c r="N326">
        <v>7.4</v>
      </c>
      <c r="O326">
        <f t="shared" si="39"/>
        <v>-7.4</v>
      </c>
      <c r="P326">
        <v>0</v>
      </c>
      <c r="Q326">
        <v>293</v>
      </c>
      <c r="R326">
        <f t="shared" si="44"/>
        <v>0.6367924528301887</v>
      </c>
      <c r="S326" s="34">
        <f t="shared" si="40"/>
        <v>4.7122641509433967</v>
      </c>
      <c r="T326" s="33">
        <f t="shared" si="41"/>
        <v>-4.7122641509433967</v>
      </c>
      <c r="U326" s="33">
        <v>0</v>
      </c>
      <c r="W326">
        <v>3293.9</v>
      </c>
      <c r="Y326">
        <f t="shared" si="43"/>
        <v>269599.4000000002</v>
      </c>
      <c r="Z326">
        <f t="shared" si="48"/>
        <v>36698.300000000003</v>
      </c>
      <c r="AA326">
        <v>15.799637276690866</v>
      </c>
    </row>
    <row r="327" spans="1:27" x14ac:dyDescent="0.25">
      <c r="A327">
        <v>5160</v>
      </c>
      <c r="B327">
        <v>23050</v>
      </c>
      <c r="C327" s="1">
        <v>42905</v>
      </c>
      <c r="F327" s="54"/>
      <c r="G327">
        <v>26.7</v>
      </c>
      <c r="H327">
        <v>19.2</v>
      </c>
      <c r="I327">
        <v>33.700000000000003</v>
      </c>
      <c r="J327">
        <f t="shared" si="42"/>
        <v>2929.4999999999995</v>
      </c>
      <c r="K327">
        <f t="shared" si="47"/>
        <v>349.39999999999992</v>
      </c>
      <c r="M327">
        <v>0</v>
      </c>
      <c r="N327">
        <v>7.9</v>
      </c>
      <c r="O327">
        <f t="shared" si="39"/>
        <v>-7.9</v>
      </c>
      <c r="P327">
        <v>0</v>
      </c>
      <c r="Q327" s="32">
        <v>294</v>
      </c>
      <c r="R327">
        <f t="shared" si="44"/>
        <v>0.6216981132075472</v>
      </c>
      <c r="S327" s="34">
        <f t="shared" si="40"/>
        <v>4.9114150943396231</v>
      </c>
      <c r="T327" s="33">
        <f t="shared" si="41"/>
        <v>-4.9114150943396231</v>
      </c>
      <c r="U327" s="33">
        <v>0</v>
      </c>
      <c r="W327">
        <v>3222</v>
      </c>
      <c r="Y327">
        <f t="shared" si="43"/>
        <v>272821.4000000002</v>
      </c>
      <c r="Z327">
        <f t="shared" si="48"/>
        <v>39920.300000000003</v>
      </c>
      <c r="AA327">
        <v>15.803430330047966</v>
      </c>
    </row>
    <row r="328" spans="1:27" x14ac:dyDescent="0.25">
      <c r="A328">
        <v>5160</v>
      </c>
      <c r="B328">
        <v>23050</v>
      </c>
      <c r="C328" s="1">
        <v>42906</v>
      </c>
      <c r="F328" s="54"/>
      <c r="G328">
        <v>28.2</v>
      </c>
      <c r="H328">
        <v>23.3</v>
      </c>
      <c r="I328">
        <v>34.299999999999997</v>
      </c>
      <c r="J328">
        <f t="shared" si="42"/>
        <v>2957.6999999999994</v>
      </c>
      <c r="K328">
        <f t="shared" si="47"/>
        <v>377.59999999999991</v>
      </c>
      <c r="M328">
        <v>0</v>
      </c>
      <c r="N328">
        <v>6.2</v>
      </c>
      <c r="O328">
        <f t="shared" si="39"/>
        <v>-6.2</v>
      </c>
      <c r="P328">
        <v>0</v>
      </c>
      <c r="Q328">
        <v>295</v>
      </c>
      <c r="R328">
        <f t="shared" si="44"/>
        <v>0.60660377358490569</v>
      </c>
      <c r="S328" s="34">
        <f t="shared" si="40"/>
        <v>3.7609433962264154</v>
      </c>
      <c r="T328" s="33">
        <f t="shared" si="41"/>
        <v>-3.7609433962264154</v>
      </c>
      <c r="U328" s="33">
        <v>0</v>
      </c>
      <c r="W328">
        <v>2570</v>
      </c>
      <c r="Y328">
        <f t="shared" si="43"/>
        <v>275391.4000000002</v>
      </c>
      <c r="Z328">
        <f t="shared" si="48"/>
        <v>42490.3</v>
      </c>
      <c r="AA328">
        <v>15.805845732090095</v>
      </c>
    </row>
    <row r="329" spans="1:27" s="35" customFormat="1" ht="15.75" thickBot="1" x14ac:dyDescent="0.3">
      <c r="A329" s="35">
        <v>5160</v>
      </c>
      <c r="B329" s="35">
        <v>23050</v>
      </c>
      <c r="C329" s="36">
        <v>42907</v>
      </c>
      <c r="F329" s="54"/>
      <c r="G329" s="35">
        <v>28.9</v>
      </c>
      <c r="H329" s="35">
        <v>23.2</v>
      </c>
      <c r="I329" s="35">
        <v>35.1</v>
      </c>
      <c r="J329" s="35">
        <f t="shared" si="42"/>
        <v>2986.5999999999995</v>
      </c>
      <c r="K329" s="35">
        <f t="shared" si="47"/>
        <v>406.49999999999989</v>
      </c>
      <c r="M329" s="35">
        <v>0</v>
      </c>
      <c r="N329" s="35">
        <v>7.4</v>
      </c>
      <c r="O329" s="35">
        <f t="shared" si="39"/>
        <v>-7.4</v>
      </c>
      <c r="P329" s="35">
        <v>0</v>
      </c>
      <c r="Q329" s="38">
        <v>296</v>
      </c>
      <c r="R329" s="35">
        <f t="shared" si="44"/>
        <v>0.59150943396226419</v>
      </c>
      <c r="S329" s="39">
        <f t="shared" si="40"/>
        <v>4.3771698113207549</v>
      </c>
      <c r="T329" s="40">
        <f t="shared" si="41"/>
        <v>-4.3771698113207549</v>
      </c>
      <c r="U329" s="33">
        <v>0</v>
      </c>
      <c r="W329" s="35">
        <v>2706.4</v>
      </c>
      <c r="Y329" s="35">
        <f t="shared" si="43"/>
        <v>278097.80000000022</v>
      </c>
      <c r="Z329" s="35">
        <f t="shared" si="48"/>
        <v>45196.700000000004</v>
      </c>
      <c r="AA329" s="35">
        <v>15.806881295527365</v>
      </c>
    </row>
    <row r="330" spans="1:27" x14ac:dyDescent="0.25">
      <c r="A330">
        <v>5160</v>
      </c>
      <c r="B330">
        <v>23050</v>
      </c>
      <c r="C330" s="1">
        <v>42908</v>
      </c>
      <c r="D330" s="49" t="s">
        <v>37</v>
      </c>
      <c r="E330" s="49"/>
      <c r="F330" s="49"/>
      <c r="G330">
        <v>26.6</v>
      </c>
      <c r="H330">
        <v>21</v>
      </c>
      <c r="I330">
        <v>33.299999999999997</v>
      </c>
      <c r="J330">
        <f t="shared" si="42"/>
        <v>3013.1999999999994</v>
      </c>
      <c r="K330">
        <f t="shared" si="47"/>
        <v>433.09999999999991</v>
      </c>
      <c r="M330">
        <v>0</v>
      </c>
      <c r="N330">
        <v>7.5</v>
      </c>
      <c r="O330">
        <f t="shared" si="39"/>
        <v>-7.5</v>
      </c>
      <c r="P330">
        <v>0</v>
      </c>
      <c r="Q330">
        <v>297</v>
      </c>
      <c r="R330">
        <f t="shared" si="44"/>
        <v>0.57641509433962268</v>
      </c>
      <c r="S330" s="34">
        <f t="shared" si="40"/>
        <v>4.3231132075471699</v>
      </c>
      <c r="T330" s="33">
        <f t="shared" si="41"/>
        <v>-4.3231132075471699</v>
      </c>
      <c r="U330" s="33">
        <v>0</v>
      </c>
      <c r="W330">
        <v>2658.6</v>
      </c>
      <c r="Y330">
        <f t="shared" si="43"/>
        <v>280756.4000000002</v>
      </c>
      <c r="Z330">
        <f t="shared" si="48"/>
        <v>47855.3</v>
      </c>
      <c r="AA330">
        <v>15.80653608162612</v>
      </c>
    </row>
    <row r="331" spans="1:27" x14ac:dyDescent="0.25">
      <c r="A331">
        <v>5160</v>
      </c>
      <c r="B331">
        <v>23050</v>
      </c>
      <c r="C331" s="1">
        <v>42909</v>
      </c>
      <c r="G331">
        <v>20.7</v>
      </c>
      <c r="H331">
        <v>18.7</v>
      </c>
      <c r="I331">
        <v>24.1</v>
      </c>
      <c r="J331">
        <f t="shared" si="42"/>
        <v>3033.8999999999992</v>
      </c>
      <c r="K331">
        <f t="shared" si="47"/>
        <v>453.7999999999999</v>
      </c>
      <c r="M331">
        <v>0</v>
      </c>
      <c r="N331">
        <v>3.9</v>
      </c>
      <c r="O331">
        <f t="shared" si="39"/>
        <v>-3.9</v>
      </c>
      <c r="P331">
        <v>0</v>
      </c>
      <c r="Q331" s="32">
        <v>298</v>
      </c>
      <c r="R331">
        <f t="shared" si="44"/>
        <v>0.56132075471698117</v>
      </c>
      <c r="S331" s="34">
        <f t="shared" si="40"/>
        <v>2.1891509433962266</v>
      </c>
      <c r="T331" s="33">
        <f t="shared" si="41"/>
        <v>-2.1891509433962266</v>
      </c>
      <c r="U331" s="33">
        <v>0</v>
      </c>
      <c r="W331">
        <v>1409.6</v>
      </c>
      <c r="Y331">
        <f t="shared" si="43"/>
        <v>282166.00000000017</v>
      </c>
      <c r="Z331">
        <f t="shared" si="48"/>
        <v>49264.9</v>
      </c>
      <c r="AA331">
        <v>15.804810403385924</v>
      </c>
    </row>
    <row r="332" spans="1:27" x14ac:dyDescent="0.25">
      <c r="A332">
        <v>5160</v>
      </c>
      <c r="B332">
        <v>23050</v>
      </c>
      <c r="C332" s="1">
        <v>42910</v>
      </c>
      <c r="G332">
        <v>19.8</v>
      </c>
      <c r="H332">
        <v>13</v>
      </c>
      <c r="I332">
        <v>24.9</v>
      </c>
      <c r="J332">
        <f t="shared" si="42"/>
        <v>3053.6999999999994</v>
      </c>
      <c r="K332">
        <f t="shared" si="47"/>
        <v>473.59999999999991</v>
      </c>
      <c r="M332">
        <v>0</v>
      </c>
      <c r="N332">
        <v>2.6</v>
      </c>
      <c r="O332">
        <f t="shared" si="39"/>
        <v>-2.6</v>
      </c>
      <c r="P332">
        <v>0</v>
      </c>
      <c r="Q332">
        <v>299</v>
      </c>
      <c r="R332">
        <f t="shared" si="44"/>
        <v>0.54622641509433956</v>
      </c>
      <c r="S332" s="34">
        <f t="shared" si="40"/>
        <v>1.4201886792452829</v>
      </c>
      <c r="T332" s="33">
        <f t="shared" si="41"/>
        <v>-1.4201886792452829</v>
      </c>
      <c r="U332" s="33">
        <v>0</v>
      </c>
      <c r="W332">
        <v>1017.1</v>
      </c>
      <c r="Y332">
        <f t="shared" si="43"/>
        <v>283183.10000000015</v>
      </c>
      <c r="Z332">
        <f t="shared" si="48"/>
        <v>50282</v>
      </c>
      <c r="AA332">
        <v>15.801705824479919</v>
      </c>
    </row>
    <row r="333" spans="1:27" x14ac:dyDescent="0.25">
      <c r="A333">
        <v>5160</v>
      </c>
      <c r="B333">
        <v>23050</v>
      </c>
      <c r="C333" s="1">
        <v>42911</v>
      </c>
      <c r="G333">
        <v>20.5</v>
      </c>
      <c r="H333">
        <v>16.3</v>
      </c>
      <c r="I333">
        <v>26.5</v>
      </c>
      <c r="J333">
        <f t="shared" si="42"/>
        <v>3074.1999999999994</v>
      </c>
      <c r="K333">
        <f t="shared" si="47"/>
        <v>494.09999999999991</v>
      </c>
      <c r="M333">
        <v>0</v>
      </c>
      <c r="N333">
        <v>2.9</v>
      </c>
      <c r="O333">
        <f t="shared" si="39"/>
        <v>-2.9</v>
      </c>
      <c r="P333">
        <v>0</v>
      </c>
      <c r="Q333" s="32">
        <v>300</v>
      </c>
      <c r="R333">
        <f t="shared" si="44"/>
        <v>0.53113207547169805</v>
      </c>
      <c r="S333" s="34">
        <f t="shared" si="40"/>
        <v>1.5402830188679244</v>
      </c>
      <c r="T333" s="33">
        <f t="shared" si="41"/>
        <v>-1.5402830188679244</v>
      </c>
      <c r="U333" s="33">
        <v>0</v>
      </c>
      <c r="W333">
        <v>868.9</v>
      </c>
      <c r="Y333">
        <f t="shared" si="43"/>
        <v>284052.00000000017</v>
      </c>
      <c r="Z333">
        <f t="shared" si="48"/>
        <v>51150.9</v>
      </c>
      <c r="AA333">
        <v>15.79722515396625</v>
      </c>
    </row>
    <row r="334" spans="1:27" x14ac:dyDescent="0.25">
      <c r="A334">
        <v>5160</v>
      </c>
      <c r="B334">
        <v>23050</v>
      </c>
      <c r="C334" s="1">
        <v>42912</v>
      </c>
      <c r="G334">
        <v>21.8</v>
      </c>
      <c r="H334">
        <v>15.5</v>
      </c>
      <c r="I334">
        <v>27.4</v>
      </c>
      <c r="J334">
        <f t="shared" si="42"/>
        <v>3095.9999999999995</v>
      </c>
      <c r="K334">
        <f t="shared" si="47"/>
        <v>515.89999999999986</v>
      </c>
      <c r="M334">
        <v>0</v>
      </c>
      <c r="N334">
        <v>3.6</v>
      </c>
      <c r="O334">
        <f t="shared" si="39"/>
        <v>-3.6</v>
      </c>
      <c r="P334">
        <v>0</v>
      </c>
      <c r="Q334">
        <v>301</v>
      </c>
      <c r="R334">
        <f t="shared" si="44"/>
        <v>0.51603773584905654</v>
      </c>
      <c r="S334" s="34">
        <f t="shared" si="40"/>
        <v>1.8577358490566036</v>
      </c>
      <c r="T334" s="33">
        <f t="shared" si="41"/>
        <v>-1.8577358490566036</v>
      </c>
      <c r="U334" s="33">
        <v>0</v>
      </c>
      <c r="W334">
        <v>1873.5</v>
      </c>
      <c r="Y334">
        <f t="shared" si="43"/>
        <v>285925.50000000017</v>
      </c>
      <c r="Z334">
        <f t="shared" si="48"/>
        <v>53024.4</v>
      </c>
      <c r="AA334">
        <v>15.791372436808825</v>
      </c>
    </row>
    <row r="335" spans="1:27" x14ac:dyDescent="0.25">
      <c r="A335">
        <v>5160</v>
      </c>
      <c r="B335">
        <v>23050</v>
      </c>
      <c r="C335" s="1">
        <v>42913</v>
      </c>
      <c r="G335">
        <v>20.399999999999999</v>
      </c>
      <c r="H335">
        <v>18.100000000000001</v>
      </c>
      <c r="I335">
        <v>25.2</v>
      </c>
      <c r="J335">
        <f t="shared" si="42"/>
        <v>3116.3999999999996</v>
      </c>
      <c r="K335">
        <f t="shared" si="47"/>
        <v>536.29999999999984</v>
      </c>
      <c r="M335">
        <v>7.2</v>
      </c>
      <c r="N335">
        <v>2.6</v>
      </c>
      <c r="O335">
        <f t="shared" si="39"/>
        <v>4.5999999999999996</v>
      </c>
      <c r="P335">
        <f t="shared" si="45"/>
        <v>4.5999999999999996</v>
      </c>
      <c r="Q335" s="32">
        <v>302</v>
      </c>
      <c r="R335">
        <f t="shared" si="44"/>
        <v>0.50094339622641504</v>
      </c>
      <c r="S335" s="34">
        <f t="shared" si="40"/>
        <v>1.3024528301886791</v>
      </c>
      <c r="T335" s="33">
        <f t="shared" si="41"/>
        <v>5.8975471698113209</v>
      </c>
      <c r="U335" s="33">
        <f t="shared" si="46"/>
        <v>5.8975471698113209</v>
      </c>
      <c r="W335">
        <v>1065.8</v>
      </c>
      <c r="Y335">
        <f t="shared" si="43"/>
        <v>286991.30000000016</v>
      </c>
      <c r="Z335">
        <f t="shared" si="48"/>
        <v>54090.200000000004</v>
      </c>
      <c r="AA335">
        <v>15.784152940275762</v>
      </c>
    </row>
    <row r="336" spans="1:27" x14ac:dyDescent="0.25">
      <c r="A336">
        <v>5160</v>
      </c>
      <c r="B336">
        <v>23050</v>
      </c>
      <c r="C336" s="1">
        <v>42914</v>
      </c>
      <c r="G336">
        <v>18.600000000000001</v>
      </c>
      <c r="H336">
        <v>16.8</v>
      </c>
      <c r="I336">
        <v>21.4</v>
      </c>
      <c r="J336">
        <f t="shared" si="42"/>
        <v>3134.9999999999995</v>
      </c>
      <c r="K336">
        <f t="shared" si="47"/>
        <v>554.89999999999986</v>
      </c>
      <c r="M336">
        <v>8.3000000000000007</v>
      </c>
      <c r="N336">
        <v>2</v>
      </c>
      <c r="O336">
        <f t="shared" si="39"/>
        <v>6.3000000000000007</v>
      </c>
      <c r="P336">
        <f t="shared" si="45"/>
        <v>10.9</v>
      </c>
      <c r="Q336">
        <v>303</v>
      </c>
      <c r="R336">
        <f t="shared" si="44"/>
        <v>0.48584905660377353</v>
      </c>
      <c r="S336" s="34">
        <f t="shared" si="40"/>
        <v>0.97169811320754707</v>
      </c>
      <c r="T336" s="33">
        <f t="shared" si="41"/>
        <v>7.3283018867924534</v>
      </c>
      <c r="U336" s="33">
        <f t="shared" si="46"/>
        <v>13.225849056603774</v>
      </c>
      <c r="W336">
        <v>689.8</v>
      </c>
      <c r="Y336">
        <f t="shared" si="43"/>
        <v>287681.10000000015</v>
      </c>
      <c r="Z336">
        <f t="shared" si="48"/>
        <v>54780.000000000007</v>
      </c>
      <c r="AA336">
        <v>15.775573136313128</v>
      </c>
    </row>
    <row r="337" spans="1:28" x14ac:dyDescent="0.25">
      <c r="A337">
        <v>5160</v>
      </c>
      <c r="B337">
        <v>23050</v>
      </c>
      <c r="C337" s="1">
        <v>42915</v>
      </c>
      <c r="G337">
        <v>15.9</v>
      </c>
      <c r="H337">
        <v>13.6</v>
      </c>
      <c r="I337">
        <v>18.5</v>
      </c>
      <c r="J337">
        <f t="shared" si="42"/>
        <v>3150.8999999999996</v>
      </c>
      <c r="K337">
        <f t="shared" si="47"/>
        <v>570.79999999999984</v>
      </c>
      <c r="M337">
        <v>3.5</v>
      </c>
      <c r="N337">
        <v>2.8</v>
      </c>
      <c r="O337">
        <f t="shared" si="39"/>
        <v>0.70000000000000018</v>
      </c>
      <c r="P337">
        <f t="shared" si="45"/>
        <v>11.600000000000001</v>
      </c>
      <c r="Q337" s="32">
        <v>304</v>
      </c>
      <c r="R337">
        <f t="shared" si="44"/>
        <v>0.47075471698113203</v>
      </c>
      <c r="S337" s="34">
        <f t="shared" si="40"/>
        <v>1.3181132075471695</v>
      </c>
      <c r="T337" s="33">
        <f t="shared" si="41"/>
        <v>2.1818867924528305</v>
      </c>
      <c r="U337" s="33">
        <f t="shared" si="46"/>
        <v>15.407735849056605</v>
      </c>
      <c r="W337">
        <v>1681.8</v>
      </c>
      <c r="Y337">
        <f t="shared" si="43"/>
        <v>289362.90000000014</v>
      </c>
      <c r="Z337">
        <f t="shared" si="48"/>
        <v>56461.80000000001</v>
      </c>
      <c r="AA337">
        <v>15.765640680019599</v>
      </c>
    </row>
    <row r="338" spans="1:28" x14ac:dyDescent="0.25">
      <c r="A338">
        <v>5160</v>
      </c>
      <c r="B338">
        <v>23050</v>
      </c>
      <c r="C338" s="1">
        <v>42916</v>
      </c>
      <c r="G338">
        <v>14.6</v>
      </c>
      <c r="H338">
        <v>13.9</v>
      </c>
      <c r="I338">
        <v>15.5</v>
      </c>
      <c r="J338">
        <f t="shared" si="42"/>
        <v>3165.4999999999995</v>
      </c>
      <c r="K338">
        <f t="shared" si="47"/>
        <v>585.39999999999986</v>
      </c>
      <c r="M338">
        <v>5.4</v>
      </c>
      <c r="N338">
        <v>1.8</v>
      </c>
      <c r="O338">
        <f t="shared" si="39"/>
        <v>3.6000000000000005</v>
      </c>
      <c r="P338">
        <f t="shared" si="45"/>
        <v>15.200000000000003</v>
      </c>
      <c r="Q338">
        <v>305</v>
      </c>
      <c r="R338">
        <f t="shared" si="44"/>
        <v>0.45566037735849052</v>
      </c>
      <c r="S338" s="34">
        <f t="shared" si="40"/>
        <v>0.82018867924528294</v>
      </c>
      <c r="T338" s="33">
        <f t="shared" si="41"/>
        <v>4.5798113207547173</v>
      </c>
      <c r="U338" s="33">
        <f t="shared" si="46"/>
        <v>19.987547169811322</v>
      </c>
      <c r="W338">
        <v>1146.8</v>
      </c>
      <c r="Y338">
        <f t="shared" si="43"/>
        <v>290509.70000000013</v>
      </c>
      <c r="Z338">
        <f t="shared" si="48"/>
        <v>57608.600000000013</v>
      </c>
      <c r="AA338">
        <v>15.754364384374115</v>
      </c>
    </row>
    <row r="339" spans="1:28" x14ac:dyDescent="0.25">
      <c r="A339">
        <v>5160</v>
      </c>
      <c r="B339">
        <v>23050</v>
      </c>
      <c r="C339" s="1">
        <v>42917</v>
      </c>
      <c r="G339">
        <v>15.4</v>
      </c>
      <c r="H339">
        <v>13.6</v>
      </c>
      <c r="I339">
        <v>17.7</v>
      </c>
      <c r="J339">
        <f t="shared" si="42"/>
        <v>3180.8999999999996</v>
      </c>
      <c r="K339">
        <f t="shared" si="47"/>
        <v>600.79999999999984</v>
      </c>
      <c r="M339">
        <v>2.6</v>
      </c>
      <c r="N339">
        <v>1.3</v>
      </c>
      <c r="O339">
        <f t="shared" si="39"/>
        <v>1.3</v>
      </c>
      <c r="P339">
        <f t="shared" si="45"/>
        <v>16.500000000000004</v>
      </c>
      <c r="Q339" s="32">
        <v>306</v>
      </c>
      <c r="R339">
        <f t="shared" si="44"/>
        <v>0.44056603773584901</v>
      </c>
      <c r="S339" s="34">
        <f t="shared" si="40"/>
        <v>0.57273584905660369</v>
      </c>
      <c r="T339" s="33">
        <f t="shared" si="41"/>
        <v>2.0272641509433962</v>
      </c>
      <c r="U339" s="33">
        <f t="shared" si="46"/>
        <v>22.014811320754717</v>
      </c>
      <c r="W339">
        <v>802.3</v>
      </c>
      <c r="Y339">
        <f t="shared" si="43"/>
        <v>291312.00000000012</v>
      </c>
      <c r="Z339">
        <f t="shared" si="48"/>
        <v>58410.900000000016</v>
      </c>
      <c r="AA339">
        <v>15.741754191393149</v>
      </c>
    </row>
    <row r="340" spans="1:28" x14ac:dyDescent="0.25">
      <c r="A340">
        <v>5160</v>
      </c>
      <c r="B340">
        <v>23050</v>
      </c>
      <c r="C340" s="1">
        <v>42918</v>
      </c>
      <c r="G340">
        <v>15.8</v>
      </c>
      <c r="H340">
        <v>11.9</v>
      </c>
      <c r="I340">
        <v>21</v>
      </c>
      <c r="J340">
        <f t="shared" si="42"/>
        <v>3196.7</v>
      </c>
      <c r="K340">
        <f t="shared" si="47"/>
        <v>616.5999999999998</v>
      </c>
      <c r="M340">
        <v>0.4</v>
      </c>
      <c r="N340">
        <v>1.5</v>
      </c>
      <c r="O340">
        <f t="shared" si="39"/>
        <v>-1.1000000000000001</v>
      </c>
      <c r="P340">
        <f t="shared" si="45"/>
        <v>15.400000000000004</v>
      </c>
      <c r="Q340">
        <v>307</v>
      </c>
      <c r="R340">
        <f t="shared" si="44"/>
        <v>0.42547169811320751</v>
      </c>
      <c r="S340" s="34">
        <f t="shared" si="40"/>
        <v>0.63820754716981121</v>
      </c>
      <c r="T340" s="33">
        <f t="shared" si="41"/>
        <v>-0.23820754716981118</v>
      </c>
      <c r="U340" s="33">
        <f t="shared" si="46"/>
        <v>21.776603773584906</v>
      </c>
      <c r="W340">
        <v>802.8</v>
      </c>
      <c r="Y340">
        <f t="shared" si="43"/>
        <v>292114.8000000001</v>
      </c>
      <c r="Z340">
        <f t="shared" si="48"/>
        <v>59213.700000000019</v>
      </c>
      <c r="AA340">
        <v>15.727821139916699</v>
      </c>
    </row>
    <row r="341" spans="1:28" x14ac:dyDescent="0.25">
      <c r="A341">
        <v>5160</v>
      </c>
      <c r="B341">
        <v>23050</v>
      </c>
      <c r="C341" s="1">
        <v>42919</v>
      </c>
      <c r="G341">
        <v>19.100000000000001</v>
      </c>
      <c r="H341">
        <v>13.7</v>
      </c>
      <c r="I341">
        <v>24.8</v>
      </c>
      <c r="J341">
        <f t="shared" si="42"/>
        <v>3215.7999999999997</v>
      </c>
      <c r="K341">
        <f t="shared" si="47"/>
        <v>635.69999999999982</v>
      </c>
      <c r="M341">
        <v>0</v>
      </c>
      <c r="N341">
        <v>2.2999999999999998</v>
      </c>
      <c r="O341">
        <f t="shared" si="39"/>
        <v>-2.2999999999999998</v>
      </c>
      <c r="P341">
        <f t="shared" si="45"/>
        <v>13.100000000000005</v>
      </c>
      <c r="Q341" s="32">
        <v>308</v>
      </c>
      <c r="R341">
        <f t="shared" si="44"/>
        <v>0.410377358490566</v>
      </c>
      <c r="S341" s="34">
        <f t="shared" si="40"/>
        <v>0.9438679245283017</v>
      </c>
      <c r="T341" s="33">
        <f t="shared" si="41"/>
        <v>-0.9438679245283017</v>
      </c>
      <c r="U341" s="33">
        <f t="shared" si="46"/>
        <v>20.832735849056604</v>
      </c>
      <c r="W341">
        <v>900.1</v>
      </c>
      <c r="Y341">
        <f t="shared" si="43"/>
        <v>293014.90000000008</v>
      </c>
      <c r="Z341">
        <f t="shared" si="48"/>
        <v>60113.800000000017</v>
      </c>
      <c r="AA341">
        <v>15.712577330242173</v>
      </c>
    </row>
    <row r="342" spans="1:28" x14ac:dyDescent="0.25">
      <c r="A342">
        <v>5160</v>
      </c>
      <c r="B342">
        <v>23050</v>
      </c>
      <c r="C342" s="1">
        <v>42920</v>
      </c>
      <c r="G342">
        <v>22.2</v>
      </c>
      <c r="H342">
        <v>15.5</v>
      </c>
      <c r="I342">
        <v>28.8</v>
      </c>
      <c r="J342">
        <f t="shared" si="42"/>
        <v>3237.9999999999995</v>
      </c>
      <c r="K342">
        <f t="shared" si="47"/>
        <v>657.89999999999986</v>
      </c>
      <c r="M342">
        <v>0</v>
      </c>
      <c r="N342">
        <v>6.8</v>
      </c>
      <c r="O342">
        <f t="shared" si="39"/>
        <v>-6.8</v>
      </c>
      <c r="P342">
        <f t="shared" si="45"/>
        <v>6.3000000000000052</v>
      </c>
      <c r="Q342">
        <v>309</v>
      </c>
      <c r="R342">
        <f t="shared" si="44"/>
        <v>0.3952830188679245</v>
      </c>
      <c r="S342" s="34">
        <f t="shared" si="40"/>
        <v>2.6879245283018864</v>
      </c>
      <c r="T342" s="33">
        <f t="shared" si="41"/>
        <v>-2.6879245283018864</v>
      </c>
      <c r="U342" s="33">
        <f t="shared" si="46"/>
        <v>18.144811320754719</v>
      </c>
      <c r="W342">
        <v>3284.8</v>
      </c>
      <c r="Y342">
        <f t="shared" si="43"/>
        <v>296299.70000000007</v>
      </c>
      <c r="Z342">
        <f t="shared" si="48"/>
        <v>63398.60000000002</v>
      </c>
      <c r="AA342">
        <v>15.696035885842823</v>
      </c>
    </row>
    <row r="343" spans="1:28" x14ac:dyDescent="0.25">
      <c r="A343">
        <v>5160</v>
      </c>
      <c r="B343">
        <v>23050</v>
      </c>
      <c r="C343" s="1">
        <v>42921</v>
      </c>
      <c r="G343">
        <v>26.1</v>
      </c>
      <c r="H343">
        <v>18.100000000000001</v>
      </c>
      <c r="I343">
        <v>32.6</v>
      </c>
      <c r="J343">
        <f t="shared" si="42"/>
        <v>3264.0999999999995</v>
      </c>
      <c r="K343">
        <f t="shared" si="47"/>
        <v>683.99999999999989</v>
      </c>
      <c r="M343">
        <v>0</v>
      </c>
      <c r="N343">
        <v>5.8</v>
      </c>
      <c r="O343">
        <f t="shared" si="39"/>
        <v>-5.8</v>
      </c>
      <c r="P343">
        <f t="shared" si="45"/>
        <v>0.50000000000000533</v>
      </c>
      <c r="Q343" s="32">
        <v>310</v>
      </c>
      <c r="R343">
        <f t="shared" si="44"/>
        <v>0.38018867924528299</v>
      </c>
      <c r="S343" s="34">
        <f t="shared" si="40"/>
        <v>2.2050943396226415</v>
      </c>
      <c r="T343" s="33">
        <f t="shared" si="41"/>
        <v>-2.2050943396226415</v>
      </c>
      <c r="U343" s="33">
        <f t="shared" si="46"/>
        <v>15.939716981132078</v>
      </c>
      <c r="W343">
        <v>2252.6</v>
      </c>
      <c r="Y343">
        <f t="shared" si="43"/>
        <v>298552.30000000005</v>
      </c>
      <c r="Z343">
        <f t="shared" si="48"/>
        <v>65651.200000000026</v>
      </c>
      <c r="AA343">
        <v>15.678210912422223</v>
      </c>
    </row>
    <row r="344" spans="1:28" x14ac:dyDescent="0.25">
      <c r="A344">
        <v>5160</v>
      </c>
      <c r="B344">
        <v>23050</v>
      </c>
      <c r="C344" s="1">
        <v>42922</v>
      </c>
      <c r="G344">
        <v>26.5</v>
      </c>
      <c r="H344">
        <v>21.5</v>
      </c>
      <c r="I344">
        <v>31.8</v>
      </c>
      <c r="J344">
        <f t="shared" si="42"/>
        <v>3290.5999999999995</v>
      </c>
      <c r="K344">
        <f t="shared" si="47"/>
        <v>710.49999999999989</v>
      </c>
      <c r="M344">
        <v>0</v>
      </c>
      <c r="N344">
        <v>4</v>
      </c>
      <c r="O344">
        <f t="shared" si="39"/>
        <v>-4</v>
      </c>
      <c r="P344">
        <v>0</v>
      </c>
      <c r="Q344">
        <v>311</v>
      </c>
      <c r="R344">
        <f t="shared" si="44"/>
        <v>0.36509433962264148</v>
      </c>
      <c r="S344" s="34">
        <f t="shared" si="40"/>
        <v>1.4603773584905659</v>
      </c>
      <c r="T344" s="33">
        <f t="shared" si="41"/>
        <v>-1.4603773584905659</v>
      </c>
      <c r="U344" s="33">
        <f t="shared" si="46"/>
        <v>14.479339622641511</v>
      </c>
      <c r="W344">
        <v>1303.4000000000001</v>
      </c>
      <c r="Y344">
        <f t="shared" si="43"/>
        <v>299855.70000000007</v>
      </c>
      <c r="Z344">
        <f t="shared" si="48"/>
        <v>66954.60000000002</v>
      </c>
      <c r="AA344">
        <v>15.659117454568335</v>
      </c>
    </row>
    <row r="345" spans="1:28" x14ac:dyDescent="0.25">
      <c r="A345">
        <v>5160</v>
      </c>
      <c r="B345">
        <v>23050</v>
      </c>
      <c r="C345" s="1">
        <v>42923</v>
      </c>
      <c r="G345">
        <v>25.8</v>
      </c>
      <c r="H345">
        <v>19.399999999999999</v>
      </c>
      <c r="I345">
        <v>32.200000000000003</v>
      </c>
      <c r="J345">
        <f t="shared" si="42"/>
        <v>3316.3999999999996</v>
      </c>
      <c r="K345">
        <f t="shared" si="47"/>
        <v>736.29999999999984</v>
      </c>
      <c r="M345">
        <v>0</v>
      </c>
      <c r="N345">
        <v>6</v>
      </c>
      <c r="O345">
        <f t="shared" si="39"/>
        <v>-6</v>
      </c>
      <c r="P345">
        <v>0</v>
      </c>
      <c r="Q345" s="32">
        <v>312</v>
      </c>
      <c r="R345">
        <f t="shared" si="44"/>
        <v>0.35</v>
      </c>
      <c r="S345" s="34">
        <f t="shared" si="40"/>
        <v>2.0999999999999996</v>
      </c>
      <c r="T345" s="33">
        <f t="shared" si="41"/>
        <v>-2.0999999999999996</v>
      </c>
      <c r="U345" s="33">
        <f t="shared" si="46"/>
        <v>12.379339622641512</v>
      </c>
      <c r="W345">
        <v>2495.6999999999998</v>
      </c>
      <c r="Y345">
        <f t="shared" si="43"/>
        <v>302351.40000000008</v>
      </c>
      <c r="Z345">
        <f t="shared" si="48"/>
        <v>69450.300000000017</v>
      </c>
      <c r="AA345">
        <v>15.638771450279796</v>
      </c>
    </row>
    <row r="346" spans="1:28" s="9" customFormat="1" x14ac:dyDescent="0.25">
      <c r="A346" s="48" t="s">
        <v>33</v>
      </c>
      <c r="B346" s="48"/>
      <c r="C346" s="48"/>
      <c r="D346" s="48"/>
      <c r="E346" s="48"/>
      <c r="F346" s="48"/>
      <c r="L346" s="23"/>
      <c r="V346" s="23"/>
      <c r="AB346" s="23"/>
    </row>
    <row r="347" spans="1:28" x14ac:dyDescent="0.25">
      <c r="A347">
        <v>5160</v>
      </c>
      <c r="B347">
        <v>23050</v>
      </c>
      <c r="C347" s="1">
        <v>42924</v>
      </c>
      <c r="G347">
        <v>24.8</v>
      </c>
      <c r="H347">
        <v>19.2</v>
      </c>
      <c r="I347">
        <v>30.1</v>
      </c>
      <c r="M347">
        <v>0.9</v>
      </c>
      <c r="N347">
        <v>4.2</v>
      </c>
      <c r="W347">
        <v>1380.3</v>
      </c>
    </row>
    <row r="348" spans="1:28" x14ac:dyDescent="0.25">
      <c r="A348">
        <v>5160</v>
      </c>
      <c r="B348">
        <v>23050</v>
      </c>
      <c r="C348" s="1">
        <v>42925</v>
      </c>
      <c r="G348">
        <v>21.8</v>
      </c>
      <c r="H348">
        <v>19.100000000000001</v>
      </c>
      <c r="I348">
        <v>25.7</v>
      </c>
      <c r="M348">
        <v>5.2</v>
      </c>
      <c r="N348">
        <v>1.8</v>
      </c>
      <c r="W348">
        <v>558.1</v>
      </c>
    </row>
    <row r="349" spans="1:28" x14ac:dyDescent="0.25">
      <c r="A349">
        <v>5160</v>
      </c>
      <c r="B349">
        <v>23050</v>
      </c>
      <c r="C349" s="1">
        <v>42926</v>
      </c>
      <c r="G349">
        <v>18.899999999999999</v>
      </c>
      <c r="H349">
        <v>17</v>
      </c>
      <c r="I349">
        <v>21.7</v>
      </c>
      <c r="M349">
        <v>0.1</v>
      </c>
      <c r="N349">
        <v>2</v>
      </c>
      <c r="W349">
        <v>900</v>
      </c>
    </row>
    <row r="350" spans="1:28" x14ac:dyDescent="0.25">
      <c r="A350">
        <v>5160</v>
      </c>
      <c r="B350">
        <v>23050</v>
      </c>
      <c r="C350" s="1">
        <v>42927</v>
      </c>
      <c r="G350">
        <v>19.8</v>
      </c>
      <c r="H350">
        <v>15.1</v>
      </c>
      <c r="I350">
        <v>23.5</v>
      </c>
      <c r="M350">
        <v>0.1</v>
      </c>
      <c r="N350">
        <v>4.5</v>
      </c>
      <c r="W350">
        <v>1811.3</v>
      </c>
    </row>
    <row r="351" spans="1:28" x14ac:dyDescent="0.25">
      <c r="A351">
        <v>5160</v>
      </c>
      <c r="B351">
        <v>23050</v>
      </c>
      <c r="C351" s="1">
        <v>42928</v>
      </c>
      <c r="G351">
        <v>19.3</v>
      </c>
      <c r="H351">
        <v>17.7</v>
      </c>
      <c r="I351">
        <v>21.7</v>
      </c>
      <c r="M351">
        <v>0.1</v>
      </c>
      <c r="N351">
        <v>2.2999999999999998</v>
      </c>
      <c r="W351">
        <v>517.79999999999995</v>
      </c>
    </row>
    <row r="352" spans="1:28" x14ac:dyDescent="0.25">
      <c r="A352">
        <v>5160</v>
      </c>
      <c r="B352">
        <v>23050</v>
      </c>
      <c r="C352" s="1">
        <v>42929</v>
      </c>
      <c r="G352">
        <v>20.6</v>
      </c>
      <c r="H352">
        <v>16.600000000000001</v>
      </c>
      <c r="I352">
        <v>24.8</v>
      </c>
      <c r="M352">
        <v>0</v>
      </c>
      <c r="N352">
        <v>3.8</v>
      </c>
      <c r="W352">
        <v>1742.2</v>
      </c>
    </row>
    <row r="353" spans="1:23" x14ac:dyDescent="0.25">
      <c r="A353">
        <v>5160</v>
      </c>
      <c r="B353">
        <v>23050</v>
      </c>
      <c r="C353" s="1">
        <v>42930</v>
      </c>
      <c r="G353">
        <v>18.600000000000001</v>
      </c>
      <c r="H353">
        <v>14.3</v>
      </c>
      <c r="I353">
        <v>22.9</v>
      </c>
      <c r="M353">
        <v>0</v>
      </c>
      <c r="N353">
        <v>3.7</v>
      </c>
      <c r="W353">
        <v>1643.4</v>
      </c>
    </row>
    <row r="354" spans="1:23" x14ac:dyDescent="0.25">
      <c r="A354">
        <v>5160</v>
      </c>
      <c r="B354">
        <v>23050</v>
      </c>
      <c r="C354" s="1">
        <v>42931</v>
      </c>
      <c r="G354">
        <v>19.600000000000001</v>
      </c>
      <c r="H354">
        <v>13.2</v>
      </c>
      <c r="I354">
        <v>26.3</v>
      </c>
      <c r="M354">
        <v>0</v>
      </c>
      <c r="N354">
        <v>5.6</v>
      </c>
      <c r="W354">
        <v>2778.8</v>
      </c>
    </row>
    <row r="355" spans="1:23" x14ac:dyDescent="0.25">
      <c r="A355">
        <v>5160</v>
      </c>
      <c r="B355">
        <v>23050</v>
      </c>
      <c r="C355" s="1">
        <v>42932</v>
      </c>
      <c r="G355">
        <v>23.6</v>
      </c>
      <c r="H355">
        <v>15.3</v>
      </c>
      <c r="I355">
        <v>29.7</v>
      </c>
      <c r="M355">
        <v>0</v>
      </c>
      <c r="N355">
        <v>6.6</v>
      </c>
      <c r="W355">
        <v>3009.4</v>
      </c>
    </row>
    <row r="356" spans="1:23" x14ac:dyDescent="0.25">
      <c r="A356">
        <v>5160</v>
      </c>
      <c r="B356">
        <v>23050</v>
      </c>
      <c r="C356" s="1">
        <v>42933</v>
      </c>
      <c r="G356">
        <v>25</v>
      </c>
      <c r="H356">
        <v>18.600000000000001</v>
      </c>
      <c r="I356">
        <v>30.5</v>
      </c>
      <c r="M356">
        <v>0</v>
      </c>
      <c r="N356">
        <v>6.1</v>
      </c>
      <c r="W356">
        <v>2384.6999999999998</v>
      </c>
    </row>
    <row r="357" spans="1:23" x14ac:dyDescent="0.25">
      <c r="A357">
        <v>5160</v>
      </c>
      <c r="B357">
        <v>23050</v>
      </c>
      <c r="C357" s="1">
        <v>42934</v>
      </c>
      <c r="G357">
        <v>28.3</v>
      </c>
      <c r="H357">
        <v>20.9</v>
      </c>
      <c r="I357">
        <v>33.6</v>
      </c>
      <c r="M357">
        <v>0</v>
      </c>
      <c r="N357">
        <v>6.8</v>
      </c>
      <c r="W357">
        <v>2200.5</v>
      </c>
    </row>
    <row r="358" spans="1:23" x14ac:dyDescent="0.25">
      <c r="A358">
        <v>5160</v>
      </c>
      <c r="B358">
        <v>23050</v>
      </c>
      <c r="C358" s="1">
        <v>42935</v>
      </c>
      <c r="G358">
        <v>23.6</v>
      </c>
      <c r="H358">
        <v>23.5</v>
      </c>
      <c r="I358">
        <v>25.4</v>
      </c>
      <c r="M358">
        <v>0.4</v>
      </c>
      <c r="N358">
        <v>4.5999999999999996</v>
      </c>
      <c r="W358">
        <v>1478.6</v>
      </c>
    </row>
    <row r="359" spans="1:23" x14ac:dyDescent="0.25">
      <c r="A359">
        <v>5160</v>
      </c>
      <c r="B359">
        <v>23050</v>
      </c>
      <c r="C359" s="1">
        <v>42936</v>
      </c>
      <c r="G359">
        <v>19.100000000000001</v>
      </c>
      <c r="H359">
        <v>18.2</v>
      </c>
      <c r="I359">
        <v>22.2</v>
      </c>
      <c r="M359">
        <v>0.2</v>
      </c>
      <c r="N359">
        <v>3.8</v>
      </c>
      <c r="W359">
        <v>708.3</v>
      </c>
    </row>
    <row r="360" spans="1:23" x14ac:dyDescent="0.25">
      <c r="A360">
        <v>5160</v>
      </c>
      <c r="B360">
        <v>23050</v>
      </c>
      <c r="C360" s="1">
        <v>42937</v>
      </c>
      <c r="G360">
        <v>18.5</v>
      </c>
      <c r="H360">
        <v>12.2</v>
      </c>
      <c r="I360">
        <v>23.7</v>
      </c>
      <c r="M360">
        <v>2.4</v>
      </c>
      <c r="N360">
        <v>4.9000000000000004</v>
      </c>
      <c r="W360">
        <v>2198.8000000000002</v>
      </c>
    </row>
    <row r="361" spans="1:23" x14ac:dyDescent="0.25">
      <c r="A361">
        <v>5160</v>
      </c>
      <c r="B361">
        <v>23050</v>
      </c>
      <c r="C361" s="1">
        <v>42938</v>
      </c>
      <c r="G361">
        <v>17.399999999999999</v>
      </c>
      <c r="H361">
        <v>15.5</v>
      </c>
      <c r="I361">
        <v>21.1</v>
      </c>
      <c r="M361">
        <v>1.2</v>
      </c>
      <c r="N361">
        <v>2.1</v>
      </c>
      <c r="W361">
        <v>632.6</v>
      </c>
    </row>
    <row r="362" spans="1:23" x14ac:dyDescent="0.25">
      <c r="A362">
        <v>5160</v>
      </c>
      <c r="B362">
        <v>23050</v>
      </c>
      <c r="C362" s="1">
        <v>42939</v>
      </c>
      <c r="G362">
        <v>16.600000000000001</v>
      </c>
      <c r="H362">
        <v>14</v>
      </c>
      <c r="I362">
        <v>21.8</v>
      </c>
      <c r="M362">
        <v>32.6</v>
      </c>
      <c r="N362">
        <v>4</v>
      </c>
      <c r="W362">
        <v>1917.3</v>
      </c>
    </row>
    <row r="363" spans="1:23" x14ac:dyDescent="0.25">
      <c r="A363">
        <v>5160</v>
      </c>
      <c r="B363">
        <v>23050</v>
      </c>
      <c r="C363" s="1">
        <v>42940</v>
      </c>
      <c r="G363">
        <v>16.3</v>
      </c>
      <c r="H363">
        <v>13.3</v>
      </c>
      <c r="I363">
        <v>18.2</v>
      </c>
      <c r="M363">
        <v>0.1</v>
      </c>
      <c r="N363">
        <v>1.2</v>
      </c>
      <c r="W363">
        <v>509.5</v>
      </c>
    </row>
    <row r="364" spans="1:23" x14ac:dyDescent="0.25">
      <c r="A364">
        <v>5160</v>
      </c>
      <c r="B364">
        <v>23050</v>
      </c>
      <c r="C364" s="1">
        <v>42941</v>
      </c>
      <c r="G364">
        <v>18.2</v>
      </c>
      <c r="H364">
        <v>15.8</v>
      </c>
      <c r="I364">
        <v>22.5</v>
      </c>
      <c r="M364">
        <v>0</v>
      </c>
      <c r="N364">
        <v>2.8</v>
      </c>
      <c r="W364">
        <v>1088.5999999999999</v>
      </c>
    </row>
    <row r="365" spans="1:23" x14ac:dyDescent="0.25">
      <c r="A365">
        <v>5160</v>
      </c>
      <c r="B365">
        <v>23050</v>
      </c>
      <c r="C365" s="1">
        <v>42942</v>
      </c>
      <c r="G365">
        <v>17</v>
      </c>
      <c r="H365">
        <v>12.5</v>
      </c>
      <c r="I365">
        <v>19.5</v>
      </c>
      <c r="M365">
        <v>2.4</v>
      </c>
      <c r="N365">
        <v>1.2</v>
      </c>
      <c r="W365">
        <v>800.7</v>
      </c>
    </row>
    <row r="366" spans="1:23" x14ac:dyDescent="0.25">
      <c r="A366">
        <v>5160</v>
      </c>
      <c r="B366">
        <v>23050</v>
      </c>
      <c r="C366" s="1">
        <v>42943</v>
      </c>
      <c r="G366">
        <v>18.100000000000001</v>
      </c>
      <c r="H366">
        <v>17.100000000000001</v>
      </c>
      <c r="I366">
        <v>20.9</v>
      </c>
      <c r="M366">
        <v>0.9</v>
      </c>
      <c r="N366">
        <v>1.7</v>
      </c>
      <c r="W366">
        <v>595.70000000000005</v>
      </c>
    </row>
    <row r="367" spans="1:23" x14ac:dyDescent="0.25">
      <c r="A367">
        <v>5160</v>
      </c>
      <c r="B367">
        <v>23050</v>
      </c>
      <c r="C367" s="1">
        <v>42944</v>
      </c>
      <c r="G367">
        <v>18.5</v>
      </c>
      <c r="H367">
        <v>14.2</v>
      </c>
      <c r="I367">
        <v>23</v>
      </c>
      <c r="M367">
        <v>0</v>
      </c>
      <c r="N367">
        <v>3.5</v>
      </c>
      <c r="W367">
        <v>1485.3</v>
      </c>
    </row>
    <row r="368" spans="1:23" x14ac:dyDescent="0.25">
      <c r="A368">
        <v>5160</v>
      </c>
      <c r="B368">
        <v>23050</v>
      </c>
      <c r="C368" s="1">
        <v>42945</v>
      </c>
      <c r="G368">
        <v>21.3</v>
      </c>
      <c r="H368">
        <v>15.3</v>
      </c>
      <c r="I368">
        <v>25.6</v>
      </c>
      <c r="M368">
        <v>0</v>
      </c>
      <c r="N368">
        <v>4.0999999999999996</v>
      </c>
      <c r="W368">
        <v>1790.2</v>
      </c>
    </row>
    <row r="369" spans="1:23" x14ac:dyDescent="0.25">
      <c r="A369">
        <v>5160</v>
      </c>
      <c r="B369">
        <v>23050</v>
      </c>
      <c r="C369" s="1">
        <v>42946</v>
      </c>
      <c r="G369">
        <v>20.9</v>
      </c>
      <c r="H369">
        <v>18.899999999999999</v>
      </c>
      <c r="I369">
        <v>24.4</v>
      </c>
      <c r="M369">
        <v>0</v>
      </c>
      <c r="N369">
        <v>5.7</v>
      </c>
      <c r="W369">
        <v>2155.5</v>
      </c>
    </row>
    <row r="370" spans="1:23" x14ac:dyDescent="0.25">
      <c r="A370">
        <v>5160</v>
      </c>
      <c r="B370">
        <v>23050</v>
      </c>
      <c r="C370" s="1">
        <v>42947</v>
      </c>
      <c r="G370">
        <v>18.600000000000001</v>
      </c>
      <c r="H370">
        <v>14.2</v>
      </c>
      <c r="I370">
        <v>22.6</v>
      </c>
      <c r="M370">
        <v>0.6</v>
      </c>
      <c r="N370">
        <v>1.7</v>
      </c>
      <c r="W370">
        <v>1083.2</v>
      </c>
    </row>
    <row r="371" spans="1:23" x14ac:dyDescent="0.25">
      <c r="A371">
        <v>5160</v>
      </c>
      <c r="B371">
        <v>23050</v>
      </c>
      <c r="C371" s="1">
        <v>42948</v>
      </c>
      <c r="G371">
        <v>20.8</v>
      </c>
      <c r="H371">
        <v>15.4</v>
      </c>
      <c r="I371">
        <v>25.9</v>
      </c>
      <c r="M371">
        <v>0</v>
      </c>
      <c r="N371">
        <v>3</v>
      </c>
      <c r="W371">
        <v>1328.9</v>
      </c>
    </row>
    <row r="372" spans="1:23" x14ac:dyDescent="0.25">
      <c r="A372">
        <v>5160</v>
      </c>
      <c r="B372">
        <v>23050</v>
      </c>
      <c r="C372" s="1">
        <v>42949</v>
      </c>
      <c r="G372">
        <v>21.9</v>
      </c>
      <c r="H372">
        <v>15.7</v>
      </c>
      <c r="I372">
        <v>27.7</v>
      </c>
      <c r="M372">
        <v>0</v>
      </c>
      <c r="N372">
        <v>5.3</v>
      </c>
      <c r="W372">
        <v>2166.9</v>
      </c>
    </row>
    <row r="373" spans="1:23" x14ac:dyDescent="0.25">
      <c r="A373">
        <v>5160</v>
      </c>
      <c r="B373">
        <v>23050</v>
      </c>
      <c r="C373" s="1">
        <v>42950</v>
      </c>
      <c r="G373">
        <v>22.4</v>
      </c>
      <c r="H373">
        <v>16.899999999999999</v>
      </c>
      <c r="I373">
        <v>26.3</v>
      </c>
      <c r="M373">
        <v>0.1</v>
      </c>
      <c r="N373">
        <v>4.8</v>
      </c>
      <c r="W373">
        <v>1508.7</v>
      </c>
    </row>
    <row r="374" spans="1:23" x14ac:dyDescent="0.25">
      <c r="A374">
        <v>5160</v>
      </c>
      <c r="B374">
        <v>23050</v>
      </c>
      <c r="C374" s="1">
        <v>42951</v>
      </c>
      <c r="G374">
        <v>21.4</v>
      </c>
      <c r="H374">
        <v>17.7</v>
      </c>
      <c r="I374">
        <v>24.9</v>
      </c>
      <c r="M374">
        <v>0</v>
      </c>
      <c r="N374">
        <v>2.9</v>
      </c>
      <c r="W374">
        <v>565.29999999999995</v>
      </c>
    </row>
    <row r="375" spans="1:23" x14ac:dyDescent="0.25">
      <c r="A375">
        <v>5160</v>
      </c>
      <c r="B375">
        <v>23050</v>
      </c>
      <c r="C375" s="1">
        <v>42952</v>
      </c>
      <c r="G375">
        <v>19.2</v>
      </c>
      <c r="H375">
        <v>16.399999999999999</v>
      </c>
      <c r="I375">
        <v>22.4</v>
      </c>
      <c r="M375">
        <v>0</v>
      </c>
      <c r="N375">
        <v>3</v>
      </c>
      <c r="W375">
        <v>879.6</v>
      </c>
    </row>
    <row r="376" spans="1:23" x14ac:dyDescent="0.25">
      <c r="A376">
        <v>5160</v>
      </c>
      <c r="B376">
        <v>23050</v>
      </c>
      <c r="C376" s="1">
        <v>42953</v>
      </c>
      <c r="G376">
        <v>17.399999999999999</v>
      </c>
      <c r="H376">
        <v>11.9</v>
      </c>
      <c r="I376">
        <v>23.3</v>
      </c>
      <c r="M376">
        <v>0</v>
      </c>
      <c r="N376">
        <v>4.2</v>
      </c>
      <c r="W376">
        <v>2080.6</v>
      </c>
    </row>
    <row r="377" spans="1:23" x14ac:dyDescent="0.25">
      <c r="A377">
        <v>5160</v>
      </c>
      <c r="B377">
        <v>23050</v>
      </c>
      <c r="C377" s="1">
        <v>42954</v>
      </c>
      <c r="G377">
        <v>19.5</v>
      </c>
      <c r="H377">
        <v>12.7</v>
      </c>
      <c r="I377">
        <v>25</v>
      </c>
      <c r="M377">
        <v>2.2000000000000002</v>
      </c>
      <c r="N377">
        <v>4.5999999999999996</v>
      </c>
      <c r="W377">
        <v>2069.1</v>
      </c>
    </row>
    <row r="378" spans="1:23" x14ac:dyDescent="0.25">
      <c r="A378">
        <v>5160</v>
      </c>
      <c r="B378">
        <v>23050</v>
      </c>
      <c r="C378" s="1">
        <v>42955</v>
      </c>
      <c r="G378">
        <v>15.9</v>
      </c>
      <c r="H378">
        <v>14.9</v>
      </c>
      <c r="I378">
        <v>17.600000000000001</v>
      </c>
      <c r="M378">
        <v>2.8</v>
      </c>
      <c r="N378">
        <v>1.7</v>
      </c>
      <c r="W378">
        <v>738.4</v>
      </c>
    </row>
    <row r="379" spans="1:23" x14ac:dyDescent="0.25">
      <c r="A379">
        <v>5160</v>
      </c>
      <c r="B379">
        <v>23050</v>
      </c>
      <c r="C379" s="1">
        <v>42956</v>
      </c>
      <c r="G379">
        <v>13</v>
      </c>
      <c r="H379">
        <v>12.3</v>
      </c>
      <c r="I379">
        <v>13.6</v>
      </c>
      <c r="M379">
        <v>12</v>
      </c>
      <c r="N379">
        <v>0.9</v>
      </c>
      <c r="W379">
        <v>781</v>
      </c>
    </row>
    <row r="380" spans="1:23" x14ac:dyDescent="0.25">
      <c r="A380">
        <v>5160</v>
      </c>
      <c r="B380">
        <v>23050</v>
      </c>
      <c r="C380" s="1">
        <v>42957</v>
      </c>
      <c r="G380">
        <v>14.2</v>
      </c>
      <c r="H380">
        <v>12.5</v>
      </c>
      <c r="I380">
        <v>16.100000000000001</v>
      </c>
      <c r="M380">
        <v>9.5</v>
      </c>
      <c r="N380">
        <v>1.4</v>
      </c>
      <c r="W380">
        <v>852</v>
      </c>
    </row>
    <row r="381" spans="1:23" x14ac:dyDescent="0.25">
      <c r="A381">
        <v>5160</v>
      </c>
      <c r="B381">
        <v>23050</v>
      </c>
      <c r="C381" s="1">
        <v>42958</v>
      </c>
      <c r="G381">
        <v>16.100000000000001</v>
      </c>
      <c r="H381">
        <v>13.7</v>
      </c>
      <c r="I381">
        <v>19.8</v>
      </c>
      <c r="M381">
        <v>1.5</v>
      </c>
      <c r="N381">
        <v>2.2999999999999998</v>
      </c>
      <c r="W381">
        <v>1226.5999999999999</v>
      </c>
    </row>
    <row r="382" spans="1:23" x14ac:dyDescent="0.25">
      <c r="A382">
        <v>5160</v>
      </c>
      <c r="B382">
        <v>23050</v>
      </c>
      <c r="C382" s="1">
        <v>42959</v>
      </c>
      <c r="G382">
        <v>16.7</v>
      </c>
      <c r="H382">
        <v>12.2</v>
      </c>
      <c r="I382">
        <v>19.2</v>
      </c>
      <c r="M382">
        <v>3.3</v>
      </c>
      <c r="N382">
        <v>0.9</v>
      </c>
      <c r="W382">
        <v>501.9</v>
      </c>
    </row>
    <row r="383" spans="1:23" x14ac:dyDescent="0.25">
      <c r="A383">
        <v>5160</v>
      </c>
      <c r="B383">
        <v>23050</v>
      </c>
      <c r="C383" s="1">
        <v>42960</v>
      </c>
      <c r="G383">
        <v>17.7</v>
      </c>
      <c r="H383">
        <v>14.4</v>
      </c>
      <c r="I383">
        <v>21.6</v>
      </c>
      <c r="M383">
        <v>0</v>
      </c>
      <c r="N383">
        <v>2.2000000000000002</v>
      </c>
      <c r="W383">
        <v>943.7</v>
      </c>
    </row>
    <row r="384" spans="1:23" x14ac:dyDescent="0.25">
      <c r="A384">
        <v>5160</v>
      </c>
      <c r="B384">
        <v>23050</v>
      </c>
      <c r="C384" s="1">
        <v>42961</v>
      </c>
      <c r="G384">
        <v>21.5</v>
      </c>
      <c r="H384">
        <v>14.3</v>
      </c>
      <c r="I384">
        <v>26.9</v>
      </c>
      <c r="M384">
        <v>0</v>
      </c>
      <c r="N384">
        <v>2.8</v>
      </c>
      <c r="W384">
        <v>1422.2</v>
      </c>
    </row>
    <row r="385" spans="1:23" x14ac:dyDescent="0.25">
      <c r="A385">
        <v>5160</v>
      </c>
      <c r="B385">
        <v>23050</v>
      </c>
      <c r="C385" s="1">
        <v>42962</v>
      </c>
      <c r="G385">
        <v>22.1</v>
      </c>
      <c r="H385">
        <v>20.8</v>
      </c>
      <c r="I385">
        <v>23.8</v>
      </c>
      <c r="M385">
        <v>5</v>
      </c>
      <c r="N385">
        <v>3.3</v>
      </c>
      <c r="W385">
        <v>1583.8</v>
      </c>
    </row>
    <row r="386" spans="1:23" x14ac:dyDescent="0.25">
      <c r="A386">
        <v>5160</v>
      </c>
      <c r="B386">
        <v>23050</v>
      </c>
      <c r="C386" s="1">
        <v>42963</v>
      </c>
      <c r="G386">
        <v>19.600000000000001</v>
      </c>
      <c r="H386">
        <v>16</v>
      </c>
      <c r="I386">
        <v>23.4</v>
      </c>
      <c r="M386">
        <v>0</v>
      </c>
      <c r="N386">
        <v>2</v>
      </c>
      <c r="W386">
        <v>975.8</v>
      </c>
    </row>
    <row r="387" spans="1:23" x14ac:dyDescent="0.25">
      <c r="A387">
        <v>5160</v>
      </c>
      <c r="B387">
        <v>23050</v>
      </c>
      <c r="C387" s="1">
        <v>42964</v>
      </c>
      <c r="G387">
        <v>20.2</v>
      </c>
      <c r="H387">
        <v>16.600000000000001</v>
      </c>
      <c r="I387">
        <v>23.1</v>
      </c>
      <c r="M387">
        <v>11.5</v>
      </c>
      <c r="N387">
        <v>1.7</v>
      </c>
      <c r="W387">
        <v>923.6</v>
      </c>
    </row>
    <row r="388" spans="1:23" x14ac:dyDescent="0.25">
      <c r="A388">
        <v>5160</v>
      </c>
      <c r="B388">
        <v>23050</v>
      </c>
      <c r="C388" s="1">
        <v>42965</v>
      </c>
      <c r="G388">
        <v>18.3</v>
      </c>
      <c r="H388">
        <v>18.3</v>
      </c>
      <c r="I388">
        <v>21</v>
      </c>
      <c r="M388">
        <v>5.2</v>
      </c>
      <c r="N388">
        <v>1.7</v>
      </c>
      <c r="W388">
        <v>589.70000000000005</v>
      </c>
    </row>
    <row r="389" spans="1:23" x14ac:dyDescent="0.25">
      <c r="A389">
        <v>5160</v>
      </c>
      <c r="B389">
        <v>23050</v>
      </c>
      <c r="C389" s="1">
        <v>42966</v>
      </c>
      <c r="G389">
        <v>15.6</v>
      </c>
      <c r="H389">
        <v>10.7</v>
      </c>
      <c r="I389">
        <v>19.8</v>
      </c>
      <c r="M389">
        <v>0</v>
      </c>
      <c r="N389">
        <v>3</v>
      </c>
      <c r="W389">
        <v>1792.5</v>
      </c>
    </row>
    <row r="390" spans="1:23" x14ac:dyDescent="0.25">
      <c r="A390">
        <v>5160</v>
      </c>
      <c r="B390">
        <v>23050</v>
      </c>
      <c r="C390" s="1">
        <v>42967</v>
      </c>
      <c r="G390">
        <v>17.399999999999999</v>
      </c>
      <c r="H390">
        <v>11.9</v>
      </c>
      <c r="I390">
        <v>21.4</v>
      </c>
      <c r="M390">
        <v>0</v>
      </c>
      <c r="N390">
        <v>3</v>
      </c>
      <c r="W390">
        <v>1653.5</v>
      </c>
    </row>
    <row r="391" spans="1:23" x14ac:dyDescent="0.25">
      <c r="A391">
        <v>5160</v>
      </c>
      <c r="B391">
        <v>23050</v>
      </c>
      <c r="C391" s="1">
        <v>42968</v>
      </c>
      <c r="G391">
        <v>21.4</v>
      </c>
      <c r="H391">
        <v>16.100000000000001</v>
      </c>
      <c r="I391">
        <v>26.1</v>
      </c>
      <c r="M391">
        <v>0</v>
      </c>
      <c r="N391">
        <v>2.9</v>
      </c>
      <c r="W391">
        <v>1280.3</v>
      </c>
    </row>
    <row r="392" spans="1:23" x14ac:dyDescent="0.25">
      <c r="A392">
        <v>5160</v>
      </c>
      <c r="B392">
        <v>23050</v>
      </c>
      <c r="C392" s="1">
        <v>42969</v>
      </c>
      <c r="G392">
        <v>22.9</v>
      </c>
      <c r="H392">
        <v>16.600000000000001</v>
      </c>
      <c r="I392">
        <v>28.5</v>
      </c>
      <c r="M392">
        <v>0</v>
      </c>
      <c r="N392">
        <v>3.9</v>
      </c>
      <c r="W392">
        <v>1659</v>
      </c>
    </row>
    <row r="393" spans="1:23" x14ac:dyDescent="0.25">
      <c r="A393">
        <v>5160</v>
      </c>
      <c r="B393">
        <v>23050</v>
      </c>
      <c r="C393" s="1">
        <v>42970</v>
      </c>
      <c r="G393">
        <v>20.100000000000001</v>
      </c>
      <c r="H393">
        <v>18.2</v>
      </c>
      <c r="I393">
        <v>23.4</v>
      </c>
      <c r="M393">
        <v>0</v>
      </c>
      <c r="N393">
        <v>1.9</v>
      </c>
      <c r="W393">
        <v>746.4</v>
      </c>
    </row>
    <row r="394" spans="1:23" x14ac:dyDescent="0.25">
      <c r="A394">
        <v>5160</v>
      </c>
      <c r="B394">
        <v>23050</v>
      </c>
      <c r="C394" s="1">
        <v>42971</v>
      </c>
      <c r="G394">
        <v>20.7</v>
      </c>
      <c r="H394">
        <v>15.7</v>
      </c>
      <c r="I394">
        <v>24.4</v>
      </c>
      <c r="M394">
        <v>0</v>
      </c>
      <c r="N394">
        <v>2.9</v>
      </c>
      <c r="W394">
        <v>1393.8</v>
      </c>
    </row>
    <row r="395" spans="1:23" x14ac:dyDescent="0.25">
      <c r="A395">
        <v>5160</v>
      </c>
      <c r="B395">
        <v>23050</v>
      </c>
      <c r="C395" s="1">
        <v>42972</v>
      </c>
      <c r="G395">
        <v>21.1</v>
      </c>
      <c r="H395">
        <v>17.7</v>
      </c>
      <c r="I395">
        <v>24.7</v>
      </c>
      <c r="M395">
        <v>4.7</v>
      </c>
      <c r="N395">
        <v>2.4</v>
      </c>
      <c r="W395">
        <v>1178.7</v>
      </c>
    </row>
    <row r="396" spans="1:23" x14ac:dyDescent="0.25">
      <c r="A396">
        <v>5160</v>
      </c>
      <c r="B396">
        <v>23050</v>
      </c>
      <c r="C396" s="1">
        <v>42973</v>
      </c>
      <c r="G396">
        <v>21.9</v>
      </c>
      <c r="H396">
        <v>15</v>
      </c>
      <c r="I396">
        <v>27.3</v>
      </c>
      <c r="M396">
        <v>0</v>
      </c>
      <c r="N396">
        <v>3.4</v>
      </c>
      <c r="W396">
        <v>1877.3</v>
      </c>
    </row>
    <row r="397" spans="1:23" x14ac:dyDescent="0.25">
      <c r="A397">
        <v>5160</v>
      </c>
      <c r="B397">
        <v>23050</v>
      </c>
      <c r="C397" s="1">
        <v>42974</v>
      </c>
      <c r="G397">
        <v>24.4</v>
      </c>
      <c r="H397">
        <v>19</v>
      </c>
      <c r="I397">
        <v>29.6</v>
      </c>
      <c r="M397">
        <v>0</v>
      </c>
      <c r="N397">
        <v>4</v>
      </c>
      <c r="W397">
        <v>1851.6</v>
      </c>
    </row>
    <row r="398" spans="1:23" x14ac:dyDescent="0.25">
      <c r="A398">
        <v>5160</v>
      </c>
      <c r="B398">
        <v>23050</v>
      </c>
      <c r="C398" s="1">
        <v>42975</v>
      </c>
      <c r="G398">
        <v>25.1</v>
      </c>
      <c r="H398">
        <v>19.2</v>
      </c>
      <c r="I398">
        <v>30.2</v>
      </c>
      <c r="M398">
        <v>0</v>
      </c>
      <c r="N398">
        <v>3.2</v>
      </c>
      <c r="W398">
        <v>1171</v>
      </c>
    </row>
    <row r="399" spans="1:23" x14ac:dyDescent="0.25">
      <c r="A399">
        <v>5160</v>
      </c>
      <c r="B399">
        <v>23050</v>
      </c>
      <c r="C399" s="1">
        <v>42976</v>
      </c>
      <c r="G399">
        <v>26.3</v>
      </c>
      <c r="H399">
        <v>19.2</v>
      </c>
      <c r="I399">
        <v>33.1</v>
      </c>
      <c r="M399">
        <v>0</v>
      </c>
      <c r="N399">
        <v>5</v>
      </c>
      <c r="W399">
        <v>1824.3</v>
      </c>
    </row>
    <row r="400" spans="1:23" x14ac:dyDescent="0.25">
      <c r="A400">
        <v>5160</v>
      </c>
      <c r="B400">
        <v>23050</v>
      </c>
      <c r="C400" s="1">
        <v>42977</v>
      </c>
      <c r="G400">
        <v>18.3</v>
      </c>
      <c r="H400">
        <v>16.2</v>
      </c>
      <c r="I400">
        <v>22.1</v>
      </c>
      <c r="M400">
        <v>5.3</v>
      </c>
      <c r="N400">
        <v>1.6</v>
      </c>
      <c r="W400">
        <v>652.9</v>
      </c>
    </row>
    <row r="401" spans="1:23" x14ac:dyDescent="0.25">
      <c r="A401">
        <v>5160</v>
      </c>
      <c r="B401">
        <v>23050</v>
      </c>
      <c r="C401" s="1">
        <v>42978</v>
      </c>
      <c r="G401">
        <v>15.4</v>
      </c>
      <c r="H401">
        <v>9.6999999999999993</v>
      </c>
      <c r="I401">
        <v>19.5</v>
      </c>
      <c r="M401">
        <v>0</v>
      </c>
      <c r="N401">
        <v>2.8</v>
      </c>
      <c r="W401">
        <v>1703.3</v>
      </c>
    </row>
  </sheetData>
  <mergeCells count="14">
    <mergeCell ref="M1:P1"/>
    <mergeCell ref="Q1:U1"/>
    <mergeCell ref="W1:AB1"/>
    <mergeCell ref="A33:F33"/>
    <mergeCell ref="G1:L1"/>
    <mergeCell ref="A346:F346"/>
    <mergeCell ref="D330:F330"/>
    <mergeCell ref="F34:F123"/>
    <mergeCell ref="F124:F183"/>
    <mergeCell ref="F293:F309"/>
    <mergeCell ref="F310:F329"/>
    <mergeCell ref="F184:F241"/>
    <mergeCell ref="F242:F262"/>
    <mergeCell ref="F263:F292"/>
  </mergeCells>
  <conditionalFormatting sqref="O2">
    <cfRule type="cellIs" dxfId="26" priority="27" operator="lessThan">
      <formula>0</formula>
    </cfRule>
  </conditionalFormatting>
  <conditionalFormatting sqref="O1:O2">
    <cfRule type="cellIs" dxfId="25" priority="26" operator="lessThan">
      <formula>0</formula>
    </cfRule>
  </conditionalFormatting>
  <conditionalFormatting sqref="G1:I2">
    <cfRule type="cellIs" dxfId="24" priority="23" operator="greaterThanOrEqual">
      <formula>25</formula>
    </cfRule>
    <cfRule type="cellIs" dxfId="23" priority="24" operator="between">
      <formula>0</formula>
      <formula>5</formula>
    </cfRule>
    <cfRule type="cellIs" dxfId="22" priority="25" operator="lessThan">
      <formula>0</formula>
    </cfRule>
  </conditionalFormatting>
  <conditionalFormatting sqref="O1:O2">
    <cfRule type="cellIs" dxfId="21" priority="22" operator="lessThan">
      <formula>0</formula>
    </cfRule>
  </conditionalFormatting>
  <conditionalFormatting sqref="W1:W2">
    <cfRule type="cellIs" dxfId="20" priority="21" operator="lessThan">
      <formula>900</formula>
    </cfRule>
  </conditionalFormatting>
  <conditionalFormatting sqref="G3:I401">
    <cfRule type="cellIs" dxfId="19" priority="18" operator="greaterThanOrEqual">
      <formula>25</formula>
    </cfRule>
    <cfRule type="cellIs" dxfId="18" priority="19" operator="between">
      <formula>0</formula>
      <formula>5</formula>
    </cfRule>
    <cfRule type="cellIs" dxfId="17" priority="20" operator="lessThan">
      <formula>0</formula>
    </cfRule>
  </conditionalFormatting>
  <conditionalFormatting sqref="L35 L43 L47 L45">
    <cfRule type="cellIs" dxfId="16" priority="16" operator="lessThanOrEqual">
      <formula>0</formula>
    </cfRule>
    <cfRule type="cellIs" dxfId="15" priority="17" operator="lessThanOrEqual">
      <formula>5</formula>
    </cfRule>
  </conditionalFormatting>
  <conditionalFormatting sqref="L125 L133 L137 L135">
    <cfRule type="cellIs" dxfId="14" priority="14" operator="lessThanOrEqual">
      <formula>0</formula>
    </cfRule>
    <cfRule type="cellIs" dxfId="13" priority="15" operator="lessThanOrEqual">
      <formula>5</formula>
    </cfRule>
  </conditionalFormatting>
  <conditionalFormatting sqref="L185 L193 L197 L195">
    <cfRule type="cellIs" dxfId="12" priority="12" operator="lessThanOrEqual">
      <formula>0</formula>
    </cfRule>
    <cfRule type="cellIs" dxfId="11" priority="13" operator="lessThanOrEqual">
      <formula>5</formula>
    </cfRule>
  </conditionalFormatting>
  <conditionalFormatting sqref="L243 L255 L253 L251">
    <cfRule type="cellIs" dxfId="10" priority="10" operator="lessThanOrEqual">
      <formula>0</formula>
    </cfRule>
    <cfRule type="cellIs" dxfId="9" priority="11" operator="lessThanOrEqual">
      <formula>5</formula>
    </cfRule>
  </conditionalFormatting>
  <conditionalFormatting sqref="L264 L272 L274 L276">
    <cfRule type="cellIs" dxfId="8" priority="8" operator="lessThanOrEqual">
      <formula>0</formula>
    </cfRule>
    <cfRule type="cellIs" dxfId="7" priority="9" operator="lessThanOrEqual">
      <formula>5</formula>
    </cfRule>
  </conditionalFormatting>
  <conditionalFormatting sqref="L294 L304">
    <cfRule type="cellIs" dxfId="6" priority="6" operator="lessThanOrEqual">
      <formula>0</formula>
    </cfRule>
    <cfRule type="cellIs" dxfId="5" priority="7" operator="lessThanOrEqual">
      <formula>5</formula>
    </cfRule>
  </conditionalFormatting>
  <conditionalFormatting sqref="O1:O1048576 P35:P48 R34:R38 Q35 Q37 Q39 Q41 Q43 Q45 Q47 Q49 Q51 Q53 Q55 Q57 Q59 Q61 Q63 Q65 Q67 Q69 Q71 Q73 Q75 Q77 Q79 Q81 Q83 Q85 Q87 Q89 Q91 Q93 Q95 Q97 Q99 Q101 Q103 Q105 Q107 Q109 Q111 Q113 Q115 Q117 Q119 Q121 Q123 Q125 Q127 Q129 Q131 Q133 Q135 Q137 Q139 Q141 Q143 Q145 Q147 Q149 Q151 Q153 Q155 Q157 Q159 Q161 Q163 Q165 Q167 Q169 Q171 Q173 Q175 Q177 Q179 Q181 Q183 Q185 Q187 Q189 Q191 Q193 Q195 Q197 Q199 Q201 Q203 Q205 Q207 Q209 Q211 Q213 Q215 Q217 Q219 Q221 Q223 Q225 Q227 Q229 Q231 Q233 Q235 Q237 Q239 Q241 Q243 Q245 Q247 Q249 Q251 Q253 Q255 Q257 Q259 Q261 Q263 Q265 Q267 Q269 Q271 Q273 Q275 Q277 Q279 Q281 Q283 Q285 Q287 Q289 Q291 Q293 Q295 Q297 Q299 Q301 Q303 Q305 Q307 Q309 Q311 Q313 Q315 Q317 Q319 Q321 Q323 Q325 Q327 Q329 Q331 Q333 Q335 Q337 Q339 Q341 Q343 Q345 U37:U48 U35:V35 V37">
    <cfRule type="cellIs" dxfId="4" priority="5" operator="lessThan">
      <formula>0</formula>
    </cfRule>
  </conditionalFormatting>
  <conditionalFormatting sqref="T34:T345 U34">
    <cfRule type="cellIs" dxfId="3" priority="4" operator="lessThan">
      <formula>0</formula>
    </cfRule>
  </conditionalFormatting>
  <conditionalFormatting sqref="W1:W1048576">
    <cfRule type="cellIs" dxfId="2" priority="3" operator="lessThan">
      <formula>900</formula>
    </cfRule>
  </conditionalFormatting>
  <conditionalFormatting sqref="V35 V37 U34:U345">
    <cfRule type="cellIs" dxfId="1" priority="1" operator="equal">
      <formula>0</formula>
    </cfRule>
    <cfRule type="cellIs" dxfId="0" priority="2" operator="lessThan">
      <formula>48.9</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N+ et N-</vt:lpstr>
    </vt:vector>
  </TitlesOfParts>
  <Company>INRA - RENNES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Erwan Corlouer</dc:creator>
  <cp:lastModifiedBy>adminigepp</cp:lastModifiedBy>
  <dcterms:created xsi:type="dcterms:W3CDTF">2018-11-12T11:01:02Z</dcterms:created>
  <dcterms:modified xsi:type="dcterms:W3CDTF">2019-11-27T10:34:06Z</dcterms:modified>
</cp:coreProperties>
</file>