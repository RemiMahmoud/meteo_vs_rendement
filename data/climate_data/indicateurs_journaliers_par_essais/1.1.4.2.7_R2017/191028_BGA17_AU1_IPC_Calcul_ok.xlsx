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7\"/>
    </mc:Choice>
  </mc:AlternateContent>
  <bookViews>
    <workbookView xWindow="0" yWindow="0" windowWidth="28800" windowHeight="11700" activeTab="1"/>
  </bookViews>
  <sheets>
    <sheet name="N-" sheetId="1" r:id="rId1"/>
    <sheet name="N+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16" i="2" l="1"/>
  <c r="AC208" i="2"/>
  <c r="V193" i="2" l="1"/>
  <c r="U185" i="1"/>
  <c r="U186" i="1"/>
  <c r="U187" i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2" i="1" s="1"/>
  <c r="U273" i="1" s="1"/>
  <c r="U274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5" i="1" s="1"/>
  <c r="U296" i="1" s="1"/>
  <c r="U297" i="1" s="1"/>
  <c r="U298" i="1" s="1"/>
  <c r="U299" i="1" s="1"/>
  <c r="U300" i="1" s="1"/>
  <c r="U301" i="1" s="1"/>
  <c r="U302" i="1" s="1"/>
  <c r="U303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U184" i="1"/>
  <c r="U311" i="2"/>
  <c r="U185" i="2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2" i="2" s="1"/>
  <c r="U273" i="2" s="1"/>
  <c r="U274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5" i="2" s="1"/>
  <c r="U296" i="2" s="1"/>
  <c r="U297" i="2" s="1"/>
  <c r="U298" i="2" s="1"/>
  <c r="U299" i="2" s="1"/>
  <c r="U300" i="2" s="1"/>
  <c r="U301" i="2" s="1"/>
  <c r="U302" i="2" s="1"/>
  <c r="U303" i="2" s="1"/>
  <c r="U307" i="2" s="1"/>
  <c r="U308" i="2" s="1"/>
  <c r="U309" i="2" s="1"/>
  <c r="U310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279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184" i="1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280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6" i="2"/>
  <c r="R184" i="2"/>
  <c r="Z299" i="2" l="1"/>
  <c r="L306" i="2"/>
  <c r="L304" i="2"/>
  <c r="L302" i="2"/>
  <c r="L285" i="2"/>
  <c r="L283" i="2"/>
  <c r="Z280" i="2"/>
  <c r="Z258" i="2"/>
  <c r="Z259" i="2" s="1"/>
  <c r="Z260" i="2" s="1"/>
  <c r="Z261" i="2" s="1"/>
  <c r="Z262" i="2" s="1"/>
  <c r="Z263" i="2" s="1"/>
  <c r="Z264" i="2" s="1"/>
  <c r="Z265" i="2" s="1"/>
  <c r="Z266" i="2" s="1"/>
  <c r="Z267" i="2" s="1"/>
  <c r="Z268" i="2" s="1"/>
  <c r="Z269" i="2" s="1"/>
  <c r="Z270" i="2" s="1"/>
  <c r="Z271" i="2" s="1"/>
  <c r="Z272" i="2" s="1"/>
  <c r="Z273" i="2" s="1"/>
  <c r="Z274" i="2" s="1"/>
  <c r="Z275" i="2" s="1"/>
  <c r="Z276" i="2" s="1"/>
  <c r="Z277" i="2" s="1"/>
  <c r="Z278" i="2" s="1"/>
  <c r="Z279" i="2" s="1"/>
  <c r="Z257" i="2"/>
  <c r="Z256" i="2"/>
  <c r="L259" i="2"/>
  <c r="L263" i="2"/>
  <c r="K258" i="2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AB238" i="2"/>
  <c r="Z237" i="2"/>
  <c r="Z238" i="2" s="1"/>
  <c r="Z239" i="2" s="1"/>
  <c r="Z240" i="2" s="1"/>
  <c r="Z241" i="2" s="1"/>
  <c r="Z242" i="2" s="1"/>
  <c r="Z243" i="2" s="1"/>
  <c r="Z244" i="2" s="1"/>
  <c r="Z245" i="2" s="1"/>
  <c r="Z246" i="2" s="1"/>
  <c r="Z247" i="2" s="1"/>
  <c r="Z248" i="2" s="1"/>
  <c r="Z249" i="2" s="1"/>
  <c r="Z250" i="2" s="1"/>
  <c r="Z251" i="2" s="1"/>
  <c r="Z252" i="2" s="1"/>
  <c r="Z253" i="2" s="1"/>
  <c r="Z254" i="2" s="1"/>
  <c r="Z255" i="2" s="1"/>
  <c r="Z235" i="2"/>
  <c r="L238" i="2"/>
  <c r="L240" i="2"/>
  <c r="L242" i="2"/>
  <c r="K237" i="2"/>
  <c r="K238" i="2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7" i="2" s="1"/>
  <c r="K236" i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L191" i="2"/>
  <c r="L189" i="2"/>
  <c r="L187" i="2"/>
  <c r="V155" i="2"/>
  <c r="V66" i="2"/>
  <c r="L306" i="1"/>
  <c r="L304" i="1"/>
  <c r="L302" i="1"/>
  <c r="L284" i="1"/>
  <c r="L282" i="1"/>
  <c r="L262" i="1"/>
  <c r="L258" i="1"/>
  <c r="L241" i="1"/>
  <c r="L239" i="1"/>
  <c r="L237" i="1"/>
  <c r="Z321" i="1"/>
  <c r="Z320" i="1"/>
  <c r="Z301" i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299" i="1"/>
  <c r="Z281" i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79" i="1"/>
  <c r="Z257" i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56" i="1"/>
  <c r="Z255" i="1"/>
  <c r="Z236" i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34" i="1"/>
  <c r="V66" i="1"/>
  <c r="V155" i="1"/>
  <c r="L191" i="1"/>
  <c r="L189" i="1"/>
  <c r="L187" i="1"/>
  <c r="K281" i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279" i="1"/>
  <c r="K257" i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U56" i="1"/>
  <c r="U55" i="1"/>
  <c r="S333" i="2"/>
  <c r="T333" i="2" s="1"/>
  <c r="O333" i="2"/>
  <c r="S332" i="2"/>
  <c r="T332" i="2" s="1"/>
  <c r="O332" i="2"/>
  <c r="S331" i="2"/>
  <c r="T331" i="2" s="1"/>
  <c r="O331" i="2"/>
  <c r="S330" i="2"/>
  <c r="T330" i="2" s="1"/>
  <c r="O330" i="2"/>
  <c r="S329" i="2"/>
  <c r="T329" i="2" s="1"/>
  <c r="O329" i="2"/>
  <c r="S328" i="2"/>
  <c r="T328" i="2" s="1"/>
  <c r="O328" i="2"/>
  <c r="S327" i="2"/>
  <c r="T327" i="2" s="1"/>
  <c r="O327" i="2"/>
  <c r="S326" i="2"/>
  <c r="T326" i="2" s="1"/>
  <c r="O326" i="2"/>
  <c r="S325" i="2"/>
  <c r="T325" i="2" s="1"/>
  <c r="O325" i="2"/>
  <c r="S324" i="2"/>
  <c r="T324" i="2" s="1"/>
  <c r="O324" i="2"/>
  <c r="S323" i="2"/>
  <c r="T323" i="2" s="1"/>
  <c r="O323" i="2"/>
  <c r="S322" i="2"/>
  <c r="T322" i="2" s="1"/>
  <c r="O322" i="2"/>
  <c r="S321" i="2"/>
  <c r="T321" i="2" s="1"/>
  <c r="O321" i="2"/>
  <c r="S320" i="2"/>
  <c r="T320" i="2" s="1"/>
  <c r="O320" i="2"/>
  <c r="S319" i="2"/>
  <c r="T319" i="2" s="1"/>
  <c r="O319" i="2"/>
  <c r="S318" i="2"/>
  <c r="T318" i="2" s="1"/>
  <c r="O318" i="2"/>
  <c r="S317" i="2"/>
  <c r="T317" i="2" s="1"/>
  <c r="O317" i="2"/>
  <c r="S316" i="2"/>
  <c r="T316" i="2" s="1"/>
  <c r="O316" i="2"/>
  <c r="S315" i="2"/>
  <c r="T315" i="2" s="1"/>
  <c r="O315" i="2"/>
  <c r="S314" i="2"/>
  <c r="T314" i="2" s="1"/>
  <c r="O314" i="2"/>
  <c r="S313" i="2"/>
  <c r="T313" i="2" s="1"/>
  <c r="O313" i="2"/>
  <c r="S312" i="2"/>
  <c r="T312" i="2" s="1"/>
  <c r="O312" i="2"/>
  <c r="S311" i="2"/>
  <c r="T311" i="2" s="1"/>
  <c r="O311" i="2"/>
  <c r="S310" i="2"/>
  <c r="T310" i="2" s="1"/>
  <c r="O310" i="2"/>
  <c r="S309" i="2"/>
  <c r="T309" i="2" s="1"/>
  <c r="O309" i="2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S308" i="2"/>
  <c r="T308" i="2" s="1"/>
  <c r="O308" i="2"/>
  <c r="S307" i="2"/>
  <c r="T307" i="2" s="1"/>
  <c r="O307" i="2"/>
  <c r="P307" i="2" s="1"/>
  <c r="P308" i="2" s="1"/>
  <c r="S306" i="2"/>
  <c r="T306" i="2" s="1"/>
  <c r="O306" i="2"/>
  <c r="S305" i="2"/>
  <c r="T305" i="2" s="1"/>
  <c r="O305" i="2"/>
  <c r="AB302" i="2"/>
  <c r="S304" i="2"/>
  <c r="T304" i="2" s="1"/>
  <c r="O304" i="2"/>
  <c r="S303" i="2"/>
  <c r="T303" i="2" s="1"/>
  <c r="O303" i="2"/>
  <c r="S302" i="2"/>
  <c r="T302" i="2" s="1"/>
  <c r="O302" i="2"/>
  <c r="S301" i="2"/>
  <c r="T301" i="2" s="1"/>
  <c r="O301" i="2"/>
  <c r="S300" i="2"/>
  <c r="T300" i="2" s="1"/>
  <c r="O300" i="2"/>
  <c r="S299" i="2"/>
  <c r="T299" i="2" s="1"/>
  <c r="O299" i="2"/>
  <c r="S298" i="2"/>
  <c r="T298" i="2" s="1"/>
  <c r="O298" i="2"/>
  <c r="S297" i="2"/>
  <c r="T297" i="2" s="1"/>
  <c r="O297" i="2"/>
  <c r="S296" i="2"/>
  <c r="T296" i="2" s="1"/>
  <c r="O296" i="2"/>
  <c r="S295" i="2"/>
  <c r="T295" i="2" s="1"/>
  <c r="P295" i="2"/>
  <c r="P296" i="2" s="1"/>
  <c r="P297" i="2" s="1"/>
  <c r="P298" i="2" s="1"/>
  <c r="P299" i="2" s="1"/>
  <c r="P300" i="2" s="1"/>
  <c r="P301" i="2" s="1"/>
  <c r="P302" i="2" s="1"/>
  <c r="O295" i="2"/>
  <c r="S294" i="2"/>
  <c r="T294" i="2" s="1"/>
  <c r="O294" i="2"/>
  <c r="S293" i="2"/>
  <c r="T293" i="2" s="1"/>
  <c r="O293" i="2"/>
  <c r="S292" i="2"/>
  <c r="T292" i="2" s="1"/>
  <c r="O292" i="2"/>
  <c r="S291" i="2"/>
  <c r="T291" i="2" s="1"/>
  <c r="O291" i="2"/>
  <c r="S290" i="2"/>
  <c r="T290" i="2" s="1"/>
  <c r="O290" i="2"/>
  <c r="S289" i="2"/>
  <c r="T289" i="2" s="1"/>
  <c r="O289" i="2"/>
  <c r="S288" i="2"/>
  <c r="T288" i="2" s="1"/>
  <c r="O288" i="2"/>
  <c r="S287" i="2"/>
  <c r="T287" i="2" s="1"/>
  <c r="O287" i="2"/>
  <c r="S286" i="2"/>
  <c r="T286" i="2" s="1"/>
  <c r="O286" i="2"/>
  <c r="AB283" i="2"/>
  <c r="S285" i="2"/>
  <c r="T285" i="2" s="1"/>
  <c r="O285" i="2"/>
  <c r="S284" i="2"/>
  <c r="T284" i="2" s="1"/>
  <c r="O284" i="2"/>
  <c r="S283" i="2"/>
  <c r="T283" i="2" s="1"/>
  <c r="O283" i="2"/>
  <c r="S282" i="2"/>
  <c r="T282" i="2" s="1"/>
  <c r="O282" i="2"/>
  <c r="S281" i="2"/>
  <c r="T281" i="2" s="1"/>
  <c r="O281" i="2"/>
  <c r="S280" i="2"/>
  <c r="T280" i="2" s="1"/>
  <c r="O280" i="2"/>
  <c r="S279" i="2"/>
  <c r="T279" i="2" s="1"/>
  <c r="O279" i="2"/>
  <c r="S278" i="2"/>
  <c r="T278" i="2" s="1"/>
  <c r="P278" i="2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O278" i="2"/>
  <c r="S277" i="2"/>
  <c r="T277" i="2" s="1"/>
  <c r="P277" i="2"/>
  <c r="O277" i="2"/>
  <c r="S276" i="2"/>
  <c r="T276" i="2" s="1"/>
  <c r="O276" i="2"/>
  <c r="S275" i="2"/>
  <c r="T275" i="2" s="1"/>
  <c r="O275" i="2"/>
  <c r="S274" i="2"/>
  <c r="T274" i="2" s="1"/>
  <c r="O274" i="2"/>
  <c r="S273" i="2"/>
  <c r="T273" i="2" s="1"/>
  <c r="O273" i="2"/>
  <c r="P273" i="2" s="1"/>
  <c r="P274" i="2" s="1"/>
  <c r="S272" i="2"/>
  <c r="T272" i="2" s="1"/>
  <c r="P272" i="2"/>
  <c r="O272" i="2"/>
  <c r="S271" i="2"/>
  <c r="T271" i="2" s="1"/>
  <c r="O271" i="2"/>
  <c r="S270" i="2"/>
  <c r="T270" i="2" s="1"/>
  <c r="O270" i="2"/>
  <c r="S269" i="2"/>
  <c r="T269" i="2" s="1"/>
  <c r="O269" i="2"/>
  <c r="S268" i="2"/>
  <c r="T268" i="2" s="1"/>
  <c r="O268" i="2"/>
  <c r="T267" i="2"/>
  <c r="S267" i="2"/>
  <c r="O267" i="2"/>
  <c r="S266" i="2"/>
  <c r="T266" i="2" s="1"/>
  <c r="O266" i="2"/>
  <c r="S265" i="2"/>
  <c r="T265" i="2" s="1"/>
  <c r="O265" i="2"/>
  <c r="S264" i="2"/>
  <c r="T264" i="2" s="1"/>
  <c r="O264" i="2"/>
  <c r="S263" i="2"/>
  <c r="T263" i="2" s="1"/>
  <c r="O263" i="2"/>
  <c r="T262" i="2"/>
  <c r="S262" i="2"/>
  <c r="O262" i="2"/>
  <c r="AB259" i="2"/>
  <c r="S261" i="2"/>
  <c r="T261" i="2" s="1"/>
  <c r="O261" i="2"/>
  <c r="S260" i="2"/>
  <c r="T260" i="2" s="1"/>
  <c r="O260" i="2"/>
  <c r="S259" i="2"/>
  <c r="T259" i="2" s="1"/>
  <c r="O259" i="2"/>
  <c r="S258" i="2"/>
  <c r="T258" i="2" s="1"/>
  <c r="O258" i="2"/>
  <c r="S257" i="2"/>
  <c r="T257" i="2" s="1"/>
  <c r="O257" i="2"/>
  <c r="S256" i="2"/>
  <c r="T256" i="2" s="1"/>
  <c r="O256" i="2"/>
  <c r="S255" i="2"/>
  <c r="T255" i="2" s="1"/>
  <c r="O255" i="2"/>
  <c r="T254" i="2"/>
  <c r="S254" i="2"/>
  <c r="O254" i="2"/>
  <c r="S253" i="2"/>
  <c r="T253" i="2" s="1"/>
  <c r="O253" i="2"/>
  <c r="T252" i="2"/>
  <c r="S252" i="2"/>
  <c r="O252" i="2"/>
  <c r="S251" i="2"/>
  <c r="T251" i="2" s="1"/>
  <c r="O251" i="2"/>
  <c r="S250" i="2"/>
  <c r="T250" i="2" s="1"/>
  <c r="O250" i="2"/>
  <c r="S249" i="2"/>
  <c r="T249" i="2" s="1"/>
  <c r="O249" i="2"/>
  <c r="S248" i="2"/>
  <c r="T248" i="2" s="1"/>
  <c r="O248" i="2"/>
  <c r="S247" i="2"/>
  <c r="T247" i="2" s="1"/>
  <c r="O247" i="2"/>
  <c r="S246" i="2"/>
  <c r="T246" i="2" s="1"/>
  <c r="O246" i="2"/>
  <c r="S245" i="2"/>
  <c r="T245" i="2" s="1"/>
  <c r="O245" i="2"/>
  <c r="S244" i="2"/>
  <c r="T244" i="2" s="1"/>
  <c r="O244" i="2"/>
  <c r="T243" i="2"/>
  <c r="S243" i="2"/>
  <c r="O243" i="2"/>
  <c r="S242" i="2"/>
  <c r="T242" i="2" s="1"/>
  <c r="O242" i="2"/>
  <c r="S241" i="2"/>
  <c r="T241" i="2" s="1"/>
  <c r="O241" i="2"/>
  <c r="T240" i="2"/>
  <c r="S240" i="2"/>
  <c r="O240" i="2"/>
  <c r="S239" i="2"/>
  <c r="T239" i="2" s="1"/>
  <c r="O239" i="2"/>
  <c r="S238" i="2"/>
  <c r="T238" i="2" s="1"/>
  <c r="O238" i="2"/>
  <c r="S237" i="2"/>
  <c r="T237" i="2" s="1"/>
  <c r="O237" i="2"/>
  <c r="S236" i="2"/>
  <c r="T236" i="2" s="1"/>
  <c r="O236" i="2"/>
  <c r="S235" i="2"/>
  <c r="T235" i="2" s="1"/>
  <c r="O235" i="2"/>
  <c r="S234" i="2"/>
  <c r="T234" i="2" s="1"/>
  <c r="O234" i="2"/>
  <c r="S233" i="2"/>
  <c r="T233" i="2" s="1"/>
  <c r="O233" i="2"/>
  <c r="S232" i="2"/>
  <c r="T232" i="2" s="1"/>
  <c r="O232" i="2"/>
  <c r="S231" i="2"/>
  <c r="T231" i="2" s="1"/>
  <c r="O231" i="2"/>
  <c r="S230" i="2"/>
  <c r="T230" i="2" s="1"/>
  <c r="O230" i="2"/>
  <c r="S229" i="2"/>
  <c r="T229" i="2" s="1"/>
  <c r="O229" i="2"/>
  <c r="S228" i="2"/>
  <c r="T228" i="2" s="1"/>
  <c r="O228" i="2"/>
  <c r="S227" i="2"/>
  <c r="T227" i="2" s="1"/>
  <c r="O227" i="2"/>
  <c r="S226" i="2"/>
  <c r="T226" i="2" s="1"/>
  <c r="O226" i="2"/>
  <c r="S225" i="2"/>
  <c r="T225" i="2" s="1"/>
  <c r="O225" i="2"/>
  <c r="S224" i="2"/>
  <c r="T224" i="2" s="1"/>
  <c r="O224" i="2"/>
  <c r="S223" i="2"/>
  <c r="T223" i="2" s="1"/>
  <c r="O223" i="2"/>
  <c r="S222" i="2"/>
  <c r="T222" i="2" s="1"/>
  <c r="O222" i="2"/>
  <c r="S221" i="2"/>
  <c r="T221" i="2" s="1"/>
  <c r="O221" i="2"/>
  <c r="S220" i="2"/>
  <c r="T220" i="2" s="1"/>
  <c r="O220" i="2"/>
  <c r="S219" i="2"/>
  <c r="T219" i="2" s="1"/>
  <c r="O219" i="2"/>
  <c r="S218" i="2"/>
  <c r="T218" i="2" s="1"/>
  <c r="O218" i="2"/>
  <c r="S217" i="2"/>
  <c r="T217" i="2" s="1"/>
  <c r="O217" i="2"/>
  <c r="S216" i="2"/>
  <c r="T216" i="2" s="1"/>
  <c r="O216" i="2"/>
  <c r="S215" i="2"/>
  <c r="T215" i="2" s="1"/>
  <c r="O215" i="2"/>
  <c r="S214" i="2"/>
  <c r="T214" i="2" s="1"/>
  <c r="O214" i="2"/>
  <c r="S213" i="2"/>
  <c r="T213" i="2" s="1"/>
  <c r="O213" i="2"/>
  <c r="S212" i="2"/>
  <c r="T212" i="2" s="1"/>
  <c r="O212" i="2"/>
  <c r="S211" i="2"/>
  <c r="T211" i="2" s="1"/>
  <c r="O211" i="2"/>
  <c r="S210" i="2"/>
  <c r="T210" i="2" s="1"/>
  <c r="O210" i="2"/>
  <c r="S209" i="2"/>
  <c r="T209" i="2" s="1"/>
  <c r="O209" i="2"/>
  <c r="S208" i="2"/>
  <c r="T208" i="2" s="1"/>
  <c r="O208" i="2"/>
  <c r="S207" i="2"/>
  <c r="T207" i="2" s="1"/>
  <c r="O207" i="2"/>
  <c r="S206" i="2"/>
  <c r="T206" i="2" s="1"/>
  <c r="O206" i="2"/>
  <c r="S205" i="2"/>
  <c r="T205" i="2" s="1"/>
  <c r="O205" i="2"/>
  <c r="S204" i="2"/>
  <c r="T204" i="2" s="1"/>
  <c r="O204" i="2"/>
  <c r="S203" i="2"/>
  <c r="T203" i="2" s="1"/>
  <c r="O203" i="2"/>
  <c r="S202" i="2"/>
  <c r="T202" i="2" s="1"/>
  <c r="O202" i="2"/>
  <c r="S201" i="2"/>
  <c r="T201" i="2" s="1"/>
  <c r="O201" i="2"/>
  <c r="S200" i="2"/>
  <c r="T200" i="2" s="1"/>
  <c r="O200" i="2"/>
  <c r="S199" i="2"/>
  <c r="T199" i="2" s="1"/>
  <c r="O199" i="2"/>
  <c r="S198" i="2"/>
  <c r="T198" i="2" s="1"/>
  <c r="O198" i="2"/>
  <c r="S197" i="2"/>
  <c r="T197" i="2" s="1"/>
  <c r="O197" i="2"/>
  <c r="K197" i="2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6" i="2" s="1"/>
  <c r="S196" i="2"/>
  <c r="T196" i="2" s="1"/>
  <c r="O196" i="2"/>
  <c r="S195" i="2"/>
  <c r="T195" i="2" s="1"/>
  <c r="O195" i="2"/>
  <c r="S194" i="2"/>
  <c r="T194" i="2" s="1"/>
  <c r="O194" i="2"/>
  <c r="S193" i="2"/>
  <c r="T193" i="2" s="1"/>
  <c r="O193" i="2"/>
  <c r="S192" i="2"/>
  <c r="T192" i="2" s="1"/>
  <c r="O192" i="2"/>
  <c r="S191" i="2"/>
  <c r="T191" i="2" s="1"/>
  <c r="O191" i="2"/>
  <c r="S190" i="2"/>
  <c r="T190" i="2" s="1"/>
  <c r="O190" i="2"/>
  <c r="S189" i="2"/>
  <c r="T189" i="2" s="1"/>
  <c r="O189" i="2"/>
  <c r="S188" i="2"/>
  <c r="T188" i="2" s="1"/>
  <c r="O188" i="2"/>
  <c r="AB187" i="2"/>
  <c r="Z187" i="2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6" i="2" s="1"/>
  <c r="S187" i="2"/>
  <c r="T187" i="2" s="1"/>
  <c r="O187" i="2"/>
  <c r="Z186" i="2"/>
  <c r="S186" i="2"/>
  <c r="T186" i="2" s="1"/>
  <c r="O186" i="2"/>
  <c r="K186" i="2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S185" i="2"/>
  <c r="T185" i="2" s="1"/>
  <c r="O185" i="2"/>
  <c r="K185" i="2"/>
  <c r="J185" i="2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Z184" i="2"/>
  <c r="Z185" i="2" s="1"/>
  <c r="S184" i="2"/>
  <c r="T184" i="2" s="1"/>
  <c r="O184" i="2"/>
  <c r="T183" i="2"/>
  <c r="S183" i="2"/>
  <c r="O183" i="2"/>
  <c r="K183" i="2"/>
  <c r="J183" i="2"/>
  <c r="J184" i="2" s="1"/>
  <c r="T182" i="2"/>
  <c r="S182" i="2"/>
  <c r="O182" i="2"/>
  <c r="S181" i="2"/>
  <c r="T181" i="2" s="1"/>
  <c r="O181" i="2"/>
  <c r="T180" i="2"/>
  <c r="S180" i="2"/>
  <c r="O180" i="2"/>
  <c r="S179" i="2"/>
  <c r="T179" i="2" s="1"/>
  <c r="O179" i="2"/>
  <c r="T178" i="2"/>
  <c r="S178" i="2"/>
  <c r="O178" i="2"/>
  <c r="K178" i="2"/>
  <c r="K179" i="2" s="1"/>
  <c r="K180" i="2" s="1"/>
  <c r="K181" i="2" s="1"/>
  <c r="S177" i="2"/>
  <c r="T177" i="2" s="1"/>
  <c r="O177" i="2"/>
  <c r="K177" i="2"/>
  <c r="J177" i="2"/>
  <c r="J178" i="2" s="1"/>
  <c r="J179" i="2" s="1"/>
  <c r="J180" i="2" s="1"/>
  <c r="J181" i="2" s="1"/>
  <c r="T176" i="2"/>
  <c r="S176" i="2"/>
  <c r="O176" i="2"/>
  <c r="S175" i="2"/>
  <c r="T175" i="2" s="1"/>
  <c r="O175" i="2"/>
  <c r="T174" i="2"/>
  <c r="S174" i="2"/>
  <c r="O174" i="2"/>
  <c r="S173" i="2"/>
  <c r="T173" i="2" s="1"/>
  <c r="O173" i="2"/>
  <c r="T172" i="2"/>
  <c r="S172" i="2"/>
  <c r="O172" i="2"/>
  <c r="S171" i="2"/>
  <c r="T171" i="2" s="1"/>
  <c r="O171" i="2"/>
  <c r="T170" i="2"/>
  <c r="S170" i="2"/>
  <c r="O170" i="2"/>
  <c r="K170" i="2"/>
  <c r="K171" i="2" s="1"/>
  <c r="K172" i="2" s="1"/>
  <c r="K173" i="2" s="1"/>
  <c r="K174" i="2" s="1"/>
  <c r="S169" i="2"/>
  <c r="T169" i="2" s="1"/>
  <c r="O169" i="2"/>
  <c r="J169" i="2"/>
  <c r="J170" i="2" s="1"/>
  <c r="J171" i="2" s="1"/>
  <c r="J172" i="2" s="1"/>
  <c r="J173" i="2" s="1"/>
  <c r="J174" i="2" s="1"/>
  <c r="T168" i="2"/>
  <c r="S168" i="2"/>
  <c r="O168" i="2"/>
  <c r="S167" i="2"/>
  <c r="T167" i="2" s="1"/>
  <c r="O167" i="2"/>
  <c r="J167" i="2"/>
  <c r="J168" i="2" s="1"/>
  <c r="T166" i="2"/>
  <c r="S166" i="2"/>
  <c r="O166" i="2"/>
  <c r="K166" i="2"/>
  <c r="K167" i="2" s="1"/>
  <c r="K168" i="2" s="1"/>
  <c r="K169" i="2" s="1"/>
  <c r="S165" i="2"/>
  <c r="T165" i="2" s="1"/>
  <c r="O165" i="2"/>
  <c r="K165" i="2"/>
  <c r="J165" i="2"/>
  <c r="J166" i="2" s="1"/>
  <c r="T164" i="2"/>
  <c r="S164" i="2"/>
  <c r="O164" i="2"/>
  <c r="S163" i="2"/>
  <c r="T163" i="2" s="1"/>
  <c r="O163" i="2"/>
  <c r="T162" i="2"/>
  <c r="S162" i="2"/>
  <c r="O162" i="2"/>
  <c r="S161" i="2"/>
  <c r="T161" i="2" s="1"/>
  <c r="O161" i="2"/>
  <c r="T160" i="2"/>
  <c r="S160" i="2"/>
  <c r="O160" i="2"/>
  <c r="S159" i="2"/>
  <c r="T159" i="2" s="1"/>
  <c r="O159" i="2"/>
  <c r="T158" i="2"/>
  <c r="S158" i="2"/>
  <c r="O158" i="2"/>
  <c r="S157" i="2"/>
  <c r="T157" i="2" s="1"/>
  <c r="O157" i="2"/>
  <c r="T156" i="2"/>
  <c r="S156" i="2"/>
  <c r="O156" i="2"/>
  <c r="S155" i="2"/>
  <c r="T155" i="2" s="1"/>
  <c r="O155" i="2"/>
  <c r="T154" i="2"/>
  <c r="S154" i="2"/>
  <c r="O154" i="2"/>
  <c r="T153" i="2"/>
  <c r="S153" i="2"/>
  <c r="O153" i="2"/>
  <c r="S152" i="2"/>
  <c r="T152" i="2" s="1"/>
  <c r="O152" i="2"/>
  <c r="S151" i="2"/>
  <c r="T151" i="2" s="1"/>
  <c r="O151" i="2"/>
  <c r="L151" i="2"/>
  <c r="S150" i="2"/>
  <c r="T150" i="2" s="1"/>
  <c r="O150" i="2"/>
  <c r="S149" i="2"/>
  <c r="T149" i="2" s="1"/>
  <c r="O149" i="2"/>
  <c r="L149" i="2"/>
  <c r="K149" i="2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S148" i="2"/>
  <c r="T148" i="2" s="1"/>
  <c r="O148" i="2"/>
  <c r="AB147" i="2"/>
  <c r="S147" i="2"/>
  <c r="T147" i="2" s="1"/>
  <c r="O147" i="2"/>
  <c r="L147" i="2"/>
  <c r="S146" i="2"/>
  <c r="T146" i="2" s="1"/>
  <c r="O146" i="2"/>
  <c r="K146" i="2"/>
  <c r="K147" i="2" s="1"/>
  <c r="K148" i="2" s="1"/>
  <c r="T145" i="2"/>
  <c r="S145" i="2"/>
  <c r="O145" i="2"/>
  <c r="K145" i="2"/>
  <c r="Z144" i="2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S144" i="2"/>
  <c r="T144" i="2" s="1"/>
  <c r="O144" i="2"/>
  <c r="K144" i="2"/>
  <c r="S143" i="2"/>
  <c r="T143" i="2" s="1"/>
  <c r="R143" i="2"/>
  <c r="O143" i="2"/>
  <c r="R142" i="2"/>
  <c r="S142" i="2" s="1"/>
  <c r="T142" i="2" s="1"/>
  <c r="O142" i="2"/>
  <c r="S141" i="2"/>
  <c r="T141" i="2" s="1"/>
  <c r="R141" i="2"/>
  <c r="O141" i="2"/>
  <c r="S140" i="2"/>
  <c r="T140" i="2" s="1"/>
  <c r="R140" i="2"/>
  <c r="O140" i="2"/>
  <c r="R139" i="2"/>
  <c r="S139" i="2" s="1"/>
  <c r="T139" i="2" s="1"/>
  <c r="O139" i="2"/>
  <c r="R138" i="2"/>
  <c r="S138" i="2" s="1"/>
  <c r="T138" i="2" s="1"/>
  <c r="O138" i="2"/>
  <c r="R137" i="2"/>
  <c r="S137" i="2" s="1"/>
  <c r="T137" i="2" s="1"/>
  <c r="O137" i="2"/>
  <c r="S136" i="2"/>
  <c r="T136" i="2" s="1"/>
  <c r="R136" i="2"/>
  <c r="O136" i="2"/>
  <c r="R135" i="2"/>
  <c r="S135" i="2" s="1"/>
  <c r="T135" i="2" s="1"/>
  <c r="O135" i="2"/>
  <c r="R134" i="2"/>
  <c r="S134" i="2" s="1"/>
  <c r="T134" i="2" s="1"/>
  <c r="O134" i="2"/>
  <c r="R133" i="2"/>
  <c r="S133" i="2" s="1"/>
  <c r="T133" i="2" s="1"/>
  <c r="O133" i="2"/>
  <c r="S132" i="2"/>
  <c r="T132" i="2" s="1"/>
  <c r="R132" i="2"/>
  <c r="O132" i="2"/>
  <c r="S131" i="2"/>
  <c r="T131" i="2" s="1"/>
  <c r="R131" i="2"/>
  <c r="O131" i="2"/>
  <c r="R130" i="2"/>
  <c r="S130" i="2" s="1"/>
  <c r="T130" i="2" s="1"/>
  <c r="O130" i="2"/>
  <c r="S129" i="2"/>
  <c r="T129" i="2" s="1"/>
  <c r="R129" i="2"/>
  <c r="O129" i="2"/>
  <c r="S128" i="2"/>
  <c r="T128" i="2" s="1"/>
  <c r="R128" i="2"/>
  <c r="O128" i="2"/>
  <c r="S127" i="2"/>
  <c r="T127" i="2" s="1"/>
  <c r="R127" i="2"/>
  <c r="O127" i="2"/>
  <c r="R126" i="2"/>
  <c r="S126" i="2" s="1"/>
  <c r="T126" i="2" s="1"/>
  <c r="O126" i="2"/>
  <c r="R125" i="2"/>
  <c r="S125" i="2" s="1"/>
  <c r="T125" i="2" s="1"/>
  <c r="O125" i="2"/>
  <c r="R124" i="2"/>
  <c r="S124" i="2" s="1"/>
  <c r="T124" i="2" s="1"/>
  <c r="O124" i="2"/>
  <c r="S123" i="2"/>
  <c r="T123" i="2" s="1"/>
  <c r="R123" i="2"/>
  <c r="O123" i="2"/>
  <c r="S122" i="2"/>
  <c r="T122" i="2" s="1"/>
  <c r="R122" i="2"/>
  <c r="O122" i="2"/>
  <c r="R121" i="2"/>
  <c r="S121" i="2" s="1"/>
  <c r="T121" i="2" s="1"/>
  <c r="O121" i="2"/>
  <c r="T120" i="2"/>
  <c r="S120" i="2"/>
  <c r="R120" i="2"/>
  <c r="O120" i="2"/>
  <c r="T119" i="2"/>
  <c r="S119" i="2"/>
  <c r="R119" i="2"/>
  <c r="O119" i="2"/>
  <c r="T118" i="2"/>
  <c r="S118" i="2"/>
  <c r="R118" i="2"/>
  <c r="O118" i="2"/>
  <c r="T117" i="2"/>
  <c r="S117" i="2"/>
  <c r="R117" i="2"/>
  <c r="O117" i="2"/>
  <c r="T116" i="2"/>
  <c r="S116" i="2"/>
  <c r="R116" i="2"/>
  <c r="O116" i="2"/>
  <c r="T115" i="2"/>
  <c r="S115" i="2"/>
  <c r="R115" i="2"/>
  <c r="O115" i="2"/>
  <c r="T114" i="2"/>
  <c r="S114" i="2"/>
  <c r="R114" i="2"/>
  <c r="O114" i="2"/>
  <c r="T113" i="2"/>
  <c r="S113" i="2"/>
  <c r="R113" i="2"/>
  <c r="O113" i="2"/>
  <c r="T112" i="2"/>
  <c r="S112" i="2"/>
  <c r="R112" i="2"/>
  <c r="O112" i="2"/>
  <c r="T111" i="2"/>
  <c r="S111" i="2"/>
  <c r="R111" i="2"/>
  <c r="O111" i="2"/>
  <c r="T110" i="2"/>
  <c r="S110" i="2"/>
  <c r="R110" i="2"/>
  <c r="O110" i="2"/>
  <c r="T109" i="2"/>
  <c r="S109" i="2"/>
  <c r="R109" i="2"/>
  <c r="O109" i="2"/>
  <c r="T108" i="2"/>
  <c r="S108" i="2"/>
  <c r="R108" i="2"/>
  <c r="O108" i="2"/>
  <c r="T107" i="2"/>
  <c r="S107" i="2"/>
  <c r="R107" i="2"/>
  <c r="O107" i="2"/>
  <c r="T106" i="2"/>
  <c r="S106" i="2"/>
  <c r="R106" i="2"/>
  <c r="O106" i="2"/>
  <c r="T105" i="2"/>
  <c r="S105" i="2"/>
  <c r="R105" i="2"/>
  <c r="O105" i="2"/>
  <c r="T104" i="2"/>
  <c r="S104" i="2"/>
  <c r="R104" i="2"/>
  <c r="O104" i="2"/>
  <c r="S103" i="2"/>
  <c r="T103" i="2" s="1"/>
  <c r="R103" i="2"/>
  <c r="O103" i="2"/>
  <c r="T102" i="2"/>
  <c r="S102" i="2"/>
  <c r="R102" i="2"/>
  <c r="O102" i="2"/>
  <c r="S101" i="2"/>
  <c r="T101" i="2" s="1"/>
  <c r="R101" i="2"/>
  <c r="O101" i="2"/>
  <c r="S100" i="2"/>
  <c r="T100" i="2" s="1"/>
  <c r="R100" i="2"/>
  <c r="O100" i="2"/>
  <c r="S99" i="2"/>
  <c r="T99" i="2" s="1"/>
  <c r="R99" i="2"/>
  <c r="O99" i="2"/>
  <c r="T98" i="2"/>
  <c r="S98" i="2"/>
  <c r="R98" i="2"/>
  <c r="O98" i="2"/>
  <c r="S97" i="2"/>
  <c r="T97" i="2" s="1"/>
  <c r="R97" i="2"/>
  <c r="O97" i="2"/>
  <c r="S96" i="2"/>
  <c r="T96" i="2" s="1"/>
  <c r="R96" i="2"/>
  <c r="O96" i="2"/>
  <c r="S95" i="2"/>
  <c r="T95" i="2" s="1"/>
  <c r="R95" i="2"/>
  <c r="O95" i="2"/>
  <c r="T94" i="2"/>
  <c r="S94" i="2"/>
  <c r="R94" i="2"/>
  <c r="O94" i="2"/>
  <c r="S93" i="2"/>
  <c r="T93" i="2" s="1"/>
  <c r="R93" i="2"/>
  <c r="O93" i="2"/>
  <c r="S92" i="2"/>
  <c r="T92" i="2" s="1"/>
  <c r="R92" i="2"/>
  <c r="O92" i="2"/>
  <c r="S91" i="2"/>
  <c r="T91" i="2" s="1"/>
  <c r="R91" i="2"/>
  <c r="O91" i="2"/>
  <c r="T90" i="2"/>
  <c r="S90" i="2"/>
  <c r="R90" i="2"/>
  <c r="O90" i="2"/>
  <c r="S89" i="2"/>
  <c r="T89" i="2" s="1"/>
  <c r="R89" i="2"/>
  <c r="O89" i="2"/>
  <c r="R88" i="2"/>
  <c r="S88" i="2" s="1"/>
  <c r="T88" i="2" s="1"/>
  <c r="O88" i="2"/>
  <c r="S87" i="2"/>
  <c r="T87" i="2" s="1"/>
  <c r="R87" i="2"/>
  <c r="O87" i="2"/>
  <c r="R86" i="2"/>
  <c r="S86" i="2" s="1"/>
  <c r="T86" i="2" s="1"/>
  <c r="O86" i="2"/>
  <c r="S85" i="2"/>
  <c r="T85" i="2" s="1"/>
  <c r="R85" i="2"/>
  <c r="O85" i="2"/>
  <c r="R84" i="2"/>
  <c r="S84" i="2" s="1"/>
  <c r="T84" i="2" s="1"/>
  <c r="O84" i="2"/>
  <c r="S83" i="2"/>
  <c r="T83" i="2" s="1"/>
  <c r="R83" i="2"/>
  <c r="O83" i="2"/>
  <c r="R82" i="2"/>
  <c r="S82" i="2" s="1"/>
  <c r="T82" i="2" s="1"/>
  <c r="O82" i="2"/>
  <c r="S81" i="2"/>
  <c r="T81" i="2" s="1"/>
  <c r="R81" i="2"/>
  <c r="O81" i="2"/>
  <c r="R80" i="2"/>
  <c r="S80" i="2" s="1"/>
  <c r="T80" i="2" s="1"/>
  <c r="O80" i="2"/>
  <c r="R79" i="2"/>
  <c r="S79" i="2" s="1"/>
  <c r="T79" i="2" s="1"/>
  <c r="O79" i="2"/>
  <c r="S78" i="2"/>
  <c r="T78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R78" i="2"/>
  <c r="O78" i="2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R77" i="2"/>
  <c r="S77" i="2" s="1"/>
  <c r="T77" i="2" s="1"/>
  <c r="O77" i="2"/>
  <c r="R76" i="2"/>
  <c r="S76" i="2" s="1"/>
  <c r="T76" i="2" s="1"/>
  <c r="O76" i="2"/>
  <c r="R75" i="2"/>
  <c r="S75" i="2" s="1"/>
  <c r="T75" i="2" s="1"/>
  <c r="O75" i="2"/>
  <c r="R74" i="2"/>
  <c r="S74" i="2" s="1"/>
  <c r="T74" i="2" s="1"/>
  <c r="O74" i="2"/>
  <c r="T73" i="2"/>
  <c r="S73" i="2"/>
  <c r="R73" i="2"/>
  <c r="O73" i="2"/>
  <c r="R72" i="2"/>
  <c r="S72" i="2" s="1"/>
  <c r="T72" i="2" s="1"/>
  <c r="O72" i="2"/>
  <c r="R71" i="2"/>
  <c r="S71" i="2" s="1"/>
  <c r="T71" i="2" s="1"/>
  <c r="O71" i="2"/>
  <c r="R70" i="2"/>
  <c r="S70" i="2" s="1"/>
  <c r="T70" i="2" s="1"/>
  <c r="O70" i="2"/>
  <c r="T69" i="2"/>
  <c r="S69" i="2"/>
  <c r="R69" i="2"/>
  <c r="O69" i="2"/>
  <c r="S68" i="2"/>
  <c r="T68" i="2" s="1"/>
  <c r="R68" i="2"/>
  <c r="O68" i="2"/>
  <c r="R67" i="2"/>
  <c r="S67" i="2" s="1"/>
  <c r="T67" i="2" s="1"/>
  <c r="O67" i="2"/>
  <c r="R66" i="2"/>
  <c r="S66" i="2" s="1"/>
  <c r="T66" i="2" s="1"/>
  <c r="U66" i="2" s="1"/>
  <c r="U67" i="2" s="1"/>
  <c r="U68" i="2" s="1"/>
  <c r="P66" i="2"/>
  <c r="P67" i="2" s="1"/>
  <c r="O66" i="2"/>
  <c r="R65" i="2"/>
  <c r="S65" i="2" s="1"/>
  <c r="T65" i="2" s="1"/>
  <c r="O65" i="2"/>
  <c r="R64" i="2"/>
  <c r="S64" i="2" s="1"/>
  <c r="T64" i="2" s="1"/>
  <c r="O64" i="2"/>
  <c r="R63" i="2"/>
  <c r="S63" i="2" s="1"/>
  <c r="T63" i="2" s="1"/>
  <c r="O63" i="2"/>
  <c r="R62" i="2"/>
  <c r="S62" i="2" s="1"/>
  <c r="T62" i="2" s="1"/>
  <c r="O62" i="2"/>
  <c r="L62" i="2"/>
  <c r="T61" i="2"/>
  <c r="S61" i="2"/>
  <c r="O61" i="2"/>
  <c r="T60" i="2"/>
  <c r="S60" i="2"/>
  <c r="O60" i="2"/>
  <c r="L60" i="2"/>
  <c r="S59" i="2"/>
  <c r="T59" i="2" s="1"/>
  <c r="O59" i="2"/>
  <c r="AB58" i="2"/>
  <c r="T58" i="2"/>
  <c r="S58" i="2"/>
  <c r="O58" i="2"/>
  <c r="L58" i="2"/>
  <c r="S57" i="2"/>
  <c r="T57" i="2" s="1"/>
  <c r="O57" i="2"/>
  <c r="Y56" i="2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290" i="2" s="1"/>
  <c r="Y291" i="2" s="1"/>
  <c r="Y292" i="2" s="1"/>
  <c r="Y293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8" i="2" s="1"/>
  <c r="Y309" i="2" s="1"/>
  <c r="Y310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0" i="2" s="1"/>
  <c r="Y331" i="2" s="1"/>
  <c r="Y332" i="2" s="1"/>
  <c r="Y333" i="2" s="1"/>
  <c r="T56" i="2"/>
  <c r="S56" i="2"/>
  <c r="O56" i="2"/>
  <c r="J56" i="2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Y55" i="2"/>
  <c r="S55" i="2"/>
  <c r="T55" i="2" s="1"/>
  <c r="O55" i="2"/>
  <c r="J55" i="2"/>
  <c r="O53" i="2"/>
  <c r="O52" i="2"/>
  <c r="O51" i="2"/>
  <c r="O50" i="2"/>
  <c r="O49" i="2"/>
  <c r="O48" i="2"/>
  <c r="O47" i="2"/>
  <c r="P47" i="2" s="1"/>
  <c r="P48" i="2" s="1"/>
  <c r="P49" i="2" s="1"/>
  <c r="P50" i="2" s="1"/>
  <c r="P51" i="2" s="1"/>
  <c r="P52" i="2" s="1"/>
  <c r="P53" i="2" s="1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P22" i="2" s="1"/>
  <c r="P23" i="2" s="1"/>
  <c r="P24" i="2" s="1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Z281" i="2" l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Z295" i="2" s="1"/>
  <c r="Z296" i="2" s="1"/>
  <c r="Z297" i="2" s="1"/>
  <c r="Z298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1" i="2" s="1"/>
  <c r="Z312" i="2" s="1"/>
  <c r="Z313" i="2" s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U145" i="2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55" i="2"/>
  <c r="V153" i="1"/>
  <c r="V151" i="1"/>
  <c r="V149" i="1"/>
  <c r="V64" i="1"/>
  <c r="V62" i="1"/>
  <c r="U66" i="1"/>
  <c r="U67" i="1" s="1"/>
  <c r="U68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V308" i="2" l="1"/>
  <c r="V310" i="2" s="1"/>
  <c r="V306" i="2"/>
  <c r="U56" i="2"/>
  <c r="V62" i="2" s="1"/>
  <c r="V151" i="2"/>
  <c r="V153" i="2"/>
  <c r="V149" i="2"/>
  <c r="AB147" i="1"/>
  <c r="AB58" i="1"/>
  <c r="AB187" i="1"/>
  <c r="AB237" i="1"/>
  <c r="AB258" i="1"/>
  <c r="AB282" i="1"/>
  <c r="AB302" i="1"/>
  <c r="V287" i="2" l="1"/>
  <c r="V289" i="2"/>
  <c r="V291" i="2" s="1"/>
  <c r="V189" i="2"/>
  <c r="V195" i="2"/>
  <c r="V191" i="2"/>
  <c r="V64" i="2"/>
  <c r="Z184" i="1"/>
  <c r="Z146" i="1"/>
  <c r="Z147" i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45" i="1"/>
  <c r="Z144" i="1"/>
  <c r="Y57" i="1"/>
  <c r="Y58" i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56" i="1"/>
  <c r="Y55" i="1"/>
  <c r="R236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62" i="1"/>
  <c r="T56" i="1"/>
  <c r="T57" i="1"/>
  <c r="T58" i="1"/>
  <c r="T59" i="1"/>
  <c r="T60" i="1"/>
  <c r="T61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55" i="1"/>
  <c r="V244" i="2" l="1"/>
  <c r="V246" i="2" s="1"/>
  <c r="V242" i="2"/>
  <c r="V240" i="2"/>
  <c r="Z185" i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5" i="1" s="1"/>
  <c r="Z280" i="1" s="1"/>
  <c r="Z300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P66" i="1"/>
  <c r="P6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2" i="1" s="1"/>
  <c r="P273" i="1" s="1"/>
  <c r="P274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5" i="1" s="1"/>
  <c r="P296" i="1" s="1"/>
  <c r="P297" i="1" s="1"/>
  <c r="P298" i="1" s="1"/>
  <c r="P299" i="1" s="1"/>
  <c r="P300" i="1" s="1"/>
  <c r="P301" i="1" s="1"/>
  <c r="P302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23" i="1"/>
  <c r="P24" i="1" s="1"/>
  <c r="P47" i="1" s="1"/>
  <c r="P48" i="1" s="1"/>
  <c r="P49" i="1" s="1"/>
  <c r="P50" i="1" s="1"/>
  <c r="P51" i="1" s="1"/>
  <c r="P52" i="1" s="1"/>
  <c r="P53" i="1" s="1"/>
  <c r="P22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55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3" i="1"/>
  <c r="S56" i="1"/>
  <c r="S57" i="1"/>
  <c r="S58" i="1"/>
  <c r="S59" i="1"/>
  <c r="S60" i="1"/>
  <c r="S61" i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T184" i="1" s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55" i="1"/>
  <c r="L62" i="1"/>
  <c r="L60" i="1"/>
  <c r="L58" i="1"/>
  <c r="L151" i="1"/>
  <c r="L149" i="1"/>
  <c r="L147" i="1"/>
  <c r="K146" i="1"/>
  <c r="K147" i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7" i="1" s="1"/>
  <c r="K178" i="1" s="1"/>
  <c r="K179" i="1" s="1"/>
  <c r="K180" i="1" s="1"/>
  <c r="K181" i="1" s="1"/>
  <c r="K183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5" i="1" s="1"/>
  <c r="K145" i="1"/>
  <c r="K144" i="1"/>
  <c r="K256" i="1"/>
  <c r="K280" i="1" s="1"/>
  <c r="J57" i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7" i="1" s="1"/>
  <c r="J178" i="1" s="1"/>
  <c r="J179" i="1" s="1"/>
  <c r="J180" i="1" s="1"/>
  <c r="J181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56" i="1"/>
  <c r="J55" i="1"/>
  <c r="V265" i="2" l="1"/>
  <c r="V267" i="2" s="1"/>
  <c r="V263" i="2"/>
  <c r="V286" i="1" l="1"/>
  <c r="V288" i="1"/>
  <c r="V290" i="1" s="1"/>
  <c r="V191" i="1"/>
  <c r="V193" i="1"/>
  <c r="V195" i="1" s="1"/>
  <c r="V189" i="1"/>
  <c r="V306" i="1" l="1"/>
  <c r="V308" i="1"/>
  <c r="V310" i="1" s="1"/>
  <c r="V241" i="1"/>
  <c r="V239" i="1"/>
  <c r="V243" i="1"/>
  <c r="V245" i="1" s="1"/>
  <c r="V264" i="1" l="1"/>
  <c r="V266" i="1" s="1"/>
  <c r="V262" i="1"/>
</calcChain>
</file>

<file path=xl/sharedStrings.xml><?xml version="1.0" encoding="utf-8"?>
<sst xmlns="http://schemas.openxmlformats.org/spreadsheetml/2006/main" count="310" uniqueCount="68">
  <si>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</si>
  <si>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</si>
  <si>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</si>
  <si>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</si>
  <si>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</si>
  <si>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</si>
  <si>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</si>
  <si>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</si>
  <si>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</si>
  <si>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</si>
  <si>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Vernalisation</t>
  </si>
  <si>
    <t>Période</t>
  </si>
  <si>
    <t>GDD_Cumul</t>
  </si>
  <si>
    <t>GDD/période</t>
  </si>
  <si>
    <t>Indicateurs</t>
  </si>
  <si>
    <t>EAU</t>
  </si>
  <si>
    <t>BILAN HYDRIQUE</t>
  </si>
  <si>
    <t>P-ETP</t>
  </si>
  <si>
    <t>RU_avant_semis</t>
  </si>
  <si>
    <t>i</t>
  </si>
  <si>
    <t>kc</t>
  </si>
  <si>
    <t>ETM</t>
  </si>
  <si>
    <t>P-ETM</t>
  </si>
  <si>
    <t>WSCi</t>
  </si>
  <si>
    <t>indicateur</t>
  </si>
  <si>
    <t>QTP</t>
  </si>
  <si>
    <t>SSI_Cumul</t>
  </si>
  <si>
    <t>SSI/période</t>
  </si>
  <si>
    <t>photopériode</t>
  </si>
  <si>
    <t>Indicateur</t>
  </si>
  <si>
    <t>SOLAIRE</t>
  </si>
  <si>
    <t>TEMPERATURE</t>
  </si>
  <si>
    <t>SEMIS</t>
  </si>
  <si>
    <t>RECOLTE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</si>
  <si>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</si>
  <si>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</si>
  <si>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</si>
  <si>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</si>
  <si>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</si>
  <si>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</si>
  <si>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</si>
  <si>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</si>
  <si>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</si>
  <si>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</si>
  <si>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</si>
  <si>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</si>
  <si>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</si>
  <si>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</si>
  <si>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</si>
  <si>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Levée</t>
  </si>
  <si>
    <t>Fin Floraison</t>
  </si>
  <si>
    <t>FLOWERING</t>
  </si>
  <si>
    <t>P300</t>
  </si>
  <si>
    <t>P600</t>
  </si>
  <si>
    <t>P1000</t>
  </si>
  <si>
    <t>hiver</t>
  </si>
  <si>
    <t>fin hiver</t>
  </si>
  <si>
    <t>BOLTING</t>
  </si>
  <si>
    <t>CLIMATIC WINTER</t>
  </si>
  <si>
    <t>FALL</t>
  </si>
  <si>
    <t>NBD_VERN_OPTI</t>
  </si>
  <si>
    <t>Fin de Floraison</t>
  </si>
  <si>
    <t>N60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</si>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</sst>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5FC9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14" fontId="0" fillId="0" borderId="0" xfId="0" applyNumberForma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Fill="1" applyBorder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0" borderId="1" xfId="0" applyFont="1" applyBorder="1"/>
    <xf numFmtId="0" fontId="1" fillId="4" borderId="0" xfId="0" applyFont="1" applyFill="1"/>
    <xf numFmtId="0" fontId="1" fillId="5" borderId="0" xfId="0" applyFont="1" applyFill="1"/>
    <xf numFmtId="0" fontId="0" fillId="6" borderId="0" xfId="0" applyFill="1"/>
    <xf numFmtId="0" fontId="1" fillId="7" borderId="1" xfId="0" applyFont="1" applyFill="1" applyBorder="1"/>
    <xf numFmtId="0" fontId="1" fillId="8" borderId="1" xfId="0" applyFont="1" applyFill="1" applyBorder="1"/>
    <xf numFmtId="0" fontId="0" fillId="0" borderId="1" xfId="0" applyFill="1" applyBorder="1"/>
    <xf numFmtId="0" fontId="1" fillId="9" borderId="1" xfId="0" applyFont="1" applyFill="1" applyBorder="1"/>
    <xf numFmtId="0" fontId="1" fillId="5" borderId="1" xfId="0" applyFont="1" applyFill="1" applyBorder="1"/>
    <xf numFmtId="2" fontId="0" fillId="0" borderId="1" xfId="0" applyNumberFormat="1" applyBorder="1"/>
    <xf numFmtId="0" fontId="1" fillId="10" borderId="1" xfId="0" applyFont="1" applyFill="1" applyBorder="1"/>
    <xf numFmtId="0" fontId="1" fillId="11" borderId="1" xfId="0" applyFont="1" applyFill="1" applyBorder="1"/>
    <xf numFmtId="2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/>
    <xf numFmtId="0" fontId="1" fillId="0" borderId="3" xfId="0" applyFont="1" applyBorder="1"/>
    <xf numFmtId="2" fontId="1" fillId="0" borderId="2" xfId="0" applyNumberFormat="1" applyFont="1" applyBorder="1"/>
    <xf numFmtId="0" fontId="1" fillId="11" borderId="0" xfId="0" applyFont="1" applyFill="1"/>
    <xf numFmtId="0" fontId="1" fillId="10" borderId="0" xfId="0" applyFont="1" applyFill="1"/>
    <xf numFmtId="0" fontId="1" fillId="9" borderId="0" xfId="0" applyFont="1" applyFill="1"/>
    <xf numFmtId="0" fontId="1" fillId="8" borderId="0" xfId="0" applyFont="1" applyFill="1"/>
    <xf numFmtId="0" fontId="1" fillId="7" borderId="0" xfId="0" applyFont="1" applyFill="1"/>
    <xf numFmtId="0" fontId="0" fillId="12" borderId="0" xfId="0" applyFill="1"/>
    <xf numFmtId="0" fontId="1" fillId="12" borderId="2" xfId="0" applyFont="1" applyFill="1" applyBorder="1"/>
    <xf numFmtId="0" fontId="0" fillId="0" borderId="0" xfId="0" applyFont="1" applyBorder="1"/>
    <xf numFmtId="14" fontId="0" fillId="0" borderId="0" xfId="0" applyNumberFormat="1" applyFont="1" applyBorder="1"/>
    <xf numFmtId="2" fontId="0" fillId="0" borderId="0" xfId="0" applyNumberFormat="1" applyFont="1" applyBorder="1"/>
    <xf numFmtId="0" fontId="2" fillId="3" borderId="0" xfId="0" applyFont="1" applyFill="1" applyAlignment="1">
      <alignment horizontal="center"/>
    </xf>
    <xf numFmtId="0" fontId="1" fillId="11" borderId="1" xfId="0" applyFont="1" applyFill="1" applyBorder="1" applyAlignment="1">
      <alignment horizontal="center" vertical="center" textRotation="255"/>
    </xf>
    <xf numFmtId="0" fontId="1" fillId="4" borderId="1" xfId="0" applyFont="1" applyFill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/>
    </xf>
    <xf numFmtId="0" fontId="1" fillId="10" borderId="1" xfId="0" applyFont="1" applyFill="1" applyBorder="1" applyAlignment="1">
      <alignment horizontal="center" vertical="center" textRotation="255" wrapText="1"/>
    </xf>
    <xf numFmtId="0" fontId="1" fillId="5" borderId="0" xfId="0" applyFont="1" applyFill="1" applyAlignment="1">
      <alignment horizontal="center" vertical="center" textRotation="255"/>
    </xf>
    <xf numFmtId="0" fontId="1" fillId="9" borderId="1" xfId="0" applyFont="1" applyFill="1" applyBorder="1" applyAlignment="1">
      <alignment horizontal="center" vertical="center" textRotation="255"/>
    </xf>
    <xf numFmtId="0" fontId="1" fillId="8" borderId="1" xfId="0" applyFont="1" applyFill="1" applyBorder="1" applyAlignment="1">
      <alignment horizontal="center" vertical="center" textRotation="255"/>
    </xf>
    <xf numFmtId="0" fontId="1" fillId="8" borderId="3" xfId="0" applyFont="1" applyFill="1" applyBorder="1" applyAlignment="1">
      <alignment horizontal="center" vertical="center" textRotation="255"/>
    </xf>
    <xf numFmtId="0" fontId="1" fillId="7" borderId="4" xfId="0" applyFont="1" applyFill="1" applyBorder="1" applyAlignment="1">
      <alignment horizontal="center" vertical="center" textRotation="255"/>
    </xf>
    <xf numFmtId="0" fontId="1" fillId="7" borderId="1" xfId="0" applyFont="1" applyFill="1" applyBorder="1" applyAlignment="1">
      <alignment horizontal="center" vertical="center" textRotation="255"/>
    </xf>
    <xf numFmtId="0" fontId="2" fillId="2" borderId="0" xfId="0" applyFont="1" applyFill="1" applyAlignment="1">
      <alignment horizontal="center"/>
    </xf>
    <xf numFmtId="0" fontId="1" fillId="11" borderId="3" xfId="0" applyFont="1" applyFill="1" applyBorder="1" applyAlignment="1">
      <alignment horizontal="center" vertical="center" textRotation="255"/>
    </xf>
    <xf numFmtId="0" fontId="1" fillId="4" borderId="3" xfId="0" applyFont="1" applyFill="1" applyBorder="1" applyAlignment="1">
      <alignment horizontal="center" vertical="center" textRotation="255"/>
    </xf>
    <xf numFmtId="0" fontId="1" fillId="10" borderId="3" xfId="0" applyFont="1" applyFill="1" applyBorder="1" applyAlignment="1">
      <alignment horizontal="center" vertical="center" textRotation="255" wrapText="1"/>
    </xf>
    <xf numFmtId="0" fontId="1" fillId="5" borderId="5" xfId="0" applyFont="1" applyFill="1" applyBorder="1" applyAlignment="1">
      <alignment horizontal="center" vertical="center" textRotation="255"/>
    </xf>
    <xf numFmtId="0" fontId="1" fillId="5" borderId="0" xfId="0" applyFont="1" applyFill="1" applyBorder="1" applyAlignment="1">
      <alignment horizontal="center" vertical="center" textRotation="255"/>
    </xf>
    <xf numFmtId="0" fontId="1" fillId="5" borderId="2" xfId="0" applyFont="1" applyFill="1" applyBorder="1" applyAlignment="1">
      <alignment horizontal="center" vertical="center" textRotation="255"/>
    </xf>
    <xf numFmtId="0" fontId="1" fillId="9" borderId="4" xfId="0" applyFont="1" applyFill="1" applyBorder="1" applyAlignment="1">
      <alignment horizontal="center" vertical="center" textRotation="255"/>
    </xf>
    <xf numFmtId="0" fontId="1" fillId="9" borderId="3" xfId="0" applyFont="1" applyFill="1" applyBorder="1" applyAlignment="1">
      <alignment horizontal="center" vertical="center" textRotation="255"/>
    </xf>
    <xf numFmtId="0" fontId="0" fillId="13" borderId="0" xfId="0" applyFill="1"/>
    <xf numFmtId="14" fontId="0" fillId="13" borderId="0" xfId="0" applyNumberFormat="1" applyFill="1"/>
    <xf numFmtId="0" fontId="0" fillId="13" borderId="1" xfId="0" applyFill="1" applyBorder="1"/>
    <xf numFmtId="2" fontId="0" fillId="13" borderId="0" xfId="0" applyNumberFormat="1" applyFill="1"/>
    <xf numFmtId="0" fontId="1" fillId="13" borderId="0" xfId="0" applyFont="1" applyFill="1"/>
    <xf numFmtId="0" fontId="0" fillId="14" borderId="0" xfId="0" applyFill="1"/>
    <xf numFmtId="2" fontId="0" fillId="14" borderId="0" xfId="0" applyNumberFormat="1" applyFill="1"/>
  </cellXfs>
  <cellStyles count="1">
    <cellStyle name="Normal" xfId="0" builtinId="0"/>
  </cellStyles>
  <dxfs count="42"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1"/>
  <sheetViews>
    <sheetView zoomScale="70" zoomScaleNormal="70" workbookViewId="0">
      <pane xSplit="6" ySplit="2" topLeftCell="G273" activePane="bottomRight" state="frozen"/>
      <selection pane="topRight" activeCell="G1" sqref="G1"/>
      <selection pane="bottomLeft" activeCell="A3" sqref="A3"/>
      <selection pane="bottomRight" activeCell="S311" sqref="S311"/>
    </sheetView>
  </sheetViews>
  <sheetFormatPr baseColWidth="10" defaultRowHeight="15" x14ac:dyDescent="0.25"/>
  <cols>
    <col min="12" max="12" width="11.42578125" style="8"/>
    <col min="22" max="22" width="11.42578125" style="8"/>
  </cols>
  <sheetData>
    <row r="1" spans="1:28" x14ac:dyDescent="0.25">
      <c r="G1" s="42" t="s">
        <v>31</v>
      </c>
      <c r="H1" s="42"/>
      <c r="I1" s="42"/>
      <c r="J1" s="42"/>
      <c r="K1" s="42"/>
      <c r="L1" s="42"/>
      <c r="M1" s="42" t="s">
        <v>15</v>
      </c>
      <c r="N1" s="42"/>
      <c r="O1" s="42"/>
      <c r="P1" s="42"/>
      <c r="Q1" s="42" t="s">
        <v>16</v>
      </c>
      <c r="R1" s="42"/>
      <c r="S1" s="42"/>
      <c r="T1" s="42"/>
      <c r="U1" s="42"/>
      <c r="W1" s="42" t="s">
        <v>30</v>
      </c>
      <c r="X1" s="42"/>
      <c r="Y1" s="42"/>
      <c r="Z1" s="42"/>
      <c r="AA1" s="42"/>
      <c r="AB1" s="42"/>
    </row>
    <row r="2" spans="1:28" x14ac:dyDescent="0.25">
      <c r="A2" s="5" t="s">
        <v>0</v>
      </c>
      <c r="B2" s="5" t="s">
        <v>1</v>
      </c>
      <c r="C2" s="5" t="s">
        <v>2</v>
      </c>
      <c r="D2" s="5" t="s">
        <v>9</v>
      </c>
      <c r="E2" s="5" t="s">
        <v>10</v>
      </c>
      <c r="F2" s="5" t="s">
        <v>11</v>
      </c>
      <c r="G2" s="5" t="s">
        <v>4</v>
      </c>
      <c r="H2" s="5" t="s">
        <v>7</v>
      </c>
      <c r="I2" s="5" t="s">
        <v>8</v>
      </c>
      <c r="J2" s="2" t="s">
        <v>12</v>
      </c>
      <c r="K2" s="2" t="s">
        <v>13</v>
      </c>
      <c r="L2" s="3" t="s">
        <v>14</v>
      </c>
      <c r="M2" s="2" t="s">
        <v>3</v>
      </c>
      <c r="N2" s="2" t="s">
        <v>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3" t="s">
        <v>24</v>
      </c>
      <c r="W2" s="2" t="s">
        <v>5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</row>
    <row r="3" spans="1:28" x14ac:dyDescent="0.25">
      <c r="A3">
        <v>5080</v>
      </c>
      <c r="B3">
        <v>18650</v>
      </c>
      <c r="C3" s="1">
        <v>42582</v>
      </c>
      <c r="G3">
        <v>20</v>
      </c>
      <c r="H3">
        <v>18.600000000000001</v>
      </c>
      <c r="I3">
        <v>21.8</v>
      </c>
      <c r="M3">
        <v>0.9</v>
      </c>
      <c r="N3">
        <v>2.6</v>
      </c>
      <c r="O3">
        <f>M3-N3</f>
        <v>-1.7000000000000002</v>
      </c>
      <c r="P3">
        <v>0</v>
      </c>
      <c r="W3">
        <v>789.6</v>
      </c>
    </row>
    <row r="4" spans="1:28" x14ac:dyDescent="0.25">
      <c r="A4">
        <v>5080</v>
      </c>
      <c r="B4">
        <v>18650</v>
      </c>
      <c r="C4" s="1">
        <v>42583</v>
      </c>
      <c r="G4">
        <v>20.9</v>
      </c>
      <c r="H4">
        <v>16.7</v>
      </c>
      <c r="I4">
        <v>25.1</v>
      </c>
      <c r="M4">
        <v>0</v>
      </c>
      <c r="N4">
        <v>3.5</v>
      </c>
      <c r="O4">
        <f t="shared" ref="O4:O53" si="0">M4-N4</f>
        <v>-3.5</v>
      </c>
      <c r="P4">
        <v>0</v>
      </c>
      <c r="W4">
        <v>1367.9</v>
      </c>
    </row>
    <row r="5" spans="1:28" x14ac:dyDescent="0.25">
      <c r="A5">
        <v>5080</v>
      </c>
      <c r="B5">
        <v>18650</v>
      </c>
      <c r="C5" s="1">
        <v>42584</v>
      </c>
      <c r="G5">
        <v>21.6</v>
      </c>
      <c r="H5">
        <v>16.2</v>
      </c>
      <c r="I5">
        <v>26.4</v>
      </c>
      <c r="M5">
        <v>0</v>
      </c>
      <c r="N5">
        <v>6.2</v>
      </c>
      <c r="O5">
        <f t="shared" si="0"/>
        <v>-6.2</v>
      </c>
      <c r="P5">
        <v>0</v>
      </c>
      <c r="W5">
        <v>2902.9</v>
      </c>
    </row>
    <row r="6" spans="1:28" x14ac:dyDescent="0.25">
      <c r="A6">
        <v>5080</v>
      </c>
      <c r="B6">
        <v>18650</v>
      </c>
      <c r="C6" s="1">
        <v>42585</v>
      </c>
      <c r="G6">
        <v>24.3</v>
      </c>
      <c r="H6">
        <v>17.600000000000001</v>
      </c>
      <c r="I6">
        <v>30.4</v>
      </c>
      <c r="M6">
        <v>0</v>
      </c>
      <c r="N6">
        <v>6.2</v>
      </c>
      <c r="O6">
        <f t="shared" si="0"/>
        <v>-6.2</v>
      </c>
      <c r="P6">
        <v>0</v>
      </c>
      <c r="W6">
        <v>2524.6</v>
      </c>
    </row>
    <row r="7" spans="1:28" x14ac:dyDescent="0.25">
      <c r="A7">
        <v>5080</v>
      </c>
      <c r="B7">
        <v>18650</v>
      </c>
      <c r="C7" s="1">
        <v>42586</v>
      </c>
      <c r="G7">
        <v>21.1</v>
      </c>
      <c r="H7">
        <v>18.7</v>
      </c>
      <c r="I7">
        <v>24.8</v>
      </c>
      <c r="M7">
        <v>1.8</v>
      </c>
      <c r="N7">
        <v>5</v>
      </c>
      <c r="O7">
        <f t="shared" si="0"/>
        <v>-3.2</v>
      </c>
      <c r="P7">
        <v>0</v>
      </c>
      <c r="W7">
        <v>2147.8000000000002</v>
      </c>
    </row>
    <row r="8" spans="1:28" x14ac:dyDescent="0.25">
      <c r="A8">
        <v>5080</v>
      </c>
      <c r="B8">
        <v>18650</v>
      </c>
      <c r="C8" s="1">
        <v>42587</v>
      </c>
      <c r="G8">
        <v>20.5</v>
      </c>
      <c r="H8">
        <v>16.2</v>
      </c>
      <c r="I8">
        <v>24.3</v>
      </c>
      <c r="M8">
        <v>0</v>
      </c>
      <c r="N8">
        <v>4.8</v>
      </c>
      <c r="O8">
        <f t="shared" si="0"/>
        <v>-4.8</v>
      </c>
      <c r="P8">
        <v>0</v>
      </c>
      <c r="W8">
        <v>1940</v>
      </c>
    </row>
    <row r="9" spans="1:28" x14ac:dyDescent="0.25">
      <c r="A9">
        <v>5080</v>
      </c>
      <c r="B9">
        <v>18650</v>
      </c>
      <c r="C9" s="1">
        <v>42588</v>
      </c>
      <c r="G9">
        <v>21.9</v>
      </c>
      <c r="H9">
        <v>16.399999999999999</v>
      </c>
      <c r="I9">
        <v>26.3</v>
      </c>
      <c r="M9">
        <v>0</v>
      </c>
      <c r="N9">
        <v>6</v>
      </c>
      <c r="O9">
        <f t="shared" si="0"/>
        <v>-6</v>
      </c>
      <c r="P9">
        <v>0</v>
      </c>
      <c r="W9">
        <v>2460.8000000000002</v>
      </c>
    </row>
    <row r="10" spans="1:28" x14ac:dyDescent="0.25">
      <c r="A10">
        <v>5080</v>
      </c>
      <c r="B10">
        <v>18650</v>
      </c>
      <c r="C10" s="1">
        <v>42589</v>
      </c>
      <c r="G10">
        <v>23.6</v>
      </c>
      <c r="H10">
        <v>17.5</v>
      </c>
      <c r="I10">
        <v>28.9</v>
      </c>
      <c r="M10">
        <v>0</v>
      </c>
      <c r="N10">
        <v>7.1</v>
      </c>
      <c r="O10">
        <f t="shared" si="0"/>
        <v>-7.1</v>
      </c>
      <c r="P10">
        <v>0</v>
      </c>
      <c r="W10">
        <v>2933.3</v>
      </c>
    </row>
    <row r="11" spans="1:28" x14ac:dyDescent="0.25">
      <c r="A11">
        <v>5080</v>
      </c>
      <c r="B11">
        <v>18650</v>
      </c>
      <c r="C11" s="1">
        <v>42590</v>
      </c>
      <c r="G11">
        <v>24.8</v>
      </c>
      <c r="H11">
        <v>19.7</v>
      </c>
      <c r="I11">
        <v>29.9</v>
      </c>
      <c r="M11">
        <v>0.2</v>
      </c>
      <c r="N11">
        <v>7.3</v>
      </c>
      <c r="O11">
        <f t="shared" si="0"/>
        <v>-7.1</v>
      </c>
      <c r="P11">
        <v>0</v>
      </c>
      <c r="W11">
        <v>2908.8</v>
      </c>
    </row>
    <row r="12" spans="1:28" x14ac:dyDescent="0.25">
      <c r="A12">
        <v>5080</v>
      </c>
      <c r="B12">
        <v>18650</v>
      </c>
      <c r="C12" s="1">
        <v>42591</v>
      </c>
      <c r="G12">
        <v>20.399999999999999</v>
      </c>
      <c r="H12">
        <v>17.399999999999999</v>
      </c>
      <c r="I12">
        <v>23.9</v>
      </c>
      <c r="M12">
        <v>0</v>
      </c>
      <c r="N12">
        <v>2.6</v>
      </c>
      <c r="O12">
        <f t="shared" si="0"/>
        <v>-2.6</v>
      </c>
      <c r="P12">
        <v>0</v>
      </c>
      <c r="W12">
        <v>898.9</v>
      </c>
    </row>
    <row r="13" spans="1:28" x14ac:dyDescent="0.25">
      <c r="A13">
        <v>5080</v>
      </c>
      <c r="B13">
        <v>18650</v>
      </c>
      <c r="C13" s="1">
        <v>42592</v>
      </c>
      <c r="G13">
        <v>19.3</v>
      </c>
      <c r="H13">
        <v>14.3</v>
      </c>
      <c r="I13">
        <v>23.4</v>
      </c>
      <c r="M13">
        <v>0</v>
      </c>
      <c r="N13">
        <v>6</v>
      </c>
      <c r="O13">
        <f t="shared" si="0"/>
        <v>-6</v>
      </c>
      <c r="P13">
        <v>0</v>
      </c>
      <c r="W13">
        <v>2427.8000000000002</v>
      </c>
    </row>
    <row r="14" spans="1:28" x14ac:dyDescent="0.25">
      <c r="A14">
        <v>5080</v>
      </c>
      <c r="B14">
        <v>18650</v>
      </c>
      <c r="C14" s="1">
        <v>42593</v>
      </c>
      <c r="G14">
        <v>19.100000000000001</v>
      </c>
      <c r="H14">
        <v>13.6</v>
      </c>
      <c r="I14">
        <v>23.3</v>
      </c>
      <c r="M14">
        <v>0</v>
      </c>
      <c r="N14">
        <v>6</v>
      </c>
      <c r="O14">
        <f t="shared" si="0"/>
        <v>-6</v>
      </c>
      <c r="P14">
        <v>0</v>
      </c>
      <c r="W14">
        <v>2420.1</v>
      </c>
    </row>
    <row r="15" spans="1:28" x14ac:dyDescent="0.25">
      <c r="A15">
        <v>5080</v>
      </c>
      <c r="B15">
        <v>18650</v>
      </c>
      <c r="C15" s="1">
        <v>42594</v>
      </c>
      <c r="G15">
        <v>22</v>
      </c>
      <c r="H15">
        <v>14.6</v>
      </c>
      <c r="I15">
        <v>28.4</v>
      </c>
      <c r="M15">
        <v>0</v>
      </c>
      <c r="N15">
        <v>5.8</v>
      </c>
      <c r="O15">
        <f t="shared" si="0"/>
        <v>-5.8</v>
      </c>
      <c r="P15">
        <v>0</v>
      </c>
      <c r="W15">
        <v>2447.6</v>
      </c>
    </row>
    <row r="16" spans="1:28" x14ac:dyDescent="0.25">
      <c r="A16">
        <v>5080</v>
      </c>
      <c r="B16">
        <v>18650</v>
      </c>
      <c r="C16" s="1">
        <v>42595</v>
      </c>
      <c r="G16">
        <v>24.9</v>
      </c>
      <c r="H16">
        <v>17.7</v>
      </c>
      <c r="I16">
        <v>31</v>
      </c>
      <c r="M16">
        <v>0</v>
      </c>
      <c r="N16">
        <v>7.8</v>
      </c>
      <c r="O16">
        <f t="shared" si="0"/>
        <v>-7.8</v>
      </c>
      <c r="P16">
        <v>0</v>
      </c>
      <c r="W16">
        <v>2726.4</v>
      </c>
    </row>
    <row r="17" spans="1:23" x14ac:dyDescent="0.25">
      <c r="A17">
        <v>5080</v>
      </c>
      <c r="B17">
        <v>18650</v>
      </c>
      <c r="C17" s="1">
        <v>42596</v>
      </c>
      <c r="G17">
        <v>24.6</v>
      </c>
      <c r="H17">
        <v>17.399999999999999</v>
      </c>
      <c r="I17">
        <v>31.3</v>
      </c>
      <c r="M17">
        <v>0</v>
      </c>
      <c r="N17">
        <v>7.5</v>
      </c>
      <c r="O17">
        <f t="shared" si="0"/>
        <v>-7.5</v>
      </c>
      <c r="P17">
        <v>0</v>
      </c>
      <c r="W17">
        <v>2841.7</v>
      </c>
    </row>
    <row r="18" spans="1:23" x14ac:dyDescent="0.25">
      <c r="A18">
        <v>5080</v>
      </c>
      <c r="B18">
        <v>18650</v>
      </c>
      <c r="C18" s="1">
        <v>42597</v>
      </c>
      <c r="G18">
        <v>24.9</v>
      </c>
      <c r="H18">
        <v>19.2</v>
      </c>
      <c r="I18">
        <v>31.4</v>
      </c>
      <c r="M18">
        <v>0</v>
      </c>
      <c r="N18">
        <v>7</v>
      </c>
      <c r="O18">
        <f t="shared" si="0"/>
        <v>-7</v>
      </c>
      <c r="P18">
        <v>0</v>
      </c>
      <c r="W18">
        <v>2656.9</v>
      </c>
    </row>
    <row r="19" spans="1:23" x14ac:dyDescent="0.25">
      <c r="A19">
        <v>5080</v>
      </c>
      <c r="B19">
        <v>18650</v>
      </c>
      <c r="C19" s="1">
        <v>42598</v>
      </c>
      <c r="G19">
        <v>27.1</v>
      </c>
      <c r="H19">
        <v>20.5</v>
      </c>
      <c r="I19">
        <v>33</v>
      </c>
      <c r="M19">
        <v>0</v>
      </c>
      <c r="N19">
        <v>5.0999999999999996</v>
      </c>
      <c r="O19">
        <f t="shared" si="0"/>
        <v>-5.0999999999999996</v>
      </c>
      <c r="P19">
        <v>0</v>
      </c>
      <c r="W19">
        <v>1848.5</v>
      </c>
    </row>
    <row r="20" spans="1:23" x14ac:dyDescent="0.25">
      <c r="A20">
        <v>5080</v>
      </c>
      <c r="B20">
        <v>18650</v>
      </c>
      <c r="C20" s="1">
        <v>42599</v>
      </c>
      <c r="G20">
        <v>23.9</v>
      </c>
      <c r="H20">
        <v>20.8</v>
      </c>
      <c r="I20">
        <v>26</v>
      </c>
      <c r="M20">
        <v>0</v>
      </c>
      <c r="N20">
        <v>4.0999999999999996</v>
      </c>
      <c r="O20">
        <f t="shared" si="0"/>
        <v>-4.0999999999999996</v>
      </c>
      <c r="P20">
        <v>0</v>
      </c>
      <c r="W20">
        <v>1490.2</v>
      </c>
    </row>
    <row r="21" spans="1:23" x14ac:dyDescent="0.25">
      <c r="A21">
        <v>5080</v>
      </c>
      <c r="B21">
        <v>18650</v>
      </c>
      <c r="C21" s="1">
        <v>42600</v>
      </c>
      <c r="G21">
        <v>21.7</v>
      </c>
      <c r="H21">
        <v>20.3</v>
      </c>
      <c r="I21">
        <v>24.1</v>
      </c>
      <c r="M21">
        <v>0</v>
      </c>
      <c r="N21">
        <v>3.3</v>
      </c>
      <c r="O21">
        <f t="shared" si="0"/>
        <v>-3.3</v>
      </c>
      <c r="P21">
        <v>0</v>
      </c>
      <c r="W21">
        <v>1327.3</v>
      </c>
    </row>
    <row r="22" spans="1:23" x14ac:dyDescent="0.25">
      <c r="A22">
        <v>5080</v>
      </c>
      <c r="B22">
        <v>18650</v>
      </c>
      <c r="C22" s="1">
        <v>42601</v>
      </c>
      <c r="G22">
        <v>23.9</v>
      </c>
      <c r="H22">
        <v>16.399999999999999</v>
      </c>
      <c r="I22">
        <v>30.6</v>
      </c>
      <c r="M22">
        <v>9.1999999999999993</v>
      </c>
      <c r="N22">
        <v>4.5999999999999996</v>
      </c>
      <c r="O22">
        <f t="shared" si="0"/>
        <v>4.5999999999999996</v>
      </c>
      <c r="P22">
        <f>P21+O22</f>
        <v>4.5999999999999996</v>
      </c>
      <c r="W22">
        <v>1901.2</v>
      </c>
    </row>
    <row r="23" spans="1:23" x14ac:dyDescent="0.25">
      <c r="A23">
        <v>5080</v>
      </c>
      <c r="B23">
        <v>18650</v>
      </c>
      <c r="C23" s="1">
        <v>42602</v>
      </c>
      <c r="G23">
        <v>18.3</v>
      </c>
      <c r="H23">
        <v>16.8</v>
      </c>
      <c r="I23">
        <v>19.899999999999999</v>
      </c>
      <c r="M23">
        <v>5.5</v>
      </c>
      <c r="N23">
        <v>1.7</v>
      </c>
      <c r="O23">
        <f t="shared" si="0"/>
        <v>3.8</v>
      </c>
      <c r="P23">
        <f t="shared" ref="P23:P53" si="1">P22+O23</f>
        <v>8.3999999999999986</v>
      </c>
      <c r="W23">
        <v>666</v>
      </c>
    </row>
    <row r="24" spans="1:23" x14ac:dyDescent="0.25">
      <c r="A24">
        <v>5080</v>
      </c>
      <c r="B24">
        <v>18650</v>
      </c>
      <c r="C24" s="1">
        <v>42603</v>
      </c>
      <c r="G24">
        <v>19.899999999999999</v>
      </c>
      <c r="H24">
        <v>16.2</v>
      </c>
      <c r="I24">
        <v>23.9</v>
      </c>
      <c r="M24">
        <v>0</v>
      </c>
      <c r="N24">
        <v>4.3</v>
      </c>
      <c r="O24">
        <f t="shared" si="0"/>
        <v>-4.3</v>
      </c>
      <c r="P24">
        <f t="shared" si="1"/>
        <v>4.0999999999999988</v>
      </c>
      <c r="W24">
        <v>1914.6</v>
      </c>
    </row>
    <row r="25" spans="1:23" x14ac:dyDescent="0.25">
      <c r="A25">
        <v>5080</v>
      </c>
      <c r="B25">
        <v>18650</v>
      </c>
      <c r="C25" s="1">
        <v>42604</v>
      </c>
      <c r="G25">
        <v>22.1</v>
      </c>
      <c r="H25">
        <v>14.6</v>
      </c>
      <c r="I25">
        <v>28.9</v>
      </c>
      <c r="M25">
        <v>0</v>
      </c>
      <c r="N25">
        <v>6.6</v>
      </c>
      <c r="O25">
        <f t="shared" si="0"/>
        <v>-6.6</v>
      </c>
      <c r="P25">
        <v>0</v>
      </c>
      <c r="W25">
        <v>2551</v>
      </c>
    </row>
    <row r="26" spans="1:23" x14ac:dyDescent="0.25">
      <c r="A26">
        <v>5080</v>
      </c>
      <c r="B26">
        <v>18650</v>
      </c>
      <c r="C26" s="1">
        <v>42605</v>
      </c>
      <c r="G26">
        <v>24.6</v>
      </c>
      <c r="H26">
        <v>17.5</v>
      </c>
      <c r="I26">
        <v>30.9</v>
      </c>
      <c r="M26">
        <v>0</v>
      </c>
      <c r="N26">
        <v>8.1</v>
      </c>
      <c r="O26">
        <f t="shared" si="0"/>
        <v>-8.1</v>
      </c>
      <c r="P26">
        <v>0</v>
      </c>
      <c r="W26">
        <v>2633.7</v>
      </c>
    </row>
    <row r="27" spans="1:23" x14ac:dyDescent="0.25">
      <c r="A27">
        <v>5080</v>
      </c>
      <c r="B27">
        <v>18650</v>
      </c>
      <c r="C27" s="1">
        <v>42606</v>
      </c>
      <c r="G27">
        <v>24.9</v>
      </c>
      <c r="H27">
        <v>16.600000000000001</v>
      </c>
      <c r="I27">
        <v>31.4</v>
      </c>
      <c r="M27">
        <v>0</v>
      </c>
      <c r="N27">
        <v>7.1</v>
      </c>
      <c r="O27">
        <f t="shared" si="0"/>
        <v>-7.1</v>
      </c>
      <c r="P27">
        <v>0</v>
      </c>
      <c r="W27">
        <v>2568.3000000000002</v>
      </c>
    </row>
    <row r="28" spans="1:23" x14ac:dyDescent="0.25">
      <c r="A28">
        <v>5080</v>
      </c>
      <c r="B28">
        <v>18650</v>
      </c>
      <c r="C28" s="1">
        <v>42607</v>
      </c>
      <c r="G28">
        <v>25.7</v>
      </c>
      <c r="H28">
        <v>18.7</v>
      </c>
      <c r="I28">
        <v>32.5</v>
      </c>
      <c r="M28">
        <v>0</v>
      </c>
      <c r="N28">
        <v>8</v>
      </c>
      <c r="O28">
        <f t="shared" si="0"/>
        <v>-8</v>
      </c>
      <c r="P28">
        <v>0</v>
      </c>
      <c r="W28">
        <v>2515.8000000000002</v>
      </c>
    </row>
    <row r="29" spans="1:23" x14ac:dyDescent="0.25">
      <c r="A29">
        <v>5080</v>
      </c>
      <c r="B29">
        <v>18650</v>
      </c>
      <c r="C29" s="1">
        <v>42608</v>
      </c>
      <c r="G29">
        <v>24.8</v>
      </c>
      <c r="H29">
        <v>19.8</v>
      </c>
      <c r="I29">
        <v>31.7</v>
      </c>
      <c r="M29">
        <v>0</v>
      </c>
      <c r="N29">
        <v>5.9</v>
      </c>
      <c r="O29">
        <f t="shared" si="0"/>
        <v>-5.9</v>
      </c>
      <c r="P29">
        <v>0</v>
      </c>
      <c r="W29">
        <v>2371.1</v>
      </c>
    </row>
    <row r="30" spans="1:23" x14ac:dyDescent="0.25">
      <c r="A30">
        <v>5080</v>
      </c>
      <c r="B30">
        <v>18650</v>
      </c>
      <c r="C30" s="1">
        <v>42609</v>
      </c>
      <c r="G30">
        <v>25.5</v>
      </c>
      <c r="H30">
        <v>18.899999999999999</v>
      </c>
      <c r="I30">
        <v>31.8</v>
      </c>
      <c r="M30">
        <v>0.6</v>
      </c>
      <c r="N30">
        <v>6.5</v>
      </c>
      <c r="O30">
        <f t="shared" si="0"/>
        <v>-5.9</v>
      </c>
      <c r="P30">
        <v>0</v>
      </c>
      <c r="W30">
        <v>2017.4</v>
      </c>
    </row>
    <row r="31" spans="1:23" x14ac:dyDescent="0.25">
      <c r="A31">
        <v>5080</v>
      </c>
      <c r="B31">
        <v>18650</v>
      </c>
      <c r="C31" s="1">
        <v>42610</v>
      </c>
      <c r="G31">
        <v>23.2</v>
      </c>
      <c r="H31">
        <v>20.399999999999999</v>
      </c>
      <c r="I31">
        <v>26.2</v>
      </c>
      <c r="M31">
        <v>1.1000000000000001</v>
      </c>
      <c r="N31">
        <v>2.8</v>
      </c>
      <c r="O31">
        <f t="shared" si="0"/>
        <v>-1.6999999999999997</v>
      </c>
      <c r="P31">
        <v>0</v>
      </c>
      <c r="W31">
        <v>854.5</v>
      </c>
    </row>
    <row r="32" spans="1:23" x14ac:dyDescent="0.25">
      <c r="A32">
        <v>5080</v>
      </c>
      <c r="B32">
        <v>18650</v>
      </c>
      <c r="C32" s="1">
        <v>42611</v>
      </c>
      <c r="G32">
        <v>20.8</v>
      </c>
      <c r="H32">
        <v>19.100000000000001</v>
      </c>
      <c r="I32">
        <v>22.7</v>
      </c>
      <c r="M32">
        <v>0</v>
      </c>
      <c r="N32">
        <v>3.6</v>
      </c>
      <c r="O32">
        <f t="shared" si="0"/>
        <v>-3.6</v>
      </c>
      <c r="P32">
        <v>0</v>
      </c>
      <c r="W32">
        <v>1219.2</v>
      </c>
    </row>
    <row r="33" spans="1:27" x14ac:dyDescent="0.25">
      <c r="A33">
        <v>5080</v>
      </c>
      <c r="B33">
        <v>18650</v>
      </c>
      <c r="C33" s="1">
        <v>42612</v>
      </c>
      <c r="G33">
        <v>21.2</v>
      </c>
      <c r="H33">
        <v>15.3</v>
      </c>
      <c r="I33">
        <v>26.1</v>
      </c>
      <c r="M33">
        <v>0</v>
      </c>
      <c r="N33">
        <v>4.3</v>
      </c>
      <c r="O33">
        <f t="shared" si="0"/>
        <v>-4.3</v>
      </c>
      <c r="P33">
        <v>0</v>
      </c>
      <c r="W33">
        <v>1971.8</v>
      </c>
    </row>
    <row r="34" spans="1:27" x14ac:dyDescent="0.25">
      <c r="A34">
        <v>5080</v>
      </c>
      <c r="B34">
        <v>18650</v>
      </c>
      <c r="C34" s="1">
        <v>42613</v>
      </c>
      <c r="G34">
        <v>23</v>
      </c>
      <c r="H34">
        <v>14.9</v>
      </c>
      <c r="I34">
        <v>28.9</v>
      </c>
      <c r="M34">
        <v>0</v>
      </c>
      <c r="N34">
        <v>4.8</v>
      </c>
      <c r="O34">
        <f t="shared" si="0"/>
        <v>-4.8</v>
      </c>
      <c r="P34">
        <v>0</v>
      </c>
      <c r="W34">
        <v>2030.6</v>
      </c>
    </row>
    <row r="35" spans="1:27" x14ac:dyDescent="0.25">
      <c r="A35">
        <v>5080</v>
      </c>
      <c r="B35">
        <v>18650</v>
      </c>
      <c r="C35" s="1">
        <v>42614</v>
      </c>
      <c r="G35">
        <v>24.8</v>
      </c>
      <c r="H35">
        <v>19.8</v>
      </c>
      <c r="I35">
        <v>29.5</v>
      </c>
      <c r="M35">
        <v>0</v>
      </c>
      <c r="N35">
        <v>5.7</v>
      </c>
      <c r="O35">
        <f t="shared" si="0"/>
        <v>-5.7</v>
      </c>
      <c r="P35">
        <v>0</v>
      </c>
      <c r="W35">
        <v>1961.4</v>
      </c>
      <c r="AA35">
        <v>12.996906657565765</v>
      </c>
    </row>
    <row r="36" spans="1:27" x14ac:dyDescent="0.25">
      <c r="A36">
        <v>5080</v>
      </c>
      <c r="B36">
        <v>18650</v>
      </c>
      <c r="C36" s="1">
        <v>42615</v>
      </c>
      <c r="G36">
        <v>25</v>
      </c>
      <c r="H36">
        <v>17.399999999999999</v>
      </c>
      <c r="I36">
        <v>30.9</v>
      </c>
      <c r="M36">
        <v>0</v>
      </c>
      <c r="N36">
        <v>5.6</v>
      </c>
      <c r="O36">
        <f t="shared" si="0"/>
        <v>-5.6</v>
      </c>
      <c r="P36">
        <v>0</v>
      </c>
      <c r="W36">
        <v>2106.4</v>
      </c>
      <c r="AA36">
        <v>12.946750318192127</v>
      </c>
    </row>
    <row r="37" spans="1:27" x14ac:dyDescent="0.25">
      <c r="A37">
        <v>5080</v>
      </c>
      <c r="B37">
        <v>18650</v>
      </c>
      <c r="C37" s="1">
        <v>42616</v>
      </c>
      <c r="G37">
        <v>25</v>
      </c>
      <c r="H37">
        <v>18.3</v>
      </c>
      <c r="I37">
        <v>30.7</v>
      </c>
      <c r="M37">
        <v>0</v>
      </c>
      <c r="N37">
        <v>5.2</v>
      </c>
      <c r="O37">
        <f t="shared" si="0"/>
        <v>-5.2</v>
      </c>
      <c r="P37">
        <v>0</v>
      </c>
      <c r="W37">
        <v>2062.5</v>
      </c>
      <c r="AA37">
        <v>12.896436633618951</v>
      </c>
    </row>
    <row r="38" spans="1:27" x14ac:dyDescent="0.25">
      <c r="A38">
        <v>5080</v>
      </c>
      <c r="B38">
        <v>18650</v>
      </c>
      <c r="C38" s="1">
        <v>42617</v>
      </c>
      <c r="G38">
        <v>24.8</v>
      </c>
      <c r="H38">
        <v>20.7</v>
      </c>
      <c r="I38">
        <v>29.4</v>
      </c>
      <c r="M38">
        <v>0</v>
      </c>
      <c r="N38">
        <v>5.2</v>
      </c>
      <c r="O38">
        <f t="shared" si="0"/>
        <v>-5.2</v>
      </c>
      <c r="P38">
        <v>0</v>
      </c>
      <c r="W38">
        <v>1900.3</v>
      </c>
      <c r="AA38">
        <v>12.84597535330577</v>
      </c>
    </row>
    <row r="39" spans="1:27" x14ac:dyDescent="0.25">
      <c r="A39">
        <v>5080</v>
      </c>
      <c r="B39">
        <v>18650</v>
      </c>
      <c r="C39" s="1">
        <v>42618</v>
      </c>
      <c r="G39">
        <v>22.6</v>
      </c>
      <c r="H39">
        <v>19.2</v>
      </c>
      <c r="I39">
        <v>26.4</v>
      </c>
      <c r="M39">
        <v>0</v>
      </c>
      <c r="N39">
        <v>6</v>
      </c>
      <c r="O39">
        <f t="shared" si="0"/>
        <v>-6</v>
      </c>
      <c r="P39">
        <v>0</v>
      </c>
      <c r="W39">
        <v>2447.4</v>
      </c>
      <c r="AA39">
        <v>12.795376024117102</v>
      </c>
    </row>
    <row r="40" spans="1:27" x14ac:dyDescent="0.25">
      <c r="A40">
        <v>5080</v>
      </c>
      <c r="B40">
        <v>18650</v>
      </c>
      <c r="C40" s="1">
        <v>42619</v>
      </c>
      <c r="G40">
        <v>24.8</v>
      </c>
      <c r="H40">
        <v>18.7</v>
      </c>
      <c r="I40">
        <v>29.9</v>
      </c>
      <c r="M40">
        <v>0</v>
      </c>
      <c r="N40">
        <v>5.8</v>
      </c>
      <c r="O40">
        <f t="shared" si="0"/>
        <v>-5.8</v>
      </c>
      <c r="P40">
        <v>0</v>
      </c>
      <c r="W40">
        <v>2336</v>
      </c>
      <c r="AA40">
        <v>12.744648000475879</v>
      </c>
    </row>
    <row r="41" spans="1:27" x14ac:dyDescent="0.25">
      <c r="A41">
        <v>5080</v>
      </c>
      <c r="B41">
        <v>18650</v>
      </c>
      <c r="C41" s="1">
        <v>42620</v>
      </c>
      <c r="G41">
        <v>24.1</v>
      </c>
      <c r="H41">
        <v>18</v>
      </c>
      <c r="I41">
        <v>30.3</v>
      </c>
      <c r="M41">
        <v>0.8</v>
      </c>
      <c r="N41">
        <v>7</v>
      </c>
      <c r="O41">
        <f t="shared" si="0"/>
        <v>-6.2</v>
      </c>
      <c r="P41">
        <v>0</v>
      </c>
      <c r="W41">
        <v>2338.6</v>
      </c>
      <c r="AA41">
        <v>12.693800454790347</v>
      </c>
    </row>
    <row r="42" spans="1:27" x14ac:dyDescent="0.25">
      <c r="A42">
        <v>5080</v>
      </c>
      <c r="B42">
        <v>18650</v>
      </c>
      <c r="C42" s="1">
        <v>42621</v>
      </c>
      <c r="G42">
        <v>22</v>
      </c>
      <c r="H42">
        <v>19.600000000000001</v>
      </c>
      <c r="I42">
        <v>25</v>
      </c>
      <c r="M42">
        <v>0</v>
      </c>
      <c r="N42">
        <v>4.2</v>
      </c>
      <c r="O42">
        <f t="shared" si="0"/>
        <v>-4.2</v>
      </c>
      <c r="P42">
        <v>0</v>
      </c>
      <c r="W42">
        <v>1401.7</v>
      </c>
      <c r="AA42">
        <v>12.642842388131278</v>
      </c>
    </row>
    <row r="43" spans="1:27" x14ac:dyDescent="0.25">
      <c r="A43">
        <v>5080</v>
      </c>
      <c r="B43">
        <v>18650</v>
      </c>
      <c r="C43" s="1">
        <v>42622</v>
      </c>
      <c r="G43">
        <v>22</v>
      </c>
      <c r="H43">
        <v>16.3</v>
      </c>
      <c r="I43">
        <v>27.2</v>
      </c>
      <c r="M43">
        <v>0.8</v>
      </c>
      <c r="N43">
        <v>4.5999999999999996</v>
      </c>
      <c r="O43">
        <f t="shared" si="0"/>
        <v>-3.8</v>
      </c>
      <c r="P43">
        <v>0</v>
      </c>
      <c r="W43">
        <v>1742.5</v>
      </c>
      <c r="AA43">
        <v>12.591782641137419</v>
      </c>
    </row>
    <row r="44" spans="1:27" x14ac:dyDescent="0.25">
      <c r="A44">
        <v>5080</v>
      </c>
      <c r="B44">
        <v>18650</v>
      </c>
      <c r="C44" s="1">
        <v>42623</v>
      </c>
      <c r="G44">
        <v>22</v>
      </c>
      <c r="H44">
        <v>15.9</v>
      </c>
      <c r="I44">
        <v>27.2</v>
      </c>
      <c r="M44">
        <v>0</v>
      </c>
      <c r="N44">
        <v>5.0999999999999996</v>
      </c>
      <c r="O44">
        <f t="shared" si="0"/>
        <v>-5.0999999999999996</v>
      </c>
      <c r="P44">
        <v>0</v>
      </c>
      <c r="W44">
        <v>2210.5</v>
      </c>
      <c r="AA44">
        <v>12.540629905128343</v>
      </c>
    </row>
    <row r="45" spans="1:27" x14ac:dyDescent="0.25">
      <c r="A45">
        <v>5080</v>
      </c>
      <c r="B45">
        <v>18650</v>
      </c>
      <c r="C45" s="1">
        <v>42624</v>
      </c>
      <c r="G45">
        <v>23.1</v>
      </c>
      <c r="H45">
        <v>16.2</v>
      </c>
      <c r="I45">
        <v>28.4</v>
      </c>
      <c r="M45">
        <v>0</v>
      </c>
      <c r="N45">
        <v>4.8</v>
      </c>
      <c r="O45">
        <f t="shared" si="0"/>
        <v>-4.8</v>
      </c>
      <c r="P45">
        <v>0</v>
      </c>
      <c r="W45">
        <v>2116.3000000000002</v>
      </c>
      <c r="AA45">
        <v>12.489392733404834</v>
      </c>
    </row>
    <row r="46" spans="1:27" x14ac:dyDescent="0.25">
      <c r="A46">
        <v>5080</v>
      </c>
      <c r="B46">
        <v>18650</v>
      </c>
      <c r="C46" s="1">
        <v>42625</v>
      </c>
      <c r="G46">
        <v>25.2</v>
      </c>
      <c r="H46">
        <v>19</v>
      </c>
      <c r="I46">
        <v>30.8</v>
      </c>
      <c r="M46">
        <v>0</v>
      </c>
      <c r="N46">
        <v>6.8</v>
      </c>
      <c r="O46">
        <f t="shared" si="0"/>
        <v>-6.8</v>
      </c>
      <c r="P46">
        <v>0</v>
      </c>
      <c r="W46">
        <v>2299.4</v>
      </c>
      <c r="AA46">
        <v>12.438079552718021</v>
      </c>
    </row>
    <row r="47" spans="1:27" x14ac:dyDescent="0.25">
      <c r="A47">
        <v>5080</v>
      </c>
      <c r="B47">
        <v>18650</v>
      </c>
      <c r="C47" s="1">
        <v>42626</v>
      </c>
      <c r="G47">
        <v>24.6</v>
      </c>
      <c r="H47">
        <v>22.6</v>
      </c>
      <c r="I47">
        <v>30.4</v>
      </c>
      <c r="M47">
        <v>13.4</v>
      </c>
      <c r="N47">
        <v>6.6</v>
      </c>
      <c r="O47">
        <f t="shared" si="0"/>
        <v>6.8000000000000007</v>
      </c>
      <c r="P47">
        <f t="shared" si="1"/>
        <v>6.8000000000000007</v>
      </c>
      <c r="W47">
        <v>1967.8</v>
      </c>
      <c r="AA47">
        <v>12.386698674889333</v>
      </c>
    </row>
    <row r="48" spans="1:27" x14ac:dyDescent="0.25">
      <c r="A48">
        <v>5080</v>
      </c>
      <c r="B48">
        <v>18650</v>
      </c>
      <c r="C48" s="1">
        <v>42627</v>
      </c>
      <c r="G48">
        <v>15.9</v>
      </c>
      <c r="H48">
        <v>15.7</v>
      </c>
      <c r="I48">
        <v>16.8</v>
      </c>
      <c r="M48">
        <v>5.8</v>
      </c>
      <c r="N48">
        <v>1</v>
      </c>
      <c r="O48">
        <f t="shared" si="0"/>
        <v>4.8</v>
      </c>
      <c r="P48">
        <f t="shared" si="1"/>
        <v>11.600000000000001</v>
      </c>
      <c r="W48">
        <v>505.3</v>
      </c>
      <c r="AA48">
        <v>12.335258308564304</v>
      </c>
    </row>
    <row r="49" spans="1:28" x14ac:dyDescent="0.25">
      <c r="A49">
        <v>5080</v>
      </c>
      <c r="B49">
        <v>18650</v>
      </c>
      <c r="C49" s="1">
        <v>42628</v>
      </c>
      <c r="G49">
        <v>16.899999999999999</v>
      </c>
      <c r="H49">
        <v>11.6</v>
      </c>
      <c r="I49">
        <v>20.7</v>
      </c>
      <c r="M49">
        <v>2.2999999999999998</v>
      </c>
      <c r="N49">
        <v>1.7</v>
      </c>
      <c r="O49">
        <f t="shared" si="0"/>
        <v>0.59999999999999987</v>
      </c>
      <c r="P49">
        <f t="shared" si="1"/>
        <v>12.200000000000001</v>
      </c>
      <c r="W49">
        <v>905.8</v>
      </c>
      <c r="AA49">
        <v>12.283766571083941</v>
      </c>
    </row>
    <row r="50" spans="1:28" x14ac:dyDescent="0.25">
      <c r="A50">
        <v>5080</v>
      </c>
      <c r="B50">
        <v>18650</v>
      </c>
      <c r="C50" s="1">
        <v>42629</v>
      </c>
      <c r="G50">
        <v>16.8</v>
      </c>
      <c r="H50">
        <v>14.9</v>
      </c>
      <c r="I50">
        <v>20.6</v>
      </c>
      <c r="M50">
        <v>0.8</v>
      </c>
      <c r="N50">
        <v>2.7</v>
      </c>
      <c r="O50">
        <f t="shared" si="0"/>
        <v>-1.9000000000000001</v>
      </c>
      <c r="P50">
        <f t="shared" si="1"/>
        <v>10.3</v>
      </c>
      <c r="W50">
        <v>1214.7</v>
      </c>
      <c r="AA50">
        <v>12.232231500458138</v>
      </c>
    </row>
    <row r="51" spans="1:28" x14ac:dyDescent="0.25">
      <c r="A51">
        <v>5080</v>
      </c>
      <c r="B51">
        <v>18650</v>
      </c>
      <c r="C51" s="1">
        <v>42630</v>
      </c>
      <c r="G51">
        <v>16.5</v>
      </c>
      <c r="H51">
        <v>14.1</v>
      </c>
      <c r="I51">
        <v>19.5</v>
      </c>
      <c r="M51">
        <v>0</v>
      </c>
      <c r="N51">
        <v>3.5</v>
      </c>
      <c r="O51">
        <f t="shared" si="0"/>
        <v>-3.5</v>
      </c>
      <c r="P51">
        <f t="shared" si="1"/>
        <v>6.8000000000000007</v>
      </c>
      <c r="W51">
        <v>1470</v>
      </c>
      <c r="AA51">
        <v>12.180661067426273</v>
      </c>
    </row>
    <row r="52" spans="1:28" x14ac:dyDescent="0.25">
      <c r="A52">
        <v>5080</v>
      </c>
      <c r="B52">
        <v>18650</v>
      </c>
      <c r="C52" s="1">
        <v>42631</v>
      </c>
      <c r="G52">
        <v>15.8</v>
      </c>
      <c r="H52">
        <v>12.5</v>
      </c>
      <c r="I52">
        <v>17.899999999999999</v>
      </c>
      <c r="M52">
        <v>0</v>
      </c>
      <c r="N52">
        <v>1.9</v>
      </c>
      <c r="O52">
        <f t="shared" si="0"/>
        <v>-1.9</v>
      </c>
      <c r="P52">
        <f t="shared" si="1"/>
        <v>4.9000000000000004</v>
      </c>
      <c r="V52" s="8">
        <v>155.69999999999999</v>
      </c>
      <c r="W52">
        <v>818.8</v>
      </c>
      <c r="AA52">
        <v>12.129063187590592</v>
      </c>
    </row>
    <row r="53" spans="1:28" x14ac:dyDescent="0.25">
      <c r="A53">
        <v>5080</v>
      </c>
      <c r="B53">
        <v>18650</v>
      </c>
      <c r="C53" s="1">
        <v>42632</v>
      </c>
      <c r="G53">
        <v>18.100000000000001</v>
      </c>
      <c r="H53">
        <v>14.5</v>
      </c>
      <c r="I53">
        <v>21.2</v>
      </c>
      <c r="M53">
        <v>0</v>
      </c>
      <c r="N53">
        <v>2.9</v>
      </c>
      <c r="O53">
        <f t="shared" si="0"/>
        <v>-2.9</v>
      </c>
      <c r="P53" s="5">
        <f t="shared" si="1"/>
        <v>2.0000000000000004</v>
      </c>
      <c r="W53">
        <v>1217.5999999999999</v>
      </c>
      <c r="AA53">
        <v>12.077445733608519</v>
      </c>
    </row>
    <row r="54" spans="1:28" s="6" customFormat="1" x14ac:dyDescent="0.25">
      <c r="A54" s="50" t="s">
        <v>32</v>
      </c>
      <c r="B54" s="50"/>
      <c r="C54" s="50"/>
      <c r="D54" s="50"/>
      <c r="E54" s="50"/>
      <c r="F54" s="50"/>
      <c r="L54" s="9"/>
      <c r="V54" s="9"/>
    </row>
    <row r="55" spans="1:28" x14ac:dyDescent="0.25">
      <c r="A55">
        <v>5080</v>
      </c>
      <c r="B55">
        <v>18650</v>
      </c>
      <c r="C55" s="1">
        <v>42633</v>
      </c>
      <c r="F55" s="41" t="s">
        <v>59</v>
      </c>
      <c r="G55">
        <v>18.7</v>
      </c>
      <c r="H55">
        <v>14.8</v>
      </c>
      <c r="I55">
        <v>22.8</v>
      </c>
      <c r="J55">
        <f>G55</f>
        <v>18.7</v>
      </c>
      <c r="L55" s="11" t="s">
        <v>34</v>
      </c>
      <c r="M55">
        <v>0.1</v>
      </c>
      <c r="N55">
        <v>2.5</v>
      </c>
      <c r="O55">
        <f>M55-N55</f>
        <v>-2.4</v>
      </c>
      <c r="P55">
        <v>0</v>
      </c>
      <c r="Q55">
        <v>1</v>
      </c>
      <c r="R55">
        <v>0.35</v>
      </c>
      <c r="S55">
        <f>R55*N55</f>
        <v>0.875</v>
      </c>
      <c r="T55" s="24">
        <f>M55-S55</f>
        <v>-0.77500000000000002</v>
      </c>
      <c r="U55" s="24">
        <f>MIN(P53+T55,155.7)</f>
        <v>1.2250000000000005</v>
      </c>
      <c r="V55" s="13" t="s">
        <v>41</v>
      </c>
      <c r="W55">
        <v>971.2</v>
      </c>
      <c r="Y55">
        <f>W55</f>
        <v>971.2</v>
      </c>
      <c r="AA55">
        <v>12.025816547430415</v>
      </c>
      <c r="AB55" s="13" t="s">
        <v>46</v>
      </c>
    </row>
    <row r="56" spans="1:28" x14ac:dyDescent="0.25">
      <c r="A56">
        <v>5080</v>
      </c>
      <c r="B56">
        <v>18650</v>
      </c>
      <c r="C56" s="1">
        <v>42634</v>
      </c>
      <c r="F56" s="41"/>
      <c r="G56">
        <v>18.5</v>
      </c>
      <c r="H56">
        <v>14.3</v>
      </c>
      <c r="I56">
        <v>23.7</v>
      </c>
      <c r="J56">
        <f>J55+G56</f>
        <v>37.200000000000003</v>
      </c>
      <c r="L56" s="8">
        <v>1074.5999999999999</v>
      </c>
      <c r="M56">
        <v>0</v>
      </c>
      <c r="N56">
        <v>3.4</v>
      </c>
      <c r="O56">
        <f t="shared" ref="O56:O119" si="2">M56-N56</f>
        <v>-3.4</v>
      </c>
      <c r="P56">
        <v>0</v>
      </c>
      <c r="Q56">
        <v>2</v>
      </c>
      <c r="R56">
        <v>0.35</v>
      </c>
      <c r="S56">
        <f t="shared" ref="S56:S119" si="3">R56*N56</f>
        <v>1.19</v>
      </c>
      <c r="T56" s="24">
        <f t="shared" ref="T56:T119" si="4">M56-S56</f>
        <v>-1.19</v>
      </c>
      <c r="U56" s="24">
        <f>MIN(U55+T56,155.7)</f>
        <v>3.5000000000000586E-2</v>
      </c>
      <c r="V56">
        <v>18</v>
      </c>
      <c r="W56">
        <v>1641.8</v>
      </c>
      <c r="Y56">
        <f>Y55+W56</f>
        <v>2613</v>
      </c>
      <c r="AA56">
        <v>11.974183452569584</v>
      </c>
      <c r="AB56">
        <v>67506.7</v>
      </c>
    </row>
    <row r="57" spans="1:28" x14ac:dyDescent="0.25">
      <c r="A57">
        <v>5080</v>
      </c>
      <c r="B57">
        <v>18650</v>
      </c>
      <c r="C57" s="1">
        <v>42635</v>
      </c>
      <c r="F57" s="41"/>
      <c r="G57">
        <v>18.5</v>
      </c>
      <c r="H57">
        <v>11.2</v>
      </c>
      <c r="I57">
        <v>24.1</v>
      </c>
      <c r="J57">
        <f t="shared" ref="J57:J120" si="5">J56+G57</f>
        <v>55.7</v>
      </c>
      <c r="L57" s="11" t="s">
        <v>35</v>
      </c>
      <c r="M57">
        <v>0</v>
      </c>
      <c r="N57">
        <v>3.9</v>
      </c>
      <c r="O57">
        <f t="shared" si="2"/>
        <v>-3.9</v>
      </c>
      <c r="P57">
        <v>0</v>
      </c>
      <c r="Q57">
        <v>3</v>
      </c>
      <c r="R57">
        <v>0.35</v>
      </c>
      <c r="S57">
        <f t="shared" si="3"/>
        <v>1.365</v>
      </c>
      <c r="T57" s="24">
        <f t="shared" si="4"/>
        <v>-1.365</v>
      </c>
      <c r="U57" s="24">
        <v>0</v>
      </c>
      <c r="V57" s="13" t="s">
        <v>42</v>
      </c>
      <c r="W57">
        <v>1998.1</v>
      </c>
      <c r="Y57">
        <f t="shared" ref="Y57:Y120" si="6">Y56+W57</f>
        <v>4611.1000000000004</v>
      </c>
      <c r="AA57">
        <v>11.922554266391483</v>
      </c>
      <c r="AB57" s="13" t="s">
        <v>47</v>
      </c>
    </row>
    <row r="58" spans="1:28" x14ac:dyDescent="0.25">
      <c r="A58">
        <v>5080</v>
      </c>
      <c r="B58">
        <v>18650</v>
      </c>
      <c r="C58" s="1">
        <v>42636</v>
      </c>
      <c r="F58" s="41"/>
      <c r="G58">
        <v>19.399999999999999</v>
      </c>
      <c r="H58">
        <v>14.1</v>
      </c>
      <c r="I58">
        <v>24.7</v>
      </c>
      <c r="J58">
        <f t="shared" si="5"/>
        <v>75.099999999999994</v>
      </c>
      <c r="L58" s="8">
        <f>AVERAGE(G55:G143)</f>
        <v>12.074157303370791</v>
      </c>
      <c r="M58">
        <v>0</v>
      </c>
      <c r="N58">
        <v>2.2999999999999998</v>
      </c>
      <c r="O58">
        <f t="shared" si="2"/>
        <v>-2.2999999999999998</v>
      </c>
      <c r="P58">
        <v>0</v>
      </c>
      <c r="Q58">
        <v>4</v>
      </c>
      <c r="R58">
        <v>0.35</v>
      </c>
      <c r="S58">
        <f t="shared" si="3"/>
        <v>0.80499999999999994</v>
      </c>
      <c r="T58" s="24">
        <f t="shared" si="4"/>
        <v>-0.80499999999999994</v>
      </c>
      <c r="U58" s="24">
        <v>0</v>
      </c>
      <c r="V58">
        <v>36</v>
      </c>
      <c r="W58">
        <v>1278.0999999999999</v>
      </c>
      <c r="Y58">
        <f t="shared" si="6"/>
        <v>5889.2000000000007</v>
      </c>
      <c r="AA58">
        <v>11.870936812409409</v>
      </c>
      <c r="AB58">
        <f>(AB56/100)/L56</f>
        <v>0.6282030522985298</v>
      </c>
    </row>
    <row r="59" spans="1:28" x14ac:dyDescent="0.25">
      <c r="A59">
        <v>5080</v>
      </c>
      <c r="B59">
        <v>18650</v>
      </c>
      <c r="C59" s="1">
        <v>42637</v>
      </c>
      <c r="F59" s="41"/>
      <c r="G59">
        <v>19.8</v>
      </c>
      <c r="H59">
        <v>12.8</v>
      </c>
      <c r="I59">
        <v>26.1</v>
      </c>
      <c r="J59">
        <f t="shared" si="5"/>
        <v>94.899999999999991</v>
      </c>
      <c r="L59" s="11" t="s">
        <v>36</v>
      </c>
      <c r="M59">
        <v>0</v>
      </c>
      <c r="N59">
        <v>4.4000000000000004</v>
      </c>
      <c r="O59">
        <f t="shared" si="2"/>
        <v>-4.4000000000000004</v>
      </c>
      <c r="P59">
        <v>0</v>
      </c>
      <c r="Q59">
        <v>5</v>
      </c>
      <c r="R59">
        <v>0.35</v>
      </c>
      <c r="S59">
        <f t="shared" si="3"/>
        <v>1.54</v>
      </c>
      <c r="T59" s="24">
        <f t="shared" si="4"/>
        <v>-1.54</v>
      </c>
      <c r="U59" s="24">
        <v>0</v>
      </c>
      <c r="V59" s="13" t="s">
        <v>43</v>
      </c>
      <c r="W59">
        <v>1778.6</v>
      </c>
      <c r="Y59">
        <f t="shared" si="6"/>
        <v>7667.8000000000011</v>
      </c>
      <c r="AA59">
        <v>11.819338932573727</v>
      </c>
      <c r="AB59" s="13" t="s">
        <v>48</v>
      </c>
    </row>
    <row r="60" spans="1:28" x14ac:dyDescent="0.25">
      <c r="A60">
        <v>5080</v>
      </c>
      <c r="B60">
        <v>18650</v>
      </c>
      <c r="C60" s="1">
        <v>42638</v>
      </c>
      <c r="F60" s="41"/>
      <c r="G60">
        <v>18.3</v>
      </c>
      <c r="H60">
        <v>18.100000000000001</v>
      </c>
      <c r="I60">
        <v>20.399999999999999</v>
      </c>
      <c r="J60">
        <f t="shared" si="5"/>
        <v>113.19999999999999</v>
      </c>
      <c r="L60" s="12">
        <f>MIN(H55:H143)</f>
        <v>-2</v>
      </c>
      <c r="M60">
        <v>0.6</v>
      </c>
      <c r="N60">
        <v>2.2999999999999998</v>
      </c>
      <c r="O60">
        <f t="shared" si="2"/>
        <v>-1.6999999999999997</v>
      </c>
      <c r="P60">
        <v>0</v>
      </c>
      <c r="Q60">
        <v>6</v>
      </c>
      <c r="R60">
        <v>0.35</v>
      </c>
      <c r="S60">
        <f t="shared" si="3"/>
        <v>0.80499999999999994</v>
      </c>
      <c r="T60" s="24">
        <f t="shared" si="4"/>
        <v>-0.20499999999999996</v>
      </c>
      <c r="U60" s="24">
        <v>0</v>
      </c>
      <c r="V60">
        <v>0</v>
      </c>
      <c r="W60">
        <v>901.1</v>
      </c>
      <c r="Y60">
        <f t="shared" si="6"/>
        <v>8568.9000000000015</v>
      </c>
      <c r="AA60">
        <v>11.767768499541861</v>
      </c>
      <c r="AB60">
        <v>65</v>
      </c>
    </row>
    <row r="61" spans="1:28" x14ac:dyDescent="0.25">
      <c r="A61">
        <v>5080</v>
      </c>
      <c r="B61">
        <v>18650</v>
      </c>
      <c r="C61" s="1">
        <v>42639</v>
      </c>
      <c r="F61" s="41"/>
      <c r="G61">
        <v>17</v>
      </c>
      <c r="H61">
        <v>12.8</v>
      </c>
      <c r="I61">
        <v>20.5</v>
      </c>
      <c r="J61">
        <f t="shared" si="5"/>
        <v>130.19999999999999</v>
      </c>
      <c r="L61" s="11" t="s">
        <v>37</v>
      </c>
      <c r="M61">
        <v>0</v>
      </c>
      <c r="N61">
        <v>1.8</v>
      </c>
      <c r="O61">
        <f t="shared" si="2"/>
        <v>-1.8</v>
      </c>
      <c r="P61">
        <v>0</v>
      </c>
      <c r="Q61">
        <v>7</v>
      </c>
      <c r="R61">
        <v>0.35</v>
      </c>
      <c r="S61">
        <f t="shared" si="3"/>
        <v>0.63</v>
      </c>
      <c r="T61" s="24">
        <f t="shared" si="4"/>
        <v>-0.63</v>
      </c>
      <c r="U61" s="24">
        <v>0</v>
      </c>
      <c r="V61" s="13" t="s">
        <v>44</v>
      </c>
      <c r="W61">
        <v>1011.7</v>
      </c>
      <c r="Y61">
        <f t="shared" si="6"/>
        <v>9580.6000000000022</v>
      </c>
      <c r="AA61">
        <v>11.716233428916059</v>
      </c>
    </row>
    <row r="62" spans="1:28" x14ac:dyDescent="0.25">
      <c r="A62">
        <v>5080</v>
      </c>
      <c r="B62">
        <v>18650</v>
      </c>
      <c r="C62" s="1">
        <v>42640</v>
      </c>
      <c r="D62" t="s">
        <v>49</v>
      </c>
      <c r="F62" s="41"/>
      <c r="G62">
        <v>18.399999999999999</v>
      </c>
      <c r="H62">
        <v>12.6</v>
      </c>
      <c r="I62">
        <v>23.7</v>
      </c>
      <c r="J62">
        <f t="shared" si="5"/>
        <v>148.6</v>
      </c>
      <c r="L62" s="8">
        <f>MAX(I55:I143)</f>
        <v>26.6</v>
      </c>
      <c r="M62">
        <v>0</v>
      </c>
      <c r="N62">
        <v>3.3</v>
      </c>
      <c r="O62">
        <f t="shared" si="2"/>
        <v>-3.3</v>
      </c>
      <c r="P62">
        <v>0</v>
      </c>
      <c r="Q62">
        <v>8</v>
      </c>
      <c r="R62">
        <f>0.35+((Q62-7)/82)*(1-0.35)</f>
        <v>0.35792682926829267</v>
      </c>
      <c r="S62">
        <f t="shared" si="3"/>
        <v>1.1811585365853658</v>
      </c>
      <c r="T62" s="24">
        <f t="shared" si="4"/>
        <v>-1.1811585365853658</v>
      </c>
      <c r="U62" s="24">
        <v>0</v>
      </c>
      <c r="V62" s="24">
        <f>MAX(U55:U143)</f>
        <v>76.271829268292677</v>
      </c>
      <c r="W62">
        <v>1477.1</v>
      </c>
      <c r="Y62">
        <f t="shared" si="6"/>
        <v>11057.700000000003</v>
      </c>
      <c r="AA62">
        <v>11.664741691435696</v>
      </c>
    </row>
    <row r="63" spans="1:28" x14ac:dyDescent="0.25">
      <c r="A63">
        <v>5080</v>
      </c>
      <c r="B63">
        <v>18650</v>
      </c>
      <c r="C63" s="1">
        <v>42641</v>
      </c>
      <c r="F63" s="41"/>
      <c r="G63">
        <v>19.399999999999999</v>
      </c>
      <c r="H63">
        <v>12.8</v>
      </c>
      <c r="I63">
        <v>24.8</v>
      </c>
      <c r="J63">
        <f t="shared" si="5"/>
        <v>168</v>
      </c>
      <c r="L63" s="11" t="s">
        <v>38</v>
      </c>
      <c r="M63">
        <v>0</v>
      </c>
      <c r="N63">
        <v>4.0999999999999996</v>
      </c>
      <c r="O63">
        <f t="shared" si="2"/>
        <v>-4.0999999999999996</v>
      </c>
      <c r="P63">
        <v>0</v>
      </c>
      <c r="Q63">
        <v>9</v>
      </c>
      <c r="R63">
        <f t="shared" ref="R63:R126" si="7">0.35+((Q63-7)/82)*(1-0.35)</f>
        <v>0.36585365853658536</v>
      </c>
      <c r="S63">
        <f t="shared" si="3"/>
        <v>1.4999999999999998</v>
      </c>
      <c r="T63" s="24">
        <f t="shared" si="4"/>
        <v>-1.4999999999999998</v>
      </c>
      <c r="U63" s="24">
        <v>0</v>
      </c>
      <c r="V63" s="13" t="s">
        <v>45</v>
      </c>
      <c r="W63">
        <v>1880.7</v>
      </c>
      <c r="Y63">
        <f t="shared" si="6"/>
        <v>12938.400000000003</v>
      </c>
      <c r="AA63">
        <v>11.613301325110665</v>
      </c>
    </row>
    <row r="64" spans="1:28" x14ac:dyDescent="0.25">
      <c r="A64">
        <v>5080</v>
      </c>
      <c r="B64">
        <v>18650</v>
      </c>
      <c r="C64" s="1">
        <v>42642</v>
      </c>
      <c r="F64" s="41"/>
      <c r="G64">
        <v>19.899999999999999</v>
      </c>
      <c r="H64">
        <v>12</v>
      </c>
      <c r="I64">
        <v>26.6</v>
      </c>
      <c r="J64">
        <f t="shared" si="5"/>
        <v>187.9</v>
      </c>
      <c r="L64" s="8">
        <v>4</v>
      </c>
      <c r="M64">
        <v>0</v>
      </c>
      <c r="N64">
        <v>4.2</v>
      </c>
      <c r="O64">
        <f t="shared" si="2"/>
        <v>-4.2</v>
      </c>
      <c r="P64">
        <v>0</v>
      </c>
      <c r="Q64">
        <v>10</v>
      </c>
      <c r="R64">
        <f t="shared" si="7"/>
        <v>0.37378048780487805</v>
      </c>
      <c r="S64">
        <f t="shared" si="3"/>
        <v>1.5698780487804878</v>
      </c>
      <c r="T64" s="24">
        <f t="shared" si="4"/>
        <v>-1.5698780487804878</v>
      </c>
      <c r="U64" s="24">
        <v>0</v>
      </c>
      <c r="V64" s="21">
        <f>AVERAGE(U55:U143)</f>
        <v>33.661039325842694</v>
      </c>
      <c r="W64">
        <v>1609.5</v>
      </c>
      <c r="Y64">
        <f t="shared" si="6"/>
        <v>14547.900000000003</v>
      </c>
      <c r="AA64">
        <v>11.561920447281979</v>
      </c>
    </row>
    <row r="65" spans="1:27" x14ac:dyDescent="0.25">
      <c r="A65">
        <v>5080</v>
      </c>
      <c r="B65">
        <v>18650</v>
      </c>
      <c r="C65" s="1">
        <v>42643</v>
      </c>
      <c r="F65" s="41"/>
      <c r="G65">
        <v>21.5</v>
      </c>
      <c r="H65">
        <v>18</v>
      </c>
      <c r="I65">
        <v>25.7</v>
      </c>
      <c r="J65">
        <f t="shared" si="5"/>
        <v>209.4</v>
      </c>
      <c r="L65" s="11" t="s">
        <v>39</v>
      </c>
      <c r="M65">
        <v>0.4</v>
      </c>
      <c r="N65">
        <v>4.0999999999999996</v>
      </c>
      <c r="O65">
        <f t="shared" si="2"/>
        <v>-3.6999999999999997</v>
      </c>
      <c r="P65">
        <v>0</v>
      </c>
      <c r="Q65">
        <v>11</v>
      </c>
      <c r="R65">
        <f t="shared" si="7"/>
        <v>0.38170731707317074</v>
      </c>
      <c r="S65">
        <f t="shared" si="3"/>
        <v>1.5649999999999999</v>
      </c>
      <c r="T65" s="24">
        <f t="shared" si="4"/>
        <v>-1.165</v>
      </c>
      <c r="U65" s="24">
        <v>0</v>
      </c>
      <c r="W65">
        <v>1546.3</v>
      </c>
      <c r="Y65">
        <f t="shared" si="6"/>
        <v>16094.200000000003</v>
      </c>
      <c r="AA65">
        <v>11.510607266595166</v>
      </c>
    </row>
    <row r="66" spans="1:27" x14ac:dyDescent="0.25">
      <c r="A66">
        <v>5080</v>
      </c>
      <c r="B66">
        <v>18650</v>
      </c>
      <c r="C66" s="1">
        <v>42644</v>
      </c>
      <c r="F66" s="41"/>
      <c r="G66">
        <v>18.3</v>
      </c>
      <c r="H66">
        <v>17</v>
      </c>
      <c r="I66">
        <v>19.899999999999999</v>
      </c>
      <c r="J66">
        <f t="shared" si="5"/>
        <v>227.70000000000002</v>
      </c>
      <c r="L66" s="8">
        <v>14</v>
      </c>
      <c r="M66">
        <v>3.3</v>
      </c>
      <c r="N66">
        <v>1.4</v>
      </c>
      <c r="O66">
        <f t="shared" si="2"/>
        <v>1.9</v>
      </c>
      <c r="P66">
        <f t="shared" ref="P66:P120" si="8">P65+O66</f>
        <v>1.9</v>
      </c>
      <c r="Q66">
        <v>12</v>
      </c>
      <c r="R66">
        <f t="shared" si="7"/>
        <v>0.38963414634146337</v>
      </c>
      <c r="S66">
        <f t="shared" si="3"/>
        <v>0.54548780487804871</v>
      </c>
      <c r="T66" s="24">
        <f t="shared" si="4"/>
        <v>2.7545121951219511</v>
      </c>
      <c r="U66" s="24">
        <f t="shared" ref="U66:U120" si="9">MIN(U65+T66,155.7)</f>
        <v>2.7545121951219511</v>
      </c>
      <c r="V66" s="8">
        <f>(V64*100)/155.7</f>
        <v>21.619164628029992</v>
      </c>
      <c r="W66">
        <v>507.7</v>
      </c>
      <c r="Y66">
        <f t="shared" si="6"/>
        <v>16601.900000000001</v>
      </c>
      <c r="AA66">
        <v>11.459370094871659</v>
      </c>
    </row>
    <row r="67" spans="1:27" x14ac:dyDescent="0.25">
      <c r="A67">
        <v>5080</v>
      </c>
      <c r="B67">
        <v>18650</v>
      </c>
      <c r="C67" s="1">
        <v>42645</v>
      </c>
      <c r="F67" s="41"/>
      <c r="G67">
        <v>16.899999999999999</v>
      </c>
      <c r="H67">
        <v>14.9</v>
      </c>
      <c r="I67">
        <v>19.600000000000001</v>
      </c>
      <c r="J67">
        <f t="shared" si="5"/>
        <v>244.60000000000002</v>
      </c>
      <c r="L67" s="11" t="s">
        <v>40</v>
      </c>
      <c r="M67">
        <v>0.4</v>
      </c>
      <c r="N67">
        <v>2.1</v>
      </c>
      <c r="O67">
        <f t="shared" si="2"/>
        <v>-1.7000000000000002</v>
      </c>
      <c r="P67">
        <f t="shared" si="8"/>
        <v>0.19999999999999973</v>
      </c>
      <c r="Q67">
        <v>13</v>
      </c>
      <c r="R67">
        <f t="shared" si="7"/>
        <v>0.39756097560975606</v>
      </c>
      <c r="S67">
        <f t="shared" si="3"/>
        <v>0.83487804878048777</v>
      </c>
      <c r="T67" s="24">
        <f t="shared" si="4"/>
        <v>-0.43487804878048775</v>
      </c>
      <c r="U67" s="24">
        <f t="shared" si="9"/>
        <v>2.3196341463414631</v>
      </c>
      <c r="W67">
        <v>978.5</v>
      </c>
      <c r="Y67">
        <f t="shared" si="6"/>
        <v>17580.400000000001</v>
      </c>
      <c r="AA67">
        <v>11.408217358862581</v>
      </c>
    </row>
    <row r="68" spans="1:27" x14ac:dyDescent="0.25">
      <c r="A68">
        <v>5080</v>
      </c>
      <c r="B68">
        <v>18650</v>
      </c>
      <c r="C68" s="1">
        <v>42646</v>
      </c>
      <c r="F68" s="41"/>
      <c r="G68">
        <v>17.100000000000001</v>
      </c>
      <c r="H68">
        <v>10.8</v>
      </c>
      <c r="I68">
        <v>22.5</v>
      </c>
      <c r="J68">
        <f t="shared" si="5"/>
        <v>261.70000000000005</v>
      </c>
      <c r="L68" s="8">
        <v>2</v>
      </c>
      <c r="M68">
        <v>0</v>
      </c>
      <c r="N68">
        <v>3.7</v>
      </c>
      <c r="O68">
        <f t="shared" si="2"/>
        <v>-3.7</v>
      </c>
      <c r="P68">
        <v>0</v>
      </c>
      <c r="Q68">
        <v>14</v>
      </c>
      <c r="R68">
        <f t="shared" si="7"/>
        <v>0.40548780487804875</v>
      </c>
      <c r="S68">
        <f t="shared" si="3"/>
        <v>1.5003048780487804</v>
      </c>
      <c r="T68" s="24">
        <f t="shared" si="4"/>
        <v>-1.5003048780487804</v>
      </c>
      <c r="U68" s="24">
        <f t="shared" si="9"/>
        <v>0.81932926829268271</v>
      </c>
      <c r="W68">
        <v>1735</v>
      </c>
      <c r="Y68">
        <f t="shared" si="6"/>
        <v>19315.400000000001</v>
      </c>
      <c r="AA68">
        <v>11.357157611868722</v>
      </c>
    </row>
    <row r="69" spans="1:27" x14ac:dyDescent="0.25">
      <c r="A69">
        <v>5080</v>
      </c>
      <c r="B69">
        <v>18650</v>
      </c>
      <c r="C69" s="1">
        <v>42647</v>
      </c>
      <c r="F69" s="41"/>
      <c r="G69">
        <v>19</v>
      </c>
      <c r="H69">
        <v>11.1</v>
      </c>
      <c r="I69">
        <v>25.2</v>
      </c>
      <c r="J69">
        <f t="shared" si="5"/>
        <v>280.70000000000005</v>
      </c>
      <c r="M69">
        <v>0</v>
      </c>
      <c r="N69">
        <v>3.6</v>
      </c>
      <c r="O69">
        <f t="shared" si="2"/>
        <v>-3.6</v>
      </c>
      <c r="P69">
        <v>0</v>
      </c>
      <c r="Q69">
        <v>15</v>
      </c>
      <c r="R69">
        <f t="shared" si="7"/>
        <v>0.41341463414634144</v>
      </c>
      <c r="S69">
        <f t="shared" si="3"/>
        <v>1.4882926829268293</v>
      </c>
      <c r="T69" s="24">
        <f t="shared" si="4"/>
        <v>-1.4882926829268293</v>
      </c>
      <c r="U69" s="24">
        <v>0</v>
      </c>
      <c r="W69">
        <v>1532</v>
      </c>
      <c r="Y69">
        <f t="shared" si="6"/>
        <v>20847.400000000001</v>
      </c>
      <c r="AA69">
        <v>11.306199545209655</v>
      </c>
    </row>
    <row r="70" spans="1:27" x14ac:dyDescent="0.25">
      <c r="A70">
        <v>5080</v>
      </c>
      <c r="B70">
        <v>18650</v>
      </c>
      <c r="C70" s="1">
        <v>42648</v>
      </c>
      <c r="F70" s="41"/>
      <c r="G70">
        <v>19.399999999999999</v>
      </c>
      <c r="H70">
        <v>17</v>
      </c>
      <c r="I70">
        <v>22</v>
      </c>
      <c r="J70">
        <f t="shared" si="5"/>
        <v>300.10000000000002</v>
      </c>
      <c r="M70">
        <v>0</v>
      </c>
      <c r="N70">
        <v>2.2999999999999998</v>
      </c>
      <c r="O70">
        <f t="shared" si="2"/>
        <v>-2.2999999999999998</v>
      </c>
      <c r="P70">
        <v>0</v>
      </c>
      <c r="Q70">
        <v>16</v>
      </c>
      <c r="R70">
        <f t="shared" si="7"/>
        <v>0.42134146341463413</v>
      </c>
      <c r="S70">
        <f t="shared" si="3"/>
        <v>0.96908536585365845</v>
      </c>
      <c r="T70" s="24">
        <f t="shared" si="4"/>
        <v>-0.96908536585365845</v>
      </c>
      <c r="U70" s="24">
        <v>0</v>
      </c>
      <c r="W70">
        <v>812.5</v>
      </c>
      <c r="Y70">
        <f t="shared" si="6"/>
        <v>21659.9</v>
      </c>
      <c r="AA70">
        <v>11.25535199952412</v>
      </c>
    </row>
    <row r="71" spans="1:27" x14ac:dyDescent="0.25">
      <c r="A71">
        <v>5080</v>
      </c>
      <c r="B71">
        <v>18650</v>
      </c>
      <c r="C71" s="1">
        <v>42649</v>
      </c>
      <c r="F71" s="41"/>
      <c r="G71">
        <v>18.2</v>
      </c>
      <c r="H71">
        <v>16.3</v>
      </c>
      <c r="I71">
        <v>21.6</v>
      </c>
      <c r="J71">
        <f t="shared" si="5"/>
        <v>318.3</v>
      </c>
      <c r="M71">
        <v>0</v>
      </c>
      <c r="N71">
        <v>2.7</v>
      </c>
      <c r="O71">
        <f t="shared" si="2"/>
        <v>-2.7</v>
      </c>
      <c r="P71">
        <v>0</v>
      </c>
      <c r="Q71">
        <v>17</v>
      </c>
      <c r="R71">
        <f t="shared" si="7"/>
        <v>0.42926829268292682</v>
      </c>
      <c r="S71">
        <f t="shared" si="3"/>
        <v>1.1590243902439026</v>
      </c>
      <c r="T71" s="24">
        <f t="shared" si="4"/>
        <v>-1.1590243902439026</v>
      </c>
      <c r="U71" s="24">
        <v>0</v>
      </c>
      <c r="W71">
        <v>1210.4000000000001</v>
      </c>
      <c r="Y71">
        <f t="shared" si="6"/>
        <v>22870.300000000003</v>
      </c>
      <c r="AA71">
        <v>11.204623975882896</v>
      </c>
    </row>
    <row r="72" spans="1:27" x14ac:dyDescent="0.25">
      <c r="A72">
        <v>5080</v>
      </c>
      <c r="B72">
        <v>18650</v>
      </c>
      <c r="C72" s="1">
        <v>42650</v>
      </c>
      <c r="F72" s="41"/>
      <c r="G72">
        <v>14.4</v>
      </c>
      <c r="H72">
        <v>10.3</v>
      </c>
      <c r="I72">
        <v>18.2</v>
      </c>
      <c r="J72">
        <f t="shared" si="5"/>
        <v>332.7</v>
      </c>
      <c r="M72">
        <v>0</v>
      </c>
      <c r="N72">
        <v>1.5</v>
      </c>
      <c r="O72">
        <f t="shared" si="2"/>
        <v>-1.5</v>
      </c>
      <c r="P72">
        <v>0</v>
      </c>
      <c r="Q72">
        <v>18</v>
      </c>
      <c r="R72">
        <f t="shared" si="7"/>
        <v>0.43719512195121951</v>
      </c>
      <c r="S72">
        <f t="shared" si="3"/>
        <v>0.65579268292682924</v>
      </c>
      <c r="T72" s="24">
        <f t="shared" si="4"/>
        <v>-0.65579268292682924</v>
      </c>
      <c r="U72" s="24">
        <v>0</v>
      </c>
      <c r="W72">
        <v>813.6</v>
      </c>
      <c r="Y72">
        <f t="shared" si="6"/>
        <v>23683.9</v>
      </c>
      <c r="AA72">
        <v>11.154024646694229</v>
      </c>
    </row>
    <row r="73" spans="1:27" x14ac:dyDescent="0.25">
      <c r="A73">
        <v>5080</v>
      </c>
      <c r="B73">
        <v>18650</v>
      </c>
      <c r="C73" s="1">
        <v>42651</v>
      </c>
      <c r="F73" s="41"/>
      <c r="G73">
        <v>12.9</v>
      </c>
      <c r="H73">
        <v>9.3000000000000007</v>
      </c>
      <c r="I73">
        <v>16.899999999999999</v>
      </c>
      <c r="J73">
        <f t="shared" si="5"/>
        <v>345.59999999999997</v>
      </c>
      <c r="M73">
        <v>0</v>
      </c>
      <c r="N73">
        <v>2.4</v>
      </c>
      <c r="O73">
        <f t="shared" si="2"/>
        <v>-2.4</v>
      </c>
      <c r="P73">
        <v>0</v>
      </c>
      <c r="Q73">
        <v>19</v>
      </c>
      <c r="R73">
        <f t="shared" si="7"/>
        <v>0.44512195121951215</v>
      </c>
      <c r="S73">
        <f t="shared" si="3"/>
        <v>1.0682926829268291</v>
      </c>
      <c r="T73" s="24">
        <f t="shared" si="4"/>
        <v>-1.0682926829268291</v>
      </c>
      <c r="U73" s="24">
        <v>0</v>
      </c>
      <c r="W73">
        <v>942.3</v>
      </c>
      <c r="Y73">
        <f t="shared" si="6"/>
        <v>24626.2</v>
      </c>
      <c r="AA73">
        <v>11.103563366381049</v>
      </c>
    </row>
    <row r="74" spans="1:27" x14ac:dyDescent="0.25">
      <c r="A74">
        <v>5080</v>
      </c>
      <c r="B74">
        <v>18650</v>
      </c>
      <c r="C74" s="1">
        <v>42652</v>
      </c>
      <c r="F74" s="41"/>
      <c r="G74">
        <v>13.1</v>
      </c>
      <c r="H74">
        <v>8.9</v>
      </c>
      <c r="I74">
        <v>18.100000000000001</v>
      </c>
      <c r="J74">
        <f t="shared" si="5"/>
        <v>358.7</v>
      </c>
      <c r="M74">
        <v>0</v>
      </c>
      <c r="N74">
        <v>3.2</v>
      </c>
      <c r="O74">
        <f t="shared" si="2"/>
        <v>-3.2</v>
      </c>
      <c r="P74">
        <v>0</v>
      </c>
      <c r="Q74">
        <v>20</v>
      </c>
      <c r="R74">
        <f t="shared" si="7"/>
        <v>0.45304878048780484</v>
      </c>
      <c r="S74">
        <f t="shared" si="3"/>
        <v>1.4497560975609756</v>
      </c>
      <c r="T74" s="24">
        <f t="shared" si="4"/>
        <v>-1.4497560975609756</v>
      </c>
      <c r="U74" s="24">
        <v>0</v>
      </c>
      <c r="W74">
        <v>1286.3</v>
      </c>
      <c r="Y74">
        <f t="shared" si="6"/>
        <v>25912.5</v>
      </c>
      <c r="AA74">
        <v>11.053249681807872</v>
      </c>
    </row>
    <row r="75" spans="1:27" x14ac:dyDescent="0.25">
      <c r="A75">
        <v>5080</v>
      </c>
      <c r="B75">
        <v>18650</v>
      </c>
      <c r="C75" s="1">
        <v>42653</v>
      </c>
      <c r="F75" s="41"/>
      <c r="G75">
        <v>11.7</v>
      </c>
      <c r="H75">
        <v>7.1</v>
      </c>
      <c r="I75">
        <v>16.3</v>
      </c>
      <c r="J75">
        <f t="shared" si="5"/>
        <v>370.4</v>
      </c>
      <c r="M75">
        <v>0</v>
      </c>
      <c r="N75">
        <v>3.3</v>
      </c>
      <c r="O75">
        <f t="shared" si="2"/>
        <v>-3.3</v>
      </c>
      <c r="P75">
        <v>0</v>
      </c>
      <c r="Q75">
        <v>21</v>
      </c>
      <c r="R75">
        <f t="shared" si="7"/>
        <v>0.46097560975609753</v>
      </c>
      <c r="S75">
        <f t="shared" si="3"/>
        <v>1.5212195121951217</v>
      </c>
      <c r="T75" s="24">
        <f t="shared" si="4"/>
        <v>-1.5212195121951217</v>
      </c>
      <c r="U75" s="24">
        <v>0</v>
      </c>
      <c r="W75">
        <v>1640.8</v>
      </c>
      <c r="Y75">
        <f t="shared" si="6"/>
        <v>27553.3</v>
      </c>
      <c r="AA75">
        <v>11.003093342434234</v>
      </c>
    </row>
    <row r="76" spans="1:27" x14ac:dyDescent="0.25">
      <c r="A76">
        <v>5080</v>
      </c>
      <c r="B76">
        <v>18650</v>
      </c>
      <c r="C76" s="1">
        <v>42654</v>
      </c>
      <c r="F76" s="41"/>
      <c r="G76">
        <v>12.1</v>
      </c>
      <c r="H76">
        <v>7.9</v>
      </c>
      <c r="I76">
        <v>15.4</v>
      </c>
      <c r="J76">
        <f t="shared" si="5"/>
        <v>382.5</v>
      </c>
      <c r="M76">
        <v>0</v>
      </c>
      <c r="N76">
        <v>2.2000000000000002</v>
      </c>
      <c r="O76">
        <f t="shared" si="2"/>
        <v>-2.2000000000000002</v>
      </c>
      <c r="P76">
        <v>0</v>
      </c>
      <c r="Q76">
        <v>22</v>
      </c>
      <c r="R76">
        <f t="shared" si="7"/>
        <v>0.46890243902439022</v>
      </c>
      <c r="S76">
        <f t="shared" si="3"/>
        <v>1.0315853658536585</v>
      </c>
      <c r="T76" s="24">
        <f t="shared" si="4"/>
        <v>-1.0315853658536585</v>
      </c>
      <c r="U76" s="24">
        <v>0</v>
      </c>
      <c r="W76">
        <v>305.5</v>
      </c>
      <c r="Y76">
        <f t="shared" si="6"/>
        <v>27858.799999999999</v>
      </c>
      <c r="AA76">
        <v>10.953104310170184</v>
      </c>
    </row>
    <row r="77" spans="1:27" x14ac:dyDescent="0.25">
      <c r="A77">
        <v>5080</v>
      </c>
      <c r="B77">
        <v>18650</v>
      </c>
      <c r="C77" s="1">
        <v>42655</v>
      </c>
      <c r="F77" s="41"/>
      <c r="G77">
        <v>13</v>
      </c>
      <c r="H77">
        <v>9.9</v>
      </c>
      <c r="I77">
        <v>15.3</v>
      </c>
      <c r="J77">
        <f t="shared" si="5"/>
        <v>395.5</v>
      </c>
      <c r="M77">
        <v>0.6</v>
      </c>
      <c r="N77">
        <v>2.2000000000000002</v>
      </c>
      <c r="O77">
        <f t="shared" si="2"/>
        <v>-1.6</v>
      </c>
      <c r="P77">
        <v>0</v>
      </c>
      <c r="Q77">
        <v>23</v>
      </c>
      <c r="R77">
        <f t="shared" si="7"/>
        <v>0.47682926829268291</v>
      </c>
      <c r="S77">
        <f t="shared" si="3"/>
        <v>1.0490243902439025</v>
      </c>
      <c r="T77" s="24">
        <f t="shared" si="4"/>
        <v>-0.4490243902439025</v>
      </c>
      <c r="U77" s="24">
        <v>0</v>
      </c>
      <c r="W77">
        <v>553.1</v>
      </c>
      <c r="Y77">
        <f t="shared" si="6"/>
        <v>28411.899999999998</v>
      </c>
      <c r="AA77">
        <v>10.903292768908143</v>
      </c>
    </row>
    <row r="78" spans="1:27" x14ac:dyDescent="0.25">
      <c r="A78">
        <v>5080</v>
      </c>
      <c r="B78">
        <v>18650</v>
      </c>
      <c r="C78" s="1">
        <v>42656</v>
      </c>
      <c r="F78" s="41"/>
      <c r="G78">
        <v>15.9</v>
      </c>
      <c r="H78">
        <v>13.3</v>
      </c>
      <c r="I78">
        <v>18.399999999999999</v>
      </c>
      <c r="J78">
        <f t="shared" si="5"/>
        <v>411.4</v>
      </c>
      <c r="M78">
        <v>21.4</v>
      </c>
      <c r="N78">
        <v>0.9</v>
      </c>
      <c r="O78">
        <f t="shared" si="2"/>
        <v>20.5</v>
      </c>
      <c r="P78">
        <f t="shared" si="8"/>
        <v>20.5</v>
      </c>
      <c r="Q78">
        <v>24</v>
      </c>
      <c r="R78">
        <f t="shared" si="7"/>
        <v>0.4847560975609756</v>
      </c>
      <c r="S78">
        <f t="shared" si="3"/>
        <v>0.43628048780487805</v>
      </c>
      <c r="T78" s="24">
        <f t="shared" si="4"/>
        <v>20.963719512195119</v>
      </c>
      <c r="U78" s="24">
        <f t="shared" si="9"/>
        <v>20.963719512195119</v>
      </c>
      <c r="W78">
        <v>227.1</v>
      </c>
      <c r="Y78">
        <f t="shared" si="6"/>
        <v>28638.999999999996</v>
      </c>
      <c r="AA78">
        <v>10.853669133704086</v>
      </c>
    </row>
    <row r="79" spans="1:27" x14ac:dyDescent="0.25">
      <c r="A79">
        <v>5080</v>
      </c>
      <c r="B79">
        <v>18650</v>
      </c>
      <c r="C79" s="1">
        <v>42657</v>
      </c>
      <c r="F79" s="41"/>
      <c r="G79">
        <v>12.7</v>
      </c>
      <c r="H79">
        <v>12.8</v>
      </c>
      <c r="I79">
        <v>14</v>
      </c>
      <c r="J79">
        <f t="shared" si="5"/>
        <v>424.09999999999997</v>
      </c>
      <c r="M79">
        <v>2.5</v>
      </c>
      <c r="N79">
        <v>0.9</v>
      </c>
      <c r="O79">
        <f t="shared" si="2"/>
        <v>1.6</v>
      </c>
      <c r="P79">
        <f t="shared" si="8"/>
        <v>22.1</v>
      </c>
      <c r="Q79">
        <v>25</v>
      </c>
      <c r="R79">
        <f t="shared" si="7"/>
        <v>0.49268292682926829</v>
      </c>
      <c r="S79">
        <f t="shared" si="3"/>
        <v>0.44341463414634147</v>
      </c>
      <c r="T79" s="24">
        <f t="shared" si="4"/>
        <v>2.0565853658536586</v>
      </c>
      <c r="U79" s="24">
        <f t="shared" si="9"/>
        <v>23.020304878048776</v>
      </c>
      <c r="W79">
        <v>272.8</v>
      </c>
      <c r="Y79">
        <f t="shared" si="6"/>
        <v>28911.799999999996</v>
      </c>
      <c r="AA79">
        <v>10.804244059579664</v>
      </c>
    </row>
    <row r="80" spans="1:27" x14ac:dyDescent="0.25">
      <c r="A80">
        <v>5080</v>
      </c>
      <c r="B80">
        <v>18650</v>
      </c>
      <c r="C80" s="1">
        <v>42658</v>
      </c>
      <c r="F80" s="41"/>
      <c r="G80">
        <v>13.8</v>
      </c>
      <c r="H80">
        <v>7.5</v>
      </c>
      <c r="I80">
        <v>20.100000000000001</v>
      </c>
      <c r="J80">
        <f t="shared" si="5"/>
        <v>437.9</v>
      </c>
      <c r="M80">
        <v>0</v>
      </c>
      <c r="N80">
        <v>2.8</v>
      </c>
      <c r="O80">
        <f t="shared" si="2"/>
        <v>-2.8</v>
      </c>
      <c r="P80">
        <f t="shared" si="8"/>
        <v>19.3</v>
      </c>
      <c r="Q80">
        <v>26</v>
      </c>
      <c r="R80">
        <f t="shared" si="7"/>
        <v>0.50060975609756098</v>
      </c>
      <c r="S80">
        <f t="shared" si="3"/>
        <v>1.4017073170731706</v>
      </c>
      <c r="T80" s="24">
        <f t="shared" si="4"/>
        <v>-1.4017073170731706</v>
      </c>
      <c r="U80" s="24">
        <f t="shared" si="9"/>
        <v>21.618597560975605</v>
      </c>
      <c r="W80">
        <v>1457.5</v>
      </c>
      <c r="Y80">
        <f t="shared" si="6"/>
        <v>30369.299999999996</v>
      </c>
      <c r="AA80">
        <v>10.75502844991553</v>
      </c>
    </row>
    <row r="81" spans="1:27" x14ac:dyDescent="0.25">
      <c r="A81">
        <v>5080</v>
      </c>
      <c r="B81">
        <v>18650</v>
      </c>
      <c r="C81" s="1">
        <v>42659</v>
      </c>
      <c r="F81" s="41"/>
      <c r="G81">
        <v>14</v>
      </c>
      <c r="H81">
        <v>9.6</v>
      </c>
      <c r="I81">
        <v>18</v>
      </c>
      <c r="J81">
        <f t="shared" si="5"/>
        <v>451.9</v>
      </c>
      <c r="M81">
        <v>0</v>
      </c>
      <c r="N81">
        <v>0.9</v>
      </c>
      <c r="O81">
        <f t="shared" si="2"/>
        <v>-0.9</v>
      </c>
      <c r="P81">
        <f t="shared" si="8"/>
        <v>18.400000000000002</v>
      </c>
      <c r="Q81">
        <v>27</v>
      </c>
      <c r="R81">
        <f t="shared" si="7"/>
        <v>0.50853658536585367</v>
      </c>
      <c r="S81">
        <f t="shared" si="3"/>
        <v>0.45768292682926831</v>
      </c>
      <c r="T81" s="24">
        <f t="shared" si="4"/>
        <v>-0.45768292682926831</v>
      </c>
      <c r="U81" s="24">
        <f t="shared" si="9"/>
        <v>21.160914634146337</v>
      </c>
      <c r="W81">
        <v>593.1</v>
      </c>
      <c r="Y81">
        <f t="shared" si="6"/>
        <v>30962.399999999994</v>
      </c>
      <c r="AA81">
        <v>10.706033464404696</v>
      </c>
    </row>
    <row r="82" spans="1:27" x14ac:dyDescent="0.25">
      <c r="A82">
        <v>5080</v>
      </c>
      <c r="B82">
        <v>18650</v>
      </c>
      <c r="C82" s="1">
        <v>42660</v>
      </c>
      <c r="F82" s="41"/>
      <c r="G82">
        <v>17.100000000000001</v>
      </c>
      <c r="H82">
        <v>13.7</v>
      </c>
      <c r="I82">
        <v>20.100000000000001</v>
      </c>
      <c r="J82">
        <f t="shared" si="5"/>
        <v>469</v>
      </c>
      <c r="M82">
        <v>0.5</v>
      </c>
      <c r="N82">
        <v>1.2</v>
      </c>
      <c r="O82">
        <f t="shared" si="2"/>
        <v>-0.7</v>
      </c>
      <c r="P82">
        <f t="shared" si="8"/>
        <v>17.700000000000003</v>
      </c>
      <c r="Q82">
        <v>28</v>
      </c>
      <c r="R82">
        <f t="shared" si="7"/>
        <v>0.51646341463414636</v>
      </c>
      <c r="S82">
        <f t="shared" si="3"/>
        <v>0.61975609756097561</v>
      </c>
      <c r="T82" s="24">
        <f t="shared" si="4"/>
        <v>-0.11975609756097561</v>
      </c>
      <c r="U82" s="24">
        <f t="shared" si="9"/>
        <v>21.04115853658536</v>
      </c>
      <c r="W82">
        <v>820</v>
      </c>
      <c r="Y82">
        <f t="shared" si="6"/>
        <v>31782.399999999994</v>
      </c>
      <c r="AA82">
        <v>10.65727052653345</v>
      </c>
    </row>
    <row r="83" spans="1:27" x14ac:dyDescent="0.25">
      <c r="A83">
        <v>5080</v>
      </c>
      <c r="B83">
        <v>18650</v>
      </c>
      <c r="C83" s="1">
        <v>42661</v>
      </c>
      <c r="F83" s="41"/>
      <c r="G83">
        <v>15.6</v>
      </c>
      <c r="H83">
        <v>13.7</v>
      </c>
      <c r="I83">
        <v>18.8</v>
      </c>
      <c r="J83">
        <f t="shared" si="5"/>
        <v>484.6</v>
      </c>
      <c r="M83">
        <v>0</v>
      </c>
      <c r="N83">
        <v>1.6</v>
      </c>
      <c r="O83">
        <f t="shared" si="2"/>
        <v>-1.6</v>
      </c>
      <c r="P83">
        <f t="shared" si="8"/>
        <v>16.100000000000001</v>
      </c>
      <c r="Q83">
        <v>29</v>
      </c>
      <c r="R83">
        <f t="shared" si="7"/>
        <v>0.52439024390243905</v>
      </c>
      <c r="S83">
        <f t="shared" si="3"/>
        <v>0.83902439024390252</v>
      </c>
      <c r="T83" s="24">
        <f t="shared" si="4"/>
        <v>-0.83902439024390252</v>
      </c>
      <c r="U83" s="24">
        <f t="shared" si="9"/>
        <v>20.202134146341457</v>
      </c>
      <c r="W83">
        <v>776.8</v>
      </c>
      <c r="Y83">
        <f t="shared" si="6"/>
        <v>32559.199999999993</v>
      </c>
      <c r="AA83">
        <v>10.60875133055592</v>
      </c>
    </row>
    <row r="84" spans="1:27" x14ac:dyDescent="0.25">
      <c r="A84">
        <v>5080</v>
      </c>
      <c r="B84">
        <v>18650</v>
      </c>
      <c r="C84" s="1">
        <v>42662</v>
      </c>
      <c r="F84" s="41"/>
      <c r="G84">
        <v>13.3</v>
      </c>
      <c r="H84">
        <v>8.1999999999999993</v>
      </c>
      <c r="I84">
        <v>17.600000000000001</v>
      </c>
      <c r="J84">
        <f t="shared" si="5"/>
        <v>497.90000000000003</v>
      </c>
      <c r="M84">
        <v>0</v>
      </c>
      <c r="N84">
        <v>1.6</v>
      </c>
      <c r="O84">
        <f t="shared" si="2"/>
        <v>-1.6</v>
      </c>
      <c r="P84">
        <f t="shared" si="8"/>
        <v>14.500000000000002</v>
      </c>
      <c r="Q84">
        <v>30</v>
      </c>
      <c r="R84">
        <f t="shared" si="7"/>
        <v>0.53231707317073174</v>
      </c>
      <c r="S84">
        <f t="shared" si="3"/>
        <v>0.85170731707317082</v>
      </c>
      <c r="T84" s="24">
        <f t="shared" si="4"/>
        <v>-0.85170731707317082</v>
      </c>
      <c r="U84" s="24">
        <f t="shared" si="9"/>
        <v>19.350426829268287</v>
      </c>
      <c r="W84">
        <v>744.9</v>
      </c>
      <c r="Y84">
        <f t="shared" si="6"/>
        <v>33304.099999999991</v>
      </c>
      <c r="AA84">
        <v>10.560487847927005</v>
      </c>
    </row>
    <row r="85" spans="1:27" x14ac:dyDescent="0.25">
      <c r="A85">
        <v>5080</v>
      </c>
      <c r="B85">
        <v>18650</v>
      </c>
      <c r="C85" s="1">
        <v>42663</v>
      </c>
      <c r="F85" s="41"/>
      <c r="G85">
        <v>12.3</v>
      </c>
      <c r="H85">
        <v>11.3</v>
      </c>
      <c r="I85">
        <v>15.5</v>
      </c>
      <c r="J85">
        <f t="shared" si="5"/>
        <v>510.20000000000005</v>
      </c>
      <c r="M85">
        <v>0</v>
      </c>
      <c r="N85">
        <v>2.2000000000000002</v>
      </c>
      <c r="O85">
        <f t="shared" si="2"/>
        <v>-2.2000000000000002</v>
      </c>
      <c r="P85">
        <f t="shared" si="8"/>
        <v>12.3</v>
      </c>
      <c r="Q85">
        <v>31</v>
      </c>
      <c r="R85">
        <f t="shared" si="7"/>
        <v>0.54024390243902443</v>
      </c>
      <c r="S85">
        <f t="shared" si="3"/>
        <v>1.1885365853658538</v>
      </c>
      <c r="T85" s="24">
        <f t="shared" si="4"/>
        <v>-1.1885365853658538</v>
      </c>
      <c r="U85" s="24">
        <f t="shared" si="9"/>
        <v>18.161890243902434</v>
      </c>
      <c r="W85">
        <v>807.9</v>
      </c>
      <c r="Y85">
        <f t="shared" si="6"/>
        <v>34111.999999999993</v>
      </c>
      <c r="AA85">
        <v>10.512492333157148</v>
      </c>
    </row>
    <row r="86" spans="1:27" x14ac:dyDescent="0.25">
      <c r="A86">
        <v>5080</v>
      </c>
      <c r="B86">
        <v>18650</v>
      </c>
      <c r="C86" s="1">
        <v>42664</v>
      </c>
      <c r="F86" s="41"/>
      <c r="G86">
        <v>9.8000000000000007</v>
      </c>
      <c r="H86">
        <v>5.0999999999999996</v>
      </c>
      <c r="I86">
        <v>14.8</v>
      </c>
      <c r="J86">
        <f t="shared" si="5"/>
        <v>520</v>
      </c>
      <c r="M86">
        <v>0</v>
      </c>
      <c r="N86">
        <v>1.7</v>
      </c>
      <c r="O86">
        <f t="shared" si="2"/>
        <v>-1.7</v>
      </c>
      <c r="P86">
        <f t="shared" si="8"/>
        <v>10.600000000000001</v>
      </c>
      <c r="Q86">
        <v>32</v>
      </c>
      <c r="R86">
        <f t="shared" si="7"/>
        <v>0.548170731707317</v>
      </c>
      <c r="S86">
        <f t="shared" si="3"/>
        <v>0.93189024390243891</v>
      </c>
      <c r="T86" s="24">
        <f t="shared" si="4"/>
        <v>-0.93189024390243891</v>
      </c>
      <c r="U86" s="24">
        <f t="shared" si="9"/>
        <v>17.229999999999993</v>
      </c>
      <c r="W86">
        <v>1309.8</v>
      </c>
      <c r="Y86">
        <f t="shared" si="6"/>
        <v>35421.799999999996</v>
      </c>
      <c r="AA86">
        <v>10.464777329051072</v>
      </c>
    </row>
    <row r="87" spans="1:27" x14ac:dyDescent="0.25">
      <c r="A87">
        <v>5080</v>
      </c>
      <c r="B87">
        <v>18650</v>
      </c>
      <c r="C87" s="1">
        <v>42665</v>
      </c>
      <c r="F87" s="41"/>
      <c r="G87">
        <v>11.2</v>
      </c>
      <c r="H87">
        <v>4.2</v>
      </c>
      <c r="I87">
        <v>17.2</v>
      </c>
      <c r="J87">
        <f t="shared" si="5"/>
        <v>531.20000000000005</v>
      </c>
      <c r="M87">
        <v>0</v>
      </c>
      <c r="N87">
        <v>2.2000000000000002</v>
      </c>
      <c r="O87">
        <f t="shared" si="2"/>
        <v>-2.2000000000000002</v>
      </c>
      <c r="P87">
        <f t="shared" si="8"/>
        <v>8.4000000000000021</v>
      </c>
      <c r="Q87">
        <v>33</v>
      </c>
      <c r="R87">
        <f t="shared" si="7"/>
        <v>0.55609756097560981</v>
      </c>
      <c r="S87">
        <f t="shared" si="3"/>
        <v>1.2234146341463417</v>
      </c>
      <c r="T87" s="24">
        <f t="shared" si="4"/>
        <v>-1.2234146341463417</v>
      </c>
      <c r="U87" s="24">
        <f t="shared" si="9"/>
        <v>16.006585365853653</v>
      </c>
      <c r="W87">
        <v>1205.8</v>
      </c>
      <c r="Y87">
        <f t="shared" si="6"/>
        <v>36627.599999999999</v>
      </c>
      <c r="AA87">
        <v>10.417355671291457</v>
      </c>
    </row>
    <row r="88" spans="1:27" x14ac:dyDescent="0.25">
      <c r="A88">
        <v>5080</v>
      </c>
      <c r="B88">
        <v>18650</v>
      </c>
      <c r="C88" s="1">
        <v>42666</v>
      </c>
      <c r="F88" s="41"/>
      <c r="G88">
        <v>18</v>
      </c>
      <c r="H88">
        <v>12.8</v>
      </c>
      <c r="I88">
        <v>21.2</v>
      </c>
      <c r="J88">
        <f t="shared" si="5"/>
        <v>549.20000000000005</v>
      </c>
      <c r="M88">
        <v>0</v>
      </c>
      <c r="N88">
        <v>2</v>
      </c>
      <c r="O88">
        <f t="shared" si="2"/>
        <v>-2</v>
      </c>
      <c r="P88">
        <f t="shared" si="8"/>
        <v>6.4000000000000021</v>
      </c>
      <c r="Q88">
        <v>34</v>
      </c>
      <c r="R88">
        <f t="shared" si="7"/>
        <v>0.56402439024390238</v>
      </c>
      <c r="S88">
        <f t="shared" si="3"/>
        <v>1.1280487804878048</v>
      </c>
      <c r="T88" s="24">
        <f t="shared" si="4"/>
        <v>-1.1280487804878048</v>
      </c>
      <c r="U88" s="24">
        <f t="shared" si="9"/>
        <v>14.878536585365847</v>
      </c>
      <c r="W88">
        <v>894.4</v>
      </c>
      <c r="Y88">
        <f t="shared" si="6"/>
        <v>37522</v>
      </c>
      <c r="AA88">
        <v>10.370240492327321</v>
      </c>
    </row>
    <row r="89" spans="1:27" x14ac:dyDescent="0.25">
      <c r="A89">
        <v>5080</v>
      </c>
      <c r="B89">
        <v>18650</v>
      </c>
      <c r="C89" s="1">
        <v>42667</v>
      </c>
      <c r="F89" s="41"/>
      <c r="G89">
        <v>16.7</v>
      </c>
      <c r="H89">
        <v>14.5</v>
      </c>
      <c r="I89">
        <v>19.600000000000001</v>
      </c>
      <c r="J89">
        <f t="shared" si="5"/>
        <v>565.90000000000009</v>
      </c>
      <c r="M89">
        <v>9.6</v>
      </c>
      <c r="N89">
        <v>0.9</v>
      </c>
      <c r="O89">
        <f t="shared" si="2"/>
        <v>8.6999999999999993</v>
      </c>
      <c r="P89">
        <f t="shared" si="8"/>
        <v>15.100000000000001</v>
      </c>
      <c r="Q89">
        <v>35</v>
      </c>
      <c r="R89">
        <f t="shared" si="7"/>
        <v>0.57195121951219519</v>
      </c>
      <c r="S89">
        <f t="shared" si="3"/>
        <v>0.51475609756097573</v>
      </c>
      <c r="T89" s="24">
        <f t="shared" si="4"/>
        <v>9.0852439024390232</v>
      </c>
      <c r="U89" s="24">
        <f t="shared" si="9"/>
        <v>23.963780487804868</v>
      </c>
      <c r="W89">
        <v>325.7</v>
      </c>
      <c r="Y89">
        <f t="shared" si="6"/>
        <v>37847.699999999997</v>
      </c>
      <c r="AA89">
        <v>10.323445224525965</v>
      </c>
    </row>
    <row r="90" spans="1:27" x14ac:dyDescent="0.25">
      <c r="A90">
        <v>5080</v>
      </c>
      <c r="B90">
        <v>18650</v>
      </c>
      <c r="C90" s="1">
        <v>42668</v>
      </c>
      <c r="F90" s="41"/>
      <c r="G90">
        <v>15.9</v>
      </c>
      <c r="H90">
        <v>14.1</v>
      </c>
      <c r="I90">
        <v>18</v>
      </c>
      <c r="J90">
        <f t="shared" si="5"/>
        <v>581.80000000000007</v>
      </c>
      <c r="M90">
        <v>0.1</v>
      </c>
      <c r="N90">
        <v>0.8</v>
      </c>
      <c r="O90">
        <f t="shared" si="2"/>
        <v>-0.70000000000000007</v>
      </c>
      <c r="P90">
        <f t="shared" si="8"/>
        <v>14.400000000000002</v>
      </c>
      <c r="Q90">
        <v>36</v>
      </c>
      <c r="R90">
        <f t="shared" si="7"/>
        <v>0.57987804878048776</v>
      </c>
      <c r="S90">
        <f t="shared" si="3"/>
        <v>0.46390243902439021</v>
      </c>
      <c r="T90" s="24">
        <f t="shared" si="4"/>
        <v>-0.36390243902439023</v>
      </c>
      <c r="U90" s="24">
        <f t="shared" si="9"/>
        <v>23.599878048780479</v>
      </c>
      <c r="W90">
        <v>364.1</v>
      </c>
      <c r="Y90">
        <f t="shared" si="6"/>
        <v>38211.799999999996</v>
      </c>
      <c r="AA90">
        <v>10.276983602546288</v>
      </c>
    </row>
    <row r="91" spans="1:27" x14ac:dyDescent="0.25">
      <c r="A91">
        <v>5080</v>
      </c>
      <c r="B91">
        <v>18650</v>
      </c>
      <c r="C91" s="1">
        <v>42669</v>
      </c>
      <c r="F91" s="41"/>
      <c r="G91">
        <v>15</v>
      </c>
      <c r="H91">
        <v>14.2</v>
      </c>
      <c r="I91">
        <v>16.7</v>
      </c>
      <c r="J91">
        <f t="shared" si="5"/>
        <v>596.80000000000007</v>
      </c>
      <c r="M91">
        <v>0.1</v>
      </c>
      <c r="N91">
        <v>0.8</v>
      </c>
      <c r="O91">
        <f t="shared" si="2"/>
        <v>-0.70000000000000007</v>
      </c>
      <c r="P91">
        <f t="shared" si="8"/>
        <v>13.700000000000003</v>
      </c>
      <c r="Q91">
        <v>37</v>
      </c>
      <c r="R91">
        <f t="shared" si="7"/>
        <v>0.58780487804878045</v>
      </c>
      <c r="S91">
        <f t="shared" si="3"/>
        <v>0.47024390243902436</v>
      </c>
      <c r="T91" s="24">
        <f t="shared" si="4"/>
        <v>-0.37024390243902439</v>
      </c>
      <c r="U91" s="24">
        <f t="shared" si="9"/>
        <v>23.229634146341454</v>
      </c>
      <c r="W91">
        <v>323.8</v>
      </c>
      <c r="Y91">
        <f t="shared" si="6"/>
        <v>38535.599999999999</v>
      </c>
      <c r="AA91">
        <v>10.230869664890649</v>
      </c>
    </row>
    <row r="92" spans="1:27" x14ac:dyDescent="0.25">
      <c r="A92">
        <v>5080</v>
      </c>
      <c r="B92">
        <v>18650</v>
      </c>
      <c r="C92" s="1">
        <v>42670</v>
      </c>
      <c r="F92" s="41"/>
      <c r="G92">
        <v>10.1</v>
      </c>
      <c r="H92">
        <v>10.199999999999999</v>
      </c>
      <c r="I92">
        <v>11.5</v>
      </c>
      <c r="J92">
        <f t="shared" si="5"/>
        <v>606.90000000000009</v>
      </c>
      <c r="M92">
        <v>0.4</v>
      </c>
      <c r="N92">
        <v>0.8</v>
      </c>
      <c r="O92">
        <f t="shared" si="2"/>
        <v>-0.4</v>
      </c>
      <c r="P92">
        <f t="shared" si="8"/>
        <v>13.300000000000002</v>
      </c>
      <c r="Q92">
        <v>38</v>
      </c>
      <c r="R92">
        <f t="shared" si="7"/>
        <v>0.59573170731707314</v>
      </c>
      <c r="S92">
        <f t="shared" si="3"/>
        <v>0.47658536585365852</v>
      </c>
      <c r="T92" s="24">
        <f t="shared" si="4"/>
        <v>-7.6585365853658494E-2</v>
      </c>
      <c r="U92" s="24">
        <f t="shared" si="9"/>
        <v>23.153048780487794</v>
      </c>
      <c r="W92">
        <v>338.7</v>
      </c>
      <c r="Y92">
        <f t="shared" si="6"/>
        <v>38874.299999999996</v>
      </c>
      <c r="AA92">
        <v>10.185117754591692</v>
      </c>
    </row>
    <row r="93" spans="1:27" x14ac:dyDescent="0.25">
      <c r="A93">
        <v>5080</v>
      </c>
      <c r="B93">
        <v>18650</v>
      </c>
      <c r="C93" s="1">
        <v>42671</v>
      </c>
      <c r="F93" s="41"/>
      <c r="G93">
        <v>8</v>
      </c>
      <c r="H93">
        <v>5.9</v>
      </c>
      <c r="I93">
        <v>9.5</v>
      </c>
      <c r="J93">
        <f t="shared" si="5"/>
        <v>614.90000000000009</v>
      </c>
      <c r="M93">
        <v>0.3</v>
      </c>
      <c r="N93">
        <v>0.9</v>
      </c>
      <c r="O93">
        <f t="shared" si="2"/>
        <v>-0.60000000000000009</v>
      </c>
      <c r="P93">
        <f t="shared" si="8"/>
        <v>12.700000000000003</v>
      </c>
      <c r="Q93">
        <v>39</v>
      </c>
      <c r="R93">
        <f t="shared" si="7"/>
        <v>0.60365853658536583</v>
      </c>
      <c r="S93">
        <f t="shared" si="3"/>
        <v>0.54329268292682931</v>
      </c>
      <c r="T93" s="24">
        <f t="shared" si="4"/>
        <v>-0.24329268292682932</v>
      </c>
      <c r="U93" s="24">
        <f t="shared" si="9"/>
        <v>22.909756097560965</v>
      </c>
      <c r="W93">
        <v>303.60000000000002</v>
      </c>
      <c r="Y93">
        <f t="shared" si="6"/>
        <v>39177.899999999994</v>
      </c>
      <c r="AA93">
        <v>10.139742518990237</v>
      </c>
    </row>
    <row r="94" spans="1:27" x14ac:dyDescent="0.25">
      <c r="A94">
        <v>5080</v>
      </c>
      <c r="B94">
        <v>18650</v>
      </c>
      <c r="C94" s="1">
        <v>42672</v>
      </c>
      <c r="F94" s="41"/>
      <c r="G94">
        <v>9.8000000000000007</v>
      </c>
      <c r="H94">
        <v>5.7</v>
      </c>
      <c r="I94">
        <v>13.2</v>
      </c>
      <c r="J94">
        <f t="shared" si="5"/>
        <v>624.70000000000005</v>
      </c>
      <c r="M94">
        <v>0</v>
      </c>
      <c r="N94">
        <v>1.6</v>
      </c>
      <c r="O94">
        <f t="shared" si="2"/>
        <v>-1.6</v>
      </c>
      <c r="P94">
        <f t="shared" si="8"/>
        <v>11.100000000000003</v>
      </c>
      <c r="Q94">
        <v>40</v>
      </c>
      <c r="R94">
        <f t="shared" si="7"/>
        <v>0.61158536585365852</v>
      </c>
      <c r="S94">
        <f t="shared" si="3"/>
        <v>0.97853658536585364</v>
      </c>
      <c r="T94" s="24">
        <f t="shared" si="4"/>
        <v>-0.97853658536585364</v>
      </c>
      <c r="U94" s="24">
        <f t="shared" si="9"/>
        <v>21.931219512195113</v>
      </c>
      <c r="W94">
        <v>832.1</v>
      </c>
      <c r="Y94">
        <f t="shared" si="6"/>
        <v>40009.999999999993</v>
      </c>
      <c r="AA94">
        <v>10.094758908560074</v>
      </c>
    </row>
    <row r="95" spans="1:27" x14ac:dyDescent="0.25">
      <c r="A95">
        <v>5080</v>
      </c>
      <c r="B95">
        <v>18650</v>
      </c>
      <c r="C95" s="1">
        <v>42673</v>
      </c>
      <c r="F95" s="41"/>
      <c r="G95">
        <v>11.6</v>
      </c>
      <c r="H95">
        <v>4</v>
      </c>
      <c r="I95">
        <v>18.3</v>
      </c>
      <c r="J95">
        <f t="shared" si="5"/>
        <v>636.30000000000007</v>
      </c>
      <c r="M95">
        <v>0</v>
      </c>
      <c r="N95">
        <v>2.2000000000000002</v>
      </c>
      <c r="O95">
        <f t="shared" si="2"/>
        <v>-2.2000000000000002</v>
      </c>
      <c r="P95">
        <f t="shared" si="8"/>
        <v>8.9000000000000021</v>
      </c>
      <c r="Q95">
        <v>41</v>
      </c>
      <c r="R95">
        <f t="shared" si="7"/>
        <v>0.61951219512195121</v>
      </c>
      <c r="S95">
        <f t="shared" si="3"/>
        <v>1.3629268292682928</v>
      </c>
      <c r="T95" s="24">
        <f t="shared" si="4"/>
        <v>-1.3629268292682928</v>
      </c>
      <c r="U95" s="24">
        <f t="shared" si="9"/>
        <v>20.56829268292682</v>
      </c>
      <c r="W95">
        <v>1256.3</v>
      </c>
      <c r="Y95">
        <f t="shared" si="6"/>
        <v>41266.299999999996</v>
      </c>
      <c r="AA95">
        <v>10.050182174735452</v>
      </c>
    </row>
    <row r="96" spans="1:27" x14ac:dyDescent="0.25">
      <c r="A96">
        <v>5080</v>
      </c>
      <c r="B96">
        <v>18650</v>
      </c>
      <c r="C96" s="1">
        <v>42674</v>
      </c>
      <c r="F96" s="41"/>
      <c r="G96">
        <v>13.7</v>
      </c>
      <c r="H96">
        <v>7.3</v>
      </c>
      <c r="I96">
        <v>19.3</v>
      </c>
      <c r="J96">
        <f t="shared" si="5"/>
        <v>650.00000000000011</v>
      </c>
      <c r="M96">
        <v>0.1</v>
      </c>
      <c r="N96">
        <v>2.6</v>
      </c>
      <c r="O96">
        <f t="shared" si="2"/>
        <v>-2.5</v>
      </c>
      <c r="P96">
        <f t="shared" si="8"/>
        <v>6.4000000000000021</v>
      </c>
      <c r="Q96">
        <v>42</v>
      </c>
      <c r="R96">
        <f t="shared" si="7"/>
        <v>0.6274390243902439</v>
      </c>
      <c r="S96">
        <f t="shared" si="3"/>
        <v>1.6313414634146342</v>
      </c>
      <c r="T96" s="24">
        <f t="shared" si="4"/>
        <v>-1.5313414634146341</v>
      </c>
      <c r="U96" s="24">
        <f t="shared" si="9"/>
        <v>19.036951219512186</v>
      </c>
      <c r="W96">
        <v>1255.2</v>
      </c>
      <c r="Y96">
        <f t="shared" si="6"/>
        <v>42521.499999999993</v>
      </c>
      <c r="AA96">
        <v>10.006027866697385</v>
      </c>
    </row>
    <row r="97" spans="1:27" x14ac:dyDescent="0.25">
      <c r="A97">
        <v>5080</v>
      </c>
      <c r="B97">
        <v>18650</v>
      </c>
      <c r="C97" s="1">
        <v>42675</v>
      </c>
      <c r="F97" s="41"/>
      <c r="G97">
        <v>14.2</v>
      </c>
      <c r="H97">
        <v>8.6</v>
      </c>
      <c r="I97">
        <v>21</v>
      </c>
      <c r="J97">
        <f t="shared" si="5"/>
        <v>664.20000000000016</v>
      </c>
      <c r="M97">
        <v>0.1</v>
      </c>
      <c r="N97">
        <v>2.4</v>
      </c>
      <c r="O97">
        <f t="shared" si="2"/>
        <v>-2.2999999999999998</v>
      </c>
      <c r="P97">
        <f t="shared" si="8"/>
        <v>4.1000000000000023</v>
      </c>
      <c r="Q97">
        <v>43</v>
      </c>
      <c r="R97">
        <f t="shared" si="7"/>
        <v>0.63536585365853659</v>
      </c>
      <c r="S97">
        <f t="shared" si="3"/>
        <v>1.5248780487804878</v>
      </c>
      <c r="T97" s="24">
        <f t="shared" si="4"/>
        <v>-1.4248780487804877</v>
      </c>
      <c r="U97" s="24">
        <f t="shared" si="9"/>
        <v>17.612073170731698</v>
      </c>
      <c r="W97">
        <v>1205.7</v>
      </c>
      <c r="Y97">
        <f t="shared" si="6"/>
        <v>43727.19999999999</v>
      </c>
      <c r="AA97">
        <v>9.9623118270753963</v>
      </c>
    </row>
    <row r="98" spans="1:27" x14ac:dyDescent="0.25">
      <c r="A98">
        <v>5080</v>
      </c>
      <c r="B98">
        <v>18650</v>
      </c>
      <c r="C98" s="1">
        <v>42676</v>
      </c>
      <c r="F98" s="41"/>
      <c r="G98">
        <v>12.9</v>
      </c>
      <c r="H98">
        <v>6.8</v>
      </c>
      <c r="I98">
        <v>19</v>
      </c>
      <c r="J98">
        <f t="shared" si="5"/>
        <v>677.10000000000014</v>
      </c>
      <c r="M98">
        <v>0.2</v>
      </c>
      <c r="N98">
        <v>1.8</v>
      </c>
      <c r="O98">
        <f t="shared" si="2"/>
        <v>-1.6</v>
      </c>
      <c r="P98">
        <f t="shared" si="8"/>
        <v>2.5000000000000022</v>
      </c>
      <c r="Q98">
        <v>44</v>
      </c>
      <c r="R98">
        <f t="shared" si="7"/>
        <v>0.64329268292682928</v>
      </c>
      <c r="S98">
        <f t="shared" si="3"/>
        <v>1.1579268292682927</v>
      </c>
      <c r="T98" s="24">
        <f t="shared" si="4"/>
        <v>-0.95792682926829276</v>
      </c>
      <c r="U98" s="24">
        <f t="shared" si="9"/>
        <v>16.654146341463406</v>
      </c>
      <c r="W98">
        <v>1086.2</v>
      </c>
      <c r="Y98">
        <f t="shared" si="6"/>
        <v>44813.399999999987</v>
      </c>
      <c r="AA98">
        <v>9.9190501865221492</v>
      </c>
    </row>
    <row r="99" spans="1:27" x14ac:dyDescent="0.25">
      <c r="A99">
        <v>5080</v>
      </c>
      <c r="B99">
        <v>18650</v>
      </c>
      <c r="C99" s="1">
        <v>42677</v>
      </c>
      <c r="F99" s="41"/>
      <c r="G99">
        <v>9.9</v>
      </c>
      <c r="H99">
        <v>9.4</v>
      </c>
      <c r="I99">
        <v>10.8</v>
      </c>
      <c r="J99">
        <f t="shared" si="5"/>
        <v>687.00000000000011</v>
      </c>
      <c r="M99">
        <v>0</v>
      </c>
      <c r="N99">
        <v>0.7</v>
      </c>
      <c r="O99">
        <f t="shared" si="2"/>
        <v>-0.7</v>
      </c>
      <c r="P99">
        <f t="shared" si="8"/>
        <v>1.8000000000000023</v>
      </c>
      <c r="Q99">
        <v>45</v>
      </c>
      <c r="R99">
        <f t="shared" si="7"/>
        <v>0.65121951219512197</v>
      </c>
      <c r="S99">
        <f t="shared" si="3"/>
        <v>0.45585365853658533</v>
      </c>
      <c r="T99" s="24">
        <f t="shared" si="4"/>
        <v>-0.45585365853658533</v>
      </c>
      <c r="U99" s="24">
        <f t="shared" si="9"/>
        <v>16.198292682926819</v>
      </c>
      <c r="W99">
        <v>307.89999999999998</v>
      </c>
      <c r="Y99">
        <f t="shared" si="6"/>
        <v>45121.299999999988</v>
      </c>
      <c r="AA99">
        <v>9.8762593571196344</v>
      </c>
    </row>
    <row r="100" spans="1:27" x14ac:dyDescent="0.25">
      <c r="A100">
        <v>5080</v>
      </c>
      <c r="B100">
        <v>18650</v>
      </c>
      <c r="C100" s="1">
        <v>42678</v>
      </c>
      <c r="F100" s="41"/>
      <c r="G100">
        <v>11.9</v>
      </c>
      <c r="H100">
        <v>6.3</v>
      </c>
      <c r="I100">
        <v>16.8</v>
      </c>
      <c r="J100">
        <f t="shared" si="5"/>
        <v>698.90000000000009</v>
      </c>
      <c r="M100">
        <v>2.1</v>
      </c>
      <c r="N100">
        <v>0.8</v>
      </c>
      <c r="O100">
        <f t="shared" si="2"/>
        <v>1.3</v>
      </c>
      <c r="P100">
        <f t="shared" si="8"/>
        <v>3.1000000000000023</v>
      </c>
      <c r="Q100">
        <v>46</v>
      </c>
      <c r="R100">
        <f t="shared" si="7"/>
        <v>0.65914634146341466</v>
      </c>
      <c r="S100">
        <f t="shared" si="3"/>
        <v>0.52731707317073173</v>
      </c>
      <c r="T100" s="24">
        <f t="shared" si="4"/>
        <v>1.5726829268292684</v>
      </c>
      <c r="U100" s="24">
        <f t="shared" si="9"/>
        <v>17.770975609756089</v>
      </c>
      <c r="W100">
        <v>422.6</v>
      </c>
      <c r="Y100">
        <f t="shared" si="6"/>
        <v>45543.899999999987</v>
      </c>
      <c r="AA100">
        <v>9.8339560245770343</v>
      </c>
    </row>
    <row r="101" spans="1:27" x14ac:dyDescent="0.25">
      <c r="A101">
        <v>5080</v>
      </c>
      <c r="B101">
        <v>18650</v>
      </c>
      <c r="C101" s="1">
        <v>42679</v>
      </c>
      <c r="F101" s="41"/>
      <c r="G101">
        <v>11.2</v>
      </c>
      <c r="H101">
        <v>10.6</v>
      </c>
      <c r="I101">
        <v>12.3</v>
      </c>
      <c r="J101">
        <f t="shared" si="5"/>
        <v>710.10000000000014</v>
      </c>
      <c r="M101">
        <v>8</v>
      </c>
      <c r="N101">
        <v>0.7</v>
      </c>
      <c r="O101">
        <f t="shared" si="2"/>
        <v>7.3</v>
      </c>
      <c r="P101">
        <f t="shared" si="8"/>
        <v>10.400000000000002</v>
      </c>
      <c r="Q101">
        <v>47</v>
      </c>
      <c r="R101">
        <f t="shared" si="7"/>
        <v>0.66707317073170724</v>
      </c>
      <c r="S101">
        <f t="shared" si="3"/>
        <v>0.46695121951219504</v>
      </c>
      <c r="T101" s="24">
        <f t="shared" si="4"/>
        <v>7.533048780487805</v>
      </c>
      <c r="U101" s="24">
        <f t="shared" si="9"/>
        <v>25.304024390243896</v>
      </c>
      <c r="W101">
        <v>156.19999999999999</v>
      </c>
      <c r="Y101">
        <f t="shared" si="6"/>
        <v>45700.099999999984</v>
      </c>
      <c r="AA101">
        <v>9.7921571391824216</v>
      </c>
    </row>
    <row r="102" spans="1:27" x14ac:dyDescent="0.25">
      <c r="A102">
        <v>5080</v>
      </c>
      <c r="B102">
        <v>18650</v>
      </c>
      <c r="C102" s="1">
        <v>42680</v>
      </c>
      <c r="F102" s="41"/>
      <c r="G102">
        <v>7.7</v>
      </c>
      <c r="H102">
        <v>6.2</v>
      </c>
      <c r="I102">
        <v>10</v>
      </c>
      <c r="J102">
        <f t="shared" si="5"/>
        <v>717.80000000000018</v>
      </c>
      <c r="M102">
        <v>2.4</v>
      </c>
      <c r="N102">
        <v>0.8</v>
      </c>
      <c r="O102">
        <f t="shared" si="2"/>
        <v>1.5999999999999999</v>
      </c>
      <c r="P102">
        <f t="shared" si="8"/>
        <v>12.000000000000002</v>
      </c>
      <c r="Q102">
        <v>48</v>
      </c>
      <c r="R102">
        <f t="shared" si="7"/>
        <v>0.67500000000000004</v>
      </c>
      <c r="S102">
        <f t="shared" si="3"/>
        <v>0.54</v>
      </c>
      <c r="T102" s="24">
        <f t="shared" si="4"/>
        <v>1.8599999999999999</v>
      </c>
      <c r="U102" s="24">
        <f t="shared" si="9"/>
        <v>27.164024390243895</v>
      </c>
      <c r="W102">
        <v>375.6</v>
      </c>
      <c r="Y102">
        <f t="shared" si="6"/>
        <v>46075.699999999983</v>
      </c>
      <c r="AA102">
        <v>9.750879905472587</v>
      </c>
    </row>
    <row r="103" spans="1:27" x14ac:dyDescent="0.25">
      <c r="A103">
        <v>5080</v>
      </c>
      <c r="B103">
        <v>18650</v>
      </c>
      <c r="C103" s="1">
        <v>42681</v>
      </c>
      <c r="F103" s="41"/>
      <c r="G103">
        <v>6.4</v>
      </c>
      <c r="H103">
        <v>4.9000000000000004</v>
      </c>
      <c r="I103">
        <v>7.8</v>
      </c>
      <c r="J103">
        <f t="shared" si="5"/>
        <v>724.20000000000016</v>
      </c>
      <c r="M103">
        <v>0.1</v>
      </c>
      <c r="N103">
        <v>0.6</v>
      </c>
      <c r="O103">
        <f t="shared" si="2"/>
        <v>-0.5</v>
      </c>
      <c r="P103">
        <f t="shared" si="8"/>
        <v>11.500000000000002</v>
      </c>
      <c r="Q103">
        <v>49</v>
      </c>
      <c r="R103">
        <f t="shared" si="7"/>
        <v>0.68292682926829262</v>
      </c>
      <c r="S103">
        <f t="shared" si="3"/>
        <v>0.40975609756097559</v>
      </c>
      <c r="T103" s="24">
        <f t="shared" si="4"/>
        <v>-0.30975609756097555</v>
      </c>
      <c r="U103" s="24">
        <f t="shared" si="9"/>
        <v>26.854268292682921</v>
      </c>
      <c r="W103">
        <v>332.3</v>
      </c>
      <c r="Y103">
        <f t="shared" si="6"/>
        <v>46407.999999999985</v>
      </c>
      <c r="AA103">
        <v>9.7101417705882653</v>
      </c>
    </row>
    <row r="104" spans="1:27" x14ac:dyDescent="0.25">
      <c r="A104">
        <v>5080</v>
      </c>
      <c r="B104">
        <v>18650</v>
      </c>
      <c r="C104" s="1">
        <v>42682</v>
      </c>
      <c r="F104" s="41"/>
      <c r="G104">
        <v>7.5</v>
      </c>
      <c r="H104">
        <v>5.2</v>
      </c>
      <c r="I104">
        <v>8.9</v>
      </c>
      <c r="J104">
        <f t="shared" si="5"/>
        <v>731.70000000000016</v>
      </c>
      <c r="M104">
        <v>5.7</v>
      </c>
      <c r="N104">
        <v>1</v>
      </c>
      <c r="O104">
        <f t="shared" si="2"/>
        <v>4.7</v>
      </c>
      <c r="P104">
        <f t="shared" si="8"/>
        <v>16.200000000000003</v>
      </c>
      <c r="Q104">
        <v>50</v>
      </c>
      <c r="R104">
        <f t="shared" si="7"/>
        <v>0.69085365853658542</v>
      </c>
      <c r="S104">
        <f t="shared" si="3"/>
        <v>0.69085365853658542</v>
      </c>
      <c r="T104" s="24">
        <f t="shared" si="4"/>
        <v>5.0091463414634152</v>
      </c>
      <c r="U104" s="24">
        <f t="shared" si="9"/>
        <v>31.863414634146338</v>
      </c>
      <c r="W104">
        <v>624.5</v>
      </c>
      <c r="Y104">
        <f t="shared" si="6"/>
        <v>47032.499999999985</v>
      </c>
      <c r="AA104">
        <v>9.6699604112849666</v>
      </c>
    </row>
    <row r="105" spans="1:27" x14ac:dyDescent="0.25">
      <c r="A105">
        <v>5080</v>
      </c>
      <c r="B105">
        <v>18650</v>
      </c>
      <c r="C105" s="1">
        <v>42683</v>
      </c>
      <c r="F105" s="41"/>
      <c r="G105">
        <v>10.3</v>
      </c>
      <c r="H105">
        <v>8</v>
      </c>
      <c r="I105">
        <v>13.3</v>
      </c>
      <c r="J105">
        <f t="shared" si="5"/>
        <v>742.00000000000011</v>
      </c>
      <c r="M105">
        <v>4.4000000000000004</v>
      </c>
      <c r="N105">
        <v>1.4</v>
      </c>
      <c r="O105">
        <f t="shared" si="2"/>
        <v>3.0000000000000004</v>
      </c>
      <c r="P105">
        <f t="shared" si="8"/>
        <v>19.200000000000003</v>
      </c>
      <c r="Q105">
        <v>51</v>
      </c>
      <c r="R105">
        <f t="shared" si="7"/>
        <v>0.698780487804878</v>
      </c>
      <c r="S105">
        <f t="shared" si="3"/>
        <v>0.97829268292682914</v>
      </c>
      <c r="T105" s="24">
        <f t="shared" si="4"/>
        <v>3.4217073170731713</v>
      </c>
      <c r="U105" s="24">
        <f t="shared" si="9"/>
        <v>35.285121951219509</v>
      </c>
      <c r="W105">
        <v>480.8</v>
      </c>
      <c r="Y105">
        <f t="shared" si="6"/>
        <v>47513.299999999988</v>
      </c>
      <c r="AA105">
        <v>9.6303537195735611</v>
      </c>
    </row>
    <row r="106" spans="1:27" x14ac:dyDescent="0.25">
      <c r="A106">
        <v>5080</v>
      </c>
      <c r="B106">
        <v>18650</v>
      </c>
      <c r="C106" s="1">
        <v>42684</v>
      </c>
      <c r="F106" s="41"/>
      <c r="G106">
        <v>11.2</v>
      </c>
      <c r="H106">
        <v>9.6999999999999993</v>
      </c>
      <c r="I106">
        <v>13.2</v>
      </c>
      <c r="J106">
        <f t="shared" si="5"/>
        <v>753.20000000000016</v>
      </c>
      <c r="M106">
        <v>10.8</v>
      </c>
      <c r="N106">
        <v>1</v>
      </c>
      <c r="O106">
        <f t="shared" si="2"/>
        <v>9.8000000000000007</v>
      </c>
      <c r="P106">
        <f t="shared" si="8"/>
        <v>29.000000000000004</v>
      </c>
      <c r="Q106">
        <v>52</v>
      </c>
      <c r="R106">
        <f t="shared" si="7"/>
        <v>0.7067073170731708</v>
      </c>
      <c r="S106">
        <f t="shared" si="3"/>
        <v>0.7067073170731708</v>
      </c>
      <c r="T106" s="24">
        <f t="shared" si="4"/>
        <v>10.09329268292683</v>
      </c>
      <c r="U106" s="24">
        <f t="shared" si="9"/>
        <v>45.378414634146338</v>
      </c>
      <c r="W106">
        <v>284.5</v>
      </c>
      <c r="Y106">
        <f t="shared" si="6"/>
        <v>47797.799999999988</v>
      </c>
      <c r="AA106">
        <v>9.5913397869686516</v>
      </c>
    </row>
    <row r="107" spans="1:27" x14ac:dyDescent="0.25">
      <c r="A107">
        <v>5080</v>
      </c>
      <c r="B107">
        <v>18650</v>
      </c>
      <c r="C107" s="1">
        <v>42685</v>
      </c>
      <c r="F107" s="41"/>
      <c r="G107">
        <v>11.7</v>
      </c>
      <c r="H107">
        <v>10.8</v>
      </c>
      <c r="I107">
        <v>12.7</v>
      </c>
      <c r="J107">
        <f t="shared" si="5"/>
        <v>764.9000000000002</v>
      </c>
      <c r="M107">
        <v>1.4</v>
      </c>
      <c r="N107">
        <v>0.9</v>
      </c>
      <c r="O107">
        <f t="shared" si="2"/>
        <v>0.49999999999999989</v>
      </c>
      <c r="P107">
        <f t="shared" si="8"/>
        <v>29.500000000000004</v>
      </c>
      <c r="Q107">
        <v>53</v>
      </c>
      <c r="R107">
        <f t="shared" si="7"/>
        <v>0.71463414634146338</v>
      </c>
      <c r="S107">
        <f t="shared" si="3"/>
        <v>0.64317073170731709</v>
      </c>
      <c r="T107" s="24">
        <f t="shared" si="4"/>
        <v>0.75682926829268282</v>
      </c>
      <c r="U107" s="24">
        <f t="shared" si="9"/>
        <v>46.135243902439022</v>
      </c>
      <c r="W107">
        <v>521</v>
      </c>
      <c r="Y107">
        <f t="shared" si="6"/>
        <v>48318.799999999988</v>
      </c>
      <c r="AA107">
        <v>9.5529368873276628</v>
      </c>
    </row>
    <row r="108" spans="1:27" x14ac:dyDescent="0.25">
      <c r="A108">
        <v>5080</v>
      </c>
      <c r="B108">
        <v>18650</v>
      </c>
      <c r="C108" s="1">
        <v>42686</v>
      </c>
      <c r="F108" s="41"/>
      <c r="G108">
        <v>11.2</v>
      </c>
      <c r="H108">
        <v>8.6999999999999993</v>
      </c>
      <c r="I108">
        <v>14.2</v>
      </c>
      <c r="J108">
        <f t="shared" si="5"/>
        <v>776.10000000000025</v>
      </c>
      <c r="M108">
        <v>2.6</v>
      </c>
      <c r="N108">
        <v>1</v>
      </c>
      <c r="O108">
        <f t="shared" si="2"/>
        <v>1.6</v>
      </c>
      <c r="P108">
        <f t="shared" si="8"/>
        <v>31.100000000000005</v>
      </c>
      <c r="Q108">
        <v>54</v>
      </c>
      <c r="R108">
        <f t="shared" si="7"/>
        <v>0.72256097560975607</v>
      </c>
      <c r="S108">
        <f t="shared" si="3"/>
        <v>0.72256097560975607</v>
      </c>
      <c r="T108" s="24">
        <f t="shared" si="4"/>
        <v>1.8774390243902439</v>
      </c>
      <c r="U108" s="24">
        <f t="shared" si="9"/>
        <v>48.012682926829264</v>
      </c>
      <c r="W108">
        <v>807.8</v>
      </c>
      <c r="Y108">
        <f t="shared" si="6"/>
        <v>49126.599999999991</v>
      </c>
      <c r="AA108">
        <v>9.5151634582685212</v>
      </c>
    </row>
    <row r="109" spans="1:27" x14ac:dyDescent="0.25">
      <c r="A109">
        <v>5080</v>
      </c>
      <c r="B109">
        <v>18650</v>
      </c>
      <c r="C109" s="1">
        <v>42687</v>
      </c>
      <c r="F109" s="41"/>
      <c r="G109">
        <v>11.4</v>
      </c>
      <c r="H109">
        <v>9.6999999999999993</v>
      </c>
      <c r="I109">
        <v>14.2</v>
      </c>
      <c r="J109">
        <f t="shared" si="5"/>
        <v>787.50000000000023</v>
      </c>
      <c r="M109">
        <v>9.6</v>
      </c>
      <c r="N109">
        <v>0.7</v>
      </c>
      <c r="O109">
        <f t="shared" si="2"/>
        <v>8.9</v>
      </c>
      <c r="P109">
        <f t="shared" si="8"/>
        <v>40.000000000000007</v>
      </c>
      <c r="Q109">
        <v>55</v>
      </c>
      <c r="R109">
        <f t="shared" si="7"/>
        <v>0.73048780487804876</v>
      </c>
      <c r="S109">
        <f t="shared" si="3"/>
        <v>0.51134146341463416</v>
      </c>
      <c r="T109" s="24">
        <f t="shared" si="4"/>
        <v>9.0886585365853652</v>
      </c>
      <c r="U109" s="24">
        <f t="shared" si="9"/>
        <v>57.101341463414627</v>
      </c>
      <c r="W109">
        <v>172</v>
      </c>
      <c r="Y109">
        <f t="shared" si="6"/>
        <v>49298.599999999991</v>
      </c>
      <c r="AA109">
        <v>9.4780380811596565</v>
      </c>
    </row>
    <row r="110" spans="1:27" x14ac:dyDescent="0.25">
      <c r="A110">
        <v>5080</v>
      </c>
      <c r="B110">
        <v>18650</v>
      </c>
      <c r="C110" s="1">
        <v>42688</v>
      </c>
      <c r="F110" s="41"/>
      <c r="G110">
        <v>9.6999999999999993</v>
      </c>
      <c r="H110">
        <v>9.5</v>
      </c>
      <c r="I110">
        <v>10.3</v>
      </c>
      <c r="J110">
        <f t="shared" si="5"/>
        <v>797.20000000000027</v>
      </c>
      <c r="M110">
        <v>0</v>
      </c>
      <c r="N110">
        <v>0.9</v>
      </c>
      <c r="O110">
        <f t="shared" si="2"/>
        <v>-0.9</v>
      </c>
      <c r="P110">
        <f t="shared" si="8"/>
        <v>39.100000000000009</v>
      </c>
      <c r="Q110">
        <v>56</v>
      </c>
      <c r="R110">
        <f t="shared" si="7"/>
        <v>0.73841463414634145</v>
      </c>
      <c r="S110">
        <f t="shared" si="3"/>
        <v>0.6645731707317073</v>
      </c>
      <c r="T110" s="24">
        <f t="shared" si="4"/>
        <v>-0.6645731707317073</v>
      </c>
      <c r="U110" s="24">
        <f t="shared" si="9"/>
        <v>56.43676829268292</v>
      </c>
      <c r="W110">
        <v>359.4</v>
      </c>
      <c r="Y110">
        <f t="shared" si="6"/>
        <v>49657.999999999993</v>
      </c>
      <c r="AA110">
        <v>9.4415794596820959</v>
      </c>
    </row>
    <row r="111" spans="1:27" x14ac:dyDescent="0.25">
      <c r="A111">
        <v>5080</v>
      </c>
      <c r="B111">
        <v>18650</v>
      </c>
      <c r="C111" s="1">
        <v>42689</v>
      </c>
      <c r="F111" s="41"/>
      <c r="G111">
        <v>8.3000000000000007</v>
      </c>
      <c r="H111">
        <v>7</v>
      </c>
      <c r="I111">
        <v>9.9</v>
      </c>
      <c r="J111">
        <f t="shared" si="5"/>
        <v>805.50000000000023</v>
      </c>
      <c r="M111">
        <v>0</v>
      </c>
      <c r="N111">
        <v>0.9</v>
      </c>
      <c r="O111">
        <f t="shared" si="2"/>
        <v>-0.9</v>
      </c>
      <c r="P111">
        <f t="shared" si="8"/>
        <v>38.20000000000001</v>
      </c>
      <c r="Q111">
        <v>57</v>
      </c>
      <c r="R111">
        <f t="shared" si="7"/>
        <v>0.74634146341463414</v>
      </c>
      <c r="S111">
        <f t="shared" si="3"/>
        <v>0.67170731707317077</v>
      </c>
      <c r="T111" s="24">
        <f t="shared" si="4"/>
        <v>-0.67170731707317077</v>
      </c>
      <c r="U111" s="24">
        <f t="shared" si="9"/>
        <v>55.76506097560975</v>
      </c>
      <c r="W111">
        <v>391.2</v>
      </c>
      <c r="Y111">
        <f t="shared" si="6"/>
        <v>50049.19999999999</v>
      </c>
      <c r="AA111">
        <v>9.4058063969701973</v>
      </c>
    </row>
    <row r="112" spans="1:27" x14ac:dyDescent="0.25">
      <c r="A112">
        <v>5080</v>
      </c>
      <c r="B112">
        <v>18650</v>
      </c>
      <c r="C112" s="1">
        <v>42690</v>
      </c>
      <c r="F112" s="41"/>
      <c r="G112">
        <v>10.4</v>
      </c>
      <c r="H112">
        <v>8.1</v>
      </c>
      <c r="I112">
        <v>12</v>
      </c>
      <c r="J112">
        <f t="shared" si="5"/>
        <v>815.9000000000002</v>
      </c>
      <c r="M112">
        <v>0</v>
      </c>
      <c r="N112">
        <v>0.5</v>
      </c>
      <c r="O112">
        <f t="shared" si="2"/>
        <v>-0.5</v>
      </c>
      <c r="P112">
        <f t="shared" si="8"/>
        <v>37.70000000000001</v>
      </c>
      <c r="Q112">
        <v>58</v>
      </c>
      <c r="R112">
        <f t="shared" si="7"/>
        <v>0.75426829268292683</v>
      </c>
      <c r="S112">
        <f t="shared" si="3"/>
        <v>0.37713414634146342</v>
      </c>
      <c r="T112" s="24">
        <f t="shared" si="4"/>
        <v>-0.37713414634146342</v>
      </c>
      <c r="U112" s="24">
        <f t="shared" si="9"/>
        <v>55.387926829268288</v>
      </c>
      <c r="W112">
        <v>200.9</v>
      </c>
      <c r="Y112">
        <f t="shared" si="6"/>
        <v>50250.099999999991</v>
      </c>
      <c r="AA112">
        <v>9.3707377713447482</v>
      </c>
    </row>
    <row r="113" spans="1:27" x14ac:dyDescent="0.25">
      <c r="A113">
        <v>5080</v>
      </c>
      <c r="B113">
        <v>18650</v>
      </c>
      <c r="C113" s="1">
        <v>42691</v>
      </c>
      <c r="F113" s="41"/>
      <c r="G113">
        <v>11.5</v>
      </c>
      <c r="H113">
        <v>9.9</v>
      </c>
      <c r="I113">
        <v>15.2</v>
      </c>
      <c r="J113">
        <f t="shared" si="5"/>
        <v>827.4000000000002</v>
      </c>
      <c r="M113">
        <v>0.2</v>
      </c>
      <c r="N113">
        <v>1.5</v>
      </c>
      <c r="O113">
        <f t="shared" si="2"/>
        <v>-1.3</v>
      </c>
      <c r="P113">
        <f t="shared" si="8"/>
        <v>36.400000000000013</v>
      </c>
      <c r="Q113">
        <v>59</v>
      </c>
      <c r="R113">
        <f t="shared" si="7"/>
        <v>0.76219512195121952</v>
      </c>
      <c r="S113">
        <f t="shared" si="3"/>
        <v>1.1432926829268293</v>
      </c>
      <c r="T113" s="24">
        <f t="shared" si="4"/>
        <v>-0.94329268292682933</v>
      </c>
      <c r="U113" s="24">
        <f t="shared" si="9"/>
        <v>54.444634146341457</v>
      </c>
      <c r="W113">
        <v>752.1</v>
      </c>
      <c r="Y113">
        <f t="shared" si="6"/>
        <v>51002.19999999999</v>
      </c>
      <c r="AA113">
        <v>9.3363925106597598</v>
      </c>
    </row>
    <row r="114" spans="1:27" x14ac:dyDescent="0.25">
      <c r="A114">
        <v>5080</v>
      </c>
      <c r="B114">
        <v>18650</v>
      </c>
      <c r="C114" s="1">
        <v>42692</v>
      </c>
      <c r="F114" s="41"/>
      <c r="G114">
        <v>11.4</v>
      </c>
      <c r="H114">
        <v>9.5</v>
      </c>
      <c r="I114">
        <v>12.8</v>
      </c>
      <c r="J114">
        <f t="shared" si="5"/>
        <v>838.80000000000018</v>
      </c>
      <c r="M114">
        <v>1.6</v>
      </c>
      <c r="N114">
        <v>0.5</v>
      </c>
      <c r="O114">
        <f t="shared" si="2"/>
        <v>1.1000000000000001</v>
      </c>
      <c r="P114">
        <f t="shared" si="8"/>
        <v>37.500000000000014</v>
      </c>
      <c r="Q114">
        <v>60</v>
      </c>
      <c r="R114">
        <f t="shared" si="7"/>
        <v>0.77012195121951221</v>
      </c>
      <c r="S114">
        <f t="shared" si="3"/>
        <v>0.38506097560975611</v>
      </c>
      <c r="T114" s="24">
        <f t="shared" si="4"/>
        <v>1.214939024390244</v>
      </c>
      <c r="U114" s="24">
        <f t="shared" si="9"/>
        <v>55.659573170731704</v>
      </c>
      <c r="W114">
        <v>283</v>
      </c>
      <c r="Y114">
        <f t="shared" si="6"/>
        <v>51285.19999999999</v>
      </c>
      <c r="AA114">
        <v>9.3027895652925032</v>
      </c>
    </row>
    <row r="115" spans="1:27" x14ac:dyDescent="0.25">
      <c r="A115">
        <v>5080</v>
      </c>
      <c r="B115">
        <v>18650</v>
      </c>
      <c r="C115" s="1">
        <v>42693</v>
      </c>
      <c r="F115" s="41"/>
      <c r="G115">
        <v>10.3</v>
      </c>
      <c r="H115">
        <v>8.9</v>
      </c>
      <c r="I115">
        <v>12.4</v>
      </c>
      <c r="J115">
        <f t="shared" si="5"/>
        <v>849.10000000000014</v>
      </c>
      <c r="M115">
        <v>0</v>
      </c>
      <c r="N115">
        <v>1.1000000000000001</v>
      </c>
      <c r="O115">
        <f t="shared" si="2"/>
        <v>-1.1000000000000001</v>
      </c>
      <c r="P115">
        <f t="shared" si="8"/>
        <v>36.400000000000013</v>
      </c>
      <c r="Q115">
        <v>61</v>
      </c>
      <c r="R115">
        <f t="shared" si="7"/>
        <v>0.7780487804878049</v>
      </c>
      <c r="S115">
        <f t="shared" si="3"/>
        <v>0.85585365853658546</v>
      </c>
      <c r="T115" s="24">
        <f t="shared" si="4"/>
        <v>-0.85585365853658546</v>
      </c>
      <c r="U115" s="24">
        <f t="shared" si="9"/>
        <v>54.803719512195116</v>
      </c>
      <c r="W115">
        <v>620.9</v>
      </c>
      <c r="Y115">
        <f t="shared" si="6"/>
        <v>51906.099999999991</v>
      </c>
      <c r="AA115">
        <v>9.2699478798147137</v>
      </c>
    </row>
    <row r="116" spans="1:27" x14ac:dyDescent="0.25">
      <c r="A116">
        <v>5080</v>
      </c>
      <c r="B116">
        <v>18650</v>
      </c>
      <c r="C116" s="1">
        <v>42694</v>
      </c>
      <c r="F116" s="41"/>
      <c r="G116">
        <v>12.3</v>
      </c>
      <c r="H116">
        <v>8.3000000000000007</v>
      </c>
      <c r="I116">
        <v>16.399999999999999</v>
      </c>
      <c r="J116">
        <f t="shared" si="5"/>
        <v>861.40000000000009</v>
      </c>
      <c r="M116">
        <v>0</v>
      </c>
      <c r="N116">
        <v>1.9</v>
      </c>
      <c r="O116">
        <f t="shared" si="2"/>
        <v>-1.9</v>
      </c>
      <c r="P116">
        <f t="shared" si="8"/>
        <v>34.500000000000014</v>
      </c>
      <c r="Q116">
        <v>62</v>
      </c>
      <c r="R116">
        <f t="shared" si="7"/>
        <v>0.78597560975609759</v>
      </c>
      <c r="S116">
        <f t="shared" si="3"/>
        <v>1.4933536585365854</v>
      </c>
      <c r="T116" s="24">
        <f t="shared" si="4"/>
        <v>-1.4933536585365854</v>
      </c>
      <c r="U116" s="24">
        <f t="shared" si="9"/>
        <v>53.310365853658531</v>
      </c>
      <c r="W116">
        <v>885.7</v>
      </c>
      <c r="Y116">
        <f t="shared" si="6"/>
        <v>52791.799999999988</v>
      </c>
      <c r="AA116">
        <v>9.237886363391981</v>
      </c>
    </row>
    <row r="117" spans="1:27" x14ac:dyDescent="0.25">
      <c r="A117">
        <v>5080</v>
      </c>
      <c r="B117">
        <v>18650</v>
      </c>
      <c r="C117" s="1">
        <v>42695</v>
      </c>
      <c r="F117" s="41"/>
      <c r="G117">
        <v>12.7</v>
      </c>
      <c r="H117">
        <v>10.3</v>
      </c>
      <c r="I117">
        <v>16.2</v>
      </c>
      <c r="J117">
        <f t="shared" si="5"/>
        <v>874.10000000000014</v>
      </c>
      <c r="M117">
        <v>2.6</v>
      </c>
      <c r="N117">
        <v>0.9</v>
      </c>
      <c r="O117">
        <f t="shared" si="2"/>
        <v>1.7000000000000002</v>
      </c>
      <c r="P117">
        <f t="shared" si="8"/>
        <v>36.200000000000017</v>
      </c>
      <c r="Q117">
        <v>63</v>
      </c>
      <c r="R117">
        <f t="shared" si="7"/>
        <v>0.79390243902439028</v>
      </c>
      <c r="S117">
        <f t="shared" si="3"/>
        <v>0.7145121951219513</v>
      </c>
      <c r="T117" s="24">
        <f t="shared" si="4"/>
        <v>1.8854878048780488</v>
      </c>
      <c r="U117" s="24">
        <f t="shared" si="9"/>
        <v>55.195853658536578</v>
      </c>
      <c r="W117">
        <v>311.7</v>
      </c>
      <c r="Y117">
        <f t="shared" si="6"/>
        <v>53103.499999999985</v>
      </c>
      <c r="AA117">
        <v>9.2066238589673794</v>
      </c>
    </row>
    <row r="118" spans="1:27" x14ac:dyDescent="0.25">
      <c r="A118">
        <v>5080</v>
      </c>
      <c r="B118">
        <v>18650</v>
      </c>
      <c r="C118" s="1">
        <v>42696</v>
      </c>
      <c r="F118" s="41"/>
      <c r="G118">
        <v>10.8</v>
      </c>
      <c r="H118">
        <v>9.5</v>
      </c>
      <c r="I118">
        <v>12.7</v>
      </c>
      <c r="J118">
        <f t="shared" si="5"/>
        <v>884.90000000000009</v>
      </c>
      <c r="M118">
        <v>1.3</v>
      </c>
      <c r="N118">
        <v>0.6</v>
      </c>
      <c r="O118">
        <f t="shared" si="2"/>
        <v>0.70000000000000007</v>
      </c>
      <c r="P118">
        <f t="shared" si="8"/>
        <v>36.90000000000002</v>
      </c>
      <c r="Q118">
        <v>64</v>
      </c>
      <c r="R118">
        <f t="shared" si="7"/>
        <v>0.80182926829268286</v>
      </c>
      <c r="S118">
        <f t="shared" si="3"/>
        <v>0.48109756097560968</v>
      </c>
      <c r="T118" s="24">
        <f t="shared" si="4"/>
        <v>0.81890243902439042</v>
      </c>
      <c r="U118" s="24">
        <f t="shared" si="9"/>
        <v>56.014756097560969</v>
      </c>
      <c r="W118">
        <v>143.69999999999999</v>
      </c>
      <c r="Y118">
        <f t="shared" si="6"/>
        <v>53247.199999999983</v>
      </c>
      <c r="AA118">
        <v>9.1761791112950384</v>
      </c>
    </row>
    <row r="119" spans="1:27" x14ac:dyDescent="0.25">
      <c r="A119">
        <v>5080</v>
      </c>
      <c r="B119">
        <v>18650</v>
      </c>
      <c r="C119" s="1">
        <v>42697</v>
      </c>
      <c r="F119" s="41"/>
      <c r="G119">
        <v>9.5</v>
      </c>
      <c r="H119">
        <v>7.8</v>
      </c>
      <c r="I119">
        <v>10.7</v>
      </c>
      <c r="J119">
        <f t="shared" si="5"/>
        <v>894.40000000000009</v>
      </c>
      <c r="M119">
        <v>20.5</v>
      </c>
      <c r="N119">
        <v>0.3</v>
      </c>
      <c r="O119">
        <f t="shared" si="2"/>
        <v>20.2</v>
      </c>
      <c r="P119">
        <f t="shared" si="8"/>
        <v>57.100000000000023</v>
      </c>
      <c r="Q119">
        <v>65</v>
      </c>
      <c r="R119">
        <f t="shared" si="7"/>
        <v>0.80975609756097555</v>
      </c>
      <c r="S119">
        <f t="shared" si="3"/>
        <v>0.24292682926829265</v>
      </c>
      <c r="T119" s="24">
        <f t="shared" si="4"/>
        <v>20.257073170731708</v>
      </c>
      <c r="U119" s="24">
        <f t="shared" si="9"/>
        <v>76.271829268292677</v>
      </c>
      <c r="W119">
        <v>133.5</v>
      </c>
      <c r="Y119">
        <f t="shared" si="6"/>
        <v>53380.699999999983</v>
      </c>
      <c r="AA119">
        <v>9.1465707338989208</v>
      </c>
    </row>
    <row r="120" spans="1:27" x14ac:dyDescent="0.25">
      <c r="A120">
        <v>5080</v>
      </c>
      <c r="B120">
        <v>18650</v>
      </c>
      <c r="C120" s="1">
        <v>42698</v>
      </c>
      <c r="F120" s="41"/>
      <c r="G120">
        <v>9.6</v>
      </c>
      <c r="H120">
        <v>8.5</v>
      </c>
      <c r="I120">
        <v>10.4</v>
      </c>
      <c r="J120">
        <f t="shared" si="5"/>
        <v>904.00000000000011</v>
      </c>
      <c r="M120">
        <v>0</v>
      </c>
      <c r="N120">
        <v>0.4</v>
      </c>
      <c r="O120">
        <f t="shared" ref="O120:O183" si="10">M120-N120</f>
        <v>-0.4</v>
      </c>
      <c r="P120">
        <f t="shared" si="8"/>
        <v>56.700000000000024</v>
      </c>
      <c r="Q120">
        <v>66</v>
      </c>
      <c r="R120">
        <f t="shared" si="7"/>
        <v>0.81768292682926824</v>
      </c>
      <c r="S120">
        <f t="shared" ref="S120:S183" si="11">R120*N120</f>
        <v>0.32707317073170733</v>
      </c>
      <c r="T120" s="24">
        <f t="shared" ref="T120:T183" si="12">M120-S120</f>
        <v>-0.32707317073170733</v>
      </c>
      <c r="U120" s="24">
        <f t="shared" si="9"/>
        <v>75.944756097560969</v>
      </c>
      <c r="W120">
        <v>292.39999999999998</v>
      </c>
      <c r="Y120">
        <f t="shared" si="6"/>
        <v>53673.099999999984</v>
      </c>
      <c r="AA120">
        <v>9.1178171750419796</v>
      </c>
    </row>
    <row r="121" spans="1:27" x14ac:dyDescent="0.25">
      <c r="A121">
        <v>5080</v>
      </c>
      <c r="B121">
        <v>18650</v>
      </c>
      <c r="C121" s="1">
        <v>42699</v>
      </c>
      <c r="F121" s="41"/>
      <c r="G121">
        <v>8.9</v>
      </c>
      <c r="H121">
        <v>7.5</v>
      </c>
      <c r="I121">
        <v>13</v>
      </c>
      <c r="J121">
        <f t="shared" ref="J121:J184" si="13">J120+G121</f>
        <v>912.90000000000009</v>
      </c>
      <c r="M121">
        <v>0.1</v>
      </c>
      <c r="N121">
        <v>1</v>
      </c>
      <c r="O121">
        <f t="shared" si="10"/>
        <v>-0.9</v>
      </c>
      <c r="P121">
        <f t="shared" ref="P121:P184" si="14">P120+O121</f>
        <v>55.800000000000026</v>
      </c>
      <c r="Q121">
        <v>67</v>
      </c>
      <c r="R121">
        <f t="shared" si="7"/>
        <v>0.82560975609756093</v>
      </c>
      <c r="S121">
        <f t="shared" si="11"/>
        <v>0.82560975609756093</v>
      </c>
      <c r="T121" s="24">
        <f t="shared" si="12"/>
        <v>-0.72560975609756095</v>
      </c>
      <c r="U121" s="24">
        <f t="shared" ref="U121:U183" si="15">MIN(U120+T121,155.7)</f>
        <v>75.219146341463414</v>
      </c>
      <c r="W121">
        <v>731.8</v>
      </c>
      <c r="Y121">
        <f t="shared" ref="Y121:Y184" si="16">Y120+W121</f>
        <v>54404.899999999987</v>
      </c>
      <c r="AA121">
        <v>9.0899366828006816</v>
      </c>
    </row>
    <row r="122" spans="1:27" x14ac:dyDescent="0.25">
      <c r="A122">
        <v>5080</v>
      </c>
      <c r="B122">
        <v>18650</v>
      </c>
      <c r="C122" s="1">
        <v>42700</v>
      </c>
      <c r="F122" s="41"/>
      <c r="G122">
        <v>5.9</v>
      </c>
      <c r="H122">
        <v>0.7</v>
      </c>
      <c r="I122">
        <v>10.7</v>
      </c>
      <c r="J122">
        <f t="shared" si="13"/>
        <v>918.80000000000007</v>
      </c>
      <c r="M122">
        <v>0.1</v>
      </c>
      <c r="N122">
        <v>0.2</v>
      </c>
      <c r="O122">
        <f t="shared" si="10"/>
        <v>-0.1</v>
      </c>
      <c r="P122">
        <f t="shared" si="14"/>
        <v>55.700000000000024</v>
      </c>
      <c r="Q122">
        <v>68</v>
      </c>
      <c r="R122">
        <f t="shared" si="7"/>
        <v>0.83353658536585362</v>
      </c>
      <c r="S122">
        <f t="shared" si="11"/>
        <v>0.16670731707317074</v>
      </c>
      <c r="T122" s="24">
        <f t="shared" si="12"/>
        <v>-6.6707317073170735E-2</v>
      </c>
      <c r="U122" s="24">
        <f t="shared" si="15"/>
        <v>75.152439024390247</v>
      </c>
      <c r="W122">
        <v>302.8</v>
      </c>
      <c r="Y122">
        <f t="shared" si="16"/>
        <v>54707.69999999999</v>
      </c>
      <c r="AA122">
        <v>9.0629472693496176</v>
      </c>
    </row>
    <row r="123" spans="1:27" x14ac:dyDescent="0.25">
      <c r="A123">
        <v>5080</v>
      </c>
      <c r="B123">
        <v>18650</v>
      </c>
      <c r="C123" s="1">
        <v>42701</v>
      </c>
      <c r="F123" s="41"/>
      <c r="G123">
        <v>9.4</v>
      </c>
      <c r="H123">
        <v>6</v>
      </c>
      <c r="I123">
        <v>14.9</v>
      </c>
      <c r="J123">
        <f t="shared" si="13"/>
        <v>928.2</v>
      </c>
      <c r="M123">
        <v>0.2</v>
      </c>
      <c r="N123">
        <v>1.4</v>
      </c>
      <c r="O123">
        <f t="shared" si="10"/>
        <v>-1.2</v>
      </c>
      <c r="P123">
        <f t="shared" si="14"/>
        <v>54.500000000000021</v>
      </c>
      <c r="Q123">
        <v>69</v>
      </c>
      <c r="R123">
        <f t="shared" si="7"/>
        <v>0.84146341463414642</v>
      </c>
      <c r="S123">
        <f t="shared" si="11"/>
        <v>1.1780487804878048</v>
      </c>
      <c r="T123" s="24">
        <f t="shared" si="12"/>
        <v>-0.97804878048780486</v>
      </c>
      <c r="U123" s="24">
        <f t="shared" si="15"/>
        <v>74.174390243902437</v>
      </c>
      <c r="W123">
        <v>716.8</v>
      </c>
      <c r="Y123">
        <f t="shared" si="16"/>
        <v>55424.499999999993</v>
      </c>
      <c r="AA123">
        <v>9.0368666745706694</v>
      </c>
    </row>
    <row r="124" spans="1:27" x14ac:dyDescent="0.25">
      <c r="A124">
        <v>5080</v>
      </c>
      <c r="B124">
        <v>18650</v>
      </c>
      <c r="C124" s="1">
        <v>42702</v>
      </c>
      <c r="F124" s="41"/>
      <c r="G124">
        <v>6.1</v>
      </c>
      <c r="H124">
        <v>5.3</v>
      </c>
      <c r="I124">
        <v>6.9</v>
      </c>
      <c r="J124">
        <f t="shared" si="13"/>
        <v>934.30000000000007</v>
      </c>
      <c r="M124">
        <v>0.1</v>
      </c>
      <c r="N124">
        <v>0.3</v>
      </c>
      <c r="O124">
        <f t="shared" si="10"/>
        <v>-0.19999999999999998</v>
      </c>
      <c r="P124">
        <f t="shared" si="14"/>
        <v>54.300000000000018</v>
      </c>
      <c r="Q124">
        <v>70</v>
      </c>
      <c r="R124">
        <f t="shared" si="7"/>
        <v>0.849390243902439</v>
      </c>
      <c r="S124">
        <f t="shared" si="11"/>
        <v>0.25481707317073171</v>
      </c>
      <c r="T124" s="24">
        <f t="shared" si="12"/>
        <v>-0.15481707317073171</v>
      </c>
      <c r="U124" s="24">
        <f t="shared" si="15"/>
        <v>74.019573170731704</v>
      </c>
      <c r="W124">
        <v>127.2</v>
      </c>
      <c r="Y124">
        <f t="shared" si="16"/>
        <v>55551.69999999999</v>
      </c>
      <c r="AA124">
        <v>9.0117123291104964</v>
      </c>
    </row>
    <row r="125" spans="1:27" x14ac:dyDescent="0.25">
      <c r="A125">
        <v>5080</v>
      </c>
      <c r="B125">
        <v>18650</v>
      </c>
      <c r="C125" s="1">
        <v>42703</v>
      </c>
      <c r="F125" s="41"/>
      <c r="G125">
        <v>7.5</v>
      </c>
      <c r="H125">
        <v>5.3</v>
      </c>
      <c r="I125">
        <v>9.9</v>
      </c>
      <c r="J125">
        <f t="shared" si="13"/>
        <v>941.80000000000007</v>
      </c>
      <c r="M125">
        <v>0</v>
      </c>
      <c r="N125">
        <v>0.5</v>
      </c>
      <c r="O125">
        <f t="shared" si="10"/>
        <v>-0.5</v>
      </c>
      <c r="P125">
        <f t="shared" si="14"/>
        <v>53.800000000000018</v>
      </c>
      <c r="Q125">
        <v>71</v>
      </c>
      <c r="R125">
        <f t="shared" si="7"/>
        <v>0.85731707317073169</v>
      </c>
      <c r="S125">
        <f t="shared" si="11"/>
        <v>0.42865853658536585</v>
      </c>
      <c r="T125" s="24">
        <f t="shared" si="12"/>
        <v>-0.42865853658536585</v>
      </c>
      <c r="U125" s="24">
        <f t="shared" si="15"/>
        <v>73.590914634146344</v>
      </c>
      <c r="W125">
        <v>226.7</v>
      </c>
      <c r="Y125">
        <f t="shared" si="16"/>
        <v>55778.399999999987</v>
      </c>
      <c r="AA125" s="34">
        <v>8.9875013170191345</v>
      </c>
    </row>
    <row r="126" spans="1:27" x14ac:dyDescent="0.25">
      <c r="A126">
        <v>5080</v>
      </c>
      <c r="B126">
        <v>18650</v>
      </c>
      <c r="C126" s="1">
        <v>42704</v>
      </c>
      <c r="F126" s="41"/>
      <c r="G126">
        <v>8.6999999999999993</v>
      </c>
      <c r="H126">
        <v>5.8</v>
      </c>
      <c r="I126">
        <v>13.5</v>
      </c>
      <c r="J126">
        <f t="shared" si="13"/>
        <v>950.50000000000011</v>
      </c>
      <c r="M126">
        <v>0</v>
      </c>
      <c r="N126">
        <v>1.6</v>
      </c>
      <c r="O126">
        <f t="shared" si="10"/>
        <v>-1.6</v>
      </c>
      <c r="P126">
        <f t="shared" si="14"/>
        <v>52.200000000000017</v>
      </c>
      <c r="Q126">
        <v>72</v>
      </c>
      <c r="R126">
        <f t="shared" si="7"/>
        <v>0.86524390243902438</v>
      </c>
      <c r="S126">
        <f t="shared" si="11"/>
        <v>1.3843902439024391</v>
      </c>
      <c r="T126" s="24">
        <f t="shared" si="12"/>
        <v>-1.3843902439024391</v>
      </c>
      <c r="U126" s="24">
        <f t="shared" si="15"/>
        <v>72.206524390243899</v>
      </c>
      <c r="W126">
        <v>899.8</v>
      </c>
      <c r="Y126">
        <f t="shared" si="16"/>
        <v>56678.19999999999</v>
      </c>
      <c r="AA126" s="34">
        <v>8.9642503381110359</v>
      </c>
    </row>
    <row r="127" spans="1:27" x14ac:dyDescent="0.25">
      <c r="A127">
        <v>5080</v>
      </c>
      <c r="B127">
        <v>18650</v>
      </c>
      <c r="C127" s="1">
        <v>42705</v>
      </c>
      <c r="F127" s="41"/>
      <c r="G127">
        <v>5.6</v>
      </c>
      <c r="H127">
        <v>2</v>
      </c>
      <c r="I127">
        <v>10.8</v>
      </c>
      <c r="J127">
        <f t="shared" si="13"/>
        <v>956.10000000000014</v>
      </c>
      <c r="M127">
        <v>0.2</v>
      </c>
      <c r="N127">
        <v>1.2</v>
      </c>
      <c r="O127">
        <f t="shared" si="10"/>
        <v>-1</v>
      </c>
      <c r="P127">
        <f t="shared" si="14"/>
        <v>51.200000000000017</v>
      </c>
      <c r="Q127">
        <v>73</v>
      </c>
      <c r="R127">
        <f t="shared" ref="R127:R143" si="17">0.35+((Q127-7)/82)*(1-0.35)</f>
        <v>0.87317073170731707</v>
      </c>
      <c r="S127">
        <f t="shared" si="11"/>
        <v>1.0478048780487805</v>
      </c>
      <c r="T127" s="24">
        <f t="shared" si="12"/>
        <v>-0.84780487804878057</v>
      </c>
      <c r="U127" s="24">
        <f t="shared" si="15"/>
        <v>71.358719512195123</v>
      </c>
      <c r="W127">
        <v>883.4</v>
      </c>
      <c r="Y127">
        <f t="shared" si="16"/>
        <v>57561.599999999991</v>
      </c>
      <c r="AA127" s="34">
        <v>8.9419756701977882</v>
      </c>
    </row>
    <row r="128" spans="1:27" x14ac:dyDescent="0.25">
      <c r="A128">
        <v>5080</v>
      </c>
      <c r="B128">
        <v>18650</v>
      </c>
      <c r="C128" s="1">
        <v>42706</v>
      </c>
      <c r="E128" s="34">
        <v>1</v>
      </c>
      <c r="F128" s="41"/>
      <c r="G128">
        <v>2</v>
      </c>
      <c r="H128">
        <v>-0.4</v>
      </c>
      <c r="I128">
        <v>5.6</v>
      </c>
      <c r="J128">
        <f t="shared" si="13"/>
        <v>958.10000000000014</v>
      </c>
      <c r="M128">
        <v>0.2</v>
      </c>
      <c r="N128">
        <v>1</v>
      </c>
      <c r="O128">
        <f t="shared" si="10"/>
        <v>-0.8</v>
      </c>
      <c r="P128">
        <f t="shared" si="14"/>
        <v>50.40000000000002</v>
      </c>
      <c r="Q128">
        <v>74</v>
      </c>
      <c r="R128">
        <f t="shared" si="17"/>
        <v>0.88109756097560976</v>
      </c>
      <c r="S128">
        <f t="shared" si="11"/>
        <v>0.88109756097560976</v>
      </c>
      <c r="T128" s="24">
        <f t="shared" si="12"/>
        <v>-0.68109756097560981</v>
      </c>
      <c r="U128" s="24">
        <f t="shared" si="15"/>
        <v>70.677621951219507</v>
      </c>
      <c r="W128">
        <v>555.9</v>
      </c>
      <c r="Y128">
        <f t="shared" si="16"/>
        <v>58117.499999999993</v>
      </c>
      <c r="AA128" s="34">
        <v>8.9206931313489353</v>
      </c>
    </row>
    <row r="129" spans="1:28" x14ac:dyDescent="0.25">
      <c r="A129">
        <v>5080</v>
      </c>
      <c r="B129">
        <v>18650</v>
      </c>
      <c r="C129" s="1">
        <v>42707</v>
      </c>
      <c r="F129" s="41"/>
      <c r="G129">
        <v>5.2</v>
      </c>
      <c r="H129">
        <v>-2</v>
      </c>
      <c r="I129">
        <v>10.5</v>
      </c>
      <c r="J129">
        <f t="shared" si="13"/>
        <v>963.30000000000018</v>
      </c>
      <c r="M129">
        <v>0.1</v>
      </c>
      <c r="N129">
        <v>1</v>
      </c>
      <c r="O129">
        <f t="shared" si="10"/>
        <v>-0.9</v>
      </c>
      <c r="P129">
        <f t="shared" si="14"/>
        <v>49.500000000000021</v>
      </c>
      <c r="Q129">
        <v>75</v>
      </c>
      <c r="R129">
        <f t="shared" si="17"/>
        <v>0.88902439024390245</v>
      </c>
      <c r="S129">
        <f t="shared" si="11"/>
        <v>0.88902439024390245</v>
      </c>
      <c r="T129" s="24">
        <f t="shared" si="12"/>
        <v>-0.78902439024390247</v>
      </c>
      <c r="U129" s="24">
        <f t="shared" si="15"/>
        <v>69.888597560975597</v>
      </c>
      <c r="W129">
        <v>809.3</v>
      </c>
      <c r="Y129">
        <f t="shared" si="16"/>
        <v>58926.799999999996</v>
      </c>
      <c r="AA129" s="34">
        <v>8.9004180423437091</v>
      </c>
    </row>
    <row r="130" spans="1:28" x14ac:dyDescent="0.25">
      <c r="A130">
        <v>5080</v>
      </c>
      <c r="B130">
        <v>18650</v>
      </c>
      <c r="C130" s="1">
        <v>42708</v>
      </c>
      <c r="F130" s="41"/>
      <c r="G130">
        <v>12.1</v>
      </c>
      <c r="H130">
        <v>7.8</v>
      </c>
      <c r="I130">
        <v>15.2</v>
      </c>
      <c r="J130">
        <f t="shared" si="13"/>
        <v>975.4000000000002</v>
      </c>
      <c r="M130">
        <v>0</v>
      </c>
      <c r="N130">
        <v>1.3</v>
      </c>
      <c r="O130">
        <f t="shared" si="10"/>
        <v>-1.3</v>
      </c>
      <c r="P130">
        <f t="shared" si="14"/>
        <v>48.200000000000024</v>
      </c>
      <c r="Q130">
        <v>76</v>
      </c>
      <c r="R130">
        <f t="shared" si="17"/>
        <v>0.89695121951219514</v>
      </c>
      <c r="S130">
        <f t="shared" si="11"/>
        <v>1.1660365853658536</v>
      </c>
      <c r="T130" s="24">
        <f t="shared" si="12"/>
        <v>-1.1660365853658536</v>
      </c>
      <c r="U130" s="24">
        <f t="shared" si="15"/>
        <v>68.722560975609738</v>
      </c>
      <c r="W130">
        <v>700.9</v>
      </c>
      <c r="Y130">
        <f t="shared" si="16"/>
        <v>59627.7</v>
      </c>
      <c r="AA130" s="34">
        <v>8.88116518948185</v>
      </c>
    </row>
    <row r="131" spans="1:28" x14ac:dyDescent="0.25">
      <c r="A131">
        <v>5080</v>
      </c>
      <c r="B131">
        <v>18650</v>
      </c>
      <c r="C131" s="1">
        <v>42709</v>
      </c>
      <c r="F131" s="41"/>
      <c r="G131">
        <v>11.7</v>
      </c>
      <c r="H131">
        <v>10.5</v>
      </c>
      <c r="I131">
        <v>15.6</v>
      </c>
      <c r="J131">
        <f t="shared" si="13"/>
        <v>987.10000000000025</v>
      </c>
      <c r="M131">
        <v>0</v>
      </c>
      <c r="N131">
        <v>1.7</v>
      </c>
      <c r="O131">
        <f t="shared" si="10"/>
        <v>-1.7</v>
      </c>
      <c r="P131">
        <f t="shared" si="14"/>
        <v>46.500000000000021</v>
      </c>
      <c r="Q131">
        <v>77</v>
      </c>
      <c r="R131">
        <f t="shared" si="17"/>
        <v>0.90487804878048783</v>
      </c>
      <c r="S131">
        <f t="shared" si="11"/>
        <v>1.5382926829268293</v>
      </c>
      <c r="T131" s="24">
        <f t="shared" si="12"/>
        <v>-1.5382926829268293</v>
      </c>
      <c r="U131" s="24">
        <f t="shared" si="15"/>
        <v>67.184268292682916</v>
      </c>
      <c r="W131">
        <v>623.6</v>
      </c>
      <c r="Y131">
        <f t="shared" si="16"/>
        <v>60251.299999999996</v>
      </c>
      <c r="AA131" s="34">
        <v>8.8629487879260687</v>
      </c>
    </row>
    <row r="132" spans="1:28" x14ac:dyDescent="0.25">
      <c r="A132">
        <v>5080</v>
      </c>
      <c r="B132">
        <v>18650</v>
      </c>
      <c r="C132" s="1">
        <v>42710</v>
      </c>
      <c r="F132" s="41"/>
      <c r="G132">
        <v>8.3000000000000007</v>
      </c>
      <c r="H132">
        <v>4.3</v>
      </c>
      <c r="I132">
        <v>12</v>
      </c>
      <c r="J132">
        <f t="shared" si="13"/>
        <v>995.4000000000002</v>
      </c>
      <c r="M132">
        <v>0.2</v>
      </c>
      <c r="N132">
        <v>1.1000000000000001</v>
      </c>
      <c r="O132">
        <f t="shared" si="10"/>
        <v>-0.90000000000000013</v>
      </c>
      <c r="P132">
        <f t="shared" si="14"/>
        <v>45.600000000000023</v>
      </c>
      <c r="Q132">
        <v>78</v>
      </c>
      <c r="R132">
        <f t="shared" si="17"/>
        <v>0.91280487804878052</v>
      </c>
      <c r="S132">
        <f t="shared" si="11"/>
        <v>1.0040853658536586</v>
      </c>
      <c r="T132" s="24">
        <f t="shared" si="12"/>
        <v>-0.80408536585365864</v>
      </c>
      <c r="U132" s="24">
        <f t="shared" si="15"/>
        <v>66.380182926829264</v>
      </c>
      <c r="W132">
        <v>827.6</v>
      </c>
      <c r="Y132">
        <f t="shared" si="16"/>
        <v>61078.899999999994</v>
      </c>
      <c r="AA132" s="34">
        <v>8.845782445751869</v>
      </c>
    </row>
    <row r="133" spans="1:28" x14ac:dyDescent="0.25">
      <c r="A133">
        <v>5080</v>
      </c>
      <c r="B133">
        <v>18650</v>
      </c>
      <c r="C133" s="1">
        <v>42711</v>
      </c>
      <c r="F133" s="41"/>
      <c r="G133">
        <v>8.3000000000000007</v>
      </c>
      <c r="H133">
        <v>3.3</v>
      </c>
      <c r="I133">
        <v>12.1</v>
      </c>
      <c r="J133">
        <f t="shared" si="13"/>
        <v>1003.7000000000002</v>
      </c>
      <c r="M133">
        <v>0</v>
      </c>
      <c r="N133">
        <v>1.1000000000000001</v>
      </c>
      <c r="O133">
        <f t="shared" si="10"/>
        <v>-1.1000000000000001</v>
      </c>
      <c r="P133">
        <f t="shared" si="14"/>
        <v>44.500000000000021</v>
      </c>
      <c r="Q133">
        <v>79</v>
      </c>
      <c r="R133">
        <f t="shared" si="17"/>
        <v>0.92073170731707321</v>
      </c>
      <c r="S133">
        <f t="shared" si="11"/>
        <v>1.0128048780487806</v>
      </c>
      <c r="T133" s="24">
        <f t="shared" si="12"/>
        <v>-1.0128048780487806</v>
      </c>
      <c r="U133" s="24">
        <f t="shared" si="15"/>
        <v>65.367378048780481</v>
      </c>
      <c r="W133">
        <v>768.2</v>
      </c>
      <c r="Y133">
        <f t="shared" si="16"/>
        <v>61847.099999999991</v>
      </c>
      <c r="AA133" s="34">
        <v>8.8296791288823258</v>
      </c>
    </row>
    <row r="134" spans="1:28" x14ac:dyDescent="0.25">
      <c r="A134">
        <v>5080</v>
      </c>
      <c r="B134">
        <v>18650</v>
      </c>
      <c r="C134" s="1">
        <v>42712</v>
      </c>
      <c r="F134" s="41"/>
      <c r="G134">
        <v>9.1</v>
      </c>
      <c r="H134">
        <v>3.3</v>
      </c>
      <c r="I134">
        <v>13.3</v>
      </c>
      <c r="J134">
        <f t="shared" si="13"/>
        <v>1012.8000000000002</v>
      </c>
      <c r="M134">
        <v>0.1</v>
      </c>
      <c r="N134">
        <v>1.1000000000000001</v>
      </c>
      <c r="O134">
        <f t="shared" si="10"/>
        <v>-1</v>
      </c>
      <c r="P134">
        <f t="shared" si="14"/>
        <v>43.500000000000021</v>
      </c>
      <c r="Q134">
        <v>80</v>
      </c>
      <c r="R134">
        <f t="shared" si="17"/>
        <v>0.9286585365853659</v>
      </c>
      <c r="S134">
        <f t="shared" si="11"/>
        <v>1.0215243902439026</v>
      </c>
      <c r="T134" s="24">
        <f t="shared" si="12"/>
        <v>-0.92152439024390265</v>
      </c>
      <c r="U134" s="24">
        <f t="shared" si="15"/>
        <v>64.445853658536578</v>
      </c>
      <c r="W134">
        <v>842.1</v>
      </c>
      <c r="Y134">
        <f t="shared" si="16"/>
        <v>62689.19999999999</v>
      </c>
      <c r="AA134" s="34">
        <v>8.8146511270860533</v>
      </c>
    </row>
    <row r="135" spans="1:28" x14ac:dyDescent="0.25">
      <c r="A135">
        <v>5080</v>
      </c>
      <c r="B135">
        <v>18650</v>
      </c>
      <c r="C135" s="1">
        <v>42713</v>
      </c>
      <c r="F135" s="41"/>
      <c r="G135">
        <v>8.6</v>
      </c>
      <c r="H135">
        <v>4.8</v>
      </c>
      <c r="I135">
        <v>13.8</v>
      </c>
      <c r="J135">
        <f t="shared" si="13"/>
        <v>1021.4000000000002</v>
      </c>
      <c r="M135">
        <v>0.1</v>
      </c>
      <c r="N135">
        <v>1.1000000000000001</v>
      </c>
      <c r="O135">
        <f t="shared" si="10"/>
        <v>-1</v>
      </c>
      <c r="P135">
        <f t="shared" si="14"/>
        <v>42.500000000000021</v>
      </c>
      <c r="Q135">
        <v>81</v>
      </c>
      <c r="R135">
        <f t="shared" si="17"/>
        <v>0.93658536585365859</v>
      </c>
      <c r="S135">
        <f t="shared" si="11"/>
        <v>1.0302439024390246</v>
      </c>
      <c r="T135" s="24">
        <f t="shared" si="12"/>
        <v>-0.93024390243902466</v>
      </c>
      <c r="U135" s="24">
        <f t="shared" si="15"/>
        <v>63.515609756097554</v>
      </c>
      <c r="W135">
        <v>720.2</v>
      </c>
      <c r="Y135">
        <f t="shared" si="16"/>
        <v>63409.399999999987</v>
      </c>
      <c r="AA135" s="34">
        <v>8.8007100212157123</v>
      </c>
    </row>
    <row r="136" spans="1:28" x14ac:dyDescent="0.25">
      <c r="A136">
        <v>5080</v>
      </c>
      <c r="B136">
        <v>18650</v>
      </c>
      <c r="C136" s="1">
        <v>42714</v>
      </c>
      <c r="F136" s="41"/>
      <c r="G136">
        <v>6</v>
      </c>
      <c r="H136">
        <v>5.3</v>
      </c>
      <c r="I136">
        <v>7</v>
      </c>
      <c r="J136">
        <f t="shared" si="13"/>
        <v>1027.4000000000001</v>
      </c>
      <c r="M136">
        <v>0.2</v>
      </c>
      <c r="N136">
        <v>0.8</v>
      </c>
      <c r="O136">
        <f t="shared" si="10"/>
        <v>-0.60000000000000009</v>
      </c>
      <c r="P136">
        <f t="shared" si="14"/>
        <v>41.90000000000002</v>
      </c>
      <c r="Q136">
        <v>82</v>
      </c>
      <c r="R136">
        <f t="shared" si="17"/>
        <v>0.94451219512195128</v>
      </c>
      <c r="S136">
        <f t="shared" si="11"/>
        <v>0.75560975609756109</v>
      </c>
      <c r="T136" s="24">
        <f t="shared" si="12"/>
        <v>-0.55560975609756103</v>
      </c>
      <c r="U136" s="24">
        <f t="shared" si="15"/>
        <v>62.959999999999994</v>
      </c>
      <c r="W136">
        <v>432.5</v>
      </c>
      <c r="Y136">
        <f t="shared" si="16"/>
        <v>63841.899999999987</v>
      </c>
      <c r="AA136" s="34">
        <v>8.7878666518621067</v>
      </c>
    </row>
    <row r="137" spans="1:28" x14ac:dyDescent="0.25">
      <c r="A137">
        <v>5080</v>
      </c>
      <c r="B137">
        <v>18650</v>
      </c>
      <c r="C137" s="1">
        <v>42715</v>
      </c>
      <c r="F137" s="41"/>
      <c r="G137">
        <v>5.9</v>
      </c>
      <c r="H137">
        <v>0.7</v>
      </c>
      <c r="I137">
        <v>9.1</v>
      </c>
      <c r="J137">
        <f t="shared" si="13"/>
        <v>1033.3000000000002</v>
      </c>
      <c r="M137">
        <v>0.1</v>
      </c>
      <c r="N137">
        <v>0.8</v>
      </c>
      <c r="O137">
        <f t="shared" si="10"/>
        <v>-0.70000000000000007</v>
      </c>
      <c r="P137">
        <f t="shared" si="14"/>
        <v>41.200000000000017</v>
      </c>
      <c r="Q137">
        <v>83</v>
      </c>
      <c r="R137">
        <f t="shared" si="17"/>
        <v>0.95243902439024397</v>
      </c>
      <c r="S137">
        <f t="shared" si="11"/>
        <v>0.76195121951219524</v>
      </c>
      <c r="T137" s="24">
        <f t="shared" si="12"/>
        <v>-0.66195121951219527</v>
      </c>
      <c r="U137" s="24">
        <f t="shared" si="15"/>
        <v>62.298048780487797</v>
      </c>
      <c r="W137">
        <v>603.9</v>
      </c>
      <c r="Y137">
        <f t="shared" si="16"/>
        <v>64445.799999999988</v>
      </c>
      <c r="AA137" s="34">
        <v>8.7761310895951379</v>
      </c>
    </row>
    <row r="138" spans="1:28" x14ac:dyDescent="0.25">
      <c r="A138">
        <v>5080</v>
      </c>
      <c r="B138">
        <v>18650</v>
      </c>
      <c r="C138" s="1">
        <v>42716</v>
      </c>
      <c r="E138" s="34">
        <v>2</v>
      </c>
      <c r="F138" s="41"/>
      <c r="G138">
        <v>4.9000000000000004</v>
      </c>
      <c r="H138">
        <v>4.2</v>
      </c>
      <c r="I138">
        <v>6.8</v>
      </c>
      <c r="J138">
        <f t="shared" si="13"/>
        <v>1038.2000000000003</v>
      </c>
      <c r="M138">
        <v>0.1</v>
      </c>
      <c r="N138">
        <v>0.8</v>
      </c>
      <c r="O138">
        <f t="shared" si="10"/>
        <v>-0.70000000000000007</v>
      </c>
      <c r="P138">
        <f t="shared" si="14"/>
        <v>40.500000000000014</v>
      </c>
      <c r="Q138">
        <v>84</v>
      </c>
      <c r="R138">
        <f t="shared" si="17"/>
        <v>0.96036585365853655</v>
      </c>
      <c r="S138">
        <f t="shared" si="11"/>
        <v>0.76829268292682928</v>
      </c>
      <c r="T138" s="24">
        <f t="shared" si="12"/>
        <v>-0.66829268292682931</v>
      </c>
      <c r="U138" s="24">
        <f t="shared" si="15"/>
        <v>61.629756097560964</v>
      </c>
      <c r="W138">
        <v>415.9</v>
      </c>
      <c r="Y138">
        <f t="shared" si="16"/>
        <v>64861.69999999999</v>
      </c>
      <c r="AA138" s="34">
        <v>8.7655126069575164</v>
      </c>
    </row>
    <row r="139" spans="1:28" x14ac:dyDescent="0.25">
      <c r="A139">
        <v>5080</v>
      </c>
      <c r="B139">
        <v>18650</v>
      </c>
      <c r="C139" s="1">
        <v>42717</v>
      </c>
      <c r="F139" s="41"/>
      <c r="G139">
        <v>5.2</v>
      </c>
      <c r="H139">
        <v>0.7</v>
      </c>
      <c r="I139">
        <v>8.6999999999999993</v>
      </c>
      <c r="J139">
        <f t="shared" si="13"/>
        <v>1043.4000000000003</v>
      </c>
      <c r="M139">
        <v>0.1</v>
      </c>
      <c r="N139">
        <v>0.8</v>
      </c>
      <c r="O139">
        <f t="shared" si="10"/>
        <v>-0.70000000000000007</v>
      </c>
      <c r="P139">
        <f t="shared" si="14"/>
        <v>39.800000000000011</v>
      </c>
      <c r="Q139">
        <v>85</v>
      </c>
      <c r="R139">
        <f t="shared" si="17"/>
        <v>0.96829268292682924</v>
      </c>
      <c r="S139">
        <f t="shared" si="11"/>
        <v>0.77463414634146344</v>
      </c>
      <c r="T139" s="24">
        <f t="shared" si="12"/>
        <v>-0.67463414634146346</v>
      </c>
      <c r="U139" s="24">
        <f t="shared" si="15"/>
        <v>60.955121951219503</v>
      </c>
      <c r="W139">
        <v>549.6</v>
      </c>
      <c r="Y139">
        <f t="shared" si="16"/>
        <v>65411.299999999988</v>
      </c>
      <c r="AA139" s="34">
        <v>8.7560196523703624</v>
      </c>
    </row>
    <row r="140" spans="1:28" x14ac:dyDescent="0.25">
      <c r="A140">
        <v>5080</v>
      </c>
      <c r="B140">
        <v>18650</v>
      </c>
      <c r="C140" s="1">
        <v>42718</v>
      </c>
      <c r="F140" s="41"/>
      <c r="G140">
        <v>8.6</v>
      </c>
      <c r="H140">
        <v>5.2</v>
      </c>
      <c r="I140">
        <v>11.8</v>
      </c>
      <c r="J140">
        <f t="shared" si="13"/>
        <v>1052.0000000000002</v>
      </c>
      <c r="M140">
        <v>0</v>
      </c>
      <c r="N140">
        <v>0.7</v>
      </c>
      <c r="O140">
        <f t="shared" si="10"/>
        <v>-0.7</v>
      </c>
      <c r="P140">
        <f t="shared" si="14"/>
        <v>39.100000000000009</v>
      </c>
      <c r="Q140">
        <v>86</v>
      </c>
      <c r="R140">
        <f t="shared" si="17"/>
        <v>0.97621951219512193</v>
      </c>
      <c r="S140">
        <f t="shared" si="11"/>
        <v>0.68335365853658536</v>
      </c>
      <c r="T140" s="24">
        <f t="shared" si="12"/>
        <v>-0.68335365853658536</v>
      </c>
      <c r="U140" s="24">
        <f t="shared" si="15"/>
        <v>60.271768292682921</v>
      </c>
      <c r="W140">
        <v>247.8</v>
      </c>
      <c r="Y140">
        <f t="shared" si="16"/>
        <v>65659.099999999991</v>
      </c>
      <c r="AA140" s="34">
        <v>8.7476598261013976</v>
      </c>
    </row>
    <row r="141" spans="1:28" x14ac:dyDescent="0.25">
      <c r="A141">
        <v>5080</v>
      </c>
      <c r="B141">
        <v>18650</v>
      </c>
      <c r="C141" s="1">
        <v>42719</v>
      </c>
      <c r="F141" s="41"/>
      <c r="G141">
        <v>5.9</v>
      </c>
      <c r="H141">
        <v>1.6</v>
      </c>
      <c r="I141">
        <v>8.1</v>
      </c>
      <c r="J141">
        <f t="shared" si="13"/>
        <v>1057.9000000000003</v>
      </c>
      <c r="M141">
        <v>0</v>
      </c>
      <c r="N141">
        <v>0.8</v>
      </c>
      <c r="O141">
        <f t="shared" si="10"/>
        <v>-0.8</v>
      </c>
      <c r="P141">
        <f t="shared" si="14"/>
        <v>38.300000000000011</v>
      </c>
      <c r="Q141">
        <v>87</v>
      </c>
      <c r="R141">
        <f t="shared" si="17"/>
        <v>0.98414634146341462</v>
      </c>
      <c r="S141">
        <f t="shared" si="11"/>
        <v>0.78731707317073174</v>
      </c>
      <c r="T141" s="24">
        <f t="shared" si="12"/>
        <v>-0.78731707317073174</v>
      </c>
      <c r="U141" s="24">
        <f t="shared" si="15"/>
        <v>59.484451219512188</v>
      </c>
      <c r="W141">
        <v>536.9</v>
      </c>
      <c r="Y141">
        <f t="shared" si="16"/>
        <v>66195.999999999985</v>
      </c>
      <c r="AA141" s="34">
        <v>8.7404398584366927</v>
      </c>
    </row>
    <row r="142" spans="1:28" x14ac:dyDescent="0.25">
      <c r="A142">
        <v>5080</v>
      </c>
      <c r="B142">
        <v>18650</v>
      </c>
      <c r="C142" s="1">
        <v>42720</v>
      </c>
      <c r="F142" s="41"/>
      <c r="G142">
        <v>9</v>
      </c>
      <c r="H142">
        <v>5.3</v>
      </c>
      <c r="I142">
        <v>12.2</v>
      </c>
      <c r="J142">
        <f t="shared" si="13"/>
        <v>1066.9000000000003</v>
      </c>
      <c r="M142">
        <v>0</v>
      </c>
      <c r="N142">
        <v>0.7</v>
      </c>
      <c r="O142">
        <f t="shared" si="10"/>
        <v>-0.7</v>
      </c>
      <c r="P142">
        <f t="shared" si="14"/>
        <v>37.600000000000009</v>
      </c>
      <c r="Q142">
        <v>88</v>
      </c>
      <c r="R142">
        <f t="shared" si="17"/>
        <v>0.99207317073170731</v>
      </c>
      <c r="S142">
        <f t="shared" si="11"/>
        <v>0.69445121951219513</v>
      </c>
      <c r="T142" s="24">
        <f t="shared" si="12"/>
        <v>-0.69445121951219513</v>
      </c>
      <c r="U142" s="24">
        <f t="shared" si="15"/>
        <v>58.789999999999992</v>
      </c>
      <c r="W142">
        <v>540.79999999999995</v>
      </c>
      <c r="Y142">
        <f t="shared" si="16"/>
        <v>66736.799999999988</v>
      </c>
      <c r="AA142" s="34">
        <v>8.7343655901857691</v>
      </c>
    </row>
    <row r="143" spans="1:28" s="25" customFormat="1" ht="15.75" thickBot="1" x14ac:dyDescent="0.3">
      <c r="A143" s="25">
        <v>5080</v>
      </c>
      <c r="B143" s="25">
        <v>18650</v>
      </c>
      <c r="C143" s="26">
        <v>42721</v>
      </c>
      <c r="F143" s="41"/>
      <c r="G143" s="25">
        <v>7.7</v>
      </c>
      <c r="H143" s="25">
        <v>5</v>
      </c>
      <c r="I143" s="25">
        <v>11.4</v>
      </c>
      <c r="J143" s="25">
        <f t="shared" si="13"/>
        <v>1074.6000000000004</v>
      </c>
      <c r="L143" s="27"/>
      <c r="M143" s="25">
        <v>0</v>
      </c>
      <c r="N143" s="25">
        <v>1</v>
      </c>
      <c r="O143" s="25">
        <f t="shared" si="10"/>
        <v>-1</v>
      </c>
      <c r="P143" s="25">
        <f t="shared" si="14"/>
        <v>36.600000000000009</v>
      </c>
      <c r="Q143" s="25">
        <v>89</v>
      </c>
      <c r="R143" s="25">
        <f t="shared" si="17"/>
        <v>1</v>
      </c>
      <c r="S143" s="25">
        <f t="shared" si="11"/>
        <v>1</v>
      </c>
      <c r="T143" s="28">
        <f t="shared" si="12"/>
        <v>-1</v>
      </c>
      <c r="U143" s="24">
        <f t="shared" si="15"/>
        <v>57.789999999999992</v>
      </c>
      <c r="V143" s="27"/>
      <c r="W143" s="25">
        <v>769.9</v>
      </c>
      <c r="Y143" s="25">
        <f t="shared" si="16"/>
        <v>67506.699999999983</v>
      </c>
      <c r="AA143" s="35">
        <v>8.7294419556373235</v>
      </c>
    </row>
    <row r="144" spans="1:28" x14ac:dyDescent="0.25">
      <c r="A144">
        <v>5080</v>
      </c>
      <c r="B144">
        <v>18650</v>
      </c>
      <c r="C144" s="1">
        <v>42722</v>
      </c>
      <c r="D144" t="s">
        <v>55</v>
      </c>
      <c r="E144" s="34">
        <v>3</v>
      </c>
      <c r="F144" s="40" t="s">
        <v>58</v>
      </c>
      <c r="G144">
        <v>4</v>
      </c>
      <c r="H144">
        <v>0.8</v>
      </c>
      <c r="I144">
        <v>6.9</v>
      </c>
      <c r="J144">
        <f t="shared" si="13"/>
        <v>1078.6000000000004</v>
      </c>
      <c r="K144">
        <f>G144</f>
        <v>4</v>
      </c>
      <c r="L144" s="23" t="s">
        <v>34</v>
      </c>
      <c r="M144">
        <v>0.2</v>
      </c>
      <c r="N144">
        <v>0.8</v>
      </c>
      <c r="O144">
        <f t="shared" si="10"/>
        <v>-0.60000000000000009</v>
      </c>
      <c r="P144">
        <f t="shared" si="14"/>
        <v>36.000000000000007</v>
      </c>
      <c r="Q144">
        <v>90</v>
      </c>
      <c r="R144">
        <v>1</v>
      </c>
      <c r="S144">
        <f t="shared" si="11"/>
        <v>0.8</v>
      </c>
      <c r="T144" s="24">
        <f t="shared" si="12"/>
        <v>-0.60000000000000009</v>
      </c>
      <c r="U144" s="24">
        <f t="shared" si="15"/>
        <v>57.189999999999991</v>
      </c>
      <c r="V144" s="29" t="s">
        <v>41</v>
      </c>
      <c r="W144">
        <v>694.3</v>
      </c>
      <c r="Y144">
        <f t="shared" si="16"/>
        <v>68200.999999999985</v>
      </c>
      <c r="Z144">
        <f>W144</f>
        <v>694.3</v>
      </c>
      <c r="AA144" s="34">
        <v>8.7256729680691905</v>
      </c>
      <c r="AB144" s="29" t="s">
        <v>46</v>
      </c>
    </row>
    <row r="145" spans="1:28" x14ac:dyDescent="0.25">
      <c r="A145">
        <v>5080</v>
      </c>
      <c r="B145">
        <v>18650</v>
      </c>
      <c r="C145" s="1">
        <v>42723</v>
      </c>
      <c r="E145" s="34">
        <v>4</v>
      </c>
      <c r="F145" s="40"/>
      <c r="G145">
        <v>3</v>
      </c>
      <c r="H145">
        <v>-0.6</v>
      </c>
      <c r="I145">
        <v>4.9000000000000004</v>
      </c>
      <c r="J145">
        <f t="shared" si="13"/>
        <v>1081.6000000000004</v>
      </c>
      <c r="K145">
        <f>K144+G145</f>
        <v>7</v>
      </c>
      <c r="L145" s="8">
        <v>165.5</v>
      </c>
      <c r="M145">
        <v>1.3</v>
      </c>
      <c r="N145">
        <v>0.3</v>
      </c>
      <c r="O145">
        <f t="shared" si="10"/>
        <v>1</v>
      </c>
      <c r="P145">
        <f t="shared" si="14"/>
        <v>37.000000000000007</v>
      </c>
      <c r="Q145">
        <v>91</v>
      </c>
      <c r="R145">
        <v>1</v>
      </c>
      <c r="S145">
        <f t="shared" si="11"/>
        <v>0.3</v>
      </c>
      <c r="T145" s="24">
        <f t="shared" si="12"/>
        <v>1</v>
      </c>
      <c r="U145" s="24">
        <f t="shared" si="15"/>
        <v>58.189999999999991</v>
      </c>
      <c r="V145">
        <v>0</v>
      </c>
      <c r="W145">
        <v>207.1</v>
      </c>
      <c r="Y145">
        <f t="shared" si="16"/>
        <v>68408.099999999991</v>
      </c>
      <c r="Z145">
        <f>Z144+W145</f>
        <v>901.4</v>
      </c>
      <c r="AA145" s="34">
        <v>8.7230617079014419</v>
      </c>
      <c r="AB145">
        <v>18621.599999999999</v>
      </c>
    </row>
    <row r="146" spans="1:28" x14ac:dyDescent="0.25">
      <c r="A146">
        <v>5080</v>
      </c>
      <c r="B146">
        <v>18650</v>
      </c>
      <c r="C146" s="1">
        <v>42724</v>
      </c>
      <c r="E146" s="34">
        <v>5</v>
      </c>
      <c r="F146" s="40"/>
      <c r="G146">
        <v>4.5</v>
      </c>
      <c r="H146">
        <v>4.2</v>
      </c>
      <c r="I146">
        <v>6.1</v>
      </c>
      <c r="J146">
        <f t="shared" si="13"/>
        <v>1086.1000000000004</v>
      </c>
      <c r="K146">
        <f t="shared" ref="K146:K209" si="18">K145+G146</f>
        <v>11.5</v>
      </c>
      <c r="L146" s="23" t="s">
        <v>35</v>
      </c>
      <c r="M146">
        <v>0</v>
      </c>
      <c r="N146">
        <v>0.6</v>
      </c>
      <c r="O146">
        <f t="shared" si="10"/>
        <v>-0.6</v>
      </c>
      <c r="P146">
        <f t="shared" si="14"/>
        <v>36.400000000000006</v>
      </c>
      <c r="Q146">
        <v>92</v>
      </c>
      <c r="R146">
        <v>1</v>
      </c>
      <c r="S146">
        <f t="shared" si="11"/>
        <v>0.6</v>
      </c>
      <c r="T146" s="24">
        <f t="shared" si="12"/>
        <v>-0.6</v>
      </c>
      <c r="U146" s="24">
        <f t="shared" si="15"/>
        <v>57.589999999999989</v>
      </c>
      <c r="V146" s="29" t="s">
        <v>42</v>
      </c>
      <c r="W146">
        <v>503.8</v>
      </c>
      <c r="Y146">
        <f t="shared" si="16"/>
        <v>68911.899999999994</v>
      </c>
      <c r="Z146">
        <f t="shared" ref="Z146:Z209" si="19">Z145+W146</f>
        <v>1405.2</v>
      </c>
      <c r="AA146" s="34">
        <v>8.7216103135657335</v>
      </c>
      <c r="AB146" s="29" t="s">
        <v>47</v>
      </c>
    </row>
    <row r="147" spans="1:28" x14ac:dyDescent="0.25">
      <c r="A147">
        <v>5080</v>
      </c>
      <c r="B147">
        <v>18650</v>
      </c>
      <c r="C147" s="1">
        <v>42725</v>
      </c>
      <c r="E147" s="34">
        <v>6</v>
      </c>
      <c r="F147" s="40"/>
      <c r="G147">
        <v>3.2</v>
      </c>
      <c r="H147">
        <v>-0.6</v>
      </c>
      <c r="I147">
        <v>7.4</v>
      </c>
      <c r="J147">
        <f t="shared" si="13"/>
        <v>1089.3000000000004</v>
      </c>
      <c r="K147">
        <f t="shared" si="18"/>
        <v>14.7</v>
      </c>
      <c r="L147" s="8">
        <f>AVERAGE(G144:G183)</f>
        <v>3.9974999999999996</v>
      </c>
      <c r="M147">
        <v>0</v>
      </c>
      <c r="N147">
        <v>0.9</v>
      </c>
      <c r="O147">
        <f t="shared" si="10"/>
        <v>-0.9</v>
      </c>
      <c r="P147">
        <f t="shared" si="14"/>
        <v>35.500000000000007</v>
      </c>
      <c r="Q147">
        <v>93</v>
      </c>
      <c r="R147">
        <v>1</v>
      </c>
      <c r="S147">
        <f t="shared" si="11"/>
        <v>0.9</v>
      </c>
      <c r="T147" s="24">
        <f t="shared" si="12"/>
        <v>-0.9</v>
      </c>
      <c r="U147" s="24">
        <f t="shared" si="15"/>
        <v>56.689999999999991</v>
      </c>
      <c r="V147">
        <v>0</v>
      </c>
      <c r="W147">
        <v>801.8</v>
      </c>
      <c r="Y147">
        <f t="shared" si="16"/>
        <v>69713.7</v>
      </c>
      <c r="Z147">
        <f t="shared" si="19"/>
        <v>2207</v>
      </c>
      <c r="AA147" s="34">
        <v>8.721319975147706</v>
      </c>
      <c r="AB147">
        <f>(AB145/100)/L145</f>
        <v>1.1251722054380664</v>
      </c>
    </row>
    <row r="148" spans="1:28" x14ac:dyDescent="0.25">
      <c r="A148">
        <v>5080</v>
      </c>
      <c r="B148">
        <v>18650</v>
      </c>
      <c r="C148" s="1">
        <v>42726</v>
      </c>
      <c r="E148" s="34">
        <v>7</v>
      </c>
      <c r="F148" s="40"/>
      <c r="G148">
        <v>4</v>
      </c>
      <c r="H148">
        <v>-0.5</v>
      </c>
      <c r="I148">
        <v>11.3</v>
      </c>
      <c r="J148">
        <f t="shared" si="13"/>
        <v>1093.3000000000004</v>
      </c>
      <c r="K148">
        <f t="shared" si="18"/>
        <v>18.7</v>
      </c>
      <c r="L148" s="23" t="s">
        <v>36</v>
      </c>
      <c r="M148">
        <v>3.4</v>
      </c>
      <c r="N148">
        <v>0.8</v>
      </c>
      <c r="O148">
        <f t="shared" si="10"/>
        <v>2.5999999999999996</v>
      </c>
      <c r="P148">
        <f t="shared" si="14"/>
        <v>38.100000000000009</v>
      </c>
      <c r="Q148">
        <v>94</v>
      </c>
      <c r="R148">
        <v>1</v>
      </c>
      <c r="S148">
        <f t="shared" si="11"/>
        <v>0.8</v>
      </c>
      <c r="T148" s="24">
        <f t="shared" si="12"/>
        <v>2.5999999999999996</v>
      </c>
      <c r="U148" s="24">
        <f t="shared" si="15"/>
        <v>59.289999999999992</v>
      </c>
      <c r="V148" s="29" t="s">
        <v>43</v>
      </c>
      <c r="W148">
        <v>276.7</v>
      </c>
      <c r="Y148">
        <f t="shared" si="16"/>
        <v>69990.399999999994</v>
      </c>
      <c r="Z148">
        <f t="shared" si="19"/>
        <v>2483.6999999999998</v>
      </c>
      <c r="AA148" s="34">
        <v>8.7221909308420216</v>
      </c>
      <c r="AB148" s="29" t="s">
        <v>48</v>
      </c>
    </row>
    <row r="149" spans="1:28" x14ac:dyDescent="0.25">
      <c r="A149">
        <v>5080</v>
      </c>
      <c r="B149">
        <v>18650</v>
      </c>
      <c r="C149" s="1">
        <v>42727</v>
      </c>
      <c r="F149" s="40"/>
      <c r="G149">
        <v>11.5</v>
      </c>
      <c r="H149">
        <v>6.6</v>
      </c>
      <c r="I149">
        <v>13.9</v>
      </c>
      <c r="J149">
        <f t="shared" si="13"/>
        <v>1104.8000000000004</v>
      </c>
      <c r="K149">
        <f t="shared" si="18"/>
        <v>30.2</v>
      </c>
      <c r="L149" s="12">
        <f>MIN(H144:H183)</f>
        <v>-4.8</v>
      </c>
      <c r="M149">
        <v>3.6</v>
      </c>
      <c r="N149">
        <v>0.3</v>
      </c>
      <c r="O149">
        <f t="shared" si="10"/>
        <v>3.3000000000000003</v>
      </c>
      <c r="P149">
        <f t="shared" si="14"/>
        <v>41.400000000000006</v>
      </c>
      <c r="Q149">
        <v>95</v>
      </c>
      <c r="R149">
        <v>1</v>
      </c>
      <c r="S149">
        <f t="shared" si="11"/>
        <v>0.3</v>
      </c>
      <c r="T149" s="24">
        <f t="shared" si="12"/>
        <v>3.3000000000000003</v>
      </c>
      <c r="U149" s="24">
        <f t="shared" si="15"/>
        <v>62.589999999999989</v>
      </c>
      <c r="V149" s="24">
        <f>MIN(U144:U183)</f>
        <v>53.99</v>
      </c>
      <c r="W149">
        <v>181.4</v>
      </c>
      <c r="Y149">
        <f t="shared" si="16"/>
        <v>70171.799999999988</v>
      </c>
      <c r="Z149">
        <f t="shared" si="19"/>
        <v>2665.1</v>
      </c>
      <c r="AA149" s="34">
        <v>8.7242224662422778</v>
      </c>
      <c r="AB149">
        <v>34</v>
      </c>
    </row>
    <row r="150" spans="1:28" x14ac:dyDescent="0.25">
      <c r="A150">
        <v>5080</v>
      </c>
      <c r="B150">
        <v>18650</v>
      </c>
      <c r="C150" s="1">
        <v>42728</v>
      </c>
      <c r="F150" s="40"/>
      <c r="G150">
        <v>12</v>
      </c>
      <c r="H150">
        <v>10.9</v>
      </c>
      <c r="I150">
        <v>12.7</v>
      </c>
      <c r="J150">
        <f t="shared" si="13"/>
        <v>1116.8000000000004</v>
      </c>
      <c r="K150">
        <f t="shared" si="18"/>
        <v>42.2</v>
      </c>
      <c r="L150" s="23" t="s">
        <v>37</v>
      </c>
      <c r="M150">
        <v>0</v>
      </c>
      <c r="N150">
        <v>0.5</v>
      </c>
      <c r="O150">
        <f t="shared" si="10"/>
        <v>-0.5</v>
      </c>
      <c r="P150">
        <f t="shared" si="14"/>
        <v>40.900000000000006</v>
      </c>
      <c r="Q150">
        <v>96</v>
      </c>
      <c r="R150">
        <v>1</v>
      </c>
      <c r="S150">
        <f t="shared" si="11"/>
        <v>0.5</v>
      </c>
      <c r="T150" s="24">
        <f t="shared" si="12"/>
        <v>-0.5</v>
      </c>
      <c r="U150" s="24">
        <f t="shared" si="15"/>
        <v>62.089999999999989</v>
      </c>
      <c r="V150" s="29" t="s">
        <v>44</v>
      </c>
      <c r="W150">
        <v>173.9</v>
      </c>
      <c r="Y150">
        <f t="shared" si="16"/>
        <v>70345.699999999983</v>
      </c>
      <c r="Z150">
        <f t="shared" si="19"/>
        <v>2839</v>
      </c>
      <c r="AA150" s="34">
        <v>8.7274129164701897</v>
      </c>
      <c r="AB150" t="s">
        <v>60</v>
      </c>
    </row>
    <row r="151" spans="1:28" x14ac:dyDescent="0.25">
      <c r="A151">
        <v>5080</v>
      </c>
      <c r="B151">
        <v>18650</v>
      </c>
      <c r="C151" s="1">
        <v>42729</v>
      </c>
      <c r="F151" s="40"/>
      <c r="G151">
        <v>11.6</v>
      </c>
      <c r="H151">
        <v>11</v>
      </c>
      <c r="I151">
        <v>12.7</v>
      </c>
      <c r="J151">
        <f t="shared" si="13"/>
        <v>1128.4000000000003</v>
      </c>
      <c r="K151">
        <f t="shared" si="18"/>
        <v>53.800000000000004</v>
      </c>
      <c r="L151" s="8">
        <f>MAX(I144:I183)</f>
        <v>13.9</v>
      </c>
      <c r="M151">
        <v>0</v>
      </c>
      <c r="N151">
        <v>0.6</v>
      </c>
      <c r="O151">
        <f t="shared" si="10"/>
        <v>-0.6</v>
      </c>
      <c r="P151">
        <f t="shared" si="14"/>
        <v>40.300000000000004</v>
      </c>
      <c r="Q151">
        <v>97</v>
      </c>
      <c r="R151">
        <v>1</v>
      </c>
      <c r="S151">
        <f t="shared" si="11"/>
        <v>0.6</v>
      </c>
      <c r="T151" s="24">
        <f t="shared" si="12"/>
        <v>-0.6</v>
      </c>
      <c r="U151" s="24">
        <f t="shared" si="15"/>
        <v>61.489999999999988</v>
      </c>
      <c r="V151" s="24">
        <f>MAX(U144:U183)</f>
        <v>73.489999999999995</v>
      </c>
      <c r="W151">
        <v>195</v>
      </c>
      <c r="Y151">
        <f t="shared" si="16"/>
        <v>70540.699999999983</v>
      </c>
      <c r="Z151">
        <f t="shared" si="19"/>
        <v>3034</v>
      </c>
      <c r="AA151" s="34">
        <v>8.7317596711307459</v>
      </c>
      <c r="AB151">
        <v>18</v>
      </c>
    </row>
    <row r="152" spans="1:28" x14ac:dyDescent="0.25">
      <c r="A152">
        <v>5080</v>
      </c>
      <c r="B152">
        <v>18650</v>
      </c>
      <c r="C152" s="1">
        <v>42730</v>
      </c>
      <c r="F152" s="40"/>
      <c r="G152">
        <v>10.4</v>
      </c>
      <c r="H152">
        <v>9.1</v>
      </c>
      <c r="I152">
        <v>12.4</v>
      </c>
      <c r="J152">
        <f t="shared" si="13"/>
        <v>1138.8000000000004</v>
      </c>
      <c r="K152">
        <f t="shared" si="18"/>
        <v>64.2</v>
      </c>
      <c r="L152" s="23" t="s">
        <v>38</v>
      </c>
      <c r="M152">
        <v>0</v>
      </c>
      <c r="N152">
        <v>0.8</v>
      </c>
      <c r="O152">
        <f t="shared" si="10"/>
        <v>-0.8</v>
      </c>
      <c r="P152">
        <f t="shared" si="14"/>
        <v>39.500000000000007</v>
      </c>
      <c r="Q152">
        <v>98</v>
      </c>
      <c r="R152">
        <v>1</v>
      </c>
      <c r="S152">
        <f t="shared" si="11"/>
        <v>0.8</v>
      </c>
      <c r="T152" s="24">
        <f t="shared" si="12"/>
        <v>-0.8</v>
      </c>
      <c r="U152" s="24">
        <f t="shared" si="15"/>
        <v>60.689999999999991</v>
      </c>
      <c r="V152" s="29" t="s">
        <v>45</v>
      </c>
      <c r="W152">
        <v>213.5</v>
      </c>
      <c r="Y152">
        <f t="shared" si="16"/>
        <v>70754.199999999983</v>
      </c>
      <c r="Z152">
        <f t="shared" si="19"/>
        <v>3247.5</v>
      </c>
      <c r="AA152" s="34">
        <v>8.7372591820623722</v>
      </c>
    </row>
    <row r="153" spans="1:28" x14ac:dyDescent="0.25">
      <c r="A153">
        <v>5080</v>
      </c>
      <c r="B153">
        <v>18650</v>
      </c>
      <c r="C153" s="1">
        <v>42731</v>
      </c>
      <c r="F153" s="40"/>
      <c r="G153">
        <v>7.5</v>
      </c>
      <c r="H153">
        <v>5.7</v>
      </c>
      <c r="I153">
        <v>9.1</v>
      </c>
      <c r="J153">
        <f t="shared" si="13"/>
        <v>1146.3000000000004</v>
      </c>
      <c r="K153">
        <f t="shared" si="18"/>
        <v>71.7</v>
      </c>
      <c r="L153" s="8">
        <v>0</v>
      </c>
      <c r="M153">
        <v>0.1</v>
      </c>
      <c r="N153">
        <v>0.6</v>
      </c>
      <c r="O153">
        <f t="shared" si="10"/>
        <v>-0.5</v>
      </c>
      <c r="P153">
        <f t="shared" si="14"/>
        <v>39.000000000000007</v>
      </c>
      <c r="Q153">
        <v>99</v>
      </c>
      <c r="R153">
        <v>1</v>
      </c>
      <c r="S153">
        <f t="shared" si="11"/>
        <v>0.6</v>
      </c>
      <c r="T153" s="24">
        <f t="shared" si="12"/>
        <v>-0.5</v>
      </c>
      <c r="U153" s="24">
        <f t="shared" si="15"/>
        <v>60.189999999999991</v>
      </c>
      <c r="V153" s="21">
        <f>AVERAGE(U144:U183)</f>
        <v>62.875</v>
      </c>
      <c r="W153">
        <v>256.60000000000002</v>
      </c>
      <c r="Y153">
        <f t="shared" si="16"/>
        <v>71010.799999999988</v>
      </c>
      <c r="Z153">
        <f t="shared" si="19"/>
        <v>3504.1</v>
      </c>
      <c r="AA153" s="34">
        <v>8.7439069738338393</v>
      </c>
    </row>
    <row r="154" spans="1:28" x14ac:dyDescent="0.25">
      <c r="A154">
        <v>5080</v>
      </c>
      <c r="B154">
        <v>18650</v>
      </c>
      <c r="C154" s="1">
        <v>42732</v>
      </c>
      <c r="F154" s="40"/>
      <c r="G154">
        <v>5.3</v>
      </c>
      <c r="H154">
        <v>2.6</v>
      </c>
      <c r="I154">
        <v>8.6</v>
      </c>
      <c r="J154">
        <f t="shared" si="13"/>
        <v>1151.6000000000004</v>
      </c>
      <c r="K154">
        <f t="shared" si="18"/>
        <v>77</v>
      </c>
      <c r="L154" s="23" t="s">
        <v>39</v>
      </c>
      <c r="M154">
        <v>0.1</v>
      </c>
      <c r="N154">
        <v>1</v>
      </c>
      <c r="O154">
        <f t="shared" si="10"/>
        <v>-0.9</v>
      </c>
      <c r="P154">
        <f t="shared" si="14"/>
        <v>38.100000000000009</v>
      </c>
      <c r="Q154">
        <v>100</v>
      </c>
      <c r="R154">
        <v>1</v>
      </c>
      <c r="S154">
        <f t="shared" si="11"/>
        <v>1</v>
      </c>
      <c r="T154" s="24">
        <f t="shared" si="12"/>
        <v>-0.9</v>
      </c>
      <c r="U154" s="24">
        <f t="shared" si="15"/>
        <v>59.289999999999992</v>
      </c>
      <c r="W154">
        <v>536.1</v>
      </c>
      <c r="Y154">
        <f t="shared" si="16"/>
        <v>71546.899999999994</v>
      </c>
      <c r="Z154">
        <f t="shared" si="19"/>
        <v>4040.2</v>
      </c>
      <c r="AA154" s="34">
        <v>8.7516976569228841</v>
      </c>
    </row>
    <row r="155" spans="1:28" x14ac:dyDescent="0.25">
      <c r="A155">
        <v>5080</v>
      </c>
      <c r="B155">
        <v>18650</v>
      </c>
      <c r="C155" s="1">
        <v>42733</v>
      </c>
      <c r="E155" s="34">
        <v>8</v>
      </c>
      <c r="F155" s="40"/>
      <c r="G155">
        <v>3.3</v>
      </c>
      <c r="H155">
        <v>-0.5</v>
      </c>
      <c r="I155">
        <v>6.5</v>
      </c>
      <c r="J155">
        <f t="shared" si="13"/>
        <v>1154.9000000000003</v>
      </c>
      <c r="K155">
        <f t="shared" si="18"/>
        <v>80.3</v>
      </c>
      <c r="L155" s="8">
        <v>17</v>
      </c>
      <c r="M155">
        <v>0.1</v>
      </c>
      <c r="N155">
        <v>0.8</v>
      </c>
      <c r="O155">
        <f t="shared" si="10"/>
        <v>-0.70000000000000007</v>
      </c>
      <c r="P155">
        <f t="shared" si="14"/>
        <v>37.400000000000006</v>
      </c>
      <c r="Q155">
        <v>101</v>
      </c>
      <c r="R155">
        <v>1</v>
      </c>
      <c r="S155">
        <f t="shared" si="11"/>
        <v>0.8</v>
      </c>
      <c r="T155" s="24">
        <f t="shared" si="12"/>
        <v>-0.70000000000000007</v>
      </c>
      <c r="U155" s="24">
        <f t="shared" si="15"/>
        <v>58.589999999999989</v>
      </c>
      <c r="V155" s="8">
        <f>(V153*100)/155.7</f>
        <v>40.382145150931279</v>
      </c>
      <c r="W155">
        <v>579.29999999999995</v>
      </c>
      <c r="Y155">
        <f t="shared" si="16"/>
        <v>72126.2</v>
      </c>
      <c r="Z155">
        <f t="shared" si="19"/>
        <v>4619.5</v>
      </c>
      <c r="AA155" s="34">
        <v>8.7606249434954151</v>
      </c>
    </row>
    <row r="156" spans="1:28" x14ac:dyDescent="0.25">
      <c r="A156">
        <v>5080</v>
      </c>
      <c r="B156">
        <v>18650</v>
      </c>
      <c r="C156" s="1">
        <v>42734</v>
      </c>
      <c r="E156" s="34">
        <v>9</v>
      </c>
      <c r="F156" s="40"/>
      <c r="G156">
        <v>2.5</v>
      </c>
      <c r="H156">
        <v>2.2000000000000002</v>
      </c>
      <c r="I156">
        <v>2.8</v>
      </c>
      <c r="J156">
        <f t="shared" si="13"/>
        <v>1157.4000000000003</v>
      </c>
      <c r="K156">
        <f t="shared" si="18"/>
        <v>82.8</v>
      </c>
      <c r="L156" s="23" t="s">
        <v>40</v>
      </c>
      <c r="M156">
        <v>0.2</v>
      </c>
      <c r="N156">
        <v>0.5</v>
      </c>
      <c r="O156">
        <f t="shared" si="10"/>
        <v>-0.3</v>
      </c>
      <c r="P156">
        <f t="shared" si="14"/>
        <v>37.100000000000009</v>
      </c>
      <c r="Q156">
        <v>102</v>
      </c>
      <c r="R156">
        <v>1</v>
      </c>
      <c r="S156">
        <f t="shared" si="11"/>
        <v>0.5</v>
      </c>
      <c r="T156" s="24">
        <f t="shared" si="12"/>
        <v>-0.3</v>
      </c>
      <c r="U156" s="24">
        <f t="shared" si="15"/>
        <v>58.289999999999992</v>
      </c>
      <c r="W156">
        <v>359.8</v>
      </c>
      <c r="Y156">
        <f t="shared" si="16"/>
        <v>72486</v>
      </c>
      <c r="Z156">
        <f t="shared" si="19"/>
        <v>4979.3</v>
      </c>
      <c r="AA156" s="34">
        <v>8.7706816656889366</v>
      </c>
    </row>
    <row r="157" spans="1:28" x14ac:dyDescent="0.25">
      <c r="A157">
        <v>5080</v>
      </c>
      <c r="B157">
        <v>18650</v>
      </c>
      <c r="C157" s="1">
        <v>42735</v>
      </c>
      <c r="E157" s="34">
        <v>10</v>
      </c>
      <c r="F157" s="40"/>
      <c r="G157">
        <v>4.2</v>
      </c>
      <c r="H157">
        <v>1.6</v>
      </c>
      <c r="I157">
        <v>6.6</v>
      </c>
      <c r="J157">
        <f t="shared" si="13"/>
        <v>1161.6000000000004</v>
      </c>
      <c r="K157">
        <f t="shared" si="18"/>
        <v>87</v>
      </c>
      <c r="L157" s="8">
        <v>15</v>
      </c>
      <c r="M157">
        <v>0.3</v>
      </c>
      <c r="N157">
        <v>0.5</v>
      </c>
      <c r="O157">
        <f t="shared" si="10"/>
        <v>-0.2</v>
      </c>
      <c r="P157">
        <f t="shared" si="14"/>
        <v>36.900000000000006</v>
      </c>
      <c r="Q157">
        <v>103</v>
      </c>
      <c r="R157">
        <v>1</v>
      </c>
      <c r="S157">
        <f t="shared" si="11"/>
        <v>0.5</v>
      </c>
      <c r="T157" s="24">
        <f t="shared" si="12"/>
        <v>-0.2</v>
      </c>
      <c r="U157" s="24">
        <f t="shared" si="15"/>
        <v>58.089999999999989</v>
      </c>
      <c r="W157">
        <v>338.2</v>
      </c>
      <c r="Y157">
        <f t="shared" si="16"/>
        <v>72824.2</v>
      </c>
      <c r="Z157">
        <f t="shared" si="19"/>
        <v>5317.5</v>
      </c>
      <c r="AA157" s="34">
        <v>8.7818597962896039</v>
      </c>
    </row>
    <row r="158" spans="1:28" x14ac:dyDescent="0.25">
      <c r="A158">
        <v>5080</v>
      </c>
      <c r="B158">
        <v>18650</v>
      </c>
      <c r="C158" s="1">
        <v>42736</v>
      </c>
      <c r="E158" s="34">
        <v>11</v>
      </c>
      <c r="F158" s="40"/>
      <c r="G158">
        <v>1.9</v>
      </c>
      <c r="H158">
        <v>0.5</v>
      </c>
      <c r="I158">
        <v>2.4</v>
      </c>
      <c r="J158">
        <f t="shared" si="13"/>
        <v>1163.5000000000005</v>
      </c>
      <c r="K158">
        <f t="shared" si="18"/>
        <v>88.9</v>
      </c>
      <c r="M158">
        <v>0</v>
      </c>
      <c r="N158">
        <v>0.3</v>
      </c>
      <c r="O158">
        <f t="shared" si="10"/>
        <v>-0.3</v>
      </c>
      <c r="P158">
        <f t="shared" si="14"/>
        <v>36.600000000000009</v>
      </c>
      <c r="Q158">
        <v>104</v>
      </c>
      <c r="R158">
        <v>1</v>
      </c>
      <c r="S158">
        <f t="shared" si="11"/>
        <v>0.3</v>
      </c>
      <c r="T158" s="24">
        <f t="shared" si="12"/>
        <v>-0.3</v>
      </c>
      <c r="U158" s="24">
        <f t="shared" si="15"/>
        <v>57.789999999999992</v>
      </c>
      <c r="W158">
        <v>259.5</v>
      </c>
      <c r="Y158">
        <f t="shared" si="16"/>
        <v>73083.7</v>
      </c>
      <c r="Z158">
        <f t="shared" si="19"/>
        <v>5577</v>
      </c>
      <c r="AA158" s="34">
        <v>8.7941504716791812</v>
      </c>
    </row>
    <row r="159" spans="1:28" x14ac:dyDescent="0.25">
      <c r="A159">
        <v>5080</v>
      </c>
      <c r="B159">
        <v>18650</v>
      </c>
      <c r="C159" s="1">
        <v>42737</v>
      </c>
      <c r="E159" s="34">
        <v>12</v>
      </c>
      <c r="F159" s="40"/>
      <c r="G159">
        <v>2</v>
      </c>
      <c r="H159">
        <v>0.7</v>
      </c>
      <c r="I159">
        <v>2.4</v>
      </c>
      <c r="J159">
        <f t="shared" si="13"/>
        <v>1165.5000000000005</v>
      </c>
      <c r="K159">
        <f t="shared" si="18"/>
        <v>90.9</v>
      </c>
      <c r="M159">
        <v>0</v>
      </c>
      <c r="N159">
        <v>0.3</v>
      </c>
      <c r="O159">
        <f t="shared" si="10"/>
        <v>-0.3</v>
      </c>
      <c r="P159">
        <f t="shared" si="14"/>
        <v>36.300000000000011</v>
      </c>
      <c r="Q159">
        <v>105</v>
      </c>
      <c r="R159">
        <v>1</v>
      </c>
      <c r="S159">
        <f t="shared" si="11"/>
        <v>0.3</v>
      </c>
      <c r="T159" s="24">
        <f t="shared" si="12"/>
        <v>-0.3</v>
      </c>
      <c r="U159" s="24">
        <f t="shared" si="15"/>
        <v>57.489999999999995</v>
      </c>
      <c r="W159">
        <v>161.1</v>
      </c>
      <c r="Y159">
        <f t="shared" si="16"/>
        <v>73244.800000000003</v>
      </c>
      <c r="Z159">
        <f t="shared" si="19"/>
        <v>5738.1</v>
      </c>
      <c r="AA159" s="34">
        <v>8.807544016916431</v>
      </c>
    </row>
    <row r="160" spans="1:28" x14ac:dyDescent="0.25">
      <c r="A160">
        <v>5080</v>
      </c>
      <c r="B160">
        <v>18650</v>
      </c>
      <c r="C160" s="1">
        <v>42738</v>
      </c>
      <c r="E160" s="34">
        <v>13</v>
      </c>
      <c r="F160" s="40"/>
      <c r="G160">
        <v>2</v>
      </c>
      <c r="H160">
        <v>1.7</v>
      </c>
      <c r="I160">
        <v>2.8</v>
      </c>
      <c r="J160">
        <f t="shared" si="13"/>
        <v>1167.5000000000005</v>
      </c>
      <c r="K160">
        <f t="shared" si="18"/>
        <v>92.9</v>
      </c>
      <c r="M160">
        <v>0</v>
      </c>
      <c r="N160">
        <v>0.5</v>
      </c>
      <c r="O160">
        <f t="shared" si="10"/>
        <v>-0.5</v>
      </c>
      <c r="P160">
        <f t="shared" si="14"/>
        <v>35.800000000000011</v>
      </c>
      <c r="Q160">
        <v>106</v>
      </c>
      <c r="R160">
        <v>1</v>
      </c>
      <c r="S160">
        <f t="shared" si="11"/>
        <v>0.5</v>
      </c>
      <c r="T160" s="24">
        <f t="shared" si="12"/>
        <v>-0.5</v>
      </c>
      <c r="U160" s="24">
        <f t="shared" si="15"/>
        <v>56.989999999999995</v>
      </c>
      <c r="W160">
        <v>190.2</v>
      </c>
      <c r="Y160">
        <f t="shared" si="16"/>
        <v>73435</v>
      </c>
      <c r="Z160">
        <f t="shared" si="19"/>
        <v>5928.3</v>
      </c>
      <c r="AA160" s="34">
        <v>8.8220299728068525</v>
      </c>
    </row>
    <row r="161" spans="1:27" x14ac:dyDescent="0.25">
      <c r="A161">
        <v>5080</v>
      </c>
      <c r="B161">
        <v>18650</v>
      </c>
      <c r="C161" s="1">
        <v>42739</v>
      </c>
      <c r="E161" s="34">
        <v>14</v>
      </c>
      <c r="F161" s="40"/>
      <c r="G161">
        <v>0.5</v>
      </c>
      <c r="H161">
        <v>0.1</v>
      </c>
      <c r="I161">
        <v>1.7</v>
      </c>
      <c r="J161">
        <f t="shared" si="13"/>
        <v>1168.0000000000005</v>
      </c>
      <c r="K161">
        <f t="shared" si="18"/>
        <v>93.4</v>
      </c>
      <c r="M161">
        <v>0</v>
      </c>
      <c r="N161">
        <v>0.4</v>
      </c>
      <c r="O161">
        <f t="shared" si="10"/>
        <v>-0.4</v>
      </c>
      <c r="P161">
        <f t="shared" si="14"/>
        <v>35.400000000000013</v>
      </c>
      <c r="Q161">
        <v>107</v>
      </c>
      <c r="R161">
        <v>1</v>
      </c>
      <c r="S161">
        <f t="shared" si="11"/>
        <v>0.4</v>
      </c>
      <c r="T161" s="24">
        <f t="shared" si="12"/>
        <v>-0.4</v>
      </c>
      <c r="U161" s="24">
        <f t="shared" si="15"/>
        <v>56.589999999999996</v>
      </c>
      <c r="W161">
        <v>172.7</v>
      </c>
      <c r="Y161">
        <f t="shared" si="16"/>
        <v>73607.7</v>
      </c>
      <c r="Z161">
        <f t="shared" si="19"/>
        <v>6101</v>
      </c>
      <c r="AA161" s="34">
        <v>8.8375971248056935</v>
      </c>
    </row>
    <row r="162" spans="1:27" x14ac:dyDescent="0.25">
      <c r="A162">
        <v>5080</v>
      </c>
      <c r="B162">
        <v>18650</v>
      </c>
      <c r="C162" s="1">
        <v>42740</v>
      </c>
      <c r="E162" s="34">
        <v>15</v>
      </c>
      <c r="F162" s="40"/>
      <c r="G162">
        <v>1.7</v>
      </c>
      <c r="H162">
        <v>0</v>
      </c>
      <c r="I162">
        <v>3.4</v>
      </c>
      <c r="J162">
        <f t="shared" si="13"/>
        <v>1169.7000000000005</v>
      </c>
      <c r="K162">
        <f t="shared" si="18"/>
        <v>95.100000000000009</v>
      </c>
      <c r="M162">
        <v>0</v>
      </c>
      <c r="N162">
        <v>0.4</v>
      </c>
      <c r="O162">
        <f t="shared" si="10"/>
        <v>-0.4</v>
      </c>
      <c r="P162">
        <f t="shared" si="14"/>
        <v>35.000000000000014</v>
      </c>
      <c r="Q162">
        <v>108</v>
      </c>
      <c r="R162">
        <v>1</v>
      </c>
      <c r="S162">
        <f t="shared" si="11"/>
        <v>0.4</v>
      </c>
      <c r="T162" s="24">
        <f t="shared" si="12"/>
        <v>-0.4</v>
      </c>
      <c r="U162" s="24">
        <f t="shared" si="15"/>
        <v>56.19</v>
      </c>
      <c r="W162">
        <v>261.8</v>
      </c>
      <c r="Y162">
        <f t="shared" si="16"/>
        <v>73869.5</v>
      </c>
      <c r="Z162">
        <f t="shared" si="19"/>
        <v>6362.8</v>
      </c>
      <c r="AA162" s="34">
        <v>8.854233533591545</v>
      </c>
    </row>
    <row r="163" spans="1:27" x14ac:dyDescent="0.25">
      <c r="A163">
        <v>5080</v>
      </c>
      <c r="B163">
        <v>18650</v>
      </c>
      <c r="C163" s="1">
        <v>42741</v>
      </c>
      <c r="E163" s="34">
        <v>16</v>
      </c>
      <c r="F163" s="40"/>
      <c r="G163">
        <v>-0.1</v>
      </c>
      <c r="H163">
        <v>-3</v>
      </c>
      <c r="I163">
        <v>2.9</v>
      </c>
      <c r="J163">
        <v>1169.7</v>
      </c>
      <c r="K163">
        <v>95.1</v>
      </c>
      <c r="M163">
        <v>0</v>
      </c>
      <c r="N163">
        <v>0.8</v>
      </c>
      <c r="O163">
        <f t="shared" si="10"/>
        <v>-0.8</v>
      </c>
      <c r="P163">
        <f t="shared" si="14"/>
        <v>34.200000000000017</v>
      </c>
      <c r="Q163">
        <v>109</v>
      </c>
      <c r="R163">
        <v>1</v>
      </c>
      <c r="S163">
        <f t="shared" si="11"/>
        <v>0.8</v>
      </c>
      <c r="T163" s="24">
        <f t="shared" si="12"/>
        <v>-0.8</v>
      </c>
      <c r="U163" s="24">
        <f t="shared" si="15"/>
        <v>55.39</v>
      </c>
      <c r="W163">
        <v>918.2</v>
      </c>
      <c r="Y163">
        <f t="shared" si="16"/>
        <v>74787.7</v>
      </c>
      <c r="Z163">
        <f t="shared" si="19"/>
        <v>7281</v>
      </c>
      <c r="AA163" s="34">
        <v>8.8719265671416974</v>
      </c>
    </row>
    <row r="164" spans="1:27" x14ac:dyDescent="0.25">
      <c r="A164">
        <v>5080</v>
      </c>
      <c r="B164">
        <v>18650</v>
      </c>
      <c r="C164" s="1">
        <v>42742</v>
      </c>
      <c r="E164" s="34">
        <v>17</v>
      </c>
      <c r="F164" s="40"/>
      <c r="G164">
        <v>-0.2</v>
      </c>
      <c r="H164">
        <v>-3.8</v>
      </c>
      <c r="I164">
        <v>4.4000000000000004</v>
      </c>
      <c r="J164">
        <v>1169.7</v>
      </c>
      <c r="K164">
        <v>95.1</v>
      </c>
      <c r="M164">
        <v>0</v>
      </c>
      <c r="N164">
        <v>0.9</v>
      </c>
      <c r="O164">
        <f t="shared" si="10"/>
        <v>-0.9</v>
      </c>
      <c r="P164">
        <f t="shared" si="14"/>
        <v>33.300000000000018</v>
      </c>
      <c r="Q164">
        <v>110</v>
      </c>
      <c r="R164">
        <v>1</v>
      </c>
      <c r="S164">
        <f t="shared" si="11"/>
        <v>0.9</v>
      </c>
      <c r="T164" s="24">
        <f t="shared" si="12"/>
        <v>-0.9</v>
      </c>
      <c r="U164" s="24">
        <f t="shared" si="15"/>
        <v>54.49</v>
      </c>
      <c r="W164">
        <v>910.1</v>
      </c>
      <c r="Y164">
        <f t="shared" si="16"/>
        <v>75697.8</v>
      </c>
      <c r="Z164">
        <f t="shared" si="19"/>
        <v>8191.1</v>
      </c>
      <c r="AA164" s="34">
        <v>8.8906629341359871</v>
      </c>
    </row>
    <row r="165" spans="1:27" x14ac:dyDescent="0.25">
      <c r="A165">
        <v>5080</v>
      </c>
      <c r="B165">
        <v>18650</v>
      </c>
      <c r="C165" s="1">
        <v>42743</v>
      </c>
      <c r="E165" s="34">
        <v>18</v>
      </c>
      <c r="F165" s="40"/>
      <c r="G165">
        <v>1.7</v>
      </c>
      <c r="H165">
        <v>-2.2000000000000002</v>
      </c>
      <c r="I165">
        <v>4</v>
      </c>
      <c r="J165">
        <f t="shared" si="13"/>
        <v>1171.4000000000001</v>
      </c>
      <c r="K165">
        <f t="shared" si="18"/>
        <v>96.8</v>
      </c>
      <c r="M165">
        <v>0</v>
      </c>
      <c r="N165">
        <v>0.5</v>
      </c>
      <c r="O165">
        <f t="shared" si="10"/>
        <v>-0.5</v>
      </c>
      <c r="P165">
        <f t="shared" si="14"/>
        <v>32.800000000000018</v>
      </c>
      <c r="Q165">
        <v>111</v>
      </c>
      <c r="R165">
        <v>1</v>
      </c>
      <c r="S165">
        <f t="shared" si="11"/>
        <v>0.5</v>
      </c>
      <c r="T165" s="24">
        <f t="shared" si="12"/>
        <v>-0.5</v>
      </c>
      <c r="U165" s="24">
        <f t="shared" si="15"/>
        <v>53.99</v>
      </c>
      <c r="W165">
        <v>246.3</v>
      </c>
      <c r="Y165">
        <f t="shared" si="16"/>
        <v>75944.100000000006</v>
      </c>
      <c r="Z165">
        <f t="shared" si="19"/>
        <v>8437.4</v>
      </c>
      <c r="AA165" s="34">
        <v>8.9104287185126694</v>
      </c>
    </row>
    <row r="166" spans="1:27" x14ac:dyDescent="0.25">
      <c r="A166">
        <v>5080</v>
      </c>
      <c r="B166">
        <v>18650</v>
      </c>
      <c r="C166" s="1">
        <v>42744</v>
      </c>
      <c r="F166" s="40"/>
      <c r="G166">
        <v>5.5</v>
      </c>
      <c r="H166">
        <v>2.4</v>
      </c>
      <c r="I166">
        <v>7.6</v>
      </c>
      <c r="J166">
        <f t="shared" si="13"/>
        <v>1176.9000000000001</v>
      </c>
      <c r="K166">
        <f t="shared" si="18"/>
        <v>102.3</v>
      </c>
      <c r="M166">
        <v>3.1</v>
      </c>
      <c r="N166">
        <v>0.7</v>
      </c>
      <c r="O166">
        <f t="shared" si="10"/>
        <v>2.4000000000000004</v>
      </c>
      <c r="P166">
        <f t="shared" si="14"/>
        <v>35.200000000000017</v>
      </c>
      <c r="Q166">
        <v>112</v>
      </c>
      <c r="R166">
        <v>1</v>
      </c>
      <c r="S166">
        <f t="shared" si="11"/>
        <v>0.7</v>
      </c>
      <c r="T166" s="24">
        <f t="shared" si="12"/>
        <v>2.4000000000000004</v>
      </c>
      <c r="U166" s="24">
        <f t="shared" si="15"/>
        <v>56.39</v>
      </c>
      <c r="W166">
        <v>299</v>
      </c>
      <c r="Y166">
        <f t="shared" si="16"/>
        <v>76243.100000000006</v>
      </c>
      <c r="Z166">
        <f t="shared" si="19"/>
        <v>8736.4</v>
      </c>
      <c r="AA166" s="34">
        <v>8.9312094149983867</v>
      </c>
    </row>
    <row r="167" spans="1:27" x14ac:dyDescent="0.25">
      <c r="A167">
        <v>5080</v>
      </c>
      <c r="B167">
        <v>18650</v>
      </c>
      <c r="C167" s="1">
        <v>42745</v>
      </c>
      <c r="F167" s="40"/>
      <c r="G167">
        <v>7</v>
      </c>
      <c r="H167">
        <v>6.2</v>
      </c>
      <c r="I167">
        <v>7.6</v>
      </c>
      <c r="J167">
        <f t="shared" si="13"/>
        <v>1183.9000000000001</v>
      </c>
      <c r="K167">
        <f t="shared" si="18"/>
        <v>109.3</v>
      </c>
      <c r="M167">
        <v>7.4</v>
      </c>
      <c r="N167">
        <v>0.6</v>
      </c>
      <c r="O167">
        <f t="shared" si="10"/>
        <v>6.8000000000000007</v>
      </c>
      <c r="P167">
        <f t="shared" si="14"/>
        <v>42.000000000000014</v>
      </c>
      <c r="Q167">
        <v>113</v>
      </c>
      <c r="R167">
        <v>1</v>
      </c>
      <c r="S167">
        <f t="shared" si="11"/>
        <v>0.6</v>
      </c>
      <c r="T167" s="24">
        <f t="shared" si="12"/>
        <v>6.8000000000000007</v>
      </c>
      <c r="U167" s="24">
        <f t="shared" si="15"/>
        <v>63.19</v>
      </c>
      <c r="W167">
        <v>174.5</v>
      </c>
      <c r="Y167">
        <f t="shared" si="16"/>
        <v>76417.600000000006</v>
      </c>
      <c r="Z167">
        <f t="shared" si="19"/>
        <v>8910.9</v>
      </c>
      <c r="AA167" s="34">
        <v>8.9529899654341492</v>
      </c>
    </row>
    <row r="168" spans="1:27" x14ac:dyDescent="0.25">
      <c r="A168">
        <v>5080</v>
      </c>
      <c r="B168">
        <v>18650</v>
      </c>
      <c r="C168" s="1">
        <v>42746</v>
      </c>
      <c r="F168" s="40"/>
      <c r="G168">
        <v>9.4</v>
      </c>
      <c r="H168">
        <v>6.3</v>
      </c>
      <c r="I168">
        <v>11.6</v>
      </c>
      <c r="J168">
        <f t="shared" si="13"/>
        <v>1193.3000000000002</v>
      </c>
      <c r="K168">
        <f t="shared" si="18"/>
        <v>118.7</v>
      </c>
      <c r="M168">
        <v>3</v>
      </c>
      <c r="N168">
        <v>0.4</v>
      </c>
      <c r="O168">
        <f t="shared" si="10"/>
        <v>2.6</v>
      </c>
      <c r="P168">
        <f t="shared" si="14"/>
        <v>44.600000000000016</v>
      </c>
      <c r="Q168">
        <v>114</v>
      </c>
      <c r="R168">
        <v>1</v>
      </c>
      <c r="S168">
        <f t="shared" si="11"/>
        <v>0.4</v>
      </c>
      <c r="T168" s="24">
        <f t="shared" si="12"/>
        <v>2.6</v>
      </c>
      <c r="U168" s="24">
        <f t="shared" si="15"/>
        <v>65.789999999999992</v>
      </c>
      <c r="W168">
        <v>205</v>
      </c>
      <c r="Y168">
        <f t="shared" si="16"/>
        <v>76622.600000000006</v>
      </c>
      <c r="Z168">
        <f t="shared" si="19"/>
        <v>9115.9</v>
      </c>
      <c r="AA168" s="34">
        <v>8.9757547957204764</v>
      </c>
    </row>
    <row r="169" spans="1:27" x14ac:dyDescent="0.25">
      <c r="A169">
        <v>5080</v>
      </c>
      <c r="B169">
        <v>18650</v>
      </c>
      <c r="C169" s="1">
        <v>42747</v>
      </c>
      <c r="F169" s="40"/>
      <c r="G169">
        <v>10.4</v>
      </c>
      <c r="H169">
        <v>9.4</v>
      </c>
      <c r="I169">
        <v>11.8</v>
      </c>
      <c r="J169">
        <f t="shared" si="13"/>
        <v>1203.7000000000003</v>
      </c>
      <c r="K169">
        <f t="shared" si="18"/>
        <v>129.1</v>
      </c>
      <c r="M169">
        <v>4.7</v>
      </c>
      <c r="N169">
        <v>0.5</v>
      </c>
      <c r="O169">
        <f t="shared" si="10"/>
        <v>4.2</v>
      </c>
      <c r="P169">
        <f t="shared" si="14"/>
        <v>48.800000000000018</v>
      </c>
      <c r="Q169">
        <v>115</v>
      </c>
      <c r="R169">
        <v>1</v>
      </c>
      <c r="S169">
        <f t="shared" si="11"/>
        <v>0.5</v>
      </c>
      <c r="T169" s="24">
        <f t="shared" si="12"/>
        <v>4.2</v>
      </c>
      <c r="U169" s="24">
        <f t="shared" si="15"/>
        <v>69.989999999999995</v>
      </c>
      <c r="W169">
        <v>202.2</v>
      </c>
      <c r="Y169">
        <f t="shared" si="16"/>
        <v>76824.800000000003</v>
      </c>
      <c r="Z169">
        <f t="shared" si="19"/>
        <v>9318.1</v>
      </c>
      <c r="AA169" s="34">
        <v>8.9994878532074569</v>
      </c>
    </row>
    <row r="170" spans="1:27" x14ac:dyDescent="0.25">
      <c r="A170">
        <v>5080</v>
      </c>
      <c r="B170">
        <v>18650</v>
      </c>
      <c r="C170" s="1">
        <v>42748</v>
      </c>
      <c r="F170" s="40"/>
      <c r="G170">
        <v>5</v>
      </c>
      <c r="H170">
        <v>4.5</v>
      </c>
      <c r="I170">
        <v>5.5</v>
      </c>
      <c r="J170">
        <f t="shared" si="13"/>
        <v>1208.7000000000003</v>
      </c>
      <c r="K170">
        <f t="shared" si="18"/>
        <v>134.1</v>
      </c>
      <c r="M170">
        <v>1.5</v>
      </c>
      <c r="N170">
        <v>1</v>
      </c>
      <c r="O170">
        <f t="shared" si="10"/>
        <v>0.5</v>
      </c>
      <c r="P170">
        <f t="shared" si="14"/>
        <v>49.300000000000018</v>
      </c>
      <c r="Q170">
        <v>116</v>
      </c>
      <c r="R170">
        <v>1</v>
      </c>
      <c r="S170">
        <f t="shared" si="11"/>
        <v>1</v>
      </c>
      <c r="T170" s="24">
        <f t="shared" si="12"/>
        <v>0.5</v>
      </c>
      <c r="U170" s="24">
        <f t="shared" si="15"/>
        <v>70.489999999999995</v>
      </c>
      <c r="W170">
        <v>777.2</v>
      </c>
      <c r="Y170">
        <f t="shared" si="16"/>
        <v>77602</v>
      </c>
      <c r="Z170">
        <f t="shared" si="19"/>
        <v>10095.300000000001</v>
      </c>
      <c r="AA170">
        <v>9.024172644359167</v>
      </c>
    </row>
    <row r="171" spans="1:27" x14ac:dyDescent="0.25">
      <c r="A171">
        <v>5080</v>
      </c>
      <c r="B171">
        <v>18650</v>
      </c>
      <c r="C171" s="1">
        <v>42749</v>
      </c>
      <c r="F171" s="40"/>
      <c r="G171">
        <v>4</v>
      </c>
      <c r="H171">
        <v>2.7</v>
      </c>
      <c r="I171">
        <v>5.6</v>
      </c>
      <c r="J171">
        <f t="shared" si="13"/>
        <v>1212.7000000000003</v>
      </c>
      <c r="K171">
        <f t="shared" si="18"/>
        <v>138.1</v>
      </c>
      <c r="M171">
        <v>0.8</v>
      </c>
      <c r="N171">
        <v>1</v>
      </c>
      <c r="O171">
        <f t="shared" si="10"/>
        <v>-0.19999999999999996</v>
      </c>
      <c r="P171">
        <f t="shared" si="14"/>
        <v>49.100000000000016</v>
      </c>
      <c r="Q171">
        <v>117</v>
      </c>
      <c r="R171">
        <v>1</v>
      </c>
      <c r="S171">
        <f t="shared" si="11"/>
        <v>1</v>
      </c>
      <c r="T171" s="24">
        <f t="shared" si="12"/>
        <v>-0.19999999999999996</v>
      </c>
      <c r="U171" s="24">
        <f t="shared" si="15"/>
        <v>70.289999999999992</v>
      </c>
      <c r="W171">
        <v>517.4</v>
      </c>
      <c r="Y171">
        <f t="shared" si="16"/>
        <v>78119.399999999994</v>
      </c>
      <c r="Z171">
        <f t="shared" si="19"/>
        <v>10612.7</v>
      </c>
      <c r="AA171">
        <v>9.0497922725268936</v>
      </c>
    </row>
    <row r="172" spans="1:27" x14ac:dyDescent="0.25">
      <c r="A172">
        <v>5080</v>
      </c>
      <c r="B172">
        <v>18650</v>
      </c>
      <c r="C172" s="1">
        <v>42750</v>
      </c>
      <c r="F172" s="40"/>
      <c r="G172">
        <v>4.7</v>
      </c>
      <c r="H172">
        <v>2.5</v>
      </c>
      <c r="I172">
        <v>7.5</v>
      </c>
      <c r="J172">
        <f t="shared" si="13"/>
        <v>1217.4000000000003</v>
      </c>
      <c r="K172">
        <f t="shared" si="18"/>
        <v>142.79999999999998</v>
      </c>
      <c r="M172">
        <v>3.7</v>
      </c>
      <c r="N172">
        <v>0.8</v>
      </c>
      <c r="O172">
        <f t="shared" si="10"/>
        <v>2.9000000000000004</v>
      </c>
      <c r="P172">
        <f t="shared" si="14"/>
        <v>52.000000000000014</v>
      </c>
      <c r="Q172">
        <v>118</v>
      </c>
      <c r="R172">
        <v>1</v>
      </c>
      <c r="S172">
        <f t="shared" si="11"/>
        <v>0.8</v>
      </c>
      <c r="T172" s="24">
        <f t="shared" si="12"/>
        <v>2.9000000000000004</v>
      </c>
      <c r="U172" s="24">
        <f t="shared" si="15"/>
        <v>73.19</v>
      </c>
      <c r="W172">
        <v>127</v>
      </c>
      <c r="Y172">
        <f t="shared" si="16"/>
        <v>78246.399999999994</v>
      </c>
      <c r="Z172">
        <f t="shared" si="19"/>
        <v>10739.7</v>
      </c>
      <c r="AA172">
        <v>9.0763294756713506</v>
      </c>
    </row>
    <row r="173" spans="1:27" x14ac:dyDescent="0.25">
      <c r="A173">
        <v>5080</v>
      </c>
      <c r="B173">
        <v>18650</v>
      </c>
      <c r="C173" s="1">
        <v>42751</v>
      </c>
      <c r="F173" s="40"/>
      <c r="G173">
        <v>5.9</v>
      </c>
      <c r="H173">
        <v>4.5999999999999996</v>
      </c>
      <c r="I173">
        <v>8.5</v>
      </c>
      <c r="J173">
        <f t="shared" si="13"/>
        <v>1223.3000000000004</v>
      </c>
      <c r="K173">
        <f t="shared" si="18"/>
        <v>148.69999999999999</v>
      </c>
      <c r="M173">
        <v>1.3</v>
      </c>
      <c r="N173">
        <v>1</v>
      </c>
      <c r="O173">
        <f t="shared" si="10"/>
        <v>0.30000000000000004</v>
      </c>
      <c r="P173">
        <f t="shared" si="14"/>
        <v>52.300000000000011</v>
      </c>
      <c r="Q173">
        <v>119</v>
      </c>
      <c r="R173">
        <v>1</v>
      </c>
      <c r="S173">
        <f t="shared" si="11"/>
        <v>1</v>
      </c>
      <c r="T173" s="24">
        <f t="shared" si="12"/>
        <v>0.30000000000000004</v>
      </c>
      <c r="U173" s="24">
        <f t="shared" si="15"/>
        <v>73.489999999999995</v>
      </c>
      <c r="W173">
        <v>260.3</v>
      </c>
      <c r="Y173">
        <f t="shared" si="16"/>
        <v>78506.7</v>
      </c>
      <c r="Z173">
        <f t="shared" si="19"/>
        <v>11000</v>
      </c>
      <c r="AA173">
        <v>9.1037666638810641</v>
      </c>
    </row>
    <row r="174" spans="1:27" x14ac:dyDescent="0.25">
      <c r="A174">
        <v>5080</v>
      </c>
      <c r="B174">
        <v>18650</v>
      </c>
      <c r="C174" s="1">
        <v>42752</v>
      </c>
      <c r="F174" s="40"/>
      <c r="G174">
        <v>0.1</v>
      </c>
      <c r="H174">
        <v>-1.1000000000000001</v>
      </c>
      <c r="I174">
        <v>1.7</v>
      </c>
      <c r="J174">
        <f t="shared" si="13"/>
        <v>1223.4000000000003</v>
      </c>
      <c r="K174">
        <f t="shared" si="18"/>
        <v>148.79999999999998</v>
      </c>
      <c r="M174">
        <v>0</v>
      </c>
      <c r="N174">
        <v>1.2</v>
      </c>
      <c r="O174">
        <f t="shared" si="10"/>
        <v>-1.2</v>
      </c>
      <c r="P174">
        <f t="shared" si="14"/>
        <v>51.100000000000009</v>
      </c>
      <c r="Q174">
        <v>120</v>
      </c>
      <c r="R174">
        <v>1</v>
      </c>
      <c r="S174">
        <f t="shared" si="11"/>
        <v>1.2</v>
      </c>
      <c r="T174" s="24">
        <f t="shared" si="12"/>
        <v>-1.2</v>
      </c>
      <c r="U174" s="24">
        <f t="shared" si="15"/>
        <v>72.289999999999992</v>
      </c>
      <c r="W174">
        <v>1055.9000000000001</v>
      </c>
      <c r="Y174">
        <f t="shared" si="16"/>
        <v>79562.599999999991</v>
      </c>
      <c r="Z174">
        <f t="shared" si="19"/>
        <v>12055.9</v>
      </c>
      <c r="AA174">
        <v>9.1320859565414505</v>
      </c>
    </row>
    <row r="175" spans="1:27" x14ac:dyDescent="0.25">
      <c r="A175">
        <v>5080</v>
      </c>
      <c r="B175">
        <v>18650</v>
      </c>
      <c r="C175" s="1">
        <v>42753</v>
      </c>
      <c r="F175" s="40"/>
      <c r="G175">
        <v>-2.4</v>
      </c>
      <c r="H175">
        <v>-4.2</v>
      </c>
      <c r="I175">
        <v>-0.1</v>
      </c>
      <c r="J175">
        <v>1223.4000000000001</v>
      </c>
      <c r="K175">
        <v>148.80000000000001</v>
      </c>
      <c r="M175">
        <v>0</v>
      </c>
      <c r="N175">
        <v>0.7</v>
      </c>
      <c r="O175">
        <f t="shared" si="10"/>
        <v>-0.7</v>
      </c>
      <c r="P175">
        <f t="shared" si="14"/>
        <v>50.400000000000006</v>
      </c>
      <c r="Q175">
        <v>121</v>
      </c>
      <c r="R175">
        <v>1</v>
      </c>
      <c r="S175">
        <f t="shared" si="11"/>
        <v>0.7</v>
      </c>
      <c r="T175" s="24">
        <f t="shared" si="12"/>
        <v>-0.7</v>
      </c>
      <c r="U175" s="24">
        <f t="shared" si="15"/>
        <v>71.589999999999989</v>
      </c>
      <c r="W175">
        <v>875.4</v>
      </c>
      <c r="Y175">
        <f t="shared" si="16"/>
        <v>80437.999999999985</v>
      </c>
      <c r="Z175">
        <f t="shared" si="19"/>
        <v>12931.3</v>
      </c>
      <c r="AA175">
        <v>9.1612692190175533</v>
      </c>
    </row>
    <row r="176" spans="1:27" x14ac:dyDescent="0.25">
      <c r="A176">
        <v>5080</v>
      </c>
      <c r="B176">
        <v>18650</v>
      </c>
      <c r="C176" s="1">
        <v>42754</v>
      </c>
      <c r="F176" s="40"/>
      <c r="G176">
        <v>-1.9</v>
      </c>
      <c r="H176">
        <v>-4.8</v>
      </c>
      <c r="I176">
        <v>0.8</v>
      </c>
      <c r="J176">
        <v>1223.4000000000001</v>
      </c>
      <c r="K176">
        <v>148.80000000000001</v>
      </c>
      <c r="M176">
        <v>0</v>
      </c>
      <c r="N176">
        <v>0.7</v>
      </c>
      <c r="O176">
        <f t="shared" si="10"/>
        <v>-0.7</v>
      </c>
      <c r="P176">
        <f t="shared" si="14"/>
        <v>49.7</v>
      </c>
      <c r="Q176">
        <v>122</v>
      </c>
      <c r="R176">
        <v>1</v>
      </c>
      <c r="S176">
        <f t="shared" si="11"/>
        <v>0.7</v>
      </c>
      <c r="T176" s="24">
        <f t="shared" si="12"/>
        <v>-0.7</v>
      </c>
      <c r="U176" s="24">
        <f t="shared" si="15"/>
        <v>70.889999999999986</v>
      </c>
      <c r="W176">
        <v>947.1</v>
      </c>
      <c r="Y176">
        <f t="shared" si="16"/>
        <v>81385.099999999991</v>
      </c>
      <c r="Z176">
        <f t="shared" si="19"/>
        <v>13878.4</v>
      </c>
      <c r="AA176">
        <v>9.1912980987220365</v>
      </c>
    </row>
    <row r="177" spans="1:28" x14ac:dyDescent="0.25">
      <c r="A177">
        <v>5080</v>
      </c>
      <c r="B177">
        <v>18650</v>
      </c>
      <c r="C177" s="1">
        <v>42755</v>
      </c>
      <c r="F177" s="40"/>
      <c r="G177">
        <v>1.1000000000000001</v>
      </c>
      <c r="H177">
        <v>-4</v>
      </c>
      <c r="I177">
        <v>5.4</v>
      </c>
      <c r="J177">
        <f t="shared" si="13"/>
        <v>1224.5</v>
      </c>
      <c r="K177">
        <f t="shared" si="18"/>
        <v>149.9</v>
      </c>
      <c r="M177">
        <v>0</v>
      </c>
      <c r="N177">
        <v>0.7</v>
      </c>
      <c r="O177">
        <f t="shared" si="10"/>
        <v>-0.7</v>
      </c>
      <c r="P177">
        <f t="shared" si="14"/>
        <v>49</v>
      </c>
      <c r="Q177">
        <v>123</v>
      </c>
      <c r="R177">
        <v>1</v>
      </c>
      <c r="S177">
        <f t="shared" si="11"/>
        <v>0.7</v>
      </c>
      <c r="T177" s="24">
        <f t="shared" si="12"/>
        <v>-0.7</v>
      </c>
      <c r="U177" s="24">
        <f t="shared" si="15"/>
        <v>70.189999999999984</v>
      </c>
      <c r="W177">
        <v>810.2</v>
      </c>
      <c r="Y177">
        <f t="shared" si="16"/>
        <v>82195.299999999988</v>
      </c>
      <c r="Z177">
        <f t="shared" si="19"/>
        <v>14688.6</v>
      </c>
      <c r="AA177">
        <v>9.2221540604493271</v>
      </c>
    </row>
    <row r="178" spans="1:28" x14ac:dyDescent="0.25">
      <c r="A178">
        <v>5080</v>
      </c>
      <c r="B178">
        <v>18650</v>
      </c>
      <c r="C178" s="1">
        <v>42756</v>
      </c>
      <c r="F178" s="40"/>
      <c r="G178">
        <v>3.5</v>
      </c>
      <c r="H178">
        <v>-1</v>
      </c>
      <c r="I178">
        <v>7.9</v>
      </c>
      <c r="J178">
        <f t="shared" si="13"/>
        <v>1228</v>
      </c>
      <c r="K178">
        <f t="shared" si="18"/>
        <v>153.4</v>
      </c>
      <c r="M178">
        <v>0</v>
      </c>
      <c r="N178">
        <v>1.1000000000000001</v>
      </c>
      <c r="O178">
        <f t="shared" si="10"/>
        <v>-1.1000000000000001</v>
      </c>
      <c r="P178">
        <f t="shared" si="14"/>
        <v>47.9</v>
      </c>
      <c r="Q178">
        <v>124</v>
      </c>
      <c r="R178">
        <v>1</v>
      </c>
      <c r="S178">
        <f t="shared" si="11"/>
        <v>1.1000000000000001</v>
      </c>
      <c r="T178" s="24">
        <f t="shared" si="12"/>
        <v>-1.1000000000000001</v>
      </c>
      <c r="U178" s="24">
        <f t="shared" si="15"/>
        <v>69.089999999999989</v>
      </c>
      <c r="W178">
        <v>936.5</v>
      </c>
      <c r="Y178">
        <f t="shared" si="16"/>
        <v>83131.799999999988</v>
      </c>
      <c r="Z178">
        <f t="shared" si="19"/>
        <v>15625.1</v>
      </c>
      <c r="AA178">
        <v>9.2538184208662688</v>
      </c>
    </row>
    <row r="179" spans="1:28" x14ac:dyDescent="0.25">
      <c r="A179">
        <v>5080</v>
      </c>
      <c r="B179">
        <v>18650</v>
      </c>
      <c r="C179" s="1">
        <v>42757</v>
      </c>
      <c r="F179" s="40"/>
      <c r="G179">
        <v>3.1</v>
      </c>
      <c r="H179">
        <v>-1</v>
      </c>
      <c r="I179">
        <v>6.4</v>
      </c>
      <c r="J179">
        <f t="shared" si="13"/>
        <v>1231.0999999999999</v>
      </c>
      <c r="K179">
        <f t="shared" si="18"/>
        <v>156.5</v>
      </c>
      <c r="M179">
        <v>0.5</v>
      </c>
      <c r="N179">
        <v>0.3</v>
      </c>
      <c r="O179">
        <f t="shared" si="10"/>
        <v>0.2</v>
      </c>
      <c r="P179">
        <f t="shared" si="14"/>
        <v>48.1</v>
      </c>
      <c r="Q179">
        <v>125</v>
      </c>
      <c r="R179">
        <v>1</v>
      </c>
      <c r="S179">
        <f t="shared" si="11"/>
        <v>0.3</v>
      </c>
      <c r="T179" s="24">
        <f t="shared" si="12"/>
        <v>0.2</v>
      </c>
      <c r="U179" s="24">
        <f t="shared" si="15"/>
        <v>69.289999999999992</v>
      </c>
      <c r="W179">
        <v>234.1</v>
      </c>
      <c r="Y179">
        <f t="shared" si="16"/>
        <v>83365.899999999994</v>
      </c>
      <c r="Z179">
        <f t="shared" si="19"/>
        <v>15859.2</v>
      </c>
      <c r="AA179">
        <v>9.2862723820594013</v>
      </c>
    </row>
    <row r="180" spans="1:28" x14ac:dyDescent="0.25">
      <c r="A180">
        <v>5080</v>
      </c>
      <c r="B180">
        <v>18650</v>
      </c>
      <c r="C180" s="1">
        <v>42758</v>
      </c>
      <c r="F180" s="40"/>
      <c r="G180">
        <v>5.3</v>
      </c>
      <c r="H180">
        <v>3.5</v>
      </c>
      <c r="I180">
        <v>7.9</v>
      </c>
      <c r="J180">
        <f t="shared" si="13"/>
        <v>1236.3999999999999</v>
      </c>
      <c r="K180">
        <f t="shared" si="18"/>
        <v>161.80000000000001</v>
      </c>
      <c r="M180">
        <v>0</v>
      </c>
      <c r="N180">
        <v>0.7</v>
      </c>
      <c r="O180">
        <f t="shared" si="10"/>
        <v>-0.7</v>
      </c>
      <c r="P180">
        <f t="shared" si="14"/>
        <v>47.4</v>
      </c>
      <c r="Q180">
        <v>126</v>
      </c>
      <c r="R180">
        <v>1</v>
      </c>
      <c r="S180">
        <f t="shared" si="11"/>
        <v>0.7</v>
      </c>
      <c r="T180" s="24">
        <f t="shared" si="12"/>
        <v>-0.7</v>
      </c>
      <c r="U180" s="24">
        <f t="shared" si="15"/>
        <v>68.589999999999989</v>
      </c>
      <c r="W180">
        <v>627.70000000000005</v>
      </c>
      <c r="Y180">
        <f t="shared" si="16"/>
        <v>83993.599999999991</v>
      </c>
      <c r="Z180">
        <f t="shared" si="19"/>
        <v>16486.900000000001</v>
      </c>
      <c r="AA180">
        <v>9.3194970640488162</v>
      </c>
    </row>
    <row r="181" spans="1:28" x14ac:dyDescent="0.25">
      <c r="A181">
        <v>5080</v>
      </c>
      <c r="B181">
        <v>18650</v>
      </c>
      <c r="C181" s="1">
        <v>42759</v>
      </c>
      <c r="F181" s="40"/>
      <c r="G181">
        <v>2.2000000000000002</v>
      </c>
      <c r="H181">
        <v>0.5</v>
      </c>
      <c r="I181">
        <v>3.8</v>
      </c>
      <c r="J181">
        <f t="shared" si="13"/>
        <v>1238.5999999999999</v>
      </c>
      <c r="K181">
        <f t="shared" si="18"/>
        <v>164</v>
      </c>
      <c r="M181">
        <v>0</v>
      </c>
      <c r="N181">
        <v>1.1000000000000001</v>
      </c>
      <c r="O181">
        <f t="shared" si="10"/>
        <v>-1.1000000000000001</v>
      </c>
      <c r="P181">
        <f t="shared" si="14"/>
        <v>46.3</v>
      </c>
      <c r="Q181">
        <v>127</v>
      </c>
      <c r="R181">
        <v>1</v>
      </c>
      <c r="S181">
        <f t="shared" si="11"/>
        <v>1.1000000000000001</v>
      </c>
      <c r="T181" s="24">
        <f t="shared" si="12"/>
        <v>-1.1000000000000001</v>
      </c>
      <c r="U181" s="24">
        <f t="shared" si="15"/>
        <v>67.489999999999995</v>
      </c>
      <c r="W181">
        <v>1082.8</v>
      </c>
      <c r="Y181">
        <f t="shared" si="16"/>
        <v>85076.4</v>
      </c>
      <c r="Z181">
        <f t="shared" si="19"/>
        <v>17569.7</v>
      </c>
      <c r="AA181">
        <v>9.3534735361883623</v>
      </c>
    </row>
    <row r="182" spans="1:28" x14ac:dyDescent="0.25">
      <c r="A182">
        <v>5080</v>
      </c>
      <c r="B182">
        <v>18650</v>
      </c>
      <c r="C182" s="1">
        <v>42760</v>
      </c>
      <c r="F182" s="40"/>
      <c r="G182">
        <v>-1</v>
      </c>
      <c r="H182">
        <v>-2.1</v>
      </c>
      <c r="I182">
        <v>1</v>
      </c>
      <c r="J182">
        <v>1238.5999999999999</v>
      </c>
      <c r="K182">
        <v>164</v>
      </c>
      <c r="M182">
        <v>0</v>
      </c>
      <c r="N182">
        <v>0.4</v>
      </c>
      <c r="O182">
        <f t="shared" si="10"/>
        <v>-0.4</v>
      </c>
      <c r="P182">
        <f t="shared" si="14"/>
        <v>45.9</v>
      </c>
      <c r="Q182">
        <v>128</v>
      </c>
      <c r="R182">
        <v>1</v>
      </c>
      <c r="S182">
        <f t="shared" si="11"/>
        <v>0.4</v>
      </c>
      <c r="T182" s="24">
        <f t="shared" si="12"/>
        <v>-0.4</v>
      </c>
      <c r="U182" s="24">
        <f t="shared" si="15"/>
        <v>67.089999999999989</v>
      </c>
      <c r="W182">
        <v>423.6</v>
      </c>
      <c r="Y182">
        <f t="shared" si="16"/>
        <v>85500</v>
      </c>
      <c r="Z182">
        <f t="shared" si="19"/>
        <v>17993.3</v>
      </c>
      <c r="AA182">
        <v>9.3881828473817421</v>
      </c>
    </row>
    <row r="183" spans="1:28" s="25" customFormat="1" ht="15.75" thickBot="1" x14ac:dyDescent="0.3">
      <c r="A183" s="25">
        <v>5080</v>
      </c>
      <c r="B183" s="25">
        <v>18650</v>
      </c>
      <c r="C183" s="26">
        <v>42761</v>
      </c>
      <c r="D183" s="25" t="s">
        <v>56</v>
      </c>
      <c r="F183" s="40"/>
      <c r="G183" s="25">
        <v>1.5</v>
      </c>
      <c r="H183" s="25">
        <v>-4.3</v>
      </c>
      <c r="I183" s="25">
        <v>7.4</v>
      </c>
      <c r="J183" s="25">
        <f t="shared" si="13"/>
        <v>1240.0999999999999</v>
      </c>
      <c r="K183" s="25">
        <f t="shared" si="18"/>
        <v>165.5</v>
      </c>
      <c r="L183" s="27"/>
      <c r="M183" s="25">
        <v>0</v>
      </c>
      <c r="N183" s="25">
        <v>0.6</v>
      </c>
      <c r="O183" s="25">
        <f t="shared" si="10"/>
        <v>-0.6</v>
      </c>
      <c r="P183" s="25">
        <f t="shared" si="14"/>
        <v>45.3</v>
      </c>
      <c r="Q183" s="25">
        <v>129</v>
      </c>
      <c r="R183" s="25">
        <v>1</v>
      </c>
      <c r="S183" s="25">
        <f t="shared" si="11"/>
        <v>0.6</v>
      </c>
      <c r="T183" s="28">
        <f t="shared" si="12"/>
        <v>-0.6</v>
      </c>
      <c r="U183" s="24">
        <f t="shared" si="15"/>
        <v>66.489999999999995</v>
      </c>
      <c r="V183" s="27"/>
      <c r="W183" s="25">
        <v>628.29999999999995</v>
      </c>
      <c r="Y183" s="25">
        <f t="shared" si="16"/>
        <v>86128.3</v>
      </c>
      <c r="Z183" s="25">
        <f t="shared" si="19"/>
        <v>18621.599999999999</v>
      </c>
      <c r="AA183" s="25">
        <v>9.4236060550536536</v>
      </c>
    </row>
    <row r="184" spans="1:28" ht="15" customHeight="1" x14ac:dyDescent="0.25">
      <c r="A184">
        <v>5080</v>
      </c>
      <c r="B184">
        <v>18650</v>
      </c>
      <c r="C184" s="1">
        <v>42762</v>
      </c>
      <c r="F184" s="43" t="s">
        <v>57</v>
      </c>
      <c r="G184">
        <v>8.8000000000000007</v>
      </c>
      <c r="H184">
        <v>3.2</v>
      </c>
      <c r="I184">
        <v>11.5</v>
      </c>
      <c r="J184">
        <f t="shared" si="13"/>
        <v>1248.8999999999999</v>
      </c>
      <c r="K184">
        <v>8.8000000000000007</v>
      </c>
      <c r="L184" s="22" t="s">
        <v>34</v>
      </c>
      <c r="M184">
        <v>0.1</v>
      </c>
      <c r="N184">
        <v>1.3</v>
      </c>
      <c r="O184">
        <f t="shared" ref="O184:O247" si="20">M184-N184</f>
        <v>-1.2</v>
      </c>
      <c r="P184">
        <f t="shared" si="14"/>
        <v>44.099999999999994</v>
      </c>
      <c r="Q184">
        <v>130</v>
      </c>
      <c r="R184">
        <f>1+((Q184-129)/50)*(1.15-1)</f>
        <v>1.0029999999999999</v>
      </c>
      <c r="S184">
        <f t="shared" ref="S184:S247" si="21">R184*N184</f>
        <v>1.3038999999999998</v>
      </c>
      <c r="T184" s="24">
        <f t="shared" ref="T184:T247" si="22">M184-S184</f>
        <v>-1.2038999999999997</v>
      </c>
      <c r="U184" s="24">
        <f>MIN(U183+T184,155.7)</f>
        <v>65.28609999999999</v>
      </c>
      <c r="V184" s="30" t="s">
        <v>41</v>
      </c>
      <c r="W184">
        <v>335.9</v>
      </c>
      <c r="Y184">
        <f t="shared" si="16"/>
        <v>86464.2</v>
      </c>
      <c r="Z184">
        <f>W184</f>
        <v>335.9</v>
      </c>
      <c r="AA184">
        <v>9.4597242528244561</v>
      </c>
      <c r="AB184" s="30" t="s">
        <v>46</v>
      </c>
    </row>
    <row r="185" spans="1:28" x14ac:dyDescent="0.25">
      <c r="A185">
        <v>5080</v>
      </c>
      <c r="B185">
        <v>18650</v>
      </c>
      <c r="C185" s="1">
        <v>42763</v>
      </c>
      <c r="F185" s="43"/>
      <c r="G185">
        <v>7.3</v>
      </c>
      <c r="H185">
        <v>7</v>
      </c>
      <c r="I185">
        <v>10.3</v>
      </c>
      <c r="J185">
        <f t="shared" ref="J185:J248" si="23">J184+G185</f>
        <v>1256.1999999999998</v>
      </c>
      <c r="K185">
        <f t="shared" si="18"/>
        <v>16.100000000000001</v>
      </c>
      <c r="L185" s="8">
        <v>482</v>
      </c>
      <c r="M185">
        <v>0</v>
      </c>
      <c r="N185">
        <v>1.1000000000000001</v>
      </c>
      <c r="O185">
        <f t="shared" si="20"/>
        <v>-1.1000000000000001</v>
      </c>
      <c r="P185">
        <f t="shared" ref="P185:P248" si="24">P184+O185</f>
        <v>42.999999999999993</v>
      </c>
      <c r="Q185">
        <v>131</v>
      </c>
      <c r="R185">
        <f t="shared" ref="R185:R233" si="25">1+((Q185-129)/50)*(1.15-1)</f>
        <v>1.006</v>
      </c>
      <c r="S185">
        <f t="shared" si="21"/>
        <v>1.1066</v>
      </c>
      <c r="T185" s="24">
        <f t="shared" si="22"/>
        <v>-1.1066</v>
      </c>
      <c r="U185" s="24">
        <f t="shared" ref="U185:U248" si="26">MIN(U184+T185,155.7)</f>
        <v>64.17949999999999</v>
      </c>
      <c r="V185">
        <v>0</v>
      </c>
      <c r="W185">
        <v>652.70000000000005</v>
      </c>
      <c r="Y185">
        <f t="shared" ref="Y185:Y248" si="27">Y184+W185</f>
        <v>87116.9</v>
      </c>
      <c r="Z185">
        <f t="shared" si="19"/>
        <v>988.6</v>
      </c>
      <c r="AA185">
        <v>9.4965185968459753</v>
      </c>
      <c r="AB185">
        <v>43211.9</v>
      </c>
    </row>
    <row r="186" spans="1:28" x14ac:dyDescent="0.25">
      <c r="A186">
        <v>5080</v>
      </c>
      <c r="B186">
        <v>18650</v>
      </c>
      <c r="C186" s="1">
        <v>42764</v>
      </c>
      <c r="F186" s="43"/>
      <c r="G186">
        <v>7.2</v>
      </c>
      <c r="H186">
        <v>2.2000000000000002</v>
      </c>
      <c r="I186">
        <v>11.3</v>
      </c>
      <c r="J186">
        <f t="shared" si="23"/>
        <v>1263.3999999999999</v>
      </c>
      <c r="K186">
        <f t="shared" si="18"/>
        <v>23.3</v>
      </c>
      <c r="L186" s="22" t="s">
        <v>35</v>
      </c>
      <c r="M186">
        <v>0.1</v>
      </c>
      <c r="N186">
        <v>1.3</v>
      </c>
      <c r="O186">
        <f t="shared" si="20"/>
        <v>-1.2</v>
      </c>
      <c r="P186">
        <f t="shared" si="24"/>
        <v>41.79999999999999</v>
      </c>
      <c r="Q186">
        <v>132</v>
      </c>
      <c r="R186">
        <f t="shared" si="25"/>
        <v>1.0089999999999999</v>
      </c>
      <c r="S186">
        <f t="shared" si="21"/>
        <v>1.3116999999999999</v>
      </c>
      <c r="T186" s="24">
        <f t="shared" si="22"/>
        <v>-1.2116999999999998</v>
      </c>
      <c r="U186" s="24">
        <f t="shared" si="26"/>
        <v>62.96779999999999</v>
      </c>
      <c r="V186" s="30" t="s">
        <v>42</v>
      </c>
      <c r="W186">
        <v>914.2</v>
      </c>
      <c r="Y186">
        <f t="shared" si="27"/>
        <v>88031.099999999991</v>
      </c>
      <c r="Z186">
        <f t="shared" si="19"/>
        <v>1902.8000000000002</v>
      </c>
      <c r="AA186">
        <v>9.5339703307647241</v>
      </c>
      <c r="AB186" s="30" t="s">
        <v>47</v>
      </c>
    </row>
    <row r="187" spans="1:28" x14ac:dyDescent="0.25">
      <c r="A187">
        <v>5080</v>
      </c>
      <c r="B187">
        <v>18650</v>
      </c>
      <c r="C187" s="1">
        <v>42765</v>
      </c>
      <c r="F187" s="43"/>
      <c r="G187">
        <v>9.6</v>
      </c>
      <c r="H187">
        <v>7.6</v>
      </c>
      <c r="I187">
        <v>11.2</v>
      </c>
      <c r="J187">
        <f t="shared" si="23"/>
        <v>1272.9999999999998</v>
      </c>
      <c r="K187">
        <f t="shared" si="18"/>
        <v>32.9</v>
      </c>
      <c r="L187" s="8">
        <f>AVERAGE(G184:G233)</f>
        <v>9.6399999999999988</v>
      </c>
      <c r="M187">
        <v>0.1</v>
      </c>
      <c r="N187">
        <v>0.8</v>
      </c>
      <c r="O187">
        <f t="shared" si="20"/>
        <v>-0.70000000000000007</v>
      </c>
      <c r="P187">
        <f t="shared" si="24"/>
        <v>41.099999999999987</v>
      </c>
      <c r="Q187">
        <v>133</v>
      </c>
      <c r="R187">
        <f t="shared" si="25"/>
        <v>1.012</v>
      </c>
      <c r="S187">
        <f t="shared" si="21"/>
        <v>0.8096000000000001</v>
      </c>
      <c r="T187" s="24">
        <f t="shared" si="22"/>
        <v>-0.70960000000000012</v>
      </c>
      <c r="U187" s="24">
        <f t="shared" si="26"/>
        <v>62.258199999999988</v>
      </c>
      <c r="V187">
        <v>0</v>
      </c>
      <c r="W187">
        <v>414.4</v>
      </c>
      <c r="Y187">
        <f t="shared" si="27"/>
        <v>88445.499999999985</v>
      </c>
      <c r="Z187">
        <f t="shared" si="19"/>
        <v>2317.2000000000003</v>
      </c>
      <c r="AA187">
        <v>9.5720608092871711</v>
      </c>
      <c r="AB187">
        <f>(AB185/100)/L185</f>
        <v>0.89651244813278019</v>
      </c>
    </row>
    <row r="188" spans="1:28" x14ac:dyDescent="0.25">
      <c r="A188">
        <v>5080</v>
      </c>
      <c r="B188">
        <v>18650</v>
      </c>
      <c r="C188" s="1">
        <v>42766</v>
      </c>
      <c r="F188" s="43"/>
      <c r="G188">
        <v>10.3</v>
      </c>
      <c r="H188">
        <v>8</v>
      </c>
      <c r="I188">
        <v>13</v>
      </c>
      <c r="J188">
        <f t="shared" si="23"/>
        <v>1283.2999999999997</v>
      </c>
      <c r="K188">
        <f t="shared" si="18"/>
        <v>43.2</v>
      </c>
      <c r="L188" s="22" t="s">
        <v>36</v>
      </c>
      <c r="M188">
        <v>0.1</v>
      </c>
      <c r="N188">
        <v>1.7</v>
      </c>
      <c r="O188">
        <f t="shared" si="20"/>
        <v>-1.5999999999999999</v>
      </c>
      <c r="P188">
        <f t="shared" si="24"/>
        <v>39.499999999999986</v>
      </c>
      <c r="Q188">
        <v>134</v>
      </c>
      <c r="R188">
        <f t="shared" si="25"/>
        <v>1.0149999999999999</v>
      </c>
      <c r="S188">
        <f t="shared" si="21"/>
        <v>1.7254999999999998</v>
      </c>
      <c r="T188" s="24">
        <f t="shared" si="22"/>
        <v>-1.6254999999999997</v>
      </c>
      <c r="U188" s="24">
        <f t="shared" si="26"/>
        <v>60.632699999999986</v>
      </c>
      <c r="V188" s="30" t="s">
        <v>43</v>
      </c>
      <c r="W188">
        <v>841.2</v>
      </c>
      <c r="Y188">
        <f t="shared" si="27"/>
        <v>89286.699999999983</v>
      </c>
      <c r="Z188">
        <f t="shared" si="19"/>
        <v>3158.4000000000005</v>
      </c>
      <c r="AA188">
        <v>9.6107715203295658</v>
      </c>
      <c r="AB188" s="30" t="s">
        <v>48</v>
      </c>
    </row>
    <row r="189" spans="1:28" x14ac:dyDescent="0.25">
      <c r="A189">
        <v>5080</v>
      </c>
      <c r="B189">
        <v>18650</v>
      </c>
      <c r="C189" s="1">
        <v>42767</v>
      </c>
      <c r="F189" s="43"/>
      <c r="G189">
        <v>11.8</v>
      </c>
      <c r="H189">
        <v>10.3</v>
      </c>
      <c r="I189">
        <v>15.4</v>
      </c>
      <c r="J189">
        <f t="shared" si="23"/>
        <v>1295.0999999999997</v>
      </c>
      <c r="K189">
        <f t="shared" si="18"/>
        <v>55</v>
      </c>
      <c r="L189" s="12">
        <f>MIN(H184:H233)</f>
        <v>0.5</v>
      </c>
      <c r="M189">
        <v>0</v>
      </c>
      <c r="N189">
        <v>1.9</v>
      </c>
      <c r="O189">
        <f t="shared" si="20"/>
        <v>-1.9</v>
      </c>
      <c r="P189">
        <f t="shared" si="24"/>
        <v>37.599999999999987</v>
      </c>
      <c r="Q189">
        <v>135</v>
      </c>
      <c r="R189">
        <f t="shared" si="25"/>
        <v>1.018</v>
      </c>
      <c r="S189">
        <f t="shared" si="21"/>
        <v>1.9341999999999999</v>
      </c>
      <c r="T189" s="24">
        <f t="shared" si="22"/>
        <v>-1.9341999999999999</v>
      </c>
      <c r="U189" s="24">
        <f t="shared" si="26"/>
        <v>58.698499999999989</v>
      </c>
      <c r="V189" s="24">
        <f>MIN(U184:U233)</f>
        <v>58.698499999999989</v>
      </c>
      <c r="W189">
        <v>464.4</v>
      </c>
      <c r="Y189">
        <f t="shared" si="27"/>
        <v>89751.099999999977</v>
      </c>
      <c r="Z189">
        <f t="shared" si="19"/>
        <v>3622.8000000000006</v>
      </c>
      <c r="AA189">
        <v>9.6500841057422964</v>
      </c>
      <c r="AB189">
        <v>32</v>
      </c>
    </row>
    <row r="190" spans="1:28" x14ac:dyDescent="0.25">
      <c r="A190">
        <v>5080</v>
      </c>
      <c r="B190">
        <v>18650</v>
      </c>
      <c r="C190" s="1">
        <v>42768</v>
      </c>
      <c r="F190" s="43"/>
      <c r="G190">
        <v>10.5</v>
      </c>
      <c r="H190">
        <v>9.6</v>
      </c>
      <c r="I190">
        <v>13</v>
      </c>
      <c r="J190">
        <f t="shared" si="23"/>
        <v>1305.5999999999997</v>
      </c>
      <c r="K190">
        <f t="shared" si="18"/>
        <v>65.5</v>
      </c>
      <c r="L190" s="22" t="s">
        <v>37</v>
      </c>
      <c r="M190">
        <v>2.1</v>
      </c>
      <c r="N190">
        <v>1.4</v>
      </c>
      <c r="O190">
        <f t="shared" si="20"/>
        <v>0.70000000000000018</v>
      </c>
      <c r="P190">
        <f t="shared" si="24"/>
        <v>38.29999999999999</v>
      </c>
      <c r="Q190">
        <v>136</v>
      </c>
      <c r="R190">
        <f t="shared" si="25"/>
        <v>1.0209999999999999</v>
      </c>
      <c r="S190">
        <f t="shared" si="21"/>
        <v>1.4293999999999998</v>
      </c>
      <c r="T190" s="24">
        <f t="shared" si="22"/>
        <v>0.67060000000000031</v>
      </c>
      <c r="U190" s="24">
        <f t="shared" si="26"/>
        <v>59.369099999999989</v>
      </c>
      <c r="V190" s="30" t="s">
        <v>44</v>
      </c>
      <c r="W190">
        <v>217.9</v>
      </c>
      <c r="Y190">
        <f t="shared" si="27"/>
        <v>89968.999999999971</v>
      </c>
      <c r="Z190">
        <f t="shared" si="19"/>
        <v>3840.7000000000007</v>
      </c>
      <c r="AA190">
        <v>9.6899803806056131</v>
      </c>
    </row>
    <row r="191" spans="1:28" x14ac:dyDescent="0.25">
      <c r="A191">
        <v>5080</v>
      </c>
      <c r="B191">
        <v>18650</v>
      </c>
      <c r="C191" s="1">
        <v>42769</v>
      </c>
      <c r="F191" s="43"/>
      <c r="G191">
        <v>8.1</v>
      </c>
      <c r="H191">
        <v>4.5999999999999996</v>
      </c>
      <c r="I191">
        <v>12.6</v>
      </c>
      <c r="J191">
        <f t="shared" si="23"/>
        <v>1313.6999999999996</v>
      </c>
      <c r="K191">
        <f t="shared" si="18"/>
        <v>73.599999999999994</v>
      </c>
      <c r="L191" s="8">
        <f>MAX(I184:I233)</f>
        <v>19.3</v>
      </c>
      <c r="M191">
        <v>6.2</v>
      </c>
      <c r="N191">
        <v>1.2</v>
      </c>
      <c r="O191">
        <f t="shared" si="20"/>
        <v>5</v>
      </c>
      <c r="P191">
        <f t="shared" si="24"/>
        <v>43.29999999999999</v>
      </c>
      <c r="Q191">
        <v>137</v>
      </c>
      <c r="R191">
        <f t="shared" si="25"/>
        <v>1.024</v>
      </c>
      <c r="S191">
        <f t="shared" si="21"/>
        <v>1.2287999999999999</v>
      </c>
      <c r="T191" s="24">
        <f t="shared" si="22"/>
        <v>4.9712000000000005</v>
      </c>
      <c r="U191" s="24">
        <f t="shared" si="26"/>
        <v>64.340299999999985</v>
      </c>
      <c r="V191" s="24">
        <f>MAX(U184:U233)</f>
        <v>106.15430000000001</v>
      </c>
      <c r="W191">
        <v>560.20000000000005</v>
      </c>
      <c r="Y191">
        <f t="shared" si="27"/>
        <v>90529.199999999968</v>
      </c>
      <c r="Z191">
        <f t="shared" si="19"/>
        <v>4400.9000000000005</v>
      </c>
      <c r="AA191">
        <v>9.7304423511000877</v>
      </c>
    </row>
    <row r="192" spans="1:28" x14ac:dyDescent="0.25">
      <c r="A192">
        <v>5080</v>
      </c>
      <c r="B192">
        <v>18650</v>
      </c>
      <c r="C192" s="1">
        <v>42770</v>
      </c>
      <c r="F192" s="43"/>
      <c r="G192">
        <v>9.9</v>
      </c>
      <c r="H192">
        <v>7.4</v>
      </c>
      <c r="I192">
        <v>12</v>
      </c>
      <c r="J192">
        <f t="shared" si="23"/>
        <v>1323.5999999999997</v>
      </c>
      <c r="K192">
        <f t="shared" si="18"/>
        <v>83.5</v>
      </c>
      <c r="L192" s="22" t="s">
        <v>38</v>
      </c>
      <c r="M192">
        <v>19.100000000000001</v>
      </c>
      <c r="N192">
        <v>1.5</v>
      </c>
      <c r="O192">
        <f t="shared" si="20"/>
        <v>17.600000000000001</v>
      </c>
      <c r="P192">
        <f t="shared" si="24"/>
        <v>60.899999999999991</v>
      </c>
      <c r="Q192">
        <v>138</v>
      </c>
      <c r="R192">
        <f t="shared" si="25"/>
        <v>1.0269999999999999</v>
      </c>
      <c r="S192">
        <f t="shared" si="21"/>
        <v>1.5404999999999998</v>
      </c>
      <c r="T192" s="24">
        <f t="shared" si="22"/>
        <v>17.5595</v>
      </c>
      <c r="U192" s="24">
        <f t="shared" si="26"/>
        <v>81.899799999999985</v>
      </c>
      <c r="V192" s="30" t="s">
        <v>45</v>
      </c>
      <c r="W192">
        <v>638.1</v>
      </c>
      <c r="Y192">
        <f t="shared" si="27"/>
        <v>91167.299999999974</v>
      </c>
      <c r="Z192">
        <f t="shared" si="19"/>
        <v>5039.0000000000009</v>
      </c>
      <c r="AA192">
        <v>9.7714522309610548</v>
      </c>
    </row>
    <row r="193" spans="1:27" x14ac:dyDescent="0.25">
      <c r="A193">
        <v>5080</v>
      </c>
      <c r="B193">
        <v>18650</v>
      </c>
      <c r="C193" s="1">
        <v>42771</v>
      </c>
      <c r="F193" s="43"/>
      <c r="G193">
        <v>7.9</v>
      </c>
      <c r="H193">
        <v>7.9</v>
      </c>
      <c r="I193">
        <v>8.4</v>
      </c>
      <c r="J193">
        <f t="shared" si="23"/>
        <v>1331.4999999999998</v>
      </c>
      <c r="K193">
        <f t="shared" si="18"/>
        <v>91.4</v>
      </c>
      <c r="L193" s="8">
        <v>0</v>
      </c>
      <c r="M193">
        <v>7.1</v>
      </c>
      <c r="N193">
        <v>1.1000000000000001</v>
      </c>
      <c r="O193">
        <f t="shared" si="20"/>
        <v>6</v>
      </c>
      <c r="P193">
        <f t="shared" si="24"/>
        <v>66.899999999999991</v>
      </c>
      <c r="Q193">
        <v>139</v>
      </c>
      <c r="R193">
        <f t="shared" si="25"/>
        <v>1.03</v>
      </c>
      <c r="S193">
        <f t="shared" si="21"/>
        <v>1.1330000000000002</v>
      </c>
      <c r="T193" s="24">
        <f t="shared" si="22"/>
        <v>5.9669999999999996</v>
      </c>
      <c r="U193" s="24">
        <f t="shared" si="26"/>
        <v>87.866799999999984</v>
      </c>
      <c r="V193" s="21">
        <f>AVERAGE(U184:U233)</f>
        <v>81.792592000000013</v>
      </c>
      <c r="W193">
        <v>225.3</v>
      </c>
      <c r="Y193">
        <f t="shared" si="27"/>
        <v>91392.599999999977</v>
      </c>
      <c r="Z193">
        <f t="shared" si="19"/>
        <v>5264.3000000000011</v>
      </c>
      <c r="AA193">
        <v>9.8129924565316671</v>
      </c>
    </row>
    <row r="194" spans="1:27" x14ac:dyDescent="0.25">
      <c r="A194">
        <v>5080</v>
      </c>
      <c r="B194">
        <v>18650</v>
      </c>
      <c r="C194" s="1">
        <v>42772</v>
      </c>
      <c r="F194" s="43"/>
      <c r="G194">
        <v>7.3</v>
      </c>
      <c r="H194">
        <v>5.7</v>
      </c>
      <c r="I194">
        <v>8.6</v>
      </c>
      <c r="J194">
        <f t="shared" si="23"/>
        <v>1338.7999999999997</v>
      </c>
      <c r="K194">
        <f t="shared" si="18"/>
        <v>98.7</v>
      </c>
      <c r="L194" s="22" t="s">
        <v>39</v>
      </c>
      <c r="M194">
        <v>3.4</v>
      </c>
      <c r="N194">
        <v>1.3</v>
      </c>
      <c r="O194">
        <f t="shared" si="20"/>
        <v>2.0999999999999996</v>
      </c>
      <c r="P194">
        <f t="shared" si="24"/>
        <v>68.999999999999986</v>
      </c>
      <c r="Q194">
        <v>140</v>
      </c>
      <c r="R194">
        <f t="shared" si="25"/>
        <v>1.0329999999999999</v>
      </c>
      <c r="S194">
        <f t="shared" si="21"/>
        <v>1.3429</v>
      </c>
      <c r="T194" s="24">
        <f t="shared" si="22"/>
        <v>2.0571000000000002</v>
      </c>
      <c r="U194" s="24">
        <f t="shared" si="26"/>
        <v>89.923899999999989</v>
      </c>
      <c r="W194">
        <v>858.1</v>
      </c>
      <c r="Y194">
        <f t="shared" si="27"/>
        <v>92250.699999999983</v>
      </c>
      <c r="Z194">
        <f t="shared" si="19"/>
        <v>6122.4000000000015</v>
      </c>
      <c r="AA194">
        <v>9.8550457004341947</v>
      </c>
    </row>
    <row r="195" spans="1:27" x14ac:dyDescent="0.25">
      <c r="A195">
        <v>5080</v>
      </c>
      <c r="B195">
        <v>18650</v>
      </c>
      <c r="C195" s="1">
        <v>42773</v>
      </c>
      <c r="F195" s="43"/>
      <c r="G195">
        <v>9.6999999999999993</v>
      </c>
      <c r="H195">
        <v>7</v>
      </c>
      <c r="I195">
        <v>12.9</v>
      </c>
      <c r="J195">
        <f t="shared" si="23"/>
        <v>1348.4999999999998</v>
      </c>
      <c r="K195">
        <f t="shared" si="18"/>
        <v>108.4</v>
      </c>
      <c r="L195" s="8">
        <v>20</v>
      </c>
      <c r="M195">
        <v>5.6</v>
      </c>
      <c r="N195">
        <v>0.9</v>
      </c>
      <c r="O195">
        <f t="shared" si="20"/>
        <v>4.6999999999999993</v>
      </c>
      <c r="P195">
        <f t="shared" si="24"/>
        <v>73.699999999999989</v>
      </c>
      <c r="Q195">
        <v>141</v>
      </c>
      <c r="R195">
        <f t="shared" si="25"/>
        <v>1.036</v>
      </c>
      <c r="S195">
        <f t="shared" si="21"/>
        <v>0.93240000000000001</v>
      </c>
      <c r="T195" s="24">
        <f t="shared" si="22"/>
        <v>4.6675999999999993</v>
      </c>
      <c r="U195" s="24">
        <f t="shared" si="26"/>
        <v>94.591499999999982</v>
      </c>
      <c r="V195" s="8">
        <f>(V193*100)/155.7</f>
        <v>52.532172125883122</v>
      </c>
      <c r="W195">
        <v>341.3</v>
      </c>
      <c r="Y195">
        <f t="shared" si="27"/>
        <v>92591.999999999985</v>
      </c>
      <c r="Z195">
        <f t="shared" si="19"/>
        <v>6463.7000000000016</v>
      </c>
      <c r="AA195">
        <v>9.8975948838835031</v>
      </c>
    </row>
    <row r="196" spans="1:27" x14ac:dyDescent="0.25">
      <c r="A196">
        <v>5080</v>
      </c>
      <c r="B196">
        <v>18650</v>
      </c>
      <c r="C196" s="1">
        <v>42774</v>
      </c>
      <c r="F196" s="43"/>
      <c r="G196">
        <v>5.5</v>
      </c>
      <c r="H196">
        <v>3.8</v>
      </c>
      <c r="I196">
        <v>6.7</v>
      </c>
      <c r="J196">
        <f t="shared" si="23"/>
        <v>1353.9999999999998</v>
      </c>
      <c r="K196">
        <f t="shared" si="18"/>
        <v>113.9</v>
      </c>
      <c r="L196" s="22" t="s">
        <v>40</v>
      </c>
      <c r="M196">
        <v>0.8</v>
      </c>
      <c r="N196">
        <v>0.7</v>
      </c>
      <c r="O196">
        <f t="shared" si="20"/>
        <v>0.10000000000000009</v>
      </c>
      <c r="P196">
        <f t="shared" si="24"/>
        <v>73.799999999999983</v>
      </c>
      <c r="Q196">
        <v>142</v>
      </c>
      <c r="R196">
        <f t="shared" si="25"/>
        <v>1.0389999999999999</v>
      </c>
      <c r="S196">
        <f t="shared" si="21"/>
        <v>0.72729999999999995</v>
      </c>
      <c r="T196" s="24">
        <f t="shared" si="22"/>
        <v>7.2700000000000098E-2</v>
      </c>
      <c r="U196" s="24">
        <f t="shared" si="26"/>
        <v>94.66419999999998</v>
      </c>
      <c r="W196">
        <v>346.9</v>
      </c>
      <c r="Y196">
        <f t="shared" si="27"/>
        <v>92938.89999999998</v>
      </c>
      <c r="Z196">
        <f t="shared" si="19"/>
        <v>6810.6000000000013</v>
      </c>
      <c r="AA196">
        <v>9.940623187670619</v>
      </c>
    </row>
    <row r="197" spans="1:27" x14ac:dyDescent="0.25">
      <c r="A197">
        <v>5080</v>
      </c>
      <c r="B197">
        <v>18650</v>
      </c>
      <c r="C197" s="1">
        <v>42775</v>
      </c>
      <c r="F197" s="43"/>
      <c r="G197">
        <v>5.0999999999999996</v>
      </c>
      <c r="H197">
        <v>4</v>
      </c>
      <c r="I197">
        <v>8.6</v>
      </c>
      <c r="J197">
        <f t="shared" si="23"/>
        <v>1359.0999999999997</v>
      </c>
      <c r="K197">
        <f t="shared" si="18"/>
        <v>119</v>
      </c>
      <c r="L197" s="8">
        <v>0</v>
      </c>
      <c r="M197">
        <v>0</v>
      </c>
      <c r="N197">
        <v>1.3</v>
      </c>
      <c r="O197">
        <f t="shared" si="20"/>
        <v>-1.3</v>
      </c>
      <c r="P197">
        <f t="shared" si="24"/>
        <v>72.499999999999986</v>
      </c>
      <c r="Q197">
        <v>143</v>
      </c>
      <c r="R197">
        <f t="shared" si="25"/>
        <v>1.042</v>
      </c>
      <c r="S197">
        <f t="shared" si="21"/>
        <v>1.3546</v>
      </c>
      <c r="T197" s="24">
        <f t="shared" si="22"/>
        <v>-1.3546</v>
      </c>
      <c r="U197" s="24">
        <f t="shared" si="26"/>
        <v>93.309599999999975</v>
      </c>
      <c r="W197">
        <v>861.9</v>
      </c>
      <c r="Y197">
        <f t="shared" si="27"/>
        <v>93800.799999999974</v>
      </c>
      <c r="Z197">
        <f t="shared" si="19"/>
        <v>7672.5000000000009</v>
      </c>
      <c r="AA197">
        <v>9.9841140618476647</v>
      </c>
    </row>
    <row r="198" spans="1:27" x14ac:dyDescent="0.25">
      <c r="A198">
        <v>5080</v>
      </c>
      <c r="B198">
        <v>18650</v>
      </c>
      <c r="C198" s="1">
        <v>42776</v>
      </c>
      <c r="F198" s="43"/>
      <c r="G198">
        <v>6</v>
      </c>
      <c r="H198">
        <v>0.5</v>
      </c>
      <c r="I198">
        <v>11.1</v>
      </c>
      <c r="J198">
        <f t="shared" si="23"/>
        <v>1365.0999999999997</v>
      </c>
      <c r="K198">
        <f t="shared" si="18"/>
        <v>125</v>
      </c>
      <c r="M198">
        <v>0.1</v>
      </c>
      <c r="N198">
        <v>1</v>
      </c>
      <c r="O198">
        <f t="shared" si="20"/>
        <v>-0.9</v>
      </c>
      <c r="P198">
        <f t="shared" si="24"/>
        <v>71.59999999999998</v>
      </c>
      <c r="Q198">
        <v>144</v>
      </c>
      <c r="R198">
        <f t="shared" si="25"/>
        <v>1.0449999999999999</v>
      </c>
      <c r="S198">
        <f t="shared" si="21"/>
        <v>1.0449999999999999</v>
      </c>
      <c r="T198" s="24">
        <f t="shared" si="22"/>
        <v>-0.94499999999999995</v>
      </c>
      <c r="U198" s="24">
        <f t="shared" si="26"/>
        <v>92.364599999999982</v>
      </c>
      <c r="W198">
        <v>652.20000000000005</v>
      </c>
      <c r="Y198">
        <f t="shared" si="27"/>
        <v>94452.999999999971</v>
      </c>
      <c r="Z198">
        <f t="shared" si="19"/>
        <v>8324.7000000000007</v>
      </c>
      <c r="AA198">
        <v>10.02805123414848</v>
      </c>
    </row>
    <row r="199" spans="1:27" x14ac:dyDescent="0.25">
      <c r="A199">
        <v>5080</v>
      </c>
      <c r="B199">
        <v>18650</v>
      </c>
      <c r="C199" s="1">
        <v>42777</v>
      </c>
      <c r="F199" s="43"/>
      <c r="G199">
        <v>6.1</v>
      </c>
      <c r="H199">
        <v>1.5</v>
      </c>
      <c r="I199">
        <v>11.4</v>
      </c>
      <c r="J199">
        <f t="shared" si="23"/>
        <v>1371.1999999999996</v>
      </c>
      <c r="K199">
        <f t="shared" si="18"/>
        <v>131.1</v>
      </c>
      <c r="M199">
        <v>0</v>
      </c>
      <c r="N199">
        <v>0.7</v>
      </c>
      <c r="O199">
        <f t="shared" si="20"/>
        <v>-0.7</v>
      </c>
      <c r="P199">
        <f t="shared" si="24"/>
        <v>70.899999999999977</v>
      </c>
      <c r="Q199">
        <v>145</v>
      </c>
      <c r="R199">
        <f t="shared" si="25"/>
        <v>1.048</v>
      </c>
      <c r="S199">
        <f t="shared" si="21"/>
        <v>0.73360000000000003</v>
      </c>
      <c r="T199" s="24">
        <f t="shared" si="22"/>
        <v>-0.73360000000000003</v>
      </c>
      <c r="U199" s="24">
        <f t="shared" si="26"/>
        <v>91.630999999999986</v>
      </c>
      <c r="W199">
        <v>801</v>
      </c>
      <c r="Y199">
        <f t="shared" si="27"/>
        <v>95253.999999999971</v>
      </c>
      <c r="Z199">
        <f t="shared" si="19"/>
        <v>9125.7000000000007</v>
      </c>
      <c r="AA199">
        <v>10.072418717181726</v>
      </c>
    </row>
    <row r="200" spans="1:27" x14ac:dyDescent="0.25">
      <c r="A200">
        <v>5080</v>
      </c>
      <c r="B200">
        <v>18650</v>
      </c>
      <c r="C200" s="1">
        <v>42778</v>
      </c>
      <c r="F200" s="43"/>
      <c r="G200">
        <v>11.9</v>
      </c>
      <c r="H200">
        <v>9</v>
      </c>
      <c r="I200">
        <v>12.8</v>
      </c>
      <c r="J200">
        <f t="shared" si="23"/>
        <v>1383.0999999999997</v>
      </c>
      <c r="K200">
        <f t="shared" si="18"/>
        <v>143</v>
      </c>
      <c r="M200">
        <v>0</v>
      </c>
      <c r="N200">
        <v>2</v>
      </c>
      <c r="O200">
        <f t="shared" si="20"/>
        <v>-2</v>
      </c>
      <c r="P200">
        <f t="shared" si="24"/>
        <v>68.899999999999977</v>
      </c>
      <c r="Q200">
        <v>146</v>
      </c>
      <c r="R200">
        <f t="shared" si="25"/>
        <v>1.0509999999999999</v>
      </c>
      <c r="S200">
        <f t="shared" si="21"/>
        <v>2.1019999999999999</v>
      </c>
      <c r="T200" s="24">
        <f t="shared" si="22"/>
        <v>-2.1019999999999999</v>
      </c>
      <c r="U200" s="24">
        <f t="shared" si="26"/>
        <v>89.528999999999982</v>
      </c>
      <c r="W200">
        <v>948.8</v>
      </c>
      <c r="Y200">
        <f t="shared" si="27"/>
        <v>96202.799999999974</v>
      </c>
      <c r="Z200">
        <f t="shared" si="19"/>
        <v>10074.5</v>
      </c>
      <c r="AA200">
        <v>10.117200814435394</v>
      </c>
    </row>
    <row r="201" spans="1:27" x14ac:dyDescent="0.25">
      <c r="A201">
        <v>5080</v>
      </c>
      <c r="B201">
        <v>18650</v>
      </c>
      <c r="C201" s="1">
        <v>42779</v>
      </c>
      <c r="F201" s="43"/>
      <c r="G201">
        <v>12.8</v>
      </c>
      <c r="H201">
        <v>12.3</v>
      </c>
      <c r="I201">
        <v>13.5</v>
      </c>
      <c r="J201">
        <f t="shared" si="23"/>
        <v>1395.8999999999996</v>
      </c>
      <c r="K201">
        <f t="shared" si="18"/>
        <v>155.80000000000001</v>
      </c>
      <c r="M201">
        <v>0.5</v>
      </c>
      <c r="N201">
        <v>3</v>
      </c>
      <c r="O201">
        <f t="shared" si="20"/>
        <v>-2.5</v>
      </c>
      <c r="P201">
        <f t="shared" si="24"/>
        <v>66.399999999999977</v>
      </c>
      <c r="Q201">
        <v>147</v>
      </c>
      <c r="R201">
        <f t="shared" si="25"/>
        <v>1.054</v>
      </c>
      <c r="S201">
        <f t="shared" si="21"/>
        <v>3.1619999999999999</v>
      </c>
      <c r="T201" s="24">
        <f t="shared" si="22"/>
        <v>-2.6619999999999999</v>
      </c>
      <c r="U201" s="24">
        <f t="shared" si="26"/>
        <v>86.866999999999976</v>
      </c>
      <c r="W201">
        <v>671.7</v>
      </c>
      <c r="Y201">
        <f t="shared" si="27"/>
        <v>96874.499999999971</v>
      </c>
      <c r="Z201">
        <f t="shared" si="19"/>
        <v>10746.2</v>
      </c>
      <c r="AA201">
        <v>10.162382125133361</v>
      </c>
    </row>
    <row r="202" spans="1:27" x14ac:dyDescent="0.25">
      <c r="A202">
        <v>5080</v>
      </c>
      <c r="B202">
        <v>18650</v>
      </c>
      <c r="C202" s="1">
        <v>42780</v>
      </c>
      <c r="F202" s="43"/>
      <c r="G202">
        <v>11.5</v>
      </c>
      <c r="H202">
        <v>9.4</v>
      </c>
      <c r="I202">
        <v>13</v>
      </c>
      <c r="J202">
        <f t="shared" si="23"/>
        <v>1407.3999999999996</v>
      </c>
      <c r="K202">
        <f t="shared" si="18"/>
        <v>167.3</v>
      </c>
      <c r="M202">
        <v>0.6</v>
      </c>
      <c r="N202">
        <v>1.1000000000000001</v>
      </c>
      <c r="O202">
        <f t="shared" si="20"/>
        <v>-0.50000000000000011</v>
      </c>
      <c r="P202">
        <f t="shared" si="24"/>
        <v>65.899999999999977</v>
      </c>
      <c r="Q202">
        <v>148</v>
      </c>
      <c r="R202">
        <f t="shared" si="25"/>
        <v>1.0569999999999999</v>
      </c>
      <c r="S202">
        <f t="shared" si="21"/>
        <v>1.1627000000000001</v>
      </c>
      <c r="T202" s="24">
        <f t="shared" si="22"/>
        <v>-0.56270000000000009</v>
      </c>
      <c r="U202" s="24">
        <f t="shared" si="26"/>
        <v>86.304299999999969</v>
      </c>
      <c r="W202">
        <v>844.3</v>
      </c>
      <c r="Y202">
        <f t="shared" si="27"/>
        <v>97718.799999999974</v>
      </c>
      <c r="Z202">
        <f t="shared" si="19"/>
        <v>11590.5</v>
      </c>
      <c r="AA202">
        <v>10.207947547985997</v>
      </c>
    </row>
    <row r="203" spans="1:27" x14ac:dyDescent="0.25">
      <c r="A203">
        <v>5080</v>
      </c>
      <c r="B203">
        <v>18650</v>
      </c>
      <c r="C203" s="1">
        <v>42781</v>
      </c>
      <c r="F203" s="43"/>
      <c r="G203">
        <v>11.9</v>
      </c>
      <c r="H203">
        <v>9.6999999999999993</v>
      </c>
      <c r="I203">
        <v>15.4</v>
      </c>
      <c r="J203">
        <f t="shared" si="23"/>
        <v>1419.2999999999997</v>
      </c>
      <c r="K203">
        <f t="shared" si="18"/>
        <v>179.20000000000002</v>
      </c>
      <c r="M203">
        <v>0</v>
      </c>
      <c r="N203">
        <v>1.4</v>
      </c>
      <c r="O203">
        <f t="shared" si="20"/>
        <v>-1.4</v>
      </c>
      <c r="P203">
        <f t="shared" si="24"/>
        <v>64.499999999999972</v>
      </c>
      <c r="Q203">
        <v>149</v>
      </c>
      <c r="R203">
        <f t="shared" si="25"/>
        <v>1.06</v>
      </c>
      <c r="S203">
        <f t="shared" si="21"/>
        <v>1.484</v>
      </c>
      <c r="T203" s="24">
        <f t="shared" si="22"/>
        <v>-1.484</v>
      </c>
      <c r="U203" s="24">
        <f t="shared" si="26"/>
        <v>84.820299999999975</v>
      </c>
      <c r="W203">
        <v>681.4</v>
      </c>
      <c r="Y203">
        <f t="shared" si="27"/>
        <v>98400.199999999968</v>
      </c>
      <c r="Z203">
        <f t="shared" si="19"/>
        <v>12271.9</v>
      </c>
      <c r="AA203">
        <v>10.253882283877795</v>
      </c>
    </row>
    <row r="204" spans="1:27" x14ac:dyDescent="0.25">
      <c r="A204">
        <v>5080</v>
      </c>
      <c r="B204">
        <v>18650</v>
      </c>
      <c r="C204" s="1">
        <v>42782</v>
      </c>
      <c r="F204" s="43"/>
      <c r="G204">
        <v>11.7</v>
      </c>
      <c r="H204">
        <v>7.4</v>
      </c>
      <c r="I204">
        <v>15.5</v>
      </c>
      <c r="J204">
        <f t="shared" si="23"/>
        <v>1430.9999999999998</v>
      </c>
      <c r="K204">
        <f t="shared" si="18"/>
        <v>190.9</v>
      </c>
      <c r="M204">
        <v>0</v>
      </c>
      <c r="N204">
        <v>1.6</v>
      </c>
      <c r="O204">
        <f t="shared" si="20"/>
        <v>-1.6</v>
      </c>
      <c r="P204">
        <f t="shared" si="24"/>
        <v>62.89999999999997</v>
      </c>
      <c r="Q204">
        <v>150</v>
      </c>
      <c r="R204">
        <f t="shared" si="25"/>
        <v>1.0629999999999999</v>
      </c>
      <c r="S204">
        <f t="shared" si="21"/>
        <v>1.7008000000000001</v>
      </c>
      <c r="T204" s="24">
        <f t="shared" si="22"/>
        <v>-1.7008000000000001</v>
      </c>
      <c r="U204" s="24">
        <f t="shared" si="26"/>
        <v>83.119499999999974</v>
      </c>
      <c r="W204">
        <v>1129.7</v>
      </c>
      <c r="Y204">
        <f t="shared" si="27"/>
        <v>99529.899999999965</v>
      </c>
      <c r="Z204">
        <f t="shared" si="19"/>
        <v>13401.6</v>
      </c>
      <c r="AA204">
        <v>10.300171837535729</v>
      </c>
    </row>
    <row r="205" spans="1:27" x14ac:dyDescent="0.25">
      <c r="A205">
        <v>5080</v>
      </c>
      <c r="B205">
        <v>18650</v>
      </c>
      <c r="C205" s="1">
        <v>42783</v>
      </c>
      <c r="F205" s="43"/>
      <c r="G205">
        <v>9.8000000000000007</v>
      </c>
      <c r="H205">
        <v>3.7</v>
      </c>
      <c r="I205">
        <v>14.8</v>
      </c>
      <c r="J205">
        <f t="shared" si="23"/>
        <v>1440.7999999999997</v>
      </c>
      <c r="K205">
        <f t="shared" si="18"/>
        <v>200.70000000000002</v>
      </c>
      <c r="M205">
        <v>0.1</v>
      </c>
      <c r="N205">
        <v>1.5</v>
      </c>
      <c r="O205">
        <f t="shared" si="20"/>
        <v>-1.4</v>
      </c>
      <c r="P205">
        <f t="shared" si="24"/>
        <v>61.499999999999972</v>
      </c>
      <c r="Q205">
        <v>151</v>
      </c>
      <c r="R205">
        <f t="shared" si="25"/>
        <v>1.0660000000000001</v>
      </c>
      <c r="S205">
        <f t="shared" si="21"/>
        <v>1.5990000000000002</v>
      </c>
      <c r="T205" s="24">
        <f t="shared" si="22"/>
        <v>-1.4990000000000001</v>
      </c>
      <c r="U205" s="24">
        <f t="shared" si="26"/>
        <v>81.620499999999979</v>
      </c>
      <c r="W205">
        <v>1174.3</v>
      </c>
      <c r="Y205">
        <f t="shared" si="27"/>
        <v>100704.19999999997</v>
      </c>
      <c r="Z205">
        <f t="shared" si="19"/>
        <v>14575.9</v>
      </c>
      <c r="AA205">
        <v>10.346802018222375</v>
      </c>
    </row>
    <row r="206" spans="1:27" x14ac:dyDescent="0.25">
      <c r="A206">
        <v>5080</v>
      </c>
      <c r="B206">
        <v>18650</v>
      </c>
      <c r="C206" s="1">
        <v>42784</v>
      </c>
      <c r="F206" s="43"/>
      <c r="G206">
        <v>9.1999999999999993</v>
      </c>
      <c r="H206">
        <v>3.9</v>
      </c>
      <c r="I206">
        <v>14.1</v>
      </c>
      <c r="J206">
        <f t="shared" si="23"/>
        <v>1449.9999999999998</v>
      </c>
      <c r="K206">
        <f t="shared" si="18"/>
        <v>209.9</v>
      </c>
      <c r="M206">
        <v>0</v>
      </c>
      <c r="N206">
        <v>1.9</v>
      </c>
      <c r="O206">
        <f t="shared" si="20"/>
        <v>-1.9</v>
      </c>
      <c r="P206">
        <f t="shared" si="24"/>
        <v>59.599999999999973</v>
      </c>
      <c r="Q206">
        <v>152</v>
      </c>
      <c r="R206">
        <f t="shared" si="25"/>
        <v>1.069</v>
      </c>
      <c r="S206">
        <f t="shared" si="21"/>
        <v>2.0310999999999999</v>
      </c>
      <c r="T206" s="24">
        <f t="shared" si="22"/>
        <v>-2.0310999999999999</v>
      </c>
      <c r="U206" s="24">
        <f t="shared" si="26"/>
        <v>79.589399999999983</v>
      </c>
      <c r="W206">
        <v>1471.5</v>
      </c>
      <c r="Y206">
        <f t="shared" si="27"/>
        <v>102175.69999999997</v>
      </c>
      <c r="Z206">
        <f t="shared" si="19"/>
        <v>16047.4</v>
      </c>
      <c r="AA206">
        <v>10.393758939498051</v>
      </c>
    </row>
    <row r="207" spans="1:27" x14ac:dyDescent="0.25">
      <c r="A207">
        <v>5080</v>
      </c>
      <c r="B207">
        <v>18650</v>
      </c>
      <c r="C207" s="1">
        <v>42785</v>
      </c>
      <c r="F207" s="43"/>
      <c r="G207">
        <v>9.4</v>
      </c>
      <c r="H207">
        <v>3.6</v>
      </c>
      <c r="I207">
        <v>14.2</v>
      </c>
      <c r="J207">
        <f t="shared" si="23"/>
        <v>1459.3999999999999</v>
      </c>
      <c r="K207">
        <f t="shared" si="18"/>
        <v>219.3</v>
      </c>
      <c r="M207">
        <v>0</v>
      </c>
      <c r="N207">
        <v>1.1000000000000001</v>
      </c>
      <c r="O207">
        <f t="shared" si="20"/>
        <v>-1.1000000000000001</v>
      </c>
      <c r="P207">
        <f t="shared" si="24"/>
        <v>58.499999999999972</v>
      </c>
      <c r="Q207">
        <v>153</v>
      </c>
      <c r="R207">
        <f t="shared" si="25"/>
        <v>1.0720000000000001</v>
      </c>
      <c r="S207">
        <f t="shared" si="21"/>
        <v>1.1792000000000002</v>
      </c>
      <c r="T207" s="24">
        <f t="shared" si="22"/>
        <v>-1.1792000000000002</v>
      </c>
      <c r="U207" s="24">
        <f t="shared" si="26"/>
        <v>78.410199999999989</v>
      </c>
      <c r="W207">
        <v>780.4</v>
      </c>
      <c r="Y207">
        <f t="shared" si="27"/>
        <v>102956.09999999996</v>
      </c>
      <c r="Z207">
        <f t="shared" si="19"/>
        <v>16827.8</v>
      </c>
      <c r="AA207">
        <v>10.441029018095987</v>
      </c>
    </row>
    <row r="208" spans="1:27" x14ac:dyDescent="0.25">
      <c r="A208">
        <v>5080</v>
      </c>
      <c r="B208">
        <v>18650</v>
      </c>
      <c r="C208" s="1">
        <v>42786</v>
      </c>
      <c r="F208" s="43"/>
      <c r="G208">
        <v>9.1</v>
      </c>
      <c r="H208">
        <v>7.4</v>
      </c>
      <c r="I208">
        <v>10.6</v>
      </c>
      <c r="J208">
        <f t="shared" si="23"/>
        <v>1468.4999999999998</v>
      </c>
      <c r="K208">
        <f t="shared" si="18"/>
        <v>228.4</v>
      </c>
      <c r="M208">
        <v>0</v>
      </c>
      <c r="N208">
        <v>0.7</v>
      </c>
      <c r="O208">
        <f t="shared" si="20"/>
        <v>-0.7</v>
      </c>
      <c r="P208">
        <f t="shared" si="24"/>
        <v>57.799999999999969</v>
      </c>
      <c r="Q208">
        <v>154</v>
      </c>
      <c r="R208">
        <f t="shared" si="25"/>
        <v>1.075</v>
      </c>
      <c r="S208">
        <f t="shared" si="21"/>
        <v>0.75249999999999995</v>
      </c>
      <c r="T208" s="24">
        <f t="shared" si="22"/>
        <v>-0.75249999999999995</v>
      </c>
      <c r="U208" s="24">
        <f t="shared" si="26"/>
        <v>77.657699999999991</v>
      </c>
      <c r="W208">
        <v>444.5</v>
      </c>
      <c r="Y208">
        <f t="shared" si="27"/>
        <v>103400.59999999996</v>
      </c>
      <c r="Z208">
        <f t="shared" si="19"/>
        <v>17272.3</v>
      </c>
      <c r="AA208">
        <v>10.488598971954358</v>
      </c>
    </row>
    <row r="209" spans="1:27" x14ac:dyDescent="0.25">
      <c r="A209">
        <v>5080</v>
      </c>
      <c r="B209">
        <v>18650</v>
      </c>
      <c r="C209" s="1">
        <v>42787</v>
      </c>
      <c r="F209" s="43"/>
      <c r="G209">
        <v>10.5</v>
      </c>
      <c r="H209">
        <v>7</v>
      </c>
      <c r="I209">
        <v>13.7</v>
      </c>
      <c r="J209">
        <f t="shared" si="23"/>
        <v>1478.9999999999998</v>
      </c>
      <c r="K209">
        <f t="shared" si="18"/>
        <v>238.9</v>
      </c>
      <c r="M209">
        <v>0</v>
      </c>
      <c r="N209">
        <v>0.8</v>
      </c>
      <c r="O209">
        <f t="shared" si="20"/>
        <v>-0.8</v>
      </c>
      <c r="P209">
        <f t="shared" si="24"/>
        <v>56.999999999999972</v>
      </c>
      <c r="Q209">
        <v>155</v>
      </c>
      <c r="R209">
        <f t="shared" si="25"/>
        <v>1.0779999999999998</v>
      </c>
      <c r="S209">
        <f t="shared" si="21"/>
        <v>0.86239999999999994</v>
      </c>
      <c r="T209" s="24">
        <f t="shared" si="22"/>
        <v>-0.86239999999999994</v>
      </c>
      <c r="U209" s="24">
        <f t="shared" si="26"/>
        <v>76.795299999999997</v>
      </c>
      <c r="W209">
        <v>402.7</v>
      </c>
      <c r="Y209">
        <f t="shared" si="27"/>
        <v>103803.29999999996</v>
      </c>
      <c r="Z209">
        <f t="shared" si="19"/>
        <v>17675</v>
      </c>
      <c r="AA209">
        <v>10.536455817448308</v>
      </c>
    </row>
    <row r="210" spans="1:27" x14ac:dyDescent="0.25">
      <c r="A210">
        <v>5080</v>
      </c>
      <c r="B210">
        <v>18650</v>
      </c>
      <c r="C210" s="1">
        <v>42788</v>
      </c>
      <c r="F210" s="43"/>
      <c r="G210">
        <v>10.8</v>
      </c>
      <c r="H210">
        <v>6.3</v>
      </c>
      <c r="I210">
        <v>14.7</v>
      </c>
      <c r="J210">
        <f t="shared" si="23"/>
        <v>1489.7999999999997</v>
      </c>
      <c r="K210">
        <f t="shared" ref="K210:K254" si="28">K209+G210</f>
        <v>249.70000000000002</v>
      </c>
      <c r="M210">
        <v>0</v>
      </c>
      <c r="N210">
        <v>2.1</v>
      </c>
      <c r="O210">
        <f t="shared" si="20"/>
        <v>-2.1</v>
      </c>
      <c r="P210">
        <f t="shared" si="24"/>
        <v>54.89999999999997</v>
      </c>
      <c r="Q210">
        <v>156</v>
      </c>
      <c r="R210">
        <f t="shared" si="25"/>
        <v>1.081</v>
      </c>
      <c r="S210">
        <f t="shared" si="21"/>
        <v>2.2701000000000002</v>
      </c>
      <c r="T210" s="24">
        <f t="shared" si="22"/>
        <v>-2.2701000000000002</v>
      </c>
      <c r="U210" s="24">
        <f t="shared" si="26"/>
        <v>74.525199999999998</v>
      </c>
      <c r="W210">
        <v>1418.4</v>
      </c>
      <c r="Y210">
        <f t="shared" si="27"/>
        <v>105221.69999999995</v>
      </c>
      <c r="Z210">
        <f t="shared" ref="Z210:Z273" si="29">Z209+W210</f>
        <v>19093.400000000001</v>
      </c>
      <c r="AA210">
        <v>10.584586865864591</v>
      </c>
    </row>
    <row r="211" spans="1:27" x14ac:dyDescent="0.25">
      <c r="A211">
        <v>5080</v>
      </c>
      <c r="B211">
        <v>18650</v>
      </c>
      <c r="C211" s="1">
        <v>42789</v>
      </c>
      <c r="F211" s="43"/>
      <c r="G211">
        <v>9.8000000000000007</v>
      </c>
      <c r="H211">
        <v>4</v>
      </c>
      <c r="I211">
        <v>15.7</v>
      </c>
      <c r="J211">
        <f t="shared" si="23"/>
        <v>1499.5999999999997</v>
      </c>
      <c r="K211">
        <f t="shared" si="28"/>
        <v>259.5</v>
      </c>
      <c r="M211">
        <v>0.9</v>
      </c>
      <c r="N211">
        <v>2.1</v>
      </c>
      <c r="O211">
        <f t="shared" si="20"/>
        <v>-1.2000000000000002</v>
      </c>
      <c r="P211">
        <f t="shared" si="24"/>
        <v>53.699999999999967</v>
      </c>
      <c r="Q211">
        <v>157</v>
      </c>
      <c r="R211">
        <f t="shared" si="25"/>
        <v>1.0840000000000001</v>
      </c>
      <c r="S211">
        <f t="shared" si="21"/>
        <v>2.2764000000000002</v>
      </c>
      <c r="T211" s="24">
        <f t="shared" si="22"/>
        <v>-1.3764000000000003</v>
      </c>
      <c r="U211" s="24">
        <f t="shared" si="26"/>
        <v>73.148799999999994</v>
      </c>
      <c r="W211">
        <v>1278.4000000000001</v>
      </c>
      <c r="Y211">
        <f t="shared" si="27"/>
        <v>106500.09999999995</v>
      </c>
      <c r="Z211">
        <f t="shared" si="29"/>
        <v>20371.800000000003</v>
      </c>
      <c r="AA211">
        <v>10.632979719160458</v>
      </c>
    </row>
    <row r="212" spans="1:27" x14ac:dyDescent="0.25">
      <c r="A212">
        <v>5080</v>
      </c>
      <c r="B212">
        <v>18650</v>
      </c>
      <c r="C212" s="1">
        <v>42790</v>
      </c>
      <c r="F212" s="43"/>
      <c r="G212">
        <v>8.5</v>
      </c>
      <c r="H212">
        <v>8</v>
      </c>
      <c r="I212">
        <v>10.5</v>
      </c>
      <c r="J212">
        <f t="shared" si="23"/>
        <v>1508.0999999999997</v>
      </c>
      <c r="K212">
        <f t="shared" si="28"/>
        <v>268</v>
      </c>
      <c r="M212">
        <v>0</v>
      </c>
      <c r="N212">
        <v>1.7</v>
      </c>
      <c r="O212">
        <f t="shared" si="20"/>
        <v>-1.7</v>
      </c>
      <c r="P212">
        <f t="shared" si="24"/>
        <v>51.999999999999964</v>
      </c>
      <c r="Q212">
        <v>158</v>
      </c>
      <c r="R212">
        <f t="shared" si="25"/>
        <v>1.087</v>
      </c>
      <c r="S212">
        <f t="shared" si="21"/>
        <v>1.8478999999999999</v>
      </c>
      <c r="T212" s="24">
        <f t="shared" si="22"/>
        <v>-1.8478999999999999</v>
      </c>
      <c r="U212" s="24">
        <f t="shared" si="26"/>
        <v>71.300899999999999</v>
      </c>
      <c r="W212">
        <v>757.6</v>
      </c>
      <c r="Y212">
        <f t="shared" si="27"/>
        <v>107257.69999999995</v>
      </c>
      <c r="Z212">
        <f t="shared" si="29"/>
        <v>21129.4</v>
      </c>
      <c r="AA212">
        <v>10.68162226504748</v>
      </c>
    </row>
    <row r="213" spans="1:27" x14ac:dyDescent="0.25">
      <c r="A213">
        <v>5080</v>
      </c>
      <c r="B213">
        <v>18650</v>
      </c>
      <c r="C213" s="1">
        <v>42791</v>
      </c>
      <c r="F213" s="43"/>
      <c r="G213">
        <v>6.3</v>
      </c>
      <c r="H213">
        <v>1.5</v>
      </c>
      <c r="I213">
        <v>10.7</v>
      </c>
      <c r="J213">
        <f t="shared" si="23"/>
        <v>1514.3999999999996</v>
      </c>
      <c r="K213">
        <f t="shared" si="28"/>
        <v>274.3</v>
      </c>
      <c r="M213">
        <v>0</v>
      </c>
      <c r="N213">
        <v>2.1</v>
      </c>
      <c r="O213">
        <f t="shared" si="20"/>
        <v>-2.1</v>
      </c>
      <c r="P213">
        <f t="shared" si="24"/>
        <v>49.899999999999963</v>
      </c>
      <c r="Q213">
        <v>159</v>
      </c>
      <c r="R213">
        <f t="shared" si="25"/>
        <v>1.0899999999999999</v>
      </c>
      <c r="S213">
        <f t="shared" si="21"/>
        <v>2.2889999999999997</v>
      </c>
      <c r="T213" s="24">
        <f t="shared" si="22"/>
        <v>-2.2889999999999997</v>
      </c>
      <c r="U213" s="24">
        <f t="shared" si="26"/>
        <v>69.011899999999997</v>
      </c>
      <c r="W213">
        <v>1631.2</v>
      </c>
      <c r="Y213">
        <f t="shared" si="27"/>
        <v>108888.89999999995</v>
      </c>
      <c r="Z213">
        <f t="shared" si="29"/>
        <v>22760.600000000002</v>
      </c>
      <c r="AA213">
        <v>10.73050267144</v>
      </c>
    </row>
    <row r="214" spans="1:27" x14ac:dyDescent="0.25">
      <c r="A214">
        <v>5080</v>
      </c>
      <c r="B214">
        <v>18650</v>
      </c>
      <c r="C214" s="1">
        <v>42792</v>
      </c>
      <c r="F214" s="43"/>
      <c r="G214">
        <v>7</v>
      </c>
      <c r="H214">
        <v>1.2</v>
      </c>
      <c r="I214">
        <v>11.3</v>
      </c>
      <c r="J214">
        <f t="shared" si="23"/>
        <v>1521.3999999999996</v>
      </c>
      <c r="K214">
        <f t="shared" si="28"/>
        <v>281.3</v>
      </c>
      <c r="M214">
        <v>0</v>
      </c>
      <c r="N214">
        <v>0.7</v>
      </c>
      <c r="O214">
        <f t="shared" si="20"/>
        <v>-0.7</v>
      </c>
      <c r="P214">
        <f t="shared" si="24"/>
        <v>49.19999999999996</v>
      </c>
      <c r="Q214">
        <v>160</v>
      </c>
      <c r="R214">
        <f t="shared" si="25"/>
        <v>1.093</v>
      </c>
      <c r="S214">
        <f t="shared" si="21"/>
        <v>0.76509999999999989</v>
      </c>
      <c r="T214" s="24">
        <f t="shared" si="22"/>
        <v>-0.76509999999999989</v>
      </c>
      <c r="U214" s="24">
        <f t="shared" si="26"/>
        <v>68.246799999999993</v>
      </c>
      <c r="W214">
        <v>653.20000000000005</v>
      </c>
      <c r="Y214">
        <f t="shared" si="27"/>
        <v>109542.09999999995</v>
      </c>
      <c r="Z214">
        <f t="shared" si="29"/>
        <v>23413.800000000003</v>
      </c>
      <c r="AA214">
        <v>10.779609380306622</v>
      </c>
    </row>
    <row r="215" spans="1:27" x14ac:dyDescent="0.25">
      <c r="A215">
        <v>5080</v>
      </c>
      <c r="B215">
        <v>18650</v>
      </c>
      <c r="C215" s="1">
        <v>42793</v>
      </c>
      <c r="F215" s="43"/>
      <c r="G215">
        <v>9.3000000000000007</v>
      </c>
      <c r="H215">
        <v>1.2</v>
      </c>
      <c r="I215">
        <v>15.2</v>
      </c>
      <c r="J215">
        <f t="shared" si="23"/>
        <v>1530.6999999999996</v>
      </c>
      <c r="K215">
        <f t="shared" si="28"/>
        <v>290.60000000000002</v>
      </c>
      <c r="M215">
        <v>0</v>
      </c>
      <c r="N215">
        <v>1.9</v>
      </c>
      <c r="O215">
        <f t="shared" si="20"/>
        <v>-1.9</v>
      </c>
      <c r="P215">
        <f t="shared" si="24"/>
        <v>47.299999999999962</v>
      </c>
      <c r="Q215">
        <v>161</v>
      </c>
      <c r="R215">
        <f t="shared" si="25"/>
        <v>1.0959999999999999</v>
      </c>
      <c r="S215">
        <f t="shared" si="21"/>
        <v>2.0823999999999998</v>
      </c>
      <c r="T215" s="24">
        <f t="shared" si="22"/>
        <v>-2.0823999999999998</v>
      </c>
      <c r="U215" s="24">
        <f t="shared" si="26"/>
        <v>66.164400000000001</v>
      </c>
      <c r="W215">
        <v>1414.7</v>
      </c>
      <c r="Y215">
        <f t="shared" si="27"/>
        <v>110956.79999999994</v>
      </c>
      <c r="Z215">
        <f t="shared" si="29"/>
        <v>24828.500000000004</v>
      </c>
      <c r="AA215">
        <v>10.828931100961972</v>
      </c>
    </row>
    <row r="216" spans="1:27" x14ac:dyDescent="0.25">
      <c r="A216">
        <v>5080</v>
      </c>
      <c r="B216">
        <v>18650</v>
      </c>
      <c r="C216" s="1">
        <v>42794</v>
      </c>
      <c r="F216" s="43"/>
      <c r="G216">
        <v>8.4</v>
      </c>
      <c r="H216">
        <v>6.8</v>
      </c>
      <c r="I216">
        <v>10.6</v>
      </c>
      <c r="J216">
        <f t="shared" si="23"/>
        <v>1539.0999999999997</v>
      </c>
      <c r="K216">
        <f t="shared" si="28"/>
        <v>299</v>
      </c>
      <c r="M216">
        <v>3.5</v>
      </c>
      <c r="N216">
        <v>1.2</v>
      </c>
      <c r="O216">
        <f t="shared" si="20"/>
        <v>2.2999999999999998</v>
      </c>
      <c r="P216">
        <f t="shared" si="24"/>
        <v>49.599999999999959</v>
      </c>
      <c r="Q216">
        <v>162</v>
      </c>
      <c r="R216">
        <f t="shared" si="25"/>
        <v>1.099</v>
      </c>
      <c r="S216">
        <f t="shared" si="21"/>
        <v>1.3188</v>
      </c>
      <c r="T216" s="24">
        <f t="shared" si="22"/>
        <v>2.1812</v>
      </c>
      <c r="U216" s="24">
        <f t="shared" si="26"/>
        <v>68.345600000000005</v>
      </c>
      <c r="W216">
        <v>483.2</v>
      </c>
      <c r="Y216">
        <f t="shared" si="27"/>
        <v>111439.99999999994</v>
      </c>
      <c r="Z216">
        <f t="shared" si="29"/>
        <v>25311.700000000004</v>
      </c>
      <c r="AA216">
        <v>10.878456802834638</v>
      </c>
    </row>
    <row r="217" spans="1:27" x14ac:dyDescent="0.25">
      <c r="A217">
        <v>5080</v>
      </c>
      <c r="B217">
        <v>18650</v>
      </c>
      <c r="C217" s="1">
        <v>42795</v>
      </c>
      <c r="F217" s="43"/>
      <c r="G217">
        <v>9</v>
      </c>
      <c r="H217">
        <v>4.5</v>
      </c>
      <c r="I217">
        <v>12.4</v>
      </c>
      <c r="J217">
        <f t="shared" si="23"/>
        <v>1548.0999999999997</v>
      </c>
      <c r="K217">
        <f t="shared" si="28"/>
        <v>308</v>
      </c>
      <c r="M217">
        <v>0</v>
      </c>
      <c r="N217">
        <v>1</v>
      </c>
      <c r="O217">
        <f t="shared" si="20"/>
        <v>-1</v>
      </c>
      <c r="P217">
        <f t="shared" si="24"/>
        <v>48.599999999999959</v>
      </c>
      <c r="Q217">
        <v>163</v>
      </c>
      <c r="R217">
        <f t="shared" si="25"/>
        <v>1.1019999999999999</v>
      </c>
      <c r="S217">
        <f t="shared" si="21"/>
        <v>1.1019999999999999</v>
      </c>
      <c r="T217" s="24">
        <f t="shared" si="22"/>
        <v>-1.1019999999999999</v>
      </c>
      <c r="U217" s="24">
        <f t="shared" si="26"/>
        <v>67.243600000000001</v>
      </c>
      <c r="W217">
        <v>559.29999999999995</v>
      </c>
      <c r="Y217">
        <f t="shared" si="27"/>
        <v>111999.29999999994</v>
      </c>
      <c r="Z217">
        <f t="shared" si="29"/>
        <v>25871.000000000004</v>
      </c>
      <c r="AA217">
        <v>10.928175707745881</v>
      </c>
    </row>
    <row r="218" spans="1:27" x14ac:dyDescent="0.25">
      <c r="A218">
        <v>5080</v>
      </c>
      <c r="B218">
        <v>18650</v>
      </c>
      <c r="C218" s="1">
        <v>42796</v>
      </c>
      <c r="F218" s="43"/>
      <c r="G218">
        <v>12</v>
      </c>
      <c r="H218">
        <v>8.5</v>
      </c>
      <c r="I218">
        <v>16.2</v>
      </c>
      <c r="J218">
        <f t="shared" si="23"/>
        <v>1560.0999999999997</v>
      </c>
      <c r="K218">
        <f t="shared" si="28"/>
        <v>320</v>
      </c>
      <c r="M218">
        <v>0</v>
      </c>
      <c r="N218">
        <v>1.3</v>
      </c>
      <c r="O218">
        <f t="shared" si="20"/>
        <v>-1.3</v>
      </c>
      <c r="P218">
        <f t="shared" si="24"/>
        <v>47.299999999999962</v>
      </c>
      <c r="Q218">
        <v>164</v>
      </c>
      <c r="R218">
        <f t="shared" si="25"/>
        <v>1.105</v>
      </c>
      <c r="S218">
        <f t="shared" si="21"/>
        <v>1.4365000000000001</v>
      </c>
      <c r="T218" s="24">
        <f t="shared" si="22"/>
        <v>-1.4365000000000001</v>
      </c>
      <c r="U218" s="24">
        <f t="shared" si="26"/>
        <v>65.807100000000005</v>
      </c>
      <c r="W218">
        <v>893.8</v>
      </c>
      <c r="Y218">
        <f t="shared" si="27"/>
        <v>112893.09999999995</v>
      </c>
      <c r="Z218">
        <f t="shared" si="29"/>
        <v>26764.800000000003</v>
      </c>
      <c r="AA218">
        <v>10.978077281732318</v>
      </c>
    </row>
    <row r="219" spans="1:27" x14ac:dyDescent="0.25">
      <c r="A219">
        <v>5080</v>
      </c>
      <c r="B219">
        <v>18650</v>
      </c>
      <c r="C219" s="1">
        <v>42797</v>
      </c>
      <c r="F219" s="43"/>
      <c r="G219">
        <v>11.5</v>
      </c>
      <c r="H219">
        <v>9.1</v>
      </c>
      <c r="I219">
        <v>13.9</v>
      </c>
      <c r="J219">
        <f t="shared" si="23"/>
        <v>1571.5999999999997</v>
      </c>
      <c r="K219">
        <f t="shared" si="28"/>
        <v>331.5</v>
      </c>
      <c r="M219">
        <v>21.5</v>
      </c>
      <c r="N219">
        <v>2.4</v>
      </c>
      <c r="O219">
        <f t="shared" si="20"/>
        <v>19.100000000000001</v>
      </c>
      <c r="P219">
        <f t="shared" si="24"/>
        <v>66.399999999999963</v>
      </c>
      <c r="Q219">
        <v>165</v>
      </c>
      <c r="R219">
        <f t="shared" si="25"/>
        <v>1.1079999999999999</v>
      </c>
      <c r="S219">
        <f t="shared" si="21"/>
        <v>2.6591999999999998</v>
      </c>
      <c r="T219" s="24">
        <f t="shared" si="22"/>
        <v>18.840800000000002</v>
      </c>
      <c r="U219" s="24">
        <f t="shared" si="26"/>
        <v>84.647900000000007</v>
      </c>
      <c r="W219">
        <v>1413.2</v>
      </c>
      <c r="Y219">
        <f t="shared" si="27"/>
        <v>114306.29999999994</v>
      </c>
      <c r="Z219">
        <f t="shared" si="29"/>
        <v>28178.000000000004</v>
      </c>
      <c r="AA219">
        <v>11.028151226444388</v>
      </c>
    </row>
    <row r="220" spans="1:27" x14ac:dyDescent="0.25">
      <c r="A220">
        <v>5080</v>
      </c>
      <c r="B220">
        <v>18650</v>
      </c>
      <c r="C220" s="1">
        <v>42798</v>
      </c>
      <c r="F220" s="43"/>
      <c r="G220">
        <v>7</v>
      </c>
      <c r="H220">
        <v>6.3</v>
      </c>
      <c r="I220">
        <v>8.1</v>
      </c>
      <c r="J220">
        <f t="shared" si="23"/>
        <v>1578.5999999999997</v>
      </c>
      <c r="K220">
        <f t="shared" si="28"/>
        <v>338.5</v>
      </c>
      <c r="M220">
        <v>1.5</v>
      </c>
      <c r="N220">
        <v>1.4</v>
      </c>
      <c r="O220">
        <f t="shared" si="20"/>
        <v>0.10000000000000009</v>
      </c>
      <c r="P220">
        <f t="shared" si="24"/>
        <v>66.499999999999957</v>
      </c>
      <c r="Q220">
        <v>166</v>
      </c>
      <c r="R220">
        <f t="shared" si="25"/>
        <v>1.111</v>
      </c>
      <c r="S220">
        <f t="shared" si="21"/>
        <v>1.5553999999999999</v>
      </c>
      <c r="T220" s="24">
        <f t="shared" si="22"/>
        <v>-5.5399999999999894E-2</v>
      </c>
      <c r="U220" s="24">
        <f t="shared" si="26"/>
        <v>84.592500000000001</v>
      </c>
      <c r="W220">
        <v>685.9</v>
      </c>
      <c r="Y220">
        <f t="shared" si="27"/>
        <v>114992.19999999994</v>
      </c>
      <c r="Z220">
        <f t="shared" si="29"/>
        <v>28863.900000000005</v>
      </c>
      <c r="AA220">
        <v>11.078387470151069</v>
      </c>
    </row>
    <row r="221" spans="1:27" x14ac:dyDescent="0.25">
      <c r="A221">
        <v>5080</v>
      </c>
      <c r="B221">
        <v>18650</v>
      </c>
      <c r="C221" s="1">
        <v>42799</v>
      </c>
      <c r="F221" s="43"/>
      <c r="G221">
        <v>8.9</v>
      </c>
      <c r="H221">
        <v>3.8</v>
      </c>
      <c r="I221">
        <v>12.1</v>
      </c>
      <c r="J221">
        <f t="shared" si="23"/>
        <v>1587.4999999999998</v>
      </c>
      <c r="K221">
        <f t="shared" si="28"/>
        <v>347.4</v>
      </c>
      <c r="M221">
        <v>4.0999999999999996</v>
      </c>
      <c r="N221">
        <v>1.1000000000000001</v>
      </c>
      <c r="O221">
        <f t="shared" si="20"/>
        <v>2.9999999999999996</v>
      </c>
      <c r="P221">
        <f t="shared" si="24"/>
        <v>69.499999999999957</v>
      </c>
      <c r="Q221">
        <v>167</v>
      </c>
      <c r="R221">
        <f t="shared" si="25"/>
        <v>1.1139999999999999</v>
      </c>
      <c r="S221">
        <f t="shared" si="21"/>
        <v>1.2254</v>
      </c>
      <c r="T221" s="24">
        <f t="shared" si="22"/>
        <v>2.8745999999999996</v>
      </c>
      <c r="U221" s="24">
        <f t="shared" si="26"/>
        <v>87.467100000000002</v>
      </c>
      <c r="W221">
        <v>988.8</v>
      </c>
      <c r="Y221">
        <f t="shared" si="27"/>
        <v>115980.99999999994</v>
      </c>
      <c r="Z221">
        <f t="shared" si="29"/>
        <v>29852.700000000004</v>
      </c>
      <c r="AA221">
        <v>11.1287761583799</v>
      </c>
    </row>
    <row r="222" spans="1:27" x14ac:dyDescent="0.25">
      <c r="A222">
        <v>5080</v>
      </c>
      <c r="B222">
        <v>18650</v>
      </c>
      <c r="C222" s="1">
        <v>42800</v>
      </c>
      <c r="F222" s="43"/>
      <c r="G222">
        <v>11.3</v>
      </c>
      <c r="H222">
        <v>9.5</v>
      </c>
      <c r="I222">
        <v>14.7</v>
      </c>
      <c r="J222">
        <f t="shared" si="23"/>
        <v>1598.7999999999997</v>
      </c>
      <c r="K222">
        <f t="shared" si="28"/>
        <v>358.7</v>
      </c>
      <c r="M222">
        <v>2.6</v>
      </c>
      <c r="N222">
        <v>2.4</v>
      </c>
      <c r="O222">
        <f t="shared" si="20"/>
        <v>0.20000000000000018</v>
      </c>
      <c r="P222">
        <f t="shared" si="24"/>
        <v>69.69999999999996</v>
      </c>
      <c r="Q222">
        <v>168</v>
      </c>
      <c r="R222">
        <f t="shared" si="25"/>
        <v>1.117</v>
      </c>
      <c r="S222">
        <f t="shared" si="21"/>
        <v>2.6808000000000001</v>
      </c>
      <c r="T222" s="24">
        <f t="shared" si="22"/>
        <v>-8.0799999999999983E-2</v>
      </c>
      <c r="U222" s="24">
        <f t="shared" si="26"/>
        <v>87.386300000000006</v>
      </c>
      <c r="W222">
        <v>761.2</v>
      </c>
      <c r="Y222">
        <f t="shared" si="27"/>
        <v>116742.19999999994</v>
      </c>
      <c r="Z222">
        <f t="shared" si="29"/>
        <v>30613.900000000005</v>
      </c>
      <c r="AA222">
        <v>11.179307644219996</v>
      </c>
    </row>
    <row r="223" spans="1:27" x14ac:dyDescent="0.25">
      <c r="A223">
        <v>5080</v>
      </c>
      <c r="B223">
        <v>18650</v>
      </c>
      <c r="C223" s="1">
        <v>42801</v>
      </c>
      <c r="F223" s="43"/>
      <c r="G223">
        <v>9.5</v>
      </c>
      <c r="H223">
        <v>8.1999999999999993</v>
      </c>
      <c r="I223">
        <v>11.6</v>
      </c>
      <c r="J223">
        <f t="shared" si="23"/>
        <v>1608.2999999999997</v>
      </c>
      <c r="K223">
        <f t="shared" si="28"/>
        <v>368.2</v>
      </c>
      <c r="M223">
        <v>20</v>
      </c>
      <c r="N223">
        <v>1.1000000000000001</v>
      </c>
      <c r="O223">
        <f t="shared" si="20"/>
        <v>18.899999999999999</v>
      </c>
      <c r="P223">
        <f t="shared" si="24"/>
        <v>88.599999999999966</v>
      </c>
      <c r="Q223">
        <v>169</v>
      </c>
      <c r="R223">
        <f t="shared" si="25"/>
        <v>1.1199999999999999</v>
      </c>
      <c r="S223">
        <f t="shared" si="21"/>
        <v>1.232</v>
      </c>
      <c r="T223" s="24">
        <f t="shared" si="22"/>
        <v>18.768000000000001</v>
      </c>
      <c r="U223" s="24">
        <f t="shared" si="26"/>
        <v>106.15430000000001</v>
      </c>
      <c r="W223">
        <v>302.5</v>
      </c>
      <c r="Y223">
        <f t="shared" si="27"/>
        <v>117044.69999999994</v>
      </c>
      <c r="Z223">
        <f t="shared" si="29"/>
        <v>30916.400000000005</v>
      </c>
      <c r="AA223">
        <v>11.229972478314467</v>
      </c>
    </row>
    <row r="224" spans="1:27" x14ac:dyDescent="0.25">
      <c r="A224">
        <v>5080</v>
      </c>
      <c r="B224">
        <v>18650</v>
      </c>
      <c r="C224" s="1">
        <v>42802</v>
      </c>
      <c r="F224" s="43"/>
      <c r="G224">
        <v>11.9</v>
      </c>
      <c r="H224">
        <v>9.9</v>
      </c>
      <c r="I224">
        <v>13.5</v>
      </c>
      <c r="J224">
        <f t="shared" si="23"/>
        <v>1620.1999999999998</v>
      </c>
      <c r="K224">
        <f t="shared" si="28"/>
        <v>380.09999999999997</v>
      </c>
      <c r="M224">
        <v>0</v>
      </c>
      <c r="N224">
        <v>1.2</v>
      </c>
      <c r="O224">
        <f t="shared" si="20"/>
        <v>-1.2</v>
      </c>
      <c r="P224">
        <f t="shared" si="24"/>
        <v>87.399999999999963</v>
      </c>
      <c r="Q224">
        <v>170</v>
      </c>
      <c r="R224">
        <f t="shared" si="25"/>
        <v>1.123</v>
      </c>
      <c r="S224">
        <f t="shared" si="21"/>
        <v>1.3475999999999999</v>
      </c>
      <c r="T224" s="24">
        <f t="shared" si="22"/>
        <v>-1.3475999999999999</v>
      </c>
      <c r="U224" s="24">
        <f t="shared" si="26"/>
        <v>104.80670000000001</v>
      </c>
      <c r="W224">
        <v>473.3</v>
      </c>
      <c r="Y224">
        <f t="shared" si="27"/>
        <v>117517.99999999994</v>
      </c>
      <c r="Z224">
        <f t="shared" si="29"/>
        <v>31389.700000000004</v>
      </c>
      <c r="AA224">
        <v>11.280761398567257</v>
      </c>
    </row>
    <row r="225" spans="1:28" x14ac:dyDescent="0.25">
      <c r="A225">
        <v>5080</v>
      </c>
      <c r="B225">
        <v>18650</v>
      </c>
      <c r="C225" s="1">
        <v>42803</v>
      </c>
      <c r="F225" s="43"/>
      <c r="G225">
        <v>11.5</v>
      </c>
      <c r="H225">
        <v>8.1999999999999993</v>
      </c>
      <c r="I225">
        <v>15</v>
      </c>
      <c r="J225">
        <f t="shared" si="23"/>
        <v>1631.6999999999998</v>
      </c>
      <c r="K225">
        <f t="shared" si="28"/>
        <v>391.59999999999997</v>
      </c>
      <c r="M225">
        <v>0</v>
      </c>
      <c r="N225">
        <v>2.1</v>
      </c>
      <c r="O225">
        <f t="shared" si="20"/>
        <v>-2.1</v>
      </c>
      <c r="P225">
        <f t="shared" si="24"/>
        <v>85.299999999999969</v>
      </c>
      <c r="Q225">
        <v>171</v>
      </c>
      <c r="R225">
        <f t="shared" si="25"/>
        <v>1.1259999999999999</v>
      </c>
      <c r="S225">
        <f t="shared" si="21"/>
        <v>2.3645999999999998</v>
      </c>
      <c r="T225" s="24">
        <f t="shared" si="22"/>
        <v>-2.3645999999999998</v>
      </c>
      <c r="U225" s="24">
        <f t="shared" si="26"/>
        <v>102.44210000000001</v>
      </c>
      <c r="W225">
        <v>1328.4</v>
      </c>
      <c r="Y225">
        <f t="shared" si="27"/>
        <v>118846.39999999994</v>
      </c>
      <c r="Z225">
        <f t="shared" si="29"/>
        <v>32718.100000000006</v>
      </c>
      <c r="AA225">
        <v>11.331665319588275</v>
      </c>
    </row>
    <row r="226" spans="1:28" x14ac:dyDescent="0.25">
      <c r="A226">
        <v>5080</v>
      </c>
      <c r="B226">
        <v>18650</v>
      </c>
      <c r="C226" s="1">
        <v>42804</v>
      </c>
      <c r="F226" s="43"/>
      <c r="G226">
        <v>10.9</v>
      </c>
      <c r="H226">
        <v>4.5999999999999996</v>
      </c>
      <c r="I226">
        <v>15.7</v>
      </c>
      <c r="J226">
        <f t="shared" si="23"/>
        <v>1642.6</v>
      </c>
      <c r="K226">
        <f t="shared" si="28"/>
        <v>402.49999999999994</v>
      </c>
      <c r="M226">
        <v>0</v>
      </c>
      <c r="N226">
        <v>2.4</v>
      </c>
      <c r="O226">
        <f t="shared" si="20"/>
        <v>-2.4</v>
      </c>
      <c r="P226">
        <f t="shared" si="24"/>
        <v>82.899999999999963</v>
      </c>
      <c r="Q226">
        <v>172</v>
      </c>
      <c r="R226">
        <f t="shared" si="25"/>
        <v>1.129</v>
      </c>
      <c r="S226">
        <f t="shared" si="21"/>
        <v>2.7096</v>
      </c>
      <c r="T226" s="24">
        <f t="shared" si="22"/>
        <v>-2.7096</v>
      </c>
      <c r="U226" s="24">
        <f t="shared" si="26"/>
        <v>99.732500000000016</v>
      </c>
      <c r="W226">
        <v>1662.2</v>
      </c>
      <c r="Y226">
        <f t="shared" si="27"/>
        <v>120508.59999999993</v>
      </c>
      <c r="Z226">
        <f t="shared" si="29"/>
        <v>34380.300000000003</v>
      </c>
      <c r="AA226">
        <v>11.382675321899386</v>
      </c>
    </row>
    <row r="227" spans="1:28" x14ac:dyDescent="0.25">
      <c r="A227">
        <v>5080</v>
      </c>
      <c r="B227">
        <v>18650</v>
      </c>
      <c r="C227" s="1">
        <v>42805</v>
      </c>
      <c r="F227" s="43"/>
      <c r="G227">
        <v>12.8</v>
      </c>
      <c r="H227">
        <v>4.7</v>
      </c>
      <c r="I227">
        <v>19.3</v>
      </c>
      <c r="J227">
        <f t="shared" si="23"/>
        <v>1655.3999999999999</v>
      </c>
      <c r="K227">
        <f t="shared" si="28"/>
        <v>415.29999999999995</v>
      </c>
      <c r="M227">
        <v>1.4</v>
      </c>
      <c r="N227">
        <v>3</v>
      </c>
      <c r="O227">
        <f t="shared" si="20"/>
        <v>-1.6</v>
      </c>
      <c r="P227">
        <f t="shared" si="24"/>
        <v>81.299999999999969</v>
      </c>
      <c r="Q227">
        <v>173</v>
      </c>
      <c r="R227">
        <f t="shared" si="25"/>
        <v>1.1319999999999999</v>
      </c>
      <c r="S227">
        <f t="shared" si="21"/>
        <v>3.3959999999999999</v>
      </c>
      <c r="T227" s="24">
        <f t="shared" si="22"/>
        <v>-1.996</v>
      </c>
      <c r="U227" s="24">
        <f t="shared" si="26"/>
        <v>97.736500000000021</v>
      </c>
      <c r="W227">
        <v>1704.9</v>
      </c>
      <c r="Y227">
        <f t="shared" si="27"/>
        <v>122213.49999999993</v>
      </c>
      <c r="Z227">
        <f t="shared" si="29"/>
        <v>36085.200000000004</v>
      </c>
      <c r="AA227">
        <v>11.433782640922706</v>
      </c>
    </row>
    <row r="228" spans="1:28" x14ac:dyDescent="0.25">
      <c r="A228">
        <v>5080</v>
      </c>
      <c r="B228">
        <v>18650</v>
      </c>
      <c r="C228" s="1">
        <v>42806</v>
      </c>
      <c r="F228" s="43"/>
      <c r="G228">
        <v>11</v>
      </c>
      <c r="H228">
        <v>9.6</v>
      </c>
      <c r="I228">
        <v>11.8</v>
      </c>
      <c r="J228">
        <f t="shared" si="23"/>
        <v>1666.3999999999999</v>
      </c>
      <c r="K228">
        <f t="shared" si="28"/>
        <v>426.29999999999995</v>
      </c>
      <c r="M228">
        <v>1.5</v>
      </c>
      <c r="N228">
        <v>1</v>
      </c>
      <c r="O228">
        <f t="shared" si="20"/>
        <v>0.5</v>
      </c>
      <c r="P228">
        <f t="shared" si="24"/>
        <v>81.799999999999969</v>
      </c>
      <c r="Q228">
        <v>174</v>
      </c>
      <c r="R228">
        <f t="shared" si="25"/>
        <v>1.135</v>
      </c>
      <c r="S228">
        <f t="shared" si="21"/>
        <v>1.135</v>
      </c>
      <c r="T228" s="24">
        <f t="shared" si="22"/>
        <v>0.36499999999999999</v>
      </c>
      <c r="U228" s="24">
        <f t="shared" si="26"/>
        <v>98.101500000000016</v>
      </c>
      <c r="W228">
        <v>295.60000000000002</v>
      </c>
      <c r="Y228">
        <f t="shared" si="27"/>
        <v>122509.09999999993</v>
      </c>
      <c r="Z228">
        <f t="shared" si="29"/>
        <v>36380.800000000003</v>
      </c>
      <c r="AA228">
        <v>11.484978655771583</v>
      </c>
    </row>
    <row r="229" spans="1:28" x14ac:dyDescent="0.25">
      <c r="A229">
        <v>5080</v>
      </c>
      <c r="B229">
        <v>18650</v>
      </c>
      <c r="C229" s="1">
        <v>42807</v>
      </c>
      <c r="F229" s="43"/>
      <c r="G229">
        <v>10.4</v>
      </c>
      <c r="H229">
        <v>9.3000000000000007</v>
      </c>
      <c r="I229">
        <v>12</v>
      </c>
      <c r="J229">
        <f t="shared" si="23"/>
        <v>1676.8</v>
      </c>
      <c r="K229">
        <f t="shared" si="28"/>
        <v>436.69999999999993</v>
      </c>
      <c r="M229">
        <v>0.2</v>
      </c>
      <c r="N229">
        <v>0.8</v>
      </c>
      <c r="O229">
        <f t="shared" si="20"/>
        <v>-0.60000000000000009</v>
      </c>
      <c r="P229">
        <f t="shared" si="24"/>
        <v>81.199999999999974</v>
      </c>
      <c r="Q229">
        <v>175</v>
      </c>
      <c r="R229">
        <f t="shared" si="25"/>
        <v>1.1379999999999999</v>
      </c>
      <c r="S229">
        <f t="shared" si="21"/>
        <v>0.91039999999999999</v>
      </c>
      <c r="T229" s="24">
        <f t="shared" si="22"/>
        <v>-0.71039999999999992</v>
      </c>
      <c r="U229" s="24">
        <f t="shared" si="26"/>
        <v>97.391100000000023</v>
      </c>
      <c r="W229">
        <v>433.6</v>
      </c>
      <c r="Y229">
        <f t="shared" si="27"/>
        <v>122942.69999999994</v>
      </c>
      <c r="Z229">
        <f t="shared" si="29"/>
        <v>36814.400000000001</v>
      </c>
      <c r="AA229">
        <v>11.536254877863536</v>
      </c>
    </row>
    <row r="230" spans="1:28" x14ac:dyDescent="0.25">
      <c r="A230">
        <v>5080</v>
      </c>
      <c r="B230">
        <v>18650</v>
      </c>
      <c r="C230" s="1">
        <v>42808</v>
      </c>
      <c r="F230" s="43"/>
      <c r="G230">
        <v>11.1</v>
      </c>
      <c r="H230">
        <v>8.1999999999999993</v>
      </c>
      <c r="I230">
        <v>13.9</v>
      </c>
      <c r="J230">
        <f t="shared" si="23"/>
        <v>1687.8999999999999</v>
      </c>
      <c r="K230">
        <f t="shared" si="28"/>
        <v>447.79999999999995</v>
      </c>
      <c r="M230">
        <v>0.1</v>
      </c>
      <c r="N230">
        <v>1.6</v>
      </c>
      <c r="O230">
        <f t="shared" si="20"/>
        <v>-1.5</v>
      </c>
      <c r="P230">
        <f t="shared" si="24"/>
        <v>79.699999999999974</v>
      </c>
      <c r="Q230">
        <v>176</v>
      </c>
      <c r="R230">
        <f t="shared" si="25"/>
        <v>1.141</v>
      </c>
      <c r="S230">
        <f t="shared" si="21"/>
        <v>1.8256000000000001</v>
      </c>
      <c r="T230" s="24">
        <f t="shared" si="22"/>
        <v>-1.7256</v>
      </c>
      <c r="U230" s="24">
        <f t="shared" si="26"/>
        <v>95.665500000000023</v>
      </c>
      <c r="W230">
        <v>1225.8</v>
      </c>
      <c r="Y230">
        <f t="shared" si="27"/>
        <v>124168.49999999994</v>
      </c>
      <c r="Z230">
        <f t="shared" si="29"/>
        <v>38040.200000000004</v>
      </c>
      <c r="AA230">
        <v>11.587602939373536</v>
      </c>
    </row>
    <row r="231" spans="1:28" x14ac:dyDescent="0.25">
      <c r="A231">
        <v>5080</v>
      </c>
      <c r="B231">
        <v>18650</v>
      </c>
      <c r="C231" s="1">
        <v>42809</v>
      </c>
      <c r="F231" s="43"/>
      <c r="G231">
        <v>9.5</v>
      </c>
      <c r="H231">
        <v>4.2</v>
      </c>
      <c r="I231">
        <v>14.1</v>
      </c>
      <c r="J231">
        <f t="shared" si="23"/>
        <v>1697.3999999999999</v>
      </c>
      <c r="K231">
        <f t="shared" si="28"/>
        <v>457.29999999999995</v>
      </c>
      <c r="M231">
        <v>0.1</v>
      </c>
      <c r="N231">
        <v>1.6</v>
      </c>
      <c r="O231">
        <f t="shared" si="20"/>
        <v>-1.5</v>
      </c>
      <c r="P231">
        <f t="shared" si="24"/>
        <v>78.199999999999974</v>
      </c>
      <c r="Q231">
        <v>177</v>
      </c>
      <c r="R231">
        <f t="shared" si="25"/>
        <v>1.1439999999999999</v>
      </c>
      <c r="S231">
        <f t="shared" si="21"/>
        <v>1.8304</v>
      </c>
      <c r="T231" s="24">
        <f t="shared" si="22"/>
        <v>-1.7303999999999999</v>
      </c>
      <c r="U231" s="24">
        <f t="shared" si="26"/>
        <v>93.93510000000002</v>
      </c>
      <c r="W231">
        <v>1356.8</v>
      </c>
      <c r="Y231">
        <f t="shared" si="27"/>
        <v>125525.29999999994</v>
      </c>
      <c r="Z231">
        <f t="shared" si="29"/>
        <v>39397.000000000007</v>
      </c>
      <c r="AA231">
        <v>11.639014581545048</v>
      </c>
    </row>
    <row r="232" spans="1:28" x14ac:dyDescent="0.25">
      <c r="A232">
        <v>5080</v>
      </c>
      <c r="B232">
        <v>18650</v>
      </c>
      <c r="C232" s="1">
        <v>42810</v>
      </c>
      <c r="F232" s="43"/>
      <c r="G232">
        <v>12.3</v>
      </c>
      <c r="H232">
        <v>4.5999999999999996</v>
      </c>
      <c r="I232">
        <v>18.2</v>
      </c>
      <c r="J232">
        <f t="shared" si="23"/>
        <v>1709.6999999999998</v>
      </c>
      <c r="K232">
        <f t="shared" si="28"/>
        <v>469.59999999999997</v>
      </c>
      <c r="M232">
        <v>0</v>
      </c>
      <c r="N232">
        <v>3.2</v>
      </c>
      <c r="O232">
        <f t="shared" si="20"/>
        <v>-3.2</v>
      </c>
      <c r="P232">
        <f t="shared" si="24"/>
        <v>74.999999999999972</v>
      </c>
      <c r="Q232">
        <v>178</v>
      </c>
      <c r="R232">
        <f t="shared" si="25"/>
        <v>1.1469999999999998</v>
      </c>
      <c r="S232">
        <f t="shared" si="21"/>
        <v>3.6703999999999994</v>
      </c>
      <c r="T232" s="24">
        <f t="shared" si="22"/>
        <v>-3.6703999999999994</v>
      </c>
      <c r="U232" s="24">
        <f t="shared" si="26"/>
        <v>90.264700000000019</v>
      </c>
      <c r="W232">
        <v>1923.5</v>
      </c>
      <c r="Y232">
        <f t="shared" si="27"/>
        <v>127448.79999999994</v>
      </c>
      <c r="Z232">
        <f t="shared" si="29"/>
        <v>41320.500000000007</v>
      </c>
      <c r="AA232">
        <v>11.690481642875456</v>
      </c>
    </row>
    <row r="233" spans="1:28" s="25" customFormat="1" ht="15.75" thickBot="1" x14ac:dyDescent="0.3">
      <c r="A233" s="25">
        <v>5080</v>
      </c>
      <c r="B233" s="25">
        <v>18650</v>
      </c>
      <c r="C233" s="26">
        <v>42811</v>
      </c>
      <c r="F233" s="43"/>
      <c r="G233" s="25">
        <v>12.4</v>
      </c>
      <c r="H233" s="25">
        <v>6.1</v>
      </c>
      <c r="I233" s="25">
        <v>17.7</v>
      </c>
      <c r="J233" s="25">
        <f t="shared" si="23"/>
        <v>1722.1</v>
      </c>
      <c r="K233" s="25">
        <f t="shared" si="28"/>
        <v>481.99999999999994</v>
      </c>
      <c r="L233" s="27"/>
      <c r="M233" s="25">
        <v>0</v>
      </c>
      <c r="N233" s="25">
        <v>3</v>
      </c>
      <c r="O233" s="25">
        <f t="shared" si="20"/>
        <v>-3</v>
      </c>
      <c r="P233" s="25">
        <f t="shared" si="24"/>
        <v>71.999999999999972</v>
      </c>
      <c r="Q233" s="25">
        <v>179</v>
      </c>
      <c r="R233">
        <f t="shared" si="25"/>
        <v>1.1499999999999999</v>
      </c>
      <c r="S233" s="25">
        <f t="shared" si="21"/>
        <v>3.4499999999999997</v>
      </c>
      <c r="T233" s="24">
        <f t="shared" si="22"/>
        <v>-3.4499999999999997</v>
      </c>
      <c r="U233" s="24">
        <f t="shared" si="26"/>
        <v>86.814700000000016</v>
      </c>
      <c r="V233" s="27"/>
      <c r="W233" s="25">
        <v>1891.4</v>
      </c>
      <c r="Y233" s="25">
        <f t="shared" si="27"/>
        <v>129340.19999999994</v>
      </c>
      <c r="Z233" s="25">
        <f t="shared" si="29"/>
        <v>43211.900000000009</v>
      </c>
      <c r="AA233" s="25">
        <v>11.741996047191778</v>
      </c>
    </row>
    <row r="234" spans="1:28" x14ac:dyDescent="0.25">
      <c r="A234">
        <v>5080</v>
      </c>
      <c r="B234">
        <v>18650</v>
      </c>
      <c r="C234" s="1">
        <v>42812</v>
      </c>
      <c r="D234" t="s">
        <v>9</v>
      </c>
      <c r="F234" s="44" t="s">
        <v>51</v>
      </c>
      <c r="G234">
        <v>10.4</v>
      </c>
      <c r="H234">
        <v>9.1</v>
      </c>
      <c r="I234">
        <v>11.7</v>
      </c>
      <c r="J234">
        <f t="shared" si="23"/>
        <v>1732.5</v>
      </c>
      <c r="K234">
        <v>10.4</v>
      </c>
      <c r="L234" s="20" t="s">
        <v>34</v>
      </c>
      <c r="M234">
        <v>0</v>
      </c>
      <c r="N234">
        <v>1.5</v>
      </c>
      <c r="O234">
        <f t="shared" si="20"/>
        <v>-1.5</v>
      </c>
      <c r="P234">
        <f t="shared" si="24"/>
        <v>70.499999999999972</v>
      </c>
      <c r="Q234">
        <v>180</v>
      </c>
      <c r="R234">
        <v>1.1499999999999999</v>
      </c>
      <c r="S234">
        <f t="shared" si="21"/>
        <v>1.7249999999999999</v>
      </c>
      <c r="T234" s="24">
        <f t="shared" si="22"/>
        <v>-1.7249999999999999</v>
      </c>
      <c r="U234" s="24">
        <f t="shared" si="26"/>
        <v>85.089700000000022</v>
      </c>
      <c r="V234" s="14" t="s">
        <v>41</v>
      </c>
      <c r="W234">
        <v>640.79999999999995</v>
      </c>
      <c r="Y234">
        <f t="shared" si="27"/>
        <v>129980.99999999994</v>
      </c>
      <c r="Z234">
        <f>W234</f>
        <v>640.79999999999995</v>
      </c>
      <c r="AA234">
        <v>11.793549791631829</v>
      </c>
      <c r="AB234" s="14" t="s">
        <v>46</v>
      </c>
    </row>
    <row r="235" spans="1:28" x14ac:dyDescent="0.25">
      <c r="A235">
        <v>5080</v>
      </c>
      <c r="B235">
        <v>18650</v>
      </c>
      <c r="C235" s="1">
        <v>42813</v>
      </c>
      <c r="F235" s="44"/>
      <c r="G235">
        <v>10.5</v>
      </c>
      <c r="H235">
        <v>5</v>
      </c>
      <c r="I235">
        <v>14</v>
      </c>
      <c r="J235">
        <f t="shared" si="23"/>
        <v>1743</v>
      </c>
      <c r="K235">
        <f t="shared" si="28"/>
        <v>20.9</v>
      </c>
      <c r="L235" s="8">
        <v>237.7</v>
      </c>
      <c r="M235">
        <v>0</v>
      </c>
      <c r="N235">
        <v>2</v>
      </c>
      <c r="O235">
        <f t="shared" si="20"/>
        <v>-2</v>
      </c>
      <c r="P235">
        <f t="shared" si="24"/>
        <v>68.499999999999972</v>
      </c>
      <c r="Q235">
        <v>181</v>
      </c>
      <c r="R235">
        <v>1.1499999999999999</v>
      </c>
      <c r="S235">
        <f t="shared" si="21"/>
        <v>2.2999999999999998</v>
      </c>
      <c r="T235" s="24">
        <f t="shared" si="22"/>
        <v>-2.2999999999999998</v>
      </c>
      <c r="U235" s="24">
        <f t="shared" si="26"/>
        <v>82.789700000000025</v>
      </c>
      <c r="V235">
        <v>0</v>
      </c>
      <c r="W235">
        <v>1483.4</v>
      </c>
      <c r="Y235">
        <f t="shared" si="27"/>
        <v>131464.39999999994</v>
      </c>
      <c r="Z235">
        <f t="shared" si="29"/>
        <v>2124.1999999999998</v>
      </c>
      <c r="AA235">
        <v>11.845134934545476</v>
      </c>
      <c r="AB235">
        <v>27454.6</v>
      </c>
    </row>
    <row r="236" spans="1:28" s="36" customFormat="1" x14ac:dyDescent="0.25">
      <c r="A236" s="36">
        <v>5080</v>
      </c>
      <c r="B236" s="36">
        <v>18650</v>
      </c>
      <c r="C236" s="37">
        <v>42814</v>
      </c>
      <c r="F236" s="44"/>
      <c r="G236" s="36">
        <v>10.9</v>
      </c>
      <c r="H236" s="36">
        <v>8.8000000000000007</v>
      </c>
      <c r="I236" s="36">
        <v>13.2</v>
      </c>
      <c r="J236" s="36">
        <f t="shared" si="23"/>
        <v>1753.9</v>
      </c>
      <c r="K236">
        <f t="shared" si="28"/>
        <v>31.799999999999997</v>
      </c>
      <c r="L236" s="20" t="s">
        <v>35</v>
      </c>
      <c r="M236" s="36">
        <v>0</v>
      </c>
      <c r="N236" s="36">
        <v>1.1000000000000001</v>
      </c>
      <c r="O236" s="36">
        <f t="shared" si="20"/>
        <v>-1.1000000000000001</v>
      </c>
      <c r="P236" s="36">
        <f t="shared" si="24"/>
        <v>67.399999999999977</v>
      </c>
      <c r="Q236" s="36">
        <v>182</v>
      </c>
      <c r="R236" s="36">
        <f t="shared" ref="R236" si="30">1+((Q236-129)/53)*(1.15-1)</f>
        <v>1.1499999999999999</v>
      </c>
      <c r="S236" s="36">
        <f t="shared" si="21"/>
        <v>1.2649999999999999</v>
      </c>
      <c r="T236" s="24">
        <f t="shared" si="22"/>
        <v>-1.2649999999999999</v>
      </c>
      <c r="U236" s="24">
        <f t="shared" si="26"/>
        <v>81.524700000000024</v>
      </c>
      <c r="V236" s="14" t="s">
        <v>42</v>
      </c>
      <c r="W236" s="36">
        <v>506.8</v>
      </c>
      <c r="Y236" s="36">
        <f t="shared" si="27"/>
        <v>131971.19999999992</v>
      </c>
      <c r="Z236">
        <f t="shared" si="29"/>
        <v>2631</v>
      </c>
      <c r="AA236" s="36">
        <v>11.896743583330077</v>
      </c>
      <c r="AB236" s="14" t="s">
        <v>47</v>
      </c>
    </row>
    <row r="237" spans="1:28" ht="15" customHeight="1" x14ac:dyDescent="0.25">
      <c r="A237">
        <v>5080</v>
      </c>
      <c r="B237">
        <v>18650</v>
      </c>
      <c r="C237" s="1">
        <v>42815</v>
      </c>
      <c r="F237" s="44"/>
      <c r="G237">
        <v>9.3000000000000007</v>
      </c>
      <c r="H237">
        <v>8.1999999999999993</v>
      </c>
      <c r="I237">
        <v>12.7</v>
      </c>
      <c r="J237">
        <f t="shared" si="23"/>
        <v>1763.2</v>
      </c>
      <c r="K237">
        <f t="shared" si="28"/>
        <v>41.099999999999994</v>
      </c>
      <c r="L237" s="21">
        <f>AVERAGE(G234:G254)</f>
        <v>11.319047619047618</v>
      </c>
      <c r="M237">
        <v>0.6</v>
      </c>
      <c r="N237">
        <v>1.7</v>
      </c>
      <c r="O237">
        <f t="shared" si="20"/>
        <v>-1.1000000000000001</v>
      </c>
      <c r="P237">
        <f t="shared" si="24"/>
        <v>66.299999999999983</v>
      </c>
      <c r="Q237">
        <v>183</v>
      </c>
      <c r="R237">
        <v>1.1499999999999999</v>
      </c>
      <c r="S237">
        <f t="shared" si="21"/>
        <v>1.9549999999999998</v>
      </c>
      <c r="T237" s="24">
        <f t="shared" si="22"/>
        <v>-1.355</v>
      </c>
      <c r="U237" s="24">
        <f t="shared" si="26"/>
        <v>80.16970000000002</v>
      </c>
      <c r="V237">
        <v>0</v>
      </c>
      <c r="W237">
        <v>674.8</v>
      </c>
      <c r="Y237">
        <f t="shared" si="27"/>
        <v>132645.99999999991</v>
      </c>
      <c r="Z237">
        <f t="shared" si="29"/>
        <v>3305.8</v>
      </c>
      <c r="AA237">
        <v>11.948367882213777</v>
      </c>
      <c r="AB237" s="24">
        <f>(AB235/100)/L235</f>
        <v>1.155010517458982</v>
      </c>
    </row>
    <row r="238" spans="1:28" x14ac:dyDescent="0.25">
      <c r="A238">
        <v>5080</v>
      </c>
      <c r="B238">
        <v>18650</v>
      </c>
      <c r="C238" s="1">
        <v>42816</v>
      </c>
      <c r="F238" s="44"/>
      <c r="G238">
        <v>9.1</v>
      </c>
      <c r="H238">
        <v>4.5999999999999996</v>
      </c>
      <c r="I238">
        <v>13.4</v>
      </c>
      <c r="J238">
        <f t="shared" si="23"/>
        <v>1772.3</v>
      </c>
      <c r="K238">
        <f t="shared" si="28"/>
        <v>50.199999999999996</v>
      </c>
      <c r="L238" s="20" t="s">
        <v>36</v>
      </c>
      <c r="M238">
        <v>4.2</v>
      </c>
      <c r="N238">
        <v>2</v>
      </c>
      <c r="O238">
        <f t="shared" si="20"/>
        <v>2.2000000000000002</v>
      </c>
      <c r="P238">
        <f t="shared" si="24"/>
        <v>68.499999999999986</v>
      </c>
      <c r="Q238">
        <v>184</v>
      </c>
      <c r="R238">
        <v>1.1499999999999999</v>
      </c>
      <c r="S238">
        <f t="shared" si="21"/>
        <v>2.2999999999999998</v>
      </c>
      <c r="T238" s="24">
        <f t="shared" si="22"/>
        <v>1.9000000000000004</v>
      </c>
      <c r="U238" s="24">
        <f t="shared" si="26"/>
        <v>82.069700000000026</v>
      </c>
      <c r="V238" s="14" t="s">
        <v>43</v>
      </c>
      <c r="W238">
        <v>1535.4</v>
      </c>
      <c r="Y238">
        <f t="shared" si="27"/>
        <v>134181.39999999991</v>
      </c>
      <c r="Z238">
        <f t="shared" si="29"/>
        <v>4841.2000000000007</v>
      </c>
      <c r="AA238">
        <v>12</v>
      </c>
      <c r="AB238" s="14" t="s">
        <v>48</v>
      </c>
    </row>
    <row r="239" spans="1:28" x14ac:dyDescent="0.25">
      <c r="A239">
        <v>5080</v>
      </c>
      <c r="B239">
        <v>18650</v>
      </c>
      <c r="C239" s="1">
        <v>42817</v>
      </c>
      <c r="F239" s="44"/>
      <c r="G239">
        <v>7.7</v>
      </c>
      <c r="H239">
        <v>5</v>
      </c>
      <c r="I239">
        <v>11.2</v>
      </c>
      <c r="J239">
        <f t="shared" si="23"/>
        <v>1780</v>
      </c>
      <c r="K239">
        <f t="shared" si="28"/>
        <v>57.9</v>
      </c>
      <c r="L239" s="12">
        <f>MIN(H234:H254)</f>
        <v>3.3</v>
      </c>
      <c r="M239">
        <v>1.7</v>
      </c>
      <c r="N239">
        <v>1.6</v>
      </c>
      <c r="O239">
        <f t="shared" si="20"/>
        <v>9.9999999999999867E-2</v>
      </c>
      <c r="P239">
        <f t="shared" si="24"/>
        <v>68.59999999999998</v>
      </c>
      <c r="Q239">
        <v>185</v>
      </c>
      <c r="R239">
        <v>1.1499999999999999</v>
      </c>
      <c r="S239">
        <f t="shared" si="21"/>
        <v>1.8399999999999999</v>
      </c>
      <c r="T239" s="24">
        <f t="shared" si="22"/>
        <v>-0.1399999999999999</v>
      </c>
      <c r="U239" s="24">
        <f t="shared" si="26"/>
        <v>81.929700000000025</v>
      </c>
      <c r="V239" s="24">
        <f>MIN(U234:U254)</f>
        <v>69.099700000000041</v>
      </c>
      <c r="W239">
        <v>1065.3</v>
      </c>
      <c r="Y239">
        <f t="shared" si="27"/>
        <v>135246.6999999999</v>
      </c>
      <c r="Z239">
        <f t="shared" si="29"/>
        <v>5906.5000000000009</v>
      </c>
      <c r="AA239">
        <v>12.051632117786223</v>
      </c>
      <c r="AB239">
        <v>6</v>
      </c>
    </row>
    <row r="240" spans="1:28" x14ac:dyDescent="0.25">
      <c r="A240">
        <v>5080</v>
      </c>
      <c r="B240">
        <v>18650</v>
      </c>
      <c r="C240" s="1">
        <v>42818</v>
      </c>
      <c r="F240" s="44"/>
      <c r="G240">
        <v>6.6</v>
      </c>
      <c r="H240">
        <v>3.3</v>
      </c>
      <c r="I240">
        <v>10.199999999999999</v>
      </c>
      <c r="J240">
        <f t="shared" si="23"/>
        <v>1786.6</v>
      </c>
      <c r="K240">
        <f t="shared" si="28"/>
        <v>64.5</v>
      </c>
      <c r="L240" s="20" t="s">
        <v>37</v>
      </c>
      <c r="M240">
        <v>9.1</v>
      </c>
      <c r="N240">
        <v>0.8</v>
      </c>
      <c r="O240">
        <f t="shared" si="20"/>
        <v>8.2999999999999989</v>
      </c>
      <c r="P240">
        <f t="shared" si="24"/>
        <v>76.899999999999977</v>
      </c>
      <c r="Q240">
        <v>186</v>
      </c>
      <c r="R240">
        <v>1.1499999999999999</v>
      </c>
      <c r="S240">
        <f t="shared" si="21"/>
        <v>0.91999999999999993</v>
      </c>
      <c r="T240" s="24">
        <f t="shared" si="22"/>
        <v>8.18</v>
      </c>
      <c r="U240" s="24">
        <f t="shared" si="26"/>
        <v>90.109700000000032</v>
      </c>
      <c r="V240" s="14" t="s">
        <v>44</v>
      </c>
      <c r="W240">
        <v>681</v>
      </c>
      <c r="Y240">
        <f t="shared" si="27"/>
        <v>135927.6999999999</v>
      </c>
      <c r="Z240">
        <f t="shared" si="29"/>
        <v>6587.5000000000009</v>
      </c>
      <c r="AA240">
        <v>12.103256416669922</v>
      </c>
    </row>
    <row r="241" spans="1:28" x14ac:dyDescent="0.25">
      <c r="A241">
        <v>5080</v>
      </c>
      <c r="B241">
        <v>18650</v>
      </c>
      <c r="C241" s="1">
        <v>42819</v>
      </c>
      <c r="F241" s="44"/>
      <c r="G241">
        <v>8.4</v>
      </c>
      <c r="H241">
        <v>5.6</v>
      </c>
      <c r="I241">
        <v>12.9</v>
      </c>
      <c r="J241">
        <f t="shared" si="23"/>
        <v>1795</v>
      </c>
      <c r="K241">
        <f t="shared" si="28"/>
        <v>72.900000000000006</v>
      </c>
      <c r="L241" s="8">
        <f>MAX(I234:I254)</f>
        <v>21.8</v>
      </c>
      <c r="M241">
        <v>1.8</v>
      </c>
      <c r="N241">
        <v>1.4</v>
      </c>
      <c r="O241">
        <f t="shared" si="20"/>
        <v>0.40000000000000013</v>
      </c>
      <c r="P241">
        <f t="shared" si="24"/>
        <v>77.299999999999983</v>
      </c>
      <c r="Q241">
        <v>187</v>
      </c>
      <c r="R241">
        <v>1.1499999999999999</v>
      </c>
      <c r="S241">
        <f t="shared" si="21"/>
        <v>1.6099999999999999</v>
      </c>
      <c r="T241" s="24">
        <f t="shared" si="22"/>
        <v>0.19000000000000017</v>
      </c>
      <c r="U241" s="24">
        <f t="shared" si="26"/>
        <v>90.29970000000003</v>
      </c>
      <c r="V241" s="24">
        <f>MAX(U234:U254)</f>
        <v>90.29970000000003</v>
      </c>
      <c r="W241">
        <v>792.5</v>
      </c>
      <c r="Y241">
        <f t="shared" si="27"/>
        <v>136720.1999999999</v>
      </c>
      <c r="Z241">
        <f t="shared" si="29"/>
        <v>7380.0000000000009</v>
      </c>
      <c r="AA241">
        <v>12.154865065454523</v>
      </c>
    </row>
    <row r="242" spans="1:28" x14ac:dyDescent="0.25">
      <c r="A242">
        <v>5080</v>
      </c>
      <c r="B242">
        <v>18650</v>
      </c>
      <c r="C242" s="1">
        <v>42820</v>
      </c>
      <c r="F242" s="44"/>
      <c r="G242">
        <v>11.2</v>
      </c>
      <c r="H242">
        <v>4.9000000000000004</v>
      </c>
      <c r="I242">
        <v>16.5</v>
      </c>
      <c r="J242">
        <f t="shared" si="23"/>
        <v>1806.2</v>
      </c>
      <c r="K242">
        <f t="shared" si="28"/>
        <v>84.100000000000009</v>
      </c>
      <c r="L242" s="20" t="s">
        <v>38</v>
      </c>
      <c r="M242">
        <v>0</v>
      </c>
      <c r="N242">
        <v>2.6</v>
      </c>
      <c r="O242">
        <f t="shared" si="20"/>
        <v>-2.6</v>
      </c>
      <c r="P242">
        <f t="shared" si="24"/>
        <v>74.699999999999989</v>
      </c>
      <c r="Q242">
        <v>188</v>
      </c>
      <c r="R242">
        <v>1.1499999999999999</v>
      </c>
      <c r="S242">
        <f t="shared" si="21"/>
        <v>2.9899999999999998</v>
      </c>
      <c r="T242" s="24">
        <f t="shared" si="22"/>
        <v>-2.9899999999999998</v>
      </c>
      <c r="U242" s="24">
        <f t="shared" si="26"/>
        <v>87.309700000000035</v>
      </c>
      <c r="V242" s="14" t="s">
        <v>45</v>
      </c>
      <c r="W242">
        <v>1745.2</v>
      </c>
      <c r="Y242">
        <f t="shared" si="27"/>
        <v>138465.39999999991</v>
      </c>
      <c r="Z242">
        <f t="shared" si="29"/>
        <v>9125.2000000000007</v>
      </c>
      <c r="AA242">
        <v>12.206450208368171</v>
      </c>
    </row>
    <row r="243" spans="1:28" x14ac:dyDescent="0.25">
      <c r="A243">
        <v>5080</v>
      </c>
      <c r="B243">
        <v>18650</v>
      </c>
      <c r="C243" s="1">
        <v>42821</v>
      </c>
      <c r="F243" s="44"/>
      <c r="G243">
        <v>12.4</v>
      </c>
      <c r="H243">
        <v>8.4</v>
      </c>
      <c r="I243">
        <v>16.100000000000001</v>
      </c>
      <c r="J243">
        <f t="shared" si="23"/>
        <v>1818.6000000000001</v>
      </c>
      <c r="K243">
        <f t="shared" si="28"/>
        <v>96.500000000000014</v>
      </c>
      <c r="L243" s="8">
        <v>0</v>
      </c>
      <c r="M243">
        <v>0</v>
      </c>
      <c r="N243">
        <v>2.4</v>
      </c>
      <c r="O243">
        <f t="shared" si="20"/>
        <v>-2.4</v>
      </c>
      <c r="P243">
        <f t="shared" si="24"/>
        <v>72.299999999999983</v>
      </c>
      <c r="Q243">
        <v>189</v>
      </c>
      <c r="R243">
        <v>1.1499999999999999</v>
      </c>
      <c r="S243">
        <f t="shared" si="21"/>
        <v>2.76</v>
      </c>
      <c r="T243" s="24">
        <f t="shared" si="22"/>
        <v>-2.76</v>
      </c>
      <c r="U243" s="24">
        <f t="shared" si="26"/>
        <v>84.54970000000003</v>
      </c>
      <c r="V243" s="21">
        <f>AVERAGE(U234:U254)</f>
        <v>81.791366666666704</v>
      </c>
      <c r="W243">
        <v>1402.5</v>
      </c>
      <c r="Y243">
        <f t="shared" si="27"/>
        <v>139867.89999999991</v>
      </c>
      <c r="Z243">
        <f t="shared" si="29"/>
        <v>10527.7</v>
      </c>
      <c r="AA243">
        <v>12.258003952808222</v>
      </c>
    </row>
    <row r="244" spans="1:28" x14ac:dyDescent="0.25">
      <c r="A244">
        <v>5080</v>
      </c>
      <c r="B244">
        <v>18650</v>
      </c>
      <c r="C244" s="1">
        <v>42822</v>
      </c>
      <c r="F244" s="44"/>
      <c r="G244">
        <v>13.6</v>
      </c>
      <c r="H244">
        <v>8.1</v>
      </c>
      <c r="I244">
        <v>18.3</v>
      </c>
      <c r="J244">
        <f t="shared" si="23"/>
        <v>1832.2</v>
      </c>
      <c r="K244">
        <f t="shared" si="28"/>
        <v>110.10000000000001</v>
      </c>
      <c r="L244" s="20" t="s">
        <v>39</v>
      </c>
      <c r="M244">
        <v>0.2</v>
      </c>
      <c r="N244">
        <v>2.7</v>
      </c>
      <c r="O244">
        <f t="shared" si="20"/>
        <v>-2.5</v>
      </c>
      <c r="P244">
        <f t="shared" si="24"/>
        <v>69.799999999999983</v>
      </c>
      <c r="Q244">
        <v>190</v>
      </c>
      <c r="R244">
        <v>1.1499999999999999</v>
      </c>
      <c r="S244">
        <f t="shared" si="21"/>
        <v>3.105</v>
      </c>
      <c r="T244" s="24">
        <f t="shared" si="22"/>
        <v>-2.9049999999999998</v>
      </c>
      <c r="U244" s="24">
        <f t="shared" si="26"/>
        <v>81.644700000000029</v>
      </c>
      <c r="W244">
        <v>1528.2</v>
      </c>
      <c r="Y244">
        <f t="shared" si="27"/>
        <v>141396.09999999992</v>
      </c>
      <c r="Z244">
        <f t="shared" si="29"/>
        <v>12055.900000000001</v>
      </c>
      <c r="AA244">
        <v>12.309518357124544</v>
      </c>
    </row>
    <row r="245" spans="1:28" x14ac:dyDescent="0.25">
      <c r="A245">
        <v>5080</v>
      </c>
      <c r="B245">
        <v>18650</v>
      </c>
      <c r="C245" s="1">
        <v>42823</v>
      </c>
      <c r="F245" s="44"/>
      <c r="G245">
        <v>14.1</v>
      </c>
      <c r="H245">
        <v>7.3</v>
      </c>
      <c r="I245">
        <v>20.100000000000001</v>
      </c>
      <c r="J245">
        <f t="shared" si="23"/>
        <v>1846.3</v>
      </c>
      <c r="K245">
        <f t="shared" si="28"/>
        <v>124.2</v>
      </c>
      <c r="L245" s="8">
        <v>6</v>
      </c>
      <c r="M245">
        <v>0</v>
      </c>
      <c r="N245">
        <v>3.4</v>
      </c>
      <c r="O245">
        <f t="shared" si="20"/>
        <v>-3.4</v>
      </c>
      <c r="P245">
        <f t="shared" si="24"/>
        <v>66.399999999999977</v>
      </c>
      <c r="Q245">
        <v>191</v>
      </c>
      <c r="R245">
        <v>1.1499999999999999</v>
      </c>
      <c r="S245">
        <f t="shared" si="21"/>
        <v>3.9099999999999997</v>
      </c>
      <c r="T245" s="24">
        <f t="shared" si="22"/>
        <v>-3.9099999999999997</v>
      </c>
      <c r="U245" s="24">
        <f t="shared" si="26"/>
        <v>77.734700000000032</v>
      </c>
      <c r="V245" s="8">
        <f>(V243*100)/155.7</f>
        <v>52.531385142367832</v>
      </c>
      <c r="W245">
        <v>1902.7</v>
      </c>
      <c r="Y245">
        <f t="shared" si="27"/>
        <v>143298.79999999993</v>
      </c>
      <c r="Z245">
        <f t="shared" si="29"/>
        <v>13958.600000000002</v>
      </c>
      <c r="AA245">
        <v>12.360985418454952</v>
      </c>
    </row>
    <row r="246" spans="1:28" x14ac:dyDescent="0.25">
      <c r="A246">
        <v>5080</v>
      </c>
      <c r="B246">
        <v>18650</v>
      </c>
      <c r="C246" s="1">
        <v>42824</v>
      </c>
      <c r="F246" s="44"/>
      <c r="G246">
        <v>15</v>
      </c>
      <c r="H246">
        <v>6.6</v>
      </c>
      <c r="I246">
        <v>21.8</v>
      </c>
      <c r="J246">
        <f t="shared" si="23"/>
        <v>1861.3</v>
      </c>
      <c r="K246">
        <f t="shared" si="28"/>
        <v>139.19999999999999</v>
      </c>
      <c r="L246" s="20" t="s">
        <v>40</v>
      </c>
      <c r="M246">
        <v>0</v>
      </c>
      <c r="N246">
        <v>4.3</v>
      </c>
      <c r="O246">
        <f t="shared" si="20"/>
        <v>-4.3</v>
      </c>
      <c r="P246">
        <f t="shared" si="24"/>
        <v>62.09999999999998</v>
      </c>
      <c r="Q246">
        <v>192</v>
      </c>
      <c r="R246">
        <v>1.1499999999999999</v>
      </c>
      <c r="S246">
        <f t="shared" si="21"/>
        <v>4.9449999999999994</v>
      </c>
      <c r="T246" s="24">
        <f t="shared" si="22"/>
        <v>-4.9449999999999994</v>
      </c>
      <c r="U246" s="24">
        <f t="shared" si="26"/>
        <v>72.789700000000039</v>
      </c>
      <c r="W246">
        <v>2176</v>
      </c>
      <c r="Y246">
        <f t="shared" si="27"/>
        <v>145474.79999999993</v>
      </c>
      <c r="Z246">
        <f t="shared" si="29"/>
        <v>16134.600000000002</v>
      </c>
      <c r="AA246">
        <v>12.412397060626462</v>
      </c>
    </row>
    <row r="247" spans="1:28" x14ac:dyDescent="0.25">
      <c r="A247">
        <v>5080</v>
      </c>
      <c r="B247">
        <v>18650</v>
      </c>
      <c r="C247" s="1">
        <v>42825</v>
      </c>
      <c r="F247" s="44"/>
      <c r="G247">
        <v>13.4</v>
      </c>
      <c r="H247">
        <v>11.1</v>
      </c>
      <c r="I247">
        <v>18.3</v>
      </c>
      <c r="J247">
        <f t="shared" si="23"/>
        <v>1874.7</v>
      </c>
      <c r="K247">
        <f t="shared" si="28"/>
        <v>152.6</v>
      </c>
      <c r="L247" s="18">
        <v>0</v>
      </c>
      <c r="M247">
        <v>16.5</v>
      </c>
      <c r="N247">
        <v>2.8</v>
      </c>
      <c r="O247">
        <f t="shared" si="20"/>
        <v>13.7</v>
      </c>
      <c r="P247">
        <f t="shared" si="24"/>
        <v>75.799999999999983</v>
      </c>
      <c r="Q247">
        <v>193</v>
      </c>
      <c r="R247">
        <v>1.1499999999999999</v>
      </c>
      <c r="S247">
        <f t="shared" si="21"/>
        <v>3.2199999999999998</v>
      </c>
      <c r="T247" s="24">
        <f t="shared" si="22"/>
        <v>13.280000000000001</v>
      </c>
      <c r="U247" s="24">
        <f t="shared" si="26"/>
        <v>86.06970000000004</v>
      </c>
      <c r="W247">
        <v>1301.2</v>
      </c>
      <c r="Y247">
        <f t="shared" si="27"/>
        <v>146775.99999999994</v>
      </c>
      <c r="Z247">
        <f t="shared" si="29"/>
        <v>17435.800000000003</v>
      </c>
      <c r="AA247">
        <v>12.463745122136464</v>
      </c>
    </row>
    <row r="248" spans="1:28" x14ac:dyDescent="0.25">
      <c r="A248">
        <v>5080</v>
      </c>
      <c r="B248">
        <v>18650</v>
      </c>
      <c r="C248" s="1">
        <v>42826</v>
      </c>
      <c r="F248" s="44"/>
      <c r="G248">
        <v>10.8</v>
      </c>
      <c r="H248">
        <v>8.8000000000000007</v>
      </c>
      <c r="I248">
        <v>13.5</v>
      </c>
      <c r="J248">
        <f t="shared" si="23"/>
        <v>1885.5</v>
      </c>
      <c r="K248">
        <f t="shared" si="28"/>
        <v>163.4</v>
      </c>
      <c r="M248">
        <v>2.7</v>
      </c>
      <c r="N248">
        <v>1.4</v>
      </c>
      <c r="O248">
        <f t="shared" ref="O248:O311" si="31">M248-N248</f>
        <v>1.3000000000000003</v>
      </c>
      <c r="P248">
        <f t="shared" si="24"/>
        <v>77.09999999999998</v>
      </c>
      <c r="Q248">
        <v>194</v>
      </c>
      <c r="R248">
        <v>1.1499999999999999</v>
      </c>
      <c r="S248">
        <f t="shared" ref="S248:S311" si="32">R248*N248</f>
        <v>1.6099999999999999</v>
      </c>
      <c r="T248" s="24">
        <f t="shared" ref="T248:T311" si="33">M248-S248</f>
        <v>1.0900000000000003</v>
      </c>
      <c r="U248" s="24">
        <f t="shared" si="26"/>
        <v>87.159700000000043</v>
      </c>
      <c r="W248">
        <v>591.4</v>
      </c>
      <c r="Y248">
        <f t="shared" si="27"/>
        <v>147367.39999999994</v>
      </c>
      <c r="Z248">
        <f t="shared" si="29"/>
        <v>18027.200000000004</v>
      </c>
      <c r="AA248">
        <v>12.515021344228417</v>
      </c>
    </row>
    <row r="249" spans="1:28" x14ac:dyDescent="0.25">
      <c r="A249">
        <v>5080</v>
      </c>
      <c r="B249">
        <v>18650</v>
      </c>
      <c r="C249" s="1">
        <v>42827</v>
      </c>
      <c r="F249" s="44"/>
      <c r="G249">
        <v>11.1</v>
      </c>
      <c r="H249">
        <v>9.1</v>
      </c>
      <c r="I249">
        <v>13.2</v>
      </c>
      <c r="J249">
        <f t="shared" ref="J249:J312" si="34">J248+G249</f>
        <v>1896.6</v>
      </c>
      <c r="K249">
        <f t="shared" si="28"/>
        <v>174.5</v>
      </c>
      <c r="M249">
        <v>0.7</v>
      </c>
      <c r="N249">
        <v>2.1</v>
      </c>
      <c r="O249">
        <f t="shared" si="31"/>
        <v>-1.4000000000000001</v>
      </c>
      <c r="P249">
        <f t="shared" ref="P249:P312" si="35">P248+O249</f>
        <v>75.699999999999974</v>
      </c>
      <c r="Q249">
        <v>195</v>
      </c>
      <c r="R249">
        <v>1.1499999999999999</v>
      </c>
      <c r="S249">
        <f t="shared" si="32"/>
        <v>2.415</v>
      </c>
      <c r="T249" s="24">
        <f t="shared" si="33"/>
        <v>-1.7150000000000001</v>
      </c>
      <c r="U249" s="24">
        <f t="shared" ref="U249:U312" si="36">MIN(U248+T249,155.7)</f>
        <v>85.44470000000004</v>
      </c>
      <c r="W249">
        <v>1069.7</v>
      </c>
      <c r="Y249">
        <f t="shared" ref="Y249:Y312" si="37">Y248+W249</f>
        <v>148437.09999999995</v>
      </c>
      <c r="Z249">
        <f t="shared" si="29"/>
        <v>19096.900000000005</v>
      </c>
      <c r="AA249">
        <v>12.566217359077294</v>
      </c>
    </row>
    <row r="250" spans="1:28" x14ac:dyDescent="0.25">
      <c r="A250">
        <v>5080</v>
      </c>
      <c r="B250">
        <v>18650</v>
      </c>
      <c r="C250" s="1">
        <v>42828</v>
      </c>
      <c r="F250" s="44"/>
      <c r="G250">
        <v>12.9</v>
      </c>
      <c r="H250">
        <v>8.3000000000000007</v>
      </c>
      <c r="I250">
        <v>16.100000000000001</v>
      </c>
      <c r="J250">
        <f t="shared" si="34"/>
        <v>1909.5</v>
      </c>
      <c r="K250">
        <f t="shared" si="28"/>
        <v>187.4</v>
      </c>
      <c r="M250">
        <v>0</v>
      </c>
      <c r="N250">
        <v>2.2999999999999998</v>
      </c>
      <c r="O250">
        <f t="shared" si="31"/>
        <v>-2.2999999999999998</v>
      </c>
      <c r="P250">
        <f t="shared" si="35"/>
        <v>73.399999999999977</v>
      </c>
      <c r="Q250">
        <v>196</v>
      </c>
      <c r="R250">
        <v>1.1499999999999999</v>
      </c>
      <c r="S250">
        <f t="shared" si="32"/>
        <v>2.6449999999999996</v>
      </c>
      <c r="T250" s="24">
        <f t="shared" si="33"/>
        <v>-2.6449999999999996</v>
      </c>
      <c r="U250" s="24">
        <f t="shared" si="36"/>
        <v>82.799700000000044</v>
      </c>
      <c r="W250">
        <v>1474.3</v>
      </c>
      <c r="Y250">
        <f t="shared" si="37"/>
        <v>149911.39999999994</v>
      </c>
      <c r="Z250">
        <f t="shared" si="29"/>
        <v>20571.200000000004</v>
      </c>
      <c r="AA250">
        <v>12.617324678100614</v>
      </c>
    </row>
    <row r="251" spans="1:28" x14ac:dyDescent="0.25">
      <c r="A251">
        <v>5080</v>
      </c>
      <c r="B251">
        <v>18650</v>
      </c>
      <c r="C251" s="1">
        <v>42829</v>
      </c>
      <c r="F251" s="44"/>
      <c r="G251">
        <v>14.2</v>
      </c>
      <c r="H251">
        <v>10.5</v>
      </c>
      <c r="I251">
        <v>18.600000000000001</v>
      </c>
      <c r="J251">
        <f t="shared" si="34"/>
        <v>1923.7</v>
      </c>
      <c r="K251">
        <f t="shared" si="28"/>
        <v>201.6</v>
      </c>
      <c r="M251">
        <v>0.1</v>
      </c>
      <c r="N251">
        <v>3.3</v>
      </c>
      <c r="O251">
        <f t="shared" si="31"/>
        <v>-3.1999999999999997</v>
      </c>
      <c r="P251">
        <f t="shared" si="35"/>
        <v>70.199999999999974</v>
      </c>
      <c r="Q251">
        <v>197</v>
      </c>
      <c r="R251">
        <v>1.1499999999999999</v>
      </c>
      <c r="S251">
        <f t="shared" si="32"/>
        <v>3.7949999999999995</v>
      </c>
      <c r="T251" s="24">
        <f t="shared" si="33"/>
        <v>-3.6949999999999994</v>
      </c>
      <c r="U251" s="24">
        <f t="shared" si="36"/>
        <v>79.104700000000051</v>
      </c>
      <c r="W251">
        <v>1537.4</v>
      </c>
      <c r="Y251">
        <f t="shared" si="37"/>
        <v>151448.79999999993</v>
      </c>
      <c r="Z251">
        <f t="shared" si="29"/>
        <v>22108.600000000006</v>
      </c>
      <c r="AA251">
        <v>12.668334680411723</v>
      </c>
    </row>
    <row r="252" spans="1:28" x14ac:dyDescent="0.25">
      <c r="A252">
        <v>5080</v>
      </c>
      <c r="B252">
        <v>18650</v>
      </c>
      <c r="C252" s="1">
        <v>42830</v>
      </c>
      <c r="F252" s="44"/>
      <c r="G252">
        <v>12.4</v>
      </c>
      <c r="H252">
        <v>9.4</v>
      </c>
      <c r="I252">
        <v>15.7</v>
      </c>
      <c r="J252">
        <f t="shared" si="34"/>
        <v>1936.1000000000001</v>
      </c>
      <c r="K252">
        <f t="shared" si="28"/>
        <v>214</v>
      </c>
      <c r="M252">
        <v>0</v>
      </c>
      <c r="N252">
        <v>2</v>
      </c>
      <c r="O252">
        <f t="shared" si="31"/>
        <v>-2</v>
      </c>
      <c r="P252">
        <f t="shared" si="35"/>
        <v>68.199999999999974</v>
      </c>
      <c r="Q252">
        <v>198</v>
      </c>
      <c r="R252">
        <v>1.1499999999999999</v>
      </c>
      <c r="S252">
        <f t="shared" si="32"/>
        <v>2.2999999999999998</v>
      </c>
      <c r="T252" s="24">
        <f t="shared" si="33"/>
        <v>-2.2999999999999998</v>
      </c>
      <c r="U252" s="24">
        <f t="shared" si="36"/>
        <v>76.804700000000054</v>
      </c>
      <c r="W252">
        <v>1005.3</v>
      </c>
      <c r="Y252">
        <f t="shared" si="37"/>
        <v>152454.09999999992</v>
      </c>
      <c r="Z252">
        <f t="shared" si="29"/>
        <v>23113.900000000005</v>
      </c>
      <c r="AA252">
        <v>12.719238601432741</v>
      </c>
    </row>
    <row r="253" spans="1:28" x14ac:dyDescent="0.25">
      <c r="A253">
        <v>5080</v>
      </c>
      <c r="B253">
        <v>18650</v>
      </c>
      <c r="C253" s="1">
        <v>42831</v>
      </c>
      <c r="F253" s="44"/>
      <c r="G253">
        <v>11.7</v>
      </c>
      <c r="H253">
        <v>7.6</v>
      </c>
      <c r="I253">
        <v>16.100000000000001</v>
      </c>
      <c r="J253">
        <f t="shared" si="34"/>
        <v>1947.8000000000002</v>
      </c>
      <c r="K253">
        <f t="shared" si="28"/>
        <v>225.7</v>
      </c>
      <c r="M253">
        <v>0</v>
      </c>
      <c r="N253">
        <v>3.2</v>
      </c>
      <c r="O253">
        <f t="shared" si="31"/>
        <v>-3.2</v>
      </c>
      <c r="P253">
        <f t="shared" si="35"/>
        <v>64.999999999999972</v>
      </c>
      <c r="Q253">
        <v>199</v>
      </c>
      <c r="R253">
        <v>1.1499999999999999</v>
      </c>
      <c r="S253">
        <f t="shared" si="32"/>
        <v>3.6799999999999997</v>
      </c>
      <c r="T253" s="24">
        <f t="shared" si="33"/>
        <v>-3.6799999999999997</v>
      </c>
      <c r="U253" s="24">
        <f t="shared" si="36"/>
        <v>73.124700000000047</v>
      </c>
      <c r="W253">
        <v>1897.7</v>
      </c>
      <c r="Y253">
        <f t="shared" si="37"/>
        <v>154351.79999999993</v>
      </c>
      <c r="Z253">
        <f t="shared" si="29"/>
        <v>25011.600000000006</v>
      </c>
      <c r="AA253">
        <v>12.770027521685533</v>
      </c>
    </row>
    <row r="254" spans="1:28" s="25" customFormat="1" ht="15.75" thickBot="1" x14ac:dyDescent="0.3">
      <c r="A254" s="25">
        <v>5080</v>
      </c>
      <c r="B254" s="25">
        <v>18650</v>
      </c>
      <c r="C254" s="26">
        <v>42832</v>
      </c>
      <c r="D254" s="25" t="s">
        <v>50</v>
      </c>
      <c r="F254" s="44"/>
      <c r="G254" s="25">
        <v>12</v>
      </c>
      <c r="H254" s="25">
        <v>4.5999999999999996</v>
      </c>
      <c r="I254" s="25">
        <v>18</v>
      </c>
      <c r="J254" s="25">
        <f t="shared" si="34"/>
        <v>1959.8000000000002</v>
      </c>
      <c r="K254" s="25">
        <f t="shared" si="28"/>
        <v>237.7</v>
      </c>
      <c r="L254" s="27"/>
      <c r="M254" s="25">
        <v>0</v>
      </c>
      <c r="N254" s="25">
        <v>3.5</v>
      </c>
      <c r="O254" s="25">
        <f t="shared" si="31"/>
        <v>-3.5</v>
      </c>
      <c r="P254" s="25">
        <f t="shared" si="35"/>
        <v>61.499999999999972</v>
      </c>
      <c r="Q254" s="25">
        <v>200</v>
      </c>
      <c r="R254" s="25">
        <v>1.1499999999999999</v>
      </c>
      <c r="S254" s="25">
        <f t="shared" si="32"/>
        <v>4.0249999999999995</v>
      </c>
      <c r="T254" s="24">
        <f t="shared" si="33"/>
        <v>-4.0249999999999995</v>
      </c>
      <c r="U254" s="24">
        <f t="shared" si="36"/>
        <v>69.099700000000041</v>
      </c>
      <c r="V254" s="27"/>
      <c r="W254" s="25">
        <v>2443</v>
      </c>
      <c r="Y254" s="25">
        <f t="shared" si="37"/>
        <v>156794.79999999993</v>
      </c>
      <c r="Z254" s="25">
        <f t="shared" si="29"/>
        <v>27454.600000000006</v>
      </c>
      <c r="AA254" s="25">
        <v>12.820692355780002</v>
      </c>
    </row>
    <row r="255" spans="1:28" x14ac:dyDescent="0.25">
      <c r="A255">
        <v>5080</v>
      </c>
      <c r="B255">
        <v>18650</v>
      </c>
      <c r="C255" s="1">
        <v>42833</v>
      </c>
      <c r="F255" s="45" t="s">
        <v>52</v>
      </c>
      <c r="G255">
        <v>14.8</v>
      </c>
      <c r="H255">
        <v>5.8</v>
      </c>
      <c r="I255">
        <v>21.5</v>
      </c>
      <c r="J255">
        <f t="shared" si="34"/>
        <v>1974.6000000000001</v>
      </c>
      <c r="K255">
        <v>14.8</v>
      </c>
      <c r="L255" s="19" t="s">
        <v>34</v>
      </c>
      <c r="M255">
        <v>0</v>
      </c>
      <c r="N255">
        <v>4.3</v>
      </c>
      <c r="O255">
        <f t="shared" si="31"/>
        <v>-4.3</v>
      </c>
      <c r="P255">
        <f t="shared" si="35"/>
        <v>57.199999999999974</v>
      </c>
      <c r="Q255">
        <v>201</v>
      </c>
      <c r="R255">
        <v>1.1499999999999999</v>
      </c>
      <c r="S255">
        <f t="shared" si="32"/>
        <v>4.9449999999999994</v>
      </c>
      <c r="T255" s="24">
        <f t="shared" si="33"/>
        <v>-4.9449999999999994</v>
      </c>
      <c r="U255" s="24">
        <f t="shared" si="36"/>
        <v>64.154700000000048</v>
      </c>
      <c r="V255" s="31" t="s">
        <v>41</v>
      </c>
      <c r="W255">
        <v>2400.8000000000002</v>
      </c>
      <c r="Y255">
        <f t="shared" si="37"/>
        <v>159195.59999999992</v>
      </c>
      <c r="Z255">
        <f>W255</f>
        <v>2400.8000000000002</v>
      </c>
      <c r="AA255">
        <v>12.8712238416201</v>
      </c>
      <c r="AB255" s="31" t="s">
        <v>46</v>
      </c>
    </row>
    <row r="256" spans="1:28" x14ac:dyDescent="0.25">
      <c r="A256">
        <v>5080</v>
      </c>
      <c r="B256">
        <v>18650</v>
      </c>
      <c r="C256" s="1">
        <v>42834</v>
      </c>
      <c r="F256" s="45"/>
      <c r="G256">
        <v>15.9</v>
      </c>
      <c r="H256">
        <v>11.4</v>
      </c>
      <c r="I256">
        <v>21.3</v>
      </c>
      <c r="J256">
        <f t="shared" si="34"/>
        <v>1990.5000000000002</v>
      </c>
      <c r="K256">
        <f t="shared" ref="K256:K302" si="38">K255+G256</f>
        <v>30.700000000000003</v>
      </c>
      <c r="L256" s="8">
        <v>305.60000000000002</v>
      </c>
      <c r="M256">
        <v>0</v>
      </c>
      <c r="N256">
        <v>4.8</v>
      </c>
      <c r="O256">
        <f t="shared" si="31"/>
        <v>-4.8</v>
      </c>
      <c r="P256">
        <f t="shared" si="35"/>
        <v>52.399999999999977</v>
      </c>
      <c r="Q256">
        <v>202</v>
      </c>
      <c r="R256">
        <v>1.1499999999999999</v>
      </c>
      <c r="S256">
        <f t="shared" si="32"/>
        <v>5.52</v>
      </c>
      <c r="T256" s="24">
        <f t="shared" si="33"/>
        <v>-5.52</v>
      </c>
      <c r="U256" s="24">
        <f t="shared" si="36"/>
        <v>58.634700000000052</v>
      </c>
      <c r="V256">
        <v>4</v>
      </c>
      <c r="W256">
        <v>2469.8000000000002</v>
      </c>
      <c r="Y256">
        <f t="shared" si="37"/>
        <v>161665.39999999991</v>
      </c>
      <c r="Z256">
        <f t="shared" si="29"/>
        <v>4870.6000000000004</v>
      </c>
      <c r="AA256">
        <v>12.921612529848929</v>
      </c>
      <c r="AB256">
        <v>49070</v>
      </c>
    </row>
    <row r="257" spans="1:28" s="36" customFormat="1" x14ac:dyDescent="0.25">
      <c r="A257" s="36">
        <v>5080</v>
      </c>
      <c r="B257" s="36">
        <v>18650</v>
      </c>
      <c r="C257" s="37">
        <v>42835</v>
      </c>
      <c r="F257" s="45"/>
      <c r="G257" s="36">
        <v>16.3</v>
      </c>
      <c r="H257" s="36">
        <v>10.199999999999999</v>
      </c>
      <c r="I257" s="36">
        <v>22.5</v>
      </c>
      <c r="J257" s="36">
        <f t="shared" si="34"/>
        <v>2006.8000000000002</v>
      </c>
      <c r="K257">
        <f t="shared" si="38"/>
        <v>47</v>
      </c>
      <c r="L257" s="19" t="s">
        <v>35</v>
      </c>
      <c r="M257" s="36">
        <v>0</v>
      </c>
      <c r="N257" s="36">
        <v>3.9</v>
      </c>
      <c r="O257" s="36">
        <f t="shared" si="31"/>
        <v>-3.9</v>
      </c>
      <c r="P257" s="36">
        <f t="shared" si="35"/>
        <v>48.499999999999979</v>
      </c>
      <c r="Q257" s="36">
        <v>203</v>
      </c>
      <c r="R257" s="36">
        <v>1.1499999999999999</v>
      </c>
      <c r="S257" s="36">
        <f t="shared" si="32"/>
        <v>4.4849999999999994</v>
      </c>
      <c r="T257" s="24">
        <f t="shared" si="33"/>
        <v>-4.4849999999999994</v>
      </c>
      <c r="U257" s="24">
        <f t="shared" si="36"/>
        <v>54.149700000000053</v>
      </c>
      <c r="V257" s="31" t="s">
        <v>42</v>
      </c>
      <c r="W257" s="36">
        <v>2087.8000000000002</v>
      </c>
      <c r="Y257" s="36">
        <f t="shared" si="37"/>
        <v>163753.1999999999</v>
      </c>
      <c r="Z257">
        <f t="shared" si="29"/>
        <v>6958.4000000000005</v>
      </c>
      <c r="AA257" s="36">
        <v>12.97184877355561</v>
      </c>
      <c r="AB257" s="31" t="s">
        <v>47</v>
      </c>
    </row>
    <row r="258" spans="1:28" ht="15" customHeight="1" x14ac:dyDescent="0.25">
      <c r="A258">
        <v>5080</v>
      </c>
      <c r="B258">
        <v>18650</v>
      </c>
      <c r="C258" s="1">
        <v>42836</v>
      </c>
      <c r="F258" s="45"/>
      <c r="G258">
        <v>14.2</v>
      </c>
      <c r="H258">
        <v>11.3</v>
      </c>
      <c r="I258">
        <v>17.2</v>
      </c>
      <c r="J258">
        <f t="shared" si="34"/>
        <v>2021.0000000000002</v>
      </c>
      <c r="K258">
        <f t="shared" si="38"/>
        <v>61.2</v>
      </c>
      <c r="L258" s="21">
        <f>AVERAGE(G255:G278)</f>
        <v>12.733333333333334</v>
      </c>
      <c r="M258">
        <v>0</v>
      </c>
      <c r="N258">
        <v>2.8</v>
      </c>
      <c r="O258">
        <f t="shared" si="31"/>
        <v>-2.8</v>
      </c>
      <c r="P258">
        <f t="shared" si="35"/>
        <v>45.699999999999982</v>
      </c>
      <c r="Q258">
        <v>204</v>
      </c>
      <c r="R258">
        <v>1.1499999999999999</v>
      </c>
      <c r="S258">
        <f t="shared" si="32"/>
        <v>3.2199999999999998</v>
      </c>
      <c r="T258" s="24">
        <f t="shared" si="33"/>
        <v>-3.2199999999999998</v>
      </c>
      <c r="U258" s="24">
        <f t="shared" si="36"/>
        <v>50.929700000000054</v>
      </c>
      <c r="V258">
        <v>17</v>
      </c>
      <c r="W258">
        <v>1176.2</v>
      </c>
      <c r="Y258">
        <f t="shared" si="37"/>
        <v>164929.39999999991</v>
      </c>
      <c r="Z258">
        <f t="shared" si="29"/>
        <v>8134.6</v>
      </c>
      <c r="AA258">
        <v>13.02192271826768</v>
      </c>
      <c r="AB258">
        <f>(AB256/100)/L256</f>
        <v>1.6056937172774868</v>
      </c>
    </row>
    <row r="259" spans="1:28" x14ac:dyDescent="0.25">
      <c r="A259">
        <v>5080</v>
      </c>
      <c r="B259">
        <v>18650</v>
      </c>
      <c r="C259" s="1">
        <v>42837</v>
      </c>
      <c r="F259" s="45"/>
      <c r="G259">
        <v>14.3</v>
      </c>
      <c r="H259">
        <v>7.8</v>
      </c>
      <c r="I259">
        <v>19.8</v>
      </c>
      <c r="J259">
        <f t="shared" si="34"/>
        <v>2035.3000000000002</v>
      </c>
      <c r="K259">
        <f t="shared" si="38"/>
        <v>75.5</v>
      </c>
      <c r="L259" s="19" t="s">
        <v>36</v>
      </c>
      <c r="M259">
        <v>0</v>
      </c>
      <c r="N259">
        <v>4.2</v>
      </c>
      <c r="O259">
        <f t="shared" si="31"/>
        <v>-4.2</v>
      </c>
      <c r="P259">
        <f t="shared" si="35"/>
        <v>41.499999999999979</v>
      </c>
      <c r="Q259">
        <v>205</v>
      </c>
      <c r="R259">
        <v>1.1499999999999999</v>
      </c>
      <c r="S259">
        <f t="shared" si="32"/>
        <v>4.83</v>
      </c>
      <c r="T259" s="24">
        <f t="shared" si="33"/>
        <v>-4.83</v>
      </c>
      <c r="U259" s="24">
        <f t="shared" si="36"/>
        <v>46.099700000000055</v>
      </c>
      <c r="V259" s="31" t="s">
        <v>43</v>
      </c>
      <c r="W259">
        <v>2525.1</v>
      </c>
      <c r="Y259">
        <f t="shared" si="37"/>
        <v>167454.49999999991</v>
      </c>
      <c r="Z259">
        <f t="shared" si="29"/>
        <v>10659.7</v>
      </c>
      <c r="AA259">
        <v>13.071824292254119</v>
      </c>
      <c r="AB259" s="31" t="s">
        <v>48</v>
      </c>
    </row>
    <row r="260" spans="1:28" x14ac:dyDescent="0.25">
      <c r="A260">
        <v>5080</v>
      </c>
      <c r="B260">
        <v>18650</v>
      </c>
      <c r="C260" s="1">
        <v>42838</v>
      </c>
      <c r="F260" s="45"/>
      <c r="G260">
        <v>15.4</v>
      </c>
      <c r="H260">
        <v>9.8000000000000007</v>
      </c>
      <c r="I260">
        <v>20.9</v>
      </c>
      <c r="J260">
        <f t="shared" si="34"/>
        <v>2050.7000000000003</v>
      </c>
      <c r="K260">
        <f t="shared" si="38"/>
        <v>90.9</v>
      </c>
      <c r="L260" s="12">
        <v>1.7</v>
      </c>
      <c r="M260">
        <v>0</v>
      </c>
      <c r="N260">
        <v>4.2</v>
      </c>
      <c r="O260">
        <f t="shared" si="31"/>
        <v>-4.2</v>
      </c>
      <c r="P260">
        <f t="shared" si="35"/>
        <v>37.299999999999976</v>
      </c>
      <c r="Q260">
        <v>206</v>
      </c>
      <c r="R260">
        <v>1.1499999999999999</v>
      </c>
      <c r="S260">
        <f t="shared" si="32"/>
        <v>4.83</v>
      </c>
      <c r="T260" s="24">
        <f t="shared" si="33"/>
        <v>-4.83</v>
      </c>
      <c r="U260" s="24">
        <f t="shared" si="36"/>
        <v>41.269700000000057</v>
      </c>
      <c r="V260">
        <v>0</v>
      </c>
      <c r="W260">
        <v>2308.1</v>
      </c>
      <c r="Y260">
        <f t="shared" si="37"/>
        <v>169762.59999999992</v>
      </c>
      <c r="Z260">
        <f t="shared" si="29"/>
        <v>12967.800000000001</v>
      </c>
      <c r="AA260">
        <v>13.121543197165362</v>
      </c>
      <c r="AB260">
        <v>2</v>
      </c>
    </row>
    <row r="261" spans="1:28" x14ac:dyDescent="0.25">
      <c r="A261">
        <v>5080</v>
      </c>
      <c r="B261">
        <v>18650</v>
      </c>
      <c r="C261" s="1">
        <v>42839</v>
      </c>
      <c r="F261" s="45"/>
      <c r="G261">
        <v>14.5</v>
      </c>
      <c r="H261">
        <v>10.9</v>
      </c>
      <c r="I261">
        <v>18.899999999999999</v>
      </c>
      <c r="J261">
        <f t="shared" si="34"/>
        <v>2065.2000000000003</v>
      </c>
      <c r="K261">
        <f t="shared" si="38"/>
        <v>105.4</v>
      </c>
      <c r="L261" s="19" t="s">
        <v>37</v>
      </c>
      <c r="M261">
        <v>0</v>
      </c>
      <c r="N261">
        <v>4.4000000000000004</v>
      </c>
      <c r="O261">
        <f t="shared" si="31"/>
        <v>-4.4000000000000004</v>
      </c>
      <c r="P261">
        <f t="shared" si="35"/>
        <v>32.899999999999977</v>
      </c>
      <c r="Q261">
        <v>207</v>
      </c>
      <c r="R261">
        <v>1.1499999999999999</v>
      </c>
      <c r="S261">
        <f t="shared" si="32"/>
        <v>5.0599999999999996</v>
      </c>
      <c r="T261" s="24">
        <f t="shared" si="33"/>
        <v>-5.0599999999999996</v>
      </c>
      <c r="U261" s="24">
        <f t="shared" si="36"/>
        <v>36.209700000000055</v>
      </c>
      <c r="V261" s="31" t="s">
        <v>44</v>
      </c>
      <c r="W261">
        <v>2448.6</v>
      </c>
      <c r="Y261">
        <f t="shared" si="37"/>
        <v>172211.19999999992</v>
      </c>
      <c r="Z261">
        <f t="shared" si="29"/>
        <v>15416.400000000001</v>
      </c>
      <c r="AA261">
        <v>13.171068899038026</v>
      </c>
    </row>
    <row r="262" spans="1:28" x14ac:dyDescent="0.25">
      <c r="A262">
        <v>5080</v>
      </c>
      <c r="B262">
        <v>18650</v>
      </c>
      <c r="C262" s="1">
        <v>42840</v>
      </c>
      <c r="F262" s="45"/>
      <c r="G262">
        <v>11.7</v>
      </c>
      <c r="H262">
        <v>10.3</v>
      </c>
      <c r="I262">
        <v>13.3</v>
      </c>
      <c r="J262">
        <f t="shared" si="34"/>
        <v>2076.9</v>
      </c>
      <c r="K262">
        <f t="shared" si="38"/>
        <v>117.10000000000001</v>
      </c>
      <c r="L262" s="8">
        <f>MAX(I255:I278)</f>
        <v>22.9</v>
      </c>
      <c r="M262">
        <v>0</v>
      </c>
      <c r="N262">
        <v>1.3</v>
      </c>
      <c r="O262">
        <f t="shared" si="31"/>
        <v>-1.3</v>
      </c>
      <c r="P262">
        <f t="shared" si="35"/>
        <v>31.599999999999977</v>
      </c>
      <c r="Q262">
        <v>208</v>
      </c>
      <c r="R262">
        <v>1.1499999999999999</v>
      </c>
      <c r="S262">
        <f t="shared" si="32"/>
        <v>1.4949999999999999</v>
      </c>
      <c r="T262" s="24">
        <f t="shared" si="33"/>
        <v>-1.4949999999999999</v>
      </c>
      <c r="U262" s="24">
        <f t="shared" si="36"/>
        <v>34.714700000000057</v>
      </c>
      <c r="V262" s="24">
        <f>MAX(U255:U278)</f>
        <v>64.154700000000048</v>
      </c>
      <c r="W262">
        <v>540.9</v>
      </c>
      <c r="Y262">
        <f t="shared" si="37"/>
        <v>172752.09999999992</v>
      </c>
      <c r="Z262">
        <f t="shared" si="29"/>
        <v>15957.300000000001</v>
      </c>
      <c r="AA262">
        <v>13.220390619693376</v>
      </c>
    </row>
    <row r="263" spans="1:28" x14ac:dyDescent="0.25">
      <c r="A263">
        <v>5080</v>
      </c>
      <c r="B263">
        <v>18650</v>
      </c>
      <c r="C263" s="1">
        <v>42841</v>
      </c>
      <c r="F263" s="45"/>
      <c r="G263">
        <v>11.8</v>
      </c>
      <c r="H263">
        <v>7.9</v>
      </c>
      <c r="I263">
        <v>15.4</v>
      </c>
      <c r="J263">
        <f t="shared" si="34"/>
        <v>2088.7000000000003</v>
      </c>
      <c r="K263">
        <f t="shared" si="38"/>
        <v>128.9</v>
      </c>
      <c r="L263" s="19" t="s">
        <v>38</v>
      </c>
      <c r="M263">
        <v>0</v>
      </c>
      <c r="N263">
        <v>2</v>
      </c>
      <c r="O263">
        <f t="shared" si="31"/>
        <v>-2</v>
      </c>
      <c r="P263">
        <f t="shared" si="35"/>
        <v>29.599999999999977</v>
      </c>
      <c r="Q263">
        <v>209</v>
      </c>
      <c r="R263">
        <v>1.1499999999999999</v>
      </c>
      <c r="S263">
        <f t="shared" si="32"/>
        <v>2.2999999999999998</v>
      </c>
      <c r="T263" s="24">
        <f t="shared" si="33"/>
        <v>-2.2999999999999998</v>
      </c>
      <c r="U263" s="24">
        <f t="shared" si="36"/>
        <v>32.41470000000006</v>
      </c>
      <c r="V263" s="31" t="s">
        <v>45</v>
      </c>
      <c r="W263">
        <v>959.9</v>
      </c>
      <c r="Y263">
        <f t="shared" si="37"/>
        <v>173711.99999999991</v>
      </c>
      <c r="Z263">
        <f t="shared" si="29"/>
        <v>16917.2</v>
      </c>
      <c r="AA263">
        <v>13.269497328559998</v>
      </c>
    </row>
    <row r="264" spans="1:28" x14ac:dyDescent="0.25">
      <c r="A264">
        <v>5080</v>
      </c>
      <c r="B264">
        <v>18650</v>
      </c>
      <c r="C264" s="1">
        <v>42842</v>
      </c>
      <c r="F264" s="45"/>
      <c r="G264">
        <v>13.2</v>
      </c>
      <c r="H264">
        <v>6.8</v>
      </c>
      <c r="I264">
        <v>18.3</v>
      </c>
      <c r="J264">
        <f t="shared" si="34"/>
        <v>2101.9</v>
      </c>
      <c r="K264">
        <f t="shared" si="38"/>
        <v>142.1</v>
      </c>
      <c r="L264" s="8">
        <v>0</v>
      </c>
      <c r="M264">
        <v>0</v>
      </c>
      <c r="N264">
        <v>4</v>
      </c>
      <c r="O264">
        <f t="shared" si="31"/>
        <v>-4</v>
      </c>
      <c r="P264">
        <f t="shared" si="35"/>
        <v>25.599999999999977</v>
      </c>
      <c r="Q264">
        <v>210</v>
      </c>
      <c r="R264">
        <v>1.1499999999999999</v>
      </c>
      <c r="S264">
        <f t="shared" si="32"/>
        <v>4.5999999999999996</v>
      </c>
      <c r="T264" s="24">
        <f t="shared" si="33"/>
        <v>-4.5999999999999996</v>
      </c>
      <c r="U264" s="24">
        <f t="shared" si="36"/>
        <v>27.814700000000059</v>
      </c>
      <c r="V264" s="21">
        <f>AVERAGE(U255:U278)</f>
        <v>21.883562500000036</v>
      </c>
      <c r="W264">
        <v>2528.6999999999998</v>
      </c>
      <c r="Y264">
        <f t="shared" si="37"/>
        <v>176240.69999999992</v>
      </c>
      <c r="Z264">
        <f t="shared" si="29"/>
        <v>19445.900000000001</v>
      </c>
      <c r="AA264">
        <v>13.318377734952518</v>
      </c>
    </row>
    <row r="265" spans="1:28" x14ac:dyDescent="0.25">
      <c r="A265">
        <v>5080</v>
      </c>
      <c r="B265">
        <v>18650</v>
      </c>
      <c r="C265" s="1">
        <v>42843</v>
      </c>
      <c r="F265" s="45"/>
      <c r="G265">
        <v>12.4</v>
      </c>
      <c r="H265">
        <v>8.4</v>
      </c>
      <c r="I265">
        <v>16.8</v>
      </c>
      <c r="J265">
        <f t="shared" si="34"/>
        <v>2114.3000000000002</v>
      </c>
      <c r="K265">
        <f t="shared" si="38"/>
        <v>154.5</v>
      </c>
      <c r="L265" s="19" t="s">
        <v>39</v>
      </c>
      <c r="M265">
        <v>0</v>
      </c>
      <c r="N265">
        <v>4.8</v>
      </c>
      <c r="O265">
        <f t="shared" si="31"/>
        <v>-4.8</v>
      </c>
      <c r="P265">
        <f t="shared" si="35"/>
        <v>20.799999999999976</v>
      </c>
      <c r="Q265">
        <v>211</v>
      </c>
      <c r="R265">
        <v>1.1499999999999999</v>
      </c>
      <c r="S265">
        <f t="shared" si="32"/>
        <v>5.52</v>
      </c>
      <c r="T265" s="24">
        <f t="shared" si="33"/>
        <v>-5.52</v>
      </c>
      <c r="U265" s="24">
        <f t="shared" si="36"/>
        <v>22.294700000000059</v>
      </c>
      <c r="W265">
        <v>2672.7</v>
      </c>
      <c r="Y265">
        <f t="shared" si="37"/>
        <v>178913.39999999994</v>
      </c>
      <c r="Z265">
        <f t="shared" si="29"/>
        <v>22118.600000000002</v>
      </c>
      <c r="AA265">
        <v>13.36702028083954</v>
      </c>
    </row>
    <row r="266" spans="1:28" x14ac:dyDescent="0.25">
      <c r="A266">
        <v>5080</v>
      </c>
      <c r="B266">
        <v>18650</v>
      </c>
      <c r="C266" s="1">
        <v>42844</v>
      </c>
      <c r="F266" s="45"/>
      <c r="G266">
        <v>10.199999999999999</v>
      </c>
      <c r="H266">
        <v>4.4000000000000004</v>
      </c>
      <c r="I266">
        <v>14.9</v>
      </c>
      <c r="J266">
        <f t="shared" si="34"/>
        <v>2124.5</v>
      </c>
      <c r="K266">
        <f t="shared" si="38"/>
        <v>164.7</v>
      </c>
      <c r="L266" s="8">
        <v>5</v>
      </c>
      <c r="M266">
        <v>0</v>
      </c>
      <c r="N266">
        <v>4.5999999999999996</v>
      </c>
      <c r="O266">
        <f t="shared" si="31"/>
        <v>-4.5999999999999996</v>
      </c>
      <c r="P266">
        <f t="shared" si="35"/>
        <v>16.199999999999974</v>
      </c>
      <c r="Q266">
        <v>212</v>
      </c>
      <c r="R266">
        <v>1.1499999999999999</v>
      </c>
      <c r="S266">
        <f t="shared" si="32"/>
        <v>5.2899999999999991</v>
      </c>
      <c r="T266" s="24">
        <f t="shared" si="33"/>
        <v>-5.2899999999999991</v>
      </c>
      <c r="U266" s="24">
        <f t="shared" si="36"/>
        <v>17.00470000000006</v>
      </c>
      <c r="V266" s="8">
        <f>(V264*100)/155.7</f>
        <v>14.054953436095078</v>
      </c>
      <c r="W266">
        <v>2782.9</v>
      </c>
      <c r="Y266">
        <f t="shared" si="37"/>
        <v>181696.29999999993</v>
      </c>
      <c r="Z266">
        <f t="shared" si="29"/>
        <v>24901.500000000004</v>
      </c>
      <c r="AA266">
        <v>13.415413134135408</v>
      </c>
    </row>
    <row r="267" spans="1:28" x14ac:dyDescent="0.25">
      <c r="A267">
        <v>5080</v>
      </c>
      <c r="B267">
        <v>18650</v>
      </c>
      <c r="C267" s="1">
        <v>42845</v>
      </c>
      <c r="F267" s="45"/>
      <c r="G267">
        <v>9.5</v>
      </c>
      <c r="H267">
        <v>3</v>
      </c>
      <c r="I267">
        <v>15.7</v>
      </c>
      <c r="J267">
        <f t="shared" si="34"/>
        <v>2134</v>
      </c>
      <c r="K267">
        <f t="shared" si="38"/>
        <v>174.2</v>
      </c>
      <c r="L267" s="19" t="s">
        <v>40</v>
      </c>
      <c r="M267">
        <v>0</v>
      </c>
      <c r="N267">
        <v>4.5</v>
      </c>
      <c r="O267">
        <f t="shared" si="31"/>
        <v>-4.5</v>
      </c>
      <c r="P267">
        <f t="shared" si="35"/>
        <v>11.699999999999974</v>
      </c>
      <c r="Q267">
        <v>213</v>
      </c>
      <c r="R267">
        <v>1.1499999999999999</v>
      </c>
      <c r="S267">
        <f t="shared" si="32"/>
        <v>5.1749999999999998</v>
      </c>
      <c r="T267" s="24">
        <f t="shared" si="33"/>
        <v>-5.1749999999999998</v>
      </c>
      <c r="U267" s="24">
        <f t="shared" si="36"/>
        <v>11.829700000000059</v>
      </c>
      <c r="W267">
        <v>2797.6</v>
      </c>
      <c r="Y267">
        <f t="shared" si="37"/>
        <v>184493.89999999994</v>
      </c>
      <c r="Z267">
        <f t="shared" si="29"/>
        <v>27699.100000000002</v>
      </c>
      <c r="AA267">
        <v>13.463544182551692</v>
      </c>
    </row>
    <row r="268" spans="1:28" x14ac:dyDescent="0.25">
      <c r="A268">
        <v>5080</v>
      </c>
      <c r="B268">
        <v>18650</v>
      </c>
      <c r="C268" s="1">
        <v>42846</v>
      </c>
      <c r="F268" s="45"/>
      <c r="G268">
        <v>12</v>
      </c>
      <c r="H268">
        <v>1.7</v>
      </c>
      <c r="I268">
        <v>19.100000000000001</v>
      </c>
      <c r="J268">
        <f t="shared" si="34"/>
        <v>2146</v>
      </c>
      <c r="K268">
        <f t="shared" si="38"/>
        <v>186.2</v>
      </c>
      <c r="L268" s="18">
        <v>0</v>
      </c>
      <c r="M268">
        <v>0</v>
      </c>
      <c r="N268">
        <v>4.4000000000000004</v>
      </c>
      <c r="O268">
        <f t="shared" si="31"/>
        <v>-4.4000000000000004</v>
      </c>
      <c r="P268">
        <f t="shared" si="35"/>
        <v>7.2999999999999741</v>
      </c>
      <c r="Q268">
        <v>214</v>
      </c>
      <c r="R268">
        <v>1.1499999999999999</v>
      </c>
      <c r="S268">
        <f t="shared" si="32"/>
        <v>5.0599999999999996</v>
      </c>
      <c r="T268" s="24">
        <f t="shared" si="33"/>
        <v>-5.0599999999999996</v>
      </c>
      <c r="U268" s="24">
        <f t="shared" si="36"/>
        <v>6.7697000000000598</v>
      </c>
      <c r="W268">
        <v>2740.5</v>
      </c>
      <c r="Y268">
        <f t="shared" si="37"/>
        <v>187234.39999999994</v>
      </c>
      <c r="Z268">
        <f t="shared" si="29"/>
        <v>30439.600000000002</v>
      </c>
      <c r="AA268">
        <v>13.511401028045642</v>
      </c>
    </row>
    <row r="269" spans="1:28" x14ac:dyDescent="0.25">
      <c r="A269">
        <v>5080</v>
      </c>
      <c r="B269">
        <v>18650</v>
      </c>
      <c r="C269" s="1">
        <v>42847</v>
      </c>
      <c r="F269" s="45"/>
      <c r="G269">
        <v>15.2</v>
      </c>
      <c r="H269">
        <v>6.9</v>
      </c>
      <c r="I269">
        <v>22.3</v>
      </c>
      <c r="J269">
        <f t="shared" si="34"/>
        <v>2161.1999999999998</v>
      </c>
      <c r="K269">
        <f t="shared" si="38"/>
        <v>201.39999999999998</v>
      </c>
      <c r="M269">
        <v>0</v>
      </c>
      <c r="N269">
        <v>5.4</v>
      </c>
      <c r="O269">
        <f t="shared" si="31"/>
        <v>-5.4</v>
      </c>
      <c r="P269">
        <f t="shared" si="35"/>
        <v>1.8999999999999737</v>
      </c>
      <c r="Q269">
        <v>215</v>
      </c>
      <c r="R269">
        <v>1.1499999999999999</v>
      </c>
      <c r="S269">
        <f t="shared" si="32"/>
        <v>6.21</v>
      </c>
      <c r="T269" s="24">
        <f t="shared" si="33"/>
        <v>-6.21</v>
      </c>
      <c r="U269" s="24">
        <f t="shared" si="36"/>
        <v>0.55970000000005982</v>
      </c>
      <c r="W269">
        <v>2798.5</v>
      </c>
      <c r="Y269">
        <f t="shared" si="37"/>
        <v>190032.89999999994</v>
      </c>
      <c r="Z269">
        <f t="shared" si="29"/>
        <v>33238.100000000006</v>
      </c>
      <c r="AA269">
        <v>13.558970981904011</v>
      </c>
    </row>
    <row r="270" spans="1:28" x14ac:dyDescent="0.25">
      <c r="A270">
        <v>5080</v>
      </c>
      <c r="B270">
        <v>18650</v>
      </c>
      <c r="C270" s="1">
        <v>42848</v>
      </c>
      <c r="F270" s="45"/>
      <c r="G270">
        <v>15.8</v>
      </c>
      <c r="H270">
        <v>7.5</v>
      </c>
      <c r="I270">
        <v>22.5</v>
      </c>
      <c r="J270">
        <f t="shared" si="34"/>
        <v>2177</v>
      </c>
      <c r="K270">
        <f t="shared" si="38"/>
        <v>217.2</v>
      </c>
      <c r="M270">
        <v>0</v>
      </c>
      <c r="N270">
        <v>4.5999999999999996</v>
      </c>
      <c r="O270">
        <f t="shared" si="31"/>
        <v>-4.5999999999999996</v>
      </c>
      <c r="P270">
        <v>0</v>
      </c>
      <c r="Q270">
        <v>216</v>
      </c>
      <c r="R270">
        <v>1.1499999999999999</v>
      </c>
      <c r="S270">
        <f t="shared" si="32"/>
        <v>5.2899999999999991</v>
      </c>
      <c r="T270" s="24">
        <f t="shared" si="33"/>
        <v>-5.2899999999999991</v>
      </c>
      <c r="U270" s="24">
        <v>0</v>
      </c>
      <c r="W270">
        <v>2425.1999999999998</v>
      </c>
      <c r="Y270">
        <f t="shared" si="37"/>
        <v>192458.09999999995</v>
      </c>
      <c r="Z270">
        <f t="shared" si="29"/>
        <v>35663.300000000003</v>
      </c>
      <c r="AA270">
        <v>13.606241060501949</v>
      </c>
    </row>
    <row r="271" spans="1:28" x14ac:dyDescent="0.25">
      <c r="A271">
        <v>5080</v>
      </c>
      <c r="B271">
        <v>18650</v>
      </c>
      <c r="C271" s="1">
        <v>42849</v>
      </c>
      <c r="F271" s="45"/>
      <c r="G271">
        <v>16.5</v>
      </c>
      <c r="H271">
        <v>10.8</v>
      </c>
      <c r="I271">
        <v>22.9</v>
      </c>
      <c r="J271">
        <f t="shared" si="34"/>
        <v>2193.5</v>
      </c>
      <c r="K271">
        <f t="shared" si="38"/>
        <v>233.7</v>
      </c>
      <c r="M271">
        <v>0</v>
      </c>
      <c r="N271">
        <v>5.7</v>
      </c>
      <c r="O271">
        <f t="shared" si="31"/>
        <v>-5.7</v>
      </c>
      <c r="P271">
        <v>0</v>
      </c>
      <c r="Q271">
        <v>217</v>
      </c>
      <c r="R271">
        <v>1.1499999999999999</v>
      </c>
      <c r="S271">
        <f t="shared" si="32"/>
        <v>6.5549999999999997</v>
      </c>
      <c r="T271" s="24">
        <f t="shared" si="33"/>
        <v>-6.5549999999999997</v>
      </c>
      <c r="U271" s="24">
        <v>0</v>
      </c>
      <c r="W271">
        <v>2695.3</v>
      </c>
      <c r="Y271">
        <f t="shared" si="37"/>
        <v>195153.39999999994</v>
      </c>
      <c r="Z271">
        <f t="shared" si="29"/>
        <v>38358.600000000006</v>
      </c>
      <c r="AA271">
        <v>13.653197981777625</v>
      </c>
    </row>
    <row r="272" spans="1:28" x14ac:dyDescent="0.25">
      <c r="A272">
        <v>5080</v>
      </c>
      <c r="B272">
        <v>18650</v>
      </c>
      <c r="C272" s="1">
        <v>42850</v>
      </c>
      <c r="F272" s="45"/>
      <c r="G272">
        <v>14.4</v>
      </c>
      <c r="H272">
        <v>12.9</v>
      </c>
      <c r="I272">
        <v>19</v>
      </c>
      <c r="J272">
        <f t="shared" si="34"/>
        <v>2207.9</v>
      </c>
      <c r="K272">
        <f t="shared" si="38"/>
        <v>248.1</v>
      </c>
      <c r="M272">
        <v>8.3000000000000007</v>
      </c>
      <c r="N272">
        <v>2.8</v>
      </c>
      <c r="O272">
        <f t="shared" si="31"/>
        <v>5.5000000000000009</v>
      </c>
      <c r="P272">
        <f t="shared" si="35"/>
        <v>5.5000000000000009</v>
      </c>
      <c r="Q272">
        <v>218</v>
      </c>
      <c r="R272">
        <v>1.1499999999999999</v>
      </c>
      <c r="S272">
        <f t="shared" si="32"/>
        <v>3.2199999999999998</v>
      </c>
      <c r="T272" s="24">
        <f t="shared" si="33"/>
        <v>5.080000000000001</v>
      </c>
      <c r="U272" s="24">
        <f t="shared" si="36"/>
        <v>5.080000000000001</v>
      </c>
      <c r="W272">
        <v>1311.5</v>
      </c>
      <c r="Y272">
        <f t="shared" si="37"/>
        <v>196464.89999999994</v>
      </c>
      <c r="Z272">
        <f t="shared" si="29"/>
        <v>39670.100000000006</v>
      </c>
      <c r="AA272">
        <v>13.699828162464271</v>
      </c>
    </row>
    <row r="273" spans="1:28" x14ac:dyDescent="0.25">
      <c r="A273">
        <v>5080</v>
      </c>
      <c r="B273">
        <v>18650</v>
      </c>
      <c r="C273" s="1">
        <v>42851</v>
      </c>
      <c r="F273" s="45"/>
      <c r="G273">
        <v>7.7</v>
      </c>
      <c r="H273">
        <v>7.6</v>
      </c>
      <c r="I273">
        <v>7.9</v>
      </c>
      <c r="J273">
        <f t="shared" si="34"/>
        <v>2215.6</v>
      </c>
      <c r="K273">
        <f t="shared" si="38"/>
        <v>255.79999999999998</v>
      </c>
      <c r="M273">
        <v>0.2</v>
      </c>
      <c r="N273">
        <v>1.1000000000000001</v>
      </c>
      <c r="O273">
        <f t="shared" si="31"/>
        <v>-0.90000000000000013</v>
      </c>
      <c r="P273">
        <f t="shared" si="35"/>
        <v>4.6000000000000005</v>
      </c>
      <c r="Q273">
        <v>219</v>
      </c>
      <c r="R273">
        <v>1.1499999999999999</v>
      </c>
      <c r="S273">
        <f t="shared" si="32"/>
        <v>1.2649999999999999</v>
      </c>
      <c r="T273" s="24">
        <f t="shared" si="33"/>
        <v>-1.0649999999999999</v>
      </c>
      <c r="U273" s="24">
        <f t="shared" si="36"/>
        <v>4.0150000000000006</v>
      </c>
      <c r="W273">
        <v>634.79999999999995</v>
      </c>
      <c r="Y273">
        <f t="shared" si="37"/>
        <v>197099.69999999992</v>
      </c>
      <c r="Z273">
        <f t="shared" si="29"/>
        <v>40304.900000000009</v>
      </c>
      <c r="AA273">
        <v>13.746117716122203</v>
      </c>
    </row>
    <row r="274" spans="1:28" x14ac:dyDescent="0.25">
      <c r="A274">
        <v>5080</v>
      </c>
      <c r="B274">
        <v>18650</v>
      </c>
      <c r="C274" s="1">
        <v>42852</v>
      </c>
      <c r="F274" s="45"/>
      <c r="G274">
        <v>7.7</v>
      </c>
      <c r="H274">
        <v>5.0999999999999996</v>
      </c>
      <c r="I274">
        <v>10.8</v>
      </c>
      <c r="J274">
        <f t="shared" si="34"/>
        <v>2223.2999999999997</v>
      </c>
      <c r="K274">
        <f t="shared" si="38"/>
        <v>263.5</v>
      </c>
      <c r="M274">
        <v>0.1</v>
      </c>
      <c r="N274">
        <v>2.9</v>
      </c>
      <c r="O274">
        <f t="shared" si="31"/>
        <v>-2.8</v>
      </c>
      <c r="P274">
        <f t="shared" si="35"/>
        <v>1.8000000000000007</v>
      </c>
      <c r="Q274">
        <v>220</v>
      </c>
      <c r="R274">
        <v>1.1499999999999999</v>
      </c>
      <c r="S274">
        <f t="shared" si="32"/>
        <v>3.3349999999999995</v>
      </c>
      <c r="T274" s="24">
        <f t="shared" si="33"/>
        <v>-3.2349999999999994</v>
      </c>
      <c r="U274" s="24">
        <f t="shared" si="36"/>
        <v>0.78000000000000114</v>
      </c>
      <c r="W274">
        <v>1794.3</v>
      </c>
      <c r="Y274">
        <f t="shared" si="37"/>
        <v>198893.99999999991</v>
      </c>
      <c r="Z274">
        <f t="shared" ref="Z274:Z278" si="39">Z273+W274</f>
        <v>42099.200000000012</v>
      </c>
      <c r="AA274">
        <v>13.792052452014003</v>
      </c>
    </row>
    <row r="275" spans="1:28" x14ac:dyDescent="0.25">
      <c r="A275">
        <v>5080</v>
      </c>
      <c r="B275">
        <v>18650</v>
      </c>
      <c r="C275" s="1">
        <v>42853</v>
      </c>
      <c r="F275" s="45"/>
      <c r="G275">
        <v>8.5</v>
      </c>
      <c r="H275">
        <v>4</v>
      </c>
      <c r="I275">
        <v>13.3</v>
      </c>
      <c r="J275">
        <f t="shared" si="34"/>
        <v>2231.7999999999997</v>
      </c>
      <c r="K275">
        <f t="shared" si="38"/>
        <v>272</v>
      </c>
      <c r="M275">
        <v>0</v>
      </c>
      <c r="N275">
        <v>2.6</v>
      </c>
      <c r="O275">
        <f t="shared" si="31"/>
        <v>-2.6</v>
      </c>
      <c r="P275">
        <v>0</v>
      </c>
      <c r="Q275">
        <v>221</v>
      </c>
      <c r="R275">
        <v>1.1499999999999999</v>
      </c>
      <c r="S275">
        <f t="shared" si="32"/>
        <v>2.9899999999999998</v>
      </c>
      <c r="T275" s="24">
        <f t="shared" si="33"/>
        <v>-2.9899999999999998</v>
      </c>
      <c r="U275" s="24">
        <v>0</v>
      </c>
      <c r="W275">
        <v>1521.6</v>
      </c>
      <c r="Y275">
        <f t="shared" si="37"/>
        <v>200415.59999999992</v>
      </c>
      <c r="Z275">
        <f t="shared" si="39"/>
        <v>43620.80000000001</v>
      </c>
      <c r="AA275">
        <v>13.837617874866638</v>
      </c>
    </row>
    <row r="276" spans="1:28" x14ac:dyDescent="0.25">
      <c r="A276">
        <v>5080</v>
      </c>
      <c r="B276">
        <v>18650</v>
      </c>
      <c r="C276" s="1">
        <v>42854</v>
      </c>
      <c r="F276" s="45"/>
      <c r="G276">
        <v>11.1</v>
      </c>
      <c r="H276">
        <v>3.4</v>
      </c>
      <c r="I276">
        <v>18.100000000000001</v>
      </c>
      <c r="J276">
        <f t="shared" si="34"/>
        <v>2242.8999999999996</v>
      </c>
      <c r="K276">
        <f t="shared" si="38"/>
        <v>283.10000000000002</v>
      </c>
      <c r="M276">
        <v>0</v>
      </c>
      <c r="N276">
        <v>4.2</v>
      </c>
      <c r="O276">
        <f t="shared" si="31"/>
        <v>-4.2</v>
      </c>
      <c r="P276">
        <v>0</v>
      </c>
      <c r="Q276">
        <v>222</v>
      </c>
      <c r="R276">
        <v>1.1499999999999999</v>
      </c>
      <c r="S276">
        <f t="shared" si="32"/>
        <v>4.83</v>
      </c>
      <c r="T276" s="24">
        <f t="shared" si="33"/>
        <v>-4.83</v>
      </c>
      <c r="U276" s="24">
        <v>0</v>
      </c>
      <c r="W276">
        <v>2494.9</v>
      </c>
      <c r="Y276">
        <f t="shared" si="37"/>
        <v>202910.49999999991</v>
      </c>
      <c r="Z276">
        <f t="shared" si="39"/>
        <v>46115.700000000012</v>
      </c>
      <c r="AA276">
        <v>13.882799185564606</v>
      </c>
    </row>
    <row r="277" spans="1:28" x14ac:dyDescent="0.25">
      <c r="A277">
        <v>5080</v>
      </c>
      <c r="B277">
        <v>18650</v>
      </c>
      <c r="C277" s="1">
        <v>42855</v>
      </c>
      <c r="F277" s="45"/>
      <c r="G277">
        <v>11.9</v>
      </c>
      <c r="H277">
        <v>6.5</v>
      </c>
      <c r="I277">
        <v>22</v>
      </c>
      <c r="J277">
        <f t="shared" si="34"/>
        <v>2254.7999999999997</v>
      </c>
      <c r="K277">
        <f t="shared" si="38"/>
        <v>295</v>
      </c>
      <c r="M277">
        <v>8.6</v>
      </c>
      <c r="N277">
        <v>4.3</v>
      </c>
      <c r="O277">
        <f t="shared" si="31"/>
        <v>4.3</v>
      </c>
      <c r="P277">
        <f t="shared" si="35"/>
        <v>4.3</v>
      </c>
      <c r="Q277">
        <v>223</v>
      </c>
      <c r="R277">
        <v>1.1499999999999999</v>
      </c>
      <c r="S277">
        <f t="shared" si="32"/>
        <v>4.9449999999999994</v>
      </c>
      <c r="T277" s="24">
        <f t="shared" si="33"/>
        <v>3.6550000000000002</v>
      </c>
      <c r="U277" s="24">
        <f t="shared" si="36"/>
        <v>3.6550000000000002</v>
      </c>
      <c r="W277">
        <v>1904.7</v>
      </c>
      <c r="Y277">
        <f t="shared" si="37"/>
        <v>204815.19999999992</v>
      </c>
      <c r="Z277">
        <f t="shared" si="39"/>
        <v>48020.400000000009</v>
      </c>
      <c r="AA277">
        <v>13.927581282818274</v>
      </c>
    </row>
    <row r="278" spans="1:28" s="25" customFormat="1" ht="15.75" thickBot="1" x14ac:dyDescent="0.3">
      <c r="A278" s="25">
        <v>5080</v>
      </c>
      <c r="B278" s="25">
        <v>18650</v>
      </c>
      <c r="C278" s="26">
        <v>42856</v>
      </c>
      <c r="F278" s="45"/>
      <c r="G278" s="25">
        <v>10.6</v>
      </c>
      <c r="H278" s="25">
        <v>6.5</v>
      </c>
      <c r="I278" s="25">
        <v>14.1</v>
      </c>
      <c r="J278" s="25">
        <f t="shared" si="34"/>
        <v>2265.3999999999996</v>
      </c>
      <c r="K278" s="25">
        <f t="shared" si="38"/>
        <v>305.60000000000002</v>
      </c>
      <c r="L278" s="27"/>
      <c r="M278" s="25">
        <v>5.7</v>
      </c>
      <c r="N278" s="25">
        <v>2.2000000000000002</v>
      </c>
      <c r="O278" s="25">
        <f t="shared" si="31"/>
        <v>3.5</v>
      </c>
      <c r="P278" s="25">
        <f t="shared" si="35"/>
        <v>7.8</v>
      </c>
      <c r="Q278" s="25">
        <v>224</v>
      </c>
      <c r="R278" s="25">
        <v>1.1499999999999999</v>
      </c>
      <c r="S278" s="25">
        <f t="shared" si="32"/>
        <v>2.5299999999999998</v>
      </c>
      <c r="T278" s="24">
        <f t="shared" si="33"/>
        <v>3.1700000000000004</v>
      </c>
      <c r="U278" s="24">
        <f t="shared" si="36"/>
        <v>6.8250000000000011</v>
      </c>
      <c r="V278" s="27"/>
      <c r="W278" s="25">
        <v>1049.5999999999999</v>
      </c>
      <c r="Y278" s="25">
        <f t="shared" si="37"/>
        <v>205864.79999999993</v>
      </c>
      <c r="Z278" s="25">
        <f t="shared" si="39"/>
        <v>49070.000000000007</v>
      </c>
      <c r="AA278" s="25">
        <v>13.971948765851518</v>
      </c>
    </row>
    <row r="279" spans="1:28" x14ac:dyDescent="0.25">
      <c r="A279">
        <v>5080</v>
      </c>
      <c r="B279">
        <v>18650</v>
      </c>
      <c r="C279" s="1">
        <v>42857</v>
      </c>
      <c r="F279" s="46" t="s">
        <v>53</v>
      </c>
      <c r="G279">
        <v>12.3</v>
      </c>
      <c r="H279">
        <v>10.1</v>
      </c>
      <c r="I279">
        <v>13.8</v>
      </c>
      <c r="J279">
        <f t="shared" si="34"/>
        <v>2277.6999999999998</v>
      </c>
      <c r="K279">
        <f>12.3</f>
        <v>12.3</v>
      </c>
      <c r="L279" s="17" t="s">
        <v>34</v>
      </c>
      <c r="M279">
        <v>6.2</v>
      </c>
      <c r="N279">
        <v>1.7</v>
      </c>
      <c r="O279">
        <f t="shared" si="31"/>
        <v>4.5</v>
      </c>
      <c r="P279">
        <f t="shared" si="35"/>
        <v>12.3</v>
      </c>
      <c r="Q279">
        <v>225</v>
      </c>
      <c r="R279">
        <f>1.15+((Q279-224)/55)*(0.35-1.15)</f>
        <v>1.1354545454545453</v>
      </c>
      <c r="S279">
        <f t="shared" si="32"/>
        <v>1.9302727272727269</v>
      </c>
      <c r="T279" s="24">
        <f t="shared" si="33"/>
        <v>4.2697272727272733</v>
      </c>
      <c r="U279" s="24">
        <f t="shared" si="36"/>
        <v>11.094727272727274</v>
      </c>
      <c r="V279" s="32" t="s">
        <v>41</v>
      </c>
      <c r="W279">
        <v>1047.9000000000001</v>
      </c>
      <c r="Y279">
        <f t="shared" si="37"/>
        <v>206912.69999999992</v>
      </c>
      <c r="Z279">
        <f>W279</f>
        <v>1047.9000000000001</v>
      </c>
      <c r="AA279">
        <v>14.015885938152335</v>
      </c>
      <c r="AB279" s="32" t="s">
        <v>46</v>
      </c>
    </row>
    <row r="280" spans="1:28" x14ac:dyDescent="0.25">
      <c r="A280">
        <v>5080</v>
      </c>
      <c r="B280">
        <v>18650</v>
      </c>
      <c r="C280" s="1">
        <v>42858</v>
      </c>
      <c r="F280" s="46"/>
      <c r="G280">
        <v>13.6</v>
      </c>
      <c r="H280">
        <v>10.6</v>
      </c>
      <c r="I280">
        <v>16.8</v>
      </c>
      <c r="J280">
        <f t="shared" si="34"/>
        <v>2291.2999999999997</v>
      </c>
      <c r="K280">
        <f t="shared" si="38"/>
        <v>25.9</v>
      </c>
      <c r="L280" s="8">
        <v>317.10000000000002</v>
      </c>
      <c r="M280">
        <v>0</v>
      </c>
      <c r="N280">
        <v>2</v>
      </c>
      <c r="O280">
        <f t="shared" si="31"/>
        <v>-2</v>
      </c>
      <c r="P280">
        <f t="shared" si="35"/>
        <v>10.3</v>
      </c>
      <c r="Q280">
        <v>226</v>
      </c>
      <c r="R280">
        <f t="shared" ref="R280:R333" si="40">1.15+((Q280-224)/55)*(0.35-1.15)</f>
        <v>1.1209090909090909</v>
      </c>
      <c r="S280">
        <f t="shared" si="32"/>
        <v>2.2418181818181817</v>
      </c>
      <c r="T280" s="24">
        <f t="shared" si="33"/>
        <v>-2.2418181818181817</v>
      </c>
      <c r="U280" s="24">
        <f t="shared" si="36"/>
        <v>8.8529090909090922</v>
      </c>
      <c r="V280">
        <v>2</v>
      </c>
      <c r="W280">
        <v>1321.1</v>
      </c>
      <c r="Y280">
        <f t="shared" si="37"/>
        <v>208233.79999999993</v>
      </c>
      <c r="Z280">
        <f t="shared" ref="Z280:Z333" si="41">Z279+W280</f>
        <v>2369</v>
      </c>
      <c r="AA280">
        <v>14.059376812329379</v>
      </c>
      <c r="AB280">
        <v>34767.599999999999</v>
      </c>
    </row>
    <row r="281" spans="1:28" s="36" customFormat="1" x14ac:dyDescent="0.25">
      <c r="A281" s="36">
        <v>5080</v>
      </c>
      <c r="B281" s="36">
        <v>18650</v>
      </c>
      <c r="C281" s="37">
        <v>42859</v>
      </c>
      <c r="F281" s="46"/>
      <c r="G281" s="36">
        <v>15.6</v>
      </c>
      <c r="H281" s="36">
        <v>10</v>
      </c>
      <c r="I281" s="36">
        <v>20</v>
      </c>
      <c r="J281" s="36">
        <f t="shared" si="34"/>
        <v>2306.8999999999996</v>
      </c>
      <c r="K281">
        <f t="shared" si="38"/>
        <v>41.5</v>
      </c>
      <c r="L281" s="17" t="s">
        <v>35</v>
      </c>
      <c r="M281" s="36">
        <v>0</v>
      </c>
      <c r="N281" s="36">
        <v>2.2999999999999998</v>
      </c>
      <c r="O281" s="36">
        <f t="shared" si="31"/>
        <v>-2.2999999999999998</v>
      </c>
      <c r="P281" s="36">
        <f t="shared" si="35"/>
        <v>8</v>
      </c>
      <c r="Q281" s="36">
        <v>227</v>
      </c>
      <c r="R281">
        <f t="shared" si="40"/>
        <v>1.1063636363636362</v>
      </c>
      <c r="S281" s="36">
        <f t="shared" si="32"/>
        <v>2.5446363636363629</v>
      </c>
      <c r="T281" s="24">
        <f t="shared" si="33"/>
        <v>-2.5446363636363629</v>
      </c>
      <c r="U281" s="24">
        <f t="shared" si="36"/>
        <v>6.3082727272727297</v>
      </c>
      <c r="V281" s="32" t="s">
        <v>42</v>
      </c>
      <c r="W281" s="36">
        <v>1341.5</v>
      </c>
      <c r="Y281" s="36">
        <f t="shared" si="37"/>
        <v>209575.29999999993</v>
      </c>
      <c r="Z281">
        <f t="shared" si="41"/>
        <v>3710.5</v>
      </c>
      <c r="AA281" s="36">
        <v>14.102405116116495</v>
      </c>
      <c r="AB281" s="32" t="s">
        <v>47</v>
      </c>
    </row>
    <row r="282" spans="1:28" ht="15" customHeight="1" x14ac:dyDescent="0.25">
      <c r="A282">
        <v>5080</v>
      </c>
      <c r="B282">
        <v>18650</v>
      </c>
      <c r="C282" s="1">
        <v>42860</v>
      </c>
      <c r="F282" s="46"/>
      <c r="G282">
        <v>14</v>
      </c>
      <c r="H282">
        <v>11.9</v>
      </c>
      <c r="I282">
        <v>16.100000000000001</v>
      </c>
      <c r="J282">
        <f t="shared" si="34"/>
        <v>2320.8999999999996</v>
      </c>
      <c r="K282">
        <f t="shared" si="38"/>
        <v>55.5</v>
      </c>
      <c r="L282" s="21">
        <f>AVERAGE(G279:G298)</f>
        <v>15.855000000000004</v>
      </c>
      <c r="M282">
        <v>11.4</v>
      </c>
      <c r="N282">
        <v>2.2000000000000002</v>
      </c>
      <c r="O282">
        <f t="shared" si="31"/>
        <v>9.1999999999999993</v>
      </c>
      <c r="P282">
        <f t="shared" si="35"/>
        <v>17.2</v>
      </c>
      <c r="Q282">
        <v>228</v>
      </c>
      <c r="R282">
        <f t="shared" si="40"/>
        <v>1.0918181818181818</v>
      </c>
      <c r="S282">
        <f t="shared" si="32"/>
        <v>2.4020000000000001</v>
      </c>
      <c r="T282" s="24">
        <f t="shared" si="33"/>
        <v>8.9980000000000011</v>
      </c>
      <c r="U282" s="24">
        <f t="shared" si="36"/>
        <v>15.306272727272731</v>
      </c>
      <c r="V282">
        <v>18</v>
      </c>
      <c r="W282">
        <v>835.8</v>
      </c>
      <c r="Y282">
        <f t="shared" si="37"/>
        <v>210411.09999999992</v>
      </c>
      <c r="Z282">
        <f t="shared" si="41"/>
        <v>4546.3</v>
      </c>
      <c r="AA282">
        <v>14.144954299565805</v>
      </c>
      <c r="AB282">
        <f>(AB280/100)/L280</f>
        <v>1.0964238410596026</v>
      </c>
    </row>
    <row r="283" spans="1:28" x14ac:dyDescent="0.25">
      <c r="A283">
        <v>5080</v>
      </c>
      <c r="B283">
        <v>18650</v>
      </c>
      <c r="C283" s="1">
        <v>42861</v>
      </c>
      <c r="F283" s="46"/>
      <c r="G283">
        <v>14.3</v>
      </c>
      <c r="H283">
        <v>11.9</v>
      </c>
      <c r="I283">
        <v>18.100000000000001</v>
      </c>
      <c r="J283">
        <f t="shared" si="34"/>
        <v>2335.1999999999998</v>
      </c>
      <c r="K283">
        <f t="shared" si="38"/>
        <v>69.8</v>
      </c>
      <c r="L283" s="17" t="s">
        <v>36</v>
      </c>
      <c r="M283">
        <v>3.3</v>
      </c>
      <c r="N283">
        <v>3</v>
      </c>
      <c r="O283">
        <f t="shared" si="31"/>
        <v>0.29999999999999982</v>
      </c>
      <c r="P283">
        <f t="shared" si="35"/>
        <v>17.5</v>
      </c>
      <c r="Q283">
        <v>229</v>
      </c>
      <c r="R283">
        <f t="shared" si="40"/>
        <v>1.0772727272727272</v>
      </c>
      <c r="S283">
        <f t="shared" si="32"/>
        <v>3.2318181818181815</v>
      </c>
      <c r="T283" s="24">
        <f t="shared" si="33"/>
        <v>6.8181818181818343E-2</v>
      </c>
      <c r="U283" s="24">
        <f t="shared" si="36"/>
        <v>15.374454545454549</v>
      </c>
      <c r="V283" s="32" t="s">
        <v>43</v>
      </c>
      <c r="W283">
        <v>1458.8</v>
      </c>
      <c r="Y283">
        <f t="shared" si="37"/>
        <v>211869.89999999991</v>
      </c>
      <c r="Z283">
        <f t="shared" si="41"/>
        <v>6005.1</v>
      </c>
      <c r="AA283">
        <v>14.187007543468331</v>
      </c>
      <c r="AB283" s="32" t="s">
        <v>48</v>
      </c>
    </row>
    <row r="284" spans="1:28" x14ac:dyDescent="0.25">
      <c r="A284">
        <v>5080</v>
      </c>
      <c r="B284">
        <v>18650</v>
      </c>
      <c r="C284" s="1">
        <v>42862</v>
      </c>
      <c r="F284" s="46"/>
      <c r="G284">
        <v>14.2</v>
      </c>
      <c r="H284">
        <v>8.8000000000000007</v>
      </c>
      <c r="I284">
        <v>18.3</v>
      </c>
      <c r="J284">
        <f t="shared" si="34"/>
        <v>2349.3999999999996</v>
      </c>
      <c r="K284">
        <f t="shared" si="38"/>
        <v>84</v>
      </c>
      <c r="L284" s="12">
        <f>MIN(H279:H298)</f>
        <v>8.1999999999999993</v>
      </c>
      <c r="M284">
        <v>0</v>
      </c>
      <c r="N284">
        <v>3.8</v>
      </c>
      <c r="O284">
        <f t="shared" si="31"/>
        <v>-3.8</v>
      </c>
      <c r="P284">
        <f t="shared" si="35"/>
        <v>13.7</v>
      </c>
      <c r="Q284">
        <v>230</v>
      </c>
      <c r="R284">
        <f t="shared" si="40"/>
        <v>1.0627272727272727</v>
      </c>
      <c r="S284">
        <f t="shared" si="32"/>
        <v>4.0383636363636359</v>
      </c>
      <c r="T284" s="24">
        <f t="shared" si="33"/>
        <v>-4.0383636363636359</v>
      </c>
      <c r="U284" s="24">
        <f t="shared" si="36"/>
        <v>11.336090909090913</v>
      </c>
      <c r="V284">
        <v>0</v>
      </c>
      <c r="W284">
        <v>2431.6</v>
      </c>
      <c r="Y284">
        <f t="shared" si="37"/>
        <v>214301.49999999991</v>
      </c>
      <c r="Z284">
        <f t="shared" si="41"/>
        <v>8436.7000000000007</v>
      </c>
      <c r="AA284">
        <v>14.228547769038943</v>
      </c>
      <c r="AB284">
        <v>2</v>
      </c>
    </row>
    <row r="285" spans="1:28" x14ac:dyDescent="0.25">
      <c r="A285">
        <v>5080</v>
      </c>
      <c r="B285">
        <v>18650</v>
      </c>
      <c r="C285" s="1">
        <v>42863</v>
      </c>
      <c r="F285" s="46"/>
      <c r="G285">
        <v>14.8</v>
      </c>
      <c r="H285">
        <v>10.3</v>
      </c>
      <c r="I285">
        <v>18.600000000000001</v>
      </c>
      <c r="J285">
        <f t="shared" si="34"/>
        <v>2364.1999999999998</v>
      </c>
      <c r="K285">
        <f t="shared" si="38"/>
        <v>98.8</v>
      </c>
      <c r="L285" s="17" t="s">
        <v>37</v>
      </c>
      <c r="M285">
        <v>0</v>
      </c>
      <c r="N285">
        <v>3.6</v>
      </c>
      <c r="O285">
        <f t="shared" si="31"/>
        <v>-3.6</v>
      </c>
      <c r="P285">
        <f t="shared" si="35"/>
        <v>10.1</v>
      </c>
      <c r="Q285">
        <v>231</v>
      </c>
      <c r="R285">
        <f t="shared" si="40"/>
        <v>1.0481818181818181</v>
      </c>
      <c r="S285">
        <f t="shared" si="32"/>
        <v>3.7734545454545452</v>
      </c>
      <c r="T285" s="24">
        <f t="shared" si="33"/>
        <v>-3.7734545454545452</v>
      </c>
      <c r="U285" s="24">
        <f t="shared" si="36"/>
        <v>7.5626363636363685</v>
      </c>
      <c r="V285" s="32" t="s">
        <v>44</v>
      </c>
      <c r="W285">
        <v>2059</v>
      </c>
      <c r="Y285">
        <f t="shared" si="37"/>
        <v>216360.49999999991</v>
      </c>
      <c r="Z285">
        <f t="shared" si="41"/>
        <v>10495.7</v>
      </c>
      <c r="AA285">
        <v>14.269557648899911</v>
      </c>
    </row>
    <row r="286" spans="1:28" x14ac:dyDescent="0.25">
      <c r="A286">
        <v>5080</v>
      </c>
      <c r="B286">
        <v>18650</v>
      </c>
      <c r="C286" s="1">
        <v>42864</v>
      </c>
      <c r="E286" s="3"/>
      <c r="F286" s="46"/>
      <c r="G286">
        <v>14.8</v>
      </c>
      <c r="H286">
        <v>8.1999999999999993</v>
      </c>
      <c r="I286">
        <v>19.3</v>
      </c>
      <c r="J286">
        <f t="shared" si="34"/>
        <v>2379</v>
      </c>
      <c r="K286">
        <f t="shared" si="38"/>
        <v>113.6</v>
      </c>
      <c r="L286" s="8">
        <v>27.4</v>
      </c>
      <c r="M286">
        <v>0</v>
      </c>
      <c r="N286">
        <v>4.2</v>
      </c>
      <c r="O286">
        <f t="shared" si="31"/>
        <v>-4.2</v>
      </c>
      <c r="P286">
        <f t="shared" si="35"/>
        <v>5.8999999999999995</v>
      </c>
      <c r="Q286">
        <v>232</v>
      </c>
      <c r="R286">
        <f t="shared" si="40"/>
        <v>1.0336363636363635</v>
      </c>
      <c r="S286">
        <f t="shared" si="32"/>
        <v>4.3412727272727265</v>
      </c>
      <c r="T286" s="24">
        <f t="shared" si="33"/>
        <v>-4.3412727272727265</v>
      </c>
      <c r="U286" s="24">
        <f t="shared" si="36"/>
        <v>3.221363636363642</v>
      </c>
      <c r="V286" s="24">
        <f>MAX(U279:U298)</f>
        <v>22.487545454545455</v>
      </c>
      <c r="W286">
        <v>2546.1</v>
      </c>
      <c r="Y286">
        <f t="shared" si="37"/>
        <v>218906.59999999992</v>
      </c>
      <c r="Z286">
        <f t="shared" si="41"/>
        <v>13041.800000000001</v>
      </c>
      <c r="AA286">
        <v>14.310019619394385</v>
      </c>
    </row>
    <row r="287" spans="1:28" x14ac:dyDescent="0.25">
      <c r="A287">
        <v>5080</v>
      </c>
      <c r="B287">
        <v>18650</v>
      </c>
      <c r="C287" s="1">
        <v>42865</v>
      </c>
      <c r="F287" s="46"/>
      <c r="G287">
        <v>16</v>
      </c>
      <c r="H287">
        <v>13.2</v>
      </c>
      <c r="I287">
        <v>19.8</v>
      </c>
      <c r="J287">
        <f t="shared" si="34"/>
        <v>2395</v>
      </c>
      <c r="K287">
        <f t="shared" si="38"/>
        <v>129.6</v>
      </c>
      <c r="L287" s="17" t="s">
        <v>38</v>
      </c>
      <c r="M287">
        <v>3.3</v>
      </c>
      <c r="N287">
        <v>3.4</v>
      </c>
      <c r="O287">
        <f t="shared" si="31"/>
        <v>-0.10000000000000009</v>
      </c>
      <c r="P287">
        <f t="shared" si="35"/>
        <v>5.7999999999999989</v>
      </c>
      <c r="Q287">
        <v>233</v>
      </c>
      <c r="R287">
        <f t="shared" si="40"/>
        <v>1.019090909090909</v>
      </c>
      <c r="S287">
        <f t="shared" si="32"/>
        <v>3.4649090909090905</v>
      </c>
      <c r="T287" s="24">
        <f t="shared" si="33"/>
        <v>-0.16490909090909067</v>
      </c>
      <c r="U287" s="24">
        <f t="shared" si="36"/>
        <v>3.0564545454545513</v>
      </c>
      <c r="V287" s="32" t="s">
        <v>45</v>
      </c>
      <c r="W287">
        <v>1317.9</v>
      </c>
      <c r="Y287">
        <f t="shared" si="37"/>
        <v>220224.49999999991</v>
      </c>
      <c r="Z287">
        <f t="shared" si="41"/>
        <v>14359.7</v>
      </c>
      <c r="AA287">
        <v>14.349915894257702</v>
      </c>
    </row>
    <row r="288" spans="1:28" x14ac:dyDescent="0.25">
      <c r="A288">
        <v>5080</v>
      </c>
      <c r="B288">
        <v>18650</v>
      </c>
      <c r="C288" s="1">
        <v>42866</v>
      </c>
      <c r="F288" s="46"/>
      <c r="G288">
        <v>16.3</v>
      </c>
      <c r="H288">
        <v>14</v>
      </c>
      <c r="I288">
        <v>19</v>
      </c>
      <c r="J288">
        <f t="shared" si="34"/>
        <v>2411.3000000000002</v>
      </c>
      <c r="K288">
        <f t="shared" si="38"/>
        <v>145.9</v>
      </c>
      <c r="L288" s="8">
        <v>3</v>
      </c>
      <c r="M288">
        <v>11.7</v>
      </c>
      <c r="N288">
        <v>2.1</v>
      </c>
      <c r="O288">
        <f t="shared" si="31"/>
        <v>9.6</v>
      </c>
      <c r="P288">
        <f t="shared" si="35"/>
        <v>15.399999999999999</v>
      </c>
      <c r="Q288">
        <v>234</v>
      </c>
      <c r="R288">
        <f t="shared" si="40"/>
        <v>1.0045454545454544</v>
      </c>
      <c r="S288">
        <f t="shared" si="32"/>
        <v>2.1095454545454544</v>
      </c>
      <c r="T288" s="24">
        <f t="shared" si="33"/>
        <v>9.5904545454545449</v>
      </c>
      <c r="U288" s="24">
        <f t="shared" si="36"/>
        <v>12.646909090909096</v>
      </c>
      <c r="V288" s="21">
        <f>AVERAGE(U279:U298)</f>
        <v>10.755945454545458</v>
      </c>
      <c r="W288">
        <v>1034.2</v>
      </c>
      <c r="Y288">
        <f t="shared" si="37"/>
        <v>221258.69999999992</v>
      </c>
      <c r="Z288">
        <f t="shared" si="41"/>
        <v>15393.900000000001</v>
      </c>
      <c r="AA288">
        <v>14.389228479670432</v>
      </c>
    </row>
    <row r="289" spans="1:28" x14ac:dyDescent="0.25">
      <c r="A289">
        <v>5080</v>
      </c>
      <c r="B289">
        <v>18650</v>
      </c>
      <c r="C289" s="1">
        <v>42867</v>
      </c>
      <c r="F289" s="46"/>
      <c r="G289">
        <v>17.7</v>
      </c>
      <c r="H289">
        <v>12.9</v>
      </c>
      <c r="I289">
        <v>21.6</v>
      </c>
      <c r="J289">
        <f t="shared" si="34"/>
        <v>2429</v>
      </c>
      <c r="K289">
        <f t="shared" si="38"/>
        <v>163.6</v>
      </c>
      <c r="L289" s="17" t="s">
        <v>39</v>
      </c>
      <c r="M289">
        <v>7.3</v>
      </c>
      <c r="N289">
        <v>3.4</v>
      </c>
      <c r="O289">
        <f t="shared" si="31"/>
        <v>3.9</v>
      </c>
      <c r="P289">
        <f t="shared" si="35"/>
        <v>19.299999999999997</v>
      </c>
      <c r="Q289">
        <v>235</v>
      </c>
      <c r="R289">
        <f t="shared" si="40"/>
        <v>0.98999999999999988</v>
      </c>
      <c r="S289">
        <f t="shared" si="32"/>
        <v>3.3659999999999997</v>
      </c>
      <c r="T289" s="24">
        <f t="shared" si="33"/>
        <v>3.9340000000000002</v>
      </c>
      <c r="U289" s="24">
        <f t="shared" si="36"/>
        <v>16.580909090909095</v>
      </c>
      <c r="W289">
        <v>1881.1</v>
      </c>
      <c r="Y289">
        <f t="shared" si="37"/>
        <v>223139.79999999993</v>
      </c>
      <c r="Z289">
        <f t="shared" si="41"/>
        <v>17275</v>
      </c>
      <c r="AA289">
        <v>14.427939190712827</v>
      </c>
    </row>
    <row r="290" spans="1:28" x14ac:dyDescent="0.25">
      <c r="A290">
        <v>5080</v>
      </c>
      <c r="B290">
        <v>18650</v>
      </c>
      <c r="C290" s="1">
        <v>42868</v>
      </c>
      <c r="F290" s="46"/>
      <c r="G290">
        <v>16.399999999999999</v>
      </c>
      <c r="H290">
        <v>13.8</v>
      </c>
      <c r="I290">
        <v>20.3</v>
      </c>
      <c r="J290">
        <f t="shared" si="34"/>
        <v>2445.4</v>
      </c>
      <c r="K290">
        <f t="shared" si="38"/>
        <v>180</v>
      </c>
      <c r="L290" s="8">
        <v>0</v>
      </c>
      <c r="M290">
        <v>0.1</v>
      </c>
      <c r="N290">
        <v>3.3</v>
      </c>
      <c r="O290">
        <f t="shared" si="31"/>
        <v>-3.1999999999999997</v>
      </c>
      <c r="P290">
        <f t="shared" si="35"/>
        <v>16.099999999999998</v>
      </c>
      <c r="Q290">
        <v>236</v>
      </c>
      <c r="R290">
        <f t="shared" si="40"/>
        <v>0.97545454545454535</v>
      </c>
      <c r="S290">
        <f t="shared" si="32"/>
        <v>3.2189999999999994</v>
      </c>
      <c r="T290" s="24">
        <f t="shared" si="33"/>
        <v>-3.1189999999999993</v>
      </c>
      <c r="U290" s="24">
        <f t="shared" si="36"/>
        <v>13.461909090909096</v>
      </c>
      <c r="V290" s="8">
        <f>(V288*100)/155.7</f>
        <v>6.9081216792199482</v>
      </c>
      <c r="W290">
        <v>1723.5</v>
      </c>
      <c r="Y290">
        <f t="shared" si="37"/>
        <v>224863.29999999993</v>
      </c>
      <c r="Z290">
        <f t="shared" si="41"/>
        <v>18998.5</v>
      </c>
      <c r="AA290">
        <v>14.466029669235274</v>
      </c>
    </row>
    <row r="291" spans="1:28" x14ac:dyDescent="0.25">
      <c r="A291">
        <v>5080</v>
      </c>
      <c r="B291">
        <v>18650</v>
      </c>
      <c r="C291" s="1">
        <v>42869</v>
      </c>
      <c r="F291" s="46"/>
      <c r="G291">
        <v>17.899999999999999</v>
      </c>
      <c r="H291">
        <v>11.8</v>
      </c>
      <c r="I291">
        <v>22.9</v>
      </c>
      <c r="J291">
        <f t="shared" si="34"/>
        <v>2463.3000000000002</v>
      </c>
      <c r="K291">
        <f t="shared" si="38"/>
        <v>197.9</v>
      </c>
      <c r="L291" s="17" t="s">
        <v>40</v>
      </c>
      <c r="M291">
        <v>0.1</v>
      </c>
      <c r="N291">
        <v>3.8</v>
      </c>
      <c r="O291">
        <f t="shared" si="31"/>
        <v>-3.6999999999999997</v>
      </c>
      <c r="P291">
        <f t="shared" si="35"/>
        <v>12.399999999999999</v>
      </c>
      <c r="Q291">
        <v>237</v>
      </c>
      <c r="R291">
        <f t="shared" si="40"/>
        <v>0.96090909090909082</v>
      </c>
      <c r="S291">
        <f t="shared" si="32"/>
        <v>3.6514545454545448</v>
      </c>
      <c r="T291" s="24">
        <f t="shared" si="33"/>
        <v>-3.5514545454545448</v>
      </c>
      <c r="U291" s="24">
        <f t="shared" si="36"/>
        <v>9.9104545454545505</v>
      </c>
      <c r="W291">
        <v>2021.6</v>
      </c>
      <c r="Y291">
        <f t="shared" si="37"/>
        <v>226884.89999999994</v>
      </c>
      <c r="Z291">
        <f t="shared" si="41"/>
        <v>21020.1</v>
      </c>
      <c r="AA291">
        <v>14.503481403154025</v>
      </c>
    </row>
    <row r="292" spans="1:28" x14ac:dyDescent="0.25">
      <c r="A292">
        <v>5080</v>
      </c>
      <c r="B292">
        <v>18650</v>
      </c>
      <c r="C292" s="1">
        <v>42870</v>
      </c>
      <c r="F292" s="46"/>
      <c r="G292">
        <v>19.899999999999999</v>
      </c>
      <c r="H292">
        <v>13.7</v>
      </c>
      <c r="I292">
        <v>25.8</v>
      </c>
      <c r="J292">
        <f t="shared" si="34"/>
        <v>2483.2000000000003</v>
      </c>
      <c r="K292">
        <f t="shared" si="38"/>
        <v>217.8</v>
      </c>
      <c r="L292" s="18">
        <v>0</v>
      </c>
      <c r="M292">
        <v>0</v>
      </c>
      <c r="N292">
        <v>4.9000000000000004</v>
      </c>
      <c r="O292">
        <f t="shared" si="31"/>
        <v>-4.9000000000000004</v>
      </c>
      <c r="P292">
        <f t="shared" si="35"/>
        <v>7.4999999999999982</v>
      </c>
      <c r="Q292">
        <v>238</v>
      </c>
      <c r="R292">
        <f t="shared" si="40"/>
        <v>0.9463636363636363</v>
      </c>
      <c r="S292">
        <f t="shared" si="32"/>
        <v>4.6371818181818183</v>
      </c>
      <c r="T292" s="24">
        <f t="shared" si="33"/>
        <v>-4.6371818181818183</v>
      </c>
      <c r="U292" s="24">
        <f t="shared" si="36"/>
        <v>5.2732727272727322</v>
      </c>
      <c r="W292">
        <v>2493.5</v>
      </c>
      <c r="Y292">
        <f t="shared" si="37"/>
        <v>229378.39999999994</v>
      </c>
      <c r="Z292">
        <f t="shared" si="41"/>
        <v>23513.599999999999</v>
      </c>
      <c r="AA292">
        <v>14.540275747175544</v>
      </c>
    </row>
    <row r="293" spans="1:28" x14ac:dyDescent="0.25">
      <c r="A293">
        <v>5080</v>
      </c>
      <c r="B293">
        <v>18650</v>
      </c>
      <c r="C293" s="1">
        <v>42871</v>
      </c>
      <c r="F293" s="46"/>
      <c r="G293">
        <v>21.9</v>
      </c>
      <c r="H293">
        <v>16.100000000000001</v>
      </c>
      <c r="I293">
        <v>27.4</v>
      </c>
      <c r="J293">
        <f t="shared" si="34"/>
        <v>2505.1000000000004</v>
      </c>
      <c r="K293">
        <f t="shared" si="38"/>
        <v>239.70000000000002</v>
      </c>
      <c r="M293">
        <v>0</v>
      </c>
      <c r="N293">
        <v>6.3</v>
      </c>
      <c r="O293">
        <f t="shared" si="31"/>
        <v>-6.3</v>
      </c>
      <c r="P293">
        <f t="shared" si="35"/>
        <v>1.1999999999999984</v>
      </c>
      <c r="Q293">
        <v>239</v>
      </c>
      <c r="R293">
        <f t="shared" si="40"/>
        <v>0.93181818181818177</v>
      </c>
      <c r="S293">
        <f t="shared" si="32"/>
        <v>5.8704545454545451</v>
      </c>
      <c r="T293" s="24">
        <f t="shared" si="33"/>
        <v>-5.8704545454545451</v>
      </c>
      <c r="U293" s="24">
        <v>0</v>
      </c>
      <c r="W293">
        <v>2803</v>
      </c>
      <c r="Y293">
        <f t="shared" si="37"/>
        <v>232181.39999999994</v>
      </c>
      <c r="Z293">
        <f t="shared" si="41"/>
        <v>26316.6</v>
      </c>
      <c r="AA293">
        <v>14.576393944946345</v>
      </c>
    </row>
    <row r="294" spans="1:28" x14ac:dyDescent="0.25">
      <c r="A294">
        <v>5080</v>
      </c>
      <c r="B294">
        <v>18650</v>
      </c>
      <c r="C294" s="1">
        <v>42872</v>
      </c>
      <c r="F294" s="46"/>
      <c r="G294">
        <v>20.7</v>
      </c>
      <c r="H294">
        <v>17.3</v>
      </c>
      <c r="I294">
        <v>26.4</v>
      </c>
      <c r="J294">
        <f t="shared" si="34"/>
        <v>2525.8000000000002</v>
      </c>
      <c r="K294">
        <f t="shared" si="38"/>
        <v>260.40000000000003</v>
      </c>
      <c r="M294">
        <v>0.7</v>
      </c>
      <c r="N294">
        <v>6.5</v>
      </c>
      <c r="O294">
        <f t="shared" si="31"/>
        <v>-5.8</v>
      </c>
      <c r="P294">
        <v>0</v>
      </c>
      <c r="Q294">
        <v>240</v>
      </c>
      <c r="R294">
        <f t="shared" si="40"/>
        <v>0.91727272727272724</v>
      </c>
      <c r="S294">
        <f t="shared" si="32"/>
        <v>5.9622727272727269</v>
      </c>
      <c r="T294" s="24">
        <f t="shared" si="33"/>
        <v>-5.2622727272727268</v>
      </c>
      <c r="U294" s="24">
        <v>0</v>
      </c>
      <c r="W294">
        <v>2615.6</v>
      </c>
      <c r="Y294">
        <f t="shared" si="37"/>
        <v>234796.99999999994</v>
      </c>
      <c r="Z294">
        <f t="shared" si="41"/>
        <v>28932.199999999997</v>
      </c>
      <c r="AA294">
        <v>14.611817152618258</v>
      </c>
    </row>
    <row r="295" spans="1:28" x14ac:dyDescent="0.25">
      <c r="A295">
        <v>5080</v>
      </c>
      <c r="B295">
        <v>18650</v>
      </c>
      <c r="C295" s="1">
        <v>42873</v>
      </c>
      <c r="F295" s="46"/>
      <c r="G295">
        <v>13.1</v>
      </c>
      <c r="H295">
        <v>10.199999999999999</v>
      </c>
      <c r="I295">
        <v>15.9</v>
      </c>
      <c r="J295">
        <f t="shared" si="34"/>
        <v>2538.9</v>
      </c>
      <c r="K295">
        <f t="shared" si="38"/>
        <v>273.50000000000006</v>
      </c>
      <c r="M295">
        <v>23.3</v>
      </c>
      <c r="N295">
        <v>0.9</v>
      </c>
      <c r="O295">
        <f t="shared" si="31"/>
        <v>22.400000000000002</v>
      </c>
      <c r="P295">
        <f t="shared" si="35"/>
        <v>22.400000000000002</v>
      </c>
      <c r="Q295">
        <v>241</v>
      </c>
      <c r="R295">
        <f t="shared" si="40"/>
        <v>0.9027272727272726</v>
      </c>
      <c r="S295">
        <f t="shared" si="32"/>
        <v>0.81245454545454532</v>
      </c>
      <c r="T295" s="24">
        <f t="shared" si="33"/>
        <v>22.487545454545455</v>
      </c>
      <c r="U295" s="24">
        <f t="shared" si="36"/>
        <v>22.487545454545455</v>
      </c>
      <c r="W295">
        <v>521.79999999999995</v>
      </c>
      <c r="Y295">
        <f t="shared" si="37"/>
        <v>235318.79999999993</v>
      </c>
      <c r="Z295">
        <f t="shared" si="41"/>
        <v>29453.999999999996</v>
      </c>
      <c r="AA295">
        <v>14.646526463811636</v>
      </c>
    </row>
    <row r="296" spans="1:28" x14ac:dyDescent="0.25">
      <c r="A296">
        <v>5080</v>
      </c>
      <c r="B296">
        <v>18650</v>
      </c>
      <c r="C296" s="1">
        <v>42874</v>
      </c>
      <c r="F296" s="46"/>
      <c r="G296">
        <v>12.1</v>
      </c>
      <c r="H296">
        <v>8.1999999999999993</v>
      </c>
      <c r="I296">
        <v>16.100000000000001</v>
      </c>
      <c r="J296">
        <f t="shared" si="34"/>
        <v>2551</v>
      </c>
      <c r="K296">
        <f t="shared" si="38"/>
        <v>285.60000000000008</v>
      </c>
      <c r="M296">
        <v>0.7</v>
      </c>
      <c r="N296">
        <v>2.7</v>
      </c>
      <c r="O296">
        <f t="shared" si="31"/>
        <v>-2</v>
      </c>
      <c r="P296">
        <f t="shared" si="35"/>
        <v>20.400000000000002</v>
      </c>
      <c r="Q296">
        <v>242</v>
      </c>
      <c r="R296">
        <f t="shared" si="40"/>
        <v>0.88818181818181818</v>
      </c>
      <c r="S296">
        <f t="shared" si="32"/>
        <v>2.3980909090909091</v>
      </c>
      <c r="T296" s="24">
        <f t="shared" si="33"/>
        <v>-1.6980909090909091</v>
      </c>
      <c r="U296" s="24">
        <f t="shared" si="36"/>
        <v>20.789454545454547</v>
      </c>
      <c r="W296">
        <v>1484.5</v>
      </c>
      <c r="Y296">
        <f t="shared" si="37"/>
        <v>236803.29999999993</v>
      </c>
      <c r="Z296">
        <f t="shared" si="41"/>
        <v>30938.499999999996</v>
      </c>
      <c r="AA296">
        <v>14.680502935951182</v>
      </c>
    </row>
    <row r="297" spans="1:28" x14ac:dyDescent="0.25">
      <c r="A297">
        <v>5080</v>
      </c>
      <c r="B297">
        <v>18650</v>
      </c>
      <c r="C297" s="1">
        <v>42875</v>
      </c>
      <c r="F297" s="46"/>
      <c r="G297">
        <v>14.1</v>
      </c>
      <c r="H297">
        <v>9.3000000000000007</v>
      </c>
      <c r="I297">
        <v>19.2</v>
      </c>
      <c r="J297">
        <f t="shared" si="34"/>
        <v>2565.1</v>
      </c>
      <c r="K297">
        <f t="shared" si="38"/>
        <v>299.7000000000001</v>
      </c>
      <c r="M297">
        <v>0</v>
      </c>
      <c r="N297">
        <v>3.5</v>
      </c>
      <c r="O297">
        <f t="shared" si="31"/>
        <v>-3.5</v>
      </c>
      <c r="P297">
        <f t="shared" si="35"/>
        <v>16.900000000000002</v>
      </c>
      <c r="Q297">
        <v>243</v>
      </c>
      <c r="R297">
        <f t="shared" si="40"/>
        <v>0.87363636363636354</v>
      </c>
      <c r="S297">
        <f t="shared" si="32"/>
        <v>3.0577272727272726</v>
      </c>
      <c r="T297" s="24">
        <f t="shared" si="33"/>
        <v>-3.0577272727272726</v>
      </c>
      <c r="U297" s="24">
        <f t="shared" si="36"/>
        <v>17.731727272727273</v>
      </c>
      <c r="W297">
        <v>1821.8</v>
      </c>
      <c r="Y297">
        <f t="shared" si="37"/>
        <v>238625.09999999992</v>
      </c>
      <c r="Z297">
        <f t="shared" si="41"/>
        <v>32760.299999999996</v>
      </c>
      <c r="AA297">
        <v>14.713727617940599</v>
      </c>
    </row>
    <row r="298" spans="1:28" s="25" customFormat="1" ht="15.75" thickBot="1" x14ac:dyDescent="0.3">
      <c r="A298" s="25">
        <v>5080</v>
      </c>
      <c r="B298" s="25">
        <v>18650</v>
      </c>
      <c r="C298" s="26">
        <v>42876</v>
      </c>
      <c r="F298" s="47"/>
      <c r="G298" s="25">
        <v>17.399999999999999</v>
      </c>
      <c r="H298" s="25">
        <v>10.5</v>
      </c>
      <c r="I298" s="25">
        <v>23</v>
      </c>
      <c r="J298" s="25">
        <f t="shared" si="34"/>
        <v>2582.5</v>
      </c>
      <c r="K298" s="25">
        <f t="shared" si="38"/>
        <v>317.10000000000008</v>
      </c>
      <c r="L298" s="27"/>
      <c r="M298" s="25">
        <v>0</v>
      </c>
      <c r="N298" s="25">
        <v>4.2</v>
      </c>
      <c r="O298" s="25">
        <f t="shared" si="31"/>
        <v>-4.2</v>
      </c>
      <c r="P298" s="25">
        <f t="shared" si="35"/>
        <v>12.700000000000003</v>
      </c>
      <c r="Q298" s="25">
        <v>244</v>
      </c>
      <c r="R298">
        <f t="shared" si="40"/>
        <v>0.85909090909090902</v>
      </c>
      <c r="S298" s="25">
        <f t="shared" si="32"/>
        <v>3.6081818181818179</v>
      </c>
      <c r="T298" s="24">
        <f t="shared" si="33"/>
        <v>-3.6081818181818179</v>
      </c>
      <c r="U298" s="24">
        <f t="shared" si="36"/>
        <v>14.123545454545456</v>
      </c>
      <c r="V298" s="27"/>
      <c r="W298" s="25">
        <v>2007.3</v>
      </c>
      <c r="Y298" s="25">
        <f t="shared" si="37"/>
        <v>240632.39999999991</v>
      </c>
      <c r="Z298" s="25">
        <f t="shared" si="41"/>
        <v>34767.599999999999</v>
      </c>
      <c r="AA298" s="25">
        <v>14.746181579133729</v>
      </c>
    </row>
    <row r="299" spans="1:28" x14ac:dyDescent="0.25">
      <c r="A299">
        <v>5080</v>
      </c>
      <c r="B299">
        <v>18650</v>
      </c>
      <c r="C299" s="1">
        <v>42877</v>
      </c>
      <c r="F299" s="48" t="s">
        <v>54</v>
      </c>
      <c r="G299">
        <v>18.7</v>
      </c>
      <c r="H299">
        <v>15.4</v>
      </c>
      <c r="I299">
        <v>24.5</v>
      </c>
      <c r="J299">
        <f t="shared" si="34"/>
        <v>2601.1999999999998</v>
      </c>
      <c r="K299">
        <v>18.7</v>
      </c>
      <c r="L299" s="16" t="s">
        <v>34</v>
      </c>
      <c r="M299">
        <v>9</v>
      </c>
      <c r="N299">
        <v>4.8</v>
      </c>
      <c r="O299">
        <f t="shared" si="31"/>
        <v>4.2</v>
      </c>
      <c r="P299">
        <f t="shared" si="35"/>
        <v>16.900000000000002</v>
      </c>
      <c r="Q299">
        <v>245</v>
      </c>
      <c r="R299">
        <f t="shared" si="40"/>
        <v>0.84454545454545449</v>
      </c>
      <c r="S299">
        <f t="shared" si="32"/>
        <v>4.0538181818181815</v>
      </c>
      <c r="T299" s="24">
        <f t="shared" si="33"/>
        <v>4.9461818181818185</v>
      </c>
      <c r="U299" s="24">
        <f t="shared" si="36"/>
        <v>19.069727272727274</v>
      </c>
      <c r="V299" s="33" t="s">
        <v>41</v>
      </c>
      <c r="W299">
        <v>1817.1</v>
      </c>
      <c r="Y299">
        <f t="shared" si="37"/>
        <v>242449.49999999991</v>
      </c>
      <c r="Z299">
        <f>W299</f>
        <v>1817.1</v>
      </c>
      <c r="AA299">
        <v>14.777845939550673</v>
      </c>
      <c r="AB299" s="33" t="s">
        <v>46</v>
      </c>
    </row>
    <row r="300" spans="1:28" s="36" customFormat="1" x14ac:dyDescent="0.25">
      <c r="A300" s="36">
        <v>5080</v>
      </c>
      <c r="B300" s="36">
        <v>18650</v>
      </c>
      <c r="C300" s="37">
        <v>42878</v>
      </c>
      <c r="F300" s="49"/>
      <c r="G300" s="36">
        <v>15.6</v>
      </c>
      <c r="H300" s="36">
        <v>13.6</v>
      </c>
      <c r="I300" s="36">
        <v>18</v>
      </c>
      <c r="J300" s="36">
        <f t="shared" si="34"/>
        <v>2616.7999999999997</v>
      </c>
      <c r="K300">
        <f t="shared" si="38"/>
        <v>34.299999999999997</v>
      </c>
      <c r="L300" s="8">
        <v>419.3</v>
      </c>
      <c r="M300" s="36">
        <v>0</v>
      </c>
      <c r="N300" s="36">
        <v>1.9</v>
      </c>
      <c r="O300" s="36">
        <f t="shared" si="31"/>
        <v>-1.9</v>
      </c>
      <c r="P300" s="36">
        <f t="shared" si="35"/>
        <v>15.000000000000002</v>
      </c>
      <c r="Q300" s="36">
        <v>246</v>
      </c>
      <c r="R300">
        <f t="shared" si="40"/>
        <v>0.82999999999999985</v>
      </c>
      <c r="S300" s="36">
        <f t="shared" si="32"/>
        <v>1.5769999999999997</v>
      </c>
      <c r="T300" s="24">
        <f t="shared" si="33"/>
        <v>-1.5769999999999997</v>
      </c>
      <c r="U300" s="24">
        <f t="shared" si="36"/>
        <v>17.492727272727276</v>
      </c>
      <c r="V300">
        <v>3</v>
      </c>
      <c r="W300" s="36">
        <v>885.7</v>
      </c>
      <c r="Y300" s="36">
        <f t="shared" si="37"/>
        <v>243335.19999999992</v>
      </c>
      <c r="Z300" s="36">
        <f t="shared" si="41"/>
        <v>2702.8</v>
      </c>
      <c r="AA300" s="36">
        <v>14.808701901277963</v>
      </c>
      <c r="AB300">
        <v>41883.9</v>
      </c>
    </row>
    <row r="301" spans="1:28" ht="15" customHeight="1" x14ac:dyDescent="0.25">
      <c r="A301">
        <v>5080</v>
      </c>
      <c r="B301">
        <v>18650</v>
      </c>
      <c r="C301" s="1">
        <v>42879</v>
      </c>
      <c r="F301" s="49"/>
      <c r="G301">
        <v>19.2</v>
      </c>
      <c r="H301">
        <v>13.4</v>
      </c>
      <c r="I301">
        <v>25.1</v>
      </c>
      <c r="J301">
        <f t="shared" si="34"/>
        <v>2635.9999999999995</v>
      </c>
      <c r="K301">
        <f t="shared" si="38"/>
        <v>53.5</v>
      </c>
      <c r="L301" s="16" t="s">
        <v>35</v>
      </c>
      <c r="M301">
        <v>0</v>
      </c>
      <c r="N301">
        <v>4.5</v>
      </c>
      <c r="O301">
        <f t="shared" si="31"/>
        <v>-4.5</v>
      </c>
      <c r="P301">
        <f t="shared" si="35"/>
        <v>10.500000000000002</v>
      </c>
      <c r="Q301">
        <v>247</v>
      </c>
      <c r="R301">
        <f t="shared" si="40"/>
        <v>0.81545454545454543</v>
      </c>
      <c r="S301">
        <f t="shared" si="32"/>
        <v>3.6695454545454544</v>
      </c>
      <c r="T301" s="24">
        <f t="shared" si="33"/>
        <v>-3.6695454545454544</v>
      </c>
      <c r="U301" s="24">
        <f t="shared" si="36"/>
        <v>13.823181818181821</v>
      </c>
      <c r="V301" s="33" t="s">
        <v>42</v>
      </c>
      <c r="W301">
        <v>2300.4</v>
      </c>
      <c r="Y301">
        <f t="shared" si="37"/>
        <v>245635.59999999992</v>
      </c>
      <c r="Z301" s="36">
        <f t="shared" si="41"/>
        <v>5003.2000000000007</v>
      </c>
      <c r="AA301">
        <v>14.838730780982447</v>
      </c>
      <c r="AB301" s="33" t="s">
        <v>47</v>
      </c>
    </row>
    <row r="302" spans="1:28" x14ac:dyDescent="0.25">
      <c r="A302">
        <v>5080</v>
      </c>
      <c r="B302">
        <v>18650</v>
      </c>
      <c r="C302" s="1">
        <v>42880</v>
      </c>
      <c r="F302" s="49"/>
      <c r="G302">
        <v>22.7</v>
      </c>
      <c r="H302">
        <v>15.7</v>
      </c>
      <c r="I302">
        <v>28.7</v>
      </c>
      <c r="J302">
        <f t="shared" si="34"/>
        <v>2658.6999999999994</v>
      </c>
      <c r="K302">
        <f t="shared" si="38"/>
        <v>76.2</v>
      </c>
      <c r="L302" s="8">
        <f>AVERAGE(G299:G319)</f>
        <v>19.966666666666665</v>
      </c>
      <c r="M302">
        <v>0</v>
      </c>
      <c r="N302">
        <v>6.5</v>
      </c>
      <c r="O302">
        <f t="shared" si="31"/>
        <v>-6.5</v>
      </c>
      <c r="P302">
        <f t="shared" si="35"/>
        <v>4.0000000000000018</v>
      </c>
      <c r="Q302">
        <v>248</v>
      </c>
      <c r="R302">
        <f t="shared" si="40"/>
        <v>0.80090909090909079</v>
      </c>
      <c r="S302">
        <f t="shared" si="32"/>
        <v>5.2059090909090902</v>
      </c>
      <c r="T302" s="24">
        <f t="shared" si="33"/>
        <v>-5.2059090909090902</v>
      </c>
      <c r="U302" s="24">
        <f t="shared" si="36"/>
        <v>8.6172727272727307</v>
      </c>
      <c r="V302">
        <v>18</v>
      </c>
      <c r="W302">
        <v>3007.4</v>
      </c>
      <c r="Y302">
        <f t="shared" si="37"/>
        <v>248642.99999999991</v>
      </c>
      <c r="Z302" s="36">
        <f t="shared" si="41"/>
        <v>8010.6</v>
      </c>
      <c r="AA302">
        <v>14.867914043458548</v>
      </c>
      <c r="AB302">
        <f>(AB300/100)/L300</f>
        <v>0.99890054853326971</v>
      </c>
    </row>
    <row r="303" spans="1:28" x14ac:dyDescent="0.25">
      <c r="A303">
        <v>5080</v>
      </c>
      <c r="B303">
        <v>18650</v>
      </c>
      <c r="C303" s="1">
        <v>42881</v>
      </c>
      <c r="F303" s="49"/>
      <c r="G303">
        <v>22.3</v>
      </c>
      <c r="H303">
        <v>18.399999999999999</v>
      </c>
      <c r="I303">
        <v>28.1</v>
      </c>
      <c r="J303">
        <f t="shared" si="34"/>
        <v>2680.9999999999995</v>
      </c>
      <c r="K303">
        <f t="shared" ref="K303:K333" si="42">K302+G303</f>
        <v>98.5</v>
      </c>
      <c r="L303" s="16" t="s">
        <v>36</v>
      </c>
      <c r="M303">
        <v>0</v>
      </c>
      <c r="N303">
        <v>7.8</v>
      </c>
      <c r="O303">
        <f t="shared" si="31"/>
        <v>-7.8</v>
      </c>
      <c r="P303">
        <v>0</v>
      </c>
      <c r="Q303">
        <v>249</v>
      </c>
      <c r="R303">
        <f t="shared" si="40"/>
        <v>0.78636363636363638</v>
      </c>
      <c r="S303">
        <f t="shared" si="32"/>
        <v>6.1336363636363638</v>
      </c>
      <c r="T303" s="24">
        <f t="shared" si="33"/>
        <v>-6.1336363636363638</v>
      </c>
      <c r="U303" s="24">
        <f t="shared" si="36"/>
        <v>2.483636363636367</v>
      </c>
      <c r="V303" s="33" t="s">
        <v>43</v>
      </c>
      <c r="W303">
        <v>2772.6</v>
      </c>
      <c r="Y303">
        <f t="shared" si="37"/>
        <v>251415.59999999992</v>
      </c>
      <c r="Z303" s="36">
        <f t="shared" si="41"/>
        <v>10783.2</v>
      </c>
      <c r="AA303">
        <v>14.896233336118936</v>
      </c>
      <c r="AB303" s="33" t="s">
        <v>48</v>
      </c>
    </row>
    <row r="304" spans="1:28" x14ac:dyDescent="0.25">
      <c r="A304">
        <v>5080</v>
      </c>
      <c r="B304">
        <v>18650</v>
      </c>
      <c r="C304" s="1">
        <v>42882</v>
      </c>
      <c r="F304" s="49"/>
      <c r="G304">
        <v>21.5</v>
      </c>
      <c r="H304">
        <v>17.5</v>
      </c>
      <c r="I304">
        <v>25.7</v>
      </c>
      <c r="J304">
        <f t="shared" si="34"/>
        <v>2702.4999999999995</v>
      </c>
      <c r="K304">
        <f t="shared" si="42"/>
        <v>120</v>
      </c>
      <c r="L304" s="8">
        <f>MIN(H299:H319)</f>
        <v>12.1</v>
      </c>
      <c r="M304">
        <v>0</v>
      </c>
      <c r="N304">
        <v>6.3</v>
      </c>
      <c r="O304">
        <f t="shared" si="31"/>
        <v>-6.3</v>
      </c>
      <c r="P304">
        <v>0</v>
      </c>
      <c r="Q304">
        <v>250</v>
      </c>
      <c r="R304">
        <f t="shared" si="40"/>
        <v>0.77181818181818174</v>
      </c>
      <c r="S304">
        <f t="shared" si="32"/>
        <v>4.8624545454545451</v>
      </c>
      <c r="T304" s="24">
        <f t="shared" si="33"/>
        <v>-4.8624545454545451</v>
      </c>
      <c r="U304" s="24">
        <v>0</v>
      </c>
      <c r="V304">
        <v>0</v>
      </c>
      <c r="W304">
        <v>2600.6999999999998</v>
      </c>
      <c r="Y304">
        <f t="shared" si="37"/>
        <v>254016.29999999993</v>
      </c>
      <c r="Z304" s="36">
        <f t="shared" si="41"/>
        <v>13383.900000000001</v>
      </c>
      <c r="AA304">
        <v>14.923670524328648</v>
      </c>
      <c r="AB304">
        <v>3</v>
      </c>
    </row>
    <row r="305" spans="1:27" x14ac:dyDescent="0.25">
      <c r="A305">
        <v>5080</v>
      </c>
      <c r="B305">
        <v>18650</v>
      </c>
      <c r="C305" s="1">
        <v>42883</v>
      </c>
      <c r="F305" s="49"/>
      <c r="G305">
        <v>22.4</v>
      </c>
      <c r="H305">
        <v>17.3</v>
      </c>
      <c r="I305">
        <v>27.2</v>
      </c>
      <c r="J305">
        <f t="shared" si="34"/>
        <v>2724.8999999999996</v>
      </c>
      <c r="K305">
        <f t="shared" si="42"/>
        <v>142.4</v>
      </c>
      <c r="L305" s="16" t="s">
        <v>37</v>
      </c>
      <c r="M305">
        <v>0</v>
      </c>
      <c r="N305">
        <v>8.1</v>
      </c>
      <c r="O305">
        <f t="shared" si="31"/>
        <v>-8.1</v>
      </c>
      <c r="P305">
        <v>0</v>
      </c>
      <c r="Q305">
        <v>251</v>
      </c>
      <c r="R305">
        <f t="shared" si="40"/>
        <v>0.75727272727272721</v>
      </c>
      <c r="S305">
        <f t="shared" si="32"/>
        <v>6.1339090909090901</v>
      </c>
      <c r="T305" s="24">
        <f t="shared" si="33"/>
        <v>-6.1339090909090901</v>
      </c>
      <c r="U305" s="24">
        <v>0</v>
      </c>
      <c r="V305" s="33" t="s">
        <v>44</v>
      </c>
      <c r="W305">
        <v>2903.2</v>
      </c>
      <c r="Y305">
        <f t="shared" si="37"/>
        <v>256919.49999999994</v>
      </c>
      <c r="Z305" s="36">
        <f t="shared" si="41"/>
        <v>16287.100000000002</v>
      </c>
      <c r="AA305">
        <v>14.950207727473106</v>
      </c>
    </row>
    <row r="306" spans="1:27" x14ac:dyDescent="0.25">
      <c r="A306">
        <v>5080</v>
      </c>
      <c r="B306">
        <v>18650</v>
      </c>
      <c r="C306" s="1">
        <v>42884</v>
      </c>
      <c r="F306" s="49"/>
      <c r="G306">
        <v>19.8</v>
      </c>
      <c r="H306">
        <v>18.5</v>
      </c>
      <c r="I306">
        <v>22.2</v>
      </c>
      <c r="J306">
        <f t="shared" si="34"/>
        <v>2744.7</v>
      </c>
      <c r="K306">
        <f t="shared" si="42"/>
        <v>162.20000000000002</v>
      </c>
      <c r="L306" s="8">
        <f>MAX(I299:I319)</f>
        <v>31.7</v>
      </c>
      <c r="M306">
        <v>0.4</v>
      </c>
      <c r="N306">
        <v>2.1</v>
      </c>
      <c r="O306">
        <f t="shared" si="31"/>
        <v>-1.7000000000000002</v>
      </c>
      <c r="P306">
        <v>0</v>
      </c>
      <c r="Q306">
        <v>252</v>
      </c>
      <c r="R306">
        <f t="shared" si="40"/>
        <v>0.74272727272727268</v>
      </c>
      <c r="S306">
        <f t="shared" si="32"/>
        <v>1.5597272727272726</v>
      </c>
      <c r="T306" s="24">
        <f t="shared" si="33"/>
        <v>-1.1597272727272725</v>
      </c>
      <c r="U306" s="24">
        <v>0</v>
      </c>
      <c r="V306" s="24">
        <f>MAX(U299:U319)</f>
        <v>34.308272727272723</v>
      </c>
      <c r="W306">
        <v>803.1</v>
      </c>
      <c r="Y306">
        <f t="shared" si="37"/>
        <v>257722.59999999995</v>
      </c>
      <c r="Z306" s="36">
        <f t="shared" si="41"/>
        <v>17090.2</v>
      </c>
      <c r="AA306">
        <v>14.975827355640831</v>
      </c>
    </row>
    <row r="307" spans="1:27" x14ac:dyDescent="0.25">
      <c r="A307">
        <v>5080</v>
      </c>
      <c r="B307">
        <v>18650</v>
      </c>
      <c r="C307" s="1">
        <v>42885</v>
      </c>
      <c r="F307" s="49"/>
      <c r="G307">
        <v>18.2</v>
      </c>
      <c r="H307">
        <v>17.399999999999999</v>
      </c>
      <c r="I307">
        <v>19.5</v>
      </c>
      <c r="J307">
        <f t="shared" si="34"/>
        <v>2762.8999999999996</v>
      </c>
      <c r="K307">
        <f t="shared" si="42"/>
        <v>180.4</v>
      </c>
      <c r="L307" s="16" t="s">
        <v>38</v>
      </c>
      <c r="M307">
        <v>28.5</v>
      </c>
      <c r="N307">
        <v>1.6</v>
      </c>
      <c r="O307">
        <f t="shared" si="31"/>
        <v>26.9</v>
      </c>
      <c r="P307">
        <f t="shared" si="35"/>
        <v>26.9</v>
      </c>
      <c r="Q307">
        <v>253</v>
      </c>
      <c r="R307">
        <f t="shared" si="40"/>
        <v>0.72818181818181815</v>
      </c>
      <c r="S307">
        <f t="shared" si="32"/>
        <v>1.1650909090909092</v>
      </c>
      <c r="T307" s="24">
        <f t="shared" si="33"/>
        <v>27.33490909090909</v>
      </c>
      <c r="U307" s="24">
        <f t="shared" si="36"/>
        <v>27.33490909090909</v>
      </c>
      <c r="V307" s="33" t="s">
        <v>45</v>
      </c>
      <c r="W307">
        <v>977.4</v>
      </c>
      <c r="Y307">
        <f t="shared" si="37"/>
        <v>258699.99999999994</v>
      </c>
      <c r="Z307" s="36">
        <f t="shared" si="41"/>
        <v>18067.600000000002</v>
      </c>
      <c r="AA307">
        <v>15.000512146792543</v>
      </c>
    </row>
    <row r="308" spans="1:27" x14ac:dyDescent="0.25">
      <c r="A308">
        <v>5080</v>
      </c>
      <c r="B308">
        <v>18650</v>
      </c>
      <c r="C308" s="1">
        <v>42886</v>
      </c>
      <c r="F308" s="49"/>
      <c r="G308">
        <v>19</v>
      </c>
      <c r="H308">
        <v>16.399999999999999</v>
      </c>
      <c r="I308">
        <v>22.5</v>
      </c>
      <c r="J308">
        <f t="shared" si="34"/>
        <v>2781.8999999999996</v>
      </c>
      <c r="K308">
        <f t="shared" si="42"/>
        <v>199.4</v>
      </c>
      <c r="L308" s="8">
        <v>10</v>
      </c>
      <c r="M308">
        <v>7.9</v>
      </c>
      <c r="N308">
        <v>2.7</v>
      </c>
      <c r="O308">
        <f t="shared" si="31"/>
        <v>5.2</v>
      </c>
      <c r="P308">
        <f t="shared" si="35"/>
        <v>32.1</v>
      </c>
      <c r="Q308">
        <v>254</v>
      </c>
      <c r="R308">
        <f t="shared" si="40"/>
        <v>0.71363636363636362</v>
      </c>
      <c r="S308">
        <f t="shared" si="32"/>
        <v>1.926818181818182</v>
      </c>
      <c r="T308" s="24">
        <f t="shared" si="33"/>
        <v>5.9731818181818186</v>
      </c>
      <c r="U308" s="24">
        <f t="shared" si="36"/>
        <v>33.308090909090907</v>
      </c>
      <c r="V308" s="21">
        <f>AVERAGE(U299:U319)</f>
        <v>19.540779220779218</v>
      </c>
      <c r="W308">
        <v>1307.3</v>
      </c>
      <c r="Y308">
        <f t="shared" si="37"/>
        <v>260007.29999999993</v>
      </c>
      <c r="Z308" s="36">
        <f t="shared" si="41"/>
        <v>19374.900000000001</v>
      </c>
      <c r="AA308">
        <v>15.024245204279522</v>
      </c>
    </row>
    <row r="309" spans="1:27" x14ac:dyDescent="0.25">
      <c r="A309">
        <v>5080</v>
      </c>
      <c r="B309">
        <v>18650</v>
      </c>
      <c r="C309" s="1">
        <v>42887</v>
      </c>
      <c r="F309" s="49"/>
      <c r="G309">
        <v>21.6</v>
      </c>
      <c r="H309">
        <v>16.2</v>
      </c>
      <c r="I309">
        <v>26.3</v>
      </c>
      <c r="J309">
        <f t="shared" si="34"/>
        <v>2803.4999999999995</v>
      </c>
      <c r="K309">
        <f t="shared" si="42"/>
        <v>221</v>
      </c>
      <c r="L309" s="16" t="s">
        <v>39</v>
      </c>
      <c r="M309">
        <v>0</v>
      </c>
      <c r="N309">
        <v>4.4000000000000004</v>
      </c>
      <c r="O309">
        <f t="shared" si="31"/>
        <v>-4.4000000000000004</v>
      </c>
      <c r="P309">
        <f t="shared" si="35"/>
        <v>27.700000000000003</v>
      </c>
      <c r="Q309">
        <v>255</v>
      </c>
      <c r="R309">
        <f t="shared" si="40"/>
        <v>0.69909090909090899</v>
      </c>
      <c r="S309">
        <f t="shared" si="32"/>
        <v>3.0759999999999996</v>
      </c>
      <c r="T309" s="24">
        <f t="shared" si="33"/>
        <v>-3.0759999999999996</v>
      </c>
      <c r="U309" s="24">
        <f t="shared" si="36"/>
        <v>30.232090909090907</v>
      </c>
      <c r="W309">
        <v>2143</v>
      </c>
      <c r="Y309">
        <f t="shared" si="37"/>
        <v>262150.29999999993</v>
      </c>
      <c r="Z309" s="36">
        <f t="shared" si="41"/>
        <v>21517.9</v>
      </c>
      <c r="AA309">
        <v>15.047010034565849</v>
      </c>
    </row>
    <row r="310" spans="1:27" x14ac:dyDescent="0.25">
      <c r="A310">
        <v>5080</v>
      </c>
      <c r="B310">
        <v>18650</v>
      </c>
      <c r="C310" s="1">
        <v>42888</v>
      </c>
      <c r="F310" s="49"/>
      <c r="G310">
        <v>22.5</v>
      </c>
      <c r="H310">
        <v>17.5</v>
      </c>
      <c r="I310">
        <v>27.3</v>
      </c>
      <c r="J310">
        <f t="shared" si="34"/>
        <v>2825.9999999999995</v>
      </c>
      <c r="K310">
        <f t="shared" si="42"/>
        <v>243.5</v>
      </c>
      <c r="L310" s="8">
        <v>0</v>
      </c>
      <c r="M310">
        <v>0.1</v>
      </c>
      <c r="N310">
        <v>4.8</v>
      </c>
      <c r="O310">
        <f t="shared" si="31"/>
        <v>-4.7</v>
      </c>
      <c r="P310">
        <f t="shared" si="35"/>
        <v>23.000000000000004</v>
      </c>
      <c r="Q310">
        <v>256</v>
      </c>
      <c r="R310">
        <f t="shared" si="40"/>
        <v>0.68454545454545457</v>
      </c>
      <c r="S310">
        <f t="shared" si="32"/>
        <v>3.2858181818181817</v>
      </c>
      <c r="T310" s="24">
        <f t="shared" si="33"/>
        <v>-3.1858181818181817</v>
      </c>
      <c r="U310" s="24">
        <f t="shared" si="36"/>
        <v>27.046272727272726</v>
      </c>
      <c r="V310" s="8">
        <f>(V308*100)/155.7</f>
        <v>12.550275671662954</v>
      </c>
      <c r="W310">
        <v>2334.1</v>
      </c>
      <c r="Y310">
        <f t="shared" si="37"/>
        <v>264484.39999999991</v>
      </c>
      <c r="Z310" s="36">
        <f t="shared" si="41"/>
        <v>23852</v>
      </c>
      <c r="AA310">
        <v>15.068790585001612</v>
      </c>
    </row>
    <row r="311" spans="1:27" x14ac:dyDescent="0.25">
      <c r="A311">
        <v>5080</v>
      </c>
      <c r="B311">
        <v>18650</v>
      </c>
      <c r="C311" s="1">
        <v>42889</v>
      </c>
      <c r="F311" s="49"/>
      <c r="G311">
        <v>17.5</v>
      </c>
      <c r="H311">
        <v>17.100000000000001</v>
      </c>
      <c r="I311">
        <v>18.3</v>
      </c>
      <c r="J311">
        <f t="shared" si="34"/>
        <v>2843.4999999999995</v>
      </c>
      <c r="K311">
        <f t="shared" si="42"/>
        <v>261</v>
      </c>
      <c r="L311" s="16" t="s">
        <v>40</v>
      </c>
      <c r="M311">
        <v>8.1999999999999993</v>
      </c>
      <c r="N311">
        <v>1.4</v>
      </c>
      <c r="O311">
        <f t="shared" si="31"/>
        <v>6.7999999999999989</v>
      </c>
      <c r="P311">
        <f t="shared" si="35"/>
        <v>29.800000000000004</v>
      </c>
      <c r="Q311">
        <v>257</v>
      </c>
      <c r="R311">
        <f t="shared" si="40"/>
        <v>0.66999999999999993</v>
      </c>
      <c r="S311">
        <f t="shared" si="32"/>
        <v>0.93799999999999983</v>
      </c>
      <c r="T311" s="24">
        <f t="shared" si="33"/>
        <v>7.2619999999999996</v>
      </c>
      <c r="U311" s="24">
        <f t="shared" si="36"/>
        <v>34.308272727272723</v>
      </c>
      <c r="W311">
        <v>610.70000000000005</v>
      </c>
      <c r="Y311">
        <f t="shared" si="37"/>
        <v>265095.09999999992</v>
      </c>
      <c r="Z311" s="36">
        <f t="shared" si="41"/>
        <v>24462.7</v>
      </c>
      <c r="AA311">
        <v>15.089571281487329</v>
      </c>
    </row>
    <row r="312" spans="1:27" x14ac:dyDescent="0.25">
      <c r="A312">
        <v>5080</v>
      </c>
      <c r="B312">
        <v>18650</v>
      </c>
      <c r="C312" s="1">
        <v>42890</v>
      </c>
      <c r="F312" s="49"/>
      <c r="G312">
        <v>15.6</v>
      </c>
      <c r="H312">
        <v>14</v>
      </c>
      <c r="I312">
        <v>17.7</v>
      </c>
      <c r="J312">
        <f t="shared" si="34"/>
        <v>2859.0999999999995</v>
      </c>
      <c r="K312">
        <f t="shared" si="42"/>
        <v>276.60000000000002</v>
      </c>
      <c r="L312" s="8">
        <v>0</v>
      </c>
      <c r="M312">
        <v>0</v>
      </c>
      <c r="N312">
        <v>3</v>
      </c>
      <c r="O312">
        <f t="shared" ref="O312:O333" si="43">M312-N312</f>
        <v>-3</v>
      </c>
      <c r="P312">
        <f t="shared" si="35"/>
        <v>26.800000000000004</v>
      </c>
      <c r="Q312">
        <v>258</v>
      </c>
      <c r="R312">
        <f t="shared" si="40"/>
        <v>0.6554545454545454</v>
      </c>
      <c r="S312">
        <f t="shared" ref="S312:S333" si="44">R312*N312</f>
        <v>1.9663636363636363</v>
      </c>
      <c r="T312" s="24">
        <f t="shared" ref="T312:T333" si="45">M312-S312</f>
        <v>-1.9663636363636363</v>
      </c>
      <c r="U312" s="24">
        <f t="shared" si="36"/>
        <v>32.341909090909084</v>
      </c>
      <c r="W312">
        <v>1819.6</v>
      </c>
      <c r="Y312">
        <f t="shared" si="37"/>
        <v>266914.6999999999</v>
      </c>
      <c r="Z312" s="36">
        <f t="shared" si="41"/>
        <v>26282.3</v>
      </c>
      <c r="AA312">
        <v>15.109337065864013</v>
      </c>
    </row>
    <row r="313" spans="1:27" x14ac:dyDescent="0.25">
      <c r="A313">
        <v>5080</v>
      </c>
      <c r="B313">
        <v>18650</v>
      </c>
      <c r="C313" s="1">
        <v>42891</v>
      </c>
      <c r="F313" s="49"/>
      <c r="G313">
        <v>17.399999999999999</v>
      </c>
      <c r="H313">
        <v>13.7</v>
      </c>
      <c r="I313">
        <v>21.7</v>
      </c>
      <c r="J313">
        <f t="shared" ref="J313:J333" si="46">J312+G313</f>
        <v>2876.4999999999995</v>
      </c>
      <c r="K313">
        <f t="shared" si="42"/>
        <v>294</v>
      </c>
      <c r="M313">
        <v>0.2</v>
      </c>
      <c r="N313">
        <v>3.7</v>
      </c>
      <c r="O313">
        <f t="shared" si="43"/>
        <v>-3.5</v>
      </c>
      <c r="P313">
        <f t="shared" ref="P313:P318" si="47">P312+O313</f>
        <v>23.300000000000004</v>
      </c>
      <c r="Q313">
        <v>259</v>
      </c>
      <c r="R313">
        <f t="shared" si="40"/>
        <v>0.64090909090909087</v>
      </c>
      <c r="S313">
        <f t="shared" si="44"/>
        <v>2.3713636363636366</v>
      </c>
      <c r="T313" s="24">
        <f t="shared" si="45"/>
        <v>-2.1713636363636364</v>
      </c>
      <c r="U313" s="24">
        <f t="shared" ref="U313:U324" si="48">MIN(U312+T313,155.7)</f>
        <v>30.170545454545447</v>
      </c>
      <c r="W313">
        <v>1782.2</v>
      </c>
      <c r="Y313">
        <f t="shared" ref="Y313:Y333" si="49">Y312+W313</f>
        <v>268696.89999999991</v>
      </c>
      <c r="Z313" s="36">
        <f t="shared" si="41"/>
        <v>28064.5</v>
      </c>
      <c r="AA313">
        <v>15.128073432858303</v>
      </c>
    </row>
    <row r="314" spans="1:27" x14ac:dyDescent="0.25">
      <c r="A314">
        <v>5080</v>
      </c>
      <c r="B314">
        <v>18650</v>
      </c>
      <c r="C314" s="1">
        <v>42892</v>
      </c>
      <c r="F314" s="49"/>
      <c r="G314">
        <v>17.2</v>
      </c>
      <c r="H314">
        <v>14.5</v>
      </c>
      <c r="I314">
        <v>20.100000000000001</v>
      </c>
      <c r="J314">
        <f t="shared" si="46"/>
        <v>2893.6999999999994</v>
      </c>
      <c r="K314">
        <f t="shared" si="42"/>
        <v>311.2</v>
      </c>
      <c r="M314">
        <v>0</v>
      </c>
      <c r="N314">
        <v>4.4000000000000004</v>
      </c>
      <c r="O314">
        <f t="shared" si="43"/>
        <v>-4.4000000000000004</v>
      </c>
      <c r="P314">
        <f t="shared" si="47"/>
        <v>18.900000000000006</v>
      </c>
      <c r="Q314">
        <v>260</v>
      </c>
      <c r="R314">
        <f t="shared" si="40"/>
        <v>0.62636363636363634</v>
      </c>
      <c r="S314">
        <f t="shared" si="44"/>
        <v>2.7560000000000002</v>
      </c>
      <c r="T314" s="24">
        <f t="shared" si="45"/>
        <v>-2.7560000000000002</v>
      </c>
      <c r="U314" s="24">
        <f t="shared" si="48"/>
        <v>27.414545454545447</v>
      </c>
      <c r="W314">
        <v>1989.9</v>
      </c>
      <c r="Y314">
        <f t="shared" si="49"/>
        <v>270686.79999999993</v>
      </c>
      <c r="Z314" s="36">
        <f t="shared" si="41"/>
        <v>30054.400000000001</v>
      </c>
      <c r="AA314">
        <v>15.145766466408455</v>
      </c>
    </row>
    <row r="315" spans="1:27" x14ac:dyDescent="0.25">
      <c r="A315">
        <v>5080</v>
      </c>
      <c r="B315">
        <v>18650</v>
      </c>
      <c r="C315" s="1">
        <v>42893</v>
      </c>
      <c r="F315" s="49"/>
      <c r="G315">
        <v>17</v>
      </c>
      <c r="H315">
        <v>12.1</v>
      </c>
      <c r="I315">
        <v>20.7</v>
      </c>
      <c r="J315">
        <f t="shared" si="46"/>
        <v>2910.6999999999994</v>
      </c>
      <c r="K315">
        <f t="shared" si="42"/>
        <v>328.2</v>
      </c>
      <c r="M315">
        <v>0</v>
      </c>
      <c r="N315">
        <v>4.2</v>
      </c>
      <c r="O315">
        <f t="shared" si="43"/>
        <v>-4.2</v>
      </c>
      <c r="P315">
        <f t="shared" si="47"/>
        <v>14.700000000000006</v>
      </c>
      <c r="Q315">
        <v>261</v>
      </c>
      <c r="R315">
        <f t="shared" si="40"/>
        <v>0.61181818181818182</v>
      </c>
      <c r="S315">
        <f t="shared" si="44"/>
        <v>2.5696363636363637</v>
      </c>
      <c r="T315" s="24">
        <f t="shared" si="45"/>
        <v>-2.5696363636363637</v>
      </c>
      <c r="U315" s="24">
        <f t="shared" si="48"/>
        <v>24.844909090909084</v>
      </c>
      <c r="W315">
        <v>2109</v>
      </c>
      <c r="Y315">
        <f t="shared" si="49"/>
        <v>272795.79999999993</v>
      </c>
      <c r="Z315" s="36">
        <f t="shared" si="41"/>
        <v>32163.4</v>
      </c>
      <c r="AA315">
        <v>15.162402875194305</v>
      </c>
    </row>
    <row r="316" spans="1:27" x14ac:dyDescent="0.25">
      <c r="A316">
        <v>5080</v>
      </c>
      <c r="B316">
        <v>18650</v>
      </c>
      <c r="C316" s="1">
        <v>42894</v>
      </c>
      <c r="F316" s="49"/>
      <c r="G316">
        <v>20.9</v>
      </c>
      <c r="H316">
        <v>14.5</v>
      </c>
      <c r="I316">
        <v>27.9</v>
      </c>
      <c r="J316">
        <f t="shared" si="46"/>
        <v>2931.5999999999995</v>
      </c>
      <c r="K316">
        <f t="shared" si="42"/>
        <v>349.09999999999997</v>
      </c>
      <c r="M316">
        <v>3.8</v>
      </c>
      <c r="N316">
        <v>6.9</v>
      </c>
      <c r="O316">
        <f t="shared" si="43"/>
        <v>-3.1000000000000005</v>
      </c>
      <c r="P316">
        <f t="shared" si="47"/>
        <v>11.600000000000005</v>
      </c>
      <c r="Q316">
        <v>262</v>
      </c>
      <c r="R316">
        <f t="shared" si="40"/>
        <v>0.59727272727272718</v>
      </c>
      <c r="S316">
        <f t="shared" si="44"/>
        <v>4.1211818181818174</v>
      </c>
      <c r="T316" s="24">
        <f t="shared" si="45"/>
        <v>-0.32118181818181757</v>
      </c>
      <c r="U316" s="24">
        <f t="shared" si="48"/>
        <v>24.523727272727267</v>
      </c>
      <c r="W316">
        <v>2874.2</v>
      </c>
      <c r="Y316">
        <f t="shared" si="49"/>
        <v>275669.99999999994</v>
      </c>
      <c r="Z316" s="36">
        <f t="shared" si="41"/>
        <v>35037.599999999999</v>
      </c>
      <c r="AA316">
        <v>15.177970027193146</v>
      </c>
    </row>
    <row r="317" spans="1:27" x14ac:dyDescent="0.25">
      <c r="A317">
        <v>5080</v>
      </c>
      <c r="B317">
        <v>18650</v>
      </c>
      <c r="C317" s="1">
        <v>42895</v>
      </c>
      <c r="F317" s="49"/>
      <c r="G317">
        <v>20.399999999999999</v>
      </c>
      <c r="H317">
        <v>17.600000000000001</v>
      </c>
      <c r="I317">
        <v>23.3</v>
      </c>
      <c r="J317">
        <f t="shared" si="46"/>
        <v>2951.9999999999995</v>
      </c>
      <c r="K317">
        <f t="shared" si="42"/>
        <v>369.49999999999994</v>
      </c>
      <c r="M317">
        <v>0</v>
      </c>
      <c r="N317">
        <v>2.8</v>
      </c>
      <c r="O317">
        <f t="shared" si="43"/>
        <v>-2.8</v>
      </c>
      <c r="P317">
        <f t="shared" si="47"/>
        <v>8.8000000000000043</v>
      </c>
      <c r="Q317">
        <v>263</v>
      </c>
      <c r="R317">
        <f t="shared" si="40"/>
        <v>0.58272727272727265</v>
      </c>
      <c r="S317">
        <f t="shared" si="44"/>
        <v>1.6316363636363633</v>
      </c>
      <c r="T317" s="24">
        <f t="shared" si="45"/>
        <v>-1.6316363636363633</v>
      </c>
      <c r="U317" s="24">
        <f t="shared" si="48"/>
        <v>22.892090909090903</v>
      </c>
      <c r="W317">
        <v>1214.4000000000001</v>
      </c>
      <c r="Y317">
        <f t="shared" si="49"/>
        <v>276884.39999999997</v>
      </c>
      <c r="Z317" s="36">
        <f t="shared" si="41"/>
        <v>36252</v>
      </c>
      <c r="AA317">
        <v>15.192455983083569</v>
      </c>
    </row>
    <row r="318" spans="1:27" x14ac:dyDescent="0.25">
      <c r="A318">
        <v>5080</v>
      </c>
      <c r="B318">
        <v>18650</v>
      </c>
      <c r="C318" s="1">
        <v>42896</v>
      </c>
      <c r="F318" s="49"/>
      <c r="G318">
        <v>24.1</v>
      </c>
      <c r="H318">
        <v>18.399999999999999</v>
      </c>
      <c r="I318">
        <v>29.3</v>
      </c>
      <c r="J318">
        <f t="shared" si="46"/>
        <v>2976.0999999999995</v>
      </c>
      <c r="K318">
        <f t="shared" si="42"/>
        <v>393.59999999999997</v>
      </c>
      <c r="M318">
        <v>0</v>
      </c>
      <c r="N318">
        <v>7</v>
      </c>
      <c r="O318">
        <f t="shared" si="43"/>
        <v>-7</v>
      </c>
      <c r="P318">
        <f t="shared" si="47"/>
        <v>1.8000000000000043</v>
      </c>
      <c r="Q318">
        <v>264</v>
      </c>
      <c r="R318">
        <f t="shared" si="40"/>
        <v>0.56818181818181812</v>
      </c>
      <c r="S318">
        <f t="shared" si="44"/>
        <v>3.9772727272727266</v>
      </c>
      <c r="T318" s="24">
        <f t="shared" si="45"/>
        <v>-3.9772727272727266</v>
      </c>
      <c r="U318" s="24">
        <f t="shared" si="48"/>
        <v>18.914818181818177</v>
      </c>
      <c r="W318">
        <v>3140</v>
      </c>
      <c r="Y318">
        <f t="shared" si="49"/>
        <v>280024.39999999997</v>
      </c>
      <c r="Z318" s="36">
        <f t="shared" si="41"/>
        <v>39392</v>
      </c>
      <c r="AA318">
        <v>15.205849528320817</v>
      </c>
    </row>
    <row r="319" spans="1:27" s="25" customFormat="1" ht="15.75" thickBot="1" x14ac:dyDescent="0.3">
      <c r="A319" s="25">
        <v>5080</v>
      </c>
      <c r="B319" s="25">
        <v>18650</v>
      </c>
      <c r="C319" s="26">
        <v>42897</v>
      </c>
      <c r="F319" s="49"/>
      <c r="G319" s="25">
        <v>25.7</v>
      </c>
      <c r="H319" s="25">
        <v>19.600000000000001</v>
      </c>
      <c r="I319" s="25">
        <v>31.7</v>
      </c>
      <c r="J319" s="25">
        <f t="shared" si="46"/>
        <v>3001.7999999999993</v>
      </c>
      <c r="K319" s="25">
        <f t="shared" si="42"/>
        <v>419.29999999999995</v>
      </c>
      <c r="L319" s="27"/>
      <c r="M319" s="25">
        <v>0</v>
      </c>
      <c r="N319" s="25">
        <v>6.1</v>
      </c>
      <c r="O319" s="25">
        <f t="shared" si="43"/>
        <v>-6.1</v>
      </c>
      <c r="P319" s="25">
        <v>0</v>
      </c>
      <c r="Q319" s="25">
        <v>265</v>
      </c>
      <c r="R319">
        <f t="shared" si="40"/>
        <v>0.55363636363636359</v>
      </c>
      <c r="S319" s="25">
        <f t="shared" si="44"/>
        <v>3.3771818181818176</v>
      </c>
      <c r="T319" s="24">
        <f t="shared" si="45"/>
        <v>-3.3771818181818176</v>
      </c>
      <c r="U319" s="24">
        <f t="shared" si="48"/>
        <v>15.537636363636359</v>
      </c>
      <c r="V319" s="27"/>
      <c r="W319" s="25">
        <v>2491.9</v>
      </c>
      <c r="Y319" s="25">
        <f t="shared" si="49"/>
        <v>282516.3</v>
      </c>
      <c r="Z319" s="25">
        <f t="shared" si="41"/>
        <v>41883.9</v>
      </c>
      <c r="AA319" s="25">
        <v>15.218140203710394</v>
      </c>
    </row>
    <row r="320" spans="1:27" s="36" customFormat="1" x14ac:dyDescent="0.25">
      <c r="A320" s="36">
        <v>5080</v>
      </c>
      <c r="B320" s="36">
        <v>18650</v>
      </c>
      <c r="C320" s="37">
        <v>42898</v>
      </c>
      <c r="D320" s="15"/>
      <c r="E320" s="15"/>
      <c r="F320" s="15"/>
      <c r="G320" s="36">
        <v>22.6</v>
      </c>
      <c r="H320" s="36">
        <v>18.7</v>
      </c>
      <c r="I320" s="36">
        <v>26.2</v>
      </c>
      <c r="J320" s="36">
        <f t="shared" si="46"/>
        <v>3024.3999999999992</v>
      </c>
      <c r="K320">
        <f t="shared" si="42"/>
        <v>441.9</v>
      </c>
      <c r="M320" s="36">
        <v>0</v>
      </c>
      <c r="N320" s="36">
        <v>3.9</v>
      </c>
      <c r="O320" s="36">
        <f t="shared" si="43"/>
        <v>-3.9</v>
      </c>
      <c r="P320" s="36">
        <v>0</v>
      </c>
      <c r="Q320" s="36">
        <v>266</v>
      </c>
      <c r="R320">
        <f t="shared" si="40"/>
        <v>0.53909090909090907</v>
      </c>
      <c r="S320" s="36">
        <f t="shared" si="44"/>
        <v>2.1024545454545454</v>
      </c>
      <c r="T320" s="24">
        <f t="shared" si="45"/>
        <v>-2.1024545454545454</v>
      </c>
      <c r="U320" s="24">
        <f t="shared" si="48"/>
        <v>13.435181818181814</v>
      </c>
      <c r="W320" s="36">
        <v>1551.6</v>
      </c>
      <c r="Y320" s="36">
        <f t="shared" si="49"/>
        <v>284067.89999999997</v>
      </c>
      <c r="Z320" s="36">
        <f>W320</f>
        <v>1551.6</v>
      </c>
      <c r="AA320" s="36">
        <v>15.229318334311062</v>
      </c>
    </row>
    <row r="321" spans="1:27" x14ac:dyDescent="0.25">
      <c r="A321">
        <v>5080</v>
      </c>
      <c r="B321">
        <v>18650</v>
      </c>
      <c r="C321" s="1">
        <v>42899</v>
      </c>
      <c r="G321">
        <v>26.5</v>
      </c>
      <c r="H321">
        <v>20.8</v>
      </c>
      <c r="I321">
        <v>31.3</v>
      </c>
      <c r="J321">
        <f t="shared" si="46"/>
        <v>3050.8999999999992</v>
      </c>
      <c r="K321">
        <f t="shared" si="42"/>
        <v>468.4</v>
      </c>
      <c r="M321">
        <v>0</v>
      </c>
      <c r="N321">
        <v>5.7</v>
      </c>
      <c r="O321">
        <f t="shared" si="43"/>
        <v>-5.7</v>
      </c>
      <c r="P321">
        <v>0</v>
      </c>
      <c r="Q321">
        <v>267</v>
      </c>
      <c r="R321">
        <f t="shared" si="40"/>
        <v>0.52454545454545443</v>
      </c>
      <c r="S321">
        <f t="shared" si="44"/>
        <v>2.9899090909090904</v>
      </c>
      <c r="T321" s="24">
        <f t="shared" si="45"/>
        <v>-2.9899090909090904</v>
      </c>
      <c r="U321" s="24">
        <f t="shared" si="48"/>
        <v>10.445272727272723</v>
      </c>
      <c r="W321">
        <v>2521.1</v>
      </c>
      <c r="Y321">
        <f t="shared" si="49"/>
        <v>286588.99999999994</v>
      </c>
      <c r="Z321">
        <f>Z320+W321</f>
        <v>4072.7</v>
      </c>
      <c r="AA321">
        <v>15.239375056504585</v>
      </c>
    </row>
    <row r="322" spans="1:27" x14ac:dyDescent="0.25">
      <c r="A322">
        <v>5080</v>
      </c>
      <c r="B322">
        <v>18650</v>
      </c>
      <c r="C322" s="1">
        <v>42900</v>
      </c>
      <c r="G322">
        <v>27.4</v>
      </c>
      <c r="H322">
        <v>21.7</v>
      </c>
      <c r="I322">
        <v>32.299999999999997</v>
      </c>
      <c r="J322">
        <f t="shared" si="46"/>
        <v>3078.2999999999993</v>
      </c>
      <c r="K322">
        <f t="shared" si="42"/>
        <v>495.79999999999995</v>
      </c>
      <c r="M322">
        <v>0</v>
      </c>
      <c r="N322">
        <v>6.7</v>
      </c>
      <c r="O322">
        <f t="shared" si="43"/>
        <v>-6.7</v>
      </c>
      <c r="P322">
        <v>0</v>
      </c>
      <c r="Q322">
        <v>268</v>
      </c>
      <c r="R322">
        <f t="shared" si="40"/>
        <v>0.5099999999999999</v>
      </c>
      <c r="S322">
        <f t="shared" si="44"/>
        <v>3.4169999999999994</v>
      </c>
      <c r="T322" s="24">
        <f t="shared" si="45"/>
        <v>-3.4169999999999994</v>
      </c>
      <c r="U322" s="24">
        <f t="shared" si="48"/>
        <v>7.0282727272727232</v>
      </c>
      <c r="W322">
        <v>2718.1</v>
      </c>
      <c r="Y322">
        <f t="shared" si="49"/>
        <v>289307.09999999992</v>
      </c>
      <c r="Z322">
        <f t="shared" si="41"/>
        <v>6790.7999999999993</v>
      </c>
      <c r="AA322">
        <v>15.248302343077114</v>
      </c>
    </row>
    <row r="323" spans="1:27" x14ac:dyDescent="0.25">
      <c r="A323">
        <v>5080</v>
      </c>
      <c r="B323">
        <v>18650</v>
      </c>
      <c r="C323" s="1">
        <v>42901</v>
      </c>
      <c r="G323">
        <v>23.1</v>
      </c>
      <c r="H323">
        <v>19.2</v>
      </c>
      <c r="I323">
        <v>26.9</v>
      </c>
      <c r="J323">
        <f t="shared" si="46"/>
        <v>3101.3999999999992</v>
      </c>
      <c r="K323">
        <f t="shared" si="42"/>
        <v>518.9</v>
      </c>
      <c r="M323">
        <v>0</v>
      </c>
      <c r="N323">
        <v>3.2</v>
      </c>
      <c r="O323">
        <f t="shared" si="43"/>
        <v>-3.2</v>
      </c>
      <c r="P323">
        <v>0</v>
      </c>
      <c r="Q323">
        <v>269</v>
      </c>
      <c r="R323">
        <f t="shared" si="40"/>
        <v>0.49545454545454537</v>
      </c>
      <c r="S323">
        <f t="shared" si="44"/>
        <v>1.5854545454545452</v>
      </c>
      <c r="T323" s="24">
        <f t="shared" si="45"/>
        <v>-1.5854545454545452</v>
      </c>
      <c r="U323" s="24">
        <f t="shared" si="48"/>
        <v>5.4428181818181782</v>
      </c>
      <c r="W323">
        <v>877.3</v>
      </c>
      <c r="Y323">
        <f t="shared" si="49"/>
        <v>290184.39999999991</v>
      </c>
      <c r="Z323">
        <f t="shared" si="41"/>
        <v>7668.0999999999995</v>
      </c>
      <c r="AA323">
        <v>15.256093026166161</v>
      </c>
    </row>
    <row r="324" spans="1:27" x14ac:dyDescent="0.25">
      <c r="A324">
        <v>5080</v>
      </c>
      <c r="B324">
        <v>18650</v>
      </c>
      <c r="C324" s="1">
        <v>42902</v>
      </c>
      <c r="G324">
        <v>23.4</v>
      </c>
      <c r="H324">
        <v>19.399999999999999</v>
      </c>
      <c r="I324">
        <v>27.7</v>
      </c>
      <c r="J324">
        <f t="shared" si="46"/>
        <v>3124.7999999999993</v>
      </c>
      <c r="K324">
        <f t="shared" si="42"/>
        <v>542.29999999999995</v>
      </c>
      <c r="M324">
        <v>0</v>
      </c>
      <c r="N324">
        <v>6.8</v>
      </c>
      <c r="O324">
        <f t="shared" si="43"/>
        <v>-6.8</v>
      </c>
      <c r="P324">
        <v>0</v>
      </c>
      <c r="Q324">
        <v>270</v>
      </c>
      <c r="R324">
        <f t="shared" si="40"/>
        <v>0.48090909090909095</v>
      </c>
      <c r="S324">
        <f t="shared" si="44"/>
        <v>3.2701818181818183</v>
      </c>
      <c r="T324" s="24">
        <f t="shared" si="45"/>
        <v>-3.2701818181818183</v>
      </c>
      <c r="U324" s="24">
        <f t="shared" si="48"/>
        <v>2.1726363636363599</v>
      </c>
      <c r="W324">
        <v>2430.5</v>
      </c>
      <c r="Y324">
        <f t="shared" si="49"/>
        <v>292614.89999999991</v>
      </c>
      <c r="Z324">
        <f t="shared" si="41"/>
        <v>10098.599999999999</v>
      </c>
      <c r="AA324">
        <v>15.262740817937626</v>
      </c>
    </row>
    <row r="325" spans="1:27" x14ac:dyDescent="0.25">
      <c r="A325">
        <v>5080</v>
      </c>
      <c r="B325">
        <v>18650</v>
      </c>
      <c r="C325" s="1">
        <v>42903</v>
      </c>
      <c r="G325">
        <v>24.4</v>
      </c>
      <c r="H325">
        <v>18.5</v>
      </c>
      <c r="I325">
        <v>29.9</v>
      </c>
      <c r="J325">
        <f t="shared" si="46"/>
        <v>3149.1999999999994</v>
      </c>
      <c r="K325">
        <f t="shared" si="42"/>
        <v>566.69999999999993</v>
      </c>
      <c r="M325">
        <v>0</v>
      </c>
      <c r="N325">
        <v>8</v>
      </c>
      <c r="O325">
        <f t="shared" si="43"/>
        <v>-8</v>
      </c>
      <c r="P325">
        <v>0</v>
      </c>
      <c r="Q325">
        <v>271</v>
      </c>
      <c r="R325">
        <f t="shared" si="40"/>
        <v>0.46636363636363642</v>
      </c>
      <c r="S325">
        <f t="shared" si="44"/>
        <v>3.7309090909090914</v>
      </c>
      <c r="T325" s="24">
        <f t="shared" si="45"/>
        <v>-3.7309090909090914</v>
      </c>
      <c r="U325" s="24">
        <v>0</v>
      </c>
      <c r="W325">
        <v>3298.8</v>
      </c>
      <c r="Y325">
        <f t="shared" si="49"/>
        <v>295913.6999999999</v>
      </c>
      <c r="Z325">
        <f t="shared" si="41"/>
        <v>13397.399999999998</v>
      </c>
      <c r="AA325">
        <v>15.268240328869252</v>
      </c>
    </row>
    <row r="326" spans="1:27" x14ac:dyDescent="0.25">
      <c r="A326">
        <v>5080</v>
      </c>
      <c r="B326">
        <v>18650</v>
      </c>
      <c r="C326" s="1">
        <v>42904</v>
      </c>
      <c r="G326">
        <v>25.3</v>
      </c>
      <c r="H326">
        <v>19.7</v>
      </c>
      <c r="I326">
        <v>31.1</v>
      </c>
      <c r="J326">
        <f t="shared" si="46"/>
        <v>3174.4999999999995</v>
      </c>
      <c r="K326">
        <f t="shared" si="42"/>
        <v>591.99999999999989</v>
      </c>
      <c r="M326">
        <v>0</v>
      </c>
      <c r="N326">
        <v>8.1999999999999993</v>
      </c>
      <c r="O326">
        <f t="shared" si="43"/>
        <v>-8.1999999999999993</v>
      </c>
      <c r="P326">
        <v>0</v>
      </c>
      <c r="Q326">
        <v>272</v>
      </c>
      <c r="R326">
        <f t="shared" si="40"/>
        <v>0.45181818181818179</v>
      </c>
      <c r="S326">
        <f t="shared" si="44"/>
        <v>3.7049090909090903</v>
      </c>
      <c r="T326" s="24">
        <f t="shared" si="45"/>
        <v>-3.7049090909090903</v>
      </c>
      <c r="U326" s="24">
        <v>0</v>
      </c>
      <c r="W326">
        <v>3299</v>
      </c>
      <c r="Y326">
        <f t="shared" si="49"/>
        <v>299212.6999999999</v>
      </c>
      <c r="Z326">
        <f t="shared" si="41"/>
        <v>16696.399999999998</v>
      </c>
      <c r="AA326">
        <v>15.27258708352981</v>
      </c>
    </row>
    <row r="327" spans="1:27" x14ac:dyDescent="0.25">
      <c r="A327">
        <v>5080</v>
      </c>
      <c r="B327">
        <v>18650</v>
      </c>
      <c r="C327" s="1">
        <v>42905</v>
      </c>
      <c r="G327">
        <v>26</v>
      </c>
      <c r="H327">
        <v>20.5</v>
      </c>
      <c r="I327">
        <v>30.5</v>
      </c>
      <c r="J327">
        <f t="shared" si="46"/>
        <v>3200.4999999999995</v>
      </c>
      <c r="K327">
        <f t="shared" si="42"/>
        <v>617.99999999999989</v>
      </c>
      <c r="M327">
        <v>0</v>
      </c>
      <c r="N327">
        <v>8.8000000000000007</v>
      </c>
      <c r="O327">
        <f t="shared" si="43"/>
        <v>-8.8000000000000007</v>
      </c>
      <c r="P327">
        <v>0</v>
      </c>
      <c r="Q327">
        <v>273</v>
      </c>
      <c r="R327">
        <f t="shared" si="40"/>
        <v>0.43727272727272726</v>
      </c>
      <c r="S327">
        <f t="shared" si="44"/>
        <v>3.8480000000000003</v>
      </c>
      <c r="T327" s="24">
        <f t="shared" si="45"/>
        <v>-3.8480000000000003</v>
      </c>
      <c r="U327" s="24">
        <v>0</v>
      </c>
      <c r="W327">
        <v>3263.4</v>
      </c>
      <c r="Y327">
        <f t="shared" si="49"/>
        <v>302476.09999999992</v>
      </c>
      <c r="Z327">
        <f t="shared" si="41"/>
        <v>19959.8</v>
      </c>
      <c r="AA327">
        <v>15.27577753375772</v>
      </c>
    </row>
    <row r="328" spans="1:27" x14ac:dyDescent="0.25">
      <c r="A328">
        <v>5080</v>
      </c>
      <c r="B328">
        <v>18650</v>
      </c>
      <c r="C328" s="1">
        <v>42906</v>
      </c>
      <c r="G328">
        <v>27.6</v>
      </c>
      <c r="H328">
        <v>22.8</v>
      </c>
      <c r="I328">
        <v>32.5</v>
      </c>
      <c r="J328">
        <f t="shared" si="46"/>
        <v>3228.0999999999995</v>
      </c>
      <c r="K328">
        <f t="shared" si="42"/>
        <v>645.59999999999991</v>
      </c>
      <c r="M328">
        <v>0</v>
      </c>
      <c r="N328">
        <v>7.2</v>
      </c>
      <c r="O328">
        <f t="shared" si="43"/>
        <v>-7.2</v>
      </c>
      <c r="P328">
        <v>0</v>
      </c>
      <c r="Q328">
        <v>274</v>
      </c>
      <c r="R328">
        <f t="shared" si="40"/>
        <v>0.42272727272727273</v>
      </c>
      <c r="S328">
        <f t="shared" si="44"/>
        <v>3.0436363636363639</v>
      </c>
      <c r="T328" s="24">
        <f t="shared" si="45"/>
        <v>-3.0436363636363639</v>
      </c>
      <c r="U328" s="24">
        <v>0</v>
      </c>
      <c r="W328">
        <v>2650.5</v>
      </c>
      <c r="Y328">
        <f t="shared" si="49"/>
        <v>305126.59999999992</v>
      </c>
      <c r="Z328">
        <f t="shared" si="41"/>
        <v>22610.3</v>
      </c>
      <c r="AA328">
        <v>15.277809069157978</v>
      </c>
    </row>
    <row r="329" spans="1:27" x14ac:dyDescent="0.25">
      <c r="A329">
        <v>5080</v>
      </c>
      <c r="B329">
        <v>18650</v>
      </c>
      <c r="C329" s="1">
        <v>42907</v>
      </c>
      <c r="G329">
        <v>28.5</v>
      </c>
      <c r="H329">
        <v>22.4</v>
      </c>
      <c r="I329">
        <v>34.299999999999997</v>
      </c>
      <c r="J329">
        <f t="shared" si="46"/>
        <v>3256.5999999999995</v>
      </c>
      <c r="K329">
        <f t="shared" si="42"/>
        <v>674.09999999999991</v>
      </c>
      <c r="M329">
        <v>0</v>
      </c>
      <c r="N329">
        <v>8.1999999999999993</v>
      </c>
      <c r="O329">
        <f t="shared" si="43"/>
        <v>-8.1999999999999993</v>
      </c>
      <c r="P329">
        <v>0</v>
      </c>
      <c r="Q329">
        <v>275</v>
      </c>
      <c r="R329">
        <f t="shared" si="40"/>
        <v>0.4081818181818182</v>
      </c>
      <c r="S329">
        <f t="shared" si="44"/>
        <v>3.3470909090909089</v>
      </c>
      <c r="T329" s="24">
        <f t="shared" si="45"/>
        <v>-3.3470909090909089</v>
      </c>
      <c r="U329" s="24">
        <v>0</v>
      </c>
      <c r="W329">
        <v>3234.9</v>
      </c>
      <c r="Y329">
        <f t="shared" si="49"/>
        <v>308361.49999999994</v>
      </c>
      <c r="Z329">
        <f t="shared" si="41"/>
        <v>25845.200000000001</v>
      </c>
      <c r="AA329">
        <v>15.278680024852294</v>
      </c>
    </row>
    <row r="330" spans="1:27" x14ac:dyDescent="0.25">
      <c r="A330">
        <v>5080</v>
      </c>
      <c r="B330">
        <v>18650</v>
      </c>
      <c r="C330" s="1">
        <v>42908</v>
      </c>
      <c r="G330">
        <v>29.1</v>
      </c>
      <c r="H330">
        <v>22.5</v>
      </c>
      <c r="I330">
        <v>35.700000000000003</v>
      </c>
      <c r="J330">
        <f t="shared" si="46"/>
        <v>3285.6999999999994</v>
      </c>
      <c r="K330">
        <f t="shared" si="42"/>
        <v>703.19999999999993</v>
      </c>
      <c r="M330">
        <v>0</v>
      </c>
      <c r="N330">
        <v>8.1999999999999993</v>
      </c>
      <c r="O330">
        <f t="shared" si="43"/>
        <v>-8.1999999999999993</v>
      </c>
      <c r="P330">
        <v>0</v>
      </c>
      <c r="Q330">
        <v>276</v>
      </c>
      <c r="R330">
        <f t="shared" si="40"/>
        <v>0.39363636363636367</v>
      </c>
      <c r="S330">
        <f t="shared" si="44"/>
        <v>3.2278181818181819</v>
      </c>
      <c r="T330" s="24">
        <f t="shared" si="45"/>
        <v>-3.2278181818181819</v>
      </c>
      <c r="U330" s="24">
        <v>0</v>
      </c>
      <c r="W330">
        <v>2987</v>
      </c>
      <c r="Y330">
        <f t="shared" si="49"/>
        <v>311348.49999999994</v>
      </c>
      <c r="Z330">
        <f t="shared" si="41"/>
        <v>28832.2</v>
      </c>
      <c r="AA330">
        <v>15.278389686434265</v>
      </c>
    </row>
    <row r="331" spans="1:27" x14ac:dyDescent="0.25">
      <c r="A331">
        <v>5080</v>
      </c>
      <c r="B331">
        <v>18650</v>
      </c>
      <c r="C331" s="1">
        <v>42909</v>
      </c>
      <c r="G331">
        <v>22.1</v>
      </c>
      <c r="H331">
        <v>20.3</v>
      </c>
      <c r="I331">
        <v>24</v>
      </c>
      <c r="J331">
        <f t="shared" si="46"/>
        <v>3307.7999999999993</v>
      </c>
      <c r="K331">
        <f t="shared" si="42"/>
        <v>725.3</v>
      </c>
      <c r="M331">
        <v>0</v>
      </c>
      <c r="N331">
        <v>2.5</v>
      </c>
      <c r="O331">
        <f t="shared" si="43"/>
        <v>-2.5</v>
      </c>
      <c r="P331">
        <v>0</v>
      </c>
      <c r="Q331">
        <v>277</v>
      </c>
      <c r="R331">
        <f t="shared" si="40"/>
        <v>0.37909090909090903</v>
      </c>
      <c r="S331">
        <f t="shared" si="44"/>
        <v>0.94772727272727253</v>
      </c>
      <c r="T331" s="24">
        <f t="shared" si="45"/>
        <v>-0.94772727272727253</v>
      </c>
      <c r="U331" s="24">
        <v>0</v>
      </c>
      <c r="W331">
        <v>742.5</v>
      </c>
      <c r="Y331">
        <f t="shared" si="49"/>
        <v>312090.99999999994</v>
      </c>
      <c r="Z331">
        <f t="shared" si="41"/>
        <v>29574.7</v>
      </c>
      <c r="AA331">
        <v>15.276938292098558</v>
      </c>
    </row>
    <row r="332" spans="1:27" x14ac:dyDescent="0.25">
      <c r="A332">
        <v>5080</v>
      </c>
      <c r="B332">
        <v>18650</v>
      </c>
      <c r="C332" s="1">
        <v>42910</v>
      </c>
      <c r="G332">
        <v>21.8</v>
      </c>
      <c r="H332">
        <v>19.7</v>
      </c>
      <c r="I332">
        <v>23.4</v>
      </c>
      <c r="J332">
        <f t="shared" si="46"/>
        <v>3329.5999999999995</v>
      </c>
      <c r="K332">
        <f t="shared" si="42"/>
        <v>747.09999999999991</v>
      </c>
      <c r="M332">
        <v>0</v>
      </c>
      <c r="N332">
        <v>3.1</v>
      </c>
      <c r="O332">
        <f t="shared" si="43"/>
        <v>-3.1</v>
      </c>
      <c r="P332">
        <v>0</v>
      </c>
      <c r="Q332">
        <v>278</v>
      </c>
      <c r="R332">
        <f t="shared" si="40"/>
        <v>0.36454545454545451</v>
      </c>
      <c r="S332">
        <f t="shared" si="44"/>
        <v>1.130090909090909</v>
      </c>
      <c r="T332" s="24">
        <f t="shared" si="45"/>
        <v>-1.130090909090909</v>
      </c>
      <c r="U332" s="24">
        <v>0</v>
      </c>
      <c r="W332">
        <v>796.5</v>
      </c>
      <c r="Y332">
        <f t="shared" si="49"/>
        <v>312887.49999999994</v>
      </c>
      <c r="Z332">
        <f t="shared" si="41"/>
        <v>30371.200000000001</v>
      </c>
      <c r="AA332">
        <v>15.274327031930808</v>
      </c>
    </row>
    <row r="333" spans="1:27" x14ac:dyDescent="0.25">
      <c r="A333">
        <v>5080</v>
      </c>
      <c r="B333">
        <v>18650</v>
      </c>
      <c r="C333" s="1">
        <v>42911</v>
      </c>
      <c r="G333">
        <v>22.6</v>
      </c>
      <c r="H333">
        <v>17.399999999999999</v>
      </c>
      <c r="I333">
        <v>26.8</v>
      </c>
      <c r="J333">
        <f t="shared" si="46"/>
        <v>3352.1999999999994</v>
      </c>
      <c r="K333">
        <f t="shared" si="42"/>
        <v>769.69999999999993</v>
      </c>
      <c r="M333">
        <v>0.6</v>
      </c>
      <c r="N333">
        <v>4.5999999999999996</v>
      </c>
      <c r="O333">
        <f t="shared" si="43"/>
        <v>-3.9999999999999996</v>
      </c>
      <c r="P333">
        <v>0</v>
      </c>
      <c r="Q333">
        <v>279</v>
      </c>
      <c r="R333">
        <f t="shared" si="40"/>
        <v>0.35</v>
      </c>
      <c r="S333">
        <f t="shared" si="44"/>
        <v>1.6099999999999999</v>
      </c>
      <c r="T333" s="24">
        <f t="shared" si="45"/>
        <v>-1.0099999999999998</v>
      </c>
      <c r="U333" s="24">
        <v>0</v>
      </c>
      <c r="W333">
        <v>2058.8000000000002</v>
      </c>
      <c r="Y333">
        <f t="shared" si="49"/>
        <v>314946.29999999993</v>
      </c>
      <c r="Z333">
        <f t="shared" si="41"/>
        <v>32430</v>
      </c>
      <c r="AA333">
        <v>15.270558044362676</v>
      </c>
    </row>
    <row r="334" spans="1:27" s="7" customFormat="1" x14ac:dyDescent="0.25">
      <c r="A334" s="39" t="s">
        <v>33</v>
      </c>
      <c r="B334" s="39"/>
      <c r="C334" s="39"/>
      <c r="D334" s="39"/>
      <c r="E334" s="39"/>
      <c r="F334" s="39"/>
      <c r="L334" s="10"/>
      <c r="V334" s="10"/>
    </row>
    <row r="335" spans="1:27" x14ac:dyDescent="0.25">
      <c r="A335">
        <v>5080</v>
      </c>
      <c r="B335">
        <v>18650</v>
      </c>
      <c r="C335" s="1">
        <v>42912</v>
      </c>
      <c r="G335">
        <v>22.5</v>
      </c>
      <c r="H335">
        <v>19</v>
      </c>
      <c r="I335">
        <v>27.1</v>
      </c>
      <c r="M335">
        <v>0.2</v>
      </c>
      <c r="N335">
        <v>3.4</v>
      </c>
      <c r="W335">
        <v>1492.3</v>
      </c>
    </row>
    <row r="336" spans="1:27" x14ac:dyDescent="0.25">
      <c r="A336">
        <v>5080</v>
      </c>
      <c r="B336">
        <v>18650</v>
      </c>
      <c r="C336" s="1">
        <v>42913</v>
      </c>
      <c r="G336">
        <v>20.9</v>
      </c>
      <c r="H336">
        <v>18.399999999999999</v>
      </c>
      <c r="I336">
        <v>27.7</v>
      </c>
      <c r="M336">
        <v>16.5</v>
      </c>
      <c r="N336">
        <v>4.9000000000000004</v>
      </c>
      <c r="W336">
        <v>2109.1</v>
      </c>
    </row>
    <row r="337" spans="1:23" x14ac:dyDescent="0.25">
      <c r="A337">
        <v>5080</v>
      </c>
      <c r="B337">
        <v>18650</v>
      </c>
      <c r="C337" s="1">
        <v>42914</v>
      </c>
      <c r="G337">
        <v>19.3</v>
      </c>
      <c r="H337">
        <v>16.8</v>
      </c>
      <c r="I337">
        <v>25</v>
      </c>
      <c r="M337">
        <v>4.5999999999999996</v>
      </c>
      <c r="N337">
        <v>4.5</v>
      </c>
      <c r="W337">
        <v>1686.2</v>
      </c>
    </row>
    <row r="338" spans="1:23" x14ac:dyDescent="0.25">
      <c r="A338">
        <v>5080</v>
      </c>
      <c r="B338">
        <v>18650</v>
      </c>
      <c r="C338" s="1">
        <v>42915</v>
      </c>
      <c r="G338">
        <v>17.600000000000001</v>
      </c>
      <c r="H338">
        <v>14.9</v>
      </c>
      <c r="I338">
        <v>20.5</v>
      </c>
      <c r="M338">
        <v>0</v>
      </c>
      <c r="N338">
        <v>5.8</v>
      </c>
      <c r="W338">
        <v>2589.4</v>
      </c>
    </row>
    <row r="339" spans="1:23" x14ac:dyDescent="0.25">
      <c r="A339">
        <v>5080</v>
      </c>
      <c r="B339">
        <v>18650</v>
      </c>
      <c r="C339" s="1">
        <v>42916</v>
      </c>
      <c r="G339">
        <v>15</v>
      </c>
      <c r="H339">
        <v>13.9</v>
      </c>
      <c r="I339">
        <v>17.600000000000001</v>
      </c>
      <c r="M339">
        <v>3.4</v>
      </c>
      <c r="N339">
        <v>2.9</v>
      </c>
      <c r="W339">
        <v>1121.2</v>
      </c>
    </row>
    <row r="340" spans="1:23" x14ac:dyDescent="0.25">
      <c r="A340">
        <v>5080</v>
      </c>
      <c r="B340">
        <v>18650</v>
      </c>
      <c r="C340" s="1">
        <v>42917</v>
      </c>
      <c r="G340">
        <v>15.5</v>
      </c>
      <c r="H340">
        <v>13.4</v>
      </c>
      <c r="I340">
        <v>17.899999999999999</v>
      </c>
      <c r="M340">
        <v>7.5</v>
      </c>
      <c r="N340">
        <v>2.1</v>
      </c>
      <c r="W340">
        <v>795.7</v>
      </c>
    </row>
    <row r="341" spans="1:23" x14ac:dyDescent="0.25">
      <c r="A341">
        <v>5080</v>
      </c>
      <c r="B341">
        <v>18650</v>
      </c>
      <c r="C341" s="1">
        <v>42918</v>
      </c>
      <c r="G341">
        <v>18.100000000000001</v>
      </c>
      <c r="H341">
        <v>14.4</v>
      </c>
      <c r="I341">
        <v>21.3</v>
      </c>
      <c r="M341">
        <v>0</v>
      </c>
      <c r="N341">
        <v>3</v>
      </c>
      <c r="W341">
        <v>1122.5999999999999</v>
      </c>
    </row>
    <row r="342" spans="1:23" x14ac:dyDescent="0.25">
      <c r="A342">
        <v>5080</v>
      </c>
      <c r="B342">
        <v>18650</v>
      </c>
      <c r="C342" s="1">
        <v>42919</v>
      </c>
      <c r="G342">
        <v>21.3</v>
      </c>
      <c r="H342">
        <v>18.100000000000001</v>
      </c>
      <c r="I342">
        <v>25.4</v>
      </c>
      <c r="M342">
        <v>0.2</v>
      </c>
      <c r="N342">
        <v>4.5</v>
      </c>
      <c r="W342">
        <v>2048.1</v>
      </c>
    </row>
    <row r="343" spans="1:23" x14ac:dyDescent="0.25">
      <c r="A343">
        <v>5080</v>
      </c>
      <c r="B343">
        <v>18650</v>
      </c>
      <c r="C343" s="1">
        <v>42920</v>
      </c>
      <c r="G343">
        <v>24.2</v>
      </c>
      <c r="H343">
        <v>17.399999999999999</v>
      </c>
      <c r="I343">
        <v>31.1</v>
      </c>
      <c r="M343">
        <v>0</v>
      </c>
      <c r="N343">
        <v>7.1</v>
      </c>
      <c r="W343">
        <v>2794.8</v>
      </c>
    </row>
    <row r="344" spans="1:23" x14ac:dyDescent="0.25">
      <c r="A344">
        <v>5080</v>
      </c>
      <c r="B344">
        <v>18650</v>
      </c>
      <c r="C344" s="1">
        <v>42921</v>
      </c>
      <c r="G344">
        <v>24.3</v>
      </c>
      <c r="H344">
        <v>20.399999999999999</v>
      </c>
      <c r="I344">
        <v>28.5</v>
      </c>
      <c r="M344">
        <v>0</v>
      </c>
      <c r="N344">
        <v>8.9</v>
      </c>
      <c r="W344">
        <v>3266.4</v>
      </c>
    </row>
    <row r="345" spans="1:23" x14ac:dyDescent="0.25">
      <c r="A345">
        <v>5080</v>
      </c>
      <c r="B345">
        <v>18650</v>
      </c>
      <c r="C345" s="1">
        <v>42922</v>
      </c>
      <c r="G345">
        <v>24</v>
      </c>
      <c r="H345">
        <v>19.899999999999999</v>
      </c>
      <c r="I345">
        <v>27.6</v>
      </c>
      <c r="M345">
        <v>0</v>
      </c>
      <c r="N345">
        <v>5.5</v>
      </c>
      <c r="W345">
        <v>2201</v>
      </c>
    </row>
    <row r="346" spans="1:23" x14ac:dyDescent="0.25">
      <c r="A346">
        <v>5080</v>
      </c>
      <c r="B346">
        <v>18650</v>
      </c>
      <c r="C346" s="1">
        <v>42923</v>
      </c>
      <c r="G346">
        <v>27.8</v>
      </c>
      <c r="H346">
        <v>20.5</v>
      </c>
      <c r="I346">
        <v>33.799999999999997</v>
      </c>
      <c r="M346">
        <v>0</v>
      </c>
      <c r="N346">
        <v>7</v>
      </c>
      <c r="W346">
        <v>2500</v>
      </c>
    </row>
    <row r="347" spans="1:23" x14ac:dyDescent="0.25">
      <c r="A347">
        <v>5080</v>
      </c>
      <c r="B347">
        <v>18650</v>
      </c>
      <c r="C347" s="1">
        <v>42924</v>
      </c>
      <c r="G347">
        <v>23.6</v>
      </c>
      <c r="H347">
        <v>21.3</v>
      </c>
      <c r="I347">
        <v>27</v>
      </c>
      <c r="M347">
        <v>12.9</v>
      </c>
      <c r="N347">
        <v>1.8</v>
      </c>
      <c r="W347">
        <v>953.9</v>
      </c>
    </row>
    <row r="348" spans="1:23" x14ac:dyDescent="0.25">
      <c r="A348">
        <v>5080</v>
      </c>
      <c r="B348">
        <v>18650</v>
      </c>
      <c r="C348" s="1">
        <v>42925</v>
      </c>
      <c r="G348">
        <v>20.399999999999999</v>
      </c>
      <c r="H348">
        <v>17.7</v>
      </c>
      <c r="I348">
        <v>24.8</v>
      </c>
      <c r="M348">
        <v>1.8</v>
      </c>
      <c r="N348">
        <v>2.7</v>
      </c>
      <c r="W348">
        <v>888.1</v>
      </c>
    </row>
    <row r="349" spans="1:23" x14ac:dyDescent="0.25">
      <c r="A349">
        <v>5080</v>
      </c>
      <c r="B349">
        <v>18650</v>
      </c>
      <c r="C349" s="1">
        <v>42926</v>
      </c>
      <c r="G349">
        <v>19.899999999999999</v>
      </c>
      <c r="H349">
        <v>17.399999999999999</v>
      </c>
      <c r="I349">
        <v>22.3</v>
      </c>
      <c r="M349">
        <v>0</v>
      </c>
      <c r="N349">
        <v>2.5</v>
      </c>
      <c r="W349">
        <v>1174.8</v>
      </c>
    </row>
    <row r="350" spans="1:23" x14ac:dyDescent="0.25">
      <c r="A350">
        <v>5080</v>
      </c>
      <c r="B350">
        <v>18650</v>
      </c>
      <c r="C350" s="1">
        <v>42927</v>
      </c>
      <c r="G350">
        <v>21.4</v>
      </c>
      <c r="H350">
        <v>18</v>
      </c>
      <c r="I350">
        <v>25.4</v>
      </c>
      <c r="M350">
        <v>0</v>
      </c>
      <c r="N350">
        <v>2.2999999999999998</v>
      </c>
      <c r="W350">
        <v>893.3</v>
      </c>
    </row>
    <row r="351" spans="1:23" x14ac:dyDescent="0.25">
      <c r="A351">
        <v>5080</v>
      </c>
      <c r="B351">
        <v>18650</v>
      </c>
      <c r="C351" s="1">
        <v>42928</v>
      </c>
      <c r="G351">
        <v>21.3</v>
      </c>
      <c r="H351">
        <v>18.899999999999999</v>
      </c>
      <c r="I351">
        <v>23.9</v>
      </c>
      <c r="M351">
        <v>0</v>
      </c>
      <c r="N351">
        <v>2.5</v>
      </c>
      <c r="W351">
        <v>874.5</v>
      </c>
    </row>
    <row r="352" spans="1:23" x14ac:dyDescent="0.25">
      <c r="A352">
        <v>5080</v>
      </c>
      <c r="B352">
        <v>18650</v>
      </c>
      <c r="C352" s="1">
        <v>42929</v>
      </c>
      <c r="G352">
        <v>21.5</v>
      </c>
      <c r="H352">
        <v>18.899999999999999</v>
      </c>
      <c r="I352">
        <v>25.5</v>
      </c>
      <c r="M352">
        <v>0</v>
      </c>
      <c r="N352">
        <v>3.4</v>
      </c>
      <c r="W352">
        <v>1178.2</v>
      </c>
    </row>
    <row r="353" spans="1:23" x14ac:dyDescent="0.25">
      <c r="A353">
        <v>5080</v>
      </c>
      <c r="B353">
        <v>18650</v>
      </c>
      <c r="C353" s="1">
        <v>42930</v>
      </c>
      <c r="G353">
        <v>21.4</v>
      </c>
      <c r="H353">
        <v>18.600000000000001</v>
      </c>
      <c r="I353">
        <v>24.5</v>
      </c>
      <c r="M353">
        <v>0</v>
      </c>
      <c r="N353">
        <v>4.5999999999999996</v>
      </c>
      <c r="W353">
        <v>1658.7</v>
      </c>
    </row>
    <row r="354" spans="1:23" x14ac:dyDescent="0.25">
      <c r="A354">
        <v>5080</v>
      </c>
      <c r="B354">
        <v>18650</v>
      </c>
      <c r="C354" s="1">
        <v>42931</v>
      </c>
      <c r="G354">
        <v>22.9</v>
      </c>
      <c r="H354">
        <v>18</v>
      </c>
      <c r="I354">
        <v>28</v>
      </c>
      <c r="M354">
        <v>0</v>
      </c>
      <c r="N354">
        <v>7.3</v>
      </c>
      <c r="W354">
        <v>3116.1</v>
      </c>
    </row>
    <row r="355" spans="1:23" x14ac:dyDescent="0.25">
      <c r="A355">
        <v>5080</v>
      </c>
      <c r="B355">
        <v>18650</v>
      </c>
      <c r="C355" s="1">
        <v>42932</v>
      </c>
      <c r="G355">
        <v>25.4</v>
      </c>
      <c r="H355">
        <v>18.100000000000001</v>
      </c>
      <c r="I355">
        <v>32.5</v>
      </c>
      <c r="M355">
        <v>0</v>
      </c>
      <c r="N355">
        <v>7.7</v>
      </c>
      <c r="W355">
        <v>3206.6</v>
      </c>
    </row>
    <row r="356" spans="1:23" x14ac:dyDescent="0.25">
      <c r="A356">
        <v>5080</v>
      </c>
      <c r="B356">
        <v>18650</v>
      </c>
      <c r="C356" s="1">
        <v>42933</v>
      </c>
      <c r="G356">
        <v>25.4</v>
      </c>
      <c r="H356">
        <v>20.8</v>
      </c>
      <c r="I356">
        <v>31.8</v>
      </c>
      <c r="M356">
        <v>0</v>
      </c>
      <c r="N356">
        <v>9</v>
      </c>
      <c r="W356">
        <v>2863.6</v>
      </c>
    </row>
    <row r="357" spans="1:23" x14ac:dyDescent="0.25">
      <c r="A357">
        <v>5080</v>
      </c>
      <c r="B357">
        <v>18650</v>
      </c>
      <c r="C357" s="1">
        <v>42934</v>
      </c>
      <c r="G357">
        <v>25.5</v>
      </c>
      <c r="H357">
        <v>20</v>
      </c>
      <c r="I357">
        <v>30.3</v>
      </c>
      <c r="M357">
        <v>0</v>
      </c>
      <c r="N357">
        <v>7.3</v>
      </c>
      <c r="W357">
        <v>2493.4</v>
      </c>
    </row>
    <row r="358" spans="1:23" x14ac:dyDescent="0.25">
      <c r="A358">
        <v>5080</v>
      </c>
      <c r="B358">
        <v>18650</v>
      </c>
      <c r="C358" s="1">
        <v>42935</v>
      </c>
      <c r="G358">
        <v>24.3</v>
      </c>
      <c r="H358">
        <v>22.7</v>
      </c>
      <c r="I358">
        <v>26.8</v>
      </c>
      <c r="M358">
        <v>24.7</v>
      </c>
      <c r="N358">
        <v>3.9</v>
      </c>
      <c r="W358">
        <v>1679</v>
      </c>
    </row>
    <row r="359" spans="1:23" x14ac:dyDescent="0.25">
      <c r="A359">
        <v>5080</v>
      </c>
      <c r="B359">
        <v>18650</v>
      </c>
      <c r="C359" s="1">
        <v>42936</v>
      </c>
      <c r="G359">
        <v>20</v>
      </c>
      <c r="H359">
        <v>19.3</v>
      </c>
      <c r="I359">
        <v>21.5</v>
      </c>
      <c r="M359">
        <v>0.8</v>
      </c>
      <c r="N359">
        <v>1.9</v>
      </c>
      <c r="W359">
        <v>787.9</v>
      </c>
    </row>
    <row r="360" spans="1:23" x14ac:dyDescent="0.25">
      <c r="A360">
        <v>5080</v>
      </c>
      <c r="B360">
        <v>18650</v>
      </c>
      <c r="C360" s="1">
        <v>42937</v>
      </c>
      <c r="G360">
        <v>20.100000000000001</v>
      </c>
      <c r="H360">
        <v>17.600000000000001</v>
      </c>
      <c r="I360">
        <v>23.3</v>
      </c>
      <c r="M360">
        <v>2.7</v>
      </c>
      <c r="N360">
        <v>3.8</v>
      </c>
      <c r="W360">
        <v>1814.6</v>
      </c>
    </row>
    <row r="361" spans="1:23" x14ac:dyDescent="0.25">
      <c r="A361">
        <v>5080</v>
      </c>
      <c r="B361">
        <v>18650</v>
      </c>
      <c r="C361" s="1">
        <v>42938</v>
      </c>
      <c r="G361">
        <v>21.4</v>
      </c>
      <c r="H361">
        <v>17.100000000000001</v>
      </c>
      <c r="I361">
        <v>24.7</v>
      </c>
      <c r="M361">
        <v>0</v>
      </c>
      <c r="N361">
        <v>2.9</v>
      </c>
      <c r="W361">
        <v>1074.5999999999999</v>
      </c>
    </row>
    <row r="362" spans="1:23" x14ac:dyDescent="0.25">
      <c r="A362">
        <v>5080</v>
      </c>
      <c r="B362">
        <v>18650</v>
      </c>
      <c r="C362" s="1">
        <v>42939</v>
      </c>
      <c r="G362">
        <v>20.2</v>
      </c>
      <c r="H362">
        <v>18.399999999999999</v>
      </c>
      <c r="I362">
        <v>22.3</v>
      </c>
      <c r="M362">
        <v>1.1000000000000001</v>
      </c>
      <c r="N362">
        <v>2.7</v>
      </c>
      <c r="W362">
        <v>819.7</v>
      </c>
    </row>
    <row r="363" spans="1:23" x14ac:dyDescent="0.25">
      <c r="A363">
        <v>5080</v>
      </c>
      <c r="B363">
        <v>18650</v>
      </c>
      <c r="C363" s="1">
        <v>42940</v>
      </c>
      <c r="G363">
        <v>19.3</v>
      </c>
      <c r="H363">
        <v>17.7</v>
      </c>
      <c r="I363">
        <v>22.6</v>
      </c>
      <c r="M363">
        <v>2.1</v>
      </c>
      <c r="N363">
        <v>3.2</v>
      </c>
      <c r="W363">
        <v>1071.5999999999999</v>
      </c>
    </row>
    <row r="364" spans="1:23" x14ac:dyDescent="0.25">
      <c r="A364">
        <v>5080</v>
      </c>
      <c r="B364">
        <v>18650</v>
      </c>
      <c r="C364" s="1">
        <v>42941</v>
      </c>
      <c r="G364">
        <v>19.5</v>
      </c>
      <c r="H364">
        <v>15.9</v>
      </c>
      <c r="I364">
        <v>23</v>
      </c>
      <c r="M364">
        <v>0.1</v>
      </c>
      <c r="N364">
        <v>4.2</v>
      </c>
      <c r="W364">
        <v>2001.6</v>
      </c>
    </row>
    <row r="365" spans="1:23" x14ac:dyDescent="0.25">
      <c r="A365">
        <v>5080</v>
      </c>
      <c r="B365">
        <v>18650</v>
      </c>
      <c r="C365" s="1">
        <v>42942</v>
      </c>
      <c r="G365">
        <v>19.8</v>
      </c>
      <c r="H365">
        <v>15.7</v>
      </c>
      <c r="I365">
        <v>24.1</v>
      </c>
      <c r="M365">
        <v>0</v>
      </c>
      <c r="N365">
        <v>3</v>
      </c>
      <c r="W365">
        <v>1222.5999999999999</v>
      </c>
    </row>
    <row r="366" spans="1:23" x14ac:dyDescent="0.25">
      <c r="A366">
        <v>5080</v>
      </c>
      <c r="B366">
        <v>18650</v>
      </c>
      <c r="C366" s="1">
        <v>42943</v>
      </c>
      <c r="G366">
        <v>22.9</v>
      </c>
      <c r="H366">
        <v>17.7</v>
      </c>
      <c r="I366">
        <v>27.4</v>
      </c>
      <c r="M366">
        <v>0</v>
      </c>
      <c r="N366">
        <v>4.5</v>
      </c>
      <c r="W366">
        <v>1985.5</v>
      </c>
    </row>
    <row r="367" spans="1:23" x14ac:dyDescent="0.25">
      <c r="A367">
        <v>5080</v>
      </c>
      <c r="B367">
        <v>18650</v>
      </c>
      <c r="C367" s="1">
        <v>42944</v>
      </c>
      <c r="G367">
        <v>22.8</v>
      </c>
      <c r="H367">
        <v>19.600000000000001</v>
      </c>
      <c r="I367">
        <v>26.3</v>
      </c>
      <c r="M367">
        <v>0</v>
      </c>
      <c r="N367">
        <v>2.7</v>
      </c>
      <c r="W367">
        <v>1145</v>
      </c>
    </row>
    <row r="368" spans="1:23" x14ac:dyDescent="0.25">
      <c r="A368">
        <v>5080</v>
      </c>
      <c r="B368">
        <v>18650</v>
      </c>
      <c r="C368" s="1">
        <v>42945</v>
      </c>
      <c r="G368">
        <v>24.9</v>
      </c>
      <c r="H368">
        <v>17.600000000000001</v>
      </c>
      <c r="I368">
        <v>31.9</v>
      </c>
      <c r="M368">
        <v>0</v>
      </c>
      <c r="N368">
        <v>3.3</v>
      </c>
      <c r="W368">
        <v>1280.9000000000001</v>
      </c>
    </row>
    <row r="369" spans="1:23" x14ac:dyDescent="0.25">
      <c r="A369">
        <v>5080</v>
      </c>
      <c r="B369">
        <v>18650</v>
      </c>
      <c r="C369" s="1">
        <v>42946</v>
      </c>
      <c r="G369">
        <v>23.9</v>
      </c>
      <c r="H369">
        <v>20.3</v>
      </c>
      <c r="I369">
        <v>26.6</v>
      </c>
      <c r="M369">
        <v>0</v>
      </c>
      <c r="N369">
        <v>3.2</v>
      </c>
      <c r="W369">
        <v>1102.5999999999999</v>
      </c>
    </row>
    <row r="370" spans="1:23" x14ac:dyDescent="0.25">
      <c r="A370">
        <v>5080</v>
      </c>
      <c r="B370">
        <v>18650</v>
      </c>
      <c r="C370" s="1">
        <v>42947</v>
      </c>
      <c r="G370">
        <v>23.4</v>
      </c>
      <c r="H370">
        <v>20.2</v>
      </c>
      <c r="I370">
        <v>25.9</v>
      </c>
      <c r="M370">
        <v>0</v>
      </c>
      <c r="N370">
        <v>3.8</v>
      </c>
      <c r="W370">
        <v>1580.1</v>
      </c>
    </row>
    <row r="371" spans="1:23" x14ac:dyDescent="0.25">
      <c r="A371">
        <v>5080</v>
      </c>
      <c r="B371">
        <v>18650</v>
      </c>
      <c r="C371" s="1">
        <v>42948</v>
      </c>
      <c r="G371">
        <v>24.1</v>
      </c>
      <c r="H371">
        <v>19.3</v>
      </c>
      <c r="I371">
        <v>27.7</v>
      </c>
      <c r="M371">
        <v>0</v>
      </c>
      <c r="N371">
        <v>3.7</v>
      </c>
      <c r="W371">
        <v>1768.5</v>
      </c>
    </row>
    <row r="372" spans="1:23" x14ac:dyDescent="0.25">
      <c r="A372">
        <v>5080</v>
      </c>
      <c r="B372">
        <v>18650</v>
      </c>
      <c r="C372" s="1">
        <v>42949</v>
      </c>
      <c r="G372">
        <v>26.7</v>
      </c>
      <c r="H372">
        <v>19.100000000000001</v>
      </c>
      <c r="I372">
        <v>33.299999999999997</v>
      </c>
      <c r="M372">
        <v>0</v>
      </c>
      <c r="N372">
        <v>4.0999999999999996</v>
      </c>
      <c r="W372">
        <v>1644.4</v>
      </c>
    </row>
    <row r="373" spans="1:23" x14ac:dyDescent="0.25">
      <c r="A373">
        <v>5080</v>
      </c>
      <c r="B373">
        <v>18650</v>
      </c>
      <c r="C373" s="1">
        <v>42950</v>
      </c>
      <c r="G373">
        <v>25.6</v>
      </c>
      <c r="H373">
        <v>19.5</v>
      </c>
      <c r="I373">
        <v>30.3</v>
      </c>
      <c r="M373">
        <v>0</v>
      </c>
      <c r="N373">
        <v>7.3</v>
      </c>
      <c r="W373">
        <v>2905.3</v>
      </c>
    </row>
    <row r="374" spans="1:23" x14ac:dyDescent="0.25">
      <c r="A374">
        <v>5080</v>
      </c>
      <c r="B374">
        <v>18650</v>
      </c>
      <c r="C374" s="1">
        <v>42951</v>
      </c>
      <c r="G374">
        <v>26.3</v>
      </c>
      <c r="H374">
        <v>20.9</v>
      </c>
      <c r="I374">
        <v>31.2</v>
      </c>
      <c r="M374">
        <v>0</v>
      </c>
      <c r="N374">
        <v>6.3</v>
      </c>
      <c r="W374">
        <v>2381.9</v>
      </c>
    </row>
    <row r="375" spans="1:23" x14ac:dyDescent="0.25">
      <c r="A375">
        <v>5080</v>
      </c>
      <c r="B375">
        <v>18650</v>
      </c>
      <c r="C375" s="1">
        <v>42952</v>
      </c>
      <c r="G375">
        <v>22.6</v>
      </c>
      <c r="H375">
        <v>21.4</v>
      </c>
      <c r="I375">
        <v>24.7</v>
      </c>
      <c r="M375">
        <v>0.9</v>
      </c>
      <c r="N375">
        <v>3</v>
      </c>
      <c r="W375">
        <v>731.2</v>
      </c>
    </row>
    <row r="376" spans="1:23" x14ac:dyDescent="0.25">
      <c r="A376">
        <v>5080</v>
      </c>
      <c r="B376">
        <v>18650</v>
      </c>
      <c r="C376" s="1">
        <v>42953</v>
      </c>
      <c r="G376">
        <v>21.4</v>
      </c>
      <c r="H376">
        <v>16.5</v>
      </c>
      <c r="I376">
        <v>26.6</v>
      </c>
      <c r="M376">
        <v>0</v>
      </c>
      <c r="N376">
        <v>4.3</v>
      </c>
      <c r="W376">
        <v>1256.9000000000001</v>
      </c>
    </row>
    <row r="377" spans="1:23" x14ac:dyDescent="0.25">
      <c r="A377">
        <v>5080</v>
      </c>
      <c r="B377">
        <v>18650</v>
      </c>
      <c r="C377" s="1">
        <v>42954</v>
      </c>
      <c r="G377">
        <v>23.1</v>
      </c>
      <c r="H377">
        <v>15.7</v>
      </c>
      <c r="I377">
        <v>29.3</v>
      </c>
      <c r="M377">
        <v>8.5</v>
      </c>
      <c r="N377">
        <v>5.3</v>
      </c>
      <c r="W377">
        <v>2231.3000000000002</v>
      </c>
    </row>
    <row r="378" spans="1:23" x14ac:dyDescent="0.25">
      <c r="A378">
        <v>5080</v>
      </c>
      <c r="B378">
        <v>18650</v>
      </c>
      <c r="C378" s="1">
        <v>42955</v>
      </c>
      <c r="G378">
        <v>18.8</v>
      </c>
      <c r="H378">
        <v>16.5</v>
      </c>
      <c r="I378">
        <v>21.5</v>
      </c>
      <c r="M378">
        <v>0</v>
      </c>
      <c r="N378">
        <v>3.8</v>
      </c>
      <c r="W378">
        <v>1568.2</v>
      </c>
    </row>
    <row r="379" spans="1:23" x14ac:dyDescent="0.25">
      <c r="A379">
        <v>5080</v>
      </c>
      <c r="B379">
        <v>18650</v>
      </c>
      <c r="C379" s="1">
        <v>42956</v>
      </c>
      <c r="G379">
        <v>16.8</v>
      </c>
      <c r="H379">
        <v>14</v>
      </c>
      <c r="I379">
        <v>19.399999999999999</v>
      </c>
      <c r="M379">
        <v>0</v>
      </c>
      <c r="N379">
        <v>3.3</v>
      </c>
      <c r="W379">
        <v>1812.3</v>
      </c>
    </row>
    <row r="380" spans="1:23" x14ac:dyDescent="0.25">
      <c r="A380">
        <v>5080</v>
      </c>
      <c r="B380">
        <v>18650</v>
      </c>
      <c r="C380" s="1">
        <v>42957</v>
      </c>
      <c r="G380">
        <v>17.100000000000001</v>
      </c>
      <c r="H380">
        <v>13.6</v>
      </c>
      <c r="I380">
        <v>21.7</v>
      </c>
      <c r="M380">
        <v>1.8</v>
      </c>
      <c r="N380">
        <v>3</v>
      </c>
      <c r="W380">
        <v>1251.4000000000001</v>
      </c>
    </row>
    <row r="381" spans="1:23" x14ac:dyDescent="0.25">
      <c r="A381">
        <v>5080</v>
      </c>
      <c r="B381">
        <v>18650</v>
      </c>
      <c r="C381" s="1">
        <v>42958</v>
      </c>
      <c r="G381">
        <v>17.600000000000001</v>
      </c>
      <c r="H381">
        <v>14.1</v>
      </c>
      <c r="I381">
        <v>21</v>
      </c>
      <c r="M381">
        <v>0.2</v>
      </c>
      <c r="N381">
        <v>4.3</v>
      </c>
      <c r="W381">
        <v>2028.3</v>
      </c>
    </row>
    <row r="382" spans="1:23" x14ac:dyDescent="0.25">
      <c r="A382">
        <v>5080</v>
      </c>
      <c r="B382">
        <v>18650</v>
      </c>
      <c r="C382" s="1">
        <v>42959</v>
      </c>
      <c r="G382">
        <v>18.8</v>
      </c>
      <c r="H382">
        <v>12.9</v>
      </c>
      <c r="I382">
        <v>23.6</v>
      </c>
      <c r="M382">
        <v>0</v>
      </c>
      <c r="N382">
        <v>4.3</v>
      </c>
      <c r="W382">
        <v>2135.8000000000002</v>
      </c>
    </row>
    <row r="383" spans="1:23" x14ac:dyDescent="0.25">
      <c r="A383">
        <v>5080</v>
      </c>
      <c r="B383">
        <v>18650</v>
      </c>
      <c r="C383" s="1">
        <v>42960</v>
      </c>
      <c r="G383">
        <v>21.2</v>
      </c>
      <c r="H383">
        <v>14</v>
      </c>
      <c r="I383">
        <v>26.9</v>
      </c>
      <c r="M383">
        <v>0</v>
      </c>
      <c r="N383">
        <v>4.5999999999999996</v>
      </c>
      <c r="W383">
        <v>2367.6</v>
      </c>
    </row>
    <row r="384" spans="1:23" x14ac:dyDescent="0.25">
      <c r="A384">
        <v>5080</v>
      </c>
      <c r="B384">
        <v>18650</v>
      </c>
      <c r="C384" s="1">
        <v>42961</v>
      </c>
      <c r="G384">
        <v>25</v>
      </c>
      <c r="H384">
        <v>18.2</v>
      </c>
      <c r="I384">
        <v>32.4</v>
      </c>
      <c r="M384">
        <v>0.3</v>
      </c>
      <c r="N384">
        <v>7</v>
      </c>
      <c r="W384">
        <v>2308.1999999999998</v>
      </c>
    </row>
    <row r="385" spans="1:23" x14ac:dyDescent="0.25">
      <c r="A385">
        <v>5080</v>
      </c>
      <c r="B385">
        <v>18650</v>
      </c>
      <c r="C385" s="1">
        <v>42962</v>
      </c>
      <c r="G385">
        <v>22.7</v>
      </c>
      <c r="H385">
        <v>20.7</v>
      </c>
      <c r="I385">
        <v>24.8</v>
      </c>
      <c r="M385">
        <v>1.8</v>
      </c>
      <c r="N385">
        <v>2.2000000000000002</v>
      </c>
      <c r="W385">
        <v>1059</v>
      </c>
    </row>
    <row r="386" spans="1:23" x14ac:dyDescent="0.25">
      <c r="A386">
        <v>5080</v>
      </c>
      <c r="B386">
        <v>18650</v>
      </c>
      <c r="C386" s="1">
        <v>42963</v>
      </c>
      <c r="G386">
        <v>22.7</v>
      </c>
      <c r="H386">
        <v>19.899999999999999</v>
      </c>
      <c r="I386">
        <v>26</v>
      </c>
      <c r="M386">
        <v>0</v>
      </c>
      <c r="N386">
        <v>2</v>
      </c>
      <c r="W386">
        <v>721.1</v>
      </c>
    </row>
    <row r="387" spans="1:23" x14ac:dyDescent="0.25">
      <c r="A387">
        <v>5080</v>
      </c>
      <c r="B387">
        <v>18650</v>
      </c>
      <c r="C387" s="1">
        <v>42964</v>
      </c>
      <c r="G387">
        <v>23.6</v>
      </c>
      <c r="H387">
        <v>17.399999999999999</v>
      </c>
      <c r="I387">
        <v>29.3</v>
      </c>
      <c r="M387">
        <v>0</v>
      </c>
      <c r="N387">
        <v>5.4</v>
      </c>
      <c r="W387">
        <v>2315.3000000000002</v>
      </c>
    </row>
    <row r="388" spans="1:23" x14ac:dyDescent="0.25">
      <c r="A388">
        <v>5080</v>
      </c>
      <c r="B388">
        <v>18650</v>
      </c>
      <c r="C388" s="1">
        <v>42965</v>
      </c>
      <c r="G388">
        <v>22.3</v>
      </c>
      <c r="H388">
        <v>19.3</v>
      </c>
      <c r="I388">
        <v>27.5</v>
      </c>
      <c r="M388">
        <v>0.1</v>
      </c>
      <c r="N388">
        <v>4.2</v>
      </c>
      <c r="W388">
        <v>1206.4000000000001</v>
      </c>
    </row>
    <row r="389" spans="1:23" x14ac:dyDescent="0.25">
      <c r="A389">
        <v>5080</v>
      </c>
      <c r="B389">
        <v>18650</v>
      </c>
      <c r="C389" s="1">
        <v>42966</v>
      </c>
      <c r="G389">
        <v>20.2</v>
      </c>
      <c r="H389">
        <v>17.5</v>
      </c>
      <c r="I389">
        <v>23.4</v>
      </c>
      <c r="M389">
        <v>0</v>
      </c>
      <c r="N389">
        <v>4.5999999999999996</v>
      </c>
      <c r="W389">
        <v>1873.1</v>
      </c>
    </row>
    <row r="390" spans="1:23" x14ac:dyDescent="0.25">
      <c r="A390">
        <v>5080</v>
      </c>
      <c r="B390">
        <v>18650</v>
      </c>
      <c r="C390" s="1">
        <v>42967</v>
      </c>
      <c r="G390">
        <v>19.2</v>
      </c>
      <c r="H390">
        <v>12.5</v>
      </c>
      <c r="I390">
        <v>24.9</v>
      </c>
      <c r="M390">
        <v>0</v>
      </c>
      <c r="N390">
        <v>6.4</v>
      </c>
      <c r="W390">
        <v>2772.1</v>
      </c>
    </row>
    <row r="391" spans="1:23" x14ac:dyDescent="0.25">
      <c r="A391">
        <v>5080</v>
      </c>
      <c r="B391">
        <v>18650</v>
      </c>
      <c r="C391" s="1">
        <v>42968</v>
      </c>
      <c r="G391">
        <v>22.8</v>
      </c>
      <c r="H391">
        <v>12.7</v>
      </c>
      <c r="I391">
        <v>31.5</v>
      </c>
      <c r="M391">
        <v>0</v>
      </c>
      <c r="N391">
        <v>6.8</v>
      </c>
      <c r="W391">
        <v>2629.9</v>
      </c>
    </row>
    <row r="392" spans="1:23" x14ac:dyDescent="0.25">
      <c r="A392">
        <v>5080</v>
      </c>
      <c r="B392">
        <v>18650</v>
      </c>
      <c r="C392" s="1">
        <v>42969</v>
      </c>
      <c r="G392">
        <v>26.6</v>
      </c>
      <c r="H392">
        <v>19.2</v>
      </c>
      <c r="I392">
        <v>33.6</v>
      </c>
      <c r="M392">
        <v>0.6</v>
      </c>
      <c r="N392">
        <v>8</v>
      </c>
      <c r="W392">
        <v>2559.1</v>
      </c>
    </row>
    <row r="393" spans="1:23" x14ac:dyDescent="0.25">
      <c r="A393">
        <v>5080</v>
      </c>
      <c r="B393">
        <v>18650</v>
      </c>
      <c r="C393" s="1">
        <v>42970</v>
      </c>
      <c r="G393">
        <v>23.3</v>
      </c>
      <c r="H393">
        <v>19.8</v>
      </c>
      <c r="I393">
        <v>26.1</v>
      </c>
      <c r="M393">
        <v>0</v>
      </c>
      <c r="N393">
        <v>3.9</v>
      </c>
      <c r="W393">
        <v>1707.7</v>
      </c>
    </row>
    <row r="394" spans="1:23" x14ac:dyDescent="0.25">
      <c r="A394">
        <v>5080</v>
      </c>
      <c r="B394">
        <v>18650</v>
      </c>
      <c r="C394" s="1">
        <v>42971</v>
      </c>
      <c r="G394">
        <v>25.6</v>
      </c>
      <c r="H394">
        <v>19.600000000000001</v>
      </c>
      <c r="I394">
        <v>30.2</v>
      </c>
      <c r="M394">
        <v>0.1</v>
      </c>
      <c r="N394">
        <v>4.9000000000000004</v>
      </c>
      <c r="W394">
        <v>1977.3</v>
      </c>
    </row>
    <row r="395" spans="1:23" x14ac:dyDescent="0.25">
      <c r="A395">
        <v>5080</v>
      </c>
      <c r="B395">
        <v>18650</v>
      </c>
      <c r="C395" s="1">
        <v>42972</v>
      </c>
      <c r="G395">
        <v>24.8</v>
      </c>
      <c r="H395">
        <v>19.600000000000001</v>
      </c>
      <c r="I395">
        <v>28.9</v>
      </c>
      <c r="M395">
        <v>0</v>
      </c>
      <c r="N395">
        <v>4.3</v>
      </c>
      <c r="W395">
        <v>1598.4</v>
      </c>
    </row>
    <row r="396" spans="1:23" x14ac:dyDescent="0.25">
      <c r="A396">
        <v>5080</v>
      </c>
      <c r="B396">
        <v>18650</v>
      </c>
      <c r="C396" s="1">
        <v>42973</v>
      </c>
      <c r="G396">
        <v>26.1</v>
      </c>
      <c r="H396">
        <v>21.8</v>
      </c>
      <c r="I396">
        <v>31.4</v>
      </c>
      <c r="M396">
        <v>0</v>
      </c>
      <c r="N396">
        <v>6.2</v>
      </c>
      <c r="W396">
        <v>2063.6999999999998</v>
      </c>
    </row>
    <row r="397" spans="1:23" x14ac:dyDescent="0.25">
      <c r="A397">
        <v>5080</v>
      </c>
      <c r="B397">
        <v>18650</v>
      </c>
      <c r="C397" s="1">
        <v>42974</v>
      </c>
      <c r="G397">
        <v>25.6</v>
      </c>
      <c r="H397">
        <v>22.5</v>
      </c>
      <c r="I397">
        <v>32.5</v>
      </c>
      <c r="M397">
        <v>1.3</v>
      </c>
      <c r="N397">
        <v>4.5</v>
      </c>
      <c r="W397">
        <v>1488.2</v>
      </c>
    </row>
    <row r="398" spans="1:23" x14ac:dyDescent="0.25">
      <c r="A398">
        <v>5080</v>
      </c>
      <c r="B398">
        <v>18650</v>
      </c>
      <c r="C398" s="1">
        <v>42975</v>
      </c>
      <c r="G398">
        <v>25.9</v>
      </c>
      <c r="H398">
        <v>18.5</v>
      </c>
      <c r="I398">
        <v>32.299999999999997</v>
      </c>
      <c r="M398">
        <v>0</v>
      </c>
      <c r="N398">
        <v>5.4</v>
      </c>
      <c r="W398">
        <v>2166.5</v>
      </c>
    </row>
    <row r="399" spans="1:23" x14ac:dyDescent="0.25">
      <c r="A399">
        <v>5080</v>
      </c>
      <c r="B399">
        <v>18650</v>
      </c>
      <c r="C399" s="1">
        <v>42976</v>
      </c>
      <c r="G399">
        <v>25.6</v>
      </c>
      <c r="H399">
        <v>22.2</v>
      </c>
      <c r="I399">
        <v>30</v>
      </c>
      <c r="M399">
        <v>0</v>
      </c>
      <c r="N399">
        <v>5.3</v>
      </c>
      <c r="W399">
        <v>2119.4</v>
      </c>
    </row>
    <row r="400" spans="1:23" x14ac:dyDescent="0.25">
      <c r="A400">
        <v>5080</v>
      </c>
      <c r="B400">
        <v>18650</v>
      </c>
      <c r="C400" s="1">
        <v>42977</v>
      </c>
      <c r="G400">
        <v>22.4</v>
      </c>
      <c r="H400">
        <v>20.100000000000001</v>
      </c>
      <c r="I400">
        <v>27.6</v>
      </c>
      <c r="M400">
        <v>26</v>
      </c>
      <c r="N400">
        <v>3.1</v>
      </c>
      <c r="W400">
        <v>1311.2</v>
      </c>
    </row>
    <row r="401" spans="1:23" x14ac:dyDescent="0.25">
      <c r="A401">
        <v>5080</v>
      </c>
      <c r="B401">
        <v>18650</v>
      </c>
      <c r="C401" s="1">
        <v>42978</v>
      </c>
      <c r="G401">
        <v>17.600000000000001</v>
      </c>
      <c r="H401">
        <v>15.7</v>
      </c>
      <c r="I401">
        <v>19.7</v>
      </c>
      <c r="M401">
        <v>0.6</v>
      </c>
      <c r="N401">
        <v>2.6</v>
      </c>
      <c r="W401">
        <v>1226.4000000000001</v>
      </c>
    </row>
  </sheetData>
  <mergeCells count="13">
    <mergeCell ref="W1:AB1"/>
    <mergeCell ref="G1:L1"/>
    <mergeCell ref="A54:F54"/>
    <mergeCell ref="A334:F334"/>
    <mergeCell ref="F144:F183"/>
    <mergeCell ref="F55:F143"/>
    <mergeCell ref="M1:P1"/>
    <mergeCell ref="Q1:U1"/>
    <mergeCell ref="F184:F233"/>
    <mergeCell ref="F234:F254"/>
    <mergeCell ref="F255:F278"/>
    <mergeCell ref="F279:F298"/>
    <mergeCell ref="F299:F319"/>
  </mergeCells>
  <conditionalFormatting sqref="O2">
    <cfRule type="cellIs" dxfId="41" priority="21" operator="lessThan">
      <formula>0</formula>
    </cfRule>
  </conditionalFormatting>
  <conditionalFormatting sqref="G3:I401">
    <cfRule type="cellIs" dxfId="40" priority="18" operator="greaterThanOrEqual">
      <formula>25</formula>
    </cfRule>
    <cfRule type="cellIs" dxfId="39" priority="19" operator="between">
      <formula>0</formula>
      <formula>5</formula>
    </cfRule>
    <cfRule type="cellIs" dxfId="38" priority="20" operator="lessThan">
      <formula>0</formula>
    </cfRule>
  </conditionalFormatting>
  <conditionalFormatting sqref="L56 L64 L68 L66">
    <cfRule type="cellIs" dxfId="37" priority="16" operator="lessThanOrEqual">
      <formula>0</formula>
    </cfRule>
    <cfRule type="cellIs" dxfId="36" priority="17" operator="lessThanOrEqual">
      <formula>5</formula>
    </cfRule>
  </conditionalFormatting>
  <conditionalFormatting sqref="L280 L290">
    <cfRule type="cellIs" dxfId="35" priority="14" operator="lessThanOrEqual">
      <formula>0</formula>
    </cfRule>
    <cfRule type="cellIs" dxfId="34" priority="15" operator="lessThanOrEqual">
      <formula>5</formula>
    </cfRule>
  </conditionalFormatting>
  <conditionalFormatting sqref="L256 L264 L266 L268">
    <cfRule type="cellIs" dxfId="33" priority="12" operator="lessThanOrEqual">
      <formula>0</formula>
    </cfRule>
    <cfRule type="cellIs" dxfId="32" priority="13" operator="lessThanOrEqual">
      <formula>5</formula>
    </cfRule>
  </conditionalFormatting>
  <conditionalFormatting sqref="L235 L247 L245 L243">
    <cfRule type="cellIs" dxfId="31" priority="10" operator="lessThanOrEqual">
      <formula>0</formula>
    </cfRule>
    <cfRule type="cellIs" dxfId="30" priority="11" operator="lessThanOrEqual">
      <formula>5</formula>
    </cfRule>
  </conditionalFormatting>
  <conditionalFormatting sqref="L185 L193 L197 L195">
    <cfRule type="cellIs" dxfId="29" priority="8" operator="lessThanOrEqual">
      <formula>0</formula>
    </cfRule>
    <cfRule type="cellIs" dxfId="28" priority="9" operator="lessThanOrEqual">
      <formula>5</formula>
    </cfRule>
  </conditionalFormatting>
  <conditionalFormatting sqref="L145 L153 L157 L155">
    <cfRule type="cellIs" dxfId="27" priority="6" operator="lessThanOrEqual">
      <formula>0</formula>
    </cfRule>
    <cfRule type="cellIs" dxfId="26" priority="7" operator="lessThanOrEqual">
      <formula>5</formula>
    </cfRule>
  </conditionalFormatting>
  <conditionalFormatting sqref="O1:O1048576">
    <cfRule type="cellIs" dxfId="25" priority="5" operator="lessThan">
      <formula>0</formula>
    </cfRule>
  </conditionalFormatting>
  <conditionalFormatting sqref="T55:T333">
    <cfRule type="cellIs" dxfId="24" priority="4" operator="lessThan">
      <formula>0</formula>
    </cfRule>
  </conditionalFormatting>
  <conditionalFormatting sqref="W55:W333">
    <cfRule type="cellIs" dxfId="23" priority="3" operator="lessThan">
      <formula>900</formula>
    </cfRule>
  </conditionalFormatting>
  <conditionalFormatting sqref="U55:U333">
    <cfRule type="cellIs" dxfId="22" priority="1" operator="equal">
      <formula>0</formula>
    </cfRule>
    <cfRule type="cellIs" dxfId="21" priority="2" operator="lessThan">
      <formula>51.9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1"/>
  <sheetViews>
    <sheetView tabSelected="1" zoomScale="70" zoomScaleNormal="70" workbookViewId="0">
      <pane xSplit="6" ySplit="2" topLeftCell="G196" activePane="bottomRight" state="frozen"/>
      <selection pane="topRight" activeCell="G1" sqref="G1"/>
      <selection pane="bottomLeft" activeCell="A3" sqref="A3"/>
      <selection pane="bottomRight" activeCell="AC217" sqref="AC217"/>
    </sheetView>
  </sheetViews>
  <sheetFormatPr baseColWidth="10" defaultRowHeight="15" x14ac:dyDescent="0.25"/>
  <cols>
    <col min="12" max="12" width="11.42578125" style="8"/>
    <col min="22" max="22" width="11.42578125" style="8"/>
  </cols>
  <sheetData>
    <row r="1" spans="1:28" x14ac:dyDescent="0.25">
      <c r="G1" s="42" t="s">
        <v>31</v>
      </c>
      <c r="H1" s="42"/>
      <c r="I1" s="42"/>
      <c r="J1" s="42"/>
      <c r="K1" s="42"/>
      <c r="L1" s="42"/>
      <c r="M1" s="42" t="s">
        <v>15</v>
      </c>
      <c r="N1" s="42"/>
      <c r="O1" s="42"/>
      <c r="P1" s="42"/>
      <c r="Q1" s="42" t="s">
        <v>16</v>
      </c>
      <c r="R1" s="42"/>
      <c r="S1" s="42"/>
      <c r="T1" s="42"/>
      <c r="U1" s="42"/>
      <c r="W1" s="42" t="s">
        <v>30</v>
      </c>
      <c r="X1" s="42"/>
      <c r="Y1" s="42"/>
      <c r="Z1" s="42"/>
      <c r="AA1" s="42"/>
      <c r="AB1" s="42"/>
    </row>
    <row r="2" spans="1:28" x14ac:dyDescent="0.25">
      <c r="A2" s="5" t="s">
        <v>0</v>
      </c>
      <c r="B2" s="5" t="s">
        <v>1</v>
      </c>
      <c r="C2" s="5" t="s">
        <v>2</v>
      </c>
      <c r="D2" s="5" t="s">
        <v>9</v>
      </c>
      <c r="E2" s="5" t="s">
        <v>10</v>
      </c>
      <c r="F2" s="5" t="s">
        <v>11</v>
      </c>
      <c r="G2" s="5" t="s">
        <v>4</v>
      </c>
      <c r="H2" s="5" t="s">
        <v>7</v>
      </c>
      <c r="I2" s="5" t="s">
        <v>8</v>
      </c>
      <c r="J2" s="2" t="s">
        <v>12</v>
      </c>
      <c r="K2" s="2" t="s">
        <v>13</v>
      </c>
      <c r="L2" s="3" t="s">
        <v>14</v>
      </c>
      <c r="M2" s="2" t="s">
        <v>3</v>
      </c>
      <c r="N2" s="2" t="s">
        <v>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3" t="s">
        <v>24</v>
      </c>
      <c r="W2" s="2" t="s">
        <v>5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</row>
    <row r="3" spans="1:28" x14ac:dyDescent="0.25">
      <c r="A3">
        <v>5080</v>
      </c>
      <c r="B3">
        <v>18650</v>
      </c>
      <c r="C3" s="1">
        <v>42582</v>
      </c>
      <c r="G3">
        <v>20</v>
      </c>
      <c r="H3">
        <v>18.600000000000001</v>
      </c>
      <c r="I3">
        <v>21.8</v>
      </c>
      <c r="M3">
        <v>0.9</v>
      </c>
      <c r="N3">
        <v>2.6</v>
      </c>
      <c r="O3">
        <f>M3-N3</f>
        <v>-1.7000000000000002</v>
      </c>
      <c r="P3">
        <v>0</v>
      </c>
      <c r="W3">
        <v>789.6</v>
      </c>
    </row>
    <row r="4" spans="1:28" x14ac:dyDescent="0.25">
      <c r="A4">
        <v>5080</v>
      </c>
      <c r="B4">
        <v>18650</v>
      </c>
      <c r="C4" s="1">
        <v>42583</v>
      </c>
      <c r="G4">
        <v>20.9</v>
      </c>
      <c r="H4">
        <v>16.7</v>
      </c>
      <c r="I4">
        <v>25.1</v>
      </c>
      <c r="M4">
        <v>0</v>
      </c>
      <c r="N4">
        <v>3.5</v>
      </c>
      <c r="O4">
        <f t="shared" ref="O4:O53" si="0">M4-N4</f>
        <v>-3.5</v>
      </c>
      <c r="P4">
        <v>0</v>
      </c>
      <c r="W4">
        <v>1367.9</v>
      </c>
    </row>
    <row r="5" spans="1:28" x14ac:dyDescent="0.25">
      <c r="A5">
        <v>5080</v>
      </c>
      <c r="B5">
        <v>18650</v>
      </c>
      <c r="C5" s="1">
        <v>42584</v>
      </c>
      <c r="G5">
        <v>21.6</v>
      </c>
      <c r="H5">
        <v>16.2</v>
      </c>
      <c r="I5">
        <v>26.4</v>
      </c>
      <c r="M5">
        <v>0</v>
      </c>
      <c r="N5">
        <v>6.2</v>
      </c>
      <c r="O5">
        <f t="shared" si="0"/>
        <v>-6.2</v>
      </c>
      <c r="P5">
        <v>0</v>
      </c>
      <c r="W5">
        <v>2902.9</v>
      </c>
    </row>
    <row r="6" spans="1:28" x14ac:dyDescent="0.25">
      <c r="A6">
        <v>5080</v>
      </c>
      <c r="B6">
        <v>18650</v>
      </c>
      <c r="C6" s="1">
        <v>42585</v>
      </c>
      <c r="G6">
        <v>24.3</v>
      </c>
      <c r="H6">
        <v>17.600000000000001</v>
      </c>
      <c r="I6">
        <v>30.4</v>
      </c>
      <c r="M6">
        <v>0</v>
      </c>
      <c r="N6">
        <v>6.2</v>
      </c>
      <c r="O6">
        <f t="shared" si="0"/>
        <v>-6.2</v>
      </c>
      <c r="P6">
        <v>0</v>
      </c>
      <c r="W6">
        <v>2524.6</v>
      </c>
    </row>
    <row r="7" spans="1:28" x14ac:dyDescent="0.25">
      <c r="A7">
        <v>5080</v>
      </c>
      <c r="B7">
        <v>18650</v>
      </c>
      <c r="C7" s="1">
        <v>42586</v>
      </c>
      <c r="G7">
        <v>21.1</v>
      </c>
      <c r="H7">
        <v>18.7</v>
      </c>
      <c r="I7">
        <v>24.8</v>
      </c>
      <c r="M7">
        <v>1.8</v>
      </c>
      <c r="N7">
        <v>5</v>
      </c>
      <c r="O7">
        <f t="shared" si="0"/>
        <v>-3.2</v>
      </c>
      <c r="P7">
        <v>0</v>
      </c>
      <c r="W7">
        <v>2147.8000000000002</v>
      </c>
    </row>
    <row r="8" spans="1:28" x14ac:dyDescent="0.25">
      <c r="A8">
        <v>5080</v>
      </c>
      <c r="B8">
        <v>18650</v>
      </c>
      <c r="C8" s="1">
        <v>42587</v>
      </c>
      <c r="G8">
        <v>20.5</v>
      </c>
      <c r="H8">
        <v>16.2</v>
      </c>
      <c r="I8">
        <v>24.3</v>
      </c>
      <c r="M8">
        <v>0</v>
      </c>
      <c r="N8">
        <v>4.8</v>
      </c>
      <c r="O8">
        <f t="shared" si="0"/>
        <v>-4.8</v>
      </c>
      <c r="P8">
        <v>0</v>
      </c>
      <c r="W8">
        <v>1940</v>
      </c>
    </row>
    <row r="9" spans="1:28" x14ac:dyDescent="0.25">
      <c r="A9">
        <v>5080</v>
      </c>
      <c r="B9">
        <v>18650</v>
      </c>
      <c r="C9" s="1">
        <v>42588</v>
      </c>
      <c r="G9">
        <v>21.9</v>
      </c>
      <c r="H9">
        <v>16.399999999999999</v>
      </c>
      <c r="I9">
        <v>26.3</v>
      </c>
      <c r="M9">
        <v>0</v>
      </c>
      <c r="N9">
        <v>6</v>
      </c>
      <c r="O9">
        <f t="shared" si="0"/>
        <v>-6</v>
      </c>
      <c r="P9">
        <v>0</v>
      </c>
      <c r="W9">
        <v>2460.8000000000002</v>
      </c>
    </row>
    <row r="10" spans="1:28" x14ac:dyDescent="0.25">
      <c r="A10">
        <v>5080</v>
      </c>
      <c r="B10">
        <v>18650</v>
      </c>
      <c r="C10" s="1">
        <v>42589</v>
      </c>
      <c r="G10">
        <v>23.6</v>
      </c>
      <c r="H10">
        <v>17.5</v>
      </c>
      <c r="I10">
        <v>28.9</v>
      </c>
      <c r="M10">
        <v>0</v>
      </c>
      <c r="N10">
        <v>7.1</v>
      </c>
      <c r="O10">
        <f t="shared" si="0"/>
        <v>-7.1</v>
      </c>
      <c r="P10">
        <v>0</v>
      </c>
      <c r="W10">
        <v>2933.3</v>
      </c>
    </row>
    <row r="11" spans="1:28" x14ac:dyDescent="0.25">
      <c r="A11">
        <v>5080</v>
      </c>
      <c r="B11">
        <v>18650</v>
      </c>
      <c r="C11" s="1">
        <v>42590</v>
      </c>
      <c r="G11">
        <v>24.8</v>
      </c>
      <c r="H11">
        <v>19.7</v>
      </c>
      <c r="I11">
        <v>29.9</v>
      </c>
      <c r="M11">
        <v>0.2</v>
      </c>
      <c r="N11">
        <v>7.3</v>
      </c>
      <c r="O11">
        <f t="shared" si="0"/>
        <v>-7.1</v>
      </c>
      <c r="P11">
        <v>0</v>
      </c>
      <c r="W11">
        <v>2908.8</v>
      </c>
    </row>
    <row r="12" spans="1:28" x14ac:dyDescent="0.25">
      <c r="A12">
        <v>5080</v>
      </c>
      <c r="B12">
        <v>18650</v>
      </c>
      <c r="C12" s="1">
        <v>42591</v>
      </c>
      <c r="G12">
        <v>20.399999999999999</v>
      </c>
      <c r="H12">
        <v>17.399999999999999</v>
      </c>
      <c r="I12">
        <v>23.9</v>
      </c>
      <c r="M12">
        <v>0</v>
      </c>
      <c r="N12">
        <v>2.6</v>
      </c>
      <c r="O12">
        <f t="shared" si="0"/>
        <v>-2.6</v>
      </c>
      <c r="P12">
        <v>0</v>
      </c>
      <c r="W12">
        <v>898.9</v>
      </c>
    </row>
    <row r="13" spans="1:28" x14ac:dyDescent="0.25">
      <c r="A13">
        <v>5080</v>
      </c>
      <c r="B13">
        <v>18650</v>
      </c>
      <c r="C13" s="1">
        <v>42592</v>
      </c>
      <c r="G13">
        <v>19.3</v>
      </c>
      <c r="H13">
        <v>14.3</v>
      </c>
      <c r="I13">
        <v>23.4</v>
      </c>
      <c r="M13">
        <v>0</v>
      </c>
      <c r="N13">
        <v>6</v>
      </c>
      <c r="O13">
        <f t="shared" si="0"/>
        <v>-6</v>
      </c>
      <c r="P13">
        <v>0</v>
      </c>
      <c r="W13">
        <v>2427.8000000000002</v>
      </c>
    </row>
    <row r="14" spans="1:28" x14ac:dyDescent="0.25">
      <c r="A14">
        <v>5080</v>
      </c>
      <c r="B14">
        <v>18650</v>
      </c>
      <c r="C14" s="1">
        <v>42593</v>
      </c>
      <c r="G14">
        <v>19.100000000000001</v>
      </c>
      <c r="H14">
        <v>13.6</v>
      </c>
      <c r="I14">
        <v>23.3</v>
      </c>
      <c r="M14">
        <v>0</v>
      </c>
      <c r="N14">
        <v>6</v>
      </c>
      <c r="O14">
        <f t="shared" si="0"/>
        <v>-6</v>
      </c>
      <c r="P14">
        <v>0</v>
      </c>
      <c r="W14">
        <v>2420.1</v>
      </c>
    </row>
    <row r="15" spans="1:28" x14ac:dyDescent="0.25">
      <c r="A15">
        <v>5080</v>
      </c>
      <c r="B15">
        <v>18650</v>
      </c>
      <c r="C15" s="1">
        <v>42594</v>
      </c>
      <c r="G15">
        <v>22</v>
      </c>
      <c r="H15">
        <v>14.6</v>
      </c>
      <c r="I15">
        <v>28.4</v>
      </c>
      <c r="M15">
        <v>0</v>
      </c>
      <c r="N15">
        <v>5.8</v>
      </c>
      <c r="O15">
        <f t="shared" si="0"/>
        <v>-5.8</v>
      </c>
      <c r="P15">
        <v>0</v>
      </c>
      <c r="W15">
        <v>2447.6</v>
      </c>
    </row>
    <row r="16" spans="1:28" x14ac:dyDescent="0.25">
      <c r="A16">
        <v>5080</v>
      </c>
      <c r="B16">
        <v>18650</v>
      </c>
      <c r="C16" s="1">
        <v>42595</v>
      </c>
      <c r="G16">
        <v>24.9</v>
      </c>
      <c r="H16">
        <v>17.7</v>
      </c>
      <c r="I16">
        <v>31</v>
      </c>
      <c r="M16">
        <v>0</v>
      </c>
      <c r="N16">
        <v>7.8</v>
      </c>
      <c r="O16">
        <f t="shared" si="0"/>
        <v>-7.8</v>
      </c>
      <c r="P16">
        <v>0</v>
      </c>
      <c r="W16">
        <v>2726.4</v>
      </c>
    </row>
    <row r="17" spans="1:23" x14ac:dyDescent="0.25">
      <c r="A17">
        <v>5080</v>
      </c>
      <c r="B17">
        <v>18650</v>
      </c>
      <c r="C17" s="1">
        <v>42596</v>
      </c>
      <c r="G17">
        <v>24.6</v>
      </c>
      <c r="H17">
        <v>17.399999999999999</v>
      </c>
      <c r="I17">
        <v>31.3</v>
      </c>
      <c r="M17">
        <v>0</v>
      </c>
      <c r="N17">
        <v>7.5</v>
      </c>
      <c r="O17">
        <f t="shared" si="0"/>
        <v>-7.5</v>
      </c>
      <c r="P17">
        <v>0</v>
      </c>
      <c r="W17">
        <v>2841.7</v>
      </c>
    </row>
    <row r="18" spans="1:23" x14ac:dyDescent="0.25">
      <c r="A18">
        <v>5080</v>
      </c>
      <c r="B18">
        <v>18650</v>
      </c>
      <c r="C18" s="1">
        <v>42597</v>
      </c>
      <c r="G18">
        <v>24.9</v>
      </c>
      <c r="H18">
        <v>19.2</v>
      </c>
      <c r="I18">
        <v>31.4</v>
      </c>
      <c r="M18">
        <v>0</v>
      </c>
      <c r="N18">
        <v>7</v>
      </c>
      <c r="O18">
        <f t="shared" si="0"/>
        <v>-7</v>
      </c>
      <c r="P18">
        <v>0</v>
      </c>
      <c r="W18">
        <v>2656.9</v>
      </c>
    </row>
    <row r="19" spans="1:23" x14ac:dyDescent="0.25">
      <c r="A19">
        <v>5080</v>
      </c>
      <c r="B19">
        <v>18650</v>
      </c>
      <c r="C19" s="1">
        <v>42598</v>
      </c>
      <c r="G19">
        <v>27.1</v>
      </c>
      <c r="H19">
        <v>20.5</v>
      </c>
      <c r="I19">
        <v>33</v>
      </c>
      <c r="M19">
        <v>0</v>
      </c>
      <c r="N19">
        <v>5.0999999999999996</v>
      </c>
      <c r="O19">
        <f t="shared" si="0"/>
        <v>-5.0999999999999996</v>
      </c>
      <c r="P19">
        <v>0</v>
      </c>
      <c r="W19">
        <v>1848.5</v>
      </c>
    </row>
    <row r="20" spans="1:23" x14ac:dyDescent="0.25">
      <c r="A20">
        <v>5080</v>
      </c>
      <c r="B20">
        <v>18650</v>
      </c>
      <c r="C20" s="1">
        <v>42599</v>
      </c>
      <c r="G20">
        <v>23.9</v>
      </c>
      <c r="H20">
        <v>20.8</v>
      </c>
      <c r="I20">
        <v>26</v>
      </c>
      <c r="M20">
        <v>0</v>
      </c>
      <c r="N20">
        <v>4.0999999999999996</v>
      </c>
      <c r="O20">
        <f t="shared" si="0"/>
        <v>-4.0999999999999996</v>
      </c>
      <c r="P20">
        <v>0</v>
      </c>
      <c r="W20">
        <v>1490.2</v>
      </c>
    </row>
    <row r="21" spans="1:23" x14ac:dyDescent="0.25">
      <c r="A21">
        <v>5080</v>
      </c>
      <c r="B21">
        <v>18650</v>
      </c>
      <c r="C21" s="1">
        <v>42600</v>
      </c>
      <c r="G21">
        <v>21.7</v>
      </c>
      <c r="H21">
        <v>20.3</v>
      </c>
      <c r="I21">
        <v>24.1</v>
      </c>
      <c r="M21">
        <v>0</v>
      </c>
      <c r="N21">
        <v>3.3</v>
      </c>
      <c r="O21">
        <f t="shared" si="0"/>
        <v>-3.3</v>
      </c>
      <c r="P21">
        <v>0</v>
      </c>
      <c r="W21">
        <v>1327.3</v>
      </c>
    </row>
    <row r="22" spans="1:23" x14ac:dyDescent="0.25">
      <c r="A22">
        <v>5080</v>
      </c>
      <c r="B22">
        <v>18650</v>
      </c>
      <c r="C22" s="1">
        <v>42601</v>
      </c>
      <c r="G22">
        <v>23.9</v>
      </c>
      <c r="H22">
        <v>16.399999999999999</v>
      </c>
      <c r="I22">
        <v>30.6</v>
      </c>
      <c r="M22">
        <v>9.1999999999999993</v>
      </c>
      <c r="N22">
        <v>4.5999999999999996</v>
      </c>
      <c r="O22">
        <f t="shared" si="0"/>
        <v>4.5999999999999996</v>
      </c>
      <c r="P22">
        <f>P21+O22</f>
        <v>4.5999999999999996</v>
      </c>
      <c r="W22">
        <v>1901.2</v>
      </c>
    </row>
    <row r="23" spans="1:23" x14ac:dyDescent="0.25">
      <c r="A23">
        <v>5080</v>
      </c>
      <c r="B23">
        <v>18650</v>
      </c>
      <c r="C23" s="1">
        <v>42602</v>
      </c>
      <c r="G23">
        <v>18.3</v>
      </c>
      <c r="H23">
        <v>16.8</v>
      </c>
      <c r="I23">
        <v>19.899999999999999</v>
      </c>
      <c r="M23">
        <v>5.5</v>
      </c>
      <c r="N23">
        <v>1.7</v>
      </c>
      <c r="O23">
        <f t="shared" si="0"/>
        <v>3.8</v>
      </c>
      <c r="P23">
        <f t="shared" ref="P23:P53" si="1">P22+O23</f>
        <v>8.3999999999999986</v>
      </c>
      <c r="W23">
        <v>666</v>
      </c>
    </row>
    <row r="24" spans="1:23" x14ac:dyDescent="0.25">
      <c r="A24">
        <v>5080</v>
      </c>
      <c r="B24">
        <v>18650</v>
      </c>
      <c r="C24" s="1">
        <v>42603</v>
      </c>
      <c r="G24">
        <v>19.899999999999999</v>
      </c>
      <c r="H24">
        <v>16.2</v>
      </c>
      <c r="I24">
        <v>23.9</v>
      </c>
      <c r="M24">
        <v>0</v>
      </c>
      <c r="N24">
        <v>4.3</v>
      </c>
      <c r="O24">
        <f t="shared" si="0"/>
        <v>-4.3</v>
      </c>
      <c r="P24">
        <f t="shared" si="1"/>
        <v>4.0999999999999988</v>
      </c>
      <c r="W24">
        <v>1914.6</v>
      </c>
    </row>
    <row r="25" spans="1:23" x14ac:dyDescent="0.25">
      <c r="A25">
        <v>5080</v>
      </c>
      <c r="B25">
        <v>18650</v>
      </c>
      <c r="C25" s="1">
        <v>42604</v>
      </c>
      <c r="G25">
        <v>22.1</v>
      </c>
      <c r="H25">
        <v>14.6</v>
      </c>
      <c r="I25">
        <v>28.9</v>
      </c>
      <c r="M25">
        <v>0</v>
      </c>
      <c r="N25">
        <v>6.6</v>
      </c>
      <c r="O25">
        <f t="shared" si="0"/>
        <v>-6.6</v>
      </c>
      <c r="P25">
        <v>0</v>
      </c>
      <c r="W25">
        <v>2551</v>
      </c>
    </row>
    <row r="26" spans="1:23" x14ac:dyDescent="0.25">
      <c r="A26">
        <v>5080</v>
      </c>
      <c r="B26">
        <v>18650</v>
      </c>
      <c r="C26" s="1">
        <v>42605</v>
      </c>
      <c r="G26">
        <v>24.6</v>
      </c>
      <c r="H26">
        <v>17.5</v>
      </c>
      <c r="I26">
        <v>30.9</v>
      </c>
      <c r="M26">
        <v>0</v>
      </c>
      <c r="N26">
        <v>8.1</v>
      </c>
      <c r="O26">
        <f t="shared" si="0"/>
        <v>-8.1</v>
      </c>
      <c r="P26">
        <v>0</v>
      </c>
      <c r="W26">
        <v>2633.7</v>
      </c>
    </row>
    <row r="27" spans="1:23" x14ac:dyDescent="0.25">
      <c r="A27">
        <v>5080</v>
      </c>
      <c r="B27">
        <v>18650</v>
      </c>
      <c r="C27" s="1">
        <v>42606</v>
      </c>
      <c r="G27">
        <v>24.9</v>
      </c>
      <c r="H27">
        <v>16.600000000000001</v>
      </c>
      <c r="I27">
        <v>31.4</v>
      </c>
      <c r="M27">
        <v>0</v>
      </c>
      <c r="N27">
        <v>7.1</v>
      </c>
      <c r="O27">
        <f t="shared" si="0"/>
        <v>-7.1</v>
      </c>
      <c r="P27">
        <v>0</v>
      </c>
      <c r="W27">
        <v>2568.3000000000002</v>
      </c>
    </row>
    <row r="28" spans="1:23" x14ac:dyDescent="0.25">
      <c r="A28">
        <v>5080</v>
      </c>
      <c r="B28">
        <v>18650</v>
      </c>
      <c r="C28" s="1">
        <v>42607</v>
      </c>
      <c r="G28">
        <v>25.7</v>
      </c>
      <c r="H28">
        <v>18.7</v>
      </c>
      <c r="I28">
        <v>32.5</v>
      </c>
      <c r="M28">
        <v>0</v>
      </c>
      <c r="N28">
        <v>8</v>
      </c>
      <c r="O28">
        <f t="shared" si="0"/>
        <v>-8</v>
      </c>
      <c r="P28">
        <v>0</v>
      </c>
      <c r="W28">
        <v>2515.8000000000002</v>
      </c>
    </row>
    <row r="29" spans="1:23" x14ac:dyDescent="0.25">
      <c r="A29">
        <v>5080</v>
      </c>
      <c r="B29">
        <v>18650</v>
      </c>
      <c r="C29" s="1">
        <v>42608</v>
      </c>
      <c r="G29">
        <v>24.8</v>
      </c>
      <c r="H29">
        <v>19.8</v>
      </c>
      <c r="I29">
        <v>31.7</v>
      </c>
      <c r="M29">
        <v>0</v>
      </c>
      <c r="N29">
        <v>5.9</v>
      </c>
      <c r="O29">
        <f t="shared" si="0"/>
        <v>-5.9</v>
      </c>
      <c r="P29">
        <v>0</v>
      </c>
      <c r="W29">
        <v>2371.1</v>
      </c>
    </row>
    <row r="30" spans="1:23" x14ac:dyDescent="0.25">
      <c r="A30">
        <v>5080</v>
      </c>
      <c r="B30">
        <v>18650</v>
      </c>
      <c r="C30" s="1">
        <v>42609</v>
      </c>
      <c r="G30">
        <v>25.5</v>
      </c>
      <c r="H30">
        <v>18.899999999999999</v>
      </c>
      <c r="I30">
        <v>31.8</v>
      </c>
      <c r="M30">
        <v>0.6</v>
      </c>
      <c r="N30">
        <v>6.5</v>
      </c>
      <c r="O30">
        <f t="shared" si="0"/>
        <v>-5.9</v>
      </c>
      <c r="P30">
        <v>0</v>
      </c>
      <c r="W30">
        <v>2017.4</v>
      </c>
    </row>
    <row r="31" spans="1:23" x14ac:dyDescent="0.25">
      <c r="A31">
        <v>5080</v>
      </c>
      <c r="B31">
        <v>18650</v>
      </c>
      <c r="C31" s="1">
        <v>42610</v>
      </c>
      <c r="G31">
        <v>23.2</v>
      </c>
      <c r="H31">
        <v>20.399999999999999</v>
      </c>
      <c r="I31">
        <v>26.2</v>
      </c>
      <c r="M31">
        <v>1.1000000000000001</v>
      </c>
      <c r="N31">
        <v>2.8</v>
      </c>
      <c r="O31">
        <f t="shared" si="0"/>
        <v>-1.6999999999999997</v>
      </c>
      <c r="P31">
        <v>0</v>
      </c>
      <c r="W31">
        <v>854.5</v>
      </c>
    </row>
    <row r="32" spans="1:23" x14ac:dyDescent="0.25">
      <c r="A32">
        <v>5080</v>
      </c>
      <c r="B32">
        <v>18650</v>
      </c>
      <c r="C32" s="1">
        <v>42611</v>
      </c>
      <c r="G32">
        <v>20.8</v>
      </c>
      <c r="H32">
        <v>19.100000000000001</v>
      </c>
      <c r="I32">
        <v>22.7</v>
      </c>
      <c r="M32">
        <v>0</v>
      </c>
      <c r="N32">
        <v>3.6</v>
      </c>
      <c r="O32">
        <f t="shared" si="0"/>
        <v>-3.6</v>
      </c>
      <c r="P32">
        <v>0</v>
      </c>
      <c r="W32">
        <v>1219.2</v>
      </c>
    </row>
    <row r="33" spans="1:27" x14ac:dyDescent="0.25">
      <c r="A33">
        <v>5080</v>
      </c>
      <c r="B33">
        <v>18650</v>
      </c>
      <c r="C33" s="1">
        <v>42612</v>
      </c>
      <c r="G33">
        <v>21.2</v>
      </c>
      <c r="H33">
        <v>15.3</v>
      </c>
      <c r="I33">
        <v>26.1</v>
      </c>
      <c r="M33">
        <v>0</v>
      </c>
      <c r="N33">
        <v>4.3</v>
      </c>
      <c r="O33">
        <f t="shared" si="0"/>
        <v>-4.3</v>
      </c>
      <c r="P33">
        <v>0</v>
      </c>
      <c r="W33">
        <v>1971.8</v>
      </c>
    </row>
    <row r="34" spans="1:27" x14ac:dyDescent="0.25">
      <c r="A34">
        <v>5080</v>
      </c>
      <c r="B34">
        <v>18650</v>
      </c>
      <c r="C34" s="1">
        <v>42613</v>
      </c>
      <c r="G34">
        <v>23</v>
      </c>
      <c r="H34">
        <v>14.9</v>
      </c>
      <c r="I34">
        <v>28.9</v>
      </c>
      <c r="M34">
        <v>0</v>
      </c>
      <c r="N34">
        <v>4.8</v>
      </c>
      <c r="O34">
        <f t="shared" si="0"/>
        <v>-4.8</v>
      </c>
      <c r="P34">
        <v>0</v>
      </c>
      <c r="W34">
        <v>2030.6</v>
      </c>
    </row>
    <row r="35" spans="1:27" x14ac:dyDescent="0.25">
      <c r="A35">
        <v>5080</v>
      </c>
      <c r="B35">
        <v>18650</v>
      </c>
      <c r="C35" s="1">
        <v>42614</v>
      </c>
      <c r="G35">
        <v>24.8</v>
      </c>
      <c r="H35">
        <v>19.8</v>
      </c>
      <c r="I35">
        <v>29.5</v>
      </c>
      <c r="M35">
        <v>0</v>
      </c>
      <c r="N35">
        <v>5.7</v>
      </c>
      <c r="O35">
        <f t="shared" si="0"/>
        <v>-5.7</v>
      </c>
      <c r="P35">
        <v>0</v>
      </c>
      <c r="W35">
        <v>1961.4</v>
      </c>
      <c r="AA35">
        <v>12.996906657565765</v>
      </c>
    </row>
    <row r="36" spans="1:27" x14ac:dyDescent="0.25">
      <c r="A36">
        <v>5080</v>
      </c>
      <c r="B36">
        <v>18650</v>
      </c>
      <c r="C36" s="1">
        <v>42615</v>
      </c>
      <c r="G36">
        <v>25</v>
      </c>
      <c r="H36">
        <v>17.399999999999999</v>
      </c>
      <c r="I36">
        <v>30.9</v>
      </c>
      <c r="M36">
        <v>0</v>
      </c>
      <c r="N36">
        <v>5.6</v>
      </c>
      <c r="O36">
        <f t="shared" si="0"/>
        <v>-5.6</v>
      </c>
      <c r="P36">
        <v>0</v>
      </c>
      <c r="W36">
        <v>2106.4</v>
      </c>
      <c r="AA36">
        <v>12.946750318192127</v>
      </c>
    </row>
    <row r="37" spans="1:27" x14ac:dyDescent="0.25">
      <c r="A37">
        <v>5080</v>
      </c>
      <c r="B37">
        <v>18650</v>
      </c>
      <c r="C37" s="1">
        <v>42616</v>
      </c>
      <c r="G37">
        <v>25</v>
      </c>
      <c r="H37">
        <v>18.3</v>
      </c>
      <c r="I37">
        <v>30.7</v>
      </c>
      <c r="M37">
        <v>0</v>
      </c>
      <c r="N37">
        <v>5.2</v>
      </c>
      <c r="O37">
        <f t="shared" si="0"/>
        <v>-5.2</v>
      </c>
      <c r="P37">
        <v>0</v>
      </c>
      <c r="W37">
        <v>2062.5</v>
      </c>
      <c r="AA37">
        <v>12.896436633618951</v>
      </c>
    </row>
    <row r="38" spans="1:27" x14ac:dyDescent="0.25">
      <c r="A38">
        <v>5080</v>
      </c>
      <c r="B38">
        <v>18650</v>
      </c>
      <c r="C38" s="1">
        <v>42617</v>
      </c>
      <c r="G38">
        <v>24.8</v>
      </c>
      <c r="H38">
        <v>20.7</v>
      </c>
      <c r="I38">
        <v>29.4</v>
      </c>
      <c r="M38">
        <v>0</v>
      </c>
      <c r="N38">
        <v>5.2</v>
      </c>
      <c r="O38">
        <f t="shared" si="0"/>
        <v>-5.2</v>
      </c>
      <c r="P38">
        <v>0</v>
      </c>
      <c r="W38">
        <v>1900.3</v>
      </c>
      <c r="AA38">
        <v>12.84597535330577</v>
      </c>
    </row>
    <row r="39" spans="1:27" x14ac:dyDescent="0.25">
      <c r="A39">
        <v>5080</v>
      </c>
      <c r="B39">
        <v>18650</v>
      </c>
      <c r="C39" s="1">
        <v>42618</v>
      </c>
      <c r="G39">
        <v>22.6</v>
      </c>
      <c r="H39">
        <v>19.2</v>
      </c>
      <c r="I39">
        <v>26.4</v>
      </c>
      <c r="M39">
        <v>0</v>
      </c>
      <c r="N39">
        <v>6</v>
      </c>
      <c r="O39">
        <f t="shared" si="0"/>
        <v>-6</v>
      </c>
      <c r="P39">
        <v>0</v>
      </c>
      <c r="W39">
        <v>2447.4</v>
      </c>
      <c r="AA39">
        <v>12.795376024117102</v>
      </c>
    </row>
    <row r="40" spans="1:27" x14ac:dyDescent="0.25">
      <c r="A40">
        <v>5080</v>
      </c>
      <c r="B40">
        <v>18650</v>
      </c>
      <c r="C40" s="1">
        <v>42619</v>
      </c>
      <c r="G40">
        <v>24.8</v>
      </c>
      <c r="H40">
        <v>18.7</v>
      </c>
      <c r="I40">
        <v>29.9</v>
      </c>
      <c r="M40">
        <v>0</v>
      </c>
      <c r="N40">
        <v>5.8</v>
      </c>
      <c r="O40">
        <f t="shared" si="0"/>
        <v>-5.8</v>
      </c>
      <c r="P40">
        <v>0</v>
      </c>
      <c r="W40">
        <v>2336</v>
      </c>
      <c r="AA40">
        <v>12.744648000475879</v>
      </c>
    </row>
    <row r="41" spans="1:27" x14ac:dyDescent="0.25">
      <c r="A41">
        <v>5080</v>
      </c>
      <c r="B41">
        <v>18650</v>
      </c>
      <c r="C41" s="1">
        <v>42620</v>
      </c>
      <c r="G41">
        <v>24.1</v>
      </c>
      <c r="H41">
        <v>18</v>
      </c>
      <c r="I41">
        <v>30.3</v>
      </c>
      <c r="M41">
        <v>0.8</v>
      </c>
      <c r="N41">
        <v>7</v>
      </c>
      <c r="O41">
        <f t="shared" si="0"/>
        <v>-6.2</v>
      </c>
      <c r="P41">
        <v>0</v>
      </c>
      <c r="W41">
        <v>2338.6</v>
      </c>
      <c r="AA41">
        <v>12.693800454790347</v>
      </c>
    </row>
    <row r="42" spans="1:27" x14ac:dyDescent="0.25">
      <c r="A42">
        <v>5080</v>
      </c>
      <c r="B42">
        <v>18650</v>
      </c>
      <c r="C42" s="1">
        <v>42621</v>
      </c>
      <c r="G42">
        <v>22</v>
      </c>
      <c r="H42">
        <v>19.600000000000001</v>
      </c>
      <c r="I42">
        <v>25</v>
      </c>
      <c r="M42">
        <v>0</v>
      </c>
      <c r="N42">
        <v>4.2</v>
      </c>
      <c r="O42">
        <f t="shared" si="0"/>
        <v>-4.2</v>
      </c>
      <c r="P42">
        <v>0</v>
      </c>
      <c r="W42">
        <v>1401.7</v>
      </c>
      <c r="AA42">
        <v>12.642842388131278</v>
      </c>
    </row>
    <row r="43" spans="1:27" x14ac:dyDescent="0.25">
      <c r="A43">
        <v>5080</v>
      </c>
      <c r="B43">
        <v>18650</v>
      </c>
      <c r="C43" s="1">
        <v>42622</v>
      </c>
      <c r="G43">
        <v>22</v>
      </c>
      <c r="H43">
        <v>16.3</v>
      </c>
      <c r="I43">
        <v>27.2</v>
      </c>
      <c r="M43">
        <v>0.8</v>
      </c>
      <c r="N43">
        <v>4.5999999999999996</v>
      </c>
      <c r="O43">
        <f t="shared" si="0"/>
        <v>-3.8</v>
      </c>
      <c r="P43">
        <v>0</v>
      </c>
      <c r="W43">
        <v>1742.5</v>
      </c>
      <c r="AA43">
        <v>12.591782641137419</v>
      </c>
    </row>
    <row r="44" spans="1:27" x14ac:dyDescent="0.25">
      <c r="A44">
        <v>5080</v>
      </c>
      <c r="B44">
        <v>18650</v>
      </c>
      <c r="C44" s="1">
        <v>42623</v>
      </c>
      <c r="G44">
        <v>22</v>
      </c>
      <c r="H44">
        <v>15.9</v>
      </c>
      <c r="I44">
        <v>27.2</v>
      </c>
      <c r="M44">
        <v>0</v>
      </c>
      <c r="N44">
        <v>5.0999999999999996</v>
      </c>
      <c r="O44">
        <f t="shared" si="0"/>
        <v>-5.0999999999999996</v>
      </c>
      <c r="P44">
        <v>0</v>
      </c>
      <c r="W44">
        <v>2210.5</v>
      </c>
      <c r="AA44">
        <v>12.540629905128343</v>
      </c>
    </row>
    <row r="45" spans="1:27" x14ac:dyDescent="0.25">
      <c r="A45">
        <v>5080</v>
      </c>
      <c r="B45">
        <v>18650</v>
      </c>
      <c r="C45" s="1">
        <v>42624</v>
      </c>
      <c r="G45">
        <v>23.1</v>
      </c>
      <c r="H45">
        <v>16.2</v>
      </c>
      <c r="I45">
        <v>28.4</v>
      </c>
      <c r="M45">
        <v>0</v>
      </c>
      <c r="N45">
        <v>4.8</v>
      </c>
      <c r="O45">
        <f t="shared" si="0"/>
        <v>-4.8</v>
      </c>
      <c r="P45">
        <v>0</v>
      </c>
      <c r="W45">
        <v>2116.3000000000002</v>
      </c>
      <c r="AA45">
        <v>12.489392733404834</v>
      </c>
    </row>
    <row r="46" spans="1:27" x14ac:dyDescent="0.25">
      <c r="A46">
        <v>5080</v>
      </c>
      <c r="B46">
        <v>18650</v>
      </c>
      <c r="C46" s="1">
        <v>42625</v>
      </c>
      <c r="G46">
        <v>25.2</v>
      </c>
      <c r="H46">
        <v>19</v>
      </c>
      <c r="I46">
        <v>30.8</v>
      </c>
      <c r="M46">
        <v>0</v>
      </c>
      <c r="N46">
        <v>6.8</v>
      </c>
      <c r="O46">
        <f t="shared" si="0"/>
        <v>-6.8</v>
      </c>
      <c r="P46">
        <v>0</v>
      </c>
      <c r="W46">
        <v>2299.4</v>
      </c>
      <c r="AA46">
        <v>12.438079552718021</v>
      </c>
    </row>
    <row r="47" spans="1:27" x14ac:dyDescent="0.25">
      <c r="A47">
        <v>5080</v>
      </c>
      <c r="B47">
        <v>18650</v>
      </c>
      <c r="C47" s="1">
        <v>42626</v>
      </c>
      <c r="G47">
        <v>24.6</v>
      </c>
      <c r="H47">
        <v>22.6</v>
      </c>
      <c r="I47">
        <v>30.4</v>
      </c>
      <c r="M47">
        <v>13.4</v>
      </c>
      <c r="N47">
        <v>6.6</v>
      </c>
      <c r="O47">
        <f t="shared" si="0"/>
        <v>6.8000000000000007</v>
      </c>
      <c r="P47">
        <f t="shared" si="1"/>
        <v>6.8000000000000007</v>
      </c>
      <c r="W47">
        <v>1967.8</v>
      </c>
      <c r="AA47">
        <v>12.386698674889333</v>
      </c>
    </row>
    <row r="48" spans="1:27" x14ac:dyDescent="0.25">
      <c r="A48">
        <v>5080</v>
      </c>
      <c r="B48">
        <v>18650</v>
      </c>
      <c r="C48" s="1">
        <v>42627</v>
      </c>
      <c r="G48">
        <v>15.9</v>
      </c>
      <c r="H48">
        <v>15.7</v>
      </c>
      <c r="I48">
        <v>16.8</v>
      </c>
      <c r="M48">
        <v>5.8</v>
      </c>
      <c r="N48">
        <v>1</v>
      </c>
      <c r="O48">
        <f t="shared" si="0"/>
        <v>4.8</v>
      </c>
      <c r="P48">
        <f t="shared" si="1"/>
        <v>11.600000000000001</v>
      </c>
      <c r="W48">
        <v>505.3</v>
      </c>
      <c r="AA48">
        <v>12.335258308564304</v>
      </c>
    </row>
    <row r="49" spans="1:28" x14ac:dyDescent="0.25">
      <c r="A49">
        <v>5080</v>
      </c>
      <c r="B49">
        <v>18650</v>
      </c>
      <c r="C49" s="1">
        <v>42628</v>
      </c>
      <c r="G49">
        <v>16.899999999999999</v>
      </c>
      <c r="H49">
        <v>11.6</v>
      </c>
      <c r="I49">
        <v>20.7</v>
      </c>
      <c r="M49">
        <v>2.2999999999999998</v>
      </c>
      <c r="N49">
        <v>1.7</v>
      </c>
      <c r="O49">
        <f t="shared" si="0"/>
        <v>0.59999999999999987</v>
      </c>
      <c r="P49">
        <f t="shared" si="1"/>
        <v>12.200000000000001</v>
      </c>
      <c r="W49">
        <v>905.8</v>
      </c>
      <c r="AA49">
        <v>12.283766571083941</v>
      </c>
    </row>
    <row r="50" spans="1:28" x14ac:dyDescent="0.25">
      <c r="A50">
        <v>5080</v>
      </c>
      <c r="B50">
        <v>18650</v>
      </c>
      <c r="C50" s="1">
        <v>42629</v>
      </c>
      <c r="G50">
        <v>16.8</v>
      </c>
      <c r="H50">
        <v>14.9</v>
      </c>
      <c r="I50">
        <v>20.6</v>
      </c>
      <c r="M50">
        <v>0.8</v>
      </c>
      <c r="N50">
        <v>2.7</v>
      </c>
      <c r="O50">
        <f t="shared" si="0"/>
        <v>-1.9000000000000001</v>
      </c>
      <c r="P50">
        <f t="shared" si="1"/>
        <v>10.3</v>
      </c>
      <c r="W50">
        <v>1214.7</v>
      </c>
      <c r="AA50">
        <v>12.232231500458138</v>
      </c>
    </row>
    <row r="51" spans="1:28" x14ac:dyDescent="0.25">
      <c r="A51">
        <v>5080</v>
      </c>
      <c r="B51">
        <v>18650</v>
      </c>
      <c r="C51" s="1">
        <v>42630</v>
      </c>
      <c r="G51">
        <v>16.5</v>
      </c>
      <c r="H51">
        <v>14.1</v>
      </c>
      <c r="I51">
        <v>19.5</v>
      </c>
      <c r="M51">
        <v>0</v>
      </c>
      <c r="N51">
        <v>3.5</v>
      </c>
      <c r="O51">
        <f t="shared" si="0"/>
        <v>-3.5</v>
      </c>
      <c r="P51">
        <f t="shared" si="1"/>
        <v>6.8000000000000007</v>
      </c>
      <c r="W51">
        <v>1470</v>
      </c>
      <c r="AA51">
        <v>12.180661067426273</v>
      </c>
    </row>
    <row r="52" spans="1:28" x14ac:dyDescent="0.25">
      <c r="A52">
        <v>5080</v>
      </c>
      <c r="B52">
        <v>18650</v>
      </c>
      <c r="C52" s="1">
        <v>42631</v>
      </c>
      <c r="G52">
        <v>15.8</v>
      </c>
      <c r="H52">
        <v>12.5</v>
      </c>
      <c r="I52">
        <v>17.899999999999999</v>
      </c>
      <c r="M52">
        <v>0</v>
      </c>
      <c r="N52">
        <v>1.9</v>
      </c>
      <c r="O52">
        <f t="shared" si="0"/>
        <v>-1.9</v>
      </c>
      <c r="P52">
        <f t="shared" si="1"/>
        <v>4.9000000000000004</v>
      </c>
      <c r="V52" s="8">
        <v>155.69999999999999</v>
      </c>
      <c r="W52">
        <v>818.8</v>
      </c>
      <c r="AA52">
        <v>12.129063187590592</v>
      </c>
    </row>
    <row r="53" spans="1:28" x14ac:dyDescent="0.25">
      <c r="A53">
        <v>5080</v>
      </c>
      <c r="B53">
        <v>18650</v>
      </c>
      <c r="C53" s="1">
        <v>42632</v>
      </c>
      <c r="G53">
        <v>18.100000000000001</v>
      </c>
      <c r="H53">
        <v>14.5</v>
      </c>
      <c r="I53">
        <v>21.2</v>
      </c>
      <c r="M53">
        <v>0</v>
      </c>
      <c r="N53">
        <v>2.9</v>
      </c>
      <c r="O53">
        <f t="shared" si="0"/>
        <v>-2.9</v>
      </c>
      <c r="P53" s="5">
        <f t="shared" si="1"/>
        <v>2.0000000000000004</v>
      </c>
      <c r="W53">
        <v>1217.5999999999999</v>
      </c>
      <c r="AA53">
        <v>12.077445733608519</v>
      </c>
    </row>
    <row r="54" spans="1:28" s="6" customFormat="1" x14ac:dyDescent="0.25">
      <c r="A54" s="50" t="s">
        <v>32</v>
      </c>
      <c r="B54" s="50"/>
      <c r="C54" s="50"/>
      <c r="D54" s="50"/>
      <c r="E54" s="50"/>
      <c r="F54" s="50"/>
      <c r="L54" s="9"/>
      <c r="V54" s="9"/>
    </row>
    <row r="55" spans="1:28" x14ac:dyDescent="0.25">
      <c r="A55">
        <v>5080</v>
      </c>
      <c r="B55">
        <v>18650</v>
      </c>
      <c r="C55" s="1">
        <v>42633</v>
      </c>
      <c r="F55" s="41" t="s">
        <v>59</v>
      </c>
      <c r="G55">
        <v>18.7</v>
      </c>
      <c r="H55">
        <v>14.8</v>
      </c>
      <c r="I55">
        <v>22.8</v>
      </c>
      <c r="J55">
        <f>G55</f>
        <v>18.7</v>
      </c>
      <c r="L55" s="11" t="s">
        <v>34</v>
      </c>
      <c r="M55">
        <v>0.1</v>
      </c>
      <c r="N55">
        <v>2.5</v>
      </c>
      <c r="O55">
        <f>M55-N55</f>
        <v>-2.4</v>
      </c>
      <c r="P55">
        <v>0</v>
      </c>
      <c r="Q55">
        <v>1</v>
      </c>
      <c r="R55">
        <v>0.35</v>
      </c>
      <c r="S55">
        <f>R55*N55</f>
        <v>0.875</v>
      </c>
      <c r="T55" s="24">
        <f>M55-S55</f>
        <v>-0.77500000000000002</v>
      </c>
      <c r="U55" s="24">
        <f>MIN(P53+T55,155.7)</f>
        <v>1.2250000000000005</v>
      </c>
      <c r="V55" s="13" t="s">
        <v>41</v>
      </c>
      <c r="W55">
        <v>971.2</v>
      </c>
      <c r="Y55">
        <f>W55</f>
        <v>971.2</v>
      </c>
      <c r="AA55">
        <v>12.025816547430415</v>
      </c>
      <c r="AB55" s="13" t="s">
        <v>46</v>
      </c>
    </row>
    <row r="56" spans="1:28" x14ac:dyDescent="0.25">
      <c r="A56">
        <v>5080</v>
      </c>
      <c r="B56">
        <v>18650</v>
      </c>
      <c r="C56" s="1">
        <v>42634</v>
      </c>
      <c r="F56" s="41"/>
      <c r="G56">
        <v>18.5</v>
      </c>
      <c r="H56">
        <v>14.3</v>
      </c>
      <c r="I56">
        <v>23.7</v>
      </c>
      <c r="J56">
        <f>J55+G56</f>
        <v>37.200000000000003</v>
      </c>
      <c r="L56" s="8">
        <v>1074.5999999999999</v>
      </c>
      <c r="M56">
        <v>0</v>
      </c>
      <c r="N56">
        <v>3.4</v>
      </c>
      <c r="O56">
        <f t="shared" ref="O56:O119" si="2">M56-N56</f>
        <v>-3.4</v>
      </c>
      <c r="P56">
        <v>0</v>
      </c>
      <c r="Q56">
        <v>2</v>
      </c>
      <c r="R56">
        <v>0.35</v>
      </c>
      <c r="S56">
        <f t="shared" ref="S56:S119" si="3">R56*N56</f>
        <v>1.19</v>
      </c>
      <c r="T56" s="24">
        <f t="shared" ref="T56:T119" si="4">M56-S56</f>
        <v>-1.19</v>
      </c>
      <c r="U56" s="24">
        <f>MIN(U55+T56,155.7)</f>
        <v>3.5000000000000586E-2</v>
      </c>
      <c r="V56">
        <v>18</v>
      </c>
      <c r="W56">
        <v>1641.8</v>
      </c>
      <c r="Y56">
        <f>Y55+W56</f>
        <v>2613</v>
      </c>
      <c r="AA56">
        <v>11.974183452569584</v>
      </c>
      <c r="AB56">
        <v>67506.7</v>
      </c>
    </row>
    <row r="57" spans="1:28" x14ac:dyDescent="0.25">
      <c r="A57">
        <v>5080</v>
      </c>
      <c r="B57">
        <v>18650</v>
      </c>
      <c r="C57" s="1">
        <v>42635</v>
      </c>
      <c r="F57" s="41"/>
      <c r="G57">
        <v>18.5</v>
      </c>
      <c r="H57">
        <v>11.2</v>
      </c>
      <c r="I57">
        <v>24.1</v>
      </c>
      <c r="J57">
        <f t="shared" ref="J57:J120" si="5">J56+G57</f>
        <v>55.7</v>
      </c>
      <c r="L57" s="11" t="s">
        <v>35</v>
      </c>
      <c r="M57">
        <v>0</v>
      </c>
      <c r="N57">
        <v>3.9</v>
      </c>
      <c r="O57">
        <f t="shared" si="2"/>
        <v>-3.9</v>
      </c>
      <c r="P57">
        <v>0</v>
      </c>
      <c r="Q57">
        <v>3</v>
      </c>
      <c r="R57">
        <v>0.35</v>
      </c>
      <c r="S57">
        <f t="shared" si="3"/>
        <v>1.365</v>
      </c>
      <c r="T57" s="24">
        <f t="shared" si="4"/>
        <v>-1.365</v>
      </c>
      <c r="U57" s="24">
        <v>0</v>
      </c>
      <c r="V57" s="13" t="s">
        <v>42</v>
      </c>
      <c r="W57">
        <v>1998.1</v>
      </c>
      <c r="Y57">
        <f t="shared" ref="Y57:Y120" si="6">Y56+W57</f>
        <v>4611.1000000000004</v>
      </c>
      <c r="AA57">
        <v>11.922554266391483</v>
      </c>
      <c r="AB57" s="13" t="s">
        <v>47</v>
      </c>
    </row>
    <row r="58" spans="1:28" x14ac:dyDescent="0.25">
      <c r="A58">
        <v>5080</v>
      </c>
      <c r="B58">
        <v>18650</v>
      </c>
      <c r="C58" s="1">
        <v>42636</v>
      </c>
      <c r="F58" s="41"/>
      <c r="G58">
        <v>19.399999999999999</v>
      </c>
      <c r="H58">
        <v>14.1</v>
      </c>
      <c r="I58">
        <v>24.7</v>
      </c>
      <c r="J58">
        <f t="shared" si="5"/>
        <v>75.099999999999994</v>
      </c>
      <c r="L58" s="8">
        <f>AVERAGE(G55:G143)</f>
        <v>12.074157303370791</v>
      </c>
      <c r="M58">
        <v>0</v>
      </c>
      <c r="N58">
        <v>2.2999999999999998</v>
      </c>
      <c r="O58">
        <f t="shared" si="2"/>
        <v>-2.2999999999999998</v>
      </c>
      <c r="P58">
        <v>0</v>
      </c>
      <c r="Q58">
        <v>4</v>
      </c>
      <c r="R58">
        <v>0.35</v>
      </c>
      <c r="S58">
        <f t="shared" si="3"/>
        <v>0.80499999999999994</v>
      </c>
      <c r="T58" s="24">
        <f t="shared" si="4"/>
        <v>-0.80499999999999994</v>
      </c>
      <c r="U58" s="24">
        <v>0</v>
      </c>
      <c r="V58">
        <v>36</v>
      </c>
      <c r="W58">
        <v>1278.0999999999999</v>
      </c>
      <c r="Y58">
        <f t="shared" si="6"/>
        <v>5889.2000000000007</v>
      </c>
      <c r="AA58">
        <v>11.870936812409409</v>
      </c>
      <c r="AB58">
        <f>(AB56/100)/L56</f>
        <v>0.6282030522985298</v>
      </c>
    </row>
    <row r="59" spans="1:28" x14ac:dyDescent="0.25">
      <c r="A59">
        <v>5080</v>
      </c>
      <c r="B59">
        <v>18650</v>
      </c>
      <c r="C59" s="1">
        <v>42637</v>
      </c>
      <c r="F59" s="41"/>
      <c r="G59">
        <v>19.8</v>
      </c>
      <c r="H59">
        <v>12.8</v>
      </c>
      <c r="I59">
        <v>26.1</v>
      </c>
      <c r="J59">
        <f t="shared" si="5"/>
        <v>94.899999999999991</v>
      </c>
      <c r="L59" s="11" t="s">
        <v>36</v>
      </c>
      <c r="M59">
        <v>0</v>
      </c>
      <c r="N59">
        <v>4.4000000000000004</v>
      </c>
      <c r="O59">
        <f t="shared" si="2"/>
        <v>-4.4000000000000004</v>
      </c>
      <c r="P59">
        <v>0</v>
      </c>
      <c r="Q59">
        <v>5</v>
      </c>
      <c r="R59">
        <v>0.35</v>
      </c>
      <c r="S59">
        <f t="shared" si="3"/>
        <v>1.54</v>
      </c>
      <c r="T59" s="24">
        <f t="shared" si="4"/>
        <v>-1.54</v>
      </c>
      <c r="U59" s="24">
        <v>0</v>
      </c>
      <c r="V59" s="13" t="s">
        <v>43</v>
      </c>
      <c r="W59">
        <v>1778.6</v>
      </c>
      <c r="Y59">
        <f t="shared" si="6"/>
        <v>7667.8000000000011</v>
      </c>
      <c r="AA59">
        <v>11.819338932573727</v>
      </c>
      <c r="AB59" s="13" t="s">
        <v>48</v>
      </c>
    </row>
    <row r="60" spans="1:28" x14ac:dyDescent="0.25">
      <c r="A60">
        <v>5080</v>
      </c>
      <c r="B60">
        <v>18650</v>
      </c>
      <c r="C60" s="1">
        <v>42638</v>
      </c>
      <c r="F60" s="41"/>
      <c r="G60">
        <v>18.3</v>
      </c>
      <c r="H60">
        <v>18.100000000000001</v>
      </c>
      <c r="I60">
        <v>20.399999999999999</v>
      </c>
      <c r="J60">
        <f t="shared" si="5"/>
        <v>113.19999999999999</v>
      </c>
      <c r="L60" s="12">
        <f>MIN(H55:H143)</f>
        <v>-2</v>
      </c>
      <c r="M60">
        <v>0.6</v>
      </c>
      <c r="N60">
        <v>2.2999999999999998</v>
      </c>
      <c r="O60">
        <f t="shared" si="2"/>
        <v>-1.6999999999999997</v>
      </c>
      <c r="P60">
        <v>0</v>
      </c>
      <c r="Q60">
        <v>6</v>
      </c>
      <c r="R60">
        <v>0.35</v>
      </c>
      <c r="S60">
        <f t="shared" si="3"/>
        <v>0.80499999999999994</v>
      </c>
      <c r="T60" s="24">
        <f t="shared" si="4"/>
        <v>-0.20499999999999996</v>
      </c>
      <c r="U60" s="24">
        <v>0</v>
      </c>
      <c r="V60">
        <v>0</v>
      </c>
      <c r="W60">
        <v>901.1</v>
      </c>
      <c r="Y60">
        <f t="shared" si="6"/>
        <v>8568.9000000000015</v>
      </c>
      <c r="AA60">
        <v>11.767768499541861</v>
      </c>
      <c r="AB60">
        <v>65</v>
      </c>
    </row>
    <row r="61" spans="1:28" x14ac:dyDescent="0.25">
      <c r="A61">
        <v>5080</v>
      </c>
      <c r="B61">
        <v>18650</v>
      </c>
      <c r="C61" s="1">
        <v>42639</v>
      </c>
      <c r="F61" s="41"/>
      <c r="G61">
        <v>17</v>
      </c>
      <c r="H61">
        <v>12.8</v>
      </c>
      <c r="I61">
        <v>20.5</v>
      </c>
      <c r="J61">
        <f t="shared" si="5"/>
        <v>130.19999999999999</v>
      </c>
      <c r="L61" s="11" t="s">
        <v>37</v>
      </c>
      <c r="M61">
        <v>0</v>
      </c>
      <c r="N61">
        <v>1.8</v>
      </c>
      <c r="O61">
        <f t="shared" si="2"/>
        <v>-1.8</v>
      </c>
      <c r="P61">
        <v>0</v>
      </c>
      <c r="Q61">
        <v>7</v>
      </c>
      <c r="R61">
        <v>0.35</v>
      </c>
      <c r="S61">
        <f t="shared" si="3"/>
        <v>0.63</v>
      </c>
      <c r="T61" s="24">
        <f t="shared" si="4"/>
        <v>-0.63</v>
      </c>
      <c r="U61" s="24">
        <v>0</v>
      </c>
      <c r="V61" s="13" t="s">
        <v>44</v>
      </c>
      <c r="W61">
        <v>1011.7</v>
      </c>
      <c r="Y61">
        <f t="shared" si="6"/>
        <v>9580.6000000000022</v>
      </c>
      <c r="AA61">
        <v>11.716233428916059</v>
      </c>
    </row>
    <row r="62" spans="1:28" x14ac:dyDescent="0.25">
      <c r="A62">
        <v>5080</v>
      </c>
      <c r="B62">
        <v>18650</v>
      </c>
      <c r="C62" s="1">
        <v>42640</v>
      </c>
      <c r="D62" t="s">
        <v>49</v>
      </c>
      <c r="F62" s="41"/>
      <c r="G62">
        <v>18.399999999999999</v>
      </c>
      <c r="H62">
        <v>12.6</v>
      </c>
      <c r="I62">
        <v>23.7</v>
      </c>
      <c r="J62">
        <f t="shared" si="5"/>
        <v>148.6</v>
      </c>
      <c r="L62" s="8">
        <f>MAX(I55:I143)</f>
        <v>26.6</v>
      </c>
      <c r="M62">
        <v>0</v>
      </c>
      <c r="N62">
        <v>3.3</v>
      </c>
      <c r="O62">
        <f t="shared" si="2"/>
        <v>-3.3</v>
      </c>
      <c r="P62">
        <v>0</v>
      </c>
      <c r="Q62">
        <v>8</v>
      </c>
      <c r="R62">
        <f>0.35+((Q62-7)/82)*(1-0.35)</f>
        <v>0.35792682926829267</v>
      </c>
      <c r="S62">
        <f t="shared" si="3"/>
        <v>1.1811585365853658</v>
      </c>
      <c r="T62" s="24">
        <f t="shared" si="4"/>
        <v>-1.1811585365853658</v>
      </c>
      <c r="U62" s="24">
        <v>0</v>
      </c>
      <c r="V62" s="24">
        <f>MAX(U55:U143)</f>
        <v>76.271829268292677</v>
      </c>
      <c r="W62">
        <v>1477.1</v>
      </c>
      <c r="Y62">
        <f t="shared" si="6"/>
        <v>11057.700000000003</v>
      </c>
      <c r="AA62">
        <v>11.664741691435696</v>
      </c>
    </row>
    <row r="63" spans="1:28" x14ac:dyDescent="0.25">
      <c r="A63">
        <v>5080</v>
      </c>
      <c r="B63">
        <v>18650</v>
      </c>
      <c r="C63" s="1">
        <v>42641</v>
      </c>
      <c r="F63" s="41"/>
      <c r="G63">
        <v>19.399999999999999</v>
      </c>
      <c r="H63">
        <v>12.8</v>
      </c>
      <c r="I63">
        <v>24.8</v>
      </c>
      <c r="J63">
        <f t="shared" si="5"/>
        <v>168</v>
      </c>
      <c r="L63" s="11" t="s">
        <v>38</v>
      </c>
      <c r="M63">
        <v>0</v>
      </c>
      <c r="N63">
        <v>4.0999999999999996</v>
      </c>
      <c r="O63">
        <f t="shared" si="2"/>
        <v>-4.0999999999999996</v>
      </c>
      <c r="P63">
        <v>0</v>
      </c>
      <c r="Q63">
        <v>9</v>
      </c>
      <c r="R63">
        <f t="shared" ref="R63:R126" si="7">0.35+((Q63-7)/82)*(1-0.35)</f>
        <v>0.36585365853658536</v>
      </c>
      <c r="S63">
        <f t="shared" si="3"/>
        <v>1.4999999999999998</v>
      </c>
      <c r="T63" s="24">
        <f t="shared" si="4"/>
        <v>-1.4999999999999998</v>
      </c>
      <c r="U63" s="24">
        <v>0</v>
      </c>
      <c r="V63" s="13" t="s">
        <v>45</v>
      </c>
      <c r="W63">
        <v>1880.7</v>
      </c>
      <c r="Y63">
        <f t="shared" si="6"/>
        <v>12938.400000000003</v>
      </c>
      <c r="AA63">
        <v>11.613301325110665</v>
      </c>
    </row>
    <row r="64" spans="1:28" x14ac:dyDescent="0.25">
      <c r="A64">
        <v>5080</v>
      </c>
      <c r="B64">
        <v>18650</v>
      </c>
      <c r="C64" s="1">
        <v>42642</v>
      </c>
      <c r="F64" s="41"/>
      <c r="G64">
        <v>19.899999999999999</v>
      </c>
      <c r="H64">
        <v>12</v>
      </c>
      <c r="I64">
        <v>26.6</v>
      </c>
      <c r="J64">
        <f t="shared" si="5"/>
        <v>187.9</v>
      </c>
      <c r="L64" s="8">
        <v>4</v>
      </c>
      <c r="M64">
        <v>0</v>
      </c>
      <c r="N64">
        <v>4.2</v>
      </c>
      <c r="O64">
        <f t="shared" si="2"/>
        <v>-4.2</v>
      </c>
      <c r="P64">
        <v>0</v>
      </c>
      <c r="Q64">
        <v>10</v>
      </c>
      <c r="R64">
        <f t="shared" si="7"/>
        <v>0.37378048780487805</v>
      </c>
      <c r="S64">
        <f t="shared" si="3"/>
        <v>1.5698780487804878</v>
      </c>
      <c r="T64" s="24">
        <f t="shared" si="4"/>
        <v>-1.5698780487804878</v>
      </c>
      <c r="U64" s="24">
        <v>0</v>
      </c>
      <c r="V64" s="21">
        <f>AVERAGE(U55:U143)</f>
        <v>33.661039325842694</v>
      </c>
      <c r="W64">
        <v>1609.5</v>
      </c>
      <c r="Y64">
        <f t="shared" si="6"/>
        <v>14547.900000000003</v>
      </c>
      <c r="AA64">
        <v>11.561920447281979</v>
      </c>
    </row>
    <row r="65" spans="1:27" x14ac:dyDescent="0.25">
      <c r="A65">
        <v>5080</v>
      </c>
      <c r="B65">
        <v>18650</v>
      </c>
      <c r="C65" s="1">
        <v>42643</v>
      </c>
      <c r="F65" s="41"/>
      <c r="G65">
        <v>21.5</v>
      </c>
      <c r="H65">
        <v>18</v>
      </c>
      <c r="I65">
        <v>25.7</v>
      </c>
      <c r="J65">
        <f t="shared" si="5"/>
        <v>209.4</v>
      </c>
      <c r="L65" s="11" t="s">
        <v>39</v>
      </c>
      <c r="M65">
        <v>0.4</v>
      </c>
      <c r="N65">
        <v>4.0999999999999996</v>
      </c>
      <c r="O65">
        <f t="shared" si="2"/>
        <v>-3.6999999999999997</v>
      </c>
      <c r="P65">
        <v>0</v>
      </c>
      <c r="Q65">
        <v>11</v>
      </c>
      <c r="R65">
        <f t="shared" si="7"/>
        <v>0.38170731707317074</v>
      </c>
      <c r="S65">
        <f t="shared" si="3"/>
        <v>1.5649999999999999</v>
      </c>
      <c r="T65" s="24">
        <f t="shared" si="4"/>
        <v>-1.165</v>
      </c>
      <c r="U65" s="24">
        <v>0</v>
      </c>
      <c r="W65">
        <v>1546.3</v>
      </c>
      <c r="Y65">
        <f t="shared" si="6"/>
        <v>16094.200000000003</v>
      </c>
      <c r="AA65">
        <v>11.510607266595166</v>
      </c>
    </row>
    <row r="66" spans="1:27" x14ac:dyDescent="0.25">
      <c r="A66">
        <v>5080</v>
      </c>
      <c r="B66">
        <v>18650</v>
      </c>
      <c r="C66" s="1">
        <v>42644</v>
      </c>
      <c r="F66" s="41"/>
      <c r="G66">
        <v>18.3</v>
      </c>
      <c r="H66">
        <v>17</v>
      </c>
      <c r="I66">
        <v>19.899999999999999</v>
      </c>
      <c r="J66">
        <f t="shared" si="5"/>
        <v>227.70000000000002</v>
      </c>
      <c r="L66" s="8">
        <v>14</v>
      </c>
      <c r="M66">
        <v>3.3</v>
      </c>
      <c r="N66">
        <v>1.4</v>
      </c>
      <c r="O66">
        <f t="shared" si="2"/>
        <v>1.9</v>
      </c>
      <c r="P66">
        <f t="shared" ref="P66:P129" si="8">P65+O66</f>
        <v>1.9</v>
      </c>
      <c r="Q66">
        <v>12</v>
      </c>
      <c r="R66">
        <f t="shared" si="7"/>
        <v>0.38963414634146337</v>
      </c>
      <c r="S66">
        <f t="shared" si="3"/>
        <v>0.54548780487804871</v>
      </c>
      <c r="T66" s="24">
        <f t="shared" si="4"/>
        <v>2.7545121951219511</v>
      </c>
      <c r="U66" s="24">
        <f t="shared" ref="U66:U129" si="9">MIN(U65+T66,155.7)</f>
        <v>2.7545121951219511</v>
      </c>
      <c r="V66" s="8">
        <f>(V64*100)/155.7</f>
        <v>21.619164628029992</v>
      </c>
      <c r="W66">
        <v>507.7</v>
      </c>
      <c r="Y66">
        <f t="shared" si="6"/>
        <v>16601.900000000001</v>
      </c>
      <c r="AA66">
        <v>11.459370094871659</v>
      </c>
    </row>
    <row r="67" spans="1:27" x14ac:dyDescent="0.25">
      <c r="A67">
        <v>5080</v>
      </c>
      <c r="B67">
        <v>18650</v>
      </c>
      <c r="C67" s="1">
        <v>42645</v>
      </c>
      <c r="F67" s="41"/>
      <c r="G67">
        <v>16.899999999999999</v>
      </c>
      <c r="H67">
        <v>14.9</v>
      </c>
      <c r="I67">
        <v>19.600000000000001</v>
      </c>
      <c r="J67">
        <f t="shared" si="5"/>
        <v>244.60000000000002</v>
      </c>
      <c r="L67" s="11" t="s">
        <v>40</v>
      </c>
      <c r="M67">
        <v>0.4</v>
      </c>
      <c r="N67">
        <v>2.1</v>
      </c>
      <c r="O67">
        <f t="shared" si="2"/>
        <v>-1.7000000000000002</v>
      </c>
      <c r="P67">
        <f t="shared" si="8"/>
        <v>0.19999999999999973</v>
      </c>
      <c r="Q67">
        <v>13</v>
      </c>
      <c r="R67">
        <f t="shared" si="7"/>
        <v>0.39756097560975606</v>
      </c>
      <c r="S67">
        <f t="shared" si="3"/>
        <v>0.83487804878048777</v>
      </c>
      <c r="T67" s="24">
        <f t="shared" si="4"/>
        <v>-0.43487804878048775</v>
      </c>
      <c r="U67" s="24">
        <f t="shared" si="9"/>
        <v>2.3196341463414631</v>
      </c>
      <c r="W67">
        <v>978.5</v>
      </c>
      <c r="Y67">
        <f t="shared" si="6"/>
        <v>17580.400000000001</v>
      </c>
      <c r="AA67">
        <v>11.408217358862581</v>
      </c>
    </row>
    <row r="68" spans="1:27" x14ac:dyDescent="0.25">
      <c r="A68">
        <v>5080</v>
      </c>
      <c r="B68">
        <v>18650</v>
      </c>
      <c r="C68" s="1">
        <v>42646</v>
      </c>
      <c r="F68" s="41"/>
      <c r="G68">
        <v>17.100000000000001</v>
      </c>
      <c r="H68">
        <v>10.8</v>
      </c>
      <c r="I68">
        <v>22.5</v>
      </c>
      <c r="J68">
        <f t="shared" si="5"/>
        <v>261.70000000000005</v>
      </c>
      <c r="L68" s="8">
        <v>2</v>
      </c>
      <c r="M68">
        <v>0</v>
      </c>
      <c r="N68">
        <v>3.7</v>
      </c>
      <c r="O68">
        <f t="shared" si="2"/>
        <v>-3.7</v>
      </c>
      <c r="P68">
        <v>0</v>
      </c>
      <c r="Q68">
        <v>14</v>
      </c>
      <c r="R68">
        <f t="shared" si="7"/>
        <v>0.40548780487804875</v>
      </c>
      <c r="S68">
        <f t="shared" si="3"/>
        <v>1.5003048780487804</v>
      </c>
      <c r="T68" s="24">
        <f t="shared" si="4"/>
        <v>-1.5003048780487804</v>
      </c>
      <c r="U68" s="24">
        <f t="shared" si="9"/>
        <v>0.81932926829268271</v>
      </c>
      <c r="W68">
        <v>1735</v>
      </c>
      <c r="Y68">
        <f t="shared" si="6"/>
        <v>19315.400000000001</v>
      </c>
      <c r="AA68">
        <v>11.357157611868722</v>
      </c>
    </row>
    <row r="69" spans="1:27" x14ac:dyDescent="0.25">
      <c r="A69">
        <v>5080</v>
      </c>
      <c r="B69">
        <v>18650</v>
      </c>
      <c r="C69" s="1">
        <v>42647</v>
      </c>
      <c r="F69" s="41"/>
      <c r="G69">
        <v>19</v>
      </c>
      <c r="H69">
        <v>11.1</v>
      </c>
      <c r="I69">
        <v>25.2</v>
      </c>
      <c r="J69">
        <f t="shared" si="5"/>
        <v>280.70000000000005</v>
      </c>
      <c r="M69">
        <v>0</v>
      </c>
      <c r="N69">
        <v>3.6</v>
      </c>
      <c r="O69">
        <f t="shared" si="2"/>
        <v>-3.6</v>
      </c>
      <c r="P69">
        <v>0</v>
      </c>
      <c r="Q69">
        <v>15</v>
      </c>
      <c r="R69">
        <f t="shared" si="7"/>
        <v>0.41341463414634144</v>
      </c>
      <c r="S69">
        <f t="shared" si="3"/>
        <v>1.4882926829268293</v>
      </c>
      <c r="T69" s="24">
        <f t="shared" si="4"/>
        <v>-1.4882926829268293</v>
      </c>
      <c r="U69" s="24">
        <v>0</v>
      </c>
      <c r="W69">
        <v>1532</v>
      </c>
      <c r="Y69">
        <f t="shared" si="6"/>
        <v>20847.400000000001</v>
      </c>
      <c r="AA69">
        <v>11.306199545209655</v>
      </c>
    </row>
    <row r="70" spans="1:27" x14ac:dyDescent="0.25">
      <c r="A70">
        <v>5080</v>
      </c>
      <c r="B70">
        <v>18650</v>
      </c>
      <c r="C70" s="1">
        <v>42648</v>
      </c>
      <c r="F70" s="41"/>
      <c r="G70">
        <v>19.399999999999999</v>
      </c>
      <c r="H70">
        <v>17</v>
      </c>
      <c r="I70">
        <v>22</v>
      </c>
      <c r="J70">
        <f t="shared" si="5"/>
        <v>300.10000000000002</v>
      </c>
      <c r="M70">
        <v>0</v>
      </c>
      <c r="N70">
        <v>2.2999999999999998</v>
      </c>
      <c r="O70">
        <f t="shared" si="2"/>
        <v>-2.2999999999999998</v>
      </c>
      <c r="P70">
        <v>0</v>
      </c>
      <c r="Q70">
        <v>16</v>
      </c>
      <c r="R70">
        <f t="shared" si="7"/>
        <v>0.42134146341463413</v>
      </c>
      <c r="S70">
        <f t="shared" si="3"/>
        <v>0.96908536585365845</v>
      </c>
      <c r="T70" s="24">
        <f t="shared" si="4"/>
        <v>-0.96908536585365845</v>
      </c>
      <c r="U70" s="24">
        <v>0</v>
      </c>
      <c r="W70">
        <v>812.5</v>
      </c>
      <c r="Y70">
        <f t="shared" si="6"/>
        <v>21659.9</v>
      </c>
      <c r="AA70">
        <v>11.25535199952412</v>
      </c>
    </row>
    <row r="71" spans="1:27" x14ac:dyDescent="0.25">
      <c r="A71">
        <v>5080</v>
      </c>
      <c r="B71">
        <v>18650</v>
      </c>
      <c r="C71" s="1">
        <v>42649</v>
      </c>
      <c r="F71" s="41"/>
      <c r="G71">
        <v>18.2</v>
      </c>
      <c r="H71">
        <v>16.3</v>
      </c>
      <c r="I71">
        <v>21.6</v>
      </c>
      <c r="J71">
        <f t="shared" si="5"/>
        <v>318.3</v>
      </c>
      <c r="M71">
        <v>0</v>
      </c>
      <c r="N71">
        <v>2.7</v>
      </c>
      <c r="O71">
        <f t="shared" si="2"/>
        <v>-2.7</v>
      </c>
      <c r="P71">
        <v>0</v>
      </c>
      <c r="Q71">
        <v>17</v>
      </c>
      <c r="R71">
        <f t="shared" si="7"/>
        <v>0.42926829268292682</v>
      </c>
      <c r="S71">
        <f t="shared" si="3"/>
        <v>1.1590243902439026</v>
      </c>
      <c r="T71" s="24">
        <f t="shared" si="4"/>
        <v>-1.1590243902439026</v>
      </c>
      <c r="U71" s="24">
        <v>0</v>
      </c>
      <c r="W71">
        <v>1210.4000000000001</v>
      </c>
      <c r="Y71">
        <f t="shared" si="6"/>
        <v>22870.300000000003</v>
      </c>
      <c r="AA71">
        <v>11.204623975882896</v>
      </c>
    </row>
    <row r="72" spans="1:27" x14ac:dyDescent="0.25">
      <c r="A72">
        <v>5080</v>
      </c>
      <c r="B72">
        <v>18650</v>
      </c>
      <c r="C72" s="1">
        <v>42650</v>
      </c>
      <c r="F72" s="41"/>
      <c r="G72">
        <v>14.4</v>
      </c>
      <c r="H72">
        <v>10.3</v>
      </c>
      <c r="I72">
        <v>18.2</v>
      </c>
      <c r="J72">
        <f t="shared" si="5"/>
        <v>332.7</v>
      </c>
      <c r="M72">
        <v>0</v>
      </c>
      <c r="N72">
        <v>1.5</v>
      </c>
      <c r="O72">
        <f t="shared" si="2"/>
        <v>-1.5</v>
      </c>
      <c r="P72">
        <v>0</v>
      </c>
      <c r="Q72">
        <v>18</v>
      </c>
      <c r="R72">
        <f t="shared" si="7"/>
        <v>0.43719512195121951</v>
      </c>
      <c r="S72">
        <f t="shared" si="3"/>
        <v>0.65579268292682924</v>
      </c>
      <c r="T72" s="24">
        <f t="shared" si="4"/>
        <v>-0.65579268292682924</v>
      </c>
      <c r="U72" s="24">
        <v>0</v>
      </c>
      <c r="W72">
        <v>813.6</v>
      </c>
      <c r="Y72">
        <f t="shared" si="6"/>
        <v>23683.9</v>
      </c>
      <c r="AA72">
        <v>11.154024646694229</v>
      </c>
    </row>
    <row r="73" spans="1:27" x14ac:dyDescent="0.25">
      <c r="A73">
        <v>5080</v>
      </c>
      <c r="B73">
        <v>18650</v>
      </c>
      <c r="C73" s="1">
        <v>42651</v>
      </c>
      <c r="F73" s="41"/>
      <c r="G73">
        <v>12.9</v>
      </c>
      <c r="H73">
        <v>9.3000000000000007</v>
      </c>
      <c r="I73">
        <v>16.899999999999999</v>
      </c>
      <c r="J73">
        <f t="shared" si="5"/>
        <v>345.59999999999997</v>
      </c>
      <c r="M73">
        <v>0</v>
      </c>
      <c r="N73">
        <v>2.4</v>
      </c>
      <c r="O73">
        <f t="shared" si="2"/>
        <v>-2.4</v>
      </c>
      <c r="P73">
        <v>0</v>
      </c>
      <c r="Q73">
        <v>19</v>
      </c>
      <c r="R73">
        <f t="shared" si="7"/>
        <v>0.44512195121951215</v>
      </c>
      <c r="S73">
        <f t="shared" si="3"/>
        <v>1.0682926829268291</v>
      </c>
      <c r="T73" s="24">
        <f t="shared" si="4"/>
        <v>-1.0682926829268291</v>
      </c>
      <c r="U73" s="24">
        <v>0</v>
      </c>
      <c r="W73">
        <v>942.3</v>
      </c>
      <c r="Y73">
        <f t="shared" si="6"/>
        <v>24626.2</v>
      </c>
      <c r="AA73">
        <v>11.103563366381049</v>
      </c>
    </row>
    <row r="74" spans="1:27" x14ac:dyDescent="0.25">
      <c r="A74">
        <v>5080</v>
      </c>
      <c r="B74">
        <v>18650</v>
      </c>
      <c r="C74" s="1">
        <v>42652</v>
      </c>
      <c r="F74" s="41"/>
      <c r="G74">
        <v>13.1</v>
      </c>
      <c r="H74">
        <v>8.9</v>
      </c>
      <c r="I74">
        <v>18.100000000000001</v>
      </c>
      <c r="J74">
        <f t="shared" si="5"/>
        <v>358.7</v>
      </c>
      <c r="M74">
        <v>0</v>
      </c>
      <c r="N74">
        <v>3.2</v>
      </c>
      <c r="O74">
        <f t="shared" si="2"/>
        <v>-3.2</v>
      </c>
      <c r="P74">
        <v>0</v>
      </c>
      <c r="Q74">
        <v>20</v>
      </c>
      <c r="R74">
        <f t="shared" si="7"/>
        <v>0.45304878048780484</v>
      </c>
      <c r="S74">
        <f t="shared" si="3"/>
        <v>1.4497560975609756</v>
      </c>
      <c r="T74" s="24">
        <f t="shared" si="4"/>
        <v>-1.4497560975609756</v>
      </c>
      <c r="U74" s="24">
        <v>0</v>
      </c>
      <c r="W74">
        <v>1286.3</v>
      </c>
      <c r="Y74">
        <f t="shared" si="6"/>
        <v>25912.5</v>
      </c>
      <c r="AA74">
        <v>11.053249681807872</v>
      </c>
    </row>
    <row r="75" spans="1:27" x14ac:dyDescent="0.25">
      <c r="A75">
        <v>5080</v>
      </c>
      <c r="B75">
        <v>18650</v>
      </c>
      <c r="C75" s="1">
        <v>42653</v>
      </c>
      <c r="F75" s="41"/>
      <c r="G75">
        <v>11.7</v>
      </c>
      <c r="H75">
        <v>7.1</v>
      </c>
      <c r="I75">
        <v>16.3</v>
      </c>
      <c r="J75">
        <f t="shared" si="5"/>
        <v>370.4</v>
      </c>
      <c r="M75">
        <v>0</v>
      </c>
      <c r="N75">
        <v>3.3</v>
      </c>
      <c r="O75">
        <f t="shared" si="2"/>
        <v>-3.3</v>
      </c>
      <c r="P75">
        <v>0</v>
      </c>
      <c r="Q75">
        <v>21</v>
      </c>
      <c r="R75">
        <f t="shared" si="7"/>
        <v>0.46097560975609753</v>
      </c>
      <c r="S75">
        <f t="shared" si="3"/>
        <v>1.5212195121951217</v>
      </c>
      <c r="T75" s="24">
        <f t="shared" si="4"/>
        <v>-1.5212195121951217</v>
      </c>
      <c r="U75" s="24">
        <v>0</v>
      </c>
      <c r="W75">
        <v>1640.8</v>
      </c>
      <c r="Y75">
        <f t="shared" si="6"/>
        <v>27553.3</v>
      </c>
      <c r="AA75">
        <v>11.003093342434234</v>
      </c>
    </row>
    <row r="76" spans="1:27" x14ac:dyDescent="0.25">
      <c r="A76">
        <v>5080</v>
      </c>
      <c r="B76">
        <v>18650</v>
      </c>
      <c r="C76" s="1">
        <v>42654</v>
      </c>
      <c r="F76" s="41"/>
      <c r="G76">
        <v>12.1</v>
      </c>
      <c r="H76">
        <v>7.9</v>
      </c>
      <c r="I76">
        <v>15.4</v>
      </c>
      <c r="J76">
        <f t="shared" si="5"/>
        <v>382.5</v>
      </c>
      <c r="M76">
        <v>0</v>
      </c>
      <c r="N76">
        <v>2.2000000000000002</v>
      </c>
      <c r="O76">
        <f t="shared" si="2"/>
        <v>-2.2000000000000002</v>
      </c>
      <c r="P76">
        <v>0</v>
      </c>
      <c r="Q76">
        <v>22</v>
      </c>
      <c r="R76">
        <f t="shared" si="7"/>
        <v>0.46890243902439022</v>
      </c>
      <c r="S76">
        <f t="shared" si="3"/>
        <v>1.0315853658536585</v>
      </c>
      <c r="T76" s="24">
        <f t="shared" si="4"/>
        <v>-1.0315853658536585</v>
      </c>
      <c r="U76" s="24">
        <v>0</v>
      </c>
      <c r="W76">
        <v>305.5</v>
      </c>
      <c r="Y76">
        <f t="shared" si="6"/>
        <v>27858.799999999999</v>
      </c>
      <c r="AA76">
        <v>10.953104310170184</v>
      </c>
    </row>
    <row r="77" spans="1:27" x14ac:dyDescent="0.25">
      <c r="A77">
        <v>5080</v>
      </c>
      <c r="B77">
        <v>18650</v>
      </c>
      <c r="C77" s="1">
        <v>42655</v>
      </c>
      <c r="F77" s="41"/>
      <c r="G77">
        <v>13</v>
      </c>
      <c r="H77">
        <v>9.9</v>
      </c>
      <c r="I77">
        <v>15.3</v>
      </c>
      <c r="J77">
        <f t="shared" si="5"/>
        <v>395.5</v>
      </c>
      <c r="M77">
        <v>0.6</v>
      </c>
      <c r="N77">
        <v>2.2000000000000002</v>
      </c>
      <c r="O77">
        <f t="shared" si="2"/>
        <v>-1.6</v>
      </c>
      <c r="P77">
        <v>0</v>
      </c>
      <c r="Q77">
        <v>23</v>
      </c>
      <c r="R77">
        <f t="shared" si="7"/>
        <v>0.47682926829268291</v>
      </c>
      <c r="S77">
        <f t="shared" si="3"/>
        <v>1.0490243902439025</v>
      </c>
      <c r="T77" s="24">
        <f t="shared" si="4"/>
        <v>-0.4490243902439025</v>
      </c>
      <c r="U77" s="24">
        <v>0</v>
      </c>
      <c r="W77">
        <v>553.1</v>
      </c>
      <c r="Y77">
        <f t="shared" si="6"/>
        <v>28411.899999999998</v>
      </c>
      <c r="AA77">
        <v>10.903292768908143</v>
      </c>
    </row>
    <row r="78" spans="1:27" x14ac:dyDescent="0.25">
      <c r="A78">
        <v>5080</v>
      </c>
      <c r="B78">
        <v>18650</v>
      </c>
      <c r="C78" s="1">
        <v>42656</v>
      </c>
      <c r="F78" s="41"/>
      <c r="G78">
        <v>15.9</v>
      </c>
      <c r="H78">
        <v>13.3</v>
      </c>
      <c r="I78">
        <v>18.399999999999999</v>
      </c>
      <c r="J78">
        <f t="shared" si="5"/>
        <v>411.4</v>
      </c>
      <c r="M78">
        <v>21.4</v>
      </c>
      <c r="N78">
        <v>0.9</v>
      </c>
      <c r="O78">
        <f t="shared" si="2"/>
        <v>20.5</v>
      </c>
      <c r="P78">
        <f t="shared" si="8"/>
        <v>20.5</v>
      </c>
      <c r="Q78">
        <v>24</v>
      </c>
      <c r="R78">
        <f t="shared" si="7"/>
        <v>0.4847560975609756</v>
      </c>
      <c r="S78">
        <f t="shared" si="3"/>
        <v>0.43628048780487805</v>
      </c>
      <c r="T78" s="24">
        <f t="shared" si="4"/>
        <v>20.963719512195119</v>
      </c>
      <c r="U78" s="24">
        <f t="shared" si="9"/>
        <v>20.963719512195119</v>
      </c>
      <c r="W78">
        <v>227.1</v>
      </c>
      <c r="Y78">
        <f t="shared" si="6"/>
        <v>28638.999999999996</v>
      </c>
      <c r="AA78">
        <v>10.853669133704086</v>
      </c>
    </row>
    <row r="79" spans="1:27" x14ac:dyDescent="0.25">
      <c r="A79">
        <v>5080</v>
      </c>
      <c r="B79">
        <v>18650</v>
      </c>
      <c r="C79" s="1">
        <v>42657</v>
      </c>
      <c r="F79" s="41"/>
      <c r="G79">
        <v>12.7</v>
      </c>
      <c r="H79">
        <v>12.8</v>
      </c>
      <c r="I79">
        <v>14</v>
      </c>
      <c r="J79">
        <f t="shared" si="5"/>
        <v>424.09999999999997</v>
      </c>
      <c r="M79">
        <v>2.5</v>
      </c>
      <c r="N79">
        <v>0.9</v>
      </c>
      <c r="O79">
        <f t="shared" si="2"/>
        <v>1.6</v>
      </c>
      <c r="P79">
        <f t="shared" si="8"/>
        <v>22.1</v>
      </c>
      <c r="Q79">
        <v>25</v>
      </c>
      <c r="R79">
        <f t="shared" si="7"/>
        <v>0.49268292682926829</v>
      </c>
      <c r="S79">
        <f t="shared" si="3"/>
        <v>0.44341463414634147</v>
      </c>
      <c r="T79" s="24">
        <f t="shared" si="4"/>
        <v>2.0565853658536586</v>
      </c>
      <c r="U79" s="24">
        <f t="shared" si="9"/>
        <v>23.020304878048776</v>
      </c>
      <c r="W79">
        <v>272.8</v>
      </c>
      <c r="Y79">
        <f t="shared" si="6"/>
        <v>28911.799999999996</v>
      </c>
      <c r="AA79">
        <v>10.804244059579664</v>
      </c>
    </row>
    <row r="80" spans="1:27" x14ac:dyDescent="0.25">
      <c r="A80">
        <v>5080</v>
      </c>
      <c r="B80">
        <v>18650</v>
      </c>
      <c r="C80" s="1">
        <v>42658</v>
      </c>
      <c r="F80" s="41"/>
      <c r="G80">
        <v>13.8</v>
      </c>
      <c r="H80">
        <v>7.5</v>
      </c>
      <c r="I80">
        <v>20.100000000000001</v>
      </c>
      <c r="J80">
        <f t="shared" si="5"/>
        <v>437.9</v>
      </c>
      <c r="M80">
        <v>0</v>
      </c>
      <c r="N80">
        <v>2.8</v>
      </c>
      <c r="O80">
        <f t="shared" si="2"/>
        <v>-2.8</v>
      </c>
      <c r="P80">
        <f t="shared" si="8"/>
        <v>19.3</v>
      </c>
      <c r="Q80">
        <v>26</v>
      </c>
      <c r="R80">
        <f t="shared" si="7"/>
        <v>0.50060975609756098</v>
      </c>
      <c r="S80">
        <f t="shared" si="3"/>
        <v>1.4017073170731706</v>
      </c>
      <c r="T80" s="24">
        <f t="shared" si="4"/>
        <v>-1.4017073170731706</v>
      </c>
      <c r="U80" s="24">
        <f t="shared" si="9"/>
        <v>21.618597560975605</v>
      </c>
      <c r="W80">
        <v>1457.5</v>
      </c>
      <c r="Y80">
        <f t="shared" si="6"/>
        <v>30369.299999999996</v>
      </c>
      <c r="AA80">
        <v>10.75502844991553</v>
      </c>
    </row>
    <row r="81" spans="1:27" x14ac:dyDescent="0.25">
      <c r="A81">
        <v>5080</v>
      </c>
      <c r="B81">
        <v>18650</v>
      </c>
      <c r="C81" s="1">
        <v>42659</v>
      </c>
      <c r="F81" s="41"/>
      <c r="G81">
        <v>14</v>
      </c>
      <c r="H81">
        <v>9.6</v>
      </c>
      <c r="I81">
        <v>18</v>
      </c>
      <c r="J81">
        <f t="shared" si="5"/>
        <v>451.9</v>
      </c>
      <c r="M81">
        <v>0</v>
      </c>
      <c r="N81">
        <v>0.9</v>
      </c>
      <c r="O81">
        <f t="shared" si="2"/>
        <v>-0.9</v>
      </c>
      <c r="P81">
        <f t="shared" si="8"/>
        <v>18.400000000000002</v>
      </c>
      <c r="Q81">
        <v>27</v>
      </c>
      <c r="R81">
        <f t="shared" si="7"/>
        <v>0.50853658536585367</v>
      </c>
      <c r="S81">
        <f t="shared" si="3"/>
        <v>0.45768292682926831</v>
      </c>
      <c r="T81" s="24">
        <f t="shared" si="4"/>
        <v>-0.45768292682926831</v>
      </c>
      <c r="U81" s="24">
        <f t="shared" si="9"/>
        <v>21.160914634146337</v>
      </c>
      <c r="W81">
        <v>593.1</v>
      </c>
      <c r="Y81">
        <f t="shared" si="6"/>
        <v>30962.399999999994</v>
      </c>
      <c r="AA81">
        <v>10.706033464404696</v>
      </c>
    </row>
    <row r="82" spans="1:27" x14ac:dyDescent="0.25">
      <c r="A82">
        <v>5080</v>
      </c>
      <c r="B82">
        <v>18650</v>
      </c>
      <c r="C82" s="1">
        <v>42660</v>
      </c>
      <c r="F82" s="41"/>
      <c r="G82">
        <v>17.100000000000001</v>
      </c>
      <c r="H82">
        <v>13.7</v>
      </c>
      <c r="I82">
        <v>20.100000000000001</v>
      </c>
      <c r="J82">
        <f t="shared" si="5"/>
        <v>469</v>
      </c>
      <c r="M82">
        <v>0.5</v>
      </c>
      <c r="N82">
        <v>1.2</v>
      </c>
      <c r="O82">
        <f t="shared" si="2"/>
        <v>-0.7</v>
      </c>
      <c r="P82">
        <f t="shared" si="8"/>
        <v>17.700000000000003</v>
      </c>
      <c r="Q82">
        <v>28</v>
      </c>
      <c r="R82">
        <f t="shared" si="7"/>
        <v>0.51646341463414636</v>
      </c>
      <c r="S82">
        <f t="shared" si="3"/>
        <v>0.61975609756097561</v>
      </c>
      <c r="T82" s="24">
        <f t="shared" si="4"/>
        <v>-0.11975609756097561</v>
      </c>
      <c r="U82" s="24">
        <f t="shared" si="9"/>
        <v>21.04115853658536</v>
      </c>
      <c r="W82">
        <v>820</v>
      </c>
      <c r="Y82">
        <f t="shared" si="6"/>
        <v>31782.399999999994</v>
      </c>
      <c r="AA82">
        <v>10.65727052653345</v>
      </c>
    </row>
    <row r="83" spans="1:27" x14ac:dyDescent="0.25">
      <c r="A83">
        <v>5080</v>
      </c>
      <c r="B83">
        <v>18650</v>
      </c>
      <c r="C83" s="1">
        <v>42661</v>
      </c>
      <c r="F83" s="41"/>
      <c r="G83">
        <v>15.6</v>
      </c>
      <c r="H83">
        <v>13.7</v>
      </c>
      <c r="I83">
        <v>18.8</v>
      </c>
      <c r="J83">
        <f t="shared" si="5"/>
        <v>484.6</v>
      </c>
      <c r="M83">
        <v>0</v>
      </c>
      <c r="N83">
        <v>1.6</v>
      </c>
      <c r="O83">
        <f t="shared" si="2"/>
        <v>-1.6</v>
      </c>
      <c r="P83">
        <f t="shared" si="8"/>
        <v>16.100000000000001</v>
      </c>
      <c r="Q83">
        <v>29</v>
      </c>
      <c r="R83">
        <f t="shared" si="7"/>
        <v>0.52439024390243905</v>
      </c>
      <c r="S83">
        <f t="shared" si="3"/>
        <v>0.83902439024390252</v>
      </c>
      <c r="T83" s="24">
        <f t="shared" si="4"/>
        <v>-0.83902439024390252</v>
      </c>
      <c r="U83" s="24">
        <f t="shared" si="9"/>
        <v>20.202134146341457</v>
      </c>
      <c r="W83">
        <v>776.8</v>
      </c>
      <c r="Y83">
        <f t="shared" si="6"/>
        <v>32559.199999999993</v>
      </c>
      <c r="AA83">
        <v>10.60875133055592</v>
      </c>
    </row>
    <row r="84" spans="1:27" x14ac:dyDescent="0.25">
      <c r="A84">
        <v>5080</v>
      </c>
      <c r="B84">
        <v>18650</v>
      </c>
      <c r="C84" s="1">
        <v>42662</v>
      </c>
      <c r="F84" s="41"/>
      <c r="G84">
        <v>13.3</v>
      </c>
      <c r="H84">
        <v>8.1999999999999993</v>
      </c>
      <c r="I84">
        <v>17.600000000000001</v>
      </c>
      <c r="J84">
        <f t="shared" si="5"/>
        <v>497.90000000000003</v>
      </c>
      <c r="M84">
        <v>0</v>
      </c>
      <c r="N84">
        <v>1.6</v>
      </c>
      <c r="O84">
        <f t="shared" si="2"/>
        <v>-1.6</v>
      </c>
      <c r="P84">
        <f t="shared" si="8"/>
        <v>14.500000000000002</v>
      </c>
      <c r="Q84">
        <v>30</v>
      </c>
      <c r="R84">
        <f t="shared" si="7"/>
        <v>0.53231707317073174</v>
      </c>
      <c r="S84">
        <f t="shared" si="3"/>
        <v>0.85170731707317082</v>
      </c>
      <c r="T84" s="24">
        <f t="shared" si="4"/>
        <v>-0.85170731707317082</v>
      </c>
      <c r="U84" s="24">
        <f t="shared" si="9"/>
        <v>19.350426829268287</v>
      </c>
      <c r="W84">
        <v>744.9</v>
      </c>
      <c r="Y84">
        <f t="shared" si="6"/>
        <v>33304.099999999991</v>
      </c>
      <c r="AA84">
        <v>10.560487847927005</v>
      </c>
    </row>
    <row r="85" spans="1:27" x14ac:dyDescent="0.25">
      <c r="A85">
        <v>5080</v>
      </c>
      <c r="B85">
        <v>18650</v>
      </c>
      <c r="C85" s="1">
        <v>42663</v>
      </c>
      <c r="F85" s="41"/>
      <c r="G85">
        <v>12.3</v>
      </c>
      <c r="H85">
        <v>11.3</v>
      </c>
      <c r="I85">
        <v>15.5</v>
      </c>
      <c r="J85">
        <f t="shared" si="5"/>
        <v>510.20000000000005</v>
      </c>
      <c r="M85">
        <v>0</v>
      </c>
      <c r="N85">
        <v>2.2000000000000002</v>
      </c>
      <c r="O85">
        <f t="shared" si="2"/>
        <v>-2.2000000000000002</v>
      </c>
      <c r="P85">
        <f t="shared" si="8"/>
        <v>12.3</v>
      </c>
      <c r="Q85">
        <v>31</v>
      </c>
      <c r="R85">
        <f t="shared" si="7"/>
        <v>0.54024390243902443</v>
      </c>
      <c r="S85">
        <f t="shared" si="3"/>
        <v>1.1885365853658538</v>
      </c>
      <c r="T85" s="24">
        <f t="shared" si="4"/>
        <v>-1.1885365853658538</v>
      </c>
      <c r="U85" s="24">
        <f t="shared" si="9"/>
        <v>18.161890243902434</v>
      </c>
      <c r="W85">
        <v>807.9</v>
      </c>
      <c r="Y85">
        <f t="shared" si="6"/>
        <v>34111.999999999993</v>
      </c>
      <c r="AA85">
        <v>10.512492333157148</v>
      </c>
    </row>
    <row r="86" spans="1:27" x14ac:dyDescent="0.25">
      <c r="A86">
        <v>5080</v>
      </c>
      <c r="B86">
        <v>18650</v>
      </c>
      <c r="C86" s="1">
        <v>42664</v>
      </c>
      <c r="F86" s="41"/>
      <c r="G86">
        <v>9.8000000000000007</v>
      </c>
      <c r="H86">
        <v>5.0999999999999996</v>
      </c>
      <c r="I86">
        <v>14.8</v>
      </c>
      <c r="J86">
        <f t="shared" si="5"/>
        <v>520</v>
      </c>
      <c r="M86">
        <v>0</v>
      </c>
      <c r="N86">
        <v>1.7</v>
      </c>
      <c r="O86">
        <f t="shared" si="2"/>
        <v>-1.7</v>
      </c>
      <c r="P86">
        <f t="shared" si="8"/>
        <v>10.600000000000001</v>
      </c>
      <c r="Q86">
        <v>32</v>
      </c>
      <c r="R86">
        <f t="shared" si="7"/>
        <v>0.548170731707317</v>
      </c>
      <c r="S86">
        <f t="shared" si="3"/>
        <v>0.93189024390243891</v>
      </c>
      <c r="T86" s="24">
        <f t="shared" si="4"/>
        <v>-0.93189024390243891</v>
      </c>
      <c r="U86" s="24">
        <f t="shared" si="9"/>
        <v>17.229999999999993</v>
      </c>
      <c r="W86">
        <v>1309.8</v>
      </c>
      <c r="Y86">
        <f t="shared" si="6"/>
        <v>35421.799999999996</v>
      </c>
      <c r="AA86">
        <v>10.464777329051072</v>
      </c>
    </row>
    <row r="87" spans="1:27" x14ac:dyDescent="0.25">
      <c r="A87">
        <v>5080</v>
      </c>
      <c r="B87">
        <v>18650</v>
      </c>
      <c r="C87" s="1">
        <v>42665</v>
      </c>
      <c r="F87" s="41"/>
      <c r="G87">
        <v>11.2</v>
      </c>
      <c r="H87">
        <v>4.2</v>
      </c>
      <c r="I87">
        <v>17.2</v>
      </c>
      <c r="J87">
        <f t="shared" si="5"/>
        <v>531.20000000000005</v>
      </c>
      <c r="M87">
        <v>0</v>
      </c>
      <c r="N87">
        <v>2.2000000000000002</v>
      </c>
      <c r="O87">
        <f t="shared" si="2"/>
        <v>-2.2000000000000002</v>
      </c>
      <c r="P87">
        <f t="shared" si="8"/>
        <v>8.4000000000000021</v>
      </c>
      <c r="Q87">
        <v>33</v>
      </c>
      <c r="R87">
        <f t="shared" si="7"/>
        <v>0.55609756097560981</v>
      </c>
      <c r="S87">
        <f t="shared" si="3"/>
        <v>1.2234146341463417</v>
      </c>
      <c r="T87" s="24">
        <f t="shared" si="4"/>
        <v>-1.2234146341463417</v>
      </c>
      <c r="U87" s="24">
        <f t="shared" si="9"/>
        <v>16.006585365853653</v>
      </c>
      <c r="W87">
        <v>1205.8</v>
      </c>
      <c r="Y87">
        <f t="shared" si="6"/>
        <v>36627.599999999999</v>
      </c>
      <c r="AA87">
        <v>10.417355671291457</v>
      </c>
    </row>
    <row r="88" spans="1:27" x14ac:dyDescent="0.25">
      <c r="A88">
        <v>5080</v>
      </c>
      <c r="B88">
        <v>18650</v>
      </c>
      <c r="C88" s="1">
        <v>42666</v>
      </c>
      <c r="F88" s="41"/>
      <c r="G88">
        <v>18</v>
      </c>
      <c r="H88">
        <v>12.8</v>
      </c>
      <c r="I88">
        <v>21.2</v>
      </c>
      <c r="J88">
        <f t="shared" si="5"/>
        <v>549.20000000000005</v>
      </c>
      <c r="M88">
        <v>0</v>
      </c>
      <c r="N88">
        <v>2</v>
      </c>
      <c r="O88">
        <f t="shared" si="2"/>
        <v>-2</v>
      </c>
      <c r="P88">
        <f t="shared" si="8"/>
        <v>6.4000000000000021</v>
      </c>
      <c r="Q88">
        <v>34</v>
      </c>
      <c r="R88">
        <f t="shared" si="7"/>
        <v>0.56402439024390238</v>
      </c>
      <c r="S88">
        <f t="shared" si="3"/>
        <v>1.1280487804878048</v>
      </c>
      <c r="T88" s="24">
        <f t="shared" si="4"/>
        <v>-1.1280487804878048</v>
      </c>
      <c r="U88" s="24">
        <f t="shared" si="9"/>
        <v>14.878536585365847</v>
      </c>
      <c r="W88">
        <v>894.4</v>
      </c>
      <c r="Y88">
        <f t="shared" si="6"/>
        <v>37522</v>
      </c>
      <c r="AA88">
        <v>10.370240492327321</v>
      </c>
    </row>
    <row r="89" spans="1:27" x14ac:dyDescent="0.25">
      <c r="A89">
        <v>5080</v>
      </c>
      <c r="B89">
        <v>18650</v>
      </c>
      <c r="C89" s="1">
        <v>42667</v>
      </c>
      <c r="F89" s="41"/>
      <c r="G89">
        <v>16.7</v>
      </c>
      <c r="H89">
        <v>14.5</v>
      </c>
      <c r="I89">
        <v>19.600000000000001</v>
      </c>
      <c r="J89">
        <f t="shared" si="5"/>
        <v>565.90000000000009</v>
      </c>
      <c r="M89">
        <v>9.6</v>
      </c>
      <c r="N89">
        <v>0.9</v>
      </c>
      <c r="O89">
        <f t="shared" si="2"/>
        <v>8.6999999999999993</v>
      </c>
      <c r="P89">
        <f t="shared" si="8"/>
        <v>15.100000000000001</v>
      </c>
      <c r="Q89">
        <v>35</v>
      </c>
      <c r="R89">
        <f t="shared" si="7"/>
        <v>0.57195121951219519</v>
      </c>
      <c r="S89">
        <f t="shared" si="3"/>
        <v>0.51475609756097573</v>
      </c>
      <c r="T89" s="24">
        <f t="shared" si="4"/>
        <v>9.0852439024390232</v>
      </c>
      <c r="U89" s="24">
        <f t="shared" si="9"/>
        <v>23.963780487804868</v>
      </c>
      <c r="W89">
        <v>325.7</v>
      </c>
      <c r="Y89">
        <f t="shared" si="6"/>
        <v>37847.699999999997</v>
      </c>
      <c r="AA89">
        <v>10.323445224525965</v>
      </c>
    </row>
    <row r="90" spans="1:27" x14ac:dyDescent="0.25">
      <c r="A90">
        <v>5080</v>
      </c>
      <c r="B90">
        <v>18650</v>
      </c>
      <c r="C90" s="1">
        <v>42668</v>
      </c>
      <c r="F90" s="41"/>
      <c r="G90">
        <v>15.9</v>
      </c>
      <c r="H90">
        <v>14.1</v>
      </c>
      <c r="I90">
        <v>18</v>
      </c>
      <c r="J90">
        <f t="shared" si="5"/>
        <v>581.80000000000007</v>
      </c>
      <c r="M90">
        <v>0.1</v>
      </c>
      <c r="N90">
        <v>0.8</v>
      </c>
      <c r="O90">
        <f t="shared" si="2"/>
        <v>-0.70000000000000007</v>
      </c>
      <c r="P90">
        <f t="shared" si="8"/>
        <v>14.400000000000002</v>
      </c>
      <c r="Q90">
        <v>36</v>
      </c>
      <c r="R90">
        <f t="shared" si="7"/>
        <v>0.57987804878048776</v>
      </c>
      <c r="S90">
        <f t="shared" si="3"/>
        <v>0.46390243902439021</v>
      </c>
      <c r="T90" s="24">
        <f t="shared" si="4"/>
        <v>-0.36390243902439023</v>
      </c>
      <c r="U90" s="24">
        <f t="shared" si="9"/>
        <v>23.599878048780479</v>
      </c>
      <c r="W90">
        <v>364.1</v>
      </c>
      <c r="Y90">
        <f t="shared" si="6"/>
        <v>38211.799999999996</v>
      </c>
      <c r="AA90">
        <v>10.276983602546288</v>
      </c>
    </row>
    <row r="91" spans="1:27" x14ac:dyDescent="0.25">
      <c r="A91">
        <v>5080</v>
      </c>
      <c r="B91">
        <v>18650</v>
      </c>
      <c r="C91" s="1">
        <v>42669</v>
      </c>
      <c r="F91" s="41"/>
      <c r="G91">
        <v>15</v>
      </c>
      <c r="H91">
        <v>14.2</v>
      </c>
      <c r="I91">
        <v>16.7</v>
      </c>
      <c r="J91">
        <f t="shared" si="5"/>
        <v>596.80000000000007</v>
      </c>
      <c r="M91">
        <v>0.1</v>
      </c>
      <c r="N91">
        <v>0.8</v>
      </c>
      <c r="O91">
        <f t="shared" si="2"/>
        <v>-0.70000000000000007</v>
      </c>
      <c r="P91">
        <f t="shared" si="8"/>
        <v>13.700000000000003</v>
      </c>
      <c r="Q91">
        <v>37</v>
      </c>
      <c r="R91">
        <f t="shared" si="7"/>
        <v>0.58780487804878045</v>
      </c>
      <c r="S91">
        <f t="shared" si="3"/>
        <v>0.47024390243902436</v>
      </c>
      <c r="T91" s="24">
        <f t="shared" si="4"/>
        <v>-0.37024390243902439</v>
      </c>
      <c r="U91" s="24">
        <f t="shared" si="9"/>
        <v>23.229634146341454</v>
      </c>
      <c r="W91">
        <v>323.8</v>
      </c>
      <c r="Y91">
        <f t="shared" si="6"/>
        <v>38535.599999999999</v>
      </c>
      <c r="AA91">
        <v>10.230869664890649</v>
      </c>
    </row>
    <row r="92" spans="1:27" x14ac:dyDescent="0.25">
      <c r="A92">
        <v>5080</v>
      </c>
      <c r="B92">
        <v>18650</v>
      </c>
      <c r="C92" s="1">
        <v>42670</v>
      </c>
      <c r="F92" s="41"/>
      <c r="G92">
        <v>10.1</v>
      </c>
      <c r="H92">
        <v>10.199999999999999</v>
      </c>
      <c r="I92">
        <v>11.5</v>
      </c>
      <c r="J92">
        <f t="shared" si="5"/>
        <v>606.90000000000009</v>
      </c>
      <c r="M92">
        <v>0.4</v>
      </c>
      <c r="N92">
        <v>0.8</v>
      </c>
      <c r="O92">
        <f t="shared" si="2"/>
        <v>-0.4</v>
      </c>
      <c r="P92">
        <f t="shared" si="8"/>
        <v>13.300000000000002</v>
      </c>
      <c r="Q92">
        <v>38</v>
      </c>
      <c r="R92">
        <f t="shared" si="7"/>
        <v>0.59573170731707314</v>
      </c>
      <c r="S92">
        <f t="shared" si="3"/>
        <v>0.47658536585365852</v>
      </c>
      <c r="T92" s="24">
        <f t="shared" si="4"/>
        <v>-7.6585365853658494E-2</v>
      </c>
      <c r="U92" s="24">
        <f t="shared" si="9"/>
        <v>23.153048780487794</v>
      </c>
      <c r="W92">
        <v>338.7</v>
      </c>
      <c r="Y92">
        <f t="shared" si="6"/>
        <v>38874.299999999996</v>
      </c>
      <c r="AA92">
        <v>10.185117754591692</v>
      </c>
    </row>
    <row r="93" spans="1:27" x14ac:dyDescent="0.25">
      <c r="A93">
        <v>5080</v>
      </c>
      <c r="B93">
        <v>18650</v>
      </c>
      <c r="C93" s="1">
        <v>42671</v>
      </c>
      <c r="F93" s="41"/>
      <c r="G93">
        <v>8</v>
      </c>
      <c r="H93">
        <v>5.9</v>
      </c>
      <c r="I93">
        <v>9.5</v>
      </c>
      <c r="J93">
        <f t="shared" si="5"/>
        <v>614.90000000000009</v>
      </c>
      <c r="M93">
        <v>0.3</v>
      </c>
      <c r="N93">
        <v>0.9</v>
      </c>
      <c r="O93">
        <f t="shared" si="2"/>
        <v>-0.60000000000000009</v>
      </c>
      <c r="P93">
        <f t="shared" si="8"/>
        <v>12.700000000000003</v>
      </c>
      <c r="Q93">
        <v>39</v>
      </c>
      <c r="R93">
        <f t="shared" si="7"/>
        <v>0.60365853658536583</v>
      </c>
      <c r="S93">
        <f t="shared" si="3"/>
        <v>0.54329268292682931</v>
      </c>
      <c r="T93" s="24">
        <f t="shared" si="4"/>
        <v>-0.24329268292682932</v>
      </c>
      <c r="U93" s="24">
        <f t="shared" si="9"/>
        <v>22.909756097560965</v>
      </c>
      <c r="W93">
        <v>303.60000000000002</v>
      </c>
      <c r="Y93">
        <f t="shared" si="6"/>
        <v>39177.899999999994</v>
      </c>
      <c r="AA93">
        <v>10.139742518990237</v>
      </c>
    </row>
    <row r="94" spans="1:27" x14ac:dyDescent="0.25">
      <c r="A94">
        <v>5080</v>
      </c>
      <c r="B94">
        <v>18650</v>
      </c>
      <c r="C94" s="1">
        <v>42672</v>
      </c>
      <c r="F94" s="41"/>
      <c r="G94">
        <v>9.8000000000000007</v>
      </c>
      <c r="H94">
        <v>5.7</v>
      </c>
      <c r="I94">
        <v>13.2</v>
      </c>
      <c r="J94">
        <f t="shared" si="5"/>
        <v>624.70000000000005</v>
      </c>
      <c r="M94">
        <v>0</v>
      </c>
      <c r="N94">
        <v>1.6</v>
      </c>
      <c r="O94">
        <f t="shared" si="2"/>
        <v>-1.6</v>
      </c>
      <c r="P94">
        <f t="shared" si="8"/>
        <v>11.100000000000003</v>
      </c>
      <c r="Q94">
        <v>40</v>
      </c>
      <c r="R94">
        <f t="shared" si="7"/>
        <v>0.61158536585365852</v>
      </c>
      <c r="S94">
        <f t="shared" si="3"/>
        <v>0.97853658536585364</v>
      </c>
      <c r="T94" s="24">
        <f t="shared" si="4"/>
        <v>-0.97853658536585364</v>
      </c>
      <c r="U94" s="24">
        <f t="shared" si="9"/>
        <v>21.931219512195113</v>
      </c>
      <c r="W94">
        <v>832.1</v>
      </c>
      <c r="Y94">
        <f t="shared" si="6"/>
        <v>40009.999999999993</v>
      </c>
      <c r="AA94">
        <v>10.094758908560074</v>
      </c>
    </row>
    <row r="95" spans="1:27" x14ac:dyDescent="0.25">
      <c r="A95">
        <v>5080</v>
      </c>
      <c r="B95">
        <v>18650</v>
      </c>
      <c r="C95" s="1">
        <v>42673</v>
      </c>
      <c r="F95" s="41"/>
      <c r="G95">
        <v>11.6</v>
      </c>
      <c r="H95">
        <v>4</v>
      </c>
      <c r="I95">
        <v>18.3</v>
      </c>
      <c r="J95">
        <f t="shared" si="5"/>
        <v>636.30000000000007</v>
      </c>
      <c r="M95">
        <v>0</v>
      </c>
      <c r="N95">
        <v>2.2000000000000002</v>
      </c>
      <c r="O95">
        <f t="shared" si="2"/>
        <v>-2.2000000000000002</v>
      </c>
      <c r="P95">
        <f t="shared" si="8"/>
        <v>8.9000000000000021</v>
      </c>
      <c r="Q95">
        <v>41</v>
      </c>
      <c r="R95">
        <f t="shared" si="7"/>
        <v>0.61951219512195121</v>
      </c>
      <c r="S95">
        <f t="shared" si="3"/>
        <v>1.3629268292682928</v>
      </c>
      <c r="T95" s="24">
        <f t="shared" si="4"/>
        <v>-1.3629268292682928</v>
      </c>
      <c r="U95" s="24">
        <f t="shared" si="9"/>
        <v>20.56829268292682</v>
      </c>
      <c r="W95">
        <v>1256.3</v>
      </c>
      <c r="Y95">
        <f t="shared" si="6"/>
        <v>41266.299999999996</v>
      </c>
      <c r="AA95">
        <v>10.050182174735452</v>
      </c>
    </row>
    <row r="96" spans="1:27" x14ac:dyDescent="0.25">
      <c r="A96">
        <v>5080</v>
      </c>
      <c r="B96">
        <v>18650</v>
      </c>
      <c r="C96" s="1">
        <v>42674</v>
      </c>
      <c r="F96" s="41"/>
      <c r="G96">
        <v>13.7</v>
      </c>
      <c r="H96">
        <v>7.3</v>
      </c>
      <c r="I96">
        <v>19.3</v>
      </c>
      <c r="J96">
        <f t="shared" si="5"/>
        <v>650.00000000000011</v>
      </c>
      <c r="M96">
        <v>0.1</v>
      </c>
      <c r="N96">
        <v>2.6</v>
      </c>
      <c r="O96">
        <f t="shared" si="2"/>
        <v>-2.5</v>
      </c>
      <c r="P96">
        <f t="shared" si="8"/>
        <v>6.4000000000000021</v>
      </c>
      <c r="Q96">
        <v>42</v>
      </c>
      <c r="R96">
        <f t="shared" si="7"/>
        <v>0.6274390243902439</v>
      </c>
      <c r="S96">
        <f t="shared" si="3"/>
        <v>1.6313414634146342</v>
      </c>
      <c r="T96" s="24">
        <f t="shared" si="4"/>
        <v>-1.5313414634146341</v>
      </c>
      <c r="U96" s="24">
        <f t="shared" si="9"/>
        <v>19.036951219512186</v>
      </c>
      <c r="W96">
        <v>1255.2</v>
      </c>
      <c r="Y96">
        <f t="shared" si="6"/>
        <v>42521.499999999993</v>
      </c>
      <c r="AA96">
        <v>10.006027866697385</v>
      </c>
    </row>
    <row r="97" spans="1:27" x14ac:dyDescent="0.25">
      <c r="A97">
        <v>5080</v>
      </c>
      <c r="B97">
        <v>18650</v>
      </c>
      <c r="C97" s="1">
        <v>42675</v>
      </c>
      <c r="F97" s="41"/>
      <c r="G97">
        <v>14.2</v>
      </c>
      <c r="H97">
        <v>8.6</v>
      </c>
      <c r="I97">
        <v>21</v>
      </c>
      <c r="J97">
        <f t="shared" si="5"/>
        <v>664.20000000000016</v>
      </c>
      <c r="M97">
        <v>0.1</v>
      </c>
      <c r="N97">
        <v>2.4</v>
      </c>
      <c r="O97">
        <f t="shared" si="2"/>
        <v>-2.2999999999999998</v>
      </c>
      <c r="P97">
        <f t="shared" si="8"/>
        <v>4.1000000000000023</v>
      </c>
      <c r="Q97">
        <v>43</v>
      </c>
      <c r="R97">
        <f t="shared" si="7"/>
        <v>0.63536585365853659</v>
      </c>
      <c r="S97">
        <f t="shared" si="3"/>
        <v>1.5248780487804878</v>
      </c>
      <c r="T97" s="24">
        <f t="shared" si="4"/>
        <v>-1.4248780487804877</v>
      </c>
      <c r="U97" s="24">
        <f t="shared" si="9"/>
        <v>17.612073170731698</v>
      </c>
      <c r="W97">
        <v>1205.7</v>
      </c>
      <c r="Y97">
        <f t="shared" si="6"/>
        <v>43727.19999999999</v>
      </c>
      <c r="AA97">
        <v>9.9623118270753963</v>
      </c>
    </row>
    <row r="98" spans="1:27" x14ac:dyDescent="0.25">
      <c r="A98">
        <v>5080</v>
      </c>
      <c r="B98">
        <v>18650</v>
      </c>
      <c r="C98" s="1">
        <v>42676</v>
      </c>
      <c r="F98" s="41"/>
      <c r="G98">
        <v>12.9</v>
      </c>
      <c r="H98">
        <v>6.8</v>
      </c>
      <c r="I98">
        <v>19</v>
      </c>
      <c r="J98">
        <f t="shared" si="5"/>
        <v>677.10000000000014</v>
      </c>
      <c r="M98">
        <v>0.2</v>
      </c>
      <c r="N98">
        <v>1.8</v>
      </c>
      <c r="O98">
        <f t="shared" si="2"/>
        <v>-1.6</v>
      </c>
      <c r="P98">
        <f t="shared" si="8"/>
        <v>2.5000000000000022</v>
      </c>
      <c r="Q98">
        <v>44</v>
      </c>
      <c r="R98">
        <f t="shared" si="7"/>
        <v>0.64329268292682928</v>
      </c>
      <c r="S98">
        <f t="shared" si="3"/>
        <v>1.1579268292682927</v>
      </c>
      <c r="T98" s="24">
        <f t="shared" si="4"/>
        <v>-0.95792682926829276</v>
      </c>
      <c r="U98" s="24">
        <f t="shared" si="9"/>
        <v>16.654146341463406</v>
      </c>
      <c r="W98">
        <v>1086.2</v>
      </c>
      <c r="Y98">
        <f t="shared" si="6"/>
        <v>44813.399999999987</v>
      </c>
      <c r="AA98">
        <v>9.9190501865221492</v>
      </c>
    </row>
    <row r="99" spans="1:27" x14ac:dyDescent="0.25">
      <c r="A99">
        <v>5080</v>
      </c>
      <c r="B99">
        <v>18650</v>
      </c>
      <c r="C99" s="1">
        <v>42677</v>
      </c>
      <c r="F99" s="41"/>
      <c r="G99">
        <v>9.9</v>
      </c>
      <c r="H99">
        <v>9.4</v>
      </c>
      <c r="I99">
        <v>10.8</v>
      </c>
      <c r="J99">
        <f t="shared" si="5"/>
        <v>687.00000000000011</v>
      </c>
      <c r="M99">
        <v>0</v>
      </c>
      <c r="N99">
        <v>0.7</v>
      </c>
      <c r="O99">
        <f t="shared" si="2"/>
        <v>-0.7</v>
      </c>
      <c r="P99">
        <f t="shared" si="8"/>
        <v>1.8000000000000023</v>
      </c>
      <c r="Q99">
        <v>45</v>
      </c>
      <c r="R99">
        <f t="shared" si="7"/>
        <v>0.65121951219512197</v>
      </c>
      <c r="S99">
        <f t="shared" si="3"/>
        <v>0.45585365853658533</v>
      </c>
      <c r="T99" s="24">
        <f t="shared" si="4"/>
        <v>-0.45585365853658533</v>
      </c>
      <c r="U99" s="24">
        <f t="shared" si="9"/>
        <v>16.198292682926819</v>
      </c>
      <c r="W99">
        <v>307.89999999999998</v>
      </c>
      <c r="Y99">
        <f t="shared" si="6"/>
        <v>45121.299999999988</v>
      </c>
      <c r="AA99">
        <v>9.8762593571196344</v>
      </c>
    </row>
    <row r="100" spans="1:27" x14ac:dyDescent="0.25">
      <c r="A100">
        <v>5080</v>
      </c>
      <c r="B100">
        <v>18650</v>
      </c>
      <c r="C100" s="1">
        <v>42678</v>
      </c>
      <c r="F100" s="41"/>
      <c r="G100">
        <v>11.9</v>
      </c>
      <c r="H100">
        <v>6.3</v>
      </c>
      <c r="I100">
        <v>16.8</v>
      </c>
      <c r="J100">
        <f t="shared" si="5"/>
        <v>698.90000000000009</v>
      </c>
      <c r="M100">
        <v>2.1</v>
      </c>
      <c r="N100">
        <v>0.8</v>
      </c>
      <c r="O100">
        <f t="shared" si="2"/>
        <v>1.3</v>
      </c>
      <c r="P100">
        <f t="shared" si="8"/>
        <v>3.1000000000000023</v>
      </c>
      <c r="Q100">
        <v>46</v>
      </c>
      <c r="R100">
        <f t="shared" si="7"/>
        <v>0.65914634146341466</v>
      </c>
      <c r="S100">
        <f t="shared" si="3"/>
        <v>0.52731707317073173</v>
      </c>
      <c r="T100" s="24">
        <f t="shared" si="4"/>
        <v>1.5726829268292684</v>
      </c>
      <c r="U100" s="24">
        <f t="shared" si="9"/>
        <v>17.770975609756089</v>
      </c>
      <c r="W100">
        <v>422.6</v>
      </c>
      <c r="Y100">
        <f t="shared" si="6"/>
        <v>45543.899999999987</v>
      </c>
      <c r="AA100">
        <v>9.8339560245770343</v>
      </c>
    </row>
    <row r="101" spans="1:27" x14ac:dyDescent="0.25">
      <c r="A101">
        <v>5080</v>
      </c>
      <c r="B101">
        <v>18650</v>
      </c>
      <c r="C101" s="1">
        <v>42679</v>
      </c>
      <c r="F101" s="41"/>
      <c r="G101">
        <v>11.2</v>
      </c>
      <c r="H101">
        <v>10.6</v>
      </c>
      <c r="I101">
        <v>12.3</v>
      </c>
      <c r="J101">
        <f t="shared" si="5"/>
        <v>710.10000000000014</v>
      </c>
      <c r="M101">
        <v>8</v>
      </c>
      <c r="N101">
        <v>0.7</v>
      </c>
      <c r="O101">
        <f t="shared" si="2"/>
        <v>7.3</v>
      </c>
      <c r="P101">
        <f t="shared" si="8"/>
        <v>10.400000000000002</v>
      </c>
      <c r="Q101">
        <v>47</v>
      </c>
      <c r="R101">
        <f t="shared" si="7"/>
        <v>0.66707317073170724</v>
      </c>
      <c r="S101">
        <f t="shared" si="3"/>
        <v>0.46695121951219504</v>
      </c>
      <c r="T101" s="24">
        <f t="shared" si="4"/>
        <v>7.533048780487805</v>
      </c>
      <c r="U101" s="24">
        <f t="shared" si="9"/>
        <v>25.304024390243896</v>
      </c>
      <c r="W101">
        <v>156.19999999999999</v>
      </c>
      <c r="Y101">
        <f t="shared" si="6"/>
        <v>45700.099999999984</v>
      </c>
      <c r="AA101">
        <v>9.7921571391824216</v>
      </c>
    </row>
    <row r="102" spans="1:27" x14ac:dyDescent="0.25">
      <c r="A102">
        <v>5080</v>
      </c>
      <c r="B102">
        <v>18650</v>
      </c>
      <c r="C102" s="1">
        <v>42680</v>
      </c>
      <c r="F102" s="41"/>
      <c r="G102">
        <v>7.7</v>
      </c>
      <c r="H102">
        <v>6.2</v>
      </c>
      <c r="I102">
        <v>10</v>
      </c>
      <c r="J102">
        <f t="shared" si="5"/>
        <v>717.80000000000018</v>
      </c>
      <c r="M102">
        <v>2.4</v>
      </c>
      <c r="N102">
        <v>0.8</v>
      </c>
      <c r="O102">
        <f t="shared" si="2"/>
        <v>1.5999999999999999</v>
      </c>
      <c r="P102">
        <f t="shared" si="8"/>
        <v>12.000000000000002</v>
      </c>
      <c r="Q102">
        <v>48</v>
      </c>
      <c r="R102">
        <f t="shared" si="7"/>
        <v>0.67500000000000004</v>
      </c>
      <c r="S102">
        <f t="shared" si="3"/>
        <v>0.54</v>
      </c>
      <c r="T102" s="24">
        <f t="shared" si="4"/>
        <v>1.8599999999999999</v>
      </c>
      <c r="U102" s="24">
        <f t="shared" si="9"/>
        <v>27.164024390243895</v>
      </c>
      <c r="W102">
        <v>375.6</v>
      </c>
      <c r="Y102">
        <f t="shared" si="6"/>
        <v>46075.699999999983</v>
      </c>
      <c r="AA102">
        <v>9.750879905472587</v>
      </c>
    </row>
    <row r="103" spans="1:27" x14ac:dyDescent="0.25">
      <c r="A103">
        <v>5080</v>
      </c>
      <c r="B103">
        <v>18650</v>
      </c>
      <c r="C103" s="1">
        <v>42681</v>
      </c>
      <c r="F103" s="41"/>
      <c r="G103">
        <v>6.4</v>
      </c>
      <c r="H103">
        <v>4.9000000000000004</v>
      </c>
      <c r="I103">
        <v>7.8</v>
      </c>
      <c r="J103">
        <f t="shared" si="5"/>
        <v>724.20000000000016</v>
      </c>
      <c r="M103">
        <v>0.1</v>
      </c>
      <c r="N103">
        <v>0.6</v>
      </c>
      <c r="O103">
        <f t="shared" si="2"/>
        <v>-0.5</v>
      </c>
      <c r="P103">
        <f t="shared" si="8"/>
        <v>11.500000000000002</v>
      </c>
      <c r="Q103">
        <v>49</v>
      </c>
      <c r="R103">
        <f t="shared" si="7"/>
        <v>0.68292682926829262</v>
      </c>
      <c r="S103">
        <f t="shared" si="3"/>
        <v>0.40975609756097559</v>
      </c>
      <c r="T103" s="24">
        <f t="shared" si="4"/>
        <v>-0.30975609756097555</v>
      </c>
      <c r="U103" s="24">
        <f t="shared" si="9"/>
        <v>26.854268292682921</v>
      </c>
      <c r="W103">
        <v>332.3</v>
      </c>
      <c r="Y103">
        <f t="shared" si="6"/>
        <v>46407.999999999985</v>
      </c>
      <c r="AA103">
        <v>9.7101417705882653</v>
      </c>
    </row>
    <row r="104" spans="1:27" x14ac:dyDescent="0.25">
      <c r="A104">
        <v>5080</v>
      </c>
      <c r="B104">
        <v>18650</v>
      </c>
      <c r="C104" s="1">
        <v>42682</v>
      </c>
      <c r="F104" s="41"/>
      <c r="G104">
        <v>7.5</v>
      </c>
      <c r="H104">
        <v>5.2</v>
      </c>
      <c r="I104">
        <v>8.9</v>
      </c>
      <c r="J104">
        <f t="shared" si="5"/>
        <v>731.70000000000016</v>
      </c>
      <c r="M104">
        <v>5.7</v>
      </c>
      <c r="N104">
        <v>1</v>
      </c>
      <c r="O104">
        <f t="shared" si="2"/>
        <v>4.7</v>
      </c>
      <c r="P104">
        <f t="shared" si="8"/>
        <v>16.200000000000003</v>
      </c>
      <c r="Q104">
        <v>50</v>
      </c>
      <c r="R104">
        <f t="shared" si="7"/>
        <v>0.69085365853658542</v>
      </c>
      <c r="S104">
        <f t="shared" si="3"/>
        <v>0.69085365853658542</v>
      </c>
      <c r="T104" s="24">
        <f t="shared" si="4"/>
        <v>5.0091463414634152</v>
      </c>
      <c r="U104" s="24">
        <f t="shared" si="9"/>
        <v>31.863414634146338</v>
      </c>
      <c r="W104">
        <v>624.5</v>
      </c>
      <c r="Y104">
        <f t="shared" si="6"/>
        <v>47032.499999999985</v>
      </c>
      <c r="AA104">
        <v>9.6699604112849666</v>
      </c>
    </row>
    <row r="105" spans="1:27" x14ac:dyDescent="0.25">
      <c r="A105">
        <v>5080</v>
      </c>
      <c r="B105">
        <v>18650</v>
      </c>
      <c r="C105" s="1">
        <v>42683</v>
      </c>
      <c r="F105" s="41"/>
      <c r="G105">
        <v>10.3</v>
      </c>
      <c r="H105">
        <v>8</v>
      </c>
      <c r="I105">
        <v>13.3</v>
      </c>
      <c r="J105">
        <f t="shared" si="5"/>
        <v>742.00000000000011</v>
      </c>
      <c r="M105">
        <v>4.4000000000000004</v>
      </c>
      <c r="N105">
        <v>1.4</v>
      </c>
      <c r="O105">
        <f t="shared" si="2"/>
        <v>3.0000000000000004</v>
      </c>
      <c r="P105">
        <f t="shared" si="8"/>
        <v>19.200000000000003</v>
      </c>
      <c r="Q105">
        <v>51</v>
      </c>
      <c r="R105">
        <f t="shared" si="7"/>
        <v>0.698780487804878</v>
      </c>
      <c r="S105">
        <f t="shared" si="3"/>
        <v>0.97829268292682914</v>
      </c>
      <c r="T105" s="24">
        <f t="shared" si="4"/>
        <v>3.4217073170731713</v>
      </c>
      <c r="U105" s="24">
        <f t="shared" si="9"/>
        <v>35.285121951219509</v>
      </c>
      <c r="W105">
        <v>480.8</v>
      </c>
      <c r="Y105">
        <f t="shared" si="6"/>
        <v>47513.299999999988</v>
      </c>
      <c r="AA105">
        <v>9.6303537195735611</v>
      </c>
    </row>
    <row r="106" spans="1:27" x14ac:dyDescent="0.25">
      <c r="A106">
        <v>5080</v>
      </c>
      <c r="B106">
        <v>18650</v>
      </c>
      <c r="C106" s="1">
        <v>42684</v>
      </c>
      <c r="F106" s="41"/>
      <c r="G106">
        <v>11.2</v>
      </c>
      <c r="H106">
        <v>9.6999999999999993</v>
      </c>
      <c r="I106">
        <v>13.2</v>
      </c>
      <c r="J106">
        <f t="shared" si="5"/>
        <v>753.20000000000016</v>
      </c>
      <c r="M106">
        <v>10.8</v>
      </c>
      <c r="N106">
        <v>1</v>
      </c>
      <c r="O106">
        <f t="shared" si="2"/>
        <v>9.8000000000000007</v>
      </c>
      <c r="P106">
        <f t="shared" si="8"/>
        <v>29.000000000000004</v>
      </c>
      <c r="Q106">
        <v>52</v>
      </c>
      <c r="R106">
        <f t="shared" si="7"/>
        <v>0.7067073170731708</v>
      </c>
      <c r="S106">
        <f t="shared" si="3"/>
        <v>0.7067073170731708</v>
      </c>
      <c r="T106" s="24">
        <f t="shared" si="4"/>
        <v>10.09329268292683</v>
      </c>
      <c r="U106" s="24">
        <f t="shared" si="9"/>
        <v>45.378414634146338</v>
      </c>
      <c r="W106">
        <v>284.5</v>
      </c>
      <c r="Y106">
        <f t="shared" si="6"/>
        <v>47797.799999999988</v>
      </c>
      <c r="AA106">
        <v>9.5913397869686516</v>
      </c>
    </row>
    <row r="107" spans="1:27" x14ac:dyDescent="0.25">
      <c r="A107">
        <v>5080</v>
      </c>
      <c r="B107">
        <v>18650</v>
      </c>
      <c r="C107" s="1">
        <v>42685</v>
      </c>
      <c r="F107" s="41"/>
      <c r="G107">
        <v>11.7</v>
      </c>
      <c r="H107">
        <v>10.8</v>
      </c>
      <c r="I107">
        <v>12.7</v>
      </c>
      <c r="J107">
        <f t="shared" si="5"/>
        <v>764.9000000000002</v>
      </c>
      <c r="M107">
        <v>1.4</v>
      </c>
      <c r="N107">
        <v>0.9</v>
      </c>
      <c r="O107">
        <f t="shared" si="2"/>
        <v>0.49999999999999989</v>
      </c>
      <c r="P107">
        <f t="shared" si="8"/>
        <v>29.500000000000004</v>
      </c>
      <c r="Q107">
        <v>53</v>
      </c>
      <c r="R107">
        <f t="shared" si="7"/>
        <v>0.71463414634146338</v>
      </c>
      <c r="S107">
        <f t="shared" si="3"/>
        <v>0.64317073170731709</v>
      </c>
      <c r="T107" s="24">
        <f t="shared" si="4"/>
        <v>0.75682926829268282</v>
      </c>
      <c r="U107" s="24">
        <f t="shared" si="9"/>
        <v>46.135243902439022</v>
      </c>
      <c r="W107">
        <v>521</v>
      </c>
      <c r="Y107">
        <f t="shared" si="6"/>
        <v>48318.799999999988</v>
      </c>
      <c r="AA107">
        <v>9.5529368873276628</v>
      </c>
    </row>
    <row r="108" spans="1:27" x14ac:dyDescent="0.25">
      <c r="A108">
        <v>5080</v>
      </c>
      <c r="B108">
        <v>18650</v>
      </c>
      <c r="C108" s="1">
        <v>42686</v>
      </c>
      <c r="F108" s="41"/>
      <c r="G108">
        <v>11.2</v>
      </c>
      <c r="H108">
        <v>8.6999999999999993</v>
      </c>
      <c r="I108">
        <v>14.2</v>
      </c>
      <c r="J108">
        <f t="shared" si="5"/>
        <v>776.10000000000025</v>
      </c>
      <c r="M108">
        <v>2.6</v>
      </c>
      <c r="N108">
        <v>1</v>
      </c>
      <c r="O108">
        <f t="shared" si="2"/>
        <v>1.6</v>
      </c>
      <c r="P108">
        <f t="shared" si="8"/>
        <v>31.100000000000005</v>
      </c>
      <c r="Q108">
        <v>54</v>
      </c>
      <c r="R108">
        <f t="shared" si="7"/>
        <v>0.72256097560975607</v>
      </c>
      <c r="S108">
        <f t="shared" si="3"/>
        <v>0.72256097560975607</v>
      </c>
      <c r="T108" s="24">
        <f t="shared" si="4"/>
        <v>1.8774390243902439</v>
      </c>
      <c r="U108" s="24">
        <f t="shared" si="9"/>
        <v>48.012682926829264</v>
      </c>
      <c r="W108">
        <v>807.8</v>
      </c>
      <c r="Y108">
        <f t="shared" si="6"/>
        <v>49126.599999999991</v>
      </c>
      <c r="AA108">
        <v>9.5151634582685212</v>
      </c>
    </row>
    <row r="109" spans="1:27" x14ac:dyDescent="0.25">
      <c r="A109">
        <v>5080</v>
      </c>
      <c r="B109">
        <v>18650</v>
      </c>
      <c r="C109" s="1">
        <v>42687</v>
      </c>
      <c r="F109" s="41"/>
      <c r="G109">
        <v>11.4</v>
      </c>
      <c r="H109">
        <v>9.6999999999999993</v>
      </c>
      <c r="I109">
        <v>14.2</v>
      </c>
      <c r="J109">
        <f t="shared" si="5"/>
        <v>787.50000000000023</v>
      </c>
      <c r="M109">
        <v>9.6</v>
      </c>
      <c r="N109">
        <v>0.7</v>
      </c>
      <c r="O109">
        <f t="shared" si="2"/>
        <v>8.9</v>
      </c>
      <c r="P109">
        <f t="shared" si="8"/>
        <v>40.000000000000007</v>
      </c>
      <c r="Q109">
        <v>55</v>
      </c>
      <c r="R109">
        <f t="shared" si="7"/>
        <v>0.73048780487804876</v>
      </c>
      <c r="S109">
        <f t="shared" si="3"/>
        <v>0.51134146341463416</v>
      </c>
      <c r="T109" s="24">
        <f t="shared" si="4"/>
        <v>9.0886585365853652</v>
      </c>
      <c r="U109" s="24">
        <f t="shared" si="9"/>
        <v>57.101341463414627</v>
      </c>
      <c r="W109">
        <v>172</v>
      </c>
      <c r="Y109">
        <f t="shared" si="6"/>
        <v>49298.599999999991</v>
      </c>
      <c r="AA109">
        <v>9.4780380811596565</v>
      </c>
    </row>
    <row r="110" spans="1:27" x14ac:dyDescent="0.25">
      <c r="A110">
        <v>5080</v>
      </c>
      <c r="B110">
        <v>18650</v>
      </c>
      <c r="C110" s="1">
        <v>42688</v>
      </c>
      <c r="F110" s="41"/>
      <c r="G110">
        <v>9.6999999999999993</v>
      </c>
      <c r="H110">
        <v>9.5</v>
      </c>
      <c r="I110">
        <v>10.3</v>
      </c>
      <c r="J110">
        <f t="shared" si="5"/>
        <v>797.20000000000027</v>
      </c>
      <c r="M110">
        <v>0</v>
      </c>
      <c r="N110">
        <v>0.9</v>
      </c>
      <c r="O110">
        <f t="shared" si="2"/>
        <v>-0.9</v>
      </c>
      <c r="P110">
        <f t="shared" si="8"/>
        <v>39.100000000000009</v>
      </c>
      <c r="Q110">
        <v>56</v>
      </c>
      <c r="R110">
        <f t="shared" si="7"/>
        <v>0.73841463414634145</v>
      </c>
      <c r="S110">
        <f t="shared" si="3"/>
        <v>0.6645731707317073</v>
      </c>
      <c r="T110" s="24">
        <f t="shared" si="4"/>
        <v>-0.6645731707317073</v>
      </c>
      <c r="U110" s="24">
        <f t="shared" si="9"/>
        <v>56.43676829268292</v>
      </c>
      <c r="W110">
        <v>359.4</v>
      </c>
      <c r="Y110">
        <f t="shared" si="6"/>
        <v>49657.999999999993</v>
      </c>
      <c r="AA110">
        <v>9.4415794596820959</v>
      </c>
    </row>
    <row r="111" spans="1:27" x14ac:dyDescent="0.25">
      <c r="A111">
        <v>5080</v>
      </c>
      <c r="B111">
        <v>18650</v>
      </c>
      <c r="C111" s="1">
        <v>42689</v>
      </c>
      <c r="F111" s="41"/>
      <c r="G111">
        <v>8.3000000000000007</v>
      </c>
      <c r="H111">
        <v>7</v>
      </c>
      <c r="I111">
        <v>9.9</v>
      </c>
      <c r="J111">
        <f t="shared" si="5"/>
        <v>805.50000000000023</v>
      </c>
      <c r="M111">
        <v>0</v>
      </c>
      <c r="N111">
        <v>0.9</v>
      </c>
      <c r="O111">
        <f t="shared" si="2"/>
        <v>-0.9</v>
      </c>
      <c r="P111">
        <f t="shared" si="8"/>
        <v>38.20000000000001</v>
      </c>
      <c r="Q111">
        <v>57</v>
      </c>
      <c r="R111">
        <f t="shared" si="7"/>
        <v>0.74634146341463414</v>
      </c>
      <c r="S111">
        <f t="shared" si="3"/>
        <v>0.67170731707317077</v>
      </c>
      <c r="T111" s="24">
        <f t="shared" si="4"/>
        <v>-0.67170731707317077</v>
      </c>
      <c r="U111" s="24">
        <f t="shared" si="9"/>
        <v>55.76506097560975</v>
      </c>
      <c r="W111">
        <v>391.2</v>
      </c>
      <c r="Y111">
        <f t="shared" si="6"/>
        <v>50049.19999999999</v>
      </c>
      <c r="AA111">
        <v>9.4058063969701973</v>
      </c>
    </row>
    <row r="112" spans="1:27" x14ac:dyDescent="0.25">
      <c r="A112">
        <v>5080</v>
      </c>
      <c r="B112">
        <v>18650</v>
      </c>
      <c r="C112" s="1">
        <v>42690</v>
      </c>
      <c r="F112" s="41"/>
      <c r="G112">
        <v>10.4</v>
      </c>
      <c r="H112">
        <v>8.1</v>
      </c>
      <c r="I112">
        <v>12</v>
      </c>
      <c r="J112">
        <f t="shared" si="5"/>
        <v>815.9000000000002</v>
      </c>
      <c r="M112">
        <v>0</v>
      </c>
      <c r="N112">
        <v>0.5</v>
      </c>
      <c r="O112">
        <f t="shared" si="2"/>
        <v>-0.5</v>
      </c>
      <c r="P112">
        <f t="shared" si="8"/>
        <v>37.70000000000001</v>
      </c>
      <c r="Q112">
        <v>58</v>
      </c>
      <c r="R112">
        <f t="shared" si="7"/>
        <v>0.75426829268292683</v>
      </c>
      <c r="S112">
        <f t="shared" si="3"/>
        <v>0.37713414634146342</v>
      </c>
      <c r="T112" s="24">
        <f t="shared" si="4"/>
        <v>-0.37713414634146342</v>
      </c>
      <c r="U112" s="24">
        <f t="shared" si="9"/>
        <v>55.387926829268288</v>
      </c>
      <c r="W112">
        <v>200.9</v>
      </c>
      <c r="Y112">
        <f t="shared" si="6"/>
        <v>50250.099999999991</v>
      </c>
      <c r="AA112">
        <v>9.3707377713447482</v>
      </c>
    </row>
    <row r="113" spans="1:27" x14ac:dyDescent="0.25">
      <c r="A113">
        <v>5080</v>
      </c>
      <c r="B113">
        <v>18650</v>
      </c>
      <c r="C113" s="1">
        <v>42691</v>
      </c>
      <c r="F113" s="41"/>
      <c r="G113">
        <v>11.5</v>
      </c>
      <c r="H113">
        <v>9.9</v>
      </c>
      <c r="I113">
        <v>15.2</v>
      </c>
      <c r="J113">
        <f t="shared" si="5"/>
        <v>827.4000000000002</v>
      </c>
      <c r="M113">
        <v>0.2</v>
      </c>
      <c r="N113">
        <v>1.5</v>
      </c>
      <c r="O113">
        <f t="shared" si="2"/>
        <v>-1.3</v>
      </c>
      <c r="P113">
        <f t="shared" si="8"/>
        <v>36.400000000000013</v>
      </c>
      <c r="Q113">
        <v>59</v>
      </c>
      <c r="R113">
        <f t="shared" si="7"/>
        <v>0.76219512195121952</v>
      </c>
      <c r="S113">
        <f t="shared" si="3"/>
        <v>1.1432926829268293</v>
      </c>
      <c r="T113" s="24">
        <f t="shared" si="4"/>
        <v>-0.94329268292682933</v>
      </c>
      <c r="U113" s="24">
        <f t="shared" si="9"/>
        <v>54.444634146341457</v>
      </c>
      <c r="W113">
        <v>752.1</v>
      </c>
      <c r="Y113">
        <f t="shared" si="6"/>
        <v>51002.19999999999</v>
      </c>
      <c r="AA113">
        <v>9.3363925106597598</v>
      </c>
    </row>
    <row r="114" spans="1:27" x14ac:dyDescent="0.25">
      <c r="A114">
        <v>5080</v>
      </c>
      <c r="B114">
        <v>18650</v>
      </c>
      <c r="C114" s="1">
        <v>42692</v>
      </c>
      <c r="F114" s="41"/>
      <c r="G114">
        <v>11.4</v>
      </c>
      <c r="H114">
        <v>9.5</v>
      </c>
      <c r="I114">
        <v>12.8</v>
      </c>
      <c r="J114">
        <f t="shared" si="5"/>
        <v>838.80000000000018</v>
      </c>
      <c r="M114">
        <v>1.6</v>
      </c>
      <c r="N114">
        <v>0.5</v>
      </c>
      <c r="O114">
        <f t="shared" si="2"/>
        <v>1.1000000000000001</v>
      </c>
      <c r="P114">
        <f t="shared" si="8"/>
        <v>37.500000000000014</v>
      </c>
      <c r="Q114">
        <v>60</v>
      </c>
      <c r="R114">
        <f t="shared" si="7"/>
        <v>0.77012195121951221</v>
      </c>
      <c r="S114">
        <f t="shared" si="3"/>
        <v>0.38506097560975611</v>
      </c>
      <c r="T114" s="24">
        <f t="shared" si="4"/>
        <v>1.214939024390244</v>
      </c>
      <c r="U114" s="24">
        <f t="shared" si="9"/>
        <v>55.659573170731704</v>
      </c>
      <c r="W114">
        <v>283</v>
      </c>
      <c r="Y114">
        <f t="shared" si="6"/>
        <v>51285.19999999999</v>
      </c>
      <c r="AA114">
        <v>9.3027895652925032</v>
      </c>
    </row>
    <row r="115" spans="1:27" x14ac:dyDescent="0.25">
      <c r="A115">
        <v>5080</v>
      </c>
      <c r="B115">
        <v>18650</v>
      </c>
      <c r="C115" s="1">
        <v>42693</v>
      </c>
      <c r="F115" s="41"/>
      <c r="G115">
        <v>10.3</v>
      </c>
      <c r="H115">
        <v>8.9</v>
      </c>
      <c r="I115">
        <v>12.4</v>
      </c>
      <c r="J115">
        <f t="shared" si="5"/>
        <v>849.10000000000014</v>
      </c>
      <c r="M115">
        <v>0</v>
      </c>
      <c r="N115">
        <v>1.1000000000000001</v>
      </c>
      <c r="O115">
        <f t="shared" si="2"/>
        <v>-1.1000000000000001</v>
      </c>
      <c r="P115">
        <f t="shared" si="8"/>
        <v>36.400000000000013</v>
      </c>
      <c r="Q115">
        <v>61</v>
      </c>
      <c r="R115">
        <f t="shared" si="7"/>
        <v>0.7780487804878049</v>
      </c>
      <c r="S115">
        <f t="shared" si="3"/>
        <v>0.85585365853658546</v>
      </c>
      <c r="T115" s="24">
        <f t="shared" si="4"/>
        <v>-0.85585365853658546</v>
      </c>
      <c r="U115" s="24">
        <f t="shared" si="9"/>
        <v>54.803719512195116</v>
      </c>
      <c r="W115">
        <v>620.9</v>
      </c>
      <c r="Y115">
        <f t="shared" si="6"/>
        <v>51906.099999999991</v>
      </c>
      <c r="AA115">
        <v>9.2699478798147137</v>
      </c>
    </row>
    <row r="116" spans="1:27" x14ac:dyDescent="0.25">
      <c r="A116">
        <v>5080</v>
      </c>
      <c r="B116">
        <v>18650</v>
      </c>
      <c r="C116" s="1">
        <v>42694</v>
      </c>
      <c r="F116" s="41"/>
      <c r="G116">
        <v>12.3</v>
      </c>
      <c r="H116">
        <v>8.3000000000000007</v>
      </c>
      <c r="I116">
        <v>16.399999999999999</v>
      </c>
      <c r="J116">
        <f t="shared" si="5"/>
        <v>861.40000000000009</v>
      </c>
      <c r="M116">
        <v>0</v>
      </c>
      <c r="N116">
        <v>1.9</v>
      </c>
      <c r="O116">
        <f t="shared" si="2"/>
        <v>-1.9</v>
      </c>
      <c r="P116">
        <f t="shared" si="8"/>
        <v>34.500000000000014</v>
      </c>
      <c r="Q116">
        <v>62</v>
      </c>
      <c r="R116">
        <f t="shared" si="7"/>
        <v>0.78597560975609759</v>
      </c>
      <c r="S116">
        <f t="shared" si="3"/>
        <v>1.4933536585365854</v>
      </c>
      <c r="T116" s="24">
        <f t="shared" si="4"/>
        <v>-1.4933536585365854</v>
      </c>
      <c r="U116" s="24">
        <f t="shared" si="9"/>
        <v>53.310365853658531</v>
      </c>
      <c r="W116">
        <v>885.7</v>
      </c>
      <c r="Y116">
        <f t="shared" si="6"/>
        <v>52791.799999999988</v>
      </c>
      <c r="AA116">
        <v>9.237886363391981</v>
      </c>
    </row>
    <row r="117" spans="1:27" x14ac:dyDescent="0.25">
      <c r="A117">
        <v>5080</v>
      </c>
      <c r="B117">
        <v>18650</v>
      </c>
      <c r="C117" s="1">
        <v>42695</v>
      </c>
      <c r="F117" s="41"/>
      <c r="G117">
        <v>12.7</v>
      </c>
      <c r="H117">
        <v>10.3</v>
      </c>
      <c r="I117">
        <v>16.2</v>
      </c>
      <c r="J117">
        <f t="shared" si="5"/>
        <v>874.10000000000014</v>
      </c>
      <c r="M117">
        <v>2.6</v>
      </c>
      <c r="N117">
        <v>0.9</v>
      </c>
      <c r="O117">
        <f t="shared" si="2"/>
        <v>1.7000000000000002</v>
      </c>
      <c r="P117">
        <f t="shared" si="8"/>
        <v>36.200000000000017</v>
      </c>
      <c r="Q117">
        <v>63</v>
      </c>
      <c r="R117">
        <f t="shared" si="7"/>
        <v>0.79390243902439028</v>
      </c>
      <c r="S117">
        <f t="shared" si="3"/>
        <v>0.7145121951219513</v>
      </c>
      <c r="T117" s="24">
        <f t="shared" si="4"/>
        <v>1.8854878048780488</v>
      </c>
      <c r="U117" s="24">
        <f t="shared" si="9"/>
        <v>55.195853658536578</v>
      </c>
      <c r="W117">
        <v>311.7</v>
      </c>
      <c r="Y117">
        <f t="shared" si="6"/>
        <v>53103.499999999985</v>
      </c>
      <c r="AA117">
        <v>9.2066238589673794</v>
      </c>
    </row>
    <row r="118" spans="1:27" x14ac:dyDescent="0.25">
      <c r="A118">
        <v>5080</v>
      </c>
      <c r="B118">
        <v>18650</v>
      </c>
      <c r="C118" s="1">
        <v>42696</v>
      </c>
      <c r="F118" s="41"/>
      <c r="G118">
        <v>10.8</v>
      </c>
      <c r="H118">
        <v>9.5</v>
      </c>
      <c r="I118">
        <v>12.7</v>
      </c>
      <c r="J118">
        <f t="shared" si="5"/>
        <v>884.90000000000009</v>
      </c>
      <c r="M118">
        <v>1.3</v>
      </c>
      <c r="N118">
        <v>0.6</v>
      </c>
      <c r="O118">
        <f t="shared" si="2"/>
        <v>0.70000000000000007</v>
      </c>
      <c r="P118">
        <f t="shared" si="8"/>
        <v>36.90000000000002</v>
      </c>
      <c r="Q118">
        <v>64</v>
      </c>
      <c r="R118">
        <f t="shared" si="7"/>
        <v>0.80182926829268286</v>
      </c>
      <c r="S118">
        <f t="shared" si="3"/>
        <v>0.48109756097560968</v>
      </c>
      <c r="T118" s="24">
        <f t="shared" si="4"/>
        <v>0.81890243902439042</v>
      </c>
      <c r="U118" s="24">
        <f t="shared" si="9"/>
        <v>56.014756097560969</v>
      </c>
      <c r="W118">
        <v>143.69999999999999</v>
      </c>
      <c r="Y118">
        <f t="shared" si="6"/>
        <v>53247.199999999983</v>
      </c>
      <c r="AA118">
        <v>9.1761791112950384</v>
      </c>
    </row>
    <row r="119" spans="1:27" x14ac:dyDescent="0.25">
      <c r="A119">
        <v>5080</v>
      </c>
      <c r="B119">
        <v>18650</v>
      </c>
      <c r="C119" s="1">
        <v>42697</v>
      </c>
      <c r="F119" s="41"/>
      <c r="G119">
        <v>9.5</v>
      </c>
      <c r="H119">
        <v>7.8</v>
      </c>
      <c r="I119">
        <v>10.7</v>
      </c>
      <c r="J119">
        <f t="shared" si="5"/>
        <v>894.40000000000009</v>
      </c>
      <c r="M119">
        <v>20.5</v>
      </c>
      <c r="N119">
        <v>0.3</v>
      </c>
      <c r="O119">
        <f t="shared" si="2"/>
        <v>20.2</v>
      </c>
      <c r="P119">
        <f t="shared" si="8"/>
        <v>57.100000000000023</v>
      </c>
      <c r="Q119">
        <v>65</v>
      </c>
      <c r="R119">
        <f t="shared" si="7"/>
        <v>0.80975609756097555</v>
      </c>
      <c r="S119">
        <f t="shared" si="3"/>
        <v>0.24292682926829265</v>
      </c>
      <c r="T119" s="24">
        <f t="shared" si="4"/>
        <v>20.257073170731708</v>
      </c>
      <c r="U119" s="24">
        <f t="shared" si="9"/>
        <v>76.271829268292677</v>
      </c>
      <c r="W119">
        <v>133.5</v>
      </c>
      <c r="Y119">
        <f t="shared" si="6"/>
        <v>53380.699999999983</v>
      </c>
      <c r="AA119">
        <v>9.1465707338989208</v>
      </c>
    </row>
    <row r="120" spans="1:27" x14ac:dyDescent="0.25">
      <c r="A120">
        <v>5080</v>
      </c>
      <c r="B120">
        <v>18650</v>
      </c>
      <c r="C120" s="1">
        <v>42698</v>
      </c>
      <c r="F120" s="41"/>
      <c r="G120">
        <v>9.6</v>
      </c>
      <c r="H120">
        <v>8.5</v>
      </c>
      <c r="I120">
        <v>10.4</v>
      </c>
      <c r="J120">
        <f t="shared" si="5"/>
        <v>904.00000000000011</v>
      </c>
      <c r="M120">
        <v>0</v>
      </c>
      <c r="N120">
        <v>0.4</v>
      </c>
      <c r="O120">
        <f t="shared" ref="O120:O183" si="10">M120-N120</f>
        <v>-0.4</v>
      </c>
      <c r="P120">
        <f t="shared" si="8"/>
        <v>56.700000000000024</v>
      </c>
      <c r="Q120">
        <v>66</v>
      </c>
      <c r="R120">
        <f t="shared" si="7"/>
        <v>0.81768292682926824</v>
      </c>
      <c r="S120">
        <f t="shared" ref="S120:S183" si="11">R120*N120</f>
        <v>0.32707317073170733</v>
      </c>
      <c r="T120" s="24">
        <f t="shared" ref="T120:T183" si="12">M120-S120</f>
        <v>-0.32707317073170733</v>
      </c>
      <c r="U120" s="24">
        <f t="shared" si="9"/>
        <v>75.944756097560969</v>
      </c>
      <c r="W120">
        <v>292.39999999999998</v>
      </c>
      <c r="Y120">
        <f t="shared" si="6"/>
        <v>53673.099999999984</v>
      </c>
      <c r="AA120">
        <v>9.1178171750419796</v>
      </c>
    </row>
    <row r="121" spans="1:27" x14ac:dyDescent="0.25">
      <c r="A121">
        <v>5080</v>
      </c>
      <c r="B121">
        <v>18650</v>
      </c>
      <c r="C121" s="1">
        <v>42699</v>
      </c>
      <c r="F121" s="41"/>
      <c r="G121">
        <v>8.9</v>
      </c>
      <c r="H121">
        <v>7.5</v>
      </c>
      <c r="I121">
        <v>13</v>
      </c>
      <c r="J121">
        <f t="shared" ref="J121:J184" si="13">J120+G121</f>
        <v>912.90000000000009</v>
      </c>
      <c r="M121">
        <v>0.1</v>
      </c>
      <c r="N121">
        <v>1</v>
      </c>
      <c r="O121">
        <f t="shared" si="10"/>
        <v>-0.9</v>
      </c>
      <c r="P121">
        <f t="shared" si="8"/>
        <v>55.800000000000026</v>
      </c>
      <c r="Q121">
        <v>67</v>
      </c>
      <c r="R121">
        <f t="shared" si="7"/>
        <v>0.82560975609756093</v>
      </c>
      <c r="S121">
        <f t="shared" si="11"/>
        <v>0.82560975609756093</v>
      </c>
      <c r="T121" s="24">
        <f t="shared" si="12"/>
        <v>-0.72560975609756095</v>
      </c>
      <c r="U121" s="24">
        <f t="shared" si="9"/>
        <v>75.219146341463414</v>
      </c>
      <c r="W121">
        <v>731.8</v>
      </c>
      <c r="Y121">
        <f t="shared" ref="Y121:Y184" si="14">Y120+W121</f>
        <v>54404.899999999987</v>
      </c>
      <c r="AA121">
        <v>9.0899366828006816</v>
      </c>
    </row>
    <row r="122" spans="1:27" x14ac:dyDescent="0.25">
      <c r="A122">
        <v>5080</v>
      </c>
      <c r="B122">
        <v>18650</v>
      </c>
      <c r="C122" s="1">
        <v>42700</v>
      </c>
      <c r="F122" s="41"/>
      <c r="G122">
        <v>5.9</v>
      </c>
      <c r="H122">
        <v>0.7</v>
      </c>
      <c r="I122">
        <v>10.7</v>
      </c>
      <c r="J122">
        <f t="shared" si="13"/>
        <v>918.80000000000007</v>
      </c>
      <c r="M122">
        <v>0.1</v>
      </c>
      <c r="N122">
        <v>0.2</v>
      </c>
      <c r="O122">
        <f t="shared" si="10"/>
        <v>-0.1</v>
      </c>
      <c r="P122">
        <f t="shared" si="8"/>
        <v>55.700000000000024</v>
      </c>
      <c r="Q122">
        <v>68</v>
      </c>
      <c r="R122">
        <f t="shared" si="7"/>
        <v>0.83353658536585362</v>
      </c>
      <c r="S122">
        <f t="shared" si="11"/>
        <v>0.16670731707317074</v>
      </c>
      <c r="T122" s="24">
        <f t="shared" si="12"/>
        <v>-6.6707317073170735E-2</v>
      </c>
      <c r="U122" s="24">
        <f t="shared" si="9"/>
        <v>75.152439024390247</v>
      </c>
      <c r="W122">
        <v>302.8</v>
      </c>
      <c r="Y122">
        <f t="shared" si="14"/>
        <v>54707.69999999999</v>
      </c>
      <c r="AA122">
        <v>9.0629472693496176</v>
      </c>
    </row>
    <row r="123" spans="1:27" x14ac:dyDescent="0.25">
      <c r="A123">
        <v>5080</v>
      </c>
      <c r="B123">
        <v>18650</v>
      </c>
      <c r="C123" s="1">
        <v>42701</v>
      </c>
      <c r="F123" s="41"/>
      <c r="G123">
        <v>9.4</v>
      </c>
      <c r="H123">
        <v>6</v>
      </c>
      <c r="I123">
        <v>14.9</v>
      </c>
      <c r="J123">
        <f t="shared" si="13"/>
        <v>928.2</v>
      </c>
      <c r="M123">
        <v>0.2</v>
      </c>
      <c r="N123">
        <v>1.4</v>
      </c>
      <c r="O123">
        <f t="shared" si="10"/>
        <v>-1.2</v>
      </c>
      <c r="P123">
        <f t="shared" si="8"/>
        <v>54.500000000000021</v>
      </c>
      <c r="Q123">
        <v>69</v>
      </c>
      <c r="R123">
        <f t="shared" si="7"/>
        <v>0.84146341463414642</v>
      </c>
      <c r="S123">
        <f t="shared" si="11"/>
        <v>1.1780487804878048</v>
      </c>
      <c r="T123" s="24">
        <f t="shared" si="12"/>
        <v>-0.97804878048780486</v>
      </c>
      <c r="U123" s="24">
        <f t="shared" si="9"/>
        <v>74.174390243902437</v>
      </c>
      <c r="W123">
        <v>716.8</v>
      </c>
      <c r="Y123">
        <f t="shared" si="14"/>
        <v>55424.499999999993</v>
      </c>
      <c r="AA123">
        <v>9.0368666745706694</v>
      </c>
    </row>
    <row r="124" spans="1:27" x14ac:dyDescent="0.25">
      <c r="A124">
        <v>5080</v>
      </c>
      <c r="B124">
        <v>18650</v>
      </c>
      <c r="C124" s="1">
        <v>42702</v>
      </c>
      <c r="F124" s="41"/>
      <c r="G124">
        <v>6.1</v>
      </c>
      <c r="H124">
        <v>5.3</v>
      </c>
      <c r="I124">
        <v>6.9</v>
      </c>
      <c r="J124">
        <f t="shared" si="13"/>
        <v>934.30000000000007</v>
      </c>
      <c r="M124">
        <v>0.1</v>
      </c>
      <c r="N124">
        <v>0.3</v>
      </c>
      <c r="O124">
        <f t="shared" si="10"/>
        <v>-0.19999999999999998</v>
      </c>
      <c r="P124">
        <f t="shared" si="8"/>
        <v>54.300000000000018</v>
      </c>
      <c r="Q124">
        <v>70</v>
      </c>
      <c r="R124">
        <f t="shared" si="7"/>
        <v>0.849390243902439</v>
      </c>
      <c r="S124">
        <f t="shared" si="11"/>
        <v>0.25481707317073171</v>
      </c>
      <c r="T124" s="24">
        <f t="shared" si="12"/>
        <v>-0.15481707317073171</v>
      </c>
      <c r="U124" s="24">
        <f t="shared" si="9"/>
        <v>74.019573170731704</v>
      </c>
      <c r="W124">
        <v>127.2</v>
      </c>
      <c r="Y124">
        <f t="shared" si="14"/>
        <v>55551.69999999999</v>
      </c>
      <c r="AA124">
        <v>9.0117123291104964</v>
      </c>
    </row>
    <row r="125" spans="1:27" x14ac:dyDescent="0.25">
      <c r="A125">
        <v>5080</v>
      </c>
      <c r="B125">
        <v>18650</v>
      </c>
      <c r="C125" s="1">
        <v>42703</v>
      </c>
      <c r="F125" s="41"/>
      <c r="G125">
        <v>7.5</v>
      </c>
      <c r="H125">
        <v>5.3</v>
      </c>
      <c r="I125">
        <v>9.9</v>
      </c>
      <c r="J125">
        <f t="shared" si="13"/>
        <v>941.80000000000007</v>
      </c>
      <c r="M125">
        <v>0</v>
      </c>
      <c r="N125">
        <v>0.5</v>
      </c>
      <c r="O125">
        <f t="shared" si="10"/>
        <v>-0.5</v>
      </c>
      <c r="P125">
        <f t="shared" si="8"/>
        <v>53.800000000000018</v>
      </c>
      <c r="Q125">
        <v>71</v>
      </c>
      <c r="R125">
        <f t="shared" si="7"/>
        <v>0.85731707317073169</v>
      </c>
      <c r="S125">
        <f t="shared" si="11"/>
        <v>0.42865853658536585</v>
      </c>
      <c r="T125" s="24">
        <f t="shared" si="12"/>
        <v>-0.42865853658536585</v>
      </c>
      <c r="U125" s="24">
        <f t="shared" si="9"/>
        <v>73.590914634146344</v>
      </c>
      <c r="W125">
        <v>226.7</v>
      </c>
      <c r="Y125">
        <f t="shared" si="14"/>
        <v>55778.399999999987</v>
      </c>
      <c r="AA125" s="34">
        <v>8.9875013170191345</v>
      </c>
    </row>
    <row r="126" spans="1:27" x14ac:dyDescent="0.25">
      <c r="A126">
        <v>5080</v>
      </c>
      <c r="B126">
        <v>18650</v>
      </c>
      <c r="C126" s="1">
        <v>42704</v>
      </c>
      <c r="F126" s="41"/>
      <c r="G126">
        <v>8.6999999999999993</v>
      </c>
      <c r="H126">
        <v>5.8</v>
      </c>
      <c r="I126">
        <v>13.5</v>
      </c>
      <c r="J126">
        <f t="shared" si="13"/>
        <v>950.50000000000011</v>
      </c>
      <c r="M126">
        <v>0</v>
      </c>
      <c r="N126">
        <v>1.6</v>
      </c>
      <c r="O126">
        <f t="shared" si="10"/>
        <v>-1.6</v>
      </c>
      <c r="P126">
        <f t="shared" si="8"/>
        <v>52.200000000000017</v>
      </c>
      <c r="Q126">
        <v>72</v>
      </c>
      <c r="R126">
        <f t="shared" si="7"/>
        <v>0.86524390243902438</v>
      </c>
      <c r="S126">
        <f t="shared" si="11"/>
        <v>1.3843902439024391</v>
      </c>
      <c r="T126" s="24">
        <f t="shared" si="12"/>
        <v>-1.3843902439024391</v>
      </c>
      <c r="U126" s="24">
        <f t="shared" si="9"/>
        <v>72.206524390243899</v>
      </c>
      <c r="W126">
        <v>899.8</v>
      </c>
      <c r="Y126">
        <f t="shared" si="14"/>
        <v>56678.19999999999</v>
      </c>
      <c r="AA126" s="34">
        <v>8.9642503381110359</v>
      </c>
    </row>
    <row r="127" spans="1:27" x14ac:dyDescent="0.25">
      <c r="A127">
        <v>5080</v>
      </c>
      <c r="B127">
        <v>18650</v>
      </c>
      <c r="C127" s="1">
        <v>42705</v>
      </c>
      <c r="F127" s="41"/>
      <c r="G127">
        <v>5.6</v>
      </c>
      <c r="H127">
        <v>2</v>
      </c>
      <c r="I127">
        <v>10.8</v>
      </c>
      <c r="J127">
        <f t="shared" si="13"/>
        <v>956.10000000000014</v>
      </c>
      <c r="M127">
        <v>0.2</v>
      </c>
      <c r="N127">
        <v>1.2</v>
      </c>
      <c r="O127">
        <f t="shared" si="10"/>
        <v>-1</v>
      </c>
      <c r="P127">
        <f t="shared" si="8"/>
        <v>51.200000000000017</v>
      </c>
      <c r="Q127">
        <v>73</v>
      </c>
      <c r="R127">
        <f t="shared" ref="R127:R143" si="15">0.35+((Q127-7)/82)*(1-0.35)</f>
        <v>0.87317073170731707</v>
      </c>
      <c r="S127">
        <f t="shared" si="11"/>
        <v>1.0478048780487805</v>
      </c>
      <c r="T127" s="24">
        <f t="shared" si="12"/>
        <v>-0.84780487804878057</v>
      </c>
      <c r="U127" s="24">
        <f t="shared" si="9"/>
        <v>71.358719512195123</v>
      </c>
      <c r="W127">
        <v>883.4</v>
      </c>
      <c r="Y127">
        <f t="shared" si="14"/>
        <v>57561.599999999991</v>
      </c>
      <c r="AA127" s="34">
        <v>8.9419756701977882</v>
      </c>
    </row>
    <row r="128" spans="1:27" x14ac:dyDescent="0.25">
      <c r="A128">
        <v>5080</v>
      </c>
      <c r="B128">
        <v>18650</v>
      </c>
      <c r="C128" s="1">
        <v>42706</v>
      </c>
      <c r="E128" s="34">
        <v>1</v>
      </c>
      <c r="F128" s="41"/>
      <c r="G128">
        <v>2</v>
      </c>
      <c r="H128">
        <v>-0.4</v>
      </c>
      <c r="I128">
        <v>5.6</v>
      </c>
      <c r="J128">
        <f t="shared" si="13"/>
        <v>958.10000000000014</v>
      </c>
      <c r="M128">
        <v>0.2</v>
      </c>
      <c r="N128">
        <v>1</v>
      </c>
      <c r="O128">
        <f t="shared" si="10"/>
        <v>-0.8</v>
      </c>
      <c r="P128">
        <f t="shared" si="8"/>
        <v>50.40000000000002</v>
      </c>
      <c r="Q128">
        <v>74</v>
      </c>
      <c r="R128">
        <f t="shared" si="15"/>
        <v>0.88109756097560976</v>
      </c>
      <c r="S128">
        <f t="shared" si="11"/>
        <v>0.88109756097560976</v>
      </c>
      <c r="T128" s="24">
        <f t="shared" si="12"/>
        <v>-0.68109756097560981</v>
      </c>
      <c r="U128" s="24">
        <f t="shared" si="9"/>
        <v>70.677621951219507</v>
      </c>
      <c r="W128">
        <v>555.9</v>
      </c>
      <c r="Y128">
        <f t="shared" si="14"/>
        <v>58117.499999999993</v>
      </c>
      <c r="AA128" s="34">
        <v>8.9206931313489353</v>
      </c>
    </row>
    <row r="129" spans="1:28" x14ac:dyDescent="0.25">
      <c r="A129">
        <v>5080</v>
      </c>
      <c r="B129">
        <v>18650</v>
      </c>
      <c r="C129" s="1">
        <v>42707</v>
      </c>
      <c r="F129" s="41"/>
      <c r="G129">
        <v>5.2</v>
      </c>
      <c r="H129">
        <v>-2</v>
      </c>
      <c r="I129">
        <v>10.5</v>
      </c>
      <c r="J129">
        <f t="shared" si="13"/>
        <v>963.30000000000018</v>
      </c>
      <c r="M129">
        <v>0.1</v>
      </c>
      <c r="N129">
        <v>1</v>
      </c>
      <c r="O129">
        <f t="shared" si="10"/>
        <v>-0.9</v>
      </c>
      <c r="P129">
        <f t="shared" si="8"/>
        <v>49.500000000000021</v>
      </c>
      <c r="Q129">
        <v>75</v>
      </c>
      <c r="R129">
        <f t="shared" si="15"/>
        <v>0.88902439024390245</v>
      </c>
      <c r="S129">
        <f t="shared" si="11"/>
        <v>0.88902439024390245</v>
      </c>
      <c r="T129" s="24">
        <f t="shared" si="12"/>
        <v>-0.78902439024390247</v>
      </c>
      <c r="U129" s="24">
        <f t="shared" si="9"/>
        <v>69.888597560975597</v>
      </c>
      <c r="W129">
        <v>809.3</v>
      </c>
      <c r="Y129">
        <f t="shared" si="14"/>
        <v>58926.799999999996</v>
      </c>
      <c r="AA129" s="34">
        <v>8.9004180423437091</v>
      </c>
    </row>
    <row r="130" spans="1:28" x14ac:dyDescent="0.25">
      <c r="A130">
        <v>5080</v>
      </c>
      <c r="B130">
        <v>18650</v>
      </c>
      <c r="C130" s="1">
        <v>42708</v>
      </c>
      <c r="F130" s="41"/>
      <c r="G130">
        <v>12.1</v>
      </c>
      <c r="H130">
        <v>7.8</v>
      </c>
      <c r="I130">
        <v>15.2</v>
      </c>
      <c r="J130">
        <f t="shared" si="13"/>
        <v>975.4000000000002</v>
      </c>
      <c r="M130">
        <v>0</v>
      </c>
      <c r="N130">
        <v>1.3</v>
      </c>
      <c r="O130">
        <f t="shared" si="10"/>
        <v>-1.3</v>
      </c>
      <c r="P130">
        <f t="shared" ref="P130:P193" si="16">P129+O130</f>
        <v>48.200000000000024</v>
      </c>
      <c r="Q130">
        <v>76</v>
      </c>
      <c r="R130">
        <f t="shared" si="15"/>
        <v>0.89695121951219514</v>
      </c>
      <c r="S130">
        <f t="shared" si="11"/>
        <v>1.1660365853658536</v>
      </c>
      <c r="T130" s="24">
        <f t="shared" si="12"/>
        <v>-1.1660365853658536</v>
      </c>
      <c r="U130" s="24">
        <f t="shared" ref="U130:U193" si="17">MIN(U129+T130,155.7)</f>
        <v>68.722560975609738</v>
      </c>
      <c r="W130">
        <v>700.9</v>
      </c>
      <c r="Y130">
        <f t="shared" si="14"/>
        <v>59627.7</v>
      </c>
      <c r="AA130" s="34">
        <v>8.88116518948185</v>
      </c>
    </row>
    <row r="131" spans="1:28" x14ac:dyDescent="0.25">
      <c r="A131">
        <v>5080</v>
      </c>
      <c r="B131">
        <v>18650</v>
      </c>
      <c r="C131" s="1">
        <v>42709</v>
      </c>
      <c r="F131" s="41"/>
      <c r="G131">
        <v>11.7</v>
      </c>
      <c r="H131">
        <v>10.5</v>
      </c>
      <c r="I131">
        <v>15.6</v>
      </c>
      <c r="J131">
        <f t="shared" si="13"/>
        <v>987.10000000000025</v>
      </c>
      <c r="M131">
        <v>0</v>
      </c>
      <c r="N131">
        <v>1.7</v>
      </c>
      <c r="O131">
        <f t="shared" si="10"/>
        <v>-1.7</v>
      </c>
      <c r="P131">
        <f t="shared" si="16"/>
        <v>46.500000000000021</v>
      </c>
      <c r="Q131">
        <v>77</v>
      </c>
      <c r="R131">
        <f t="shared" si="15"/>
        <v>0.90487804878048783</v>
      </c>
      <c r="S131">
        <f t="shared" si="11"/>
        <v>1.5382926829268293</v>
      </c>
      <c r="T131" s="24">
        <f t="shared" si="12"/>
        <v>-1.5382926829268293</v>
      </c>
      <c r="U131" s="24">
        <f t="shared" si="17"/>
        <v>67.184268292682916</v>
      </c>
      <c r="W131">
        <v>623.6</v>
      </c>
      <c r="Y131">
        <f t="shared" si="14"/>
        <v>60251.299999999996</v>
      </c>
      <c r="AA131" s="34">
        <v>8.8629487879260687</v>
      </c>
    </row>
    <row r="132" spans="1:28" x14ac:dyDescent="0.25">
      <c r="A132">
        <v>5080</v>
      </c>
      <c r="B132">
        <v>18650</v>
      </c>
      <c r="C132" s="1">
        <v>42710</v>
      </c>
      <c r="F132" s="41"/>
      <c r="G132">
        <v>8.3000000000000007</v>
      </c>
      <c r="H132">
        <v>4.3</v>
      </c>
      <c r="I132">
        <v>12</v>
      </c>
      <c r="J132">
        <f t="shared" si="13"/>
        <v>995.4000000000002</v>
      </c>
      <c r="M132">
        <v>0.2</v>
      </c>
      <c r="N132">
        <v>1.1000000000000001</v>
      </c>
      <c r="O132">
        <f t="shared" si="10"/>
        <v>-0.90000000000000013</v>
      </c>
      <c r="P132">
        <f t="shared" si="16"/>
        <v>45.600000000000023</v>
      </c>
      <c r="Q132">
        <v>78</v>
      </c>
      <c r="R132">
        <f t="shared" si="15"/>
        <v>0.91280487804878052</v>
      </c>
      <c r="S132">
        <f t="shared" si="11"/>
        <v>1.0040853658536586</v>
      </c>
      <c r="T132" s="24">
        <f t="shared" si="12"/>
        <v>-0.80408536585365864</v>
      </c>
      <c r="U132" s="24">
        <f t="shared" si="17"/>
        <v>66.380182926829264</v>
      </c>
      <c r="W132">
        <v>827.6</v>
      </c>
      <c r="Y132">
        <f t="shared" si="14"/>
        <v>61078.899999999994</v>
      </c>
      <c r="AA132" s="34">
        <v>8.845782445751869</v>
      </c>
    </row>
    <row r="133" spans="1:28" x14ac:dyDescent="0.25">
      <c r="A133">
        <v>5080</v>
      </c>
      <c r="B133">
        <v>18650</v>
      </c>
      <c r="C133" s="1">
        <v>42711</v>
      </c>
      <c r="F133" s="41"/>
      <c r="G133">
        <v>8.3000000000000007</v>
      </c>
      <c r="H133">
        <v>3.3</v>
      </c>
      <c r="I133">
        <v>12.1</v>
      </c>
      <c r="J133">
        <f t="shared" si="13"/>
        <v>1003.7000000000002</v>
      </c>
      <c r="M133">
        <v>0</v>
      </c>
      <c r="N133">
        <v>1.1000000000000001</v>
      </c>
      <c r="O133">
        <f t="shared" si="10"/>
        <v>-1.1000000000000001</v>
      </c>
      <c r="P133">
        <f t="shared" si="16"/>
        <v>44.500000000000021</v>
      </c>
      <c r="Q133">
        <v>79</v>
      </c>
      <c r="R133">
        <f t="shared" si="15"/>
        <v>0.92073170731707321</v>
      </c>
      <c r="S133">
        <f t="shared" si="11"/>
        <v>1.0128048780487806</v>
      </c>
      <c r="T133" s="24">
        <f t="shared" si="12"/>
        <v>-1.0128048780487806</v>
      </c>
      <c r="U133" s="24">
        <f t="shared" si="17"/>
        <v>65.367378048780481</v>
      </c>
      <c r="W133">
        <v>768.2</v>
      </c>
      <c r="Y133">
        <f t="shared" si="14"/>
        <v>61847.099999999991</v>
      </c>
      <c r="AA133" s="34">
        <v>8.8296791288823258</v>
      </c>
    </row>
    <row r="134" spans="1:28" x14ac:dyDescent="0.25">
      <c r="A134">
        <v>5080</v>
      </c>
      <c r="B134">
        <v>18650</v>
      </c>
      <c r="C134" s="1">
        <v>42712</v>
      </c>
      <c r="F134" s="41"/>
      <c r="G134">
        <v>9.1</v>
      </c>
      <c r="H134">
        <v>3.3</v>
      </c>
      <c r="I134">
        <v>13.3</v>
      </c>
      <c r="J134">
        <f t="shared" si="13"/>
        <v>1012.8000000000002</v>
      </c>
      <c r="M134">
        <v>0.1</v>
      </c>
      <c r="N134">
        <v>1.1000000000000001</v>
      </c>
      <c r="O134">
        <f t="shared" si="10"/>
        <v>-1</v>
      </c>
      <c r="P134">
        <f t="shared" si="16"/>
        <v>43.500000000000021</v>
      </c>
      <c r="Q134">
        <v>80</v>
      </c>
      <c r="R134">
        <f t="shared" si="15"/>
        <v>0.9286585365853659</v>
      </c>
      <c r="S134">
        <f t="shared" si="11"/>
        <v>1.0215243902439026</v>
      </c>
      <c r="T134" s="24">
        <f t="shared" si="12"/>
        <v>-0.92152439024390265</v>
      </c>
      <c r="U134" s="24">
        <f t="shared" si="17"/>
        <v>64.445853658536578</v>
      </c>
      <c r="W134">
        <v>842.1</v>
      </c>
      <c r="Y134">
        <f t="shared" si="14"/>
        <v>62689.19999999999</v>
      </c>
      <c r="AA134" s="34">
        <v>8.8146511270860533</v>
      </c>
    </row>
    <row r="135" spans="1:28" x14ac:dyDescent="0.25">
      <c r="A135">
        <v>5080</v>
      </c>
      <c r="B135">
        <v>18650</v>
      </c>
      <c r="C135" s="1">
        <v>42713</v>
      </c>
      <c r="F135" s="41"/>
      <c r="G135">
        <v>8.6</v>
      </c>
      <c r="H135">
        <v>4.8</v>
      </c>
      <c r="I135">
        <v>13.8</v>
      </c>
      <c r="J135">
        <f t="shared" si="13"/>
        <v>1021.4000000000002</v>
      </c>
      <c r="M135">
        <v>0.1</v>
      </c>
      <c r="N135">
        <v>1.1000000000000001</v>
      </c>
      <c r="O135">
        <f t="shared" si="10"/>
        <v>-1</v>
      </c>
      <c r="P135">
        <f t="shared" si="16"/>
        <v>42.500000000000021</v>
      </c>
      <c r="Q135">
        <v>81</v>
      </c>
      <c r="R135">
        <f t="shared" si="15"/>
        <v>0.93658536585365859</v>
      </c>
      <c r="S135">
        <f t="shared" si="11"/>
        <v>1.0302439024390246</v>
      </c>
      <c r="T135" s="24">
        <f t="shared" si="12"/>
        <v>-0.93024390243902466</v>
      </c>
      <c r="U135" s="24">
        <f t="shared" si="17"/>
        <v>63.515609756097554</v>
      </c>
      <c r="W135">
        <v>720.2</v>
      </c>
      <c r="Y135">
        <f t="shared" si="14"/>
        <v>63409.399999999987</v>
      </c>
      <c r="AA135" s="34">
        <v>8.8007100212157123</v>
      </c>
    </row>
    <row r="136" spans="1:28" x14ac:dyDescent="0.25">
      <c r="A136">
        <v>5080</v>
      </c>
      <c r="B136">
        <v>18650</v>
      </c>
      <c r="C136" s="1">
        <v>42714</v>
      </c>
      <c r="F136" s="41"/>
      <c r="G136">
        <v>6</v>
      </c>
      <c r="H136">
        <v>5.3</v>
      </c>
      <c r="I136">
        <v>7</v>
      </c>
      <c r="J136">
        <f t="shared" si="13"/>
        <v>1027.4000000000001</v>
      </c>
      <c r="M136">
        <v>0.2</v>
      </c>
      <c r="N136">
        <v>0.8</v>
      </c>
      <c r="O136">
        <f t="shared" si="10"/>
        <v>-0.60000000000000009</v>
      </c>
      <c r="P136">
        <f t="shared" si="16"/>
        <v>41.90000000000002</v>
      </c>
      <c r="Q136">
        <v>82</v>
      </c>
      <c r="R136">
        <f t="shared" si="15"/>
        <v>0.94451219512195128</v>
      </c>
      <c r="S136">
        <f t="shared" si="11"/>
        <v>0.75560975609756109</v>
      </c>
      <c r="T136" s="24">
        <f t="shared" si="12"/>
        <v>-0.55560975609756103</v>
      </c>
      <c r="U136" s="24">
        <f t="shared" si="17"/>
        <v>62.959999999999994</v>
      </c>
      <c r="W136">
        <v>432.5</v>
      </c>
      <c r="Y136">
        <f t="shared" si="14"/>
        <v>63841.899999999987</v>
      </c>
      <c r="AA136" s="34">
        <v>8.7878666518621067</v>
      </c>
    </row>
    <row r="137" spans="1:28" x14ac:dyDescent="0.25">
      <c r="A137">
        <v>5080</v>
      </c>
      <c r="B137">
        <v>18650</v>
      </c>
      <c r="C137" s="1">
        <v>42715</v>
      </c>
      <c r="F137" s="41"/>
      <c r="G137">
        <v>5.9</v>
      </c>
      <c r="H137">
        <v>0.7</v>
      </c>
      <c r="I137">
        <v>9.1</v>
      </c>
      <c r="J137">
        <f t="shared" si="13"/>
        <v>1033.3000000000002</v>
      </c>
      <c r="M137">
        <v>0.1</v>
      </c>
      <c r="N137">
        <v>0.8</v>
      </c>
      <c r="O137">
        <f t="shared" si="10"/>
        <v>-0.70000000000000007</v>
      </c>
      <c r="P137">
        <f t="shared" si="16"/>
        <v>41.200000000000017</v>
      </c>
      <c r="Q137">
        <v>83</v>
      </c>
      <c r="R137">
        <f t="shared" si="15"/>
        <v>0.95243902439024397</v>
      </c>
      <c r="S137">
        <f t="shared" si="11"/>
        <v>0.76195121951219524</v>
      </c>
      <c r="T137" s="24">
        <f t="shared" si="12"/>
        <v>-0.66195121951219527</v>
      </c>
      <c r="U137" s="24">
        <f t="shared" si="17"/>
        <v>62.298048780487797</v>
      </c>
      <c r="W137">
        <v>603.9</v>
      </c>
      <c r="Y137">
        <f t="shared" si="14"/>
        <v>64445.799999999988</v>
      </c>
      <c r="AA137" s="34">
        <v>8.7761310895951379</v>
      </c>
    </row>
    <row r="138" spans="1:28" x14ac:dyDescent="0.25">
      <c r="A138">
        <v>5080</v>
      </c>
      <c r="B138">
        <v>18650</v>
      </c>
      <c r="C138" s="1">
        <v>42716</v>
      </c>
      <c r="E138" s="34">
        <v>2</v>
      </c>
      <c r="F138" s="41"/>
      <c r="G138">
        <v>4.9000000000000004</v>
      </c>
      <c r="H138">
        <v>4.2</v>
      </c>
      <c r="I138">
        <v>6.8</v>
      </c>
      <c r="J138">
        <f t="shared" si="13"/>
        <v>1038.2000000000003</v>
      </c>
      <c r="M138">
        <v>0.1</v>
      </c>
      <c r="N138">
        <v>0.8</v>
      </c>
      <c r="O138">
        <f t="shared" si="10"/>
        <v>-0.70000000000000007</v>
      </c>
      <c r="P138">
        <f t="shared" si="16"/>
        <v>40.500000000000014</v>
      </c>
      <c r="Q138">
        <v>84</v>
      </c>
      <c r="R138">
        <f t="shared" si="15"/>
        <v>0.96036585365853655</v>
      </c>
      <c r="S138">
        <f t="shared" si="11"/>
        <v>0.76829268292682928</v>
      </c>
      <c r="T138" s="24">
        <f t="shared" si="12"/>
        <v>-0.66829268292682931</v>
      </c>
      <c r="U138" s="24">
        <f t="shared" si="17"/>
        <v>61.629756097560964</v>
      </c>
      <c r="W138">
        <v>415.9</v>
      </c>
      <c r="Y138">
        <f t="shared" si="14"/>
        <v>64861.69999999999</v>
      </c>
      <c r="AA138" s="34">
        <v>8.7655126069575164</v>
      </c>
    </row>
    <row r="139" spans="1:28" x14ac:dyDescent="0.25">
      <c r="A139">
        <v>5080</v>
      </c>
      <c r="B139">
        <v>18650</v>
      </c>
      <c r="C139" s="1">
        <v>42717</v>
      </c>
      <c r="F139" s="41"/>
      <c r="G139">
        <v>5.2</v>
      </c>
      <c r="H139">
        <v>0.7</v>
      </c>
      <c r="I139">
        <v>8.6999999999999993</v>
      </c>
      <c r="J139">
        <f t="shared" si="13"/>
        <v>1043.4000000000003</v>
      </c>
      <c r="M139">
        <v>0.1</v>
      </c>
      <c r="N139">
        <v>0.8</v>
      </c>
      <c r="O139">
        <f t="shared" si="10"/>
        <v>-0.70000000000000007</v>
      </c>
      <c r="P139">
        <f t="shared" si="16"/>
        <v>39.800000000000011</v>
      </c>
      <c r="Q139">
        <v>85</v>
      </c>
      <c r="R139">
        <f t="shared" si="15"/>
        <v>0.96829268292682924</v>
      </c>
      <c r="S139">
        <f t="shared" si="11"/>
        <v>0.77463414634146344</v>
      </c>
      <c r="T139" s="24">
        <f t="shared" si="12"/>
        <v>-0.67463414634146346</v>
      </c>
      <c r="U139" s="24">
        <f t="shared" si="17"/>
        <v>60.955121951219503</v>
      </c>
      <c r="W139">
        <v>549.6</v>
      </c>
      <c r="Y139">
        <f t="shared" si="14"/>
        <v>65411.299999999988</v>
      </c>
      <c r="AA139" s="34">
        <v>8.7560196523703624</v>
      </c>
    </row>
    <row r="140" spans="1:28" x14ac:dyDescent="0.25">
      <c r="A140">
        <v>5080</v>
      </c>
      <c r="B140">
        <v>18650</v>
      </c>
      <c r="C140" s="1">
        <v>42718</v>
      </c>
      <c r="F140" s="41"/>
      <c r="G140">
        <v>8.6</v>
      </c>
      <c r="H140">
        <v>5.2</v>
      </c>
      <c r="I140">
        <v>11.8</v>
      </c>
      <c r="J140">
        <f t="shared" si="13"/>
        <v>1052.0000000000002</v>
      </c>
      <c r="M140">
        <v>0</v>
      </c>
      <c r="N140">
        <v>0.7</v>
      </c>
      <c r="O140">
        <f t="shared" si="10"/>
        <v>-0.7</v>
      </c>
      <c r="P140">
        <f t="shared" si="16"/>
        <v>39.100000000000009</v>
      </c>
      <c r="Q140">
        <v>86</v>
      </c>
      <c r="R140">
        <f t="shared" si="15"/>
        <v>0.97621951219512193</v>
      </c>
      <c r="S140">
        <f t="shared" si="11"/>
        <v>0.68335365853658536</v>
      </c>
      <c r="T140" s="24">
        <f t="shared" si="12"/>
        <v>-0.68335365853658536</v>
      </c>
      <c r="U140" s="24">
        <f t="shared" si="17"/>
        <v>60.271768292682921</v>
      </c>
      <c r="W140">
        <v>247.8</v>
      </c>
      <c r="Y140">
        <f t="shared" si="14"/>
        <v>65659.099999999991</v>
      </c>
      <c r="AA140" s="34">
        <v>8.7476598261013976</v>
      </c>
    </row>
    <row r="141" spans="1:28" x14ac:dyDescent="0.25">
      <c r="A141">
        <v>5080</v>
      </c>
      <c r="B141">
        <v>18650</v>
      </c>
      <c r="C141" s="1">
        <v>42719</v>
      </c>
      <c r="F141" s="41"/>
      <c r="G141">
        <v>5.9</v>
      </c>
      <c r="H141">
        <v>1.6</v>
      </c>
      <c r="I141">
        <v>8.1</v>
      </c>
      <c r="J141">
        <f t="shared" si="13"/>
        <v>1057.9000000000003</v>
      </c>
      <c r="M141">
        <v>0</v>
      </c>
      <c r="N141">
        <v>0.8</v>
      </c>
      <c r="O141">
        <f t="shared" si="10"/>
        <v>-0.8</v>
      </c>
      <c r="P141">
        <f t="shared" si="16"/>
        <v>38.300000000000011</v>
      </c>
      <c r="Q141">
        <v>87</v>
      </c>
      <c r="R141">
        <f t="shared" si="15"/>
        <v>0.98414634146341462</v>
      </c>
      <c r="S141">
        <f t="shared" si="11"/>
        <v>0.78731707317073174</v>
      </c>
      <c r="T141" s="24">
        <f t="shared" si="12"/>
        <v>-0.78731707317073174</v>
      </c>
      <c r="U141" s="24">
        <f t="shared" si="17"/>
        <v>59.484451219512188</v>
      </c>
      <c r="W141">
        <v>536.9</v>
      </c>
      <c r="Y141">
        <f t="shared" si="14"/>
        <v>66195.999999999985</v>
      </c>
      <c r="AA141" s="34">
        <v>8.7404398584366927</v>
      </c>
    </row>
    <row r="142" spans="1:28" x14ac:dyDescent="0.25">
      <c r="A142">
        <v>5080</v>
      </c>
      <c r="B142">
        <v>18650</v>
      </c>
      <c r="C142" s="1">
        <v>42720</v>
      </c>
      <c r="F142" s="41"/>
      <c r="G142">
        <v>9</v>
      </c>
      <c r="H142">
        <v>5.3</v>
      </c>
      <c r="I142">
        <v>12.2</v>
      </c>
      <c r="J142">
        <f t="shared" si="13"/>
        <v>1066.9000000000003</v>
      </c>
      <c r="M142">
        <v>0</v>
      </c>
      <c r="N142">
        <v>0.7</v>
      </c>
      <c r="O142">
        <f t="shared" si="10"/>
        <v>-0.7</v>
      </c>
      <c r="P142">
        <f t="shared" si="16"/>
        <v>37.600000000000009</v>
      </c>
      <c r="Q142">
        <v>88</v>
      </c>
      <c r="R142">
        <f t="shared" si="15"/>
        <v>0.99207317073170731</v>
      </c>
      <c r="S142">
        <f t="shared" si="11"/>
        <v>0.69445121951219513</v>
      </c>
      <c r="T142" s="24">
        <f t="shared" si="12"/>
        <v>-0.69445121951219513</v>
      </c>
      <c r="U142" s="24">
        <f t="shared" si="17"/>
        <v>58.789999999999992</v>
      </c>
      <c r="W142">
        <v>540.79999999999995</v>
      </c>
      <c r="Y142">
        <f t="shared" si="14"/>
        <v>66736.799999999988</v>
      </c>
      <c r="AA142" s="34">
        <v>8.7343655901857691</v>
      </c>
    </row>
    <row r="143" spans="1:28" s="25" customFormat="1" ht="15.75" thickBot="1" x14ac:dyDescent="0.3">
      <c r="A143" s="25">
        <v>5080</v>
      </c>
      <c r="B143" s="25">
        <v>18650</v>
      </c>
      <c r="C143" s="26">
        <v>42721</v>
      </c>
      <c r="F143" s="52"/>
      <c r="G143" s="25">
        <v>7.7</v>
      </c>
      <c r="H143" s="25">
        <v>5</v>
      </c>
      <c r="I143" s="25">
        <v>11.4</v>
      </c>
      <c r="J143" s="25">
        <f t="shared" si="13"/>
        <v>1074.6000000000004</v>
      </c>
      <c r="L143" s="27"/>
      <c r="M143" s="25">
        <v>0</v>
      </c>
      <c r="N143" s="25">
        <v>1</v>
      </c>
      <c r="O143" s="25">
        <f t="shared" si="10"/>
        <v>-1</v>
      </c>
      <c r="P143" s="25">
        <f t="shared" si="16"/>
        <v>36.600000000000009</v>
      </c>
      <c r="Q143" s="25">
        <v>89</v>
      </c>
      <c r="R143" s="25">
        <f t="shared" si="15"/>
        <v>1</v>
      </c>
      <c r="S143" s="25">
        <f t="shared" si="11"/>
        <v>1</v>
      </c>
      <c r="T143" s="28">
        <f t="shared" si="12"/>
        <v>-1</v>
      </c>
      <c r="U143" s="24">
        <f t="shared" si="17"/>
        <v>57.789999999999992</v>
      </c>
      <c r="V143" s="27"/>
      <c r="W143" s="25">
        <v>769.9</v>
      </c>
      <c r="Y143" s="25">
        <f t="shared" si="14"/>
        <v>67506.699999999983</v>
      </c>
      <c r="AA143" s="35">
        <v>8.7294419556373235</v>
      </c>
    </row>
    <row r="144" spans="1:28" x14ac:dyDescent="0.25">
      <c r="A144">
        <v>5080</v>
      </c>
      <c r="B144">
        <v>18650</v>
      </c>
      <c r="C144" s="1">
        <v>42722</v>
      </c>
      <c r="D144" t="s">
        <v>55</v>
      </c>
      <c r="E144" s="34">
        <v>3</v>
      </c>
      <c r="F144" s="40" t="s">
        <v>58</v>
      </c>
      <c r="G144">
        <v>4</v>
      </c>
      <c r="H144">
        <v>0.8</v>
      </c>
      <c r="I144">
        <v>6.9</v>
      </c>
      <c r="J144">
        <f t="shared" si="13"/>
        <v>1078.6000000000004</v>
      </c>
      <c r="K144">
        <f>G144</f>
        <v>4</v>
      </c>
      <c r="L144" s="23" t="s">
        <v>34</v>
      </c>
      <c r="M144">
        <v>0.2</v>
      </c>
      <c r="N144">
        <v>0.8</v>
      </c>
      <c r="O144">
        <f t="shared" si="10"/>
        <v>-0.60000000000000009</v>
      </c>
      <c r="P144">
        <f t="shared" si="16"/>
        <v>36.000000000000007</v>
      </c>
      <c r="Q144">
        <v>90</v>
      </c>
      <c r="R144">
        <v>1</v>
      </c>
      <c r="S144">
        <f t="shared" si="11"/>
        <v>0.8</v>
      </c>
      <c r="T144" s="24">
        <f t="shared" si="12"/>
        <v>-0.60000000000000009</v>
      </c>
      <c r="U144" s="24">
        <f t="shared" si="17"/>
        <v>57.189999999999991</v>
      </c>
      <c r="V144" s="29" t="s">
        <v>41</v>
      </c>
      <c r="W144">
        <v>694.3</v>
      </c>
      <c r="Y144">
        <f t="shared" si="14"/>
        <v>68200.999999999985</v>
      </c>
      <c r="Z144">
        <f>W144</f>
        <v>694.3</v>
      </c>
      <c r="AA144" s="34">
        <v>8.7256729680691905</v>
      </c>
      <c r="AB144" s="29" t="s">
        <v>46</v>
      </c>
    </row>
    <row r="145" spans="1:28" x14ac:dyDescent="0.25">
      <c r="A145">
        <v>5080</v>
      </c>
      <c r="B145">
        <v>18650</v>
      </c>
      <c r="C145" s="1">
        <v>42723</v>
      </c>
      <c r="E145" s="34">
        <v>4</v>
      </c>
      <c r="F145" s="40"/>
      <c r="G145">
        <v>3</v>
      </c>
      <c r="H145">
        <v>-0.6</v>
      </c>
      <c r="I145">
        <v>4.9000000000000004</v>
      </c>
      <c r="J145">
        <f t="shared" si="13"/>
        <v>1081.6000000000004</v>
      </c>
      <c r="K145">
        <f>K144+G145</f>
        <v>7</v>
      </c>
      <c r="L145" s="8">
        <v>165.5</v>
      </c>
      <c r="M145">
        <v>1.3</v>
      </c>
      <c r="N145">
        <v>0.3</v>
      </c>
      <c r="O145">
        <f t="shared" si="10"/>
        <v>1</v>
      </c>
      <c r="P145">
        <f t="shared" si="16"/>
        <v>37.000000000000007</v>
      </c>
      <c r="Q145">
        <v>91</v>
      </c>
      <c r="R145">
        <v>1</v>
      </c>
      <c r="S145">
        <f t="shared" si="11"/>
        <v>0.3</v>
      </c>
      <c r="T145" s="24">
        <f t="shared" si="12"/>
        <v>1</v>
      </c>
      <c r="U145" s="24">
        <f t="shared" si="17"/>
        <v>58.189999999999991</v>
      </c>
      <c r="V145">
        <v>0</v>
      </c>
      <c r="W145">
        <v>207.1</v>
      </c>
      <c r="Y145">
        <f t="shared" si="14"/>
        <v>68408.099999999991</v>
      </c>
      <c r="Z145">
        <f>Z144+W145</f>
        <v>901.4</v>
      </c>
      <c r="AA145" s="34">
        <v>8.7230617079014419</v>
      </c>
      <c r="AB145">
        <v>18621.599999999999</v>
      </c>
    </row>
    <row r="146" spans="1:28" x14ac:dyDescent="0.25">
      <c r="A146">
        <v>5080</v>
      </c>
      <c r="B146">
        <v>18650</v>
      </c>
      <c r="C146" s="1">
        <v>42724</v>
      </c>
      <c r="E146" s="34">
        <v>5</v>
      </c>
      <c r="F146" s="40"/>
      <c r="G146">
        <v>4.5</v>
      </c>
      <c r="H146">
        <v>4.2</v>
      </c>
      <c r="I146">
        <v>6.1</v>
      </c>
      <c r="J146">
        <f t="shared" si="13"/>
        <v>1086.1000000000004</v>
      </c>
      <c r="K146">
        <f t="shared" ref="K146:K209" si="18">K145+G146</f>
        <v>11.5</v>
      </c>
      <c r="L146" s="23" t="s">
        <v>35</v>
      </c>
      <c r="M146">
        <v>0</v>
      </c>
      <c r="N146">
        <v>0.6</v>
      </c>
      <c r="O146">
        <f t="shared" si="10"/>
        <v>-0.6</v>
      </c>
      <c r="P146">
        <f t="shared" si="16"/>
        <v>36.400000000000006</v>
      </c>
      <c r="Q146">
        <v>92</v>
      </c>
      <c r="R146">
        <v>1</v>
      </c>
      <c r="S146">
        <f t="shared" si="11"/>
        <v>0.6</v>
      </c>
      <c r="T146" s="24">
        <f t="shared" si="12"/>
        <v>-0.6</v>
      </c>
      <c r="U146" s="24">
        <f t="shared" si="17"/>
        <v>57.589999999999989</v>
      </c>
      <c r="V146" s="29" t="s">
        <v>42</v>
      </c>
      <c r="W146">
        <v>503.8</v>
      </c>
      <c r="Y146">
        <f t="shared" si="14"/>
        <v>68911.899999999994</v>
      </c>
      <c r="Z146">
        <f t="shared" ref="Z146:Z209" si="19">Z145+W146</f>
        <v>1405.2</v>
      </c>
      <c r="AA146" s="34">
        <v>8.7216103135657335</v>
      </c>
      <c r="AB146" s="29" t="s">
        <v>47</v>
      </c>
    </row>
    <row r="147" spans="1:28" x14ac:dyDescent="0.25">
      <c r="A147">
        <v>5080</v>
      </c>
      <c r="B147">
        <v>18650</v>
      </c>
      <c r="C147" s="1">
        <v>42725</v>
      </c>
      <c r="E147" s="34">
        <v>6</v>
      </c>
      <c r="F147" s="40"/>
      <c r="G147">
        <v>3.2</v>
      </c>
      <c r="H147">
        <v>-0.6</v>
      </c>
      <c r="I147">
        <v>7.4</v>
      </c>
      <c r="J147">
        <f t="shared" si="13"/>
        <v>1089.3000000000004</v>
      </c>
      <c r="K147">
        <f t="shared" si="18"/>
        <v>14.7</v>
      </c>
      <c r="L147" s="8">
        <f>AVERAGE(G144:G183)</f>
        <v>3.9974999999999996</v>
      </c>
      <c r="M147">
        <v>0</v>
      </c>
      <c r="N147">
        <v>0.9</v>
      </c>
      <c r="O147">
        <f t="shared" si="10"/>
        <v>-0.9</v>
      </c>
      <c r="P147">
        <f t="shared" si="16"/>
        <v>35.500000000000007</v>
      </c>
      <c r="Q147">
        <v>93</v>
      </c>
      <c r="R147">
        <v>1</v>
      </c>
      <c r="S147">
        <f t="shared" si="11"/>
        <v>0.9</v>
      </c>
      <c r="T147" s="24">
        <f t="shared" si="12"/>
        <v>-0.9</v>
      </c>
      <c r="U147" s="24">
        <f t="shared" si="17"/>
        <v>56.689999999999991</v>
      </c>
      <c r="V147">
        <v>0</v>
      </c>
      <c r="W147">
        <v>801.8</v>
      </c>
      <c r="Y147">
        <f t="shared" si="14"/>
        <v>69713.7</v>
      </c>
      <c r="Z147">
        <f t="shared" si="19"/>
        <v>2207</v>
      </c>
      <c r="AA147" s="34">
        <v>8.721319975147706</v>
      </c>
      <c r="AB147">
        <f>(AB145/100)/L145</f>
        <v>1.1251722054380664</v>
      </c>
    </row>
    <row r="148" spans="1:28" x14ac:dyDescent="0.25">
      <c r="A148">
        <v>5080</v>
      </c>
      <c r="B148">
        <v>18650</v>
      </c>
      <c r="C148" s="1">
        <v>42726</v>
      </c>
      <c r="E148" s="34">
        <v>7</v>
      </c>
      <c r="F148" s="40"/>
      <c r="G148">
        <v>4</v>
      </c>
      <c r="H148">
        <v>-0.5</v>
      </c>
      <c r="I148">
        <v>11.3</v>
      </c>
      <c r="J148">
        <f t="shared" si="13"/>
        <v>1093.3000000000004</v>
      </c>
      <c r="K148">
        <f t="shared" si="18"/>
        <v>18.7</v>
      </c>
      <c r="L148" s="23" t="s">
        <v>36</v>
      </c>
      <c r="M148">
        <v>3.4</v>
      </c>
      <c r="N148">
        <v>0.8</v>
      </c>
      <c r="O148">
        <f t="shared" si="10"/>
        <v>2.5999999999999996</v>
      </c>
      <c r="P148">
        <f t="shared" si="16"/>
        <v>38.100000000000009</v>
      </c>
      <c r="Q148">
        <v>94</v>
      </c>
      <c r="R148">
        <v>1</v>
      </c>
      <c r="S148">
        <f t="shared" si="11"/>
        <v>0.8</v>
      </c>
      <c r="T148" s="24">
        <f t="shared" si="12"/>
        <v>2.5999999999999996</v>
      </c>
      <c r="U148" s="24">
        <f t="shared" si="17"/>
        <v>59.289999999999992</v>
      </c>
      <c r="V148" s="29" t="s">
        <v>43</v>
      </c>
      <c r="W148">
        <v>276.7</v>
      </c>
      <c r="Y148">
        <f t="shared" si="14"/>
        <v>69990.399999999994</v>
      </c>
      <c r="Z148">
        <f t="shared" si="19"/>
        <v>2483.6999999999998</v>
      </c>
      <c r="AA148" s="34">
        <v>8.7221909308420216</v>
      </c>
      <c r="AB148" s="29" t="s">
        <v>48</v>
      </c>
    </row>
    <row r="149" spans="1:28" x14ac:dyDescent="0.25">
      <c r="A149">
        <v>5080</v>
      </c>
      <c r="B149">
        <v>18650</v>
      </c>
      <c r="C149" s="1">
        <v>42727</v>
      </c>
      <c r="F149" s="40"/>
      <c r="G149">
        <v>11.5</v>
      </c>
      <c r="H149">
        <v>6.6</v>
      </c>
      <c r="I149">
        <v>13.9</v>
      </c>
      <c r="J149">
        <f t="shared" si="13"/>
        <v>1104.8000000000004</v>
      </c>
      <c r="K149">
        <f t="shared" si="18"/>
        <v>30.2</v>
      </c>
      <c r="L149" s="12">
        <f>MIN(H144:H183)</f>
        <v>-4.8</v>
      </c>
      <c r="M149">
        <v>3.6</v>
      </c>
      <c r="N149">
        <v>0.3</v>
      </c>
      <c r="O149">
        <f t="shared" si="10"/>
        <v>3.3000000000000003</v>
      </c>
      <c r="P149">
        <f t="shared" si="16"/>
        <v>41.400000000000006</v>
      </c>
      <c r="Q149">
        <v>95</v>
      </c>
      <c r="R149">
        <v>1</v>
      </c>
      <c r="S149">
        <f t="shared" si="11"/>
        <v>0.3</v>
      </c>
      <c r="T149" s="24">
        <f t="shared" si="12"/>
        <v>3.3000000000000003</v>
      </c>
      <c r="U149" s="24">
        <f t="shared" si="17"/>
        <v>62.589999999999989</v>
      </c>
      <c r="V149" s="24">
        <f>MIN(U144:U183)</f>
        <v>53.99</v>
      </c>
      <c r="W149">
        <v>181.4</v>
      </c>
      <c r="Y149">
        <f t="shared" si="14"/>
        <v>70171.799999999988</v>
      </c>
      <c r="Z149">
        <f t="shared" si="19"/>
        <v>2665.1</v>
      </c>
      <c r="AA149" s="34">
        <v>8.7242224662422778</v>
      </c>
      <c r="AB149">
        <v>34</v>
      </c>
    </row>
    <row r="150" spans="1:28" x14ac:dyDescent="0.25">
      <c r="A150">
        <v>5080</v>
      </c>
      <c r="B150">
        <v>18650</v>
      </c>
      <c r="C150" s="1">
        <v>42728</v>
      </c>
      <c r="F150" s="40"/>
      <c r="G150">
        <v>12</v>
      </c>
      <c r="H150">
        <v>10.9</v>
      </c>
      <c r="I150">
        <v>12.7</v>
      </c>
      <c r="J150">
        <f t="shared" si="13"/>
        <v>1116.8000000000004</v>
      </c>
      <c r="K150">
        <f t="shared" si="18"/>
        <v>42.2</v>
      </c>
      <c r="L150" s="23" t="s">
        <v>37</v>
      </c>
      <c r="M150">
        <v>0</v>
      </c>
      <c r="N150">
        <v>0.5</v>
      </c>
      <c r="O150">
        <f t="shared" si="10"/>
        <v>-0.5</v>
      </c>
      <c r="P150">
        <f t="shared" si="16"/>
        <v>40.900000000000006</v>
      </c>
      <c r="Q150">
        <v>96</v>
      </c>
      <c r="R150">
        <v>1</v>
      </c>
      <c r="S150">
        <f t="shared" si="11"/>
        <v>0.5</v>
      </c>
      <c r="T150" s="24">
        <f t="shared" si="12"/>
        <v>-0.5</v>
      </c>
      <c r="U150" s="24">
        <f t="shared" si="17"/>
        <v>62.089999999999989</v>
      </c>
      <c r="V150" s="29" t="s">
        <v>44</v>
      </c>
      <c r="W150">
        <v>173.9</v>
      </c>
      <c r="Y150">
        <f t="shared" si="14"/>
        <v>70345.699999999983</v>
      </c>
      <c r="Z150">
        <f t="shared" si="19"/>
        <v>2839</v>
      </c>
      <c r="AA150" s="34">
        <v>8.7274129164701897</v>
      </c>
      <c r="AB150" t="s">
        <v>60</v>
      </c>
    </row>
    <row r="151" spans="1:28" x14ac:dyDescent="0.25">
      <c r="A151">
        <v>5080</v>
      </c>
      <c r="B151">
        <v>18650</v>
      </c>
      <c r="C151" s="1">
        <v>42729</v>
      </c>
      <c r="F151" s="40"/>
      <c r="G151">
        <v>11.6</v>
      </c>
      <c r="H151">
        <v>11</v>
      </c>
      <c r="I151">
        <v>12.7</v>
      </c>
      <c r="J151">
        <f t="shared" si="13"/>
        <v>1128.4000000000003</v>
      </c>
      <c r="K151">
        <f t="shared" si="18"/>
        <v>53.800000000000004</v>
      </c>
      <c r="L151" s="8">
        <f>MAX(I144:I183)</f>
        <v>13.9</v>
      </c>
      <c r="M151">
        <v>0</v>
      </c>
      <c r="N151">
        <v>0.6</v>
      </c>
      <c r="O151">
        <f t="shared" si="10"/>
        <v>-0.6</v>
      </c>
      <c r="P151">
        <f t="shared" si="16"/>
        <v>40.300000000000004</v>
      </c>
      <c r="Q151">
        <v>97</v>
      </c>
      <c r="R151">
        <v>1</v>
      </c>
      <c r="S151">
        <f t="shared" si="11"/>
        <v>0.6</v>
      </c>
      <c r="T151" s="24">
        <f t="shared" si="12"/>
        <v>-0.6</v>
      </c>
      <c r="U151" s="24">
        <f t="shared" si="17"/>
        <v>61.489999999999988</v>
      </c>
      <c r="V151" s="24">
        <f>MAX(U144:U183)</f>
        <v>73.489999999999995</v>
      </c>
      <c r="W151">
        <v>195</v>
      </c>
      <c r="Y151">
        <f t="shared" si="14"/>
        <v>70540.699999999983</v>
      </c>
      <c r="Z151">
        <f t="shared" si="19"/>
        <v>3034</v>
      </c>
      <c r="AA151" s="34">
        <v>8.7317596711307459</v>
      </c>
      <c r="AB151">
        <v>18</v>
      </c>
    </row>
    <row r="152" spans="1:28" x14ac:dyDescent="0.25">
      <c r="A152">
        <v>5080</v>
      </c>
      <c r="B152">
        <v>18650</v>
      </c>
      <c r="C152" s="1">
        <v>42730</v>
      </c>
      <c r="F152" s="40"/>
      <c r="G152">
        <v>10.4</v>
      </c>
      <c r="H152">
        <v>9.1</v>
      </c>
      <c r="I152">
        <v>12.4</v>
      </c>
      <c r="J152">
        <f t="shared" si="13"/>
        <v>1138.8000000000004</v>
      </c>
      <c r="K152">
        <f t="shared" si="18"/>
        <v>64.2</v>
      </c>
      <c r="L152" s="23" t="s">
        <v>38</v>
      </c>
      <c r="M152">
        <v>0</v>
      </c>
      <c r="N152">
        <v>0.8</v>
      </c>
      <c r="O152">
        <f t="shared" si="10"/>
        <v>-0.8</v>
      </c>
      <c r="P152">
        <f t="shared" si="16"/>
        <v>39.500000000000007</v>
      </c>
      <c r="Q152">
        <v>98</v>
      </c>
      <c r="R152">
        <v>1</v>
      </c>
      <c r="S152">
        <f t="shared" si="11"/>
        <v>0.8</v>
      </c>
      <c r="T152" s="24">
        <f t="shared" si="12"/>
        <v>-0.8</v>
      </c>
      <c r="U152" s="24">
        <f t="shared" si="17"/>
        <v>60.689999999999991</v>
      </c>
      <c r="V152" s="29" t="s">
        <v>45</v>
      </c>
      <c r="W152">
        <v>213.5</v>
      </c>
      <c r="Y152">
        <f t="shared" si="14"/>
        <v>70754.199999999983</v>
      </c>
      <c r="Z152">
        <f t="shared" si="19"/>
        <v>3247.5</v>
      </c>
      <c r="AA152" s="34">
        <v>8.7372591820623722</v>
      </c>
    </row>
    <row r="153" spans="1:28" x14ac:dyDescent="0.25">
      <c r="A153">
        <v>5080</v>
      </c>
      <c r="B153">
        <v>18650</v>
      </c>
      <c r="C153" s="1">
        <v>42731</v>
      </c>
      <c r="F153" s="40"/>
      <c r="G153">
        <v>7.5</v>
      </c>
      <c r="H153">
        <v>5.7</v>
      </c>
      <c r="I153">
        <v>9.1</v>
      </c>
      <c r="J153">
        <f t="shared" si="13"/>
        <v>1146.3000000000004</v>
      </c>
      <c r="K153">
        <f t="shared" si="18"/>
        <v>71.7</v>
      </c>
      <c r="L153" s="8">
        <v>0</v>
      </c>
      <c r="M153">
        <v>0.1</v>
      </c>
      <c r="N153">
        <v>0.6</v>
      </c>
      <c r="O153">
        <f t="shared" si="10"/>
        <v>-0.5</v>
      </c>
      <c r="P153">
        <f t="shared" si="16"/>
        <v>39.000000000000007</v>
      </c>
      <c r="Q153">
        <v>99</v>
      </c>
      <c r="R153">
        <v>1</v>
      </c>
      <c r="S153">
        <f t="shared" si="11"/>
        <v>0.6</v>
      </c>
      <c r="T153" s="24">
        <f t="shared" si="12"/>
        <v>-0.5</v>
      </c>
      <c r="U153" s="24">
        <f t="shared" si="17"/>
        <v>60.189999999999991</v>
      </c>
      <c r="V153" s="21">
        <f>AVERAGE(U144:U183)</f>
        <v>62.875</v>
      </c>
      <c r="W153">
        <v>256.60000000000002</v>
      </c>
      <c r="Y153">
        <f t="shared" si="14"/>
        <v>71010.799999999988</v>
      </c>
      <c r="Z153">
        <f t="shared" si="19"/>
        <v>3504.1</v>
      </c>
      <c r="AA153" s="34">
        <v>8.7439069738338393</v>
      </c>
    </row>
    <row r="154" spans="1:28" x14ac:dyDescent="0.25">
      <c r="A154">
        <v>5080</v>
      </c>
      <c r="B154">
        <v>18650</v>
      </c>
      <c r="C154" s="1">
        <v>42732</v>
      </c>
      <c r="F154" s="40"/>
      <c r="G154">
        <v>5.3</v>
      </c>
      <c r="H154">
        <v>2.6</v>
      </c>
      <c r="I154">
        <v>8.6</v>
      </c>
      <c r="J154">
        <f t="shared" si="13"/>
        <v>1151.6000000000004</v>
      </c>
      <c r="K154">
        <f t="shared" si="18"/>
        <v>77</v>
      </c>
      <c r="L154" s="23" t="s">
        <v>39</v>
      </c>
      <c r="M154">
        <v>0.1</v>
      </c>
      <c r="N154">
        <v>1</v>
      </c>
      <c r="O154">
        <f t="shared" si="10"/>
        <v>-0.9</v>
      </c>
      <c r="P154">
        <f t="shared" si="16"/>
        <v>38.100000000000009</v>
      </c>
      <c r="Q154">
        <v>100</v>
      </c>
      <c r="R154">
        <v>1</v>
      </c>
      <c r="S154">
        <f t="shared" si="11"/>
        <v>1</v>
      </c>
      <c r="T154" s="24">
        <f t="shared" si="12"/>
        <v>-0.9</v>
      </c>
      <c r="U154" s="24">
        <f t="shared" si="17"/>
        <v>59.289999999999992</v>
      </c>
      <c r="W154">
        <v>536.1</v>
      </c>
      <c r="Y154">
        <f t="shared" si="14"/>
        <v>71546.899999999994</v>
      </c>
      <c r="Z154">
        <f t="shared" si="19"/>
        <v>4040.2</v>
      </c>
      <c r="AA154" s="34">
        <v>8.7516976569228841</v>
      </c>
    </row>
    <row r="155" spans="1:28" x14ac:dyDescent="0.25">
      <c r="A155">
        <v>5080</v>
      </c>
      <c r="B155">
        <v>18650</v>
      </c>
      <c r="C155" s="1">
        <v>42733</v>
      </c>
      <c r="E155" s="34">
        <v>8</v>
      </c>
      <c r="F155" s="40"/>
      <c r="G155">
        <v>3.3</v>
      </c>
      <c r="H155">
        <v>-0.5</v>
      </c>
      <c r="I155">
        <v>6.5</v>
      </c>
      <c r="J155">
        <f t="shared" si="13"/>
        <v>1154.9000000000003</v>
      </c>
      <c r="K155">
        <f t="shared" si="18"/>
        <v>80.3</v>
      </c>
      <c r="L155" s="8">
        <v>17</v>
      </c>
      <c r="M155">
        <v>0.1</v>
      </c>
      <c r="N155">
        <v>0.8</v>
      </c>
      <c r="O155">
        <f t="shared" si="10"/>
        <v>-0.70000000000000007</v>
      </c>
      <c r="P155">
        <f t="shared" si="16"/>
        <v>37.400000000000006</v>
      </c>
      <c r="Q155">
        <v>101</v>
      </c>
      <c r="R155">
        <v>1</v>
      </c>
      <c r="S155">
        <f t="shared" si="11"/>
        <v>0.8</v>
      </c>
      <c r="T155" s="24">
        <f t="shared" si="12"/>
        <v>-0.70000000000000007</v>
      </c>
      <c r="U155" s="24">
        <f t="shared" si="17"/>
        <v>58.589999999999989</v>
      </c>
      <c r="V155" s="8">
        <f>(V153*100)/155.7</f>
        <v>40.382145150931279</v>
      </c>
      <c r="W155">
        <v>579.29999999999995</v>
      </c>
      <c r="Y155">
        <f t="shared" si="14"/>
        <v>72126.2</v>
      </c>
      <c r="Z155">
        <f t="shared" si="19"/>
        <v>4619.5</v>
      </c>
      <c r="AA155" s="34">
        <v>8.7606249434954151</v>
      </c>
    </row>
    <row r="156" spans="1:28" x14ac:dyDescent="0.25">
      <c r="A156">
        <v>5080</v>
      </c>
      <c r="B156">
        <v>18650</v>
      </c>
      <c r="C156" s="1">
        <v>42734</v>
      </c>
      <c r="E156" s="34">
        <v>9</v>
      </c>
      <c r="F156" s="40"/>
      <c r="G156">
        <v>2.5</v>
      </c>
      <c r="H156">
        <v>2.2000000000000002</v>
      </c>
      <c r="I156">
        <v>2.8</v>
      </c>
      <c r="J156">
        <f t="shared" si="13"/>
        <v>1157.4000000000003</v>
      </c>
      <c r="K156">
        <f t="shared" si="18"/>
        <v>82.8</v>
      </c>
      <c r="L156" s="23" t="s">
        <v>40</v>
      </c>
      <c r="M156">
        <v>0.2</v>
      </c>
      <c r="N156">
        <v>0.5</v>
      </c>
      <c r="O156">
        <f t="shared" si="10"/>
        <v>-0.3</v>
      </c>
      <c r="P156">
        <f t="shared" si="16"/>
        <v>37.100000000000009</v>
      </c>
      <c r="Q156">
        <v>102</v>
      </c>
      <c r="R156">
        <v>1</v>
      </c>
      <c r="S156">
        <f t="shared" si="11"/>
        <v>0.5</v>
      </c>
      <c r="T156" s="24">
        <f t="shared" si="12"/>
        <v>-0.3</v>
      </c>
      <c r="U156" s="24">
        <f t="shared" si="17"/>
        <v>58.289999999999992</v>
      </c>
      <c r="W156">
        <v>359.8</v>
      </c>
      <c r="Y156">
        <f t="shared" si="14"/>
        <v>72486</v>
      </c>
      <c r="Z156">
        <f t="shared" si="19"/>
        <v>4979.3</v>
      </c>
      <c r="AA156" s="34">
        <v>8.7706816656889366</v>
      </c>
    </row>
    <row r="157" spans="1:28" x14ac:dyDescent="0.25">
      <c r="A157">
        <v>5080</v>
      </c>
      <c r="B157">
        <v>18650</v>
      </c>
      <c r="C157" s="1">
        <v>42735</v>
      </c>
      <c r="E157" s="34">
        <v>10</v>
      </c>
      <c r="F157" s="40"/>
      <c r="G157">
        <v>4.2</v>
      </c>
      <c r="H157">
        <v>1.6</v>
      </c>
      <c r="I157">
        <v>6.6</v>
      </c>
      <c r="J157">
        <f t="shared" si="13"/>
        <v>1161.6000000000004</v>
      </c>
      <c r="K157">
        <f t="shared" si="18"/>
        <v>87</v>
      </c>
      <c r="L157" s="8">
        <v>15</v>
      </c>
      <c r="M157">
        <v>0.3</v>
      </c>
      <c r="N157">
        <v>0.5</v>
      </c>
      <c r="O157">
        <f t="shared" si="10"/>
        <v>-0.2</v>
      </c>
      <c r="P157">
        <f t="shared" si="16"/>
        <v>36.900000000000006</v>
      </c>
      <c r="Q157">
        <v>103</v>
      </c>
      <c r="R157">
        <v>1</v>
      </c>
      <c r="S157">
        <f t="shared" si="11"/>
        <v>0.5</v>
      </c>
      <c r="T157" s="24">
        <f t="shared" si="12"/>
        <v>-0.2</v>
      </c>
      <c r="U157" s="24">
        <f t="shared" si="17"/>
        <v>58.089999999999989</v>
      </c>
      <c r="W157">
        <v>338.2</v>
      </c>
      <c r="Y157">
        <f t="shared" si="14"/>
        <v>72824.2</v>
      </c>
      <c r="Z157">
        <f t="shared" si="19"/>
        <v>5317.5</v>
      </c>
      <c r="AA157" s="34">
        <v>8.7818597962896039</v>
      </c>
    </row>
    <row r="158" spans="1:28" x14ac:dyDescent="0.25">
      <c r="A158">
        <v>5080</v>
      </c>
      <c r="B158">
        <v>18650</v>
      </c>
      <c r="C158" s="1">
        <v>42736</v>
      </c>
      <c r="E158" s="34">
        <v>11</v>
      </c>
      <c r="F158" s="40"/>
      <c r="G158">
        <v>1.9</v>
      </c>
      <c r="H158">
        <v>0.5</v>
      </c>
      <c r="I158">
        <v>2.4</v>
      </c>
      <c r="J158">
        <f t="shared" si="13"/>
        <v>1163.5000000000005</v>
      </c>
      <c r="K158">
        <f t="shared" si="18"/>
        <v>88.9</v>
      </c>
      <c r="M158">
        <v>0</v>
      </c>
      <c r="N158">
        <v>0.3</v>
      </c>
      <c r="O158">
        <f t="shared" si="10"/>
        <v>-0.3</v>
      </c>
      <c r="P158">
        <f t="shared" si="16"/>
        <v>36.600000000000009</v>
      </c>
      <c r="Q158">
        <v>104</v>
      </c>
      <c r="R158">
        <v>1</v>
      </c>
      <c r="S158">
        <f t="shared" si="11"/>
        <v>0.3</v>
      </c>
      <c r="T158" s="24">
        <f t="shared" si="12"/>
        <v>-0.3</v>
      </c>
      <c r="U158" s="24">
        <f t="shared" si="17"/>
        <v>57.789999999999992</v>
      </c>
      <c r="W158">
        <v>259.5</v>
      </c>
      <c r="Y158">
        <f t="shared" si="14"/>
        <v>73083.7</v>
      </c>
      <c r="Z158">
        <f t="shared" si="19"/>
        <v>5577</v>
      </c>
      <c r="AA158" s="34">
        <v>8.7941504716791812</v>
      </c>
    </row>
    <row r="159" spans="1:28" x14ac:dyDescent="0.25">
      <c r="A159">
        <v>5080</v>
      </c>
      <c r="B159">
        <v>18650</v>
      </c>
      <c r="C159" s="1">
        <v>42737</v>
      </c>
      <c r="E159" s="34">
        <v>12</v>
      </c>
      <c r="F159" s="40"/>
      <c r="G159">
        <v>2</v>
      </c>
      <c r="H159">
        <v>0.7</v>
      </c>
      <c r="I159">
        <v>2.4</v>
      </c>
      <c r="J159">
        <f t="shared" si="13"/>
        <v>1165.5000000000005</v>
      </c>
      <c r="K159">
        <f t="shared" si="18"/>
        <v>90.9</v>
      </c>
      <c r="M159">
        <v>0</v>
      </c>
      <c r="N159">
        <v>0.3</v>
      </c>
      <c r="O159">
        <f t="shared" si="10"/>
        <v>-0.3</v>
      </c>
      <c r="P159">
        <f t="shared" si="16"/>
        <v>36.300000000000011</v>
      </c>
      <c r="Q159">
        <v>105</v>
      </c>
      <c r="R159">
        <v>1</v>
      </c>
      <c r="S159">
        <f t="shared" si="11"/>
        <v>0.3</v>
      </c>
      <c r="T159" s="24">
        <f t="shared" si="12"/>
        <v>-0.3</v>
      </c>
      <c r="U159" s="24">
        <f t="shared" si="17"/>
        <v>57.489999999999995</v>
      </c>
      <c r="W159">
        <v>161.1</v>
      </c>
      <c r="Y159">
        <f t="shared" si="14"/>
        <v>73244.800000000003</v>
      </c>
      <c r="Z159">
        <f t="shared" si="19"/>
        <v>5738.1</v>
      </c>
      <c r="AA159" s="34">
        <v>8.807544016916431</v>
      </c>
    </row>
    <row r="160" spans="1:28" x14ac:dyDescent="0.25">
      <c r="A160">
        <v>5080</v>
      </c>
      <c r="B160">
        <v>18650</v>
      </c>
      <c r="C160" s="1">
        <v>42738</v>
      </c>
      <c r="E160" s="34">
        <v>13</v>
      </c>
      <c r="F160" s="40"/>
      <c r="G160">
        <v>2</v>
      </c>
      <c r="H160">
        <v>1.7</v>
      </c>
      <c r="I160">
        <v>2.8</v>
      </c>
      <c r="J160">
        <f t="shared" si="13"/>
        <v>1167.5000000000005</v>
      </c>
      <c r="K160">
        <f t="shared" si="18"/>
        <v>92.9</v>
      </c>
      <c r="M160">
        <v>0</v>
      </c>
      <c r="N160">
        <v>0.5</v>
      </c>
      <c r="O160">
        <f t="shared" si="10"/>
        <v>-0.5</v>
      </c>
      <c r="P160">
        <f t="shared" si="16"/>
        <v>35.800000000000011</v>
      </c>
      <c r="Q160">
        <v>106</v>
      </c>
      <c r="R160">
        <v>1</v>
      </c>
      <c r="S160">
        <f t="shared" si="11"/>
        <v>0.5</v>
      </c>
      <c r="T160" s="24">
        <f t="shared" si="12"/>
        <v>-0.5</v>
      </c>
      <c r="U160" s="24">
        <f t="shared" si="17"/>
        <v>56.989999999999995</v>
      </c>
      <c r="W160">
        <v>190.2</v>
      </c>
      <c r="Y160">
        <f t="shared" si="14"/>
        <v>73435</v>
      </c>
      <c r="Z160">
        <f t="shared" si="19"/>
        <v>5928.3</v>
      </c>
      <c r="AA160" s="34">
        <v>8.8220299728068525</v>
      </c>
    </row>
    <row r="161" spans="1:27" x14ac:dyDescent="0.25">
      <c r="A161">
        <v>5080</v>
      </c>
      <c r="B161">
        <v>18650</v>
      </c>
      <c r="C161" s="1">
        <v>42739</v>
      </c>
      <c r="E161" s="34">
        <v>14</v>
      </c>
      <c r="F161" s="40"/>
      <c r="G161">
        <v>0.5</v>
      </c>
      <c r="H161">
        <v>0.1</v>
      </c>
      <c r="I161">
        <v>1.7</v>
      </c>
      <c r="J161">
        <f t="shared" si="13"/>
        <v>1168.0000000000005</v>
      </c>
      <c r="K161">
        <f t="shared" si="18"/>
        <v>93.4</v>
      </c>
      <c r="M161">
        <v>0</v>
      </c>
      <c r="N161">
        <v>0.4</v>
      </c>
      <c r="O161">
        <f t="shared" si="10"/>
        <v>-0.4</v>
      </c>
      <c r="P161">
        <f t="shared" si="16"/>
        <v>35.400000000000013</v>
      </c>
      <c r="Q161">
        <v>107</v>
      </c>
      <c r="R161">
        <v>1</v>
      </c>
      <c r="S161">
        <f t="shared" si="11"/>
        <v>0.4</v>
      </c>
      <c r="T161" s="24">
        <f t="shared" si="12"/>
        <v>-0.4</v>
      </c>
      <c r="U161" s="24">
        <f t="shared" si="17"/>
        <v>56.589999999999996</v>
      </c>
      <c r="W161">
        <v>172.7</v>
      </c>
      <c r="Y161">
        <f t="shared" si="14"/>
        <v>73607.7</v>
      </c>
      <c r="Z161">
        <f t="shared" si="19"/>
        <v>6101</v>
      </c>
      <c r="AA161" s="34">
        <v>8.8375971248056935</v>
      </c>
    </row>
    <row r="162" spans="1:27" x14ac:dyDescent="0.25">
      <c r="A162">
        <v>5080</v>
      </c>
      <c r="B162">
        <v>18650</v>
      </c>
      <c r="C162" s="1">
        <v>42740</v>
      </c>
      <c r="E162" s="34">
        <v>15</v>
      </c>
      <c r="F162" s="40"/>
      <c r="G162">
        <v>1.7</v>
      </c>
      <c r="H162">
        <v>0</v>
      </c>
      <c r="I162">
        <v>3.4</v>
      </c>
      <c r="J162">
        <f t="shared" si="13"/>
        <v>1169.7000000000005</v>
      </c>
      <c r="K162">
        <f t="shared" si="18"/>
        <v>95.100000000000009</v>
      </c>
      <c r="M162">
        <v>0</v>
      </c>
      <c r="N162">
        <v>0.4</v>
      </c>
      <c r="O162">
        <f t="shared" si="10"/>
        <v>-0.4</v>
      </c>
      <c r="P162">
        <f t="shared" si="16"/>
        <v>35.000000000000014</v>
      </c>
      <c r="Q162">
        <v>108</v>
      </c>
      <c r="R162">
        <v>1</v>
      </c>
      <c r="S162">
        <f t="shared" si="11"/>
        <v>0.4</v>
      </c>
      <c r="T162" s="24">
        <f t="shared" si="12"/>
        <v>-0.4</v>
      </c>
      <c r="U162" s="24">
        <f t="shared" si="17"/>
        <v>56.19</v>
      </c>
      <c r="W162">
        <v>261.8</v>
      </c>
      <c r="Y162">
        <f t="shared" si="14"/>
        <v>73869.5</v>
      </c>
      <c r="Z162">
        <f t="shared" si="19"/>
        <v>6362.8</v>
      </c>
      <c r="AA162" s="34">
        <v>8.854233533591545</v>
      </c>
    </row>
    <row r="163" spans="1:27" x14ac:dyDescent="0.25">
      <c r="A163">
        <v>5080</v>
      </c>
      <c r="B163">
        <v>18650</v>
      </c>
      <c r="C163" s="1">
        <v>42741</v>
      </c>
      <c r="E163" s="34">
        <v>16</v>
      </c>
      <c r="F163" s="40"/>
      <c r="G163">
        <v>-0.1</v>
      </c>
      <c r="H163">
        <v>-3</v>
      </c>
      <c r="I163">
        <v>2.9</v>
      </c>
      <c r="J163">
        <v>1169.7</v>
      </c>
      <c r="K163">
        <v>95.1</v>
      </c>
      <c r="M163">
        <v>0</v>
      </c>
      <c r="N163">
        <v>0.8</v>
      </c>
      <c r="O163">
        <f t="shared" si="10"/>
        <v>-0.8</v>
      </c>
      <c r="P163">
        <f t="shared" si="16"/>
        <v>34.200000000000017</v>
      </c>
      <c r="Q163">
        <v>109</v>
      </c>
      <c r="R163">
        <v>1</v>
      </c>
      <c r="S163">
        <f t="shared" si="11"/>
        <v>0.8</v>
      </c>
      <c r="T163" s="24">
        <f t="shared" si="12"/>
        <v>-0.8</v>
      </c>
      <c r="U163" s="24">
        <f t="shared" si="17"/>
        <v>55.39</v>
      </c>
      <c r="W163">
        <v>918.2</v>
      </c>
      <c r="Y163">
        <f t="shared" si="14"/>
        <v>74787.7</v>
      </c>
      <c r="Z163">
        <f t="shared" si="19"/>
        <v>7281</v>
      </c>
      <c r="AA163" s="34">
        <v>8.8719265671416974</v>
      </c>
    </row>
    <row r="164" spans="1:27" x14ac:dyDescent="0.25">
      <c r="A164">
        <v>5080</v>
      </c>
      <c r="B164">
        <v>18650</v>
      </c>
      <c r="C164" s="1">
        <v>42742</v>
      </c>
      <c r="E164" s="34">
        <v>17</v>
      </c>
      <c r="F164" s="40"/>
      <c r="G164">
        <v>-0.2</v>
      </c>
      <c r="H164">
        <v>-3.8</v>
      </c>
      <c r="I164">
        <v>4.4000000000000004</v>
      </c>
      <c r="J164">
        <v>1169.7</v>
      </c>
      <c r="K164">
        <v>95.1</v>
      </c>
      <c r="M164">
        <v>0</v>
      </c>
      <c r="N164">
        <v>0.9</v>
      </c>
      <c r="O164">
        <f t="shared" si="10"/>
        <v>-0.9</v>
      </c>
      <c r="P164">
        <f t="shared" si="16"/>
        <v>33.300000000000018</v>
      </c>
      <c r="Q164">
        <v>110</v>
      </c>
      <c r="R164">
        <v>1</v>
      </c>
      <c r="S164">
        <f t="shared" si="11"/>
        <v>0.9</v>
      </c>
      <c r="T164" s="24">
        <f t="shared" si="12"/>
        <v>-0.9</v>
      </c>
      <c r="U164" s="24">
        <f t="shared" si="17"/>
        <v>54.49</v>
      </c>
      <c r="W164">
        <v>910.1</v>
      </c>
      <c r="Y164">
        <f t="shared" si="14"/>
        <v>75697.8</v>
      </c>
      <c r="Z164">
        <f t="shared" si="19"/>
        <v>8191.1</v>
      </c>
      <c r="AA164" s="34">
        <v>8.8906629341359871</v>
      </c>
    </row>
    <row r="165" spans="1:27" x14ac:dyDescent="0.25">
      <c r="A165">
        <v>5080</v>
      </c>
      <c r="B165">
        <v>18650</v>
      </c>
      <c r="C165" s="1">
        <v>42743</v>
      </c>
      <c r="E165" s="34">
        <v>18</v>
      </c>
      <c r="F165" s="40"/>
      <c r="G165">
        <v>1.7</v>
      </c>
      <c r="H165">
        <v>-2.2000000000000002</v>
      </c>
      <c r="I165">
        <v>4</v>
      </c>
      <c r="J165">
        <f t="shared" si="13"/>
        <v>1171.4000000000001</v>
      </c>
      <c r="K165">
        <f t="shared" si="18"/>
        <v>96.8</v>
      </c>
      <c r="M165">
        <v>0</v>
      </c>
      <c r="N165">
        <v>0.5</v>
      </c>
      <c r="O165">
        <f t="shared" si="10"/>
        <v>-0.5</v>
      </c>
      <c r="P165">
        <f t="shared" si="16"/>
        <v>32.800000000000018</v>
      </c>
      <c r="Q165">
        <v>111</v>
      </c>
      <c r="R165">
        <v>1</v>
      </c>
      <c r="S165">
        <f t="shared" si="11"/>
        <v>0.5</v>
      </c>
      <c r="T165" s="24">
        <f t="shared" si="12"/>
        <v>-0.5</v>
      </c>
      <c r="U165" s="24">
        <f t="shared" si="17"/>
        <v>53.99</v>
      </c>
      <c r="W165">
        <v>246.3</v>
      </c>
      <c r="Y165">
        <f t="shared" si="14"/>
        <v>75944.100000000006</v>
      </c>
      <c r="Z165">
        <f t="shared" si="19"/>
        <v>8437.4</v>
      </c>
      <c r="AA165" s="34">
        <v>8.9104287185126694</v>
      </c>
    </row>
    <row r="166" spans="1:27" x14ac:dyDescent="0.25">
      <c r="A166">
        <v>5080</v>
      </c>
      <c r="B166">
        <v>18650</v>
      </c>
      <c r="C166" s="1">
        <v>42744</v>
      </c>
      <c r="F166" s="40"/>
      <c r="G166">
        <v>5.5</v>
      </c>
      <c r="H166">
        <v>2.4</v>
      </c>
      <c r="I166">
        <v>7.6</v>
      </c>
      <c r="J166">
        <f t="shared" si="13"/>
        <v>1176.9000000000001</v>
      </c>
      <c r="K166">
        <f t="shared" si="18"/>
        <v>102.3</v>
      </c>
      <c r="M166">
        <v>3.1</v>
      </c>
      <c r="N166">
        <v>0.7</v>
      </c>
      <c r="O166">
        <f t="shared" si="10"/>
        <v>2.4000000000000004</v>
      </c>
      <c r="P166">
        <f t="shared" si="16"/>
        <v>35.200000000000017</v>
      </c>
      <c r="Q166">
        <v>112</v>
      </c>
      <c r="R166">
        <v>1</v>
      </c>
      <c r="S166">
        <f t="shared" si="11"/>
        <v>0.7</v>
      </c>
      <c r="T166" s="24">
        <f t="shared" si="12"/>
        <v>2.4000000000000004</v>
      </c>
      <c r="U166" s="24">
        <f t="shared" si="17"/>
        <v>56.39</v>
      </c>
      <c r="W166">
        <v>299</v>
      </c>
      <c r="Y166">
        <f t="shared" si="14"/>
        <v>76243.100000000006</v>
      </c>
      <c r="Z166">
        <f t="shared" si="19"/>
        <v>8736.4</v>
      </c>
      <c r="AA166" s="34">
        <v>8.9312094149983867</v>
      </c>
    </row>
    <row r="167" spans="1:27" x14ac:dyDescent="0.25">
      <c r="A167">
        <v>5080</v>
      </c>
      <c r="B167">
        <v>18650</v>
      </c>
      <c r="C167" s="1">
        <v>42745</v>
      </c>
      <c r="F167" s="40"/>
      <c r="G167">
        <v>7</v>
      </c>
      <c r="H167">
        <v>6.2</v>
      </c>
      <c r="I167">
        <v>7.6</v>
      </c>
      <c r="J167">
        <f t="shared" si="13"/>
        <v>1183.9000000000001</v>
      </c>
      <c r="K167">
        <f t="shared" si="18"/>
        <v>109.3</v>
      </c>
      <c r="M167">
        <v>7.4</v>
      </c>
      <c r="N167">
        <v>0.6</v>
      </c>
      <c r="O167">
        <f t="shared" si="10"/>
        <v>6.8000000000000007</v>
      </c>
      <c r="P167">
        <f t="shared" si="16"/>
        <v>42.000000000000014</v>
      </c>
      <c r="Q167">
        <v>113</v>
      </c>
      <c r="R167">
        <v>1</v>
      </c>
      <c r="S167">
        <f t="shared" si="11"/>
        <v>0.6</v>
      </c>
      <c r="T167" s="24">
        <f t="shared" si="12"/>
        <v>6.8000000000000007</v>
      </c>
      <c r="U167" s="24">
        <f t="shared" si="17"/>
        <v>63.19</v>
      </c>
      <c r="W167">
        <v>174.5</v>
      </c>
      <c r="Y167">
        <f t="shared" si="14"/>
        <v>76417.600000000006</v>
      </c>
      <c r="Z167">
        <f t="shared" si="19"/>
        <v>8910.9</v>
      </c>
      <c r="AA167" s="34">
        <v>8.9529899654341492</v>
      </c>
    </row>
    <row r="168" spans="1:27" x14ac:dyDescent="0.25">
      <c r="A168">
        <v>5080</v>
      </c>
      <c r="B168">
        <v>18650</v>
      </c>
      <c r="C168" s="1">
        <v>42746</v>
      </c>
      <c r="F168" s="40"/>
      <c r="G168">
        <v>9.4</v>
      </c>
      <c r="H168">
        <v>6.3</v>
      </c>
      <c r="I168">
        <v>11.6</v>
      </c>
      <c r="J168">
        <f t="shared" si="13"/>
        <v>1193.3000000000002</v>
      </c>
      <c r="K168">
        <f t="shared" si="18"/>
        <v>118.7</v>
      </c>
      <c r="M168">
        <v>3</v>
      </c>
      <c r="N168">
        <v>0.4</v>
      </c>
      <c r="O168">
        <f t="shared" si="10"/>
        <v>2.6</v>
      </c>
      <c r="P168">
        <f t="shared" si="16"/>
        <v>44.600000000000016</v>
      </c>
      <c r="Q168">
        <v>114</v>
      </c>
      <c r="R168">
        <v>1</v>
      </c>
      <c r="S168">
        <f t="shared" si="11"/>
        <v>0.4</v>
      </c>
      <c r="T168" s="24">
        <f t="shared" si="12"/>
        <v>2.6</v>
      </c>
      <c r="U168" s="24">
        <f t="shared" si="17"/>
        <v>65.789999999999992</v>
      </c>
      <c r="W168">
        <v>205</v>
      </c>
      <c r="Y168">
        <f t="shared" si="14"/>
        <v>76622.600000000006</v>
      </c>
      <c r="Z168">
        <f t="shared" si="19"/>
        <v>9115.9</v>
      </c>
      <c r="AA168" s="34">
        <v>8.9757547957204764</v>
      </c>
    </row>
    <row r="169" spans="1:27" x14ac:dyDescent="0.25">
      <c r="A169">
        <v>5080</v>
      </c>
      <c r="B169">
        <v>18650</v>
      </c>
      <c r="C169" s="1">
        <v>42747</v>
      </c>
      <c r="F169" s="40"/>
      <c r="G169">
        <v>10.4</v>
      </c>
      <c r="H169">
        <v>9.4</v>
      </c>
      <c r="I169">
        <v>11.8</v>
      </c>
      <c r="J169">
        <f t="shared" si="13"/>
        <v>1203.7000000000003</v>
      </c>
      <c r="K169">
        <f t="shared" si="18"/>
        <v>129.1</v>
      </c>
      <c r="M169">
        <v>4.7</v>
      </c>
      <c r="N169">
        <v>0.5</v>
      </c>
      <c r="O169">
        <f t="shared" si="10"/>
        <v>4.2</v>
      </c>
      <c r="P169">
        <f t="shared" si="16"/>
        <v>48.800000000000018</v>
      </c>
      <c r="Q169">
        <v>115</v>
      </c>
      <c r="R169">
        <v>1</v>
      </c>
      <c r="S169">
        <f t="shared" si="11"/>
        <v>0.5</v>
      </c>
      <c r="T169" s="24">
        <f t="shared" si="12"/>
        <v>4.2</v>
      </c>
      <c r="U169" s="24">
        <f t="shared" si="17"/>
        <v>69.989999999999995</v>
      </c>
      <c r="W169">
        <v>202.2</v>
      </c>
      <c r="Y169">
        <f t="shared" si="14"/>
        <v>76824.800000000003</v>
      </c>
      <c r="Z169">
        <f t="shared" si="19"/>
        <v>9318.1</v>
      </c>
      <c r="AA169" s="34">
        <v>8.9994878532074569</v>
      </c>
    </row>
    <row r="170" spans="1:27" x14ac:dyDescent="0.25">
      <c r="A170">
        <v>5080</v>
      </c>
      <c r="B170">
        <v>18650</v>
      </c>
      <c r="C170" s="1">
        <v>42748</v>
      </c>
      <c r="F170" s="40"/>
      <c r="G170">
        <v>5</v>
      </c>
      <c r="H170">
        <v>4.5</v>
      </c>
      <c r="I170">
        <v>5.5</v>
      </c>
      <c r="J170">
        <f t="shared" si="13"/>
        <v>1208.7000000000003</v>
      </c>
      <c r="K170">
        <f t="shared" si="18"/>
        <v>134.1</v>
      </c>
      <c r="M170">
        <v>1.5</v>
      </c>
      <c r="N170">
        <v>1</v>
      </c>
      <c r="O170">
        <f t="shared" si="10"/>
        <v>0.5</v>
      </c>
      <c r="P170">
        <f t="shared" si="16"/>
        <v>49.300000000000018</v>
      </c>
      <c r="Q170">
        <v>116</v>
      </c>
      <c r="R170">
        <v>1</v>
      </c>
      <c r="S170">
        <f t="shared" si="11"/>
        <v>1</v>
      </c>
      <c r="T170" s="24">
        <f t="shared" si="12"/>
        <v>0.5</v>
      </c>
      <c r="U170" s="24">
        <f t="shared" si="17"/>
        <v>70.489999999999995</v>
      </c>
      <c r="W170">
        <v>777.2</v>
      </c>
      <c r="Y170">
        <f t="shared" si="14"/>
        <v>77602</v>
      </c>
      <c r="Z170">
        <f t="shared" si="19"/>
        <v>10095.300000000001</v>
      </c>
      <c r="AA170">
        <v>9.024172644359167</v>
      </c>
    </row>
    <row r="171" spans="1:27" x14ac:dyDescent="0.25">
      <c r="A171">
        <v>5080</v>
      </c>
      <c r="B171">
        <v>18650</v>
      </c>
      <c r="C171" s="1">
        <v>42749</v>
      </c>
      <c r="F171" s="40"/>
      <c r="G171">
        <v>4</v>
      </c>
      <c r="H171">
        <v>2.7</v>
      </c>
      <c r="I171">
        <v>5.6</v>
      </c>
      <c r="J171">
        <f t="shared" si="13"/>
        <v>1212.7000000000003</v>
      </c>
      <c r="K171">
        <f t="shared" si="18"/>
        <v>138.1</v>
      </c>
      <c r="M171">
        <v>0.8</v>
      </c>
      <c r="N171">
        <v>1</v>
      </c>
      <c r="O171">
        <f t="shared" si="10"/>
        <v>-0.19999999999999996</v>
      </c>
      <c r="P171">
        <f t="shared" si="16"/>
        <v>49.100000000000016</v>
      </c>
      <c r="Q171">
        <v>117</v>
      </c>
      <c r="R171">
        <v>1</v>
      </c>
      <c r="S171">
        <f t="shared" si="11"/>
        <v>1</v>
      </c>
      <c r="T171" s="24">
        <f t="shared" si="12"/>
        <v>-0.19999999999999996</v>
      </c>
      <c r="U171" s="24">
        <f t="shared" si="17"/>
        <v>70.289999999999992</v>
      </c>
      <c r="W171">
        <v>517.4</v>
      </c>
      <c r="Y171">
        <f t="shared" si="14"/>
        <v>78119.399999999994</v>
      </c>
      <c r="Z171">
        <f t="shared" si="19"/>
        <v>10612.7</v>
      </c>
      <c r="AA171">
        <v>9.0497922725268936</v>
      </c>
    </row>
    <row r="172" spans="1:27" x14ac:dyDescent="0.25">
      <c r="A172">
        <v>5080</v>
      </c>
      <c r="B172">
        <v>18650</v>
      </c>
      <c r="C172" s="1">
        <v>42750</v>
      </c>
      <c r="F172" s="40"/>
      <c r="G172">
        <v>4.7</v>
      </c>
      <c r="H172">
        <v>2.5</v>
      </c>
      <c r="I172">
        <v>7.5</v>
      </c>
      <c r="J172">
        <f t="shared" si="13"/>
        <v>1217.4000000000003</v>
      </c>
      <c r="K172">
        <f t="shared" si="18"/>
        <v>142.79999999999998</v>
      </c>
      <c r="M172">
        <v>3.7</v>
      </c>
      <c r="N172">
        <v>0.8</v>
      </c>
      <c r="O172">
        <f t="shared" si="10"/>
        <v>2.9000000000000004</v>
      </c>
      <c r="P172">
        <f t="shared" si="16"/>
        <v>52.000000000000014</v>
      </c>
      <c r="Q172">
        <v>118</v>
      </c>
      <c r="R172">
        <v>1</v>
      </c>
      <c r="S172">
        <f t="shared" si="11"/>
        <v>0.8</v>
      </c>
      <c r="T172" s="24">
        <f t="shared" si="12"/>
        <v>2.9000000000000004</v>
      </c>
      <c r="U172" s="24">
        <f t="shared" si="17"/>
        <v>73.19</v>
      </c>
      <c r="W172">
        <v>127</v>
      </c>
      <c r="Y172">
        <f t="shared" si="14"/>
        <v>78246.399999999994</v>
      </c>
      <c r="Z172">
        <f t="shared" si="19"/>
        <v>10739.7</v>
      </c>
      <c r="AA172">
        <v>9.0763294756713506</v>
      </c>
    </row>
    <row r="173" spans="1:27" x14ac:dyDescent="0.25">
      <c r="A173">
        <v>5080</v>
      </c>
      <c r="B173">
        <v>18650</v>
      </c>
      <c r="C173" s="1">
        <v>42751</v>
      </c>
      <c r="F173" s="40"/>
      <c r="G173">
        <v>5.9</v>
      </c>
      <c r="H173">
        <v>4.5999999999999996</v>
      </c>
      <c r="I173">
        <v>8.5</v>
      </c>
      <c r="J173">
        <f t="shared" si="13"/>
        <v>1223.3000000000004</v>
      </c>
      <c r="K173">
        <f t="shared" si="18"/>
        <v>148.69999999999999</v>
      </c>
      <c r="M173">
        <v>1.3</v>
      </c>
      <c r="N173">
        <v>1</v>
      </c>
      <c r="O173">
        <f t="shared" si="10"/>
        <v>0.30000000000000004</v>
      </c>
      <c r="P173">
        <f t="shared" si="16"/>
        <v>52.300000000000011</v>
      </c>
      <c r="Q173">
        <v>119</v>
      </c>
      <c r="R173">
        <v>1</v>
      </c>
      <c r="S173">
        <f t="shared" si="11"/>
        <v>1</v>
      </c>
      <c r="T173" s="24">
        <f t="shared" si="12"/>
        <v>0.30000000000000004</v>
      </c>
      <c r="U173" s="24">
        <f t="shared" si="17"/>
        <v>73.489999999999995</v>
      </c>
      <c r="W173">
        <v>260.3</v>
      </c>
      <c r="Y173">
        <f t="shared" si="14"/>
        <v>78506.7</v>
      </c>
      <c r="Z173">
        <f t="shared" si="19"/>
        <v>11000</v>
      </c>
      <c r="AA173">
        <v>9.1037666638810641</v>
      </c>
    </row>
    <row r="174" spans="1:27" x14ac:dyDescent="0.25">
      <c r="A174">
        <v>5080</v>
      </c>
      <c r="B174">
        <v>18650</v>
      </c>
      <c r="C174" s="1">
        <v>42752</v>
      </c>
      <c r="F174" s="40"/>
      <c r="G174">
        <v>0.1</v>
      </c>
      <c r="H174">
        <v>-1.1000000000000001</v>
      </c>
      <c r="I174">
        <v>1.7</v>
      </c>
      <c r="J174">
        <f t="shared" si="13"/>
        <v>1223.4000000000003</v>
      </c>
      <c r="K174">
        <f t="shared" si="18"/>
        <v>148.79999999999998</v>
      </c>
      <c r="M174">
        <v>0</v>
      </c>
      <c r="N174">
        <v>1.2</v>
      </c>
      <c r="O174">
        <f t="shared" si="10"/>
        <v>-1.2</v>
      </c>
      <c r="P174">
        <f t="shared" si="16"/>
        <v>51.100000000000009</v>
      </c>
      <c r="Q174">
        <v>120</v>
      </c>
      <c r="R174">
        <v>1</v>
      </c>
      <c r="S174">
        <f t="shared" si="11"/>
        <v>1.2</v>
      </c>
      <c r="T174" s="24">
        <f t="shared" si="12"/>
        <v>-1.2</v>
      </c>
      <c r="U174" s="24">
        <f t="shared" si="17"/>
        <v>72.289999999999992</v>
      </c>
      <c r="W174">
        <v>1055.9000000000001</v>
      </c>
      <c r="Y174">
        <f t="shared" si="14"/>
        <v>79562.599999999991</v>
      </c>
      <c r="Z174">
        <f t="shared" si="19"/>
        <v>12055.9</v>
      </c>
      <c r="AA174">
        <v>9.1320859565414505</v>
      </c>
    </row>
    <row r="175" spans="1:27" x14ac:dyDescent="0.25">
      <c r="A175">
        <v>5080</v>
      </c>
      <c r="B175">
        <v>18650</v>
      </c>
      <c r="C175" s="1">
        <v>42753</v>
      </c>
      <c r="F175" s="40"/>
      <c r="G175">
        <v>-2.4</v>
      </c>
      <c r="H175">
        <v>-4.2</v>
      </c>
      <c r="I175">
        <v>-0.1</v>
      </c>
      <c r="J175">
        <v>1223.4000000000001</v>
      </c>
      <c r="K175">
        <v>148.80000000000001</v>
      </c>
      <c r="M175">
        <v>0</v>
      </c>
      <c r="N175">
        <v>0.7</v>
      </c>
      <c r="O175">
        <f t="shared" si="10"/>
        <v>-0.7</v>
      </c>
      <c r="P175">
        <f t="shared" si="16"/>
        <v>50.400000000000006</v>
      </c>
      <c r="Q175">
        <v>121</v>
      </c>
      <c r="R175">
        <v>1</v>
      </c>
      <c r="S175">
        <f t="shared" si="11"/>
        <v>0.7</v>
      </c>
      <c r="T175" s="24">
        <f t="shared" si="12"/>
        <v>-0.7</v>
      </c>
      <c r="U175" s="24">
        <f t="shared" si="17"/>
        <v>71.589999999999989</v>
      </c>
      <c r="W175">
        <v>875.4</v>
      </c>
      <c r="Y175">
        <f t="shared" si="14"/>
        <v>80437.999999999985</v>
      </c>
      <c r="Z175">
        <f t="shared" si="19"/>
        <v>12931.3</v>
      </c>
      <c r="AA175">
        <v>9.1612692190175533</v>
      </c>
    </row>
    <row r="176" spans="1:27" x14ac:dyDescent="0.25">
      <c r="A176">
        <v>5080</v>
      </c>
      <c r="B176">
        <v>18650</v>
      </c>
      <c r="C176" s="1">
        <v>42754</v>
      </c>
      <c r="F176" s="40"/>
      <c r="G176">
        <v>-1.9</v>
      </c>
      <c r="H176">
        <v>-4.8</v>
      </c>
      <c r="I176">
        <v>0.8</v>
      </c>
      <c r="J176">
        <v>1223.4000000000001</v>
      </c>
      <c r="K176">
        <v>148.80000000000001</v>
      </c>
      <c r="M176">
        <v>0</v>
      </c>
      <c r="N176">
        <v>0.7</v>
      </c>
      <c r="O176">
        <f t="shared" si="10"/>
        <v>-0.7</v>
      </c>
      <c r="P176">
        <f t="shared" si="16"/>
        <v>49.7</v>
      </c>
      <c r="Q176">
        <v>122</v>
      </c>
      <c r="R176">
        <v>1</v>
      </c>
      <c r="S176">
        <f t="shared" si="11"/>
        <v>0.7</v>
      </c>
      <c r="T176" s="24">
        <f t="shared" si="12"/>
        <v>-0.7</v>
      </c>
      <c r="U176" s="24">
        <f t="shared" si="17"/>
        <v>70.889999999999986</v>
      </c>
      <c r="W176">
        <v>947.1</v>
      </c>
      <c r="Y176">
        <f t="shared" si="14"/>
        <v>81385.099999999991</v>
      </c>
      <c r="Z176">
        <f t="shared" si="19"/>
        <v>13878.4</v>
      </c>
      <c r="AA176">
        <v>9.1912980987220365</v>
      </c>
    </row>
    <row r="177" spans="1:28" x14ac:dyDescent="0.25">
      <c r="A177">
        <v>5080</v>
      </c>
      <c r="B177">
        <v>18650</v>
      </c>
      <c r="C177" s="1">
        <v>42755</v>
      </c>
      <c r="F177" s="40"/>
      <c r="G177">
        <v>1.1000000000000001</v>
      </c>
      <c r="H177">
        <v>-4</v>
      </c>
      <c r="I177">
        <v>5.4</v>
      </c>
      <c r="J177">
        <f t="shared" si="13"/>
        <v>1224.5</v>
      </c>
      <c r="K177">
        <f t="shared" si="18"/>
        <v>149.9</v>
      </c>
      <c r="M177">
        <v>0</v>
      </c>
      <c r="N177">
        <v>0.7</v>
      </c>
      <c r="O177">
        <f t="shared" si="10"/>
        <v>-0.7</v>
      </c>
      <c r="P177">
        <f t="shared" si="16"/>
        <v>49</v>
      </c>
      <c r="Q177">
        <v>123</v>
      </c>
      <c r="R177">
        <v>1</v>
      </c>
      <c r="S177">
        <f t="shared" si="11"/>
        <v>0.7</v>
      </c>
      <c r="T177" s="24">
        <f t="shared" si="12"/>
        <v>-0.7</v>
      </c>
      <c r="U177" s="24">
        <f t="shared" si="17"/>
        <v>70.189999999999984</v>
      </c>
      <c r="W177">
        <v>810.2</v>
      </c>
      <c r="Y177">
        <f t="shared" si="14"/>
        <v>82195.299999999988</v>
      </c>
      <c r="Z177">
        <f t="shared" si="19"/>
        <v>14688.6</v>
      </c>
      <c r="AA177">
        <v>9.2221540604493271</v>
      </c>
    </row>
    <row r="178" spans="1:28" x14ac:dyDescent="0.25">
      <c r="A178">
        <v>5080</v>
      </c>
      <c r="B178">
        <v>18650</v>
      </c>
      <c r="C178" s="1">
        <v>42756</v>
      </c>
      <c r="F178" s="40"/>
      <c r="G178">
        <v>3.5</v>
      </c>
      <c r="H178">
        <v>-1</v>
      </c>
      <c r="I178">
        <v>7.9</v>
      </c>
      <c r="J178">
        <f t="shared" si="13"/>
        <v>1228</v>
      </c>
      <c r="K178">
        <f t="shared" si="18"/>
        <v>153.4</v>
      </c>
      <c r="M178">
        <v>0</v>
      </c>
      <c r="N178">
        <v>1.1000000000000001</v>
      </c>
      <c r="O178">
        <f t="shared" si="10"/>
        <v>-1.1000000000000001</v>
      </c>
      <c r="P178">
        <f t="shared" si="16"/>
        <v>47.9</v>
      </c>
      <c r="Q178">
        <v>124</v>
      </c>
      <c r="R178">
        <v>1</v>
      </c>
      <c r="S178">
        <f t="shared" si="11"/>
        <v>1.1000000000000001</v>
      </c>
      <c r="T178" s="24">
        <f t="shared" si="12"/>
        <v>-1.1000000000000001</v>
      </c>
      <c r="U178" s="24">
        <f t="shared" si="17"/>
        <v>69.089999999999989</v>
      </c>
      <c r="W178">
        <v>936.5</v>
      </c>
      <c r="Y178">
        <f t="shared" si="14"/>
        <v>83131.799999999988</v>
      </c>
      <c r="Z178">
        <f t="shared" si="19"/>
        <v>15625.1</v>
      </c>
      <c r="AA178">
        <v>9.2538184208662688</v>
      </c>
    </row>
    <row r="179" spans="1:28" x14ac:dyDescent="0.25">
      <c r="A179">
        <v>5080</v>
      </c>
      <c r="B179">
        <v>18650</v>
      </c>
      <c r="C179" s="1">
        <v>42757</v>
      </c>
      <c r="F179" s="40"/>
      <c r="G179">
        <v>3.1</v>
      </c>
      <c r="H179">
        <v>-1</v>
      </c>
      <c r="I179">
        <v>6.4</v>
      </c>
      <c r="J179">
        <f t="shared" si="13"/>
        <v>1231.0999999999999</v>
      </c>
      <c r="K179">
        <f t="shared" si="18"/>
        <v>156.5</v>
      </c>
      <c r="M179">
        <v>0.5</v>
      </c>
      <c r="N179">
        <v>0.3</v>
      </c>
      <c r="O179">
        <f t="shared" si="10"/>
        <v>0.2</v>
      </c>
      <c r="P179">
        <f t="shared" si="16"/>
        <v>48.1</v>
      </c>
      <c r="Q179">
        <v>125</v>
      </c>
      <c r="R179">
        <v>1</v>
      </c>
      <c r="S179">
        <f t="shared" si="11"/>
        <v>0.3</v>
      </c>
      <c r="T179" s="24">
        <f t="shared" si="12"/>
        <v>0.2</v>
      </c>
      <c r="U179" s="24">
        <f t="shared" si="17"/>
        <v>69.289999999999992</v>
      </c>
      <c r="W179">
        <v>234.1</v>
      </c>
      <c r="Y179">
        <f t="shared" si="14"/>
        <v>83365.899999999994</v>
      </c>
      <c r="Z179">
        <f t="shared" si="19"/>
        <v>15859.2</v>
      </c>
      <c r="AA179">
        <v>9.2862723820594013</v>
      </c>
    </row>
    <row r="180" spans="1:28" x14ac:dyDescent="0.25">
      <c r="A180">
        <v>5080</v>
      </c>
      <c r="B180">
        <v>18650</v>
      </c>
      <c r="C180" s="1">
        <v>42758</v>
      </c>
      <c r="F180" s="40"/>
      <c r="G180">
        <v>5.3</v>
      </c>
      <c r="H180">
        <v>3.5</v>
      </c>
      <c r="I180">
        <v>7.9</v>
      </c>
      <c r="J180">
        <f t="shared" si="13"/>
        <v>1236.3999999999999</v>
      </c>
      <c r="K180">
        <f t="shared" si="18"/>
        <v>161.80000000000001</v>
      </c>
      <c r="M180">
        <v>0</v>
      </c>
      <c r="N180">
        <v>0.7</v>
      </c>
      <c r="O180">
        <f t="shared" si="10"/>
        <v>-0.7</v>
      </c>
      <c r="P180">
        <f t="shared" si="16"/>
        <v>47.4</v>
      </c>
      <c r="Q180">
        <v>126</v>
      </c>
      <c r="R180">
        <v>1</v>
      </c>
      <c r="S180">
        <f t="shared" si="11"/>
        <v>0.7</v>
      </c>
      <c r="T180" s="24">
        <f t="shared" si="12"/>
        <v>-0.7</v>
      </c>
      <c r="U180" s="24">
        <f t="shared" si="17"/>
        <v>68.589999999999989</v>
      </c>
      <c r="W180">
        <v>627.70000000000005</v>
      </c>
      <c r="Y180">
        <f t="shared" si="14"/>
        <v>83993.599999999991</v>
      </c>
      <c r="Z180">
        <f t="shared" si="19"/>
        <v>16486.900000000001</v>
      </c>
      <c r="AA180">
        <v>9.3194970640488162</v>
      </c>
    </row>
    <row r="181" spans="1:28" x14ac:dyDescent="0.25">
      <c r="A181">
        <v>5080</v>
      </c>
      <c r="B181">
        <v>18650</v>
      </c>
      <c r="C181" s="1">
        <v>42759</v>
      </c>
      <c r="F181" s="40"/>
      <c r="G181">
        <v>2.2000000000000002</v>
      </c>
      <c r="H181">
        <v>0.5</v>
      </c>
      <c r="I181">
        <v>3.8</v>
      </c>
      <c r="J181">
        <f t="shared" si="13"/>
        <v>1238.5999999999999</v>
      </c>
      <c r="K181">
        <f t="shared" si="18"/>
        <v>164</v>
      </c>
      <c r="M181">
        <v>0</v>
      </c>
      <c r="N181">
        <v>1.1000000000000001</v>
      </c>
      <c r="O181">
        <f t="shared" si="10"/>
        <v>-1.1000000000000001</v>
      </c>
      <c r="P181">
        <f t="shared" si="16"/>
        <v>46.3</v>
      </c>
      <c r="Q181">
        <v>127</v>
      </c>
      <c r="R181">
        <v>1</v>
      </c>
      <c r="S181">
        <f t="shared" si="11"/>
        <v>1.1000000000000001</v>
      </c>
      <c r="T181" s="24">
        <f t="shared" si="12"/>
        <v>-1.1000000000000001</v>
      </c>
      <c r="U181" s="24">
        <f t="shared" si="17"/>
        <v>67.489999999999995</v>
      </c>
      <c r="W181">
        <v>1082.8</v>
      </c>
      <c r="Y181">
        <f t="shared" si="14"/>
        <v>85076.4</v>
      </c>
      <c r="Z181">
        <f t="shared" si="19"/>
        <v>17569.7</v>
      </c>
      <c r="AA181">
        <v>9.3534735361883623</v>
      </c>
    </row>
    <row r="182" spans="1:28" x14ac:dyDescent="0.25">
      <c r="A182">
        <v>5080</v>
      </c>
      <c r="B182">
        <v>18650</v>
      </c>
      <c r="C182" s="1">
        <v>42760</v>
      </c>
      <c r="F182" s="40"/>
      <c r="G182">
        <v>-1</v>
      </c>
      <c r="H182">
        <v>-2.1</v>
      </c>
      <c r="I182">
        <v>1</v>
      </c>
      <c r="J182">
        <v>1238.5999999999999</v>
      </c>
      <c r="K182">
        <v>164</v>
      </c>
      <c r="M182">
        <v>0</v>
      </c>
      <c r="N182">
        <v>0.4</v>
      </c>
      <c r="O182">
        <f t="shared" si="10"/>
        <v>-0.4</v>
      </c>
      <c r="P182">
        <f t="shared" si="16"/>
        <v>45.9</v>
      </c>
      <c r="Q182">
        <v>128</v>
      </c>
      <c r="R182">
        <v>1</v>
      </c>
      <c r="S182">
        <f t="shared" si="11"/>
        <v>0.4</v>
      </c>
      <c r="T182" s="24">
        <f t="shared" si="12"/>
        <v>-0.4</v>
      </c>
      <c r="U182" s="24">
        <f t="shared" si="17"/>
        <v>67.089999999999989</v>
      </c>
      <c r="W182">
        <v>423.6</v>
      </c>
      <c r="Y182">
        <f t="shared" si="14"/>
        <v>85500</v>
      </c>
      <c r="Z182">
        <f t="shared" si="19"/>
        <v>17993.3</v>
      </c>
      <c r="AA182">
        <v>9.3881828473817421</v>
      </c>
    </row>
    <row r="183" spans="1:28" s="25" customFormat="1" ht="15.75" thickBot="1" x14ac:dyDescent="0.3">
      <c r="A183" s="25">
        <v>5080</v>
      </c>
      <c r="B183" s="25">
        <v>18650</v>
      </c>
      <c r="C183" s="26">
        <v>42761</v>
      </c>
      <c r="D183" s="25" t="s">
        <v>56</v>
      </c>
      <c r="F183" s="51"/>
      <c r="G183" s="25">
        <v>1.5</v>
      </c>
      <c r="H183" s="25">
        <v>-4.3</v>
      </c>
      <c r="I183" s="25">
        <v>7.4</v>
      </c>
      <c r="J183" s="25">
        <f t="shared" si="13"/>
        <v>1240.0999999999999</v>
      </c>
      <c r="K183" s="25">
        <f t="shared" si="18"/>
        <v>165.5</v>
      </c>
      <c r="L183" s="27"/>
      <c r="M183" s="25">
        <v>0</v>
      </c>
      <c r="N183" s="25">
        <v>0.6</v>
      </c>
      <c r="O183" s="25">
        <f t="shared" si="10"/>
        <v>-0.6</v>
      </c>
      <c r="P183" s="25">
        <f t="shared" si="16"/>
        <v>45.3</v>
      </c>
      <c r="Q183" s="25">
        <v>129</v>
      </c>
      <c r="R183" s="25">
        <v>1</v>
      </c>
      <c r="S183" s="25">
        <f t="shared" si="11"/>
        <v>0.6</v>
      </c>
      <c r="T183" s="28">
        <f t="shared" si="12"/>
        <v>-0.6</v>
      </c>
      <c r="U183" s="24">
        <f t="shared" si="17"/>
        <v>66.489999999999995</v>
      </c>
      <c r="V183" s="27"/>
      <c r="W183" s="25">
        <v>628.29999999999995</v>
      </c>
      <c r="Y183" s="25">
        <f t="shared" si="14"/>
        <v>86128.3</v>
      </c>
      <c r="Z183" s="25">
        <f t="shared" si="19"/>
        <v>18621.599999999999</v>
      </c>
      <c r="AA183" s="25">
        <v>9.4236060550536536</v>
      </c>
    </row>
    <row r="184" spans="1:28" ht="15" customHeight="1" x14ac:dyDescent="0.25">
      <c r="A184">
        <v>5080</v>
      </c>
      <c r="B184">
        <v>18650</v>
      </c>
      <c r="C184" s="1">
        <v>42762</v>
      </c>
      <c r="F184" s="43" t="s">
        <v>57</v>
      </c>
      <c r="G184">
        <v>8.8000000000000007</v>
      </c>
      <c r="H184">
        <v>3.2</v>
      </c>
      <c r="I184">
        <v>11.5</v>
      </c>
      <c r="J184">
        <f t="shared" si="13"/>
        <v>1248.8999999999999</v>
      </c>
      <c r="K184">
        <v>8.8000000000000007</v>
      </c>
      <c r="L184" s="22" t="s">
        <v>34</v>
      </c>
      <c r="M184">
        <v>0.1</v>
      </c>
      <c r="N184">
        <v>1.3</v>
      </c>
      <c r="O184">
        <f t="shared" ref="O184:O247" si="20">M184-N184</f>
        <v>-1.2</v>
      </c>
      <c r="P184">
        <f t="shared" si="16"/>
        <v>44.099999999999994</v>
      </c>
      <c r="Q184">
        <v>130</v>
      </c>
      <c r="R184">
        <f>1+((Q184-129)/51)*(1.15-1)</f>
        <v>1.0029411764705882</v>
      </c>
      <c r="S184">
        <f t="shared" ref="S184:S247" si="21">R184*N184</f>
        <v>1.3038235294117648</v>
      </c>
      <c r="T184" s="24">
        <f t="shared" ref="T184:T247" si="22">M184-S184</f>
        <v>-1.2038235294117647</v>
      </c>
      <c r="U184" s="24">
        <f t="shared" si="17"/>
        <v>65.286176470588231</v>
      </c>
      <c r="V184" s="30" t="s">
        <v>41</v>
      </c>
      <c r="W184">
        <v>335.9</v>
      </c>
      <c r="Y184">
        <f t="shared" si="14"/>
        <v>86464.2</v>
      </c>
      <c r="Z184">
        <f>W184</f>
        <v>335.9</v>
      </c>
      <c r="AA184">
        <v>9.4597242528244561</v>
      </c>
      <c r="AB184" s="30" t="s">
        <v>46</v>
      </c>
    </row>
    <row r="185" spans="1:28" x14ac:dyDescent="0.25">
      <c r="A185">
        <v>5080</v>
      </c>
      <c r="B185">
        <v>18650</v>
      </c>
      <c r="C185" s="1">
        <v>42763</v>
      </c>
      <c r="F185" s="43"/>
      <c r="G185">
        <v>7.3</v>
      </c>
      <c r="H185">
        <v>7</v>
      </c>
      <c r="I185">
        <v>10.3</v>
      </c>
      <c r="J185">
        <f t="shared" ref="J185:J248" si="23">J184+G185</f>
        <v>1256.1999999999998</v>
      </c>
      <c r="K185">
        <f t="shared" si="18"/>
        <v>16.100000000000001</v>
      </c>
      <c r="L185" s="8">
        <v>492.4</v>
      </c>
      <c r="M185">
        <v>0</v>
      </c>
      <c r="N185">
        <v>1.1000000000000001</v>
      </c>
      <c r="O185">
        <f t="shared" si="20"/>
        <v>-1.1000000000000001</v>
      </c>
      <c r="P185">
        <f t="shared" si="16"/>
        <v>42.999999999999993</v>
      </c>
      <c r="Q185">
        <v>131</v>
      </c>
      <c r="R185">
        <f t="shared" ref="R185:R234" si="24">1+((Q185-129)/51)*(1.15-1)</f>
        <v>1.0058823529411764</v>
      </c>
      <c r="S185">
        <f t="shared" si="21"/>
        <v>1.1064705882352941</v>
      </c>
      <c r="T185" s="24">
        <f t="shared" si="22"/>
        <v>-1.1064705882352941</v>
      </c>
      <c r="U185" s="24">
        <f t="shared" si="17"/>
        <v>64.179705882352934</v>
      </c>
      <c r="V185">
        <v>0</v>
      </c>
      <c r="W185">
        <v>652.70000000000005</v>
      </c>
      <c r="Y185">
        <f t="shared" ref="Y185:Y248" si="25">Y184+W185</f>
        <v>87116.9</v>
      </c>
      <c r="Z185">
        <f t="shared" si="19"/>
        <v>988.6</v>
      </c>
      <c r="AA185">
        <v>9.4965185968459753</v>
      </c>
      <c r="AB185">
        <v>43852.7</v>
      </c>
    </row>
    <row r="186" spans="1:28" x14ac:dyDescent="0.25">
      <c r="A186">
        <v>5080</v>
      </c>
      <c r="B186">
        <v>18650</v>
      </c>
      <c r="C186" s="1">
        <v>42764</v>
      </c>
      <c r="F186" s="43"/>
      <c r="G186">
        <v>7.2</v>
      </c>
      <c r="H186">
        <v>2.2000000000000002</v>
      </c>
      <c r="I186">
        <v>11.3</v>
      </c>
      <c r="J186">
        <f t="shared" si="23"/>
        <v>1263.3999999999999</v>
      </c>
      <c r="K186">
        <f t="shared" si="18"/>
        <v>23.3</v>
      </c>
      <c r="L186" s="22" t="s">
        <v>35</v>
      </c>
      <c r="M186">
        <v>0.1</v>
      </c>
      <c r="N186">
        <v>1.3</v>
      </c>
      <c r="O186">
        <f t="shared" si="20"/>
        <v>-1.2</v>
      </c>
      <c r="P186">
        <f t="shared" si="16"/>
        <v>41.79999999999999</v>
      </c>
      <c r="Q186">
        <v>132</v>
      </c>
      <c r="R186">
        <f t="shared" si="24"/>
        <v>1.0088235294117647</v>
      </c>
      <c r="S186">
        <f t="shared" si="21"/>
        <v>1.3114705882352942</v>
      </c>
      <c r="T186" s="24">
        <f t="shared" si="22"/>
        <v>-1.2114705882352941</v>
      </c>
      <c r="U186" s="24">
        <f t="shared" si="17"/>
        <v>62.96823529411764</v>
      </c>
      <c r="V186" s="30" t="s">
        <v>42</v>
      </c>
      <c r="W186">
        <v>914.2</v>
      </c>
      <c r="Y186">
        <f t="shared" si="25"/>
        <v>88031.099999999991</v>
      </c>
      <c r="Z186">
        <f t="shared" si="19"/>
        <v>1902.8000000000002</v>
      </c>
      <c r="AA186">
        <v>9.5339703307647241</v>
      </c>
      <c r="AB186" s="30" t="s">
        <v>47</v>
      </c>
    </row>
    <row r="187" spans="1:28" x14ac:dyDescent="0.25">
      <c r="A187">
        <v>5080</v>
      </c>
      <c r="B187">
        <v>18650</v>
      </c>
      <c r="C187" s="1">
        <v>42765</v>
      </c>
      <c r="F187" s="43"/>
      <c r="G187">
        <v>9.6</v>
      </c>
      <c r="H187">
        <v>7.6</v>
      </c>
      <c r="I187">
        <v>11.2</v>
      </c>
      <c r="J187">
        <f t="shared" si="23"/>
        <v>1272.9999999999998</v>
      </c>
      <c r="K187">
        <f t="shared" si="18"/>
        <v>32.9</v>
      </c>
      <c r="L187" s="8">
        <f>AVERAGE(G184:G234)</f>
        <v>9.6549019607843114</v>
      </c>
      <c r="M187">
        <v>0.1</v>
      </c>
      <c r="N187">
        <v>0.8</v>
      </c>
      <c r="O187">
        <f t="shared" si="20"/>
        <v>-0.70000000000000007</v>
      </c>
      <c r="P187">
        <f t="shared" si="16"/>
        <v>41.099999999999987</v>
      </c>
      <c r="Q187">
        <v>133</v>
      </c>
      <c r="R187">
        <f t="shared" si="24"/>
        <v>1.0117647058823529</v>
      </c>
      <c r="S187">
        <f t="shared" si="21"/>
        <v>0.80941176470588239</v>
      </c>
      <c r="T187" s="24">
        <f t="shared" si="22"/>
        <v>-0.70941176470588241</v>
      </c>
      <c r="U187" s="24">
        <f t="shared" si="17"/>
        <v>62.258823529411757</v>
      </c>
      <c r="V187">
        <v>0</v>
      </c>
      <c r="W187">
        <v>414.4</v>
      </c>
      <c r="Y187">
        <f t="shared" si="25"/>
        <v>88445.499999999985</v>
      </c>
      <c r="Z187">
        <f t="shared" si="19"/>
        <v>2317.2000000000003</v>
      </c>
      <c r="AA187">
        <v>9.5720608092871711</v>
      </c>
      <c r="AB187">
        <f>(AB185/100)/L185</f>
        <v>0.89059098294069861</v>
      </c>
    </row>
    <row r="188" spans="1:28" x14ac:dyDescent="0.25">
      <c r="A188">
        <v>5080</v>
      </c>
      <c r="B188">
        <v>18650</v>
      </c>
      <c r="C188" s="1">
        <v>42766</v>
      </c>
      <c r="F188" s="43"/>
      <c r="G188">
        <v>10.3</v>
      </c>
      <c r="H188">
        <v>8</v>
      </c>
      <c r="I188">
        <v>13</v>
      </c>
      <c r="J188">
        <f t="shared" si="23"/>
        <v>1283.2999999999997</v>
      </c>
      <c r="K188">
        <f t="shared" si="18"/>
        <v>43.2</v>
      </c>
      <c r="L188" s="22" t="s">
        <v>36</v>
      </c>
      <c r="M188">
        <v>0.1</v>
      </c>
      <c r="N188">
        <v>1.7</v>
      </c>
      <c r="O188">
        <f t="shared" si="20"/>
        <v>-1.5999999999999999</v>
      </c>
      <c r="P188">
        <f t="shared" si="16"/>
        <v>39.499999999999986</v>
      </c>
      <c r="Q188">
        <v>134</v>
      </c>
      <c r="R188">
        <f t="shared" si="24"/>
        <v>1.0147058823529411</v>
      </c>
      <c r="S188">
        <f t="shared" si="21"/>
        <v>1.7249999999999999</v>
      </c>
      <c r="T188" s="24">
        <f t="shared" si="22"/>
        <v>-1.6249999999999998</v>
      </c>
      <c r="U188" s="24">
        <f t="shared" si="17"/>
        <v>60.633823529411757</v>
      </c>
      <c r="V188" s="30" t="s">
        <v>43</v>
      </c>
      <c r="W188">
        <v>841.2</v>
      </c>
      <c r="Y188">
        <f t="shared" si="25"/>
        <v>89286.699999999983</v>
      </c>
      <c r="Z188">
        <f t="shared" si="19"/>
        <v>3158.4000000000005</v>
      </c>
      <c r="AA188">
        <v>9.6107715203295658</v>
      </c>
      <c r="AB188" s="30" t="s">
        <v>48</v>
      </c>
    </row>
    <row r="189" spans="1:28" x14ac:dyDescent="0.25">
      <c r="A189">
        <v>5080</v>
      </c>
      <c r="B189">
        <v>18650</v>
      </c>
      <c r="C189" s="1">
        <v>42767</v>
      </c>
      <c r="F189" s="43"/>
      <c r="G189">
        <v>11.8</v>
      </c>
      <c r="H189">
        <v>10.3</v>
      </c>
      <c r="I189">
        <v>15.4</v>
      </c>
      <c r="J189">
        <f t="shared" si="23"/>
        <v>1295.0999999999997</v>
      </c>
      <c r="K189">
        <f t="shared" si="18"/>
        <v>55</v>
      </c>
      <c r="L189" s="12">
        <f>MIN(H184:H234)</f>
        <v>0.5</v>
      </c>
      <c r="M189">
        <v>0</v>
      </c>
      <c r="N189">
        <v>1.9</v>
      </c>
      <c r="O189">
        <f t="shared" si="20"/>
        <v>-1.9</v>
      </c>
      <c r="P189">
        <f t="shared" si="16"/>
        <v>37.599999999999987</v>
      </c>
      <c r="Q189">
        <v>135</v>
      </c>
      <c r="R189">
        <f t="shared" si="24"/>
        <v>1.0176470588235293</v>
      </c>
      <c r="S189">
        <f t="shared" si="21"/>
        <v>1.9335294117647057</v>
      </c>
      <c r="T189" s="24">
        <f t="shared" si="22"/>
        <v>-1.9335294117647057</v>
      </c>
      <c r="U189" s="24">
        <f t="shared" si="17"/>
        <v>58.700294117647054</v>
      </c>
      <c r="V189" s="24">
        <f>MIN(U184:U234)</f>
        <v>58.700294117647054</v>
      </c>
      <c r="W189">
        <v>464.4</v>
      </c>
      <c r="Y189">
        <f t="shared" si="25"/>
        <v>89751.099999999977</v>
      </c>
      <c r="Z189">
        <f t="shared" si="19"/>
        <v>3622.8000000000006</v>
      </c>
      <c r="AA189">
        <v>9.6500841057422964</v>
      </c>
      <c r="AB189">
        <v>33</v>
      </c>
    </row>
    <row r="190" spans="1:28" x14ac:dyDescent="0.25">
      <c r="A190">
        <v>5080</v>
      </c>
      <c r="B190">
        <v>18650</v>
      </c>
      <c r="C190" s="1">
        <v>42768</v>
      </c>
      <c r="F190" s="43"/>
      <c r="G190">
        <v>10.5</v>
      </c>
      <c r="H190">
        <v>9.6</v>
      </c>
      <c r="I190">
        <v>13</v>
      </c>
      <c r="J190">
        <f t="shared" si="23"/>
        <v>1305.5999999999997</v>
      </c>
      <c r="K190">
        <f t="shared" si="18"/>
        <v>65.5</v>
      </c>
      <c r="L190" s="22" t="s">
        <v>37</v>
      </c>
      <c r="M190">
        <v>2.1</v>
      </c>
      <c r="N190">
        <v>1.4</v>
      </c>
      <c r="O190">
        <f t="shared" si="20"/>
        <v>0.70000000000000018</v>
      </c>
      <c r="P190">
        <f t="shared" si="16"/>
        <v>38.29999999999999</v>
      </c>
      <c r="Q190">
        <v>136</v>
      </c>
      <c r="R190">
        <f t="shared" si="24"/>
        <v>1.0205882352941176</v>
      </c>
      <c r="S190">
        <f t="shared" si="21"/>
        <v>1.4288235294117646</v>
      </c>
      <c r="T190" s="24">
        <f t="shared" si="22"/>
        <v>0.67117647058823549</v>
      </c>
      <c r="U190" s="24">
        <f t="shared" si="17"/>
        <v>59.37147058823529</v>
      </c>
      <c r="V190" s="30" t="s">
        <v>44</v>
      </c>
      <c r="W190">
        <v>217.9</v>
      </c>
      <c r="Y190">
        <f t="shared" si="25"/>
        <v>89968.999999999971</v>
      </c>
      <c r="Z190">
        <f t="shared" si="19"/>
        <v>3840.7000000000007</v>
      </c>
      <c r="AA190">
        <v>9.6899803806056131</v>
      </c>
    </row>
    <row r="191" spans="1:28" x14ac:dyDescent="0.25">
      <c r="A191">
        <v>5080</v>
      </c>
      <c r="B191">
        <v>18650</v>
      </c>
      <c r="C191" s="1">
        <v>42769</v>
      </c>
      <c r="F191" s="43"/>
      <c r="G191">
        <v>8.1</v>
      </c>
      <c r="H191">
        <v>4.5999999999999996</v>
      </c>
      <c r="I191">
        <v>12.6</v>
      </c>
      <c r="J191">
        <f t="shared" si="23"/>
        <v>1313.6999999999996</v>
      </c>
      <c r="K191">
        <f t="shared" si="18"/>
        <v>73.599999999999994</v>
      </c>
      <c r="L191" s="8">
        <f>MAX(I184:I234)</f>
        <v>19.3</v>
      </c>
      <c r="M191">
        <v>6.2</v>
      </c>
      <c r="N191">
        <v>1.2</v>
      </c>
      <c r="O191">
        <f t="shared" si="20"/>
        <v>5</v>
      </c>
      <c r="P191">
        <f t="shared" si="16"/>
        <v>43.29999999999999</v>
      </c>
      <c r="Q191">
        <v>137</v>
      </c>
      <c r="R191">
        <f t="shared" si="24"/>
        <v>1.0235294117647058</v>
      </c>
      <c r="S191">
        <f t="shared" si="21"/>
        <v>1.2282352941176469</v>
      </c>
      <c r="T191" s="24">
        <f t="shared" si="22"/>
        <v>4.9717647058823538</v>
      </c>
      <c r="U191" s="24">
        <f t="shared" si="17"/>
        <v>64.343235294117648</v>
      </c>
      <c r="V191" s="24">
        <f>MAX(U184:U234)</f>
        <v>106.22558823529414</v>
      </c>
      <c r="W191">
        <v>560.20000000000005</v>
      </c>
      <c r="Y191">
        <f t="shared" si="25"/>
        <v>90529.199999999968</v>
      </c>
      <c r="Z191">
        <f t="shared" si="19"/>
        <v>4400.9000000000005</v>
      </c>
      <c r="AA191">
        <v>9.7304423511000877</v>
      </c>
    </row>
    <row r="192" spans="1:28" x14ac:dyDescent="0.25">
      <c r="A192">
        <v>5080</v>
      </c>
      <c r="B192">
        <v>18650</v>
      </c>
      <c r="C192" s="1">
        <v>42770</v>
      </c>
      <c r="F192" s="43"/>
      <c r="G192">
        <v>9.9</v>
      </c>
      <c r="H192">
        <v>7.4</v>
      </c>
      <c r="I192">
        <v>12</v>
      </c>
      <c r="J192">
        <f t="shared" si="23"/>
        <v>1323.5999999999997</v>
      </c>
      <c r="K192">
        <f t="shared" si="18"/>
        <v>83.5</v>
      </c>
      <c r="L192" s="22" t="s">
        <v>38</v>
      </c>
      <c r="M192">
        <v>19.100000000000001</v>
      </c>
      <c r="N192">
        <v>1.5</v>
      </c>
      <c r="O192">
        <f t="shared" si="20"/>
        <v>17.600000000000001</v>
      </c>
      <c r="P192">
        <f t="shared" si="16"/>
        <v>60.899999999999991</v>
      </c>
      <c r="Q192">
        <v>138</v>
      </c>
      <c r="R192">
        <f t="shared" si="24"/>
        <v>1.026470588235294</v>
      </c>
      <c r="S192">
        <f t="shared" si="21"/>
        <v>1.539705882352941</v>
      </c>
      <c r="T192" s="24">
        <f t="shared" si="22"/>
        <v>17.560294117647061</v>
      </c>
      <c r="U192" s="24">
        <f t="shared" si="17"/>
        <v>81.903529411764708</v>
      </c>
      <c r="V192" s="30" t="s">
        <v>45</v>
      </c>
      <c r="W192">
        <v>638.1</v>
      </c>
      <c r="Y192">
        <f t="shared" si="25"/>
        <v>91167.299999999974</v>
      </c>
      <c r="Z192">
        <f t="shared" si="19"/>
        <v>5039.0000000000009</v>
      </c>
      <c r="AA192">
        <v>9.7714522309610548</v>
      </c>
    </row>
    <row r="193" spans="1:29" x14ac:dyDescent="0.25">
      <c r="A193">
        <v>5080</v>
      </c>
      <c r="B193">
        <v>18650</v>
      </c>
      <c r="C193" s="1">
        <v>42771</v>
      </c>
      <c r="F193" s="43"/>
      <c r="G193">
        <v>7.9</v>
      </c>
      <c r="H193">
        <v>7.9</v>
      </c>
      <c r="I193">
        <v>8.4</v>
      </c>
      <c r="J193">
        <f t="shared" si="23"/>
        <v>1331.4999999999998</v>
      </c>
      <c r="K193">
        <f t="shared" si="18"/>
        <v>91.4</v>
      </c>
      <c r="L193" s="8">
        <v>0</v>
      </c>
      <c r="M193">
        <v>7.1</v>
      </c>
      <c r="N193">
        <v>1.1000000000000001</v>
      </c>
      <c r="O193">
        <f t="shared" si="20"/>
        <v>6</v>
      </c>
      <c r="P193">
        <f t="shared" si="16"/>
        <v>66.899999999999991</v>
      </c>
      <c r="Q193">
        <v>139</v>
      </c>
      <c r="R193">
        <f t="shared" si="24"/>
        <v>1.0294117647058822</v>
      </c>
      <c r="S193">
        <f t="shared" si="21"/>
        <v>1.1323529411764706</v>
      </c>
      <c r="T193" s="24">
        <f t="shared" si="22"/>
        <v>5.9676470588235286</v>
      </c>
      <c r="U193" s="24">
        <f t="shared" si="17"/>
        <v>87.871176470588239</v>
      </c>
      <c r="V193" s="21">
        <f>AVERAGE(U184:U234)</f>
        <v>81.897704728950401</v>
      </c>
      <c r="W193">
        <v>225.3</v>
      </c>
      <c r="Y193">
        <f t="shared" si="25"/>
        <v>91392.599999999977</v>
      </c>
      <c r="Z193">
        <f t="shared" si="19"/>
        <v>5264.3000000000011</v>
      </c>
      <c r="AA193">
        <v>9.8129924565316671</v>
      </c>
    </row>
    <row r="194" spans="1:29" x14ac:dyDescent="0.25">
      <c r="A194">
        <v>5080</v>
      </c>
      <c r="B194">
        <v>18650</v>
      </c>
      <c r="C194" s="1">
        <v>42772</v>
      </c>
      <c r="F194" s="43"/>
      <c r="G194">
        <v>7.3</v>
      </c>
      <c r="H194">
        <v>5.7</v>
      </c>
      <c r="I194">
        <v>8.6</v>
      </c>
      <c r="J194">
        <f t="shared" si="23"/>
        <v>1338.7999999999997</v>
      </c>
      <c r="K194">
        <f t="shared" si="18"/>
        <v>98.7</v>
      </c>
      <c r="L194" s="22" t="s">
        <v>39</v>
      </c>
      <c r="M194">
        <v>3.4</v>
      </c>
      <c r="N194">
        <v>1.3</v>
      </c>
      <c r="O194">
        <f t="shared" si="20"/>
        <v>2.0999999999999996</v>
      </c>
      <c r="P194">
        <f t="shared" ref="P194:P257" si="26">P193+O194</f>
        <v>68.999999999999986</v>
      </c>
      <c r="Q194">
        <v>140</v>
      </c>
      <c r="R194">
        <f t="shared" si="24"/>
        <v>1.0323529411764705</v>
      </c>
      <c r="S194">
        <f t="shared" si="21"/>
        <v>1.3420588235294117</v>
      </c>
      <c r="T194" s="24">
        <f t="shared" si="22"/>
        <v>2.0579411764705879</v>
      </c>
      <c r="U194" s="24">
        <f t="shared" ref="U194:U257" si="27">MIN(U193+T194,155.7)</f>
        <v>89.929117647058831</v>
      </c>
      <c r="W194">
        <v>858.1</v>
      </c>
      <c r="Y194">
        <f t="shared" si="25"/>
        <v>92250.699999999983</v>
      </c>
      <c r="Z194">
        <f t="shared" si="19"/>
        <v>6122.4000000000015</v>
      </c>
      <c r="AA194">
        <v>9.8550457004341947</v>
      </c>
    </row>
    <row r="195" spans="1:29" x14ac:dyDescent="0.25">
      <c r="A195">
        <v>5080</v>
      </c>
      <c r="B195">
        <v>18650</v>
      </c>
      <c r="C195" s="1">
        <v>42773</v>
      </c>
      <c r="F195" s="43"/>
      <c r="G195">
        <v>9.6999999999999993</v>
      </c>
      <c r="H195">
        <v>7</v>
      </c>
      <c r="I195">
        <v>12.9</v>
      </c>
      <c r="J195">
        <f t="shared" si="23"/>
        <v>1348.4999999999998</v>
      </c>
      <c r="K195">
        <f t="shared" si="18"/>
        <v>108.4</v>
      </c>
      <c r="L195" s="8">
        <v>20</v>
      </c>
      <c r="M195">
        <v>5.6</v>
      </c>
      <c r="N195">
        <v>0.9</v>
      </c>
      <c r="O195">
        <f t="shared" si="20"/>
        <v>4.6999999999999993</v>
      </c>
      <c r="P195">
        <f t="shared" si="26"/>
        <v>73.699999999999989</v>
      </c>
      <c r="Q195">
        <v>141</v>
      </c>
      <c r="R195">
        <f t="shared" si="24"/>
        <v>1.0352941176470587</v>
      </c>
      <c r="S195">
        <f t="shared" si="21"/>
        <v>0.93176470588235283</v>
      </c>
      <c r="T195" s="24">
        <f t="shared" si="22"/>
        <v>4.6682352941176468</v>
      </c>
      <c r="U195" s="24">
        <f t="shared" si="27"/>
        <v>94.597352941176482</v>
      </c>
      <c r="V195" s="8">
        <f>(V193*100)/155.7</f>
        <v>52.599681906840338</v>
      </c>
      <c r="W195">
        <v>341.3</v>
      </c>
      <c r="Y195">
        <f t="shared" si="25"/>
        <v>92591.999999999985</v>
      </c>
      <c r="Z195">
        <f t="shared" si="19"/>
        <v>6463.7000000000016</v>
      </c>
      <c r="AA195">
        <v>9.8975948838835031</v>
      </c>
    </row>
    <row r="196" spans="1:29" x14ac:dyDescent="0.25">
      <c r="A196">
        <v>5080</v>
      </c>
      <c r="B196">
        <v>18650</v>
      </c>
      <c r="C196" s="1">
        <v>42774</v>
      </c>
      <c r="F196" s="43"/>
      <c r="G196">
        <v>5.5</v>
      </c>
      <c r="H196">
        <v>3.8</v>
      </c>
      <c r="I196">
        <v>6.7</v>
      </c>
      <c r="J196">
        <f t="shared" si="23"/>
        <v>1353.9999999999998</v>
      </c>
      <c r="K196">
        <f t="shared" si="18"/>
        <v>113.9</v>
      </c>
      <c r="L196" s="22" t="s">
        <v>40</v>
      </c>
      <c r="M196">
        <v>0.8</v>
      </c>
      <c r="N196">
        <v>0.7</v>
      </c>
      <c r="O196">
        <f t="shared" si="20"/>
        <v>0.10000000000000009</v>
      </c>
      <c r="P196">
        <f t="shared" si="26"/>
        <v>73.799999999999983</v>
      </c>
      <c r="Q196">
        <v>142</v>
      </c>
      <c r="R196">
        <f t="shared" si="24"/>
        <v>1.0382352941176469</v>
      </c>
      <c r="S196">
        <f t="shared" si="21"/>
        <v>0.72676470588235276</v>
      </c>
      <c r="T196" s="24">
        <f t="shared" si="22"/>
        <v>7.3235294117647287E-2</v>
      </c>
      <c r="U196" s="24">
        <f t="shared" si="27"/>
        <v>94.670588235294133</v>
      </c>
      <c r="W196">
        <v>346.9</v>
      </c>
      <c r="Y196">
        <f t="shared" si="25"/>
        <v>92938.89999999998</v>
      </c>
      <c r="Z196">
        <f t="shared" si="19"/>
        <v>6810.6000000000013</v>
      </c>
      <c r="AA196">
        <v>9.940623187670619</v>
      </c>
    </row>
    <row r="197" spans="1:29" x14ac:dyDescent="0.25">
      <c r="A197">
        <v>5080</v>
      </c>
      <c r="B197">
        <v>18650</v>
      </c>
      <c r="C197" s="1">
        <v>42775</v>
      </c>
      <c r="F197" s="43"/>
      <c r="G197">
        <v>5.0999999999999996</v>
      </c>
      <c r="H197">
        <v>4</v>
      </c>
      <c r="I197">
        <v>8.6</v>
      </c>
      <c r="J197">
        <f t="shared" si="23"/>
        <v>1359.0999999999997</v>
      </c>
      <c r="K197">
        <f t="shared" si="18"/>
        <v>119</v>
      </c>
      <c r="L197" s="8">
        <v>0</v>
      </c>
      <c r="M197">
        <v>0</v>
      </c>
      <c r="N197">
        <v>1.3</v>
      </c>
      <c r="O197">
        <f t="shared" si="20"/>
        <v>-1.3</v>
      </c>
      <c r="P197">
        <f t="shared" si="26"/>
        <v>72.499999999999986</v>
      </c>
      <c r="Q197">
        <v>143</v>
      </c>
      <c r="R197">
        <f t="shared" si="24"/>
        <v>1.0411764705882354</v>
      </c>
      <c r="S197">
        <f t="shared" si="21"/>
        <v>1.3535294117647061</v>
      </c>
      <c r="T197" s="24">
        <f t="shared" si="22"/>
        <v>-1.3535294117647061</v>
      </c>
      <c r="U197" s="24">
        <f t="shared" si="27"/>
        <v>93.317058823529422</v>
      </c>
      <c r="W197">
        <v>861.9</v>
      </c>
      <c r="Y197">
        <f t="shared" si="25"/>
        <v>93800.799999999974</v>
      </c>
      <c r="Z197">
        <f t="shared" si="19"/>
        <v>7672.5000000000009</v>
      </c>
      <c r="AA197">
        <v>9.9841140618476647</v>
      </c>
    </row>
    <row r="198" spans="1:29" x14ac:dyDescent="0.25">
      <c r="A198">
        <v>5080</v>
      </c>
      <c r="B198">
        <v>18650</v>
      </c>
      <c r="C198" s="1">
        <v>42776</v>
      </c>
      <c r="F198" s="43"/>
      <c r="G198">
        <v>6</v>
      </c>
      <c r="H198">
        <v>0.5</v>
      </c>
      <c r="I198">
        <v>11.1</v>
      </c>
      <c r="J198">
        <f t="shared" si="23"/>
        <v>1365.0999999999997</v>
      </c>
      <c r="K198">
        <f t="shared" si="18"/>
        <v>125</v>
      </c>
      <c r="M198">
        <v>0.1</v>
      </c>
      <c r="N198">
        <v>1</v>
      </c>
      <c r="O198">
        <f t="shared" si="20"/>
        <v>-0.9</v>
      </c>
      <c r="P198">
        <f t="shared" si="26"/>
        <v>71.59999999999998</v>
      </c>
      <c r="Q198">
        <v>144</v>
      </c>
      <c r="R198">
        <f t="shared" si="24"/>
        <v>1.0441176470588236</v>
      </c>
      <c r="S198">
        <f t="shared" si="21"/>
        <v>1.0441176470588236</v>
      </c>
      <c r="T198" s="24">
        <f t="shared" si="22"/>
        <v>-0.94411764705882362</v>
      </c>
      <c r="U198" s="24">
        <f t="shared" si="27"/>
        <v>92.372941176470604</v>
      </c>
      <c r="W198">
        <v>652.20000000000005</v>
      </c>
      <c r="Y198">
        <f t="shared" si="25"/>
        <v>94452.999999999971</v>
      </c>
      <c r="Z198">
        <f t="shared" si="19"/>
        <v>8324.7000000000007</v>
      </c>
      <c r="AA198">
        <v>10.02805123414848</v>
      </c>
    </row>
    <row r="199" spans="1:29" x14ac:dyDescent="0.25">
      <c r="A199">
        <v>5080</v>
      </c>
      <c r="B199">
        <v>18650</v>
      </c>
      <c r="C199" s="1">
        <v>42777</v>
      </c>
      <c r="F199" s="43"/>
      <c r="G199">
        <v>6.1</v>
      </c>
      <c r="H199">
        <v>1.5</v>
      </c>
      <c r="I199">
        <v>11.4</v>
      </c>
      <c r="J199">
        <f t="shared" si="23"/>
        <v>1371.1999999999996</v>
      </c>
      <c r="K199">
        <f t="shared" si="18"/>
        <v>131.1</v>
      </c>
      <c r="M199">
        <v>0</v>
      </c>
      <c r="N199">
        <v>0.7</v>
      </c>
      <c r="O199">
        <f t="shared" si="20"/>
        <v>-0.7</v>
      </c>
      <c r="P199">
        <f t="shared" si="26"/>
        <v>70.899999999999977</v>
      </c>
      <c r="Q199">
        <v>145</v>
      </c>
      <c r="R199">
        <f t="shared" si="24"/>
        <v>1.0470588235294118</v>
      </c>
      <c r="S199">
        <f t="shared" si="21"/>
        <v>0.73294117647058821</v>
      </c>
      <c r="T199" s="24">
        <f t="shared" si="22"/>
        <v>-0.73294117647058821</v>
      </c>
      <c r="U199" s="24">
        <f t="shared" si="27"/>
        <v>91.640000000000015</v>
      </c>
      <c r="W199">
        <v>801</v>
      </c>
      <c r="Y199">
        <f t="shared" si="25"/>
        <v>95253.999999999971</v>
      </c>
      <c r="Z199">
        <f t="shared" si="19"/>
        <v>9125.7000000000007</v>
      </c>
      <c r="AA199">
        <v>10.072418717181726</v>
      </c>
    </row>
    <row r="200" spans="1:29" x14ac:dyDescent="0.25">
      <c r="A200">
        <v>5080</v>
      </c>
      <c r="B200">
        <v>18650</v>
      </c>
      <c r="C200" s="1">
        <v>42778</v>
      </c>
      <c r="F200" s="43"/>
      <c r="G200">
        <v>11.9</v>
      </c>
      <c r="H200">
        <v>9</v>
      </c>
      <c r="I200">
        <v>12.8</v>
      </c>
      <c r="J200">
        <f t="shared" si="23"/>
        <v>1383.0999999999997</v>
      </c>
      <c r="K200">
        <f t="shared" si="18"/>
        <v>143</v>
      </c>
      <c r="M200">
        <v>0</v>
      </c>
      <c r="N200">
        <v>2</v>
      </c>
      <c r="O200">
        <f t="shared" si="20"/>
        <v>-2</v>
      </c>
      <c r="P200">
        <f t="shared" si="26"/>
        <v>68.899999999999977</v>
      </c>
      <c r="Q200">
        <v>146</v>
      </c>
      <c r="R200">
        <f t="shared" si="24"/>
        <v>1.05</v>
      </c>
      <c r="S200">
        <f t="shared" si="21"/>
        <v>2.1</v>
      </c>
      <c r="T200" s="24">
        <f t="shared" si="22"/>
        <v>-2.1</v>
      </c>
      <c r="U200" s="24">
        <f t="shared" si="27"/>
        <v>89.54000000000002</v>
      </c>
      <c r="W200">
        <v>948.8</v>
      </c>
      <c r="Y200">
        <f t="shared" si="25"/>
        <v>96202.799999999974</v>
      </c>
      <c r="Z200">
        <f t="shared" si="19"/>
        <v>10074.5</v>
      </c>
      <c r="AA200">
        <v>10.117200814435394</v>
      </c>
    </row>
    <row r="201" spans="1:29" x14ac:dyDescent="0.25">
      <c r="A201">
        <v>5080</v>
      </c>
      <c r="B201">
        <v>18650</v>
      </c>
      <c r="C201" s="1">
        <v>42779</v>
      </c>
      <c r="F201" s="43"/>
      <c r="G201">
        <v>12.8</v>
      </c>
      <c r="H201">
        <v>12.3</v>
      </c>
      <c r="I201">
        <v>13.5</v>
      </c>
      <c r="J201">
        <f t="shared" si="23"/>
        <v>1395.8999999999996</v>
      </c>
      <c r="K201">
        <f t="shared" si="18"/>
        <v>155.80000000000001</v>
      </c>
      <c r="M201">
        <v>0.5</v>
      </c>
      <c r="N201">
        <v>3</v>
      </c>
      <c r="O201">
        <f t="shared" si="20"/>
        <v>-2.5</v>
      </c>
      <c r="P201">
        <f t="shared" si="26"/>
        <v>66.399999999999977</v>
      </c>
      <c r="Q201">
        <v>147</v>
      </c>
      <c r="R201">
        <f t="shared" si="24"/>
        <v>1.0529411764705883</v>
      </c>
      <c r="S201">
        <f t="shared" si="21"/>
        <v>3.158823529411765</v>
      </c>
      <c r="T201" s="24">
        <f t="shared" si="22"/>
        <v>-2.658823529411765</v>
      </c>
      <c r="U201" s="24">
        <f t="shared" si="27"/>
        <v>86.881176470588258</v>
      </c>
      <c r="W201">
        <v>671.7</v>
      </c>
      <c r="Y201">
        <f t="shared" si="25"/>
        <v>96874.499999999971</v>
      </c>
      <c r="Z201">
        <f t="shared" si="19"/>
        <v>10746.2</v>
      </c>
      <c r="AA201">
        <v>10.162382125133361</v>
      </c>
    </row>
    <row r="202" spans="1:29" x14ac:dyDescent="0.25">
      <c r="A202">
        <v>5080</v>
      </c>
      <c r="B202">
        <v>18650</v>
      </c>
      <c r="C202" s="1">
        <v>42780</v>
      </c>
      <c r="F202" s="43"/>
      <c r="G202">
        <v>11.5</v>
      </c>
      <c r="H202">
        <v>9.4</v>
      </c>
      <c r="I202">
        <v>13</v>
      </c>
      <c r="J202">
        <f t="shared" si="23"/>
        <v>1407.3999999999996</v>
      </c>
      <c r="K202">
        <f t="shared" si="18"/>
        <v>167.3</v>
      </c>
      <c r="M202">
        <v>0.6</v>
      </c>
      <c r="N202">
        <v>1.1000000000000001</v>
      </c>
      <c r="O202">
        <f t="shared" si="20"/>
        <v>-0.50000000000000011</v>
      </c>
      <c r="P202">
        <f t="shared" si="26"/>
        <v>65.899999999999977</v>
      </c>
      <c r="Q202">
        <v>148</v>
      </c>
      <c r="R202">
        <f t="shared" si="24"/>
        <v>1.0558823529411765</v>
      </c>
      <c r="S202">
        <f t="shared" si="21"/>
        <v>1.1614705882352943</v>
      </c>
      <c r="T202" s="24">
        <f t="shared" si="22"/>
        <v>-0.56147058823529428</v>
      </c>
      <c r="U202" s="24">
        <f t="shared" si="27"/>
        <v>86.319705882352963</v>
      </c>
      <c r="W202">
        <v>844.3</v>
      </c>
      <c r="Y202">
        <f t="shared" si="25"/>
        <v>97718.799999999974</v>
      </c>
      <c r="Z202">
        <f t="shared" si="19"/>
        <v>11590.5</v>
      </c>
      <c r="AA202">
        <v>10.207947547985997</v>
      </c>
    </row>
    <row r="203" spans="1:29" x14ac:dyDescent="0.25">
      <c r="A203">
        <v>5080</v>
      </c>
      <c r="B203">
        <v>18650</v>
      </c>
      <c r="C203" s="1">
        <v>42781</v>
      </c>
      <c r="F203" s="43"/>
      <c r="G203">
        <v>11.9</v>
      </c>
      <c r="H203">
        <v>9.6999999999999993</v>
      </c>
      <c r="I203">
        <v>15.4</v>
      </c>
      <c r="J203">
        <f t="shared" si="23"/>
        <v>1419.2999999999997</v>
      </c>
      <c r="K203">
        <f t="shared" si="18"/>
        <v>179.20000000000002</v>
      </c>
      <c r="M203">
        <v>0</v>
      </c>
      <c r="N203">
        <v>1.4</v>
      </c>
      <c r="O203">
        <f t="shared" si="20"/>
        <v>-1.4</v>
      </c>
      <c r="P203">
        <f t="shared" si="26"/>
        <v>64.499999999999972</v>
      </c>
      <c r="Q203">
        <v>149</v>
      </c>
      <c r="R203">
        <f t="shared" si="24"/>
        <v>1.0588235294117647</v>
      </c>
      <c r="S203">
        <f t="shared" si="21"/>
        <v>1.4823529411764704</v>
      </c>
      <c r="T203" s="24">
        <f t="shared" si="22"/>
        <v>-1.4823529411764704</v>
      </c>
      <c r="U203" s="24">
        <f t="shared" si="27"/>
        <v>84.837352941176491</v>
      </c>
      <c r="W203">
        <v>681.4</v>
      </c>
      <c r="Y203">
        <f t="shared" si="25"/>
        <v>98400.199999999968</v>
      </c>
      <c r="Z203">
        <f t="shared" si="19"/>
        <v>12271.9</v>
      </c>
      <c r="AA203">
        <v>10.253882283877795</v>
      </c>
    </row>
    <row r="204" spans="1:29" x14ac:dyDescent="0.25">
      <c r="A204">
        <v>5080</v>
      </c>
      <c r="B204">
        <v>18650</v>
      </c>
      <c r="C204" s="1">
        <v>42782</v>
      </c>
      <c r="F204" s="43"/>
      <c r="G204">
        <v>11.7</v>
      </c>
      <c r="H204">
        <v>7.4</v>
      </c>
      <c r="I204">
        <v>15.5</v>
      </c>
      <c r="J204">
        <f t="shared" si="23"/>
        <v>1430.9999999999998</v>
      </c>
      <c r="K204">
        <f t="shared" si="18"/>
        <v>190.9</v>
      </c>
      <c r="M204">
        <v>0</v>
      </c>
      <c r="N204">
        <v>1.6</v>
      </c>
      <c r="O204">
        <f t="shared" si="20"/>
        <v>-1.6</v>
      </c>
      <c r="P204">
        <f t="shared" si="26"/>
        <v>62.89999999999997</v>
      </c>
      <c r="Q204">
        <v>150</v>
      </c>
      <c r="R204">
        <f t="shared" si="24"/>
        <v>1.0617647058823529</v>
      </c>
      <c r="S204">
        <f t="shared" si="21"/>
        <v>1.6988235294117648</v>
      </c>
      <c r="T204" s="24">
        <f t="shared" si="22"/>
        <v>-1.6988235294117648</v>
      </c>
      <c r="U204" s="24">
        <f t="shared" si="27"/>
        <v>83.138529411764722</v>
      </c>
      <c r="W204">
        <v>1129.7</v>
      </c>
      <c r="Y204">
        <f t="shared" si="25"/>
        <v>99529.899999999965</v>
      </c>
      <c r="Z204">
        <f t="shared" si="19"/>
        <v>13401.6</v>
      </c>
      <c r="AA204">
        <v>10.300171837535729</v>
      </c>
    </row>
    <row r="205" spans="1:29" x14ac:dyDescent="0.25">
      <c r="A205">
        <v>5080</v>
      </c>
      <c r="B205">
        <v>18650</v>
      </c>
      <c r="C205" s="1">
        <v>42783</v>
      </c>
      <c r="F205" s="43"/>
      <c r="G205">
        <v>9.8000000000000007</v>
      </c>
      <c r="H205">
        <v>3.7</v>
      </c>
      <c r="I205">
        <v>14.8</v>
      </c>
      <c r="J205">
        <f t="shared" si="23"/>
        <v>1440.7999999999997</v>
      </c>
      <c r="K205">
        <f t="shared" si="18"/>
        <v>200.70000000000002</v>
      </c>
      <c r="M205">
        <v>0.1</v>
      </c>
      <c r="N205">
        <v>1.5</v>
      </c>
      <c r="O205">
        <f t="shared" si="20"/>
        <v>-1.4</v>
      </c>
      <c r="P205">
        <f t="shared" si="26"/>
        <v>61.499999999999972</v>
      </c>
      <c r="Q205">
        <v>151</v>
      </c>
      <c r="R205">
        <f t="shared" si="24"/>
        <v>1.0647058823529412</v>
      </c>
      <c r="S205">
        <f t="shared" si="21"/>
        <v>1.5970588235294119</v>
      </c>
      <c r="T205" s="24">
        <f t="shared" si="22"/>
        <v>-1.4970588235294118</v>
      </c>
      <c r="U205" s="24">
        <f t="shared" si="27"/>
        <v>81.641470588235308</v>
      </c>
      <c r="W205">
        <v>1174.3</v>
      </c>
      <c r="Y205">
        <f t="shared" si="25"/>
        <v>100704.19999999997</v>
      </c>
      <c r="Z205">
        <f t="shared" si="19"/>
        <v>14575.9</v>
      </c>
      <c r="AA205">
        <v>10.346802018222375</v>
      </c>
    </row>
    <row r="206" spans="1:29" x14ac:dyDescent="0.25">
      <c r="A206">
        <v>5080</v>
      </c>
      <c r="B206">
        <v>18650</v>
      </c>
      <c r="C206" s="1">
        <v>42784</v>
      </c>
      <c r="F206" s="43"/>
      <c r="G206">
        <v>9.1999999999999993</v>
      </c>
      <c r="H206">
        <v>3.9</v>
      </c>
      <c r="I206">
        <v>14.1</v>
      </c>
      <c r="J206">
        <f t="shared" si="23"/>
        <v>1449.9999999999998</v>
      </c>
      <c r="K206">
        <f t="shared" si="18"/>
        <v>209.9</v>
      </c>
      <c r="M206">
        <v>0</v>
      </c>
      <c r="N206">
        <v>1.9</v>
      </c>
      <c r="O206">
        <f t="shared" si="20"/>
        <v>-1.9</v>
      </c>
      <c r="P206">
        <f t="shared" si="26"/>
        <v>59.599999999999973</v>
      </c>
      <c r="Q206">
        <v>152</v>
      </c>
      <c r="R206">
        <f t="shared" si="24"/>
        <v>1.0676470588235294</v>
      </c>
      <c r="S206">
        <f t="shared" si="21"/>
        <v>2.0285294117647057</v>
      </c>
      <c r="T206" s="24">
        <f t="shared" si="22"/>
        <v>-2.0285294117647057</v>
      </c>
      <c r="U206" s="24">
        <f t="shared" si="27"/>
        <v>79.612941176470599</v>
      </c>
      <c r="W206">
        <v>1471.5</v>
      </c>
      <c r="Y206">
        <f t="shared" si="25"/>
        <v>102175.69999999997</v>
      </c>
      <c r="Z206">
        <f t="shared" si="19"/>
        <v>16047.4</v>
      </c>
      <c r="AA206">
        <v>10.393758939498051</v>
      </c>
    </row>
    <row r="207" spans="1:29" x14ac:dyDescent="0.25">
      <c r="A207">
        <v>5080</v>
      </c>
      <c r="B207">
        <v>18650</v>
      </c>
      <c r="C207" s="1">
        <v>42785</v>
      </c>
      <c r="F207" s="43"/>
      <c r="G207">
        <v>9.4</v>
      </c>
      <c r="H207">
        <v>3.6</v>
      </c>
      <c r="I207">
        <v>14.2</v>
      </c>
      <c r="J207">
        <f t="shared" si="23"/>
        <v>1459.3999999999999</v>
      </c>
      <c r="K207">
        <f t="shared" si="18"/>
        <v>219.3</v>
      </c>
      <c r="M207" s="64">
        <v>0</v>
      </c>
      <c r="N207">
        <v>1.1000000000000001</v>
      </c>
      <c r="O207">
        <f t="shared" si="20"/>
        <v>-1.1000000000000001</v>
      </c>
      <c r="P207">
        <f t="shared" si="26"/>
        <v>58.499999999999972</v>
      </c>
      <c r="Q207">
        <v>153</v>
      </c>
      <c r="R207">
        <f t="shared" si="24"/>
        <v>1.0705882352941176</v>
      </c>
      <c r="S207">
        <f t="shared" si="21"/>
        <v>1.1776470588235295</v>
      </c>
      <c r="T207" s="24">
        <f t="shared" si="22"/>
        <v>-1.1776470588235295</v>
      </c>
      <c r="U207" s="24">
        <f t="shared" si="27"/>
        <v>78.435294117647075</v>
      </c>
      <c r="W207">
        <v>780.4</v>
      </c>
      <c r="Y207">
        <f t="shared" si="25"/>
        <v>102956.09999999996</v>
      </c>
      <c r="Z207">
        <f t="shared" si="19"/>
        <v>16827.8</v>
      </c>
      <c r="AA207">
        <v>10.441029018095987</v>
      </c>
      <c r="AC207" s="5" t="s">
        <v>63</v>
      </c>
    </row>
    <row r="208" spans="1:29" x14ac:dyDescent="0.25">
      <c r="A208">
        <v>5080</v>
      </c>
      <c r="B208">
        <v>18650</v>
      </c>
      <c r="C208" s="1">
        <v>42786</v>
      </c>
      <c r="F208" s="43"/>
      <c r="G208">
        <v>9.1</v>
      </c>
      <c r="H208">
        <v>7.4</v>
      </c>
      <c r="I208">
        <v>10.6</v>
      </c>
      <c r="J208">
        <f t="shared" si="23"/>
        <v>1468.4999999999998</v>
      </c>
      <c r="K208">
        <f t="shared" si="18"/>
        <v>228.4</v>
      </c>
      <c r="M208" s="64">
        <v>0</v>
      </c>
      <c r="N208">
        <v>0.7</v>
      </c>
      <c r="O208">
        <f t="shared" si="20"/>
        <v>-0.7</v>
      </c>
      <c r="P208">
        <f t="shared" si="26"/>
        <v>57.799999999999969</v>
      </c>
      <c r="Q208">
        <v>154</v>
      </c>
      <c r="R208">
        <f t="shared" si="24"/>
        <v>1.0735294117647058</v>
      </c>
      <c r="S208">
        <f t="shared" si="21"/>
        <v>0.751470588235294</v>
      </c>
      <c r="T208" s="24">
        <f t="shared" si="22"/>
        <v>-0.751470588235294</v>
      </c>
      <c r="U208" s="24">
        <f t="shared" si="27"/>
        <v>77.683823529411782</v>
      </c>
      <c r="W208">
        <v>444.5</v>
      </c>
      <c r="Y208">
        <f t="shared" si="25"/>
        <v>103400.59999999996</v>
      </c>
      <c r="Z208">
        <f t="shared" si="19"/>
        <v>17272.3</v>
      </c>
      <c r="AA208">
        <v>10.488598971954358</v>
      </c>
      <c r="AC208" s="24">
        <f>AVERAGE(U214:U227)</f>
        <v>85.118949579831948</v>
      </c>
    </row>
    <row r="209" spans="1:29" x14ac:dyDescent="0.25">
      <c r="A209">
        <v>5080</v>
      </c>
      <c r="B209">
        <v>18650</v>
      </c>
      <c r="C209" s="1">
        <v>42787</v>
      </c>
      <c r="F209" s="43"/>
      <c r="G209">
        <v>10.5</v>
      </c>
      <c r="H209">
        <v>7</v>
      </c>
      <c r="I209">
        <v>13.7</v>
      </c>
      <c r="J209">
        <f t="shared" si="23"/>
        <v>1478.9999999999998</v>
      </c>
      <c r="K209">
        <f t="shared" si="18"/>
        <v>238.9</v>
      </c>
      <c r="M209" s="64">
        <v>0</v>
      </c>
      <c r="N209">
        <v>0.8</v>
      </c>
      <c r="O209">
        <f t="shared" si="20"/>
        <v>-0.8</v>
      </c>
      <c r="P209">
        <f t="shared" si="26"/>
        <v>56.999999999999972</v>
      </c>
      <c r="Q209">
        <v>155</v>
      </c>
      <c r="R209">
        <f t="shared" si="24"/>
        <v>1.0764705882352941</v>
      </c>
      <c r="S209">
        <f t="shared" si="21"/>
        <v>0.86117647058823532</v>
      </c>
      <c r="T209" s="24">
        <f t="shared" si="22"/>
        <v>-0.86117647058823532</v>
      </c>
      <c r="U209" s="24">
        <f t="shared" si="27"/>
        <v>76.822647058823549</v>
      </c>
      <c r="W209">
        <v>402.7</v>
      </c>
      <c r="Y209">
        <f t="shared" si="25"/>
        <v>103803.29999999996</v>
      </c>
      <c r="Z209">
        <f t="shared" si="19"/>
        <v>17675</v>
      </c>
      <c r="AA209">
        <v>10.536455817448308</v>
      </c>
      <c r="AC209" s="5" t="s">
        <v>64</v>
      </c>
    </row>
    <row r="210" spans="1:29" x14ac:dyDescent="0.25">
      <c r="A210">
        <v>5080</v>
      </c>
      <c r="B210">
        <v>18650</v>
      </c>
      <c r="C210" s="1">
        <v>42788</v>
      </c>
      <c r="F210" s="43"/>
      <c r="G210">
        <v>10.8</v>
      </c>
      <c r="H210">
        <v>6.3</v>
      </c>
      <c r="I210">
        <v>14.7</v>
      </c>
      <c r="J210">
        <f t="shared" si="23"/>
        <v>1489.7999999999997</v>
      </c>
      <c r="K210">
        <f t="shared" ref="K210:K255" si="28">K209+G210</f>
        <v>249.70000000000002</v>
      </c>
      <c r="M210" s="64">
        <v>0</v>
      </c>
      <c r="N210">
        <v>2.1</v>
      </c>
      <c r="O210">
        <f t="shared" si="20"/>
        <v>-2.1</v>
      </c>
      <c r="P210">
        <f t="shared" si="26"/>
        <v>54.89999999999997</v>
      </c>
      <c r="Q210">
        <v>156</v>
      </c>
      <c r="R210">
        <f t="shared" si="24"/>
        <v>1.0794117647058823</v>
      </c>
      <c r="S210">
        <f t="shared" si="21"/>
        <v>2.2667647058823528</v>
      </c>
      <c r="T210" s="24">
        <f t="shared" si="22"/>
        <v>-2.2667647058823528</v>
      </c>
      <c r="U210" s="24">
        <f t="shared" si="27"/>
        <v>74.555882352941197</v>
      </c>
      <c r="W210">
        <v>1418.4</v>
      </c>
      <c r="Y210">
        <f t="shared" si="25"/>
        <v>105221.69999999995</v>
      </c>
      <c r="Z210">
        <f t="shared" ref="Z210:Z273" si="29">Z209+W210</f>
        <v>19093.400000000001</v>
      </c>
      <c r="AA210">
        <v>10.584586865864591</v>
      </c>
      <c r="AC210">
        <v>4</v>
      </c>
    </row>
    <row r="211" spans="1:29" x14ac:dyDescent="0.25">
      <c r="A211">
        <v>5080</v>
      </c>
      <c r="B211">
        <v>18650</v>
      </c>
      <c r="C211" s="1">
        <v>42789</v>
      </c>
      <c r="F211" s="43"/>
      <c r="G211">
        <v>9.8000000000000007</v>
      </c>
      <c r="H211">
        <v>4</v>
      </c>
      <c r="I211">
        <v>15.7</v>
      </c>
      <c r="J211">
        <f t="shared" si="23"/>
        <v>1499.5999999999997</v>
      </c>
      <c r="K211">
        <f t="shared" si="28"/>
        <v>259.5</v>
      </c>
      <c r="M211" s="64">
        <v>0.9</v>
      </c>
      <c r="N211">
        <v>2.1</v>
      </c>
      <c r="O211">
        <f t="shared" si="20"/>
        <v>-1.2000000000000002</v>
      </c>
      <c r="P211">
        <f t="shared" si="26"/>
        <v>53.699999999999967</v>
      </c>
      <c r="Q211">
        <v>157</v>
      </c>
      <c r="R211">
        <f t="shared" si="24"/>
        <v>1.0823529411764705</v>
      </c>
      <c r="S211">
        <f t="shared" si="21"/>
        <v>2.2729411764705882</v>
      </c>
      <c r="T211" s="24">
        <f t="shared" si="22"/>
        <v>-1.3729411764705883</v>
      </c>
      <c r="U211" s="24">
        <f t="shared" si="27"/>
        <v>73.182941176470607</v>
      </c>
      <c r="W211">
        <v>1278.4000000000001</v>
      </c>
      <c r="Y211">
        <f t="shared" si="25"/>
        <v>106500.09999999995</v>
      </c>
      <c r="Z211">
        <f t="shared" si="29"/>
        <v>20371.800000000003</v>
      </c>
      <c r="AA211">
        <v>10.632979719160458</v>
      </c>
      <c r="AC211" s="5" t="s">
        <v>65</v>
      </c>
    </row>
    <row r="212" spans="1:29" x14ac:dyDescent="0.25">
      <c r="A212">
        <v>5080</v>
      </c>
      <c r="B212">
        <v>18650</v>
      </c>
      <c r="C212" s="1">
        <v>42790</v>
      </c>
      <c r="F212" s="43"/>
      <c r="G212">
        <v>8.5</v>
      </c>
      <c r="H212">
        <v>8</v>
      </c>
      <c r="I212">
        <v>10.5</v>
      </c>
      <c r="J212">
        <f t="shared" si="23"/>
        <v>1508.0999999999997</v>
      </c>
      <c r="K212">
        <f t="shared" si="28"/>
        <v>268</v>
      </c>
      <c r="M212" s="64">
        <v>0</v>
      </c>
      <c r="N212">
        <v>1.7</v>
      </c>
      <c r="O212">
        <f t="shared" si="20"/>
        <v>-1.7</v>
      </c>
      <c r="P212">
        <f t="shared" si="26"/>
        <v>51.999999999999964</v>
      </c>
      <c r="Q212">
        <v>158</v>
      </c>
      <c r="R212">
        <f t="shared" si="24"/>
        <v>1.0852941176470587</v>
      </c>
      <c r="S212">
        <f t="shared" si="21"/>
        <v>1.8449999999999998</v>
      </c>
      <c r="T212" s="24">
        <f t="shared" si="22"/>
        <v>-1.8449999999999998</v>
      </c>
      <c r="U212" s="24">
        <f t="shared" si="27"/>
        <v>71.337941176470608</v>
      </c>
      <c r="W212">
        <v>757.6</v>
      </c>
      <c r="Y212">
        <f t="shared" si="25"/>
        <v>107257.69999999995</v>
      </c>
      <c r="Z212">
        <f t="shared" si="29"/>
        <v>21129.4</v>
      </c>
      <c r="AA212">
        <v>10.68162226504748</v>
      </c>
      <c r="AC212">
        <v>4</v>
      </c>
    </row>
    <row r="213" spans="1:29" x14ac:dyDescent="0.25">
      <c r="A213">
        <v>5080</v>
      </c>
      <c r="B213">
        <v>18650</v>
      </c>
      <c r="C213" s="1">
        <v>42791</v>
      </c>
      <c r="F213" s="43"/>
      <c r="G213">
        <v>6.3</v>
      </c>
      <c r="H213">
        <v>1.5</v>
      </c>
      <c r="I213">
        <v>10.7</v>
      </c>
      <c r="J213">
        <f t="shared" si="23"/>
        <v>1514.3999999999996</v>
      </c>
      <c r="K213">
        <f t="shared" si="28"/>
        <v>274.3</v>
      </c>
      <c r="M213" s="64">
        <v>0</v>
      </c>
      <c r="N213">
        <v>2.1</v>
      </c>
      <c r="O213">
        <f t="shared" si="20"/>
        <v>-2.1</v>
      </c>
      <c r="P213">
        <f t="shared" si="26"/>
        <v>49.899999999999963</v>
      </c>
      <c r="Q213">
        <v>159</v>
      </c>
      <c r="R213">
        <f t="shared" si="24"/>
        <v>1.088235294117647</v>
      </c>
      <c r="S213">
        <f t="shared" si="21"/>
        <v>2.2852941176470587</v>
      </c>
      <c r="T213" s="24">
        <f t="shared" si="22"/>
        <v>-2.2852941176470587</v>
      </c>
      <c r="U213" s="24">
        <f t="shared" si="27"/>
        <v>69.052647058823553</v>
      </c>
      <c r="W213">
        <v>1631.2</v>
      </c>
      <c r="Y213">
        <f t="shared" si="25"/>
        <v>108888.89999999995</v>
      </c>
      <c r="Z213">
        <f t="shared" si="29"/>
        <v>22760.600000000002</v>
      </c>
      <c r="AA213">
        <v>10.73050267144</v>
      </c>
      <c r="AC213" s="5" t="s">
        <v>66</v>
      </c>
    </row>
    <row r="214" spans="1:29" x14ac:dyDescent="0.25">
      <c r="A214">
        <v>5080</v>
      </c>
      <c r="B214">
        <v>18650</v>
      </c>
      <c r="C214" s="1">
        <v>42792</v>
      </c>
      <c r="F214" s="43"/>
      <c r="G214">
        <v>7</v>
      </c>
      <c r="H214">
        <v>1.2</v>
      </c>
      <c r="I214">
        <v>11.3</v>
      </c>
      <c r="J214">
        <f t="shared" si="23"/>
        <v>1521.3999999999996</v>
      </c>
      <c r="K214">
        <f t="shared" si="28"/>
        <v>281.3</v>
      </c>
      <c r="M214" s="64">
        <v>0</v>
      </c>
      <c r="N214">
        <v>0.7</v>
      </c>
      <c r="O214">
        <f t="shared" si="20"/>
        <v>-0.7</v>
      </c>
      <c r="P214">
        <f t="shared" si="26"/>
        <v>49.19999999999996</v>
      </c>
      <c r="Q214">
        <v>160</v>
      </c>
      <c r="R214">
        <f t="shared" si="24"/>
        <v>1.0911764705882352</v>
      </c>
      <c r="S214">
        <f t="shared" si="21"/>
        <v>0.76382352941176457</v>
      </c>
      <c r="T214" s="24">
        <f t="shared" si="22"/>
        <v>-0.76382352941176457</v>
      </c>
      <c r="U214" s="65">
        <f t="shared" si="27"/>
        <v>68.288823529411786</v>
      </c>
      <c r="W214">
        <v>653.20000000000005</v>
      </c>
      <c r="Y214">
        <f t="shared" si="25"/>
        <v>109542.09999999995</v>
      </c>
      <c r="Z214">
        <f t="shared" si="29"/>
        <v>23413.800000000003</v>
      </c>
      <c r="AA214">
        <v>10.779609380306622</v>
      </c>
      <c r="AC214">
        <v>0</v>
      </c>
    </row>
    <row r="215" spans="1:29" x14ac:dyDescent="0.25">
      <c r="A215">
        <v>5080</v>
      </c>
      <c r="B215">
        <v>18650</v>
      </c>
      <c r="C215" s="1">
        <v>42793</v>
      </c>
      <c r="F215" s="43"/>
      <c r="G215">
        <v>9.3000000000000007</v>
      </c>
      <c r="H215">
        <v>1.2</v>
      </c>
      <c r="I215">
        <v>15.2</v>
      </c>
      <c r="J215">
        <f t="shared" si="23"/>
        <v>1530.6999999999996</v>
      </c>
      <c r="K215">
        <f t="shared" si="28"/>
        <v>290.60000000000002</v>
      </c>
      <c r="M215" s="64">
        <v>0</v>
      </c>
      <c r="N215">
        <v>1.9</v>
      </c>
      <c r="O215">
        <f t="shared" si="20"/>
        <v>-1.9</v>
      </c>
      <c r="P215">
        <f t="shared" si="26"/>
        <v>47.299999999999962</v>
      </c>
      <c r="Q215">
        <v>161</v>
      </c>
      <c r="R215">
        <f t="shared" si="24"/>
        <v>1.0941176470588234</v>
      </c>
      <c r="S215">
        <f t="shared" si="21"/>
        <v>2.0788235294117645</v>
      </c>
      <c r="T215" s="24">
        <f t="shared" si="22"/>
        <v>-2.0788235294117645</v>
      </c>
      <c r="U215" s="65">
        <f t="shared" si="27"/>
        <v>66.210000000000022</v>
      </c>
      <c r="W215">
        <v>1414.7</v>
      </c>
      <c r="Y215">
        <f t="shared" si="25"/>
        <v>110956.79999999994</v>
      </c>
      <c r="Z215">
        <f t="shared" si="29"/>
        <v>24828.500000000004</v>
      </c>
      <c r="AA215">
        <v>10.828931100961972</v>
      </c>
      <c r="AC215" s="5" t="s">
        <v>67</v>
      </c>
    </row>
    <row r="216" spans="1:29" x14ac:dyDescent="0.25">
      <c r="A216">
        <v>5080</v>
      </c>
      <c r="B216">
        <v>18650</v>
      </c>
      <c r="C216" s="1">
        <v>42794</v>
      </c>
      <c r="F216" s="43"/>
      <c r="G216">
        <v>8.4</v>
      </c>
      <c r="H216">
        <v>6.8</v>
      </c>
      <c r="I216">
        <v>10.6</v>
      </c>
      <c r="J216">
        <f t="shared" si="23"/>
        <v>1539.0999999999997</v>
      </c>
      <c r="K216">
        <f t="shared" si="28"/>
        <v>299</v>
      </c>
      <c r="M216" s="64">
        <v>3.5</v>
      </c>
      <c r="N216">
        <v>1.2</v>
      </c>
      <c r="O216">
        <f t="shared" si="20"/>
        <v>2.2999999999999998</v>
      </c>
      <c r="P216">
        <f t="shared" si="26"/>
        <v>49.599999999999959</v>
      </c>
      <c r="Q216">
        <v>162</v>
      </c>
      <c r="R216">
        <f t="shared" si="24"/>
        <v>1.0970588235294116</v>
      </c>
      <c r="S216">
        <f t="shared" si="21"/>
        <v>1.3164705882352938</v>
      </c>
      <c r="T216" s="24">
        <f t="shared" si="22"/>
        <v>2.1835294117647059</v>
      </c>
      <c r="U216" s="65">
        <f t="shared" si="27"/>
        <v>68.393529411764732</v>
      </c>
      <c r="W216">
        <v>483.2</v>
      </c>
      <c r="Y216">
        <f t="shared" si="25"/>
        <v>111439.99999999994</v>
      </c>
      <c r="Z216">
        <f t="shared" si="29"/>
        <v>25311.700000000004</v>
      </c>
      <c r="AA216">
        <v>10.878456802834638</v>
      </c>
      <c r="AC216">
        <f>SUM(M218:M227)</f>
        <v>51.1</v>
      </c>
    </row>
    <row r="217" spans="1:29" s="59" customFormat="1" x14ac:dyDescent="0.25">
      <c r="A217" s="59">
        <v>5080</v>
      </c>
      <c r="B217" s="59">
        <v>18650</v>
      </c>
      <c r="C217" s="60">
        <v>42795</v>
      </c>
      <c r="D217" s="63" t="s">
        <v>62</v>
      </c>
      <c r="F217" s="43"/>
      <c r="G217" s="59">
        <v>9</v>
      </c>
      <c r="H217" s="59">
        <v>4.5</v>
      </c>
      <c r="I217" s="59">
        <v>12.4</v>
      </c>
      <c r="J217" s="59">
        <f t="shared" si="23"/>
        <v>1548.0999999999997</v>
      </c>
      <c r="K217" s="59">
        <f t="shared" si="28"/>
        <v>308</v>
      </c>
      <c r="L217" s="61"/>
      <c r="M217" s="59">
        <v>0</v>
      </c>
      <c r="N217" s="59">
        <v>1</v>
      </c>
      <c r="O217" s="59">
        <f t="shared" si="20"/>
        <v>-1</v>
      </c>
      <c r="P217" s="59">
        <f t="shared" si="26"/>
        <v>48.599999999999959</v>
      </c>
      <c r="Q217" s="59">
        <v>163</v>
      </c>
      <c r="R217" s="59">
        <f t="shared" si="24"/>
        <v>1.0999999999999999</v>
      </c>
      <c r="S217" s="59">
        <f t="shared" si="21"/>
        <v>1.0999999999999999</v>
      </c>
      <c r="T217" s="62">
        <f t="shared" si="22"/>
        <v>-1.0999999999999999</v>
      </c>
      <c r="U217" s="62">
        <f t="shared" si="27"/>
        <v>67.293529411764737</v>
      </c>
      <c r="V217" s="61"/>
      <c r="W217" s="59">
        <v>559.29999999999995</v>
      </c>
      <c r="Y217" s="59">
        <f t="shared" si="25"/>
        <v>111999.29999999994</v>
      </c>
      <c r="Z217" s="59">
        <f t="shared" si="29"/>
        <v>25871.000000000004</v>
      </c>
      <c r="AA217" s="59">
        <v>10.928175707745881</v>
      </c>
    </row>
    <row r="218" spans="1:29" x14ac:dyDescent="0.25">
      <c r="A218">
        <v>5080</v>
      </c>
      <c r="B218">
        <v>18650</v>
      </c>
      <c r="C218" s="1">
        <v>42796</v>
      </c>
      <c r="F218" s="43"/>
      <c r="G218">
        <v>12</v>
      </c>
      <c r="H218">
        <v>8.5</v>
      </c>
      <c r="I218">
        <v>16.2</v>
      </c>
      <c r="J218">
        <f t="shared" si="23"/>
        <v>1560.0999999999997</v>
      </c>
      <c r="K218">
        <f t="shared" si="28"/>
        <v>320</v>
      </c>
      <c r="M218" s="64">
        <v>0</v>
      </c>
      <c r="N218">
        <v>1.3</v>
      </c>
      <c r="O218">
        <f t="shared" si="20"/>
        <v>-1.3</v>
      </c>
      <c r="P218">
        <f t="shared" si="26"/>
        <v>47.299999999999962</v>
      </c>
      <c r="Q218">
        <v>164</v>
      </c>
      <c r="R218">
        <f t="shared" si="24"/>
        <v>1.1029411764705881</v>
      </c>
      <c r="S218">
        <f t="shared" si="21"/>
        <v>1.4338235294117645</v>
      </c>
      <c r="T218" s="24">
        <f t="shared" si="22"/>
        <v>-1.4338235294117645</v>
      </c>
      <c r="U218" s="65">
        <f t="shared" si="27"/>
        <v>65.859705882352969</v>
      </c>
      <c r="W218">
        <v>893.8</v>
      </c>
      <c r="Y218">
        <f t="shared" si="25"/>
        <v>112893.09999999995</v>
      </c>
      <c r="Z218">
        <f t="shared" si="29"/>
        <v>26764.800000000003</v>
      </c>
      <c r="AA218">
        <v>10.978077281732318</v>
      </c>
    </row>
    <row r="219" spans="1:29" x14ac:dyDescent="0.25">
      <c r="A219">
        <v>5080</v>
      </c>
      <c r="B219">
        <v>18650</v>
      </c>
      <c r="C219" s="1">
        <v>42797</v>
      </c>
      <c r="F219" s="43"/>
      <c r="G219">
        <v>11.5</v>
      </c>
      <c r="H219">
        <v>9.1</v>
      </c>
      <c r="I219">
        <v>13.9</v>
      </c>
      <c r="J219">
        <f t="shared" si="23"/>
        <v>1571.5999999999997</v>
      </c>
      <c r="K219">
        <f t="shared" si="28"/>
        <v>331.5</v>
      </c>
      <c r="M219" s="64">
        <v>21.5</v>
      </c>
      <c r="N219">
        <v>2.4</v>
      </c>
      <c r="O219">
        <f t="shared" si="20"/>
        <v>19.100000000000001</v>
      </c>
      <c r="P219">
        <f t="shared" si="26"/>
        <v>66.399999999999963</v>
      </c>
      <c r="Q219">
        <v>165</v>
      </c>
      <c r="R219">
        <f t="shared" si="24"/>
        <v>1.1058823529411763</v>
      </c>
      <c r="S219">
        <f t="shared" si="21"/>
        <v>2.6541176470588232</v>
      </c>
      <c r="T219" s="24">
        <f t="shared" si="22"/>
        <v>18.845882352941178</v>
      </c>
      <c r="U219" s="65">
        <f t="shared" si="27"/>
        <v>84.705588235294144</v>
      </c>
      <c r="W219">
        <v>1413.2</v>
      </c>
      <c r="Y219">
        <f t="shared" si="25"/>
        <v>114306.29999999994</v>
      </c>
      <c r="Z219">
        <f t="shared" si="29"/>
        <v>28178.000000000004</v>
      </c>
      <c r="AA219">
        <v>11.028151226444388</v>
      </c>
    </row>
    <row r="220" spans="1:29" x14ac:dyDescent="0.25">
      <c r="A220">
        <v>5080</v>
      </c>
      <c r="B220">
        <v>18650</v>
      </c>
      <c r="C220" s="1">
        <v>42798</v>
      </c>
      <c r="F220" s="43"/>
      <c r="G220">
        <v>7</v>
      </c>
      <c r="H220">
        <v>6.3</v>
      </c>
      <c r="I220">
        <v>8.1</v>
      </c>
      <c r="J220">
        <f t="shared" si="23"/>
        <v>1578.5999999999997</v>
      </c>
      <c r="K220">
        <f t="shared" si="28"/>
        <v>338.5</v>
      </c>
      <c r="M220" s="64">
        <v>1.5</v>
      </c>
      <c r="N220">
        <v>1.4</v>
      </c>
      <c r="O220">
        <f t="shared" si="20"/>
        <v>0.10000000000000009</v>
      </c>
      <c r="P220">
        <f t="shared" si="26"/>
        <v>66.499999999999957</v>
      </c>
      <c r="Q220">
        <v>166</v>
      </c>
      <c r="R220">
        <f t="shared" si="24"/>
        <v>1.1088235294117645</v>
      </c>
      <c r="S220">
        <f t="shared" si="21"/>
        <v>1.5523529411764703</v>
      </c>
      <c r="T220" s="24">
        <f t="shared" si="22"/>
        <v>-5.2352941176470269E-2</v>
      </c>
      <c r="U220" s="65">
        <f t="shared" si="27"/>
        <v>84.653235294117678</v>
      </c>
      <c r="W220">
        <v>685.9</v>
      </c>
      <c r="Y220">
        <f t="shared" si="25"/>
        <v>114992.19999999994</v>
      </c>
      <c r="Z220">
        <f t="shared" si="29"/>
        <v>28863.900000000005</v>
      </c>
      <c r="AA220">
        <v>11.078387470151069</v>
      </c>
    </row>
    <row r="221" spans="1:29" x14ac:dyDescent="0.25">
      <c r="A221">
        <v>5080</v>
      </c>
      <c r="B221">
        <v>18650</v>
      </c>
      <c r="C221" s="1">
        <v>42799</v>
      </c>
      <c r="F221" s="43"/>
      <c r="G221">
        <v>8.9</v>
      </c>
      <c r="H221">
        <v>3.8</v>
      </c>
      <c r="I221">
        <v>12.1</v>
      </c>
      <c r="J221">
        <f t="shared" si="23"/>
        <v>1587.4999999999998</v>
      </c>
      <c r="K221">
        <f t="shared" si="28"/>
        <v>347.4</v>
      </c>
      <c r="M221" s="64">
        <v>4.0999999999999996</v>
      </c>
      <c r="N221">
        <v>1.1000000000000001</v>
      </c>
      <c r="O221">
        <f t="shared" si="20"/>
        <v>2.9999999999999996</v>
      </c>
      <c r="P221">
        <f t="shared" si="26"/>
        <v>69.499999999999957</v>
      </c>
      <c r="Q221">
        <v>167</v>
      </c>
      <c r="R221">
        <f t="shared" si="24"/>
        <v>1.111764705882353</v>
      </c>
      <c r="S221">
        <f t="shared" si="21"/>
        <v>1.2229411764705884</v>
      </c>
      <c r="T221" s="24">
        <f t="shared" si="22"/>
        <v>2.8770588235294112</v>
      </c>
      <c r="U221" s="65">
        <f t="shared" si="27"/>
        <v>87.530294117647088</v>
      </c>
      <c r="W221">
        <v>988.8</v>
      </c>
      <c r="Y221">
        <f t="shared" si="25"/>
        <v>115980.99999999994</v>
      </c>
      <c r="Z221">
        <f t="shared" si="29"/>
        <v>29852.700000000004</v>
      </c>
      <c r="AA221">
        <v>11.1287761583799</v>
      </c>
    </row>
    <row r="222" spans="1:29" x14ac:dyDescent="0.25">
      <c r="A222">
        <v>5080</v>
      </c>
      <c r="B222">
        <v>18650</v>
      </c>
      <c r="C222" s="1">
        <v>42800</v>
      </c>
      <c r="F222" s="43"/>
      <c r="G222">
        <v>11.3</v>
      </c>
      <c r="H222">
        <v>9.5</v>
      </c>
      <c r="I222">
        <v>14.7</v>
      </c>
      <c r="J222">
        <f t="shared" si="23"/>
        <v>1598.7999999999997</v>
      </c>
      <c r="K222">
        <f t="shared" si="28"/>
        <v>358.7</v>
      </c>
      <c r="M222" s="64">
        <v>2.6</v>
      </c>
      <c r="N222">
        <v>2.4</v>
      </c>
      <c r="O222">
        <f t="shared" si="20"/>
        <v>0.20000000000000018</v>
      </c>
      <c r="P222">
        <f t="shared" si="26"/>
        <v>69.69999999999996</v>
      </c>
      <c r="Q222">
        <v>168</v>
      </c>
      <c r="R222">
        <f t="shared" si="24"/>
        <v>1.1147058823529412</v>
      </c>
      <c r="S222">
        <f t="shared" si="21"/>
        <v>2.6752941176470588</v>
      </c>
      <c r="T222" s="24">
        <f t="shared" si="22"/>
        <v>-7.5294117647058734E-2</v>
      </c>
      <c r="U222" s="65">
        <f t="shared" si="27"/>
        <v>87.455000000000027</v>
      </c>
      <c r="W222">
        <v>761.2</v>
      </c>
      <c r="Y222">
        <f t="shared" si="25"/>
        <v>116742.19999999994</v>
      </c>
      <c r="Z222">
        <f t="shared" si="29"/>
        <v>30613.900000000005</v>
      </c>
      <c r="AA222">
        <v>11.179307644219996</v>
      </c>
    </row>
    <row r="223" spans="1:29" x14ac:dyDescent="0.25">
      <c r="A223">
        <v>5080</v>
      </c>
      <c r="B223">
        <v>18650</v>
      </c>
      <c r="C223" s="1">
        <v>42801</v>
      </c>
      <c r="F223" s="43"/>
      <c r="G223">
        <v>9.5</v>
      </c>
      <c r="H223">
        <v>8.1999999999999993</v>
      </c>
      <c r="I223">
        <v>11.6</v>
      </c>
      <c r="J223">
        <f t="shared" si="23"/>
        <v>1608.2999999999997</v>
      </c>
      <c r="K223">
        <f t="shared" si="28"/>
        <v>368.2</v>
      </c>
      <c r="M223" s="64">
        <v>20</v>
      </c>
      <c r="N223">
        <v>1.1000000000000001</v>
      </c>
      <c r="O223">
        <f t="shared" si="20"/>
        <v>18.899999999999999</v>
      </c>
      <c r="P223">
        <f t="shared" si="26"/>
        <v>88.599999999999966</v>
      </c>
      <c r="Q223">
        <v>169</v>
      </c>
      <c r="R223">
        <f t="shared" si="24"/>
        <v>1.1176470588235294</v>
      </c>
      <c r="S223">
        <f t="shared" si="21"/>
        <v>1.2294117647058824</v>
      </c>
      <c r="T223" s="24">
        <f t="shared" si="22"/>
        <v>18.770588235294117</v>
      </c>
      <c r="U223" s="65">
        <f t="shared" si="27"/>
        <v>106.22558823529414</v>
      </c>
      <c r="W223">
        <v>302.5</v>
      </c>
      <c r="Y223">
        <f t="shared" si="25"/>
        <v>117044.69999999994</v>
      </c>
      <c r="Z223">
        <f t="shared" si="29"/>
        <v>30916.400000000005</v>
      </c>
      <c r="AA223">
        <v>11.229972478314467</v>
      </c>
    </row>
    <row r="224" spans="1:29" x14ac:dyDescent="0.25">
      <c r="A224">
        <v>5080</v>
      </c>
      <c r="B224">
        <v>18650</v>
      </c>
      <c r="C224" s="1">
        <v>42802</v>
      </c>
      <c r="F224" s="43"/>
      <c r="G224">
        <v>11.9</v>
      </c>
      <c r="H224">
        <v>9.9</v>
      </c>
      <c r="I224">
        <v>13.5</v>
      </c>
      <c r="J224">
        <f t="shared" si="23"/>
        <v>1620.1999999999998</v>
      </c>
      <c r="K224">
        <f t="shared" si="28"/>
        <v>380.09999999999997</v>
      </c>
      <c r="M224" s="64">
        <v>0</v>
      </c>
      <c r="N224">
        <v>1.2</v>
      </c>
      <c r="O224">
        <f t="shared" si="20"/>
        <v>-1.2</v>
      </c>
      <c r="P224">
        <f t="shared" si="26"/>
        <v>87.399999999999963</v>
      </c>
      <c r="Q224">
        <v>170</v>
      </c>
      <c r="R224">
        <f t="shared" si="24"/>
        <v>1.1205882352941177</v>
      </c>
      <c r="S224">
        <f t="shared" si="21"/>
        <v>1.3447058823529412</v>
      </c>
      <c r="T224" s="24">
        <f t="shared" si="22"/>
        <v>-1.3447058823529412</v>
      </c>
      <c r="U224" s="65">
        <f t="shared" si="27"/>
        <v>104.8808823529412</v>
      </c>
      <c r="W224">
        <v>473.3</v>
      </c>
      <c r="Y224">
        <f t="shared" si="25"/>
        <v>117517.99999999994</v>
      </c>
      <c r="Z224">
        <f t="shared" si="29"/>
        <v>31389.700000000004</v>
      </c>
      <c r="AA224">
        <v>11.280761398567257</v>
      </c>
    </row>
    <row r="225" spans="1:28" x14ac:dyDescent="0.25">
      <c r="A225">
        <v>5080</v>
      </c>
      <c r="B225">
        <v>18650</v>
      </c>
      <c r="C225" s="1">
        <v>42803</v>
      </c>
      <c r="F225" s="43"/>
      <c r="G225">
        <v>11.5</v>
      </c>
      <c r="H225">
        <v>8.1999999999999993</v>
      </c>
      <c r="I225">
        <v>15</v>
      </c>
      <c r="J225">
        <f t="shared" si="23"/>
        <v>1631.6999999999998</v>
      </c>
      <c r="K225">
        <f t="shared" si="28"/>
        <v>391.59999999999997</v>
      </c>
      <c r="M225" s="64">
        <v>0</v>
      </c>
      <c r="N225">
        <v>2.1</v>
      </c>
      <c r="O225">
        <f t="shared" si="20"/>
        <v>-2.1</v>
      </c>
      <c r="P225">
        <f t="shared" si="26"/>
        <v>85.299999999999969</v>
      </c>
      <c r="Q225">
        <v>171</v>
      </c>
      <c r="R225">
        <f t="shared" si="24"/>
        <v>1.1235294117647059</v>
      </c>
      <c r="S225">
        <f t="shared" si="21"/>
        <v>2.3594117647058823</v>
      </c>
      <c r="T225" s="24">
        <f t="shared" si="22"/>
        <v>-2.3594117647058823</v>
      </c>
      <c r="U225" s="65">
        <f t="shared" si="27"/>
        <v>102.52147058823532</v>
      </c>
      <c r="W225">
        <v>1328.4</v>
      </c>
      <c r="Y225">
        <f t="shared" si="25"/>
        <v>118846.39999999994</v>
      </c>
      <c r="Z225">
        <f t="shared" si="29"/>
        <v>32718.100000000006</v>
      </c>
      <c r="AA225">
        <v>11.331665319588275</v>
      </c>
    </row>
    <row r="226" spans="1:28" x14ac:dyDescent="0.25">
      <c r="A226">
        <v>5080</v>
      </c>
      <c r="B226">
        <v>18650</v>
      </c>
      <c r="C226" s="1">
        <v>42804</v>
      </c>
      <c r="F226" s="43"/>
      <c r="G226">
        <v>10.9</v>
      </c>
      <c r="H226">
        <v>4.5999999999999996</v>
      </c>
      <c r="I226">
        <v>15.7</v>
      </c>
      <c r="J226">
        <f t="shared" si="23"/>
        <v>1642.6</v>
      </c>
      <c r="K226">
        <f t="shared" si="28"/>
        <v>402.49999999999994</v>
      </c>
      <c r="M226" s="64">
        <v>0</v>
      </c>
      <c r="N226">
        <v>2.4</v>
      </c>
      <c r="O226">
        <f t="shared" si="20"/>
        <v>-2.4</v>
      </c>
      <c r="P226">
        <f t="shared" si="26"/>
        <v>82.899999999999963</v>
      </c>
      <c r="Q226">
        <v>172</v>
      </c>
      <c r="R226">
        <f t="shared" si="24"/>
        <v>1.1264705882352941</v>
      </c>
      <c r="S226">
        <f t="shared" si="21"/>
        <v>2.703529411764706</v>
      </c>
      <c r="T226" s="24">
        <f t="shared" si="22"/>
        <v>-2.703529411764706</v>
      </c>
      <c r="U226" s="65">
        <f t="shared" si="27"/>
        <v>99.817941176470612</v>
      </c>
      <c r="W226">
        <v>1662.2</v>
      </c>
      <c r="Y226">
        <f t="shared" si="25"/>
        <v>120508.59999999993</v>
      </c>
      <c r="Z226">
        <f t="shared" si="29"/>
        <v>34380.300000000003</v>
      </c>
      <c r="AA226">
        <v>11.382675321899386</v>
      </c>
    </row>
    <row r="227" spans="1:28" x14ac:dyDescent="0.25">
      <c r="A227">
        <v>5080</v>
      </c>
      <c r="B227">
        <v>18650</v>
      </c>
      <c r="C227" s="1">
        <v>42805</v>
      </c>
      <c r="F227" s="43"/>
      <c r="G227">
        <v>12.8</v>
      </c>
      <c r="H227">
        <v>4.7</v>
      </c>
      <c r="I227">
        <v>19.3</v>
      </c>
      <c r="J227">
        <f t="shared" si="23"/>
        <v>1655.3999999999999</v>
      </c>
      <c r="K227">
        <f t="shared" si="28"/>
        <v>415.29999999999995</v>
      </c>
      <c r="M227" s="64">
        <v>1.4</v>
      </c>
      <c r="N227">
        <v>3</v>
      </c>
      <c r="O227">
        <f t="shared" si="20"/>
        <v>-1.6</v>
      </c>
      <c r="P227">
        <f t="shared" si="26"/>
        <v>81.299999999999969</v>
      </c>
      <c r="Q227">
        <v>173</v>
      </c>
      <c r="R227">
        <f t="shared" si="24"/>
        <v>1.1294117647058823</v>
      </c>
      <c r="S227">
        <f t="shared" si="21"/>
        <v>3.388235294117647</v>
      </c>
      <c r="T227" s="24">
        <f t="shared" si="22"/>
        <v>-1.9882352941176471</v>
      </c>
      <c r="U227" s="65">
        <f t="shared" si="27"/>
        <v>97.829705882352968</v>
      </c>
      <c r="W227">
        <v>1704.9</v>
      </c>
      <c r="Y227">
        <f t="shared" si="25"/>
        <v>122213.49999999993</v>
      </c>
      <c r="Z227">
        <f t="shared" si="29"/>
        <v>36085.200000000004</v>
      </c>
      <c r="AA227">
        <v>11.433782640922706</v>
      </c>
    </row>
    <row r="228" spans="1:28" x14ac:dyDescent="0.25">
      <c r="A228">
        <v>5080</v>
      </c>
      <c r="B228">
        <v>18650</v>
      </c>
      <c r="C228" s="1">
        <v>42806</v>
      </c>
      <c r="F228" s="43"/>
      <c r="G228">
        <v>11</v>
      </c>
      <c r="H228">
        <v>9.6</v>
      </c>
      <c r="I228">
        <v>11.8</v>
      </c>
      <c r="J228">
        <f t="shared" si="23"/>
        <v>1666.3999999999999</v>
      </c>
      <c r="K228">
        <f t="shared" si="28"/>
        <v>426.29999999999995</v>
      </c>
      <c r="M228">
        <v>1.5</v>
      </c>
      <c r="N228">
        <v>1</v>
      </c>
      <c r="O228">
        <f t="shared" si="20"/>
        <v>0.5</v>
      </c>
      <c r="P228">
        <f t="shared" si="26"/>
        <v>81.799999999999969</v>
      </c>
      <c r="Q228">
        <v>174</v>
      </c>
      <c r="R228">
        <f t="shared" si="24"/>
        <v>1.1323529411764706</v>
      </c>
      <c r="S228">
        <f t="shared" si="21"/>
        <v>1.1323529411764706</v>
      </c>
      <c r="T228" s="24">
        <f t="shared" si="22"/>
        <v>0.36764705882352944</v>
      </c>
      <c r="U228" s="24">
        <f t="shared" si="27"/>
        <v>98.197352941176504</v>
      </c>
      <c r="W228">
        <v>295.60000000000002</v>
      </c>
      <c r="Y228">
        <f t="shared" si="25"/>
        <v>122509.09999999993</v>
      </c>
      <c r="Z228">
        <f t="shared" si="29"/>
        <v>36380.800000000003</v>
      </c>
      <c r="AA228">
        <v>11.484978655771583</v>
      </c>
    </row>
    <row r="229" spans="1:28" x14ac:dyDescent="0.25">
      <c r="A229">
        <v>5080</v>
      </c>
      <c r="B229">
        <v>18650</v>
      </c>
      <c r="C229" s="1">
        <v>42807</v>
      </c>
      <c r="F229" s="43"/>
      <c r="G229">
        <v>10.4</v>
      </c>
      <c r="H229">
        <v>9.3000000000000007</v>
      </c>
      <c r="I229">
        <v>12</v>
      </c>
      <c r="J229">
        <f t="shared" si="23"/>
        <v>1676.8</v>
      </c>
      <c r="K229">
        <f t="shared" si="28"/>
        <v>436.69999999999993</v>
      </c>
      <c r="M229">
        <v>0.2</v>
      </c>
      <c r="N229">
        <v>0.8</v>
      </c>
      <c r="O229">
        <f t="shared" si="20"/>
        <v>-0.60000000000000009</v>
      </c>
      <c r="P229">
        <f t="shared" si="26"/>
        <v>81.199999999999974</v>
      </c>
      <c r="Q229">
        <v>175</v>
      </c>
      <c r="R229">
        <f t="shared" si="24"/>
        <v>1.1352941176470588</v>
      </c>
      <c r="S229">
        <f t="shared" si="21"/>
        <v>0.90823529411764703</v>
      </c>
      <c r="T229" s="24">
        <f t="shared" si="22"/>
        <v>-0.70823529411764707</v>
      </c>
      <c r="U229" s="24">
        <f t="shared" si="27"/>
        <v>97.489117647058862</v>
      </c>
      <c r="W229">
        <v>433.6</v>
      </c>
      <c r="Y229">
        <f t="shared" si="25"/>
        <v>122942.69999999994</v>
      </c>
      <c r="Z229">
        <f t="shared" si="29"/>
        <v>36814.400000000001</v>
      </c>
      <c r="AA229">
        <v>11.536254877863536</v>
      </c>
    </row>
    <row r="230" spans="1:28" x14ac:dyDescent="0.25">
      <c r="A230">
        <v>5080</v>
      </c>
      <c r="B230">
        <v>18650</v>
      </c>
      <c r="C230" s="1">
        <v>42808</v>
      </c>
      <c r="F230" s="43"/>
      <c r="G230">
        <v>11.1</v>
      </c>
      <c r="H230">
        <v>8.1999999999999993</v>
      </c>
      <c r="I230">
        <v>13.9</v>
      </c>
      <c r="J230">
        <f t="shared" si="23"/>
        <v>1687.8999999999999</v>
      </c>
      <c r="K230">
        <f t="shared" si="28"/>
        <v>447.79999999999995</v>
      </c>
      <c r="M230">
        <v>0.1</v>
      </c>
      <c r="N230">
        <v>1.6</v>
      </c>
      <c r="O230">
        <f t="shared" si="20"/>
        <v>-1.5</v>
      </c>
      <c r="P230">
        <f t="shared" si="26"/>
        <v>79.699999999999974</v>
      </c>
      <c r="Q230">
        <v>176</v>
      </c>
      <c r="R230">
        <f t="shared" si="24"/>
        <v>1.138235294117647</v>
      </c>
      <c r="S230">
        <f t="shared" si="21"/>
        <v>1.8211764705882354</v>
      </c>
      <c r="T230" s="24">
        <f t="shared" si="22"/>
        <v>-1.7211764705882353</v>
      </c>
      <c r="U230" s="24">
        <f t="shared" si="27"/>
        <v>95.767941176470629</v>
      </c>
      <c r="W230">
        <v>1225.8</v>
      </c>
      <c r="Y230">
        <f t="shared" si="25"/>
        <v>124168.49999999994</v>
      </c>
      <c r="Z230">
        <f t="shared" si="29"/>
        <v>38040.200000000004</v>
      </c>
      <c r="AA230">
        <v>11.587602939373536</v>
      </c>
    </row>
    <row r="231" spans="1:28" x14ac:dyDescent="0.25">
      <c r="A231">
        <v>5080</v>
      </c>
      <c r="B231">
        <v>18650</v>
      </c>
      <c r="C231" s="1">
        <v>42809</v>
      </c>
      <c r="F231" s="43"/>
      <c r="G231">
        <v>9.5</v>
      </c>
      <c r="H231">
        <v>4.2</v>
      </c>
      <c r="I231">
        <v>14.1</v>
      </c>
      <c r="J231">
        <f t="shared" si="23"/>
        <v>1697.3999999999999</v>
      </c>
      <c r="K231">
        <f t="shared" si="28"/>
        <v>457.29999999999995</v>
      </c>
      <c r="M231">
        <v>0.1</v>
      </c>
      <c r="N231">
        <v>1.6</v>
      </c>
      <c r="O231">
        <f t="shared" si="20"/>
        <v>-1.5</v>
      </c>
      <c r="P231">
        <f t="shared" si="26"/>
        <v>78.199999999999974</v>
      </c>
      <c r="Q231">
        <v>177</v>
      </c>
      <c r="R231">
        <f t="shared" si="24"/>
        <v>1.1411764705882352</v>
      </c>
      <c r="S231">
        <f t="shared" si="21"/>
        <v>1.8258823529411765</v>
      </c>
      <c r="T231" s="24">
        <f t="shared" si="22"/>
        <v>-1.7258823529411764</v>
      </c>
      <c r="U231" s="24">
        <f t="shared" si="27"/>
        <v>94.042058823529459</v>
      </c>
      <c r="W231">
        <v>1356.8</v>
      </c>
      <c r="Y231">
        <f t="shared" si="25"/>
        <v>125525.29999999994</v>
      </c>
      <c r="Z231">
        <f t="shared" si="29"/>
        <v>39397.000000000007</v>
      </c>
      <c r="AA231">
        <v>11.639014581545048</v>
      </c>
    </row>
    <row r="232" spans="1:28" x14ac:dyDescent="0.25">
      <c r="A232">
        <v>5080</v>
      </c>
      <c r="B232">
        <v>18650</v>
      </c>
      <c r="C232" s="1">
        <v>42810</v>
      </c>
      <c r="F232" s="43"/>
      <c r="G232">
        <v>12.3</v>
      </c>
      <c r="H232">
        <v>4.5999999999999996</v>
      </c>
      <c r="I232">
        <v>18.2</v>
      </c>
      <c r="J232">
        <f t="shared" si="23"/>
        <v>1709.6999999999998</v>
      </c>
      <c r="K232">
        <f t="shared" si="28"/>
        <v>469.59999999999997</v>
      </c>
      <c r="M232">
        <v>0</v>
      </c>
      <c r="N232">
        <v>3.2</v>
      </c>
      <c r="O232">
        <f t="shared" si="20"/>
        <v>-3.2</v>
      </c>
      <c r="P232">
        <f t="shared" si="26"/>
        <v>74.999999999999972</v>
      </c>
      <c r="Q232">
        <v>178</v>
      </c>
      <c r="R232">
        <f t="shared" si="24"/>
        <v>1.1441176470588235</v>
      </c>
      <c r="S232">
        <f t="shared" si="21"/>
        <v>3.6611764705882353</v>
      </c>
      <c r="T232" s="24">
        <f t="shared" si="22"/>
        <v>-3.6611764705882353</v>
      </c>
      <c r="U232" s="24">
        <f t="shared" si="27"/>
        <v>90.380882352941228</v>
      </c>
      <c r="W232">
        <v>1923.5</v>
      </c>
      <c r="Y232">
        <f t="shared" si="25"/>
        <v>127448.79999999994</v>
      </c>
      <c r="Z232">
        <f t="shared" si="29"/>
        <v>41320.500000000007</v>
      </c>
      <c r="AA232">
        <v>11.690481642875456</v>
      </c>
    </row>
    <row r="233" spans="1:28" x14ac:dyDescent="0.25">
      <c r="A233">
        <v>5080</v>
      </c>
      <c r="B233">
        <v>18650</v>
      </c>
      <c r="C233" s="1">
        <v>42811</v>
      </c>
      <c r="F233" s="43"/>
      <c r="G233">
        <v>12.4</v>
      </c>
      <c r="H233">
        <v>6.1</v>
      </c>
      <c r="I233">
        <v>17.7</v>
      </c>
      <c r="J233">
        <f t="shared" si="23"/>
        <v>1722.1</v>
      </c>
      <c r="K233">
        <f t="shared" si="28"/>
        <v>481.99999999999994</v>
      </c>
      <c r="M233">
        <v>0</v>
      </c>
      <c r="N233">
        <v>3</v>
      </c>
      <c r="O233">
        <f t="shared" si="20"/>
        <v>-3</v>
      </c>
      <c r="P233">
        <f t="shared" si="26"/>
        <v>71.999999999999972</v>
      </c>
      <c r="Q233">
        <v>179</v>
      </c>
      <c r="R233">
        <f t="shared" si="24"/>
        <v>1.1470588235294117</v>
      </c>
      <c r="S233">
        <f t="shared" si="21"/>
        <v>3.4411764705882351</v>
      </c>
      <c r="T233" s="24">
        <f t="shared" si="22"/>
        <v>-3.4411764705882351</v>
      </c>
      <c r="U233" s="24">
        <f t="shared" si="27"/>
        <v>86.939705882352996</v>
      </c>
      <c r="W233">
        <v>1891.4</v>
      </c>
      <c r="Y233">
        <f t="shared" si="25"/>
        <v>129340.19999999994</v>
      </c>
      <c r="Z233">
        <f t="shared" si="29"/>
        <v>43211.900000000009</v>
      </c>
      <c r="AA233">
        <v>11.741996047191778</v>
      </c>
    </row>
    <row r="234" spans="1:28" s="25" customFormat="1" ht="15.75" thickBot="1" x14ac:dyDescent="0.3">
      <c r="A234" s="25">
        <v>5080</v>
      </c>
      <c r="B234" s="25">
        <v>18650</v>
      </c>
      <c r="C234" s="26">
        <v>42812</v>
      </c>
      <c r="F234" s="53"/>
      <c r="G234" s="25">
        <v>10.4</v>
      </c>
      <c r="H234" s="25">
        <v>9.1</v>
      </c>
      <c r="I234" s="25">
        <v>11.7</v>
      </c>
      <c r="J234" s="25">
        <f t="shared" si="23"/>
        <v>1732.5</v>
      </c>
      <c r="K234" s="25">
        <f t="shared" si="28"/>
        <v>492.39999999999992</v>
      </c>
      <c r="L234" s="27"/>
      <c r="M234" s="25">
        <v>0</v>
      </c>
      <c r="N234" s="25">
        <v>1.5</v>
      </c>
      <c r="O234" s="25">
        <f t="shared" si="20"/>
        <v>-1.5</v>
      </c>
      <c r="P234" s="25">
        <f t="shared" si="26"/>
        <v>70.499999999999972</v>
      </c>
      <c r="Q234" s="25">
        <v>180</v>
      </c>
      <c r="R234" s="25">
        <f t="shared" si="24"/>
        <v>1.1499999999999999</v>
      </c>
      <c r="S234" s="25">
        <f t="shared" si="21"/>
        <v>1.7249999999999999</v>
      </c>
      <c r="T234" s="28">
        <f t="shared" si="22"/>
        <v>-1.7249999999999999</v>
      </c>
      <c r="U234" s="24">
        <f t="shared" si="27"/>
        <v>85.214705882353002</v>
      </c>
      <c r="V234" s="27"/>
      <c r="W234" s="25">
        <v>640.79999999999995</v>
      </c>
      <c r="Y234" s="25">
        <f t="shared" si="25"/>
        <v>129980.99999999994</v>
      </c>
      <c r="Z234" s="25">
        <f t="shared" si="29"/>
        <v>43852.700000000012</v>
      </c>
      <c r="AA234" s="25">
        <v>11.793549791631829</v>
      </c>
    </row>
    <row r="235" spans="1:28" x14ac:dyDescent="0.25">
      <c r="A235">
        <v>5080</v>
      </c>
      <c r="B235">
        <v>18650</v>
      </c>
      <c r="C235" s="1">
        <v>42813</v>
      </c>
      <c r="D235" t="s">
        <v>9</v>
      </c>
      <c r="F235" s="54" t="s">
        <v>51</v>
      </c>
      <c r="G235">
        <v>10.5</v>
      </c>
      <c r="H235">
        <v>5</v>
      </c>
      <c r="I235">
        <v>14</v>
      </c>
      <c r="J235">
        <f t="shared" si="23"/>
        <v>1743</v>
      </c>
      <c r="K235">
        <v>10.5</v>
      </c>
      <c r="L235" s="20" t="s">
        <v>34</v>
      </c>
      <c r="M235">
        <v>0</v>
      </c>
      <c r="N235">
        <v>2</v>
      </c>
      <c r="O235">
        <f t="shared" si="20"/>
        <v>-2</v>
      </c>
      <c r="P235">
        <f t="shared" si="26"/>
        <v>68.499999999999972</v>
      </c>
      <c r="Q235">
        <v>181</v>
      </c>
      <c r="R235">
        <v>1.1499999999999999</v>
      </c>
      <c r="S235">
        <f t="shared" si="21"/>
        <v>2.2999999999999998</v>
      </c>
      <c r="T235" s="24">
        <f t="shared" si="22"/>
        <v>-2.2999999999999998</v>
      </c>
      <c r="U235" s="24">
        <f t="shared" si="27"/>
        <v>82.914705882353005</v>
      </c>
      <c r="V235" s="14" t="s">
        <v>41</v>
      </c>
      <c r="W235">
        <v>1483.4</v>
      </c>
      <c r="Y235">
        <f t="shared" si="25"/>
        <v>131464.39999999994</v>
      </c>
      <c r="Z235">
        <f>W235</f>
        <v>1483.4</v>
      </c>
      <c r="AA235">
        <v>11.845134934545476</v>
      </c>
      <c r="AB235" s="14" t="s">
        <v>46</v>
      </c>
    </row>
    <row r="236" spans="1:28" s="36" customFormat="1" x14ac:dyDescent="0.25">
      <c r="A236" s="36">
        <v>5080</v>
      </c>
      <c r="B236" s="36">
        <v>18650</v>
      </c>
      <c r="C236" s="37">
        <v>42814</v>
      </c>
      <c r="F236" s="55"/>
      <c r="G236" s="36">
        <v>10.9</v>
      </c>
      <c r="H236" s="36">
        <v>8.8000000000000007</v>
      </c>
      <c r="I236" s="36">
        <v>13.2</v>
      </c>
      <c r="J236" s="36">
        <f t="shared" si="23"/>
        <v>1753.9</v>
      </c>
      <c r="K236" s="36">
        <f t="shared" si="28"/>
        <v>21.4</v>
      </c>
      <c r="L236" s="8">
        <v>242.1</v>
      </c>
      <c r="M236" s="36">
        <v>0</v>
      </c>
      <c r="N236" s="36">
        <v>1.1000000000000001</v>
      </c>
      <c r="O236" s="36">
        <f t="shared" si="20"/>
        <v>-1.1000000000000001</v>
      </c>
      <c r="P236" s="36">
        <f t="shared" si="26"/>
        <v>67.399999999999977</v>
      </c>
      <c r="Q236" s="36">
        <v>182</v>
      </c>
      <c r="R236" s="36">
        <f t="shared" ref="R236" si="30">1+((Q236-129)/53)*(1.15-1)</f>
        <v>1.1499999999999999</v>
      </c>
      <c r="S236" s="36">
        <f t="shared" si="21"/>
        <v>1.2649999999999999</v>
      </c>
      <c r="T236" s="38">
        <f t="shared" si="22"/>
        <v>-1.2649999999999999</v>
      </c>
      <c r="U236" s="24">
        <f t="shared" si="27"/>
        <v>81.649705882353004</v>
      </c>
      <c r="V236">
        <v>0</v>
      </c>
      <c r="W236" s="36">
        <v>506.8</v>
      </c>
      <c r="Y236" s="36">
        <f t="shared" si="25"/>
        <v>131971.19999999992</v>
      </c>
      <c r="Z236" s="36">
        <f t="shared" si="29"/>
        <v>1990.2</v>
      </c>
      <c r="AA236" s="36">
        <v>11.896743583330077</v>
      </c>
      <c r="AB236">
        <v>29214.6</v>
      </c>
    </row>
    <row r="237" spans="1:28" ht="15" customHeight="1" x14ac:dyDescent="0.25">
      <c r="A237">
        <v>5080</v>
      </c>
      <c r="B237">
        <v>18650</v>
      </c>
      <c r="C237" s="1">
        <v>42815</v>
      </c>
      <c r="F237" s="55"/>
      <c r="G237">
        <v>9.3000000000000007</v>
      </c>
      <c r="H237">
        <v>8.1999999999999993</v>
      </c>
      <c r="I237">
        <v>12.7</v>
      </c>
      <c r="J237">
        <f t="shared" si="23"/>
        <v>1763.2</v>
      </c>
      <c r="K237" s="36">
        <f t="shared" si="28"/>
        <v>30.7</v>
      </c>
      <c r="L237" s="20" t="s">
        <v>35</v>
      </c>
      <c r="M237">
        <v>0.6</v>
      </c>
      <c r="N237">
        <v>1.7</v>
      </c>
      <c r="O237">
        <f t="shared" si="20"/>
        <v>-1.1000000000000001</v>
      </c>
      <c r="P237">
        <f t="shared" si="26"/>
        <v>66.299999999999983</v>
      </c>
      <c r="Q237">
        <v>183</v>
      </c>
      <c r="R237">
        <v>1.1499999999999999</v>
      </c>
      <c r="S237">
        <f t="shared" si="21"/>
        <v>1.9549999999999998</v>
      </c>
      <c r="T237" s="24">
        <f t="shared" si="22"/>
        <v>-1.355</v>
      </c>
      <c r="U237" s="24">
        <f t="shared" si="27"/>
        <v>80.294705882353</v>
      </c>
      <c r="V237" s="14" t="s">
        <v>42</v>
      </c>
      <c r="W237">
        <v>674.8</v>
      </c>
      <c r="Y237">
        <f t="shared" si="25"/>
        <v>132645.99999999991</v>
      </c>
      <c r="Z237" s="36">
        <f t="shared" si="29"/>
        <v>2665</v>
      </c>
      <c r="AA237">
        <v>11.948367882213777</v>
      </c>
      <c r="AB237" s="14" t="s">
        <v>47</v>
      </c>
    </row>
    <row r="238" spans="1:28" x14ac:dyDescent="0.25">
      <c r="A238">
        <v>5080</v>
      </c>
      <c r="B238">
        <v>18650</v>
      </c>
      <c r="C238" s="1">
        <v>42816</v>
      </c>
      <c r="F238" s="55"/>
      <c r="G238">
        <v>9.1</v>
      </c>
      <c r="H238">
        <v>4.5999999999999996</v>
      </c>
      <c r="I238">
        <v>13.4</v>
      </c>
      <c r="J238">
        <f t="shared" si="23"/>
        <v>1772.3</v>
      </c>
      <c r="K238" s="36">
        <f t="shared" si="28"/>
        <v>39.799999999999997</v>
      </c>
      <c r="L238" s="21">
        <f>AVERAGE(G235:G255)</f>
        <v>11.52857142857143</v>
      </c>
      <c r="M238">
        <v>4.2</v>
      </c>
      <c r="N238">
        <v>2</v>
      </c>
      <c r="O238">
        <f t="shared" si="20"/>
        <v>2.2000000000000002</v>
      </c>
      <c r="P238">
        <f t="shared" si="26"/>
        <v>68.499999999999986</v>
      </c>
      <c r="Q238">
        <v>184</v>
      </c>
      <c r="R238">
        <v>1.1499999999999999</v>
      </c>
      <c r="S238">
        <f t="shared" si="21"/>
        <v>2.2999999999999998</v>
      </c>
      <c r="T238" s="24">
        <f t="shared" si="22"/>
        <v>1.9000000000000004</v>
      </c>
      <c r="U238" s="24">
        <f t="shared" si="27"/>
        <v>82.194705882353006</v>
      </c>
      <c r="V238">
        <v>0</v>
      </c>
      <c r="W238">
        <v>1535.4</v>
      </c>
      <c r="Y238">
        <f t="shared" si="25"/>
        <v>134181.39999999991</v>
      </c>
      <c r="Z238" s="36">
        <f t="shared" si="29"/>
        <v>4200.3999999999996</v>
      </c>
      <c r="AA238">
        <v>12</v>
      </c>
      <c r="AB238" s="24">
        <f>(AB236/100)/L236</f>
        <v>1.2067162329615859</v>
      </c>
    </row>
    <row r="239" spans="1:28" x14ac:dyDescent="0.25">
      <c r="A239">
        <v>5080</v>
      </c>
      <c r="B239">
        <v>18650</v>
      </c>
      <c r="C239" s="1">
        <v>42817</v>
      </c>
      <c r="F239" s="55"/>
      <c r="G239">
        <v>7.7</v>
      </c>
      <c r="H239">
        <v>5</v>
      </c>
      <c r="I239">
        <v>11.2</v>
      </c>
      <c r="J239">
        <f t="shared" si="23"/>
        <v>1780</v>
      </c>
      <c r="K239" s="36">
        <f t="shared" si="28"/>
        <v>47.5</v>
      </c>
      <c r="L239" s="20" t="s">
        <v>36</v>
      </c>
      <c r="M239">
        <v>1.7</v>
      </c>
      <c r="N239">
        <v>1.6</v>
      </c>
      <c r="O239">
        <f t="shared" si="20"/>
        <v>9.9999999999999867E-2</v>
      </c>
      <c r="P239">
        <f t="shared" si="26"/>
        <v>68.59999999999998</v>
      </c>
      <c r="Q239">
        <v>185</v>
      </c>
      <c r="R239">
        <v>1.1499999999999999</v>
      </c>
      <c r="S239">
        <f t="shared" si="21"/>
        <v>1.8399999999999999</v>
      </c>
      <c r="T239" s="24">
        <f t="shared" si="22"/>
        <v>-0.1399999999999999</v>
      </c>
      <c r="U239" s="24">
        <f t="shared" si="27"/>
        <v>82.054705882353005</v>
      </c>
      <c r="V239" s="14" t="s">
        <v>43</v>
      </c>
      <c r="W239">
        <v>1065.3</v>
      </c>
      <c r="Y239">
        <f t="shared" si="25"/>
        <v>135246.6999999999</v>
      </c>
      <c r="Z239" s="36">
        <f t="shared" si="29"/>
        <v>5265.7</v>
      </c>
      <c r="AA239">
        <v>12.051632117786223</v>
      </c>
      <c r="AB239" s="14" t="s">
        <v>48</v>
      </c>
    </row>
    <row r="240" spans="1:28" x14ac:dyDescent="0.25">
      <c r="A240">
        <v>5080</v>
      </c>
      <c r="B240">
        <v>18650</v>
      </c>
      <c r="C240" s="1">
        <v>42818</v>
      </c>
      <c r="F240" s="55"/>
      <c r="G240">
        <v>6.6</v>
      </c>
      <c r="H240">
        <v>3.3</v>
      </c>
      <c r="I240">
        <v>10.199999999999999</v>
      </c>
      <c r="J240">
        <f t="shared" si="23"/>
        <v>1786.6</v>
      </c>
      <c r="K240" s="36">
        <f t="shared" si="28"/>
        <v>54.1</v>
      </c>
      <c r="L240" s="12">
        <f>MIN(H235:H255)</f>
        <v>3.3</v>
      </c>
      <c r="M240">
        <v>9.1</v>
      </c>
      <c r="N240">
        <v>0.8</v>
      </c>
      <c r="O240">
        <f t="shared" si="20"/>
        <v>8.2999999999999989</v>
      </c>
      <c r="P240">
        <f t="shared" si="26"/>
        <v>76.899999999999977</v>
      </c>
      <c r="Q240">
        <v>186</v>
      </c>
      <c r="R240">
        <v>1.1499999999999999</v>
      </c>
      <c r="S240">
        <f t="shared" si="21"/>
        <v>0.91999999999999993</v>
      </c>
      <c r="T240" s="24">
        <f t="shared" si="22"/>
        <v>8.18</v>
      </c>
      <c r="U240" s="24">
        <f t="shared" si="27"/>
        <v>90.234705882353012</v>
      </c>
      <c r="V240" s="24">
        <f>MIN(U235:U255)</f>
        <v>64.279705882353028</v>
      </c>
      <c r="W240">
        <v>681</v>
      </c>
      <c r="Y240">
        <f t="shared" si="25"/>
        <v>135927.6999999999</v>
      </c>
      <c r="Z240" s="36">
        <f t="shared" si="29"/>
        <v>5946.7</v>
      </c>
      <c r="AA240">
        <v>12.103256416669922</v>
      </c>
      <c r="AB240">
        <v>5</v>
      </c>
    </row>
    <row r="241" spans="1:28" x14ac:dyDescent="0.25">
      <c r="A241">
        <v>5080</v>
      </c>
      <c r="B241">
        <v>18650</v>
      </c>
      <c r="C241" s="1">
        <v>42819</v>
      </c>
      <c r="F241" s="55"/>
      <c r="G241">
        <v>8.4</v>
      </c>
      <c r="H241">
        <v>5.6</v>
      </c>
      <c r="I241">
        <v>12.9</v>
      </c>
      <c r="J241">
        <f t="shared" si="23"/>
        <v>1795</v>
      </c>
      <c r="K241" s="36">
        <f t="shared" si="28"/>
        <v>62.5</v>
      </c>
      <c r="L241" s="20" t="s">
        <v>37</v>
      </c>
      <c r="M241">
        <v>1.8</v>
      </c>
      <c r="N241">
        <v>1.4</v>
      </c>
      <c r="O241">
        <f t="shared" si="20"/>
        <v>0.40000000000000013</v>
      </c>
      <c r="P241">
        <f t="shared" si="26"/>
        <v>77.299999999999983</v>
      </c>
      <c r="Q241">
        <v>187</v>
      </c>
      <c r="R241">
        <v>1.1499999999999999</v>
      </c>
      <c r="S241">
        <f t="shared" si="21"/>
        <v>1.6099999999999999</v>
      </c>
      <c r="T241" s="24">
        <f t="shared" si="22"/>
        <v>0.19000000000000017</v>
      </c>
      <c r="U241" s="24">
        <f t="shared" si="27"/>
        <v>90.42470588235301</v>
      </c>
      <c r="V241" s="14" t="s">
        <v>44</v>
      </c>
      <c r="W241">
        <v>792.5</v>
      </c>
      <c r="Y241">
        <f t="shared" si="25"/>
        <v>136720.1999999999</v>
      </c>
      <c r="Z241" s="36">
        <f t="shared" si="29"/>
        <v>6739.2</v>
      </c>
      <c r="AA241">
        <v>12.154865065454523</v>
      </c>
    </row>
    <row r="242" spans="1:28" x14ac:dyDescent="0.25">
      <c r="A242">
        <v>5080</v>
      </c>
      <c r="B242">
        <v>18650</v>
      </c>
      <c r="C242" s="1">
        <v>42820</v>
      </c>
      <c r="F242" s="55"/>
      <c r="G242">
        <v>11.2</v>
      </c>
      <c r="H242">
        <v>4.9000000000000004</v>
      </c>
      <c r="I242">
        <v>16.5</v>
      </c>
      <c r="J242">
        <f t="shared" si="23"/>
        <v>1806.2</v>
      </c>
      <c r="K242" s="36">
        <f t="shared" si="28"/>
        <v>73.7</v>
      </c>
      <c r="L242" s="8">
        <f>MAX(I235:I255)</f>
        <v>21.8</v>
      </c>
      <c r="M242">
        <v>0</v>
      </c>
      <c r="N242">
        <v>2.6</v>
      </c>
      <c r="O242">
        <f t="shared" si="20"/>
        <v>-2.6</v>
      </c>
      <c r="P242">
        <f t="shared" si="26"/>
        <v>74.699999999999989</v>
      </c>
      <c r="Q242">
        <v>188</v>
      </c>
      <c r="R242">
        <v>1.1499999999999999</v>
      </c>
      <c r="S242">
        <f t="shared" si="21"/>
        <v>2.9899999999999998</v>
      </c>
      <c r="T242" s="24">
        <f t="shared" si="22"/>
        <v>-2.9899999999999998</v>
      </c>
      <c r="U242" s="24">
        <f t="shared" si="27"/>
        <v>87.434705882353015</v>
      </c>
      <c r="V242" s="24">
        <f>MAX(U235:U255)</f>
        <v>90.42470588235301</v>
      </c>
      <c r="W242">
        <v>1745.2</v>
      </c>
      <c r="Y242">
        <f t="shared" si="25"/>
        <v>138465.39999999991</v>
      </c>
      <c r="Z242" s="36">
        <f t="shared" si="29"/>
        <v>8484.4</v>
      </c>
      <c r="AA242">
        <v>12.206450208368171</v>
      </c>
    </row>
    <row r="243" spans="1:28" x14ac:dyDescent="0.25">
      <c r="A243">
        <v>5080</v>
      </c>
      <c r="B243">
        <v>18650</v>
      </c>
      <c r="C243" s="1">
        <v>42821</v>
      </c>
      <c r="F243" s="55"/>
      <c r="G243">
        <v>12.4</v>
      </c>
      <c r="H243">
        <v>8.4</v>
      </c>
      <c r="I243">
        <v>16.100000000000001</v>
      </c>
      <c r="J243">
        <f t="shared" si="23"/>
        <v>1818.6000000000001</v>
      </c>
      <c r="K243" s="36">
        <f t="shared" si="28"/>
        <v>86.100000000000009</v>
      </c>
      <c r="L243" s="20" t="s">
        <v>38</v>
      </c>
      <c r="M243">
        <v>0</v>
      </c>
      <c r="N243">
        <v>2.4</v>
      </c>
      <c r="O243">
        <f t="shared" si="20"/>
        <v>-2.4</v>
      </c>
      <c r="P243">
        <f t="shared" si="26"/>
        <v>72.299999999999983</v>
      </c>
      <c r="Q243">
        <v>189</v>
      </c>
      <c r="R243">
        <v>1.1499999999999999</v>
      </c>
      <c r="S243">
        <f t="shared" si="21"/>
        <v>2.76</v>
      </c>
      <c r="T243" s="24">
        <f t="shared" si="22"/>
        <v>-2.76</v>
      </c>
      <c r="U243" s="24">
        <f t="shared" si="27"/>
        <v>84.67470588235301</v>
      </c>
      <c r="V243" s="14" t="s">
        <v>45</v>
      </c>
      <c r="W243">
        <v>1402.5</v>
      </c>
      <c r="Y243">
        <f t="shared" si="25"/>
        <v>139867.89999999991</v>
      </c>
      <c r="Z243" s="36">
        <f t="shared" si="29"/>
        <v>9886.9</v>
      </c>
      <c r="AA243">
        <v>12.258003952808222</v>
      </c>
    </row>
    <row r="244" spans="1:28" x14ac:dyDescent="0.25">
      <c r="A244">
        <v>5080</v>
      </c>
      <c r="B244">
        <v>18650</v>
      </c>
      <c r="C244" s="1">
        <v>42822</v>
      </c>
      <c r="F244" s="55"/>
      <c r="G244">
        <v>13.6</v>
      </c>
      <c r="H244">
        <v>8.1</v>
      </c>
      <c r="I244">
        <v>18.3</v>
      </c>
      <c r="J244">
        <f t="shared" si="23"/>
        <v>1832.2</v>
      </c>
      <c r="K244" s="36">
        <f t="shared" si="28"/>
        <v>99.7</v>
      </c>
      <c r="L244" s="8">
        <v>0</v>
      </c>
      <c r="M244">
        <v>0.2</v>
      </c>
      <c r="N244">
        <v>2.7</v>
      </c>
      <c r="O244">
        <f t="shared" si="20"/>
        <v>-2.5</v>
      </c>
      <c r="P244">
        <f t="shared" si="26"/>
        <v>69.799999999999983</v>
      </c>
      <c r="Q244">
        <v>190</v>
      </c>
      <c r="R244">
        <v>1.1499999999999999</v>
      </c>
      <c r="S244">
        <f t="shared" si="21"/>
        <v>3.105</v>
      </c>
      <c r="T244" s="24">
        <f t="shared" si="22"/>
        <v>-2.9049999999999998</v>
      </c>
      <c r="U244" s="24">
        <f t="shared" si="27"/>
        <v>81.769705882353009</v>
      </c>
      <c r="V244" s="21">
        <f>AVERAGE(U235:U255)</f>
        <v>80.919467787114925</v>
      </c>
      <c r="W244">
        <v>1528.2</v>
      </c>
      <c r="Y244">
        <f t="shared" si="25"/>
        <v>141396.09999999992</v>
      </c>
      <c r="Z244" s="36">
        <f t="shared" si="29"/>
        <v>11415.1</v>
      </c>
      <c r="AA244">
        <v>12.309518357124544</v>
      </c>
    </row>
    <row r="245" spans="1:28" x14ac:dyDescent="0.25">
      <c r="A245">
        <v>5080</v>
      </c>
      <c r="B245">
        <v>18650</v>
      </c>
      <c r="C245" s="1">
        <v>42823</v>
      </c>
      <c r="F245" s="55"/>
      <c r="G245">
        <v>14.1</v>
      </c>
      <c r="H245">
        <v>7.3</v>
      </c>
      <c r="I245">
        <v>20.100000000000001</v>
      </c>
      <c r="J245">
        <f t="shared" si="23"/>
        <v>1846.3</v>
      </c>
      <c r="K245" s="36">
        <f t="shared" si="28"/>
        <v>113.8</v>
      </c>
      <c r="L245" s="20" t="s">
        <v>39</v>
      </c>
      <c r="M245">
        <v>0</v>
      </c>
      <c r="N245">
        <v>3.4</v>
      </c>
      <c r="O245">
        <f t="shared" si="20"/>
        <v>-3.4</v>
      </c>
      <c r="P245">
        <f t="shared" si="26"/>
        <v>66.399999999999977</v>
      </c>
      <c r="Q245">
        <v>191</v>
      </c>
      <c r="R245">
        <v>1.1499999999999999</v>
      </c>
      <c r="S245">
        <f t="shared" si="21"/>
        <v>3.9099999999999997</v>
      </c>
      <c r="T245" s="24">
        <f t="shared" si="22"/>
        <v>-3.9099999999999997</v>
      </c>
      <c r="U245" s="24">
        <f t="shared" si="27"/>
        <v>77.859705882353012</v>
      </c>
      <c r="W245">
        <v>1902.7</v>
      </c>
      <c r="Y245">
        <f t="shared" si="25"/>
        <v>143298.79999999993</v>
      </c>
      <c r="Z245" s="36">
        <f t="shared" si="29"/>
        <v>13317.800000000001</v>
      </c>
      <c r="AA245">
        <v>12.360985418454952</v>
      </c>
    </row>
    <row r="246" spans="1:28" x14ac:dyDescent="0.25">
      <c r="A246">
        <v>5080</v>
      </c>
      <c r="B246">
        <v>18650</v>
      </c>
      <c r="C246" s="1">
        <v>42824</v>
      </c>
      <c r="F246" s="55"/>
      <c r="G246">
        <v>15</v>
      </c>
      <c r="H246">
        <v>6.6</v>
      </c>
      <c r="I246">
        <v>21.8</v>
      </c>
      <c r="J246">
        <f t="shared" si="23"/>
        <v>1861.3</v>
      </c>
      <c r="K246" s="36">
        <f t="shared" si="28"/>
        <v>128.80000000000001</v>
      </c>
      <c r="L246" s="8">
        <v>6</v>
      </c>
      <c r="M246">
        <v>0</v>
      </c>
      <c r="N246">
        <v>4.3</v>
      </c>
      <c r="O246">
        <f t="shared" si="20"/>
        <v>-4.3</v>
      </c>
      <c r="P246">
        <f t="shared" si="26"/>
        <v>62.09999999999998</v>
      </c>
      <c r="Q246">
        <v>192</v>
      </c>
      <c r="R246">
        <v>1.1499999999999999</v>
      </c>
      <c r="S246">
        <f t="shared" si="21"/>
        <v>4.9449999999999994</v>
      </c>
      <c r="T246" s="24">
        <f t="shared" si="22"/>
        <v>-4.9449999999999994</v>
      </c>
      <c r="U246" s="24">
        <f t="shared" si="27"/>
        <v>72.914705882353019</v>
      </c>
      <c r="V246" s="8">
        <f>(V244*100)/155.7</f>
        <v>51.971398707202908</v>
      </c>
      <c r="W246">
        <v>2176</v>
      </c>
      <c r="Y246">
        <f t="shared" si="25"/>
        <v>145474.79999999993</v>
      </c>
      <c r="Z246" s="36">
        <f t="shared" si="29"/>
        <v>15493.800000000001</v>
      </c>
      <c r="AA246">
        <v>12.412397060626462</v>
      </c>
    </row>
    <row r="247" spans="1:28" x14ac:dyDescent="0.25">
      <c r="A247">
        <v>5080</v>
      </c>
      <c r="B247">
        <v>18650</v>
      </c>
      <c r="C247" s="1">
        <v>42825</v>
      </c>
      <c r="F247" s="55"/>
      <c r="G247">
        <v>13.4</v>
      </c>
      <c r="H247">
        <v>11.1</v>
      </c>
      <c r="I247">
        <v>18.3</v>
      </c>
      <c r="J247">
        <f t="shared" si="23"/>
        <v>1874.7</v>
      </c>
      <c r="K247" s="36">
        <f t="shared" si="28"/>
        <v>142.20000000000002</v>
      </c>
      <c r="L247" s="20" t="s">
        <v>40</v>
      </c>
      <c r="M247">
        <v>16.5</v>
      </c>
      <c r="N247">
        <v>2.8</v>
      </c>
      <c r="O247">
        <f t="shared" si="20"/>
        <v>13.7</v>
      </c>
      <c r="P247">
        <f t="shared" si="26"/>
        <v>75.799999999999983</v>
      </c>
      <c r="Q247">
        <v>193</v>
      </c>
      <c r="R247">
        <v>1.1499999999999999</v>
      </c>
      <c r="S247">
        <f t="shared" si="21"/>
        <v>3.2199999999999998</v>
      </c>
      <c r="T247" s="24">
        <f t="shared" si="22"/>
        <v>13.280000000000001</v>
      </c>
      <c r="U247" s="24">
        <f t="shared" si="27"/>
        <v>86.19470588235302</v>
      </c>
      <c r="W247">
        <v>1301.2</v>
      </c>
      <c r="Y247">
        <f t="shared" si="25"/>
        <v>146775.99999999994</v>
      </c>
      <c r="Z247" s="36">
        <f t="shared" si="29"/>
        <v>16795</v>
      </c>
      <c r="AA247">
        <v>12.463745122136464</v>
      </c>
    </row>
    <row r="248" spans="1:28" x14ac:dyDescent="0.25">
      <c r="A248">
        <v>5080</v>
      </c>
      <c r="B248">
        <v>18650</v>
      </c>
      <c r="C248" s="1">
        <v>42826</v>
      </c>
      <c r="F248" s="55"/>
      <c r="G248">
        <v>10.8</v>
      </c>
      <c r="H248">
        <v>8.8000000000000007</v>
      </c>
      <c r="I248">
        <v>13.5</v>
      </c>
      <c r="J248">
        <f t="shared" si="23"/>
        <v>1885.5</v>
      </c>
      <c r="K248" s="36">
        <f t="shared" si="28"/>
        <v>153.00000000000003</v>
      </c>
      <c r="L248" s="18">
        <v>0</v>
      </c>
      <c r="M248">
        <v>2.7</v>
      </c>
      <c r="N248">
        <v>1.4</v>
      </c>
      <c r="O248">
        <f t="shared" ref="O248:O311" si="31">M248-N248</f>
        <v>1.3000000000000003</v>
      </c>
      <c r="P248">
        <f t="shared" si="26"/>
        <v>77.09999999999998</v>
      </c>
      <c r="Q248">
        <v>194</v>
      </c>
      <c r="R248">
        <v>1.1499999999999999</v>
      </c>
      <c r="S248">
        <f t="shared" ref="S248:S311" si="32">R248*N248</f>
        <v>1.6099999999999999</v>
      </c>
      <c r="T248" s="24">
        <f t="shared" ref="T248:T311" si="33">M248-S248</f>
        <v>1.0900000000000003</v>
      </c>
      <c r="U248" s="24">
        <f t="shared" si="27"/>
        <v>87.284705882353023</v>
      </c>
      <c r="W248">
        <v>591.4</v>
      </c>
      <c r="Y248">
        <f t="shared" si="25"/>
        <v>147367.39999999994</v>
      </c>
      <c r="Z248" s="36">
        <f t="shared" si="29"/>
        <v>17386.400000000001</v>
      </c>
      <c r="AA248">
        <v>12.515021344228417</v>
      </c>
    </row>
    <row r="249" spans="1:28" x14ac:dyDescent="0.25">
      <c r="A249">
        <v>5080</v>
      </c>
      <c r="B249">
        <v>18650</v>
      </c>
      <c r="C249" s="1">
        <v>42827</v>
      </c>
      <c r="F249" s="55"/>
      <c r="G249">
        <v>11.1</v>
      </c>
      <c r="H249">
        <v>9.1</v>
      </c>
      <c r="I249">
        <v>13.2</v>
      </c>
      <c r="J249">
        <f t="shared" ref="J249:J312" si="34">J248+G249</f>
        <v>1896.6</v>
      </c>
      <c r="K249" s="36">
        <f t="shared" si="28"/>
        <v>164.10000000000002</v>
      </c>
      <c r="M249">
        <v>0.7</v>
      </c>
      <c r="N249">
        <v>2.1</v>
      </c>
      <c r="O249">
        <f t="shared" si="31"/>
        <v>-1.4000000000000001</v>
      </c>
      <c r="P249">
        <f t="shared" si="26"/>
        <v>75.699999999999974</v>
      </c>
      <c r="Q249">
        <v>195</v>
      </c>
      <c r="R249">
        <v>1.1499999999999999</v>
      </c>
      <c r="S249">
        <f t="shared" si="32"/>
        <v>2.415</v>
      </c>
      <c r="T249" s="24">
        <f t="shared" si="33"/>
        <v>-1.7150000000000001</v>
      </c>
      <c r="U249" s="24">
        <f t="shared" si="27"/>
        <v>85.56970588235302</v>
      </c>
      <c r="W249">
        <v>1069.7</v>
      </c>
      <c r="Y249">
        <f t="shared" ref="Y249:Y312" si="35">Y248+W249</f>
        <v>148437.09999999995</v>
      </c>
      <c r="Z249" s="36">
        <f t="shared" si="29"/>
        <v>18456.100000000002</v>
      </c>
      <c r="AA249">
        <v>12.566217359077294</v>
      </c>
    </row>
    <row r="250" spans="1:28" x14ac:dyDescent="0.25">
      <c r="A250">
        <v>5080</v>
      </c>
      <c r="B250">
        <v>18650</v>
      </c>
      <c r="C250" s="1">
        <v>42828</v>
      </c>
      <c r="F250" s="55"/>
      <c r="G250">
        <v>12.9</v>
      </c>
      <c r="H250">
        <v>8.3000000000000007</v>
      </c>
      <c r="I250">
        <v>16.100000000000001</v>
      </c>
      <c r="J250">
        <f t="shared" si="34"/>
        <v>1909.5</v>
      </c>
      <c r="K250" s="36">
        <f t="shared" si="28"/>
        <v>177.00000000000003</v>
      </c>
      <c r="M250">
        <v>0</v>
      </c>
      <c r="N250">
        <v>2.2999999999999998</v>
      </c>
      <c r="O250">
        <f t="shared" si="31"/>
        <v>-2.2999999999999998</v>
      </c>
      <c r="P250">
        <f t="shared" si="26"/>
        <v>73.399999999999977</v>
      </c>
      <c r="Q250">
        <v>196</v>
      </c>
      <c r="R250">
        <v>1.1499999999999999</v>
      </c>
      <c r="S250">
        <f t="shared" si="32"/>
        <v>2.6449999999999996</v>
      </c>
      <c r="T250" s="24">
        <f t="shared" si="33"/>
        <v>-2.6449999999999996</v>
      </c>
      <c r="U250" s="24">
        <f t="shared" si="27"/>
        <v>82.924705882353024</v>
      </c>
      <c r="W250">
        <v>1474.3</v>
      </c>
      <c r="Y250">
        <f t="shared" si="35"/>
        <v>149911.39999999994</v>
      </c>
      <c r="Z250" s="36">
        <f t="shared" si="29"/>
        <v>19930.400000000001</v>
      </c>
      <c r="AA250">
        <v>12.617324678100614</v>
      </c>
    </row>
    <row r="251" spans="1:28" x14ac:dyDescent="0.25">
      <c r="A251">
        <v>5080</v>
      </c>
      <c r="B251">
        <v>18650</v>
      </c>
      <c r="C251" s="1">
        <v>42829</v>
      </c>
      <c r="F251" s="55"/>
      <c r="G251">
        <v>14.2</v>
      </c>
      <c r="H251">
        <v>10.5</v>
      </c>
      <c r="I251">
        <v>18.600000000000001</v>
      </c>
      <c r="J251">
        <f t="shared" si="34"/>
        <v>1923.7</v>
      </c>
      <c r="K251" s="36">
        <f t="shared" si="28"/>
        <v>191.20000000000002</v>
      </c>
      <c r="M251">
        <v>0.1</v>
      </c>
      <c r="N251">
        <v>3.3</v>
      </c>
      <c r="O251">
        <f t="shared" si="31"/>
        <v>-3.1999999999999997</v>
      </c>
      <c r="P251">
        <f t="shared" si="26"/>
        <v>70.199999999999974</v>
      </c>
      <c r="Q251">
        <v>197</v>
      </c>
      <c r="R251">
        <v>1.1499999999999999</v>
      </c>
      <c r="S251">
        <f t="shared" si="32"/>
        <v>3.7949999999999995</v>
      </c>
      <c r="T251" s="24">
        <f t="shared" si="33"/>
        <v>-3.6949999999999994</v>
      </c>
      <c r="U251" s="24">
        <f t="shared" si="27"/>
        <v>79.229705882353031</v>
      </c>
      <c r="W251">
        <v>1537.4</v>
      </c>
      <c r="Y251">
        <f t="shared" si="35"/>
        <v>151448.79999999993</v>
      </c>
      <c r="Z251" s="36">
        <f t="shared" si="29"/>
        <v>21467.800000000003</v>
      </c>
      <c r="AA251">
        <v>12.668334680411723</v>
      </c>
    </row>
    <row r="252" spans="1:28" x14ac:dyDescent="0.25">
      <c r="A252">
        <v>5080</v>
      </c>
      <c r="B252">
        <v>18650</v>
      </c>
      <c r="C252" s="1">
        <v>42830</v>
      </c>
      <c r="F252" s="55"/>
      <c r="G252">
        <v>12.4</v>
      </c>
      <c r="H252">
        <v>9.4</v>
      </c>
      <c r="I252">
        <v>15.7</v>
      </c>
      <c r="J252">
        <f t="shared" si="34"/>
        <v>1936.1000000000001</v>
      </c>
      <c r="K252" s="36">
        <f t="shared" si="28"/>
        <v>203.60000000000002</v>
      </c>
      <c r="M252">
        <v>0</v>
      </c>
      <c r="N252">
        <v>2</v>
      </c>
      <c r="O252">
        <f t="shared" si="31"/>
        <v>-2</v>
      </c>
      <c r="P252">
        <f t="shared" si="26"/>
        <v>68.199999999999974</v>
      </c>
      <c r="Q252">
        <v>198</v>
      </c>
      <c r="R252">
        <v>1.1499999999999999</v>
      </c>
      <c r="S252">
        <f t="shared" si="32"/>
        <v>2.2999999999999998</v>
      </c>
      <c r="T252" s="24">
        <f t="shared" si="33"/>
        <v>-2.2999999999999998</v>
      </c>
      <c r="U252" s="24">
        <f t="shared" si="27"/>
        <v>76.929705882353034</v>
      </c>
      <c r="W252">
        <v>1005.3</v>
      </c>
      <c r="Y252">
        <f t="shared" si="35"/>
        <v>152454.09999999992</v>
      </c>
      <c r="Z252" s="36">
        <f t="shared" si="29"/>
        <v>22473.100000000002</v>
      </c>
      <c r="AA252">
        <v>12.719238601432741</v>
      </c>
    </row>
    <row r="253" spans="1:28" x14ac:dyDescent="0.25">
      <c r="A253">
        <v>5080</v>
      </c>
      <c r="B253">
        <v>18650</v>
      </c>
      <c r="C253" s="1">
        <v>42831</v>
      </c>
      <c r="F253" s="55"/>
      <c r="G253">
        <v>11.7</v>
      </c>
      <c r="H253">
        <v>7.6</v>
      </c>
      <c r="I253">
        <v>16.100000000000001</v>
      </c>
      <c r="J253">
        <f t="shared" si="34"/>
        <v>1947.8000000000002</v>
      </c>
      <c r="K253" s="36">
        <f t="shared" si="28"/>
        <v>215.3</v>
      </c>
      <c r="M253">
        <v>0</v>
      </c>
      <c r="N253">
        <v>3.2</v>
      </c>
      <c r="O253">
        <f t="shared" si="31"/>
        <v>-3.2</v>
      </c>
      <c r="P253">
        <f t="shared" si="26"/>
        <v>64.999999999999972</v>
      </c>
      <c r="Q253">
        <v>199</v>
      </c>
      <c r="R253">
        <v>1.1499999999999999</v>
      </c>
      <c r="S253">
        <f t="shared" si="32"/>
        <v>3.6799999999999997</v>
      </c>
      <c r="T253" s="24">
        <f t="shared" si="33"/>
        <v>-3.6799999999999997</v>
      </c>
      <c r="U253" s="24">
        <f t="shared" si="27"/>
        <v>73.249705882353027</v>
      </c>
      <c r="W253">
        <v>1897.7</v>
      </c>
      <c r="Y253">
        <f t="shared" si="35"/>
        <v>154351.79999999993</v>
      </c>
      <c r="Z253" s="36">
        <f t="shared" si="29"/>
        <v>24370.800000000003</v>
      </c>
      <c r="AA253">
        <v>12.770027521685533</v>
      </c>
    </row>
    <row r="254" spans="1:28" x14ac:dyDescent="0.25">
      <c r="A254">
        <v>5080</v>
      </c>
      <c r="B254">
        <v>18650</v>
      </c>
      <c r="C254" s="1">
        <v>42832</v>
      </c>
      <c r="F254" s="55"/>
      <c r="G254">
        <v>12</v>
      </c>
      <c r="H254">
        <v>4.5999999999999996</v>
      </c>
      <c r="I254">
        <v>18</v>
      </c>
      <c r="J254">
        <f t="shared" si="34"/>
        <v>1959.8000000000002</v>
      </c>
      <c r="K254" s="36">
        <f t="shared" si="28"/>
        <v>227.3</v>
      </c>
      <c r="M254">
        <v>0</v>
      </c>
      <c r="N254">
        <v>3.5</v>
      </c>
      <c r="O254">
        <f t="shared" si="31"/>
        <v>-3.5</v>
      </c>
      <c r="P254">
        <f t="shared" si="26"/>
        <v>61.499999999999972</v>
      </c>
      <c r="Q254">
        <v>200</v>
      </c>
      <c r="R254">
        <v>1.1499999999999999</v>
      </c>
      <c r="S254">
        <f t="shared" si="32"/>
        <v>4.0249999999999995</v>
      </c>
      <c r="T254" s="24">
        <f t="shared" si="33"/>
        <v>-4.0249999999999995</v>
      </c>
      <c r="U254" s="24">
        <f t="shared" si="27"/>
        <v>69.224705882353021</v>
      </c>
      <c r="W254">
        <v>2443</v>
      </c>
      <c r="Y254">
        <f t="shared" si="35"/>
        <v>156794.79999999993</v>
      </c>
      <c r="Z254" s="36">
        <f t="shared" si="29"/>
        <v>26813.800000000003</v>
      </c>
      <c r="AA254">
        <v>12.820692355780002</v>
      </c>
    </row>
    <row r="255" spans="1:28" s="25" customFormat="1" ht="15.75" thickBot="1" x14ac:dyDescent="0.3">
      <c r="A255" s="25">
        <v>5080</v>
      </c>
      <c r="B255" s="25">
        <v>18650</v>
      </c>
      <c r="C255" s="26">
        <v>42833</v>
      </c>
      <c r="D255" s="25" t="s">
        <v>61</v>
      </c>
      <c r="F255" s="56"/>
      <c r="G255" s="25">
        <v>14.8</v>
      </c>
      <c r="H255" s="25">
        <v>5.8</v>
      </c>
      <c r="I255" s="25">
        <v>21.5</v>
      </c>
      <c r="J255" s="25">
        <f t="shared" si="34"/>
        <v>1974.6000000000001</v>
      </c>
      <c r="K255" s="25">
        <f t="shared" si="28"/>
        <v>242.10000000000002</v>
      </c>
      <c r="L255" s="27"/>
      <c r="M255" s="25">
        <v>0</v>
      </c>
      <c r="N255" s="25">
        <v>4.3</v>
      </c>
      <c r="O255" s="25">
        <f t="shared" si="31"/>
        <v>-4.3</v>
      </c>
      <c r="P255" s="25">
        <f t="shared" si="26"/>
        <v>57.199999999999974</v>
      </c>
      <c r="Q255" s="25">
        <v>201</v>
      </c>
      <c r="R255" s="25">
        <v>1.1499999999999999</v>
      </c>
      <c r="S255" s="25">
        <f t="shared" si="32"/>
        <v>4.9449999999999994</v>
      </c>
      <c r="T255" s="28">
        <f t="shared" si="33"/>
        <v>-4.9449999999999994</v>
      </c>
      <c r="U255" s="24">
        <f t="shared" si="27"/>
        <v>64.279705882353028</v>
      </c>
      <c r="V255" s="27"/>
      <c r="W255" s="25">
        <v>2400.8000000000002</v>
      </c>
      <c r="Y255" s="25">
        <f t="shared" si="35"/>
        <v>159195.59999999992</v>
      </c>
      <c r="Z255" s="25">
        <f t="shared" si="29"/>
        <v>29214.600000000002</v>
      </c>
      <c r="AA255" s="25">
        <v>12.8712238416201</v>
      </c>
    </row>
    <row r="256" spans="1:28" x14ac:dyDescent="0.25">
      <c r="A256">
        <v>5080</v>
      </c>
      <c r="B256">
        <v>18650</v>
      </c>
      <c r="C256" s="1">
        <v>42834</v>
      </c>
      <c r="F256" s="57" t="s">
        <v>52</v>
      </c>
      <c r="G256">
        <v>15.9</v>
      </c>
      <c r="H256">
        <v>11.4</v>
      </c>
      <c r="I256">
        <v>21.3</v>
      </c>
      <c r="J256">
        <f t="shared" si="34"/>
        <v>1990.5000000000002</v>
      </c>
      <c r="K256">
        <v>15.9</v>
      </c>
      <c r="L256" s="19" t="s">
        <v>34</v>
      </c>
      <c r="M256">
        <v>0</v>
      </c>
      <c r="N256">
        <v>4.8</v>
      </c>
      <c r="O256">
        <f t="shared" si="31"/>
        <v>-4.8</v>
      </c>
      <c r="P256">
        <f t="shared" si="26"/>
        <v>52.399999999999977</v>
      </c>
      <c r="Q256">
        <v>202</v>
      </c>
      <c r="R256">
        <v>1.1499999999999999</v>
      </c>
      <c r="S256">
        <f t="shared" si="32"/>
        <v>5.52</v>
      </c>
      <c r="T256" s="24">
        <f t="shared" si="33"/>
        <v>-5.52</v>
      </c>
      <c r="U256" s="24">
        <f t="shared" si="27"/>
        <v>58.759705882353032</v>
      </c>
      <c r="V256" s="31" t="s">
        <v>41</v>
      </c>
      <c r="W256">
        <v>2469.8000000000002</v>
      </c>
      <c r="Y256">
        <f t="shared" si="35"/>
        <v>161665.39999999991</v>
      </c>
      <c r="Z256">
        <f>W256</f>
        <v>2469.8000000000002</v>
      </c>
      <c r="AA256">
        <v>12.921612529848929</v>
      </c>
      <c r="AB256" s="31" t="s">
        <v>46</v>
      </c>
    </row>
    <row r="257" spans="1:28" s="36" customFormat="1" x14ac:dyDescent="0.25">
      <c r="A257" s="36">
        <v>5080</v>
      </c>
      <c r="B257" s="36">
        <v>18650</v>
      </c>
      <c r="C257" s="37">
        <v>42835</v>
      </c>
      <c r="F257" s="45"/>
      <c r="G257" s="36">
        <v>16.3</v>
      </c>
      <c r="H257" s="36">
        <v>10.199999999999999</v>
      </c>
      <c r="I257" s="36">
        <v>22.5</v>
      </c>
      <c r="J257" s="36">
        <f t="shared" si="34"/>
        <v>2006.8000000000002</v>
      </c>
      <c r="K257" s="36">
        <f t="shared" ref="K257:K302" si="36">K256+G257</f>
        <v>32.200000000000003</v>
      </c>
      <c r="L257" s="8">
        <v>303.10000000000002</v>
      </c>
      <c r="M257" s="36">
        <v>0</v>
      </c>
      <c r="N257" s="36">
        <v>3.9</v>
      </c>
      <c r="O257" s="36">
        <f t="shared" si="31"/>
        <v>-3.9</v>
      </c>
      <c r="P257" s="36">
        <f t="shared" si="26"/>
        <v>48.499999999999979</v>
      </c>
      <c r="Q257" s="36">
        <v>203</v>
      </c>
      <c r="R257" s="36">
        <v>1.1499999999999999</v>
      </c>
      <c r="S257" s="36">
        <f t="shared" si="32"/>
        <v>4.4849999999999994</v>
      </c>
      <c r="T257" s="38">
        <f t="shared" si="33"/>
        <v>-4.4849999999999994</v>
      </c>
      <c r="U257" s="24">
        <f t="shared" si="27"/>
        <v>54.274705882353032</v>
      </c>
      <c r="V257">
        <v>4</v>
      </c>
      <c r="W257" s="36">
        <v>2087.8000000000002</v>
      </c>
      <c r="Y257" s="36">
        <f t="shared" si="35"/>
        <v>163753.1999999999</v>
      </c>
      <c r="Z257" s="36">
        <f t="shared" si="29"/>
        <v>4557.6000000000004</v>
      </c>
      <c r="AA257" s="36">
        <v>12.97184877355561</v>
      </c>
      <c r="AB257">
        <v>47717.1</v>
      </c>
    </row>
    <row r="258" spans="1:28" ht="15" customHeight="1" x14ac:dyDescent="0.25">
      <c r="A258">
        <v>5080</v>
      </c>
      <c r="B258">
        <v>18650</v>
      </c>
      <c r="C258" s="1">
        <v>42836</v>
      </c>
      <c r="F258" s="45"/>
      <c r="G258">
        <v>14.2</v>
      </c>
      <c r="H258">
        <v>11.3</v>
      </c>
      <c r="I258">
        <v>17.2</v>
      </c>
      <c r="J258">
        <f t="shared" si="34"/>
        <v>2021.0000000000002</v>
      </c>
      <c r="K258" s="36">
        <f t="shared" si="36"/>
        <v>46.400000000000006</v>
      </c>
      <c r="L258" s="19" t="s">
        <v>35</v>
      </c>
      <c r="M258">
        <v>0</v>
      </c>
      <c r="N258">
        <v>2.8</v>
      </c>
      <c r="O258">
        <f t="shared" si="31"/>
        <v>-2.8</v>
      </c>
      <c r="P258">
        <f t="shared" ref="P258:P318" si="37">P257+O258</f>
        <v>45.699999999999982</v>
      </c>
      <c r="Q258">
        <v>204</v>
      </c>
      <c r="R258">
        <v>1.1499999999999999</v>
      </c>
      <c r="S258">
        <f t="shared" si="32"/>
        <v>3.2199999999999998</v>
      </c>
      <c r="T258" s="24">
        <f t="shared" si="33"/>
        <v>-3.2199999999999998</v>
      </c>
      <c r="U258" s="24">
        <f t="shared" ref="U258:U321" si="38">MIN(U257+T258,155.7)</f>
        <v>51.054705882353034</v>
      </c>
      <c r="V258" s="31" t="s">
        <v>42</v>
      </c>
      <c r="W258">
        <v>1176.2</v>
      </c>
      <c r="Y258">
        <f t="shared" si="35"/>
        <v>164929.39999999991</v>
      </c>
      <c r="Z258" s="36">
        <f t="shared" si="29"/>
        <v>5733.8</v>
      </c>
      <c r="AA258">
        <v>13.02192271826768</v>
      </c>
      <c r="AB258" s="31" t="s">
        <v>47</v>
      </c>
    </row>
    <row r="259" spans="1:28" x14ac:dyDescent="0.25">
      <c r="A259">
        <v>5080</v>
      </c>
      <c r="B259">
        <v>18650</v>
      </c>
      <c r="C259" s="1">
        <v>42837</v>
      </c>
      <c r="F259" s="45"/>
      <c r="G259">
        <v>14.3</v>
      </c>
      <c r="H259">
        <v>7.8</v>
      </c>
      <c r="I259">
        <v>19.8</v>
      </c>
      <c r="J259">
        <f t="shared" si="34"/>
        <v>2035.3000000000002</v>
      </c>
      <c r="K259" s="36">
        <f t="shared" si="36"/>
        <v>60.7</v>
      </c>
      <c r="L259" s="21">
        <f>AVERAGE(G256:G279)</f>
        <v>12.629166666666668</v>
      </c>
      <c r="M259">
        <v>0</v>
      </c>
      <c r="N259">
        <v>4.2</v>
      </c>
      <c r="O259">
        <f t="shared" si="31"/>
        <v>-4.2</v>
      </c>
      <c r="P259">
        <f t="shared" si="37"/>
        <v>41.499999999999979</v>
      </c>
      <c r="Q259">
        <v>205</v>
      </c>
      <c r="R259">
        <v>1.1499999999999999</v>
      </c>
      <c r="S259">
        <f t="shared" si="32"/>
        <v>4.83</v>
      </c>
      <c r="T259" s="24">
        <f t="shared" si="33"/>
        <v>-4.83</v>
      </c>
      <c r="U259" s="24">
        <f t="shared" si="38"/>
        <v>46.224705882353035</v>
      </c>
      <c r="V259">
        <v>18</v>
      </c>
      <c r="W259">
        <v>2525.1</v>
      </c>
      <c r="Y259">
        <f t="shared" si="35"/>
        <v>167454.49999999991</v>
      </c>
      <c r="Z259" s="36">
        <f t="shared" si="29"/>
        <v>8258.9</v>
      </c>
      <c r="AA259">
        <v>13.071824292254119</v>
      </c>
      <c r="AB259">
        <f>(AB257/100)/L257</f>
        <v>1.5743022104915867</v>
      </c>
    </row>
    <row r="260" spans="1:28" x14ac:dyDescent="0.25">
      <c r="A260">
        <v>5080</v>
      </c>
      <c r="B260">
        <v>18650</v>
      </c>
      <c r="C260" s="1">
        <v>42838</v>
      </c>
      <c r="F260" s="45"/>
      <c r="G260">
        <v>15.4</v>
      </c>
      <c r="H260">
        <v>9.8000000000000007</v>
      </c>
      <c r="I260">
        <v>20.9</v>
      </c>
      <c r="J260">
        <f t="shared" si="34"/>
        <v>2050.7000000000003</v>
      </c>
      <c r="K260" s="36">
        <f t="shared" si="36"/>
        <v>76.100000000000009</v>
      </c>
      <c r="L260" s="19" t="s">
        <v>36</v>
      </c>
      <c r="M260">
        <v>0</v>
      </c>
      <c r="N260">
        <v>4.2</v>
      </c>
      <c r="O260">
        <f t="shared" si="31"/>
        <v>-4.2</v>
      </c>
      <c r="P260">
        <f t="shared" si="37"/>
        <v>37.299999999999976</v>
      </c>
      <c r="Q260">
        <v>206</v>
      </c>
      <c r="R260">
        <v>1.1499999999999999</v>
      </c>
      <c r="S260">
        <f t="shared" si="32"/>
        <v>4.83</v>
      </c>
      <c r="T260" s="24">
        <f t="shared" si="33"/>
        <v>-4.83</v>
      </c>
      <c r="U260" s="24">
        <f t="shared" si="38"/>
        <v>41.394705882353037</v>
      </c>
      <c r="V260" s="31" t="s">
        <v>43</v>
      </c>
      <c r="W260">
        <v>2308.1</v>
      </c>
      <c r="Y260">
        <f t="shared" si="35"/>
        <v>169762.59999999992</v>
      </c>
      <c r="Z260" s="36">
        <f t="shared" si="29"/>
        <v>10567</v>
      </c>
      <c r="AA260">
        <v>13.121543197165362</v>
      </c>
      <c r="AB260" s="31" t="s">
        <v>48</v>
      </c>
    </row>
    <row r="261" spans="1:28" x14ac:dyDescent="0.25">
      <c r="A261">
        <v>5080</v>
      </c>
      <c r="B261">
        <v>18650</v>
      </c>
      <c r="C261" s="1">
        <v>42839</v>
      </c>
      <c r="F261" s="45"/>
      <c r="G261">
        <v>14.5</v>
      </c>
      <c r="H261">
        <v>10.9</v>
      </c>
      <c r="I261">
        <v>18.899999999999999</v>
      </c>
      <c r="J261">
        <f t="shared" si="34"/>
        <v>2065.2000000000003</v>
      </c>
      <c r="K261" s="36">
        <f t="shared" si="36"/>
        <v>90.600000000000009</v>
      </c>
      <c r="L261" s="12">
        <v>1.7</v>
      </c>
      <c r="M261">
        <v>0</v>
      </c>
      <c r="N261">
        <v>4.4000000000000004</v>
      </c>
      <c r="O261">
        <f t="shared" si="31"/>
        <v>-4.4000000000000004</v>
      </c>
      <c r="P261">
        <f t="shared" si="37"/>
        <v>32.899999999999977</v>
      </c>
      <c r="Q261">
        <v>207</v>
      </c>
      <c r="R261">
        <v>1.1499999999999999</v>
      </c>
      <c r="S261">
        <f t="shared" si="32"/>
        <v>5.0599999999999996</v>
      </c>
      <c r="T261" s="24">
        <f t="shared" si="33"/>
        <v>-5.0599999999999996</v>
      </c>
      <c r="U261" s="24">
        <f t="shared" si="38"/>
        <v>36.334705882353035</v>
      </c>
      <c r="V261">
        <v>0</v>
      </c>
      <c r="W261">
        <v>2448.6</v>
      </c>
      <c r="Y261">
        <f t="shared" si="35"/>
        <v>172211.19999999992</v>
      </c>
      <c r="Z261" s="36">
        <f t="shared" si="29"/>
        <v>13015.6</v>
      </c>
      <c r="AA261">
        <v>13.171068899038026</v>
      </c>
      <c r="AB261">
        <v>2</v>
      </c>
    </row>
    <row r="262" spans="1:28" x14ac:dyDescent="0.25">
      <c r="A262">
        <v>5080</v>
      </c>
      <c r="B262">
        <v>18650</v>
      </c>
      <c r="C262" s="1">
        <v>42840</v>
      </c>
      <c r="F262" s="45"/>
      <c r="G262">
        <v>11.7</v>
      </c>
      <c r="H262">
        <v>10.3</v>
      </c>
      <c r="I262">
        <v>13.3</v>
      </c>
      <c r="J262">
        <f t="shared" si="34"/>
        <v>2076.9</v>
      </c>
      <c r="K262" s="36">
        <f t="shared" si="36"/>
        <v>102.30000000000001</v>
      </c>
      <c r="L262" s="19" t="s">
        <v>37</v>
      </c>
      <c r="M262">
        <v>0</v>
      </c>
      <c r="N262">
        <v>1.3</v>
      </c>
      <c r="O262">
        <f t="shared" si="31"/>
        <v>-1.3</v>
      </c>
      <c r="P262">
        <f t="shared" si="37"/>
        <v>31.599999999999977</v>
      </c>
      <c r="Q262">
        <v>208</v>
      </c>
      <c r="R262">
        <v>1.1499999999999999</v>
      </c>
      <c r="S262">
        <f t="shared" si="32"/>
        <v>1.4949999999999999</v>
      </c>
      <c r="T262" s="24">
        <f t="shared" si="33"/>
        <v>-1.4949999999999999</v>
      </c>
      <c r="U262" s="24">
        <f t="shared" si="38"/>
        <v>34.839705882353037</v>
      </c>
      <c r="V262" s="31" t="s">
        <v>44</v>
      </c>
      <c r="W262">
        <v>540.9</v>
      </c>
      <c r="Y262">
        <f t="shared" si="35"/>
        <v>172752.09999999992</v>
      </c>
      <c r="Z262" s="36">
        <f t="shared" si="29"/>
        <v>13556.5</v>
      </c>
      <c r="AA262">
        <v>13.220390619693376</v>
      </c>
    </row>
    <row r="263" spans="1:28" x14ac:dyDescent="0.25">
      <c r="A263">
        <v>5080</v>
      </c>
      <c r="B263">
        <v>18650</v>
      </c>
      <c r="C263" s="1">
        <v>42841</v>
      </c>
      <c r="F263" s="45"/>
      <c r="G263">
        <v>11.8</v>
      </c>
      <c r="H263">
        <v>7.9</v>
      </c>
      <c r="I263">
        <v>15.4</v>
      </c>
      <c r="J263">
        <f t="shared" si="34"/>
        <v>2088.7000000000003</v>
      </c>
      <c r="K263" s="36">
        <f t="shared" si="36"/>
        <v>114.10000000000001</v>
      </c>
      <c r="L263" s="8">
        <f>MAX(I256:I279)</f>
        <v>22.9</v>
      </c>
      <c r="M263">
        <v>0</v>
      </c>
      <c r="N263">
        <v>2</v>
      </c>
      <c r="O263">
        <f t="shared" si="31"/>
        <v>-2</v>
      </c>
      <c r="P263">
        <f t="shared" si="37"/>
        <v>29.599999999999977</v>
      </c>
      <c r="Q263">
        <v>209</v>
      </c>
      <c r="R263">
        <v>1.1499999999999999</v>
      </c>
      <c r="S263">
        <f t="shared" si="32"/>
        <v>2.2999999999999998</v>
      </c>
      <c r="T263" s="24">
        <f t="shared" si="33"/>
        <v>-2.2999999999999998</v>
      </c>
      <c r="U263" s="24">
        <f t="shared" si="38"/>
        <v>32.53970588235304</v>
      </c>
      <c r="V263" s="24">
        <f>MAX(U256:U279)</f>
        <v>58.759705882353032</v>
      </c>
      <c r="W263">
        <v>959.9</v>
      </c>
      <c r="Y263">
        <f t="shared" si="35"/>
        <v>173711.99999999991</v>
      </c>
      <c r="Z263" s="36">
        <f t="shared" si="29"/>
        <v>14516.4</v>
      </c>
      <c r="AA263">
        <v>13.269497328559998</v>
      </c>
    </row>
    <row r="264" spans="1:28" x14ac:dyDescent="0.25">
      <c r="A264">
        <v>5080</v>
      </c>
      <c r="B264">
        <v>18650</v>
      </c>
      <c r="C264" s="1">
        <v>42842</v>
      </c>
      <c r="F264" s="45"/>
      <c r="G264">
        <v>13.2</v>
      </c>
      <c r="H264">
        <v>6.8</v>
      </c>
      <c r="I264">
        <v>18.3</v>
      </c>
      <c r="J264">
        <f t="shared" si="34"/>
        <v>2101.9</v>
      </c>
      <c r="K264" s="36">
        <f t="shared" si="36"/>
        <v>127.30000000000001</v>
      </c>
      <c r="L264" s="19" t="s">
        <v>38</v>
      </c>
      <c r="M264">
        <v>0</v>
      </c>
      <c r="N264">
        <v>4</v>
      </c>
      <c r="O264">
        <f t="shared" si="31"/>
        <v>-4</v>
      </c>
      <c r="P264">
        <f t="shared" si="37"/>
        <v>25.599999999999977</v>
      </c>
      <c r="Q264">
        <v>210</v>
      </c>
      <c r="R264">
        <v>1.1499999999999999</v>
      </c>
      <c r="S264">
        <f t="shared" si="32"/>
        <v>4.5999999999999996</v>
      </c>
      <c r="T264" s="24">
        <f t="shared" si="33"/>
        <v>-4.5999999999999996</v>
      </c>
      <c r="U264" s="24">
        <f t="shared" si="38"/>
        <v>27.939705882353039</v>
      </c>
      <c r="V264" s="31" t="s">
        <v>45</v>
      </c>
      <c r="W264">
        <v>2528.6999999999998</v>
      </c>
      <c r="Y264">
        <f t="shared" si="35"/>
        <v>176240.69999999992</v>
      </c>
      <c r="Z264" s="36">
        <f t="shared" si="29"/>
        <v>17045.099999999999</v>
      </c>
      <c r="AA264">
        <v>13.318377734952518</v>
      </c>
    </row>
    <row r="265" spans="1:28" x14ac:dyDescent="0.25">
      <c r="A265">
        <v>5080</v>
      </c>
      <c r="B265">
        <v>18650</v>
      </c>
      <c r="C265" s="1">
        <v>42843</v>
      </c>
      <c r="F265" s="45"/>
      <c r="G265">
        <v>12.4</v>
      </c>
      <c r="H265">
        <v>8.4</v>
      </c>
      <c r="I265">
        <v>16.8</v>
      </c>
      <c r="J265">
        <f t="shared" si="34"/>
        <v>2114.3000000000002</v>
      </c>
      <c r="K265" s="36">
        <f t="shared" si="36"/>
        <v>139.70000000000002</v>
      </c>
      <c r="L265" s="8">
        <v>0</v>
      </c>
      <c r="M265">
        <v>0</v>
      </c>
      <c r="N265">
        <v>4.8</v>
      </c>
      <c r="O265">
        <f t="shared" si="31"/>
        <v>-4.8</v>
      </c>
      <c r="P265">
        <f t="shared" si="37"/>
        <v>20.799999999999976</v>
      </c>
      <c r="Q265">
        <v>211</v>
      </c>
      <c r="R265">
        <v>1.1499999999999999</v>
      </c>
      <c r="S265">
        <f t="shared" si="32"/>
        <v>5.52</v>
      </c>
      <c r="T265" s="24">
        <f t="shared" si="33"/>
        <v>-5.52</v>
      </c>
      <c r="U265" s="24">
        <f t="shared" si="38"/>
        <v>22.419705882353039</v>
      </c>
      <c r="V265" s="21">
        <f>AVERAGE(U256:U279)</f>
        <v>19.744620098039267</v>
      </c>
      <c r="W265">
        <v>2672.7</v>
      </c>
      <c r="Y265">
        <f t="shared" si="35"/>
        <v>178913.39999999994</v>
      </c>
      <c r="Z265" s="36">
        <f t="shared" si="29"/>
        <v>19717.8</v>
      </c>
      <c r="AA265">
        <v>13.36702028083954</v>
      </c>
    </row>
    <row r="266" spans="1:28" x14ac:dyDescent="0.25">
      <c r="A266">
        <v>5080</v>
      </c>
      <c r="B266">
        <v>18650</v>
      </c>
      <c r="C266" s="1">
        <v>42844</v>
      </c>
      <c r="F266" s="45"/>
      <c r="G266">
        <v>10.199999999999999</v>
      </c>
      <c r="H266">
        <v>4.4000000000000004</v>
      </c>
      <c r="I266">
        <v>14.9</v>
      </c>
      <c r="J266">
        <f t="shared" si="34"/>
        <v>2124.5</v>
      </c>
      <c r="K266" s="36">
        <f t="shared" si="36"/>
        <v>149.9</v>
      </c>
      <c r="L266" s="19" t="s">
        <v>39</v>
      </c>
      <c r="M266">
        <v>0</v>
      </c>
      <c r="N266">
        <v>4.5999999999999996</v>
      </c>
      <c r="O266">
        <f t="shared" si="31"/>
        <v>-4.5999999999999996</v>
      </c>
      <c r="P266">
        <f t="shared" si="37"/>
        <v>16.199999999999974</v>
      </c>
      <c r="Q266">
        <v>212</v>
      </c>
      <c r="R266">
        <v>1.1499999999999999</v>
      </c>
      <c r="S266">
        <f t="shared" si="32"/>
        <v>5.2899999999999991</v>
      </c>
      <c r="T266" s="24">
        <f t="shared" si="33"/>
        <v>-5.2899999999999991</v>
      </c>
      <c r="U266" s="24">
        <f t="shared" si="38"/>
        <v>17.12970588235304</v>
      </c>
      <c r="W266">
        <v>2782.9</v>
      </c>
      <c r="Y266">
        <f t="shared" si="35"/>
        <v>181696.29999999993</v>
      </c>
      <c r="Z266" s="36">
        <f t="shared" si="29"/>
        <v>22500.7</v>
      </c>
      <c r="AA266">
        <v>13.415413134135408</v>
      </c>
    </row>
    <row r="267" spans="1:28" x14ac:dyDescent="0.25">
      <c r="A267">
        <v>5080</v>
      </c>
      <c r="B267">
        <v>18650</v>
      </c>
      <c r="C267" s="1">
        <v>42845</v>
      </c>
      <c r="F267" s="45"/>
      <c r="G267">
        <v>9.5</v>
      </c>
      <c r="H267">
        <v>3</v>
      </c>
      <c r="I267">
        <v>15.7</v>
      </c>
      <c r="J267">
        <f t="shared" si="34"/>
        <v>2134</v>
      </c>
      <c r="K267" s="36">
        <f t="shared" si="36"/>
        <v>159.4</v>
      </c>
      <c r="L267" s="8">
        <v>5</v>
      </c>
      <c r="M267">
        <v>0</v>
      </c>
      <c r="N267">
        <v>4.5</v>
      </c>
      <c r="O267">
        <f t="shared" si="31"/>
        <v>-4.5</v>
      </c>
      <c r="P267">
        <f t="shared" si="37"/>
        <v>11.699999999999974</v>
      </c>
      <c r="Q267">
        <v>213</v>
      </c>
      <c r="R267">
        <v>1.1499999999999999</v>
      </c>
      <c r="S267">
        <f t="shared" si="32"/>
        <v>5.1749999999999998</v>
      </c>
      <c r="T267" s="24">
        <f t="shared" si="33"/>
        <v>-5.1749999999999998</v>
      </c>
      <c r="U267" s="24">
        <f t="shared" si="38"/>
        <v>11.954705882353039</v>
      </c>
      <c r="V267" s="8">
        <f>(V265*100)/155.7</f>
        <v>12.68119466797641</v>
      </c>
      <c r="W267">
        <v>2797.6</v>
      </c>
      <c r="Y267">
        <f t="shared" si="35"/>
        <v>184493.89999999994</v>
      </c>
      <c r="Z267" s="36">
        <f t="shared" si="29"/>
        <v>25298.3</v>
      </c>
      <c r="AA267">
        <v>13.463544182551692</v>
      </c>
    </row>
    <row r="268" spans="1:28" x14ac:dyDescent="0.25">
      <c r="A268">
        <v>5080</v>
      </c>
      <c r="B268">
        <v>18650</v>
      </c>
      <c r="C268" s="1">
        <v>42846</v>
      </c>
      <c r="F268" s="45"/>
      <c r="G268">
        <v>12</v>
      </c>
      <c r="H268">
        <v>1.7</v>
      </c>
      <c r="I268">
        <v>19.100000000000001</v>
      </c>
      <c r="J268">
        <f t="shared" si="34"/>
        <v>2146</v>
      </c>
      <c r="K268" s="36">
        <f t="shared" si="36"/>
        <v>171.4</v>
      </c>
      <c r="L268" s="19" t="s">
        <v>40</v>
      </c>
      <c r="M268">
        <v>0</v>
      </c>
      <c r="N268">
        <v>4.4000000000000004</v>
      </c>
      <c r="O268">
        <f t="shared" si="31"/>
        <v>-4.4000000000000004</v>
      </c>
      <c r="P268">
        <f t="shared" si="37"/>
        <v>7.2999999999999741</v>
      </c>
      <c r="Q268">
        <v>214</v>
      </c>
      <c r="R268">
        <v>1.1499999999999999</v>
      </c>
      <c r="S268">
        <f t="shared" si="32"/>
        <v>5.0599999999999996</v>
      </c>
      <c r="T268" s="24">
        <f t="shared" si="33"/>
        <v>-5.0599999999999996</v>
      </c>
      <c r="U268" s="24">
        <f t="shared" si="38"/>
        <v>6.8947058823530396</v>
      </c>
      <c r="W268">
        <v>2740.5</v>
      </c>
      <c r="Y268">
        <f t="shared" si="35"/>
        <v>187234.39999999994</v>
      </c>
      <c r="Z268" s="36">
        <f t="shared" si="29"/>
        <v>28038.799999999999</v>
      </c>
      <c r="AA268">
        <v>13.511401028045642</v>
      </c>
    </row>
    <row r="269" spans="1:28" x14ac:dyDescent="0.25">
      <c r="A269">
        <v>5080</v>
      </c>
      <c r="B269">
        <v>18650</v>
      </c>
      <c r="C269" s="1">
        <v>42847</v>
      </c>
      <c r="F269" s="45"/>
      <c r="G269">
        <v>15.2</v>
      </c>
      <c r="H269">
        <v>6.9</v>
      </c>
      <c r="I269">
        <v>22.3</v>
      </c>
      <c r="J269">
        <f t="shared" si="34"/>
        <v>2161.1999999999998</v>
      </c>
      <c r="K269" s="36">
        <f t="shared" si="36"/>
        <v>186.6</v>
      </c>
      <c r="L269" s="18">
        <v>0</v>
      </c>
      <c r="M269">
        <v>0</v>
      </c>
      <c r="N269">
        <v>5.4</v>
      </c>
      <c r="O269">
        <f t="shared" si="31"/>
        <v>-5.4</v>
      </c>
      <c r="P269">
        <f t="shared" si="37"/>
        <v>1.8999999999999737</v>
      </c>
      <c r="Q269">
        <v>215</v>
      </c>
      <c r="R269">
        <v>1.1499999999999999</v>
      </c>
      <c r="S269">
        <f t="shared" si="32"/>
        <v>6.21</v>
      </c>
      <c r="T269" s="24">
        <f t="shared" si="33"/>
        <v>-6.21</v>
      </c>
      <c r="U269" s="24">
        <f t="shared" si="38"/>
        <v>0.68470588235303964</v>
      </c>
      <c r="W269">
        <v>2798.5</v>
      </c>
      <c r="Y269">
        <f t="shared" si="35"/>
        <v>190032.89999999994</v>
      </c>
      <c r="Z269" s="36">
        <f t="shared" si="29"/>
        <v>30837.3</v>
      </c>
      <c r="AA269">
        <v>13.558970981904011</v>
      </c>
    </row>
    <row r="270" spans="1:28" x14ac:dyDescent="0.25">
      <c r="A270">
        <v>5080</v>
      </c>
      <c r="B270">
        <v>18650</v>
      </c>
      <c r="C270" s="1">
        <v>42848</v>
      </c>
      <c r="F270" s="45"/>
      <c r="G270">
        <v>15.8</v>
      </c>
      <c r="H270">
        <v>7.5</v>
      </c>
      <c r="I270">
        <v>22.5</v>
      </c>
      <c r="J270">
        <f t="shared" si="34"/>
        <v>2177</v>
      </c>
      <c r="K270" s="36">
        <f t="shared" si="36"/>
        <v>202.4</v>
      </c>
      <c r="M270">
        <v>0</v>
      </c>
      <c r="N270">
        <v>4.5999999999999996</v>
      </c>
      <c r="O270">
        <f t="shared" si="31"/>
        <v>-4.5999999999999996</v>
      </c>
      <c r="P270">
        <v>0</v>
      </c>
      <c r="Q270">
        <v>216</v>
      </c>
      <c r="R270">
        <v>1.1499999999999999</v>
      </c>
      <c r="S270">
        <f t="shared" si="32"/>
        <v>5.2899999999999991</v>
      </c>
      <c r="T270" s="24">
        <f t="shared" si="33"/>
        <v>-5.2899999999999991</v>
      </c>
      <c r="U270" s="24">
        <v>0</v>
      </c>
      <c r="W270">
        <v>2425.1999999999998</v>
      </c>
      <c r="Y270">
        <f t="shared" si="35"/>
        <v>192458.09999999995</v>
      </c>
      <c r="Z270" s="36">
        <f t="shared" si="29"/>
        <v>33262.5</v>
      </c>
      <c r="AA270">
        <v>13.606241060501949</v>
      </c>
    </row>
    <row r="271" spans="1:28" x14ac:dyDescent="0.25">
      <c r="A271">
        <v>5080</v>
      </c>
      <c r="B271">
        <v>18650</v>
      </c>
      <c r="C271" s="1">
        <v>42849</v>
      </c>
      <c r="F271" s="45"/>
      <c r="G271">
        <v>16.5</v>
      </c>
      <c r="H271">
        <v>10.8</v>
      </c>
      <c r="I271">
        <v>22.9</v>
      </c>
      <c r="J271">
        <f t="shared" si="34"/>
        <v>2193.5</v>
      </c>
      <c r="K271" s="36">
        <f t="shared" si="36"/>
        <v>218.9</v>
      </c>
      <c r="M271">
        <v>0</v>
      </c>
      <c r="N271">
        <v>5.7</v>
      </c>
      <c r="O271">
        <f t="shared" si="31"/>
        <v>-5.7</v>
      </c>
      <c r="P271">
        <v>0</v>
      </c>
      <c r="Q271">
        <v>217</v>
      </c>
      <c r="R271">
        <v>1.1499999999999999</v>
      </c>
      <c r="S271">
        <f t="shared" si="32"/>
        <v>6.5549999999999997</v>
      </c>
      <c r="T271" s="24">
        <f t="shared" si="33"/>
        <v>-6.5549999999999997</v>
      </c>
      <c r="U271" s="24">
        <v>0</v>
      </c>
      <c r="W271">
        <v>2695.3</v>
      </c>
      <c r="Y271">
        <f t="shared" si="35"/>
        <v>195153.39999999994</v>
      </c>
      <c r="Z271" s="36">
        <f t="shared" si="29"/>
        <v>35957.800000000003</v>
      </c>
      <c r="AA271">
        <v>13.653197981777625</v>
      </c>
    </row>
    <row r="272" spans="1:28" x14ac:dyDescent="0.25">
      <c r="A272">
        <v>5080</v>
      </c>
      <c r="B272">
        <v>18650</v>
      </c>
      <c r="C272" s="1">
        <v>42850</v>
      </c>
      <c r="F272" s="45"/>
      <c r="G272">
        <v>14.4</v>
      </c>
      <c r="H272">
        <v>12.9</v>
      </c>
      <c r="I272">
        <v>19</v>
      </c>
      <c r="J272">
        <f t="shared" si="34"/>
        <v>2207.9</v>
      </c>
      <c r="K272" s="36">
        <f t="shared" si="36"/>
        <v>233.3</v>
      </c>
      <c r="M272">
        <v>8.3000000000000007</v>
      </c>
      <c r="N272">
        <v>2.8</v>
      </c>
      <c r="O272">
        <f t="shared" si="31"/>
        <v>5.5000000000000009</v>
      </c>
      <c r="P272">
        <f t="shared" si="37"/>
        <v>5.5000000000000009</v>
      </c>
      <c r="Q272">
        <v>218</v>
      </c>
      <c r="R272">
        <v>1.1499999999999999</v>
      </c>
      <c r="S272">
        <f t="shared" si="32"/>
        <v>3.2199999999999998</v>
      </c>
      <c r="T272" s="24">
        <f t="shared" si="33"/>
        <v>5.080000000000001</v>
      </c>
      <c r="U272" s="24">
        <f t="shared" si="38"/>
        <v>5.080000000000001</v>
      </c>
      <c r="W272">
        <v>1311.5</v>
      </c>
      <c r="Y272">
        <f t="shared" si="35"/>
        <v>196464.89999999994</v>
      </c>
      <c r="Z272" s="36">
        <f t="shared" si="29"/>
        <v>37269.300000000003</v>
      </c>
      <c r="AA272">
        <v>13.699828162464271</v>
      </c>
    </row>
    <row r="273" spans="1:28" x14ac:dyDescent="0.25">
      <c r="A273">
        <v>5080</v>
      </c>
      <c r="B273">
        <v>18650</v>
      </c>
      <c r="C273" s="1">
        <v>42851</v>
      </c>
      <c r="F273" s="45"/>
      <c r="G273">
        <v>7.7</v>
      </c>
      <c r="H273">
        <v>7.6</v>
      </c>
      <c r="I273">
        <v>7.9</v>
      </c>
      <c r="J273">
        <f t="shared" si="34"/>
        <v>2215.6</v>
      </c>
      <c r="K273" s="36">
        <f t="shared" si="36"/>
        <v>241</v>
      </c>
      <c r="M273">
        <v>0.2</v>
      </c>
      <c r="N273">
        <v>1.1000000000000001</v>
      </c>
      <c r="O273">
        <f t="shared" si="31"/>
        <v>-0.90000000000000013</v>
      </c>
      <c r="P273">
        <f t="shared" si="37"/>
        <v>4.6000000000000005</v>
      </c>
      <c r="Q273">
        <v>219</v>
      </c>
      <c r="R273">
        <v>1.1499999999999999</v>
      </c>
      <c r="S273">
        <f t="shared" si="32"/>
        <v>1.2649999999999999</v>
      </c>
      <c r="T273" s="24">
        <f t="shared" si="33"/>
        <v>-1.0649999999999999</v>
      </c>
      <c r="U273" s="24">
        <f t="shared" si="38"/>
        <v>4.0150000000000006</v>
      </c>
      <c r="W273">
        <v>634.79999999999995</v>
      </c>
      <c r="Y273">
        <f t="shared" si="35"/>
        <v>197099.69999999992</v>
      </c>
      <c r="Z273" s="36">
        <f t="shared" si="29"/>
        <v>37904.100000000006</v>
      </c>
      <c r="AA273">
        <v>13.746117716122203</v>
      </c>
    </row>
    <row r="274" spans="1:28" x14ac:dyDescent="0.25">
      <c r="A274">
        <v>5080</v>
      </c>
      <c r="B274">
        <v>18650</v>
      </c>
      <c r="C274" s="1">
        <v>42852</v>
      </c>
      <c r="F274" s="45"/>
      <c r="G274">
        <v>7.7</v>
      </c>
      <c r="H274">
        <v>5.0999999999999996</v>
      </c>
      <c r="I274">
        <v>10.8</v>
      </c>
      <c r="J274">
        <f t="shared" si="34"/>
        <v>2223.2999999999997</v>
      </c>
      <c r="K274" s="36">
        <f t="shared" si="36"/>
        <v>248.7</v>
      </c>
      <c r="M274">
        <v>0.1</v>
      </c>
      <c r="N274">
        <v>2.9</v>
      </c>
      <c r="O274">
        <f t="shared" si="31"/>
        <v>-2.8</v>
      </c>
      <c r="P274">
        <f t="shared" si="37"/>
        <v>1.8000000000000007</v>
      </c>
      <c r="Q274">
        <v>220</v>
      </c>
      <c r="R274">
        <v>1.1499999999999999</v>
      </c>
      <c r="S274">
        <f t="shared" si="32"/>
        <v>3.3349999999999995</v>
      </c>
      <c r="T274" s="24">
        <f t="shared" si="33"/>
        <v>-3.2349999999999994</v>
      </c>
      <c r="U274" s="24">
        <f t="shared" si="38"/>
        <v>0.78000000000000114</v>
      </c>
      <c r="W274">
        <v>1794.3</v>
      </c>
      <c r="Y274">
        <f t="shared" si="35"/>
        <v>198893.99999999991</v>
      </c>
      <c r="Z274" s="36">
        <f t="shared" ref="Z274:Z333" si="39">Z273+W274</f>
        <v>39698.400000000009</v>
      </c>
      <c r="AA274">
        <v>13.792052452014003</v>
      </c>
    </row>
    <row r="275" spans="1:28" x14ac:dyDescent="0.25">
      <c r="A275">
        <v>5080</v>
      </c>
      <c r="B275">
        <v>18650</v>
      </c>
      <c r="C275" s="1">
        <v>42853</v>
      </c>
      <c r="F275" s="45"/>
      <c r="G275">
        <v>8.5</v>
      </c>
      <c r="H275">
        <v>4</v>
      </c>
      <c r="I275">
        <v>13.3</v>
      </c>
      <c r="J275">
        <f t="shared" si="34"/>
        <v>2231.7999999999997</v>
      </c>
      <c r="K275" s="36">
        <f t="shared" si="36"/>
        <v>257.2</v>
      </c>
      <c r="M275">
        <v>0</v>
      </c>
      <c r="N275">
        <v>2.6</v>
      </c>
      <c r="O275">
        <f t="shared" si="31"/>
        <v>-2.6</v>
      </c>
      <c r="P275">
        <v>0</v>
      </c>
      <c r="Q275">
        <v>221</v>
      </c>
      <c r="R275">
        <v>1.1499999999999999</v>
      </c>
      <c r="S275">
        <f t="shared" si="32"/>
        <v>2.9899999999999998</v>
      </c>
      <c r="T275" s="24">
        <f t="shared" si="33"/>
        <v>-2.9899999999999998</v>
      </c>
      <c r="U275" s="24">
        <v>0</v>
      </c>
      <c r="W275">
        <v>1521.6</v>
      </c>
      <c r="Y275">
        <f t="shared" si="35"/>
        <v>200415.59999999992</v>
      </c>
      <c r="Z275" s="36">
        <f t="shared" si="39"/>
        <v>41220.000000000007</v>
      </c>
      <c r="AA275">
        <v>13.837617874866638</v>
      </c>
    </row>
    <row r="276" spans="1:28" x14ac:dyDescent="0.25">
      <c r="A276">
        <v>5080</v>
      </c>
      <c r="B276">
        <v>18650</v>
      </c>
      <c r="C276" s="1">
        <v>42854</v>
      </c>
      <c r="F276" s="45"/>
      <c r="G276">
        <v>11.1</v>
      </c>
      <c r="H276">
        <v>3.4</v>
      </c>
      <c r="I276">
        <v>18.100000000000001</v>
      </c>
      <c r="J276">
        <f t="shared" si="34"/>
        <v>2242.8999999999996</v>
      </c>
      <c r="K276" s="36">
        <f t="shared" si="36"/>
        <v>268.3</v>
      </c>
      <c r="M276">
        <v>0</v>
      </c>
      <c r="N276">
        <v>4.2</v>
      </c>
      <c r="O276">
        <f t="shared" si="31"/>
        <v>-4.2</v>
      </c>
      <c r="P276">
        <v>0</v>
      </c>
      <c r="Q276">
        <v>222</v>
      </c>
      <c r="R276">
        <v>1.1499999999999999</v>
      </c>
      <c r="S276">
        <f t="shared" si="32"/>
        <v>4.83</v>
      </c>
      <c r="T276" s="24">
        <f t="shared" si="33"/>
        <v>-4.83</v>
      </c>
      <c r="U276" s="24">
        <v>0</v>
      </c>
      <c r="W276">
        <v>2494.9</v>
      </c>
      <c r="Y276">
        <f t="shared" si="35"/>
        <v>202910.49999999991</v>
      </c>
      <c r="Z276" s="36">
        <f t="shared" si="39"/>
        <v>43714.900000000009</v>
      </c>
      <c r="AA276">
        <v>13.882799185564606</v>
      </c>
    </row>
    <row r="277" spans="1:28" x14ac:dyDescent="0.25">
      <c r="A277">
        <v>5080</v>
      </c>
      <c r="B277">
        <v>18650</v>
      </c>
      <c r="C277" s="1">
        <v>42855</v>
      </c>
      <c r="F277" s="45"/>
      <c r="G277">
        <v>11.9</v>
      </c>
      <c r="H277">
        <v>6.5</v>
      </c>
      <c r="I277">
        <v>22</v>
      </c>
      <c r="J277">
        <f t="shared" si="34"/>
        <v>2254.7999999999997</v>
      </c>
      <c r="K277" s="36">
        <f t="shared" si="36"/>
        <v>280.2</v>
      </c>
      <c r="M277">
        <v>8.6</v>
      </c>
      <c r="N277">
        <v>4.3</v>
      </c>
      <c r="O277">
        <f t="shared" si="31"/>
        <v>4.3</v>
      </c>
      <c r="P277">
        <f t="shared" si="37"/>
        <v>4.3</v>
      </c>
      <c r="Q277">
        <v>223</v>
      </c>
      <c r="R277">
        <v>1.1499999999999999</v>
      </c>
      <c r="S277">
        <f t="shared" si="32"/>
        <v>4.9449999999999994</v>
      </c>
      <c r="T277" s="24">
        <f t="shared" si="33"/>
        <v>3.6550000000000002</v>
      </c>
      <c r="U277" s="24">
        <f t="shared" si="38"/>
        <v>3.6550000000000002</v>
      </c>
      <c r="W277">
        <v>1904.7</v>
      </c>
      <c r="Y277">
        <f t="shared" si="35"/>
        <v>204815.19999999992</v>
      </c>
      <c r="Z277" s="36">
        <f t="shared" si="39"/>
        <v>45619.600000000006</v>
      </c>
      <c r="AA277">
        <v>13.927581282818274</v>
      </c>
    </row>
    <row r="278" spans="1:28" x14ac:dyDescent="0.25">
      <c r="A278">
        <v>5080</v>
      </c>
      <c r="B278">
        <v>18650</v>
      </c>
      <c r="C278" s="1">
        <v>42856</v>
      </c>
      <c r="F278" s="45"/>
      <c r="G278">
        <v>10.6</v>
      </c>
      <c r="H278">
        <v>6.5</v>
      </c>
      <c r="I278">
        <v>14.1</v>
      </c>
      <c r="J278">
        <f t="shared" si="34"/>
        <v>2265.3999999999996</v>
      </c>
      <c r="K278" s="36">
        <f t="shared" si="36"/>
        <v>290.8</v>
      </c>
      <c r="M278">
        <v>5.7</v>
      </c>
      <c r="N278">
        <v>2.2000000000000002</v>
      </c>
      <c r="O278">
        <f t="shared" si="31"/>
        <v>3.5</v>
      </c>
      <c r="P278">
        <f t="shared" si="37"/>
        <v>7.8</v>
      </c>
      <c r="Q278">
        <v>224</v>
      </c>
      <c r="R278">
        <v>1.1499999999999999</v>
      </c>
      <c r="S278">
        <f t="shared" si="32"/>
        <v>2.5299999999999998</v>
      </c>
      <c r="T278" s="24">
        <f t="shared" si="33"/>
        <v>3.1700000000000004</v>
      </c>
      <c r="U278" s="24">
        <f t="shared" si="38"/>
        <v>6.8250000000000011</v>
      </c>
      <c r="W278">
        <v>1049.5999999999999</v>
      </c>
      <c r="Y278">
        <f t="shared" si="35"/>
        <v>205864.79999999993</v>
      </c>
      <c r="Z278" s="36">
        <f t="shared" si="39"/>
        <v>46669.200000000004</v>
      </c>
      <c r="AA278">
        <v>13.971948765851518</v>
      </c>
    </row>
    <row r="279" spans="1:28" s="25" customFormat="1" ht="15.75" thickBot="1" x14ac:dyDescent="0.3">
      <c r="A279" s="25">
        <v>5080</v>
      </c>
      <c r="B279" s="25">
        <v>18650</v>
      </c>
      <c r="C279" s="26">
        <v>42857</v>
      </c>
      <c r="F279" s="58"/>
      <c r="G279" s="25">
        <v>12.3</v>
      </c>
      <c r="H279" s="25">
        <v>10.1</v>
      </c>
      <c r="I279" s="25">
        <v>13.8</v>
      </c>
      <c r="J279" s="25">
        <f t="shared" si="34"/>
        <v>2277.6999999999998</v>
      </c>
      <c r="K279" s="25">
        <f t="shared" si="36"/>
        <v>303.10000000000002</v>
      </c>
      <c r="L279" s="27"/>
      <c r="M279" s="25">
        <v>6.2</v>
      </c>
      <c r="N279" s="25">
        <v>1.7</v>
      </c>
      <c r="O279" s="25">
        <f t="shared" si="31"/>
        <v>4.5</v>
      </c>
      <c r="P279" s="25">
        <f t="shared" si="37"/>
        <v>12.3</v>
      </c>
      <c r="Q279" s="25">
        <v>225</v>
      </c>
      <c r="R279" s="25">
        <v>1.1499999999999999</v>
      </c>
      <c r="S279" s="25">
        <f t="shared" si="32"/>
        <v>1.9549999999999998</v>
      </c>
      <c r="T279" s="28">
        <f t="shared" si="33"/>
        <v>4.2450000000000001</v>
      </c>
      <c r="U279" s="24">
        <f t="shared" si="38"/>
        <v>11.07</v>
      </c>
      <c r="V279" s="27"/>
      <c r="W279" s="25">
        <v>1047.9000000000001</v>
      </c>
      <c r="Y279" s="25">
        <f t="shared" si="35"/>
        <v>206912.69999999992</v>
      </c>
      <c r="Z279" s="25">
        <f t="shared" si="39"/>
        <v>47717.100000000006</v>
      </c>
      <c r="AA279" s="25">
        <v>14.015885938152335</v>
      </c>
    </row>
    <row r="280" spans="1:28" x14ac:dyDescent="0.25">
      <c r="A280">
        <v>5080</v>
      </c>
      <c r="B280">
        <v>18650</v>
      </c>
      <c r="C280" s="1">
        <v>42858</v>
      </c>
      <c r="F280" s="46" t="s">
        <v>53</v>
      </c>
      <c r="G280">
        <v>13.6</v>
      </c>
      <c r="H280">
        <v>10.6</v>
      </c>
      <c r="I280">
        <v>16.8</v>
      </c>
      <c r="J280">
        <f t="shared" si="34"/>
        <v>2291.2999999999997</v>
      </c>
      <c r="K280" s="36">
        <v>13.6</v>
      </c>
      <c r="L280" s="17" t="s">
        <v>34</v>
      </c>
      <c r="M280">
        <v>0</v>
      </c>
      <c r="N280">
        <v>2</v>
      </c>
      <c r="O280">
        <f t="shared" si="31"/>
        <v>-2</v>
      </c>
      <c r="P280">
        <f t="shared" si="37"/>
        <v>10.3</v>
      </c>
      <c r="Q280">
        <v>226</v>
      </c>
      <c r="R280">
        <f>1.15+((Q280-225)/54)*(0.35-1.15)</f>
        <v>1.1351851851851851</v>
      </c>
      <c r="S280">
        <f t="shared" si="32"/>
        <v>2.2703703703703701</v>
      </c>
      <c r="T280" s="24">
        <f t="shared" si="33"/>
        <v>-2.2703703703703701</v>
      </c>
      <c r="U280" s="24">
        <f t="shared" si="38"/>
        <v>8.7996296296296297</v>
      </c>
      <c r="V280" s="32" t="s">
        <v>41</v>
      </c>
      <c r="W280">
        <v>1321.1</v>
      </c>
      <c r="Y280">
        <f t="shared" si="35"/>
        <v>208233.79999999993</v>
      </c>
      <c r="Z280" s="36">
        <f>W280</f>
        <v>1321.1</v>
      </c>
      <c r="AA280">
        <v>14.059376812329379</v>
      </c>
      <c r="AB280" s="32" t="s">
        <v>46</v>
      </c>
    </row>
    <row r="281" spans="1:28" s="36" customFormat="1" x14ac:dyDescent="0.25">
      <c r="A281" s="36">
        <v>5080</v>
      </c>
      <c r="B281" s="36">
        <v>18650</v>
      </c>
      <c r="C281" s="37">
        <v>42859</v>
      </c>
      <c r="F281" s="46"/>
      <c r="G281" s="36">
        <v>15.6</v>
      </c>
      <c r="H281" s="36">
        <v>10</v>
      </c>
      <c r="I281" s="36">
        <v>20</v>
      </c>
      <c r="J281" s="36">
        <f t="shared" si="34"/>
        <v>2306.8999999999996</v>
      </c>
      <c r="K281" s="36">
        <f t="shared" si="36"/>
        <v>29.2</v>
      </c>
      <c r="L281" s="8">
        <v>304.8</v>
      </c>
      <c r="M281" s="36">
        <v>0</v>
      </c>
      <c r="N281" s="36">
        <v>2.2999999999999998</v>
      </c>
      <c r="O281" s="36">
        <f t="shared" si="31"/>
        <v>-2.2999999999999998</v>
      </c>
      <c r="P281" s="36">
        <f t="shared" si="37"/>
        <v>8</v>
      </c>
      <c r="Q281" s="36">
        <v>227</v>
      </c>
      <c r="R281">
        <f t="shared" ref="R281:R333" si="40">1.15+((Q281-225)/54)*(0.35-1.15)</f>
        <v>1.1203703703703702</v>
      </c>
      <c r="S281" s="36">
        <f t="shared" si="32"/>
        <v>2.5768518518518513</v>
      </c>
      <c r="T281" s="38">
        <f t="shared" si="33"/>
        <v>-2.5768518518518513</v>
      </c>
      <c r="U281" s="24">
        <f t="shared" si="38"/>
        <v>6.2227777777777789</v>
      </c>
      <c r="V281">
        <v>2</v>
      </c>
      <c r="W281" s="36">
        <v>1341.5</v>
      </c>
      <c r="Y281" s="36">
        <f t="shared" si="35"/>
        <v>209575.29999999993</v>
      </c>
      <c r="Z281" s="36">
        <f t="shared" si="39"/>
        <v>2662.6</v>
      </c>
      <c r="AA281" s="36">
        <v>14.102405116116495</v>
      </c>
      <c r="AB281">
        <v>33719.699999999997</v>
      </c>
    </row>
    <row r="282" spans="1:28" ht="15" customHeight="1" x14ac:dyDescent="0.25">
      <c r="A282">
        <v>5080</v>
      </c>
      <c r="B282">
        <v>18650</v>
      </c>
      <c r="C282" s="1">
        <v>42860</v>
      </c>
      <c r="F282" s="46"/>
      <c r="G282">
        <v>14</v>
      </c>
      <c r="H282">
        <v>11.9</v>
      </c>
      <c r="I282">
        <v>16.100000000000001</v>
      </c>
      <c r="J282">
        <f t="shared" si="34"/>
        <v>2320.8999999999996</v>
      </c>
      <c r="K282" s="36">
        <f t="shared" si="36"/>
        <v>43.2</v>
      </c>
      <c r="L282" s="17" t="s">
        <v>35</v>
      </c>
      <c r="M282">
        <v>11.4</v>
      </c>
      <c r="N282">
        <v>2.2000000000000002</v>
      </c>
      <c r="O282">
        <f t="shared" si="31"/>
        <v>9.1999999999999993</v>
      </c>
      <c r="P282">
        <f t="shared" si="37"/>
        <v>17.2</v>
      </c>
      <c r="Q282">
        <v>228</v>
      </c>
      <c r="R282">
        <f t="shared" si="40"/>
        <v>1.1055555555555554</v>
      </c>
      <c r="S282">
        <f t="shared" si="32"/>
        <v>2.4322222222222223</v>
      </c>
      <c r="T282" s="24">
        <f t="shared" si="33"/>
        <v>8.9677777777777781</v>
      </c>
      <c r="U282" s="24">
        <f t="shared" si="38"/>
        <v>15.190555555555557</v>
      </c>
      <c r="V282" s="32" t="s">
        <v>42</v>
      </c>
      <c r="W282">
        <v>835.8</v>
      </c>
      <c r="Y282">
        <f t="shared" si="35"/>
        <v>210411.09999999992</v>
      </c>
      <c r="Z282" s="36">
        <f t="shared" si="39"/>
        <v>3498.3999999999996</v>
      </c>
      <c r="AA282">
        <v>14.144954299565805</v>
      </c>
      <c r="AB282" s="32" t="s">
        <v>47</v>
      </c>
    </row>
    <row r="283" spans="1:28" x14ac:dyDescent="0.25">
      <c r="A283">
        <v>5080</v>
      </c>
      <c r="B283">
        <v>18650</v>
      </c>
      <c r="C283" s="1">
        <v>42861</v>
      </c>
      <c r="F283" s="46"/>
      <c r="G283">
        <v>14.3</v>
      </c>
      <c r="H283">
        <v>11.9</v>
      </c>
      <c r="I283">
        <v>18.100000000000001</v>
      </c>
      <c r="J283">
        <f t="shared" si="34"/>
        <v>2335.1999999999998</v>
      </c>
      <c r="K283" s="36">
        <f t="shared" si="36"/>
        <v>57.5</v>
      </c>
      <c r="L283" s="21">
        <f>AVERAGE(G280:G298)</f>
        <v>16.042105263157897</v>
      </c>
      <c r="M283">
        <v>3.3</v>
      </c>
      <c r="N283">
        <v>3</v>
      </c>
      <c r="O283">
        <f t="shared" si="31"/>
        <v>0.29999999999999982</v>
      </c>
      <c r="P283">
        <f t="shared" si="37"/>
        <v>17.5</v>
      </c>
      <c r="Q283">
        <v>229</v>
      </c>
      <c r="R283">
        <f t="shared" si="40"/>
        <v>1.0907407407407406</v>
      </c>
      <c r="S283">
        <f t="shared" si="32"/>
        <v>3.2722222222222217</v>
      </c>
      <c r="T283" s="24">
        <f t="shared" si="33"/>
        <v>2.7777777777778123E-2</v>
      </c>
      <c r="U283" s="24">
        <f t="shared" si="38"/>
        <v>15.218333333333335</v>
      </c>
      <c r="V283">
        <v>17</v>
      </c>
      <c r="W283">
        <v>1458.8</v>
      </c>
      <c r="Y283">
        <f t="shared" si="35"/>
        <v>211869.89999999991</v>
      </c>
      <c r="Z283" s="36">
        <f t="shared" si="39"/>
        <v>4957.2</v>
      </c>
      <c r="AA283">
        <v>14.187007543468331</v>
      </c>
      <c r="AB283">
        <f>(AB281/100)/L281</f>
        <v>1.10628937007874</v>
      </c>
    </row>
    <row r="284" spans="1:28" x14ac:dyDescent="0.25">
      <c r="A284">
        <v>5080</v>
      </c>
      <c r="B284">
        <v>18650</v>
      </c>
      <c r="C284" s="1">
        <v>42862</v>
      </c>
      <c r="F284" s="46"/>
      <c r="G284">
        <v>14.2</v>
      </c>
      <c r="H284">
        <v>8.8000000000000007</v>
      </c>
      <c r="I284">
        <v>18.3</v>
      </c>
      <c r="J284">
        <f t="shared" si="34"/>
        <v>2349.3999999999996</v>
      </c>
      <c r="K284" s="36">
        <f t="shared" si="36"/>
        <v>71.7</v>
      </c>
      <c r="L284" s="17" t="s">
        <v>36</v>
      </c>
      <c r="M284">
        <v>0</v>
      </c>
      <c r="N284">
        <v>3.8</v>
      </c>
      <c r="O284">
        <f t="shared" si="31"/>
        <v>-3.8</v>
      </c>
      <c r="P284">
        <f t="shared" si="37"/>
        <v>13.7</v>
      </c>
      <c r="Q284">
        <v>230</v>
      </c>
      <c r="R284">
        <f t="shared" si="40"/>
        <v>1.075925925925926</v>
      </c>
      <c r="S284">
        <f t="shared" si="32"/>
        <v>4.0885185185185184</v>
      </c>
      <c r="T284" s="24">
        <f t="shared" si="33"/>
        <v>-4.0885185185185184</v>
      </c>
      <c r="U284" s="24">
        <f t="shared" si="38"/>
        <v>11.129814814814818</v>
      </c>
      <c r="V284" s="32" t="s">
        <v>43</v>
      </c>
      <c r="W284">
        <v>2431.6</v>
      </c>
      <c r="Y284">
        <f t="shared" si="35"/>
        <v>214301.49999999991</v>
      </c>
      <c r="Z284" s="36">
        <f t="shared" si="39"/>
        <v>7388.7999999999993</v>
      </c>
      <c r="AA284">
        <v>14.228547769038943</v>
      </c>
      <c r="AB284" s="32" t="s">
        <v>48</v>
      </c>
    </row>
    <row r="285" spans="1:28" x14ac:dyDescent="0.25">
      <c r="A285">
        <v>5080</v>
      </c>
      <c r="B285">
        <v>18650</v>
      </c>
      <c r="C285" s="1">
        <v>42863</v>
      </c>
      <c r="F285" s="46"/>
      <c r="G285">
        <v>14.8</v>
      </c>
      <c r="H285">
        <v>10.3</v>
      </c>
      <c r="I285">
        <v>18.600000000000001</v>
      </c>
      <c r="J285">
        <f t="shared" si="34"/>
        <v>2364.1999999999998</v>
      </c>
      <c r="K285" s="36">
        <f t="shared" si="36"/>
        <v>86.5</v>
      </c>
      <c r="L285" s="12">
        <f>MIN(H280:H298)</f>
        <v>8.1999999999999993</v>
      </c>
      <c r="M285">
        <v>0</v>
      </c>
      <c r="N285">
        <v>3.6</v>
      </c>
      <c r="O285">
        <f t="shared" si="31"/>
        <v>-3.6</v>
      </c>
      <c r="P285">
        <f t="shared" si="37"/>
        <v>10.1</v>
      </c>
      <c r="Q285">
        <v>231</v>
      </c>
      <c r="R285">
        <f t="shared" si="40"/>
        <v>1.0611111111111111</v>
      </c>
      <c r="S285">
        <f t="shared" si="32"/>
        <v>3.8200000000000003</v>
      </c>
      <c r="T285" s="24">
        <f t="shared" si="33"/>
        <v>-3.8200000000000003</v>
      </c>
      <c r="U285" s="24">
        <f t="shared" si="38"/>
        <v>7.3098148148148177</v>
      </c>
      <c r="V285">
        <v>0</v>
      </c>
      <c r="W285">
        <v>2059</v>
      </c>
      <c r="Y285">
        <f t="shared" si="35"/>
        <v>216360.49999999991</v>
      </c>
      <c r="Z285" s="36">
        <f t="shared" si="39"/>
        <v>9447.7999999999993</v>
      </c>
      <c r="AA285">
        <v>14.269557648899911</v>
      </c>
      <c r="AB285">
        <v>2</v>
      </c>
    </row>
    <row r="286" spans="1:28" x14ac:dyDescent="0.25">
      <c r="A286">
        <v>5080</v>
      </c>
      <c r="B286">
        <v>18650</v>
      </c>
      <c r="C286" s="1">
        <v>42864</v>
      </c>
      <c r="E286" s="3"/>
      <c r="F286" s="46"/>
      <c r="G286">
        <v>14.8</v>
      </c>
      <c r="H286">
        <v>8.1999999999999993</v>
      </c>
      <c r="I286">
        <v>19.3</v>
      </c>
      <c r="J286">
        <f t="shared" si="34"/>
        <v>2379</v>
      </c>
      <c r="K286" s="36">
        <f t="shared" si="36"/>
        <v>101.3</v>
      </c>
      <c r="L286" s="17" t="s">
        <v>37</v>
      </c>
      <c r="M286">
        <v>0</v>
      </c>
      <c r="N286">
        <v>4.2</v>
      </c>
      <c r="O286">
        <f t="shared" si="31"/>
        <v>-4.2</v>
      </c>
      <c r="P286">
        <f t="shared" si="37"/>
        <v>5.8999999999999995</v>
      </c>
      <c r="Q286">
        <v>232</v>
      </c>
      <c r="R286">
        <f t="shared" si="40"/>
        <v>1.0462962962962963</v>
      </c>
      <c r="S286">
        <f t="shared" si="32"/>
        <v>4.3944444444444448</v>
      </c>
      <c r="T286" s="24">
        <f t="shared" si="33"/>
        <v>-4.3944444444444448</v>
      </c>
      <c r="U286" s="24">
        <f t="shared" si="38"/>
        <v>2.9153703703703728</v>
      </c>
      <c r="V286" s="32" t="s">
        <v>44</v>
      </c>
      <c r="W286">
        <v>2546.1</v>
      </c>
      <c r="Y286">
        <f t="shared" si="35"/>
        <v>218906.59999999992</v>
      </c>
      <c r="Z286" s="36">
        <f t="shared" si="39"/>
        <v>11993.9</v>
      </c>
      <c r="AA286">
        <v>14.310019619394385</v>
      </c>
    </row>
    <row r="287" spans="1:28" x14ac:dyDescent="0.25">
      <c r="A287">
        <v>5080</v>
      </c>
      <c r="B287">
        <v>18650</v>
      </c>
      <c r="C287" s="1">
        <v>42865</v>
      </c>
      <c r="F287" s="46"/>
      <c r="G287">
        <v>16</v>
      </c>
      <c r="H287">
        <v>13.2</v>
      </c>
      <c r="I287">
        <v>19.8</v>
      </c>
      <c r="J287">
        <f t="shared" si="34"/>
        <v>2395</v>
      </c>
      <c r="K287" s="36">
        <f t="shared" si="36"/>
        <v>117.3</v>
      </c>
      <c r="L287" s="8">
        <v>27.4</v>
      </c>
      <c r="M287">
        <v>3.3</v>
      </c>
      <c r="N287">
        <v>3.4</v>
      </c>
      <c r="O287">
        <f t="shared" si="31"/>
        <v>-0.10000000000000009</v>
      </c>
      <c r="P287">
        <f t="shared" si="37"/>
        <v>5.7999999999999989</v>
      </c>
      <c r="Q287">
        <v>233</v>
      </c>
      <c r="R287">
        <f t="shared" si="40"/>
        <v>1.0314814814814814</v>
      </c>
      <c r="S287">
        <f t="shared" si="32"/>
        <v>3.507037037037037</v>
      </c>
      <c r="T287" s="24">
        <f t="shared" si="33"/>
        <v>-0.20703703703703713</v>
      </c>
      <c r="U287" s="24">
        <f t="shared" si="38"/>
        <v>2.7083333333333357</v>
      </c>
      <c r="V287" s="24">
        <f>MAX(U280:U298)</f>
        <v>22.478333333333335</v>
      </c>
      <c r="W287">
        <v>1317.9</v>
      </c>
      <c r="Y287">
        <f t="shared" si="35"/>
        <v>220224.49999999991</v>
      </c>
      <c r="Z287" s="36">
        <f t="shared" si="39"/>
        <v>13311.8</v>
      </c>
      <c r="AA287">
        <v>14.349915894257702</v>
      </c>
    </row>
    <row r="288" spans="1:28" x14ac:dyDescent="0.25">
      <c r="A288">
        <v>5080</v>
      </c>
      <c r="B288">
        <v>18650</v>
      </c>
      <c r="C288" s="1">
        <v>42866</v>
      </c>
      <c r="F288" s="46"/>
      <c r="G288">
        <v>16.3</v>
      </c>
      <c r="H288">
        <v>14</v>
      </c>
      <c r="I288">
        <v>19</v>
      </c>
      <c r="J288">
        <f t="shared" si="34"/>
        <v>2411.3000000000002</v>
      </c>
      <c r="K288" s="36">
        <f t="shared" si="36"/>
        <v>133.6</v>
      </c>
      <c r="L288" s="17" t="s">
        <v>38</v>
      </c>
      <c r="M288">
        <v>11.7</v>
      </c>
      <c r="N288">
        <v>2.1</v>
      </c>
      <c r="O288">
        <f t="shared" si="31"/>
        <v>9.6</v>
      </c>
      <c r="P288">
        <f t="shared" si="37"/>
        <v>15.399999999999999</v>
      </c>
      <c r="Q288">
        <v>234</v>
      </c>
      <c r="R288">
        <f t="shared" si="40"/>
        <v>1.0166666666666666</v>
      </c>
      <c r="S288">
        <f t="shared" si="32"/>
        <v>2.1349999999999998</v>
      </c>
      <c r="T288" s="24">
        <f t="shared" si="33"/>
        <v>9.5649999999999995</v>
      </c>
      <c r="U288" s="24">
        <f t="shared" si="38"/>
        <v>12.273333333333335</v>
      </c>
      <c r="V288" s="32" t="s">
        <v>45</v>
      </c>
      <c r="W288">
        <v>1034.2</v>
      </c>
      <c r="Y288">
        <f t="shared" si="35"/>
        <v>221258.69999999992</v>
      </c>
      <c r="Z288" s="36">
        <f t="shared" si="39"/>
        <v>14346</v>
      </c>
      <c r="AA288">
        <v>14.389228479670432</v>
      </c>
    </row>
    <row r="289" spans="1:28" x14ac:dyDescent="0.25">
      <c r="A289">
        <v>5080</v>
      </c>
      <c r="B289">
        <v>18650</v>
      </c>
      <c r="C289" s="1">
        <v>42867</v>
      </c>
      <c r="F289" s="46"/>
      <c r="G289">
        <v>17.7</v>
      </c>
      <c r="H289">
        <v>12.9</v>
      </c>
      <c r="I289">
        <v>21.6</v>
      </c>
      <c r="J289">
        <f t="shared" si="34"/>
        <v>2429</v>
      </c>
      <c r="K289" s="36">
        <f t="shared" si="36"/>
        <v>151.29999999999998</v>
      </c>
      <c r="L289" s="8">
        <v>3</v>
      </c>
      <c r="M289">
        <v>7.3</v>
      </c>
      <c r="N289">
        <v>3.4</v>
      </c>
      <c r="O289">
        <f t="shared" si="31"/>
        <v>3.9</v>
      </c>
      <c r="P289">
        <f t="shared" si="37"/>
        <v>19.299999999999997</v>
      </c>
      <c r="Q289">
        <v>235</v>
      </c>
      <c r="R289">
        <f t="shared" si="40"/>
        <v>1.0018518518518518</v>
      </c>
      <c r="S289">
        <f t="shared" si="32"/>
        <v>3.4062962962962957</v>
      </c>
      <c r="T289" s="24">
        <f t="shared" si="33"/>
        <v>3.8937037037037041</v>
      </c>
      <c r="U289" s="24">
        <f t="shared" si="38"/>
        <v>16.167037037037041</v>
      </c>
      <c r="V289" s="21">
        <f>AVERAGE(U280:U298)</f>
        <v>10.525867446393763</v>
      </c>
      <c r="W289">
        <v>1881.1</v>
      </c>
      <c r="Y289">
        <f t="shared" si="35"/>
        <v>223139.79999999993</v>
      </c>
      <c r="Z289" s="36">
        <f t="shared" si="39"/>
        <v>16227.1</v>
      </c>
      <c r="AA289">
        <v>14.427939190712827</v>
      </c>
    </row>
    <row r="290" spans="1:28" x14ac:dyDescent="0.25">
      <c r="A290">
        <v>5080</v>
      </c>
      <c r="B290">
        <v>18650</v>
      </c>
      <c r="C290" s="1">
        <v>42868</v>
      </c>
      <c r="F290" s="46"/>
      <c r="G290">
        <v>16.399999999999999</v>
      </c>
      <c r="H290">
        <v>13.8</v>
      </c>
      <c r="I290">
        <v>20.3</v>
      </c>
      <c r="J290">
        <f t="shared" si="34"/>
        <v>2445.4</v>
      </c>
      <c r="K290" s="36">
        <f t="shared" si="36"/>
        <v>167.7</v>
      </c>
      <c r="L290" s="17" t="s">
        <v>39</v>
      </c>
      <c r="M290">
        <v>0.1</v>
      </c>
      <c r="N290">
        <v>3.3</v>
      </c>
      <c r="O290">
        <f t="shared" si="31"/>
        <v>-3.1999999999999997</v>
      </c>
      <c r="P290">
        <f t="shared" si="37"/>
        <v>16.099999999999998</v>
      </c>
      <c r="Q290">
        <v>236</v>
      </c>
      <c r="R290">
        <f t="shared" si="40"/>
        <v>0.98703703703703694</v>
      </c>
      <c r="S290">
        <f t="shared" si="32"/>
        <v>3.2572222222222216</v>
      </c>
      <c r="T290" s="24">
        <f t="shared" si="33"/>
        <v>-3.1572222222222215</v>
      </c>
      <c r="U290" s="24">
        <f t="shared" si="38"/>
        <v>13.009814814814819</v>
      </c>
      <c r="W290">
        <v>1723.5</v>
      </c>
      <c r="Y290">
        <f t="shared" si="35"/>
        <v>224863.29999999993</v>
      </c>
      <c r="Z290" s="36">
        <f t="shared" si="39"/>
        <v>17950.599999999999</v>
      </c>
      <c r="AA290">
        <v>14.466029669235274</v>
      </c>
    </row>
    <row r="291" spans="1:28" x14ac:dyDescent="0.25">
      <c r="A291">
        <v>5080</v>
      </c>
      <c r="B291">
        <v>18650</v>
      </c>
      <c r="C291" s="1">
        <v>42869</v>
      </c>
      <c r="F291" s="46"/>
      <c r="G291">
        <v>17.899999999999999</v>
      </c>
      <c r="H291">
        <v>11.8</v>
      </c>
      <c r="I291">
        <v>22.9</v>
      </c>
      <c r="J291">
        <f t="shared" si="34"/>
        <v>2463.3000000000002</v>
      </c>
      <c r="K291" s="36">
        <f t="shared" si="36"/>
        <v>185.6</v>
      </c>
      <c r="L291" s="8">
        <v>0</v>
      </c>
      <c r="M291">
        <v>0.1</v>
      </c>
      <c r="N291">
        <v>3.8</v>
      </c>
      <c r="O291">
        <f t="shared" si="31"/>
        <v>-3.6999999999999997</v>
      </c>
      <c r="P291">
        <f t="shared" si="37"/>
        <v>12.399999999999999</v>
      </c>
      <c r="Q291">
        <v>237</v>
      </c>
      <c r="R291">
        <f t="shared" si="40"/>
        <v>0.9722222222222221</v>
      </c>
      <c r="S291">
        <f t="shared" si="32"/>
        <v>3.6944444444444438</v>
      </c>
      <c r="T291" s="24">
        <f t="shared" si="33"/>
        <v>-3.5944444444444437</v>
      </c>
      <c r="U291" s="24">
        <f t="shared" si="38"/>
        <v>9.4153703703703755</v>
      </c>
      <c r="V291" s="8">
        <f>(V289*100)/155.7</f>
        <v>6.7603516033357511</v>
      </c>
      <c r="W291">
        <v>2021.6</v>
      </c>
      <c r="Y291">
        <f t="shared" si="35"/>
        <v>226884.89999999994</v>
      </c>
      <c r="Z291" s="36">
        <f t="shared" si="39"/>
        <v>19972.199999999997</v>
      </c>
      <c r="AA291">
        <v>14.503481403154025</v>
      </c>
    </row>
    <row r="292" spans="1:28" x14ac:dyDescent="0.25">
      <c r="A292">
        <v>5080</v>
      </c>
      <c r="B292">
        <v>18650</v>
      </c>
      <c r="C292" s="1">
        <v>42870</v>
      </c>
      <c r="F292" s="46"/>
      <c r="G292">
        <v>19.899999999999999</v>
      </c>
      <c r="H292">
        <v>13.7</v>
      </c>
      <c r="I292">
        <v>25.8</v>
      </c>
      <c r="J292">
        <f t="shared" si="34"/>
        <v>2483.2000000000003</v>
      </c>
      <c r="K292" s="36">
        <f t="shared" si="36"/>
        <v>205.5</v>
      </c>
      <c r="L292" s="17" t="s">
        <v>40</v>
      </c>
      <c r="M292">
        <v>0</v>
      </c>
      <c r="N292">
        <v>4.9000000000000004</v>
      </c>
      <c r="O292">
        <f t="shared" si="31"/>
        <v>-4.9000000000000004</v>
      </c>
      <c r="P292">
        <f t="shared" si="37"/>
        <v>7.4999999999999982</v>
      </c>
      <c r="Q292">
        <v>238</v>
      </c>
      <c r="R292">
        <f t="shared" si="40"/>
        <v>0.95740740740740737</v>
      </c>
      <c r="S292">
        <f t="shared" si="32"/>
        <v>4.6912962962962963</v>
      </c>
      <c r="T292" s="24">
        <f t="shared" si="33"/>
        <v>-4.6912962962962963</v>
      </c>
      <c r="U292" s="24">
        <f t="shared" si="38"/>
        <v>4.7240740740740792</v>
      </c>
      <c r="W292">
        <v>2493.5</v>
      </c>
      <c r="Y292">
        <f t="shared" si="35"/>
        <v>229378.39999999994</v>
      </c>
      <c r="Z292" s="36">
        <f t="shared" si="39"/>
        <v>22465.699999999997</v>
      </c>
      <c r="AA292">
        <v>14.540275747175544</v>
      </c>
    </row>
    <row r="293" spans="1:28" x14ac:dyDescent="0.25">
      <c r="A293">
        <v>5080</v>
      </c>
      <c r="B293">
        <v>18650</v>
      </c>
      <c r="C293" s="1">
        <v>42871</v>
      </c>
      <c r="F293" s="46"/>
      <c r="G293">
        <v>21.9</v>
      </c>
      <c r="H293">
        <v>16.100000000000001</v>
      </c>
      <c r="I293">
        <v>27.4</v>
      </c>
      <c r="J293">
        <f t="shared" si="34"/>
        <v>2505.1000000000004</v>
      </c>
      <c r="K293" s="36">
        <f t="shared" si="36"/>
        <v>227.4</v>
      </c>
      <c r="L293" s="18">
        <v>0</v>
      </c>
      <c r="M293">
        <v>0</v>
      </c>
      <c r="N293">
        <v>6.3</v>
      </c>
      <c r="O293">
        <f t="shared" si="31"/>
        <v>-6.3</v>
      </c>
      <c r="P293">
        <f t="shared" si="37"/>
        <v>1.1999999999999984</v>
      </c>
      <c r="Q293">
        <v>239</v>
      </c>
      <c r="R293">
        <f t="shared" si="40"/>
        <v>0.94259259259259254</v>
      </c>
      <c r="S293">
        <f t="shared" si="32"/>
        <v>5.9383333333333326</v>
      </c>
      <c r="T293" s="24">
        <f t="shared" si="33"/>
        <v>-5.9383333333333326</v>
      </c>
      <c r="U293" s="24">
        <v>0</v>
      </c>
      <c r="W293">
        <v>2803</v>
      </c>
      <c r="Y293">
        <f t="shared" si="35"/>
        <v>232181.39999999994</v>
      </c>
      <c r="Z293" s="36">
        <f t="shared" si="39"/>
        <v>25268.699999999997</v>
      </c>
      <c r="AA293">
        <v>14.576393944946345</v>
      </c>
    </row>
    <row r="294" spans="1:28" x14ac:dyDescent="0.25">
      <c r="A294">
        <v>5080</v>
      </c>
      <c r="B294">
        <v>18650</v>
      </c>
      <c r="C294" s="1">
        <v>42872</v>
      </c>
      <c r="F294" s="46"/>
      <c r="G294">
        <v>20.7</v>
      </c>
      <c r="H294">
        <v>17.3</v>
      </c>
      <c r="I294">
        <v>26.4</v>
      </c>
      <c r="J294">
        <f t="shared" si="34"/>
        <v>2525.8000000000002</v>
      </c>
      <c r="K294" s="36">
        <f t="shared" si="36"/>
        <v>248.1</v>
      </c>
      <c r="M294">
        <v>0.7</v>
      </c>
      <c r="N294">
        <v>6.5</v>
      </c>
      <c r="O294">
        <f t="shared" si="31"/>
        <v>-5.8</v>
      </c>
      <c r="P294">
        <v>0</v>
      </c>
      <c r="Q294">
        <v>240</v>
      </c>
      <c r="R294">
        <f t="shared" si="40"/>
        <v>0.9277777777777777</v>
      </c>
      <c r="S294">
        <f t="shared" si="32"/>
        <v>6.030555555555555</v>
      </c>
      <c r="T294" s="24">
        <f t="shared" si="33"/>
        <v>-5.3305555555555548</v>
      </c>
      <c r="U294" s="24">
        <v>0</v>
      </c>
      <c r="W294">
        <v>2615.6</v>
      </c>
      <c r="Y294">
        <f t="shared" si="35"/>
        <v>234796.99999999994</v>
      </c>
      <c r="Z294" s="36">
        <f t="shared" si="39"/>
        <v>27884.299999999996</v>
      </c>
      <c r="AA294">
        <v>14.611817152618258</v>
      </c>
    </row>
    <row r="295" spans="1:28" x14ac:dyDescent="0.25">
      <c r="A295">
        <v>5080</v>
      </c>
      <c r="B295">
        <v>18650</v>
      </c>
      <c r="C295" s="1">
        <v>42873</v>
      </c>
      <c r="F295" s="46"/>
      <c r="G295">
        <v>13.1</v>
      </c>
      <c r="H295">
        <v>10.199999999999999</v>
      </c>
      <c r="I295">
        <v>15.9</v>
      </c>
      <c r="J295">
        <f t="shared" si="34"/>
        <v>2538.9</v>
      </c>
      <c r="K295" s="36">
        <f t="shared" si="36"/>
        <v>261.2</v>
      </c>
      <c r="M295">
        <v>23.3</v>
      </c>
      <c r="N295">
        <v>0.9</v>
      </c>
      <c r="O295">
        <f t="shared" si="31"/>
        <v>22.400000000000002</v>
      </c>
      <c r="P295">
        <f t="shared" si="37"/>
        <v>22.400000000000002</v>
      </c>
      <c r="Q295">
        <v>241</v>
      </c>
      <c r="R295">
        <f t="shared" si="40"/>
        <v>0.91296296296296298</v>
      </c>
      <c r="S295">
        <f t="shared" si="32"/>
        <v>0.82166666666666666</v>
      </c>
      <c r="T295" s="24">
        <f t="shared" si="33"/>
        <v>22.478333333333335</v>
      </c>
      <c r="U295" s="24">
        <f t="shared" si="38"/>
        <v>22.478333333333335</v>
      </c>
      <c r="W295">
        <v>521.79999999999995</v>
      </c>
      <c r="Y295">
        <f t="shared" si="35"/>
        <v>235318.79999999993</v>
      </c>
      <c r="Z295" s="36">
        <f t="shared" si="39"/>
        <v>28406.099999999995</v>
      </c>
      <c r="AA295">
        <v>14.646526463811636</v>
      </c>
    </row>
    <row r="296" spans="1:28" x14ac:dyDescent="0.25">
      <c r="A296">
        <v>5080</v>
      </c>
      <c r="B296">
        <v>18650</v>
      </c>
      <c r="C296" s="1">
        <v>42874</v>
      </c>
      <c r="F296" s="46"/>
      <c r="G296">
        <v>12.1</v>
      </c>
      <c r="H296">
        <v>8.1999999999999993</v>
      </c>
      <c r="I296">
        <v>16.100000000000001</v>
      </c>
      <c r="J296">
        <f t="shared" si="34"/>
        <v>2551</v>
      </c>
      <c r="K296" s="36">
        <f t="shared" si="36"/>
        <v>273.3</v>
      </c>
      <c r="M296">
        <v>0.7</v>
      </c>
      <c r="N296">
        <v>2.7</v>
      </c>
      <c r="O296">
        <f t="shared" si="31"/>
        <v>-2</v>
      </c>
      <c r="P296">
        <f t="shared" si="37"/>
        <v>20.400000000000002</v>
      </c>
      <c r="Q296">
        <v>242</v>
      </c>
      <c r="R296">
        <f t="shared" si="40"/>
        <v>0.89814814814814814</v>
      </c>
      <c r="S296">
        <f t="shared" si="32"/>
        <v>2.4250000000000003</v>
      </c>
      <c r="T296" s="24">
        <f t="shared" si="33"/>
        <v>-1.7250000000000003</v>
      </c>
      <c r="U296" s="24">
        <f t="shared" si="38"/>
        <v>20.753333333333334</v>
      </c>
      <c r="W296">
        <v>1484.5</v>
      </c>
      <c r="Y296">
        <f t="shared" si="35"/>
        <v>236803.29999999993</v>
      </c>
      <c r="Z296" s="36">
        <f t="shared" si="39"/>
        <v>29890.599999999995</v>
      </c>
      <c r="AA296">
        <v>14.680502935951182</v>
      </c>
    </row>
    <row r="297" spans="1:28" x14ac:dyDescent="0.25">
      <c r="A297">
        <v>5080</v>
      </c>
      <c r="B297">
        <v>18650</v>
      </c>
      <c r="C297" s="1">
        <v>42875</v>
      </c>
      <c r="F297" s="46"/>
      <c r="G297">
        <v>14.1</v>
      </c>
      <c r="H297">
        <v>9.3000000000000007</v>
      </c>
      <c r="I297">
        <v>19.2</v>
      </c>
      <c r="J297">
        <f t="shared" si="34"/>
        <v>2565.1</v>
      </c>
      <c r="K297" s="36">
        <f t="shared" si="36"/>
        <v>287.40000000000003</v>
      </c>
      <c r="M297">
        <v>0</v>
      </c>
      <c r="N297">
        <v>3.5</v>
      </c>
      <c r="O297">
        <f t="shared" si="31"/>
        <v>-3.5</v>
      </c>
      <c r="P297">
        <f t="shared" si="37"/>
        <v>16.900000000000002</v>
      </c>
      <c r="Q297">
        <v>243</v>
      </c>
      <c r="R297">
        <f t="shared" si="40"/>
        <v>0.8833333333333333</v>
      </c>
      <c r="S297">
        <f t="shared" si="32"/>
        <v>3.0916666666666668</v>
      </c>
      <c r="T297" s="24">
        <f t="shared" si="33"/>
        <v>-3.0916666666666668</v>
      </c>
      <c r="U297" s="24">
        <f t="shared" si="38"/>
        <v>17.661666666666669</v>
      </c>
      <c r="W297">
        <v>1821.8</v>
      </c>
      <c r="Y297">
        <f t="shared" si="35"/>
        <v>238625.09999999992</v>
      </c>
      <c r="Z297" s="36">
        <f t="shared" si="39"/>
        <v>31712.399999999994</v>
      </c>
      <c r="AA297">
        <v>14.713727617940599</v>
      </c>
    </row>
    <row r="298" spans="1:28" s="25" customFormat="1" ht="15.75" thickBot="1" x14ac:dyDescent="0.3">
      <c r="A298" s="25">
        <v>5080</v>
      </c>
      <c r="B298" s="25">
        <v>18650</v>
      </c>
      <c r="C298" s="26">
        <v>42876</v>
      </c>
      <c r="F298" s="46"/>
      <c r="G298" s="25">
        <v>17.399999999999999</v>
      </c>
      <c r="H298" s="25">
        <v>10.5</v>
      </c>
      <c r="I298" s="25">
        <v>23</v>
      </c>
      <c r="J298" s="25">
        <f t="shared" si="34"/>
        <v>2582.5</v>
      </c>
      <c r="K298" s="25">
        <f t="shared" si="36"/>
        <v>304.8</v>
      </c>
      <c r="L298" s="27"/>
      <c r="M298" s="25">
        <v>0</v>
      </c>
      <c r="N298" s="25">
        <v>4.2</v>
      </c>
      <c r="O298" s="25">
        <f t="shared" si="31"/>
        <v>-4.2</v>
      </c>
      <c r="P298" s="25">
        <f t="shared" si="37"/>
        <v>12.700000000000003</v>
      </c>
      <c r="Q298" s="25">
        <v>244</v>
      </c>
      <c r="R298" s="25">
        <f t="shared" si="40"/>
        <v>0.86851851851851847</v>
      </c>
      <c r="S298" s="25">
        <f t="shared" si="32"/>
        <v>3.6477777777777778</v>
      </c>
      <c r="T298" s="28">
        <f t="shared" si="33"/>
        <v>-3.6477777777777778</v>
      </c>
      <c r="U298" s="24">
        <f t="shared" si="38"/>
        <v>14.013888888888891</v>
      </c>
      <c r="V298" s="27"/>
      <c r="W298" s="25">
        <v>2007.3</v>
      </c>
      <c r="Y298" s="25">
        <f t="shared" si="35"/>
        <v>240632.39999999991</v>
      </c>
      <c r="Z298" s="25">
        <f t="shared" si="39"/>
        <v>33719.699999999997</v>
      </c>
      <c r="AA298" s="25">
        <v>14.746181579133729</v>
      </c>
    </row>
    <row r="299" spans="1:28" x14ac:dyDescent="0.25">
      <c r="A299">
        <v>5080</v>
      </c>
      <c r="B299">
        <v>18650</v>
      </c>
      <c r="C299" s="1">
        <v>42877</v>
      </c>
      <c r="F299" s="49" t="s">
        <v>54</v>
      </c>
      <c r="G299">
        <v>18.7</v>
      </c>
      <c r="H299">
        <v>15.4</v>
      </c>
      <c r="I299">
        <v>24.5</v>
      </c>
      <c r="J299">
        <f t="shared" si="34"/>
        <v>2601.1999999999998</v>
      </c>
      <c r="K299" s="36">
        <v>18.7</v>
      </c>
      <c r="L299" s="16" t="s">
        <v>34</v>
      </c>
      <c r="M299">
        <v>9</v>
      </c>
      <c r="N299">
        <v>4.8</v>
      </c>
      <c r="O299">
        <f t="shared" si="31"/>
        <v>4.2</v>
      </c>
      <c r="P299">
        <f t="shared" si="37"/>
        <v>16.900000000000002</v>
      </c>
      <c r="Q299">
        <v>245</v>
      </c>
      <c r="R299">
        <f t="shared" si="40"/>
        <v>0.85370370370370363</v>
      </c>
      <c r="S299">
        <f t="shared" si="32"/>
        <v>4.0977777777777771</v>
      </c>
      <c r="T299" s="24">
        <f t="shared" si="33"/>
        <v>4.9022222222222229</v>
      </c>
      <c r="U299" s="24">
        <f t="shared" si="38"/>
        <v>18.916111111111114</v>
      </c>
      <c r="V299" s="33" t="s">
        <v>41</v>
      </c>
      <c r="W299">
        <v>1817.1</v>
      </c>
      <c r="Y299">
        <f t="shared" si="35"/>
        <v>242449.49999999991</v>
      </c>
      <c r="Z299" s="36">
        <f>W299</f>
        <v>1817.1</v>
      </c>
      <c r="AA299">
        <v>14.777845939550673</v>
      </c>
      <c r="AB299" s="33" t="s">
        <v>46</v>
      </c>
    </row>
    <row r="300" spans="1:28" s="36" customFormat="1" x14ac:dyDescent="0.25">
      <c r="A300" s="36">
        <v>5080</v>
      </c>
      <c r="B300" s="36">
        <v>18650</v>
      </c>
      <c r="C300" s="37">
        <v>42878</v>
      </c>
      <c r="F300" s="49"/>
      <c r="G300" s="36">
        <v>15.6</v>
      </c>
      <c r="H300" s="36">
        <v>13.6</v>
      </c>
      <c r="I300" s="36">
        <v>18</v>
      </c>
      <c r="J300" s="36">
        <f t="shared" si="34"/>
        <v>2616.7999999999997</v>
      </c>
      <c r="K300" s="36">
        <f t="shared" si="36"/>
        <v>34.299999999999997</v>
      </c>
      <c r="L300" s="8">
        <v>419.3</v>
      </c>
      <c r="M300" s="36">
        <v>0</v>
      </c>
      <c r="N300" s="36">
        <v>1.9</v>
      </c>
      <c r="O300" s="36">
        <f t="shared" si="31"/>
        <v>-1.9</v>
      </c>
      <c r="P300" s="36">
        <f t="shared" si="37"/>
        <v>15.000000000000002</v>
      </c>
      <c r="Q300" s="36">
        <v>246</v>
      </c>
      <c r="R300">
        <f t="shared" si="40"/>
        <v>0.8388888888888888</v>
      </c>
      <c r="S300" s="36">
        <f t="shared" si="32"/>
        <v>1.5938888888888887</v>
      </c>
      <c r="T300" s="38">
        <f t="shared" si="33"/>
        <v>-1.5938888888888887</v>
      </c>
      <c r="U300" s="24">
        <f t="shared" si="38"/>
        <v>17.322222222222226</v>
      </c>
      <c r="V300">
        <v>3</v>
      </c>
      <c r="W300" s="36">
        <v>885.7</v>
      </c>
      <c r="Y300" s="36">
        <f t="shared" si="35"/>
        <v>243335.19999999992</v>
      </c>
      <c r="Z300" s="36">
        <f t="shared" si="39"/>
        <v>2702.8</v>
      </c>
      <c r="AA300" s="36">
        <v>14.808701901277963</v>
      </c>
      <c r="AB300">
        <v>41883.9</v>
      </c>
    </row>
    <row r="301" spans="1:28" ht="15" customHeight="1" x14ac:dyDescent="0.25">
      <c r="A301">
        <v>5080</v>
      </c>
      <c r="B301">
        <v>18650</v>
      </c>
      <c r="C301" s="1">
        <v>42879</v>
      </c>
      <c r="F301" s="49"/>
      <c r="G301">
        <v>19.2</v>
      </c>
      <c r="H301">
        <v>13.4</v>
      </c>
      <c r="I301">
        <v>25.1</v>
      </c>
      <c r="J301">
        <f t="shared" si="34"/>
        <v>2635.9999999999995</v>
      </c>
      <c r="K301" s="36">
        <f t="shared" si="36"/>
        <v>53.5</v>
      </c>
      <c r="L301" s="16" t="s">
        <v>35</v>
      </c>
      <c r="M301">
        <v>0</v>
      </c>
      <c r="N301">
        <v>4.5</v>
      </c>
      <c r="O301">
        <f t="shared" si="31"/>
        <v>-4.5</v>
      </c>
      <c r="P301">
        <f t="shared" si="37"/>
        <v>10.500000000000002</v>
      </c>
      <c r="Q301">
        <v>247</v>
      </c>
      <c r="R301">
        <f t="shared" si="40"/>
        <v>0.82407407407407396</v>
      </c>
      <c r="S301">
        <f t="shared" si="32"/>
        <v>3.708333333333333</v>
      </c>
      <c r="T301" s="24">
        <f t="shared" si="33"/>
        <v>-3.708333333333333</v>
      </c>
      <c r="U301" s="24">
        <f t="shared" si="38"/>
        <v>13.613888888888894</v>
      </c>
      <c r="V301" s="33" t="s">
        <v>42</v>
      </c>
      <c r="W301">
        <v>2300.4</v>
      </c>
      <c r="Y301">
        <f t="shared" si="35"/>
        <v>245635.59999999992</v>
      </c>
      <c r="Z301" s="36">
        <f t="shared" si="39"/>
        <v>5003.2000000000007</v>
      </c>
      <c r="AA301">
        <v>14.838730780982447</v>
      </c>
      <c r="AB301" s="33" t="s">
        <v>47</v>
      </c>
    </row>
    <row r="302" spans="1:28" x14ac:dyDescent="0.25">
      <c r="A302">
        <v>5080</v>
      </c>
      <c r="B302">
        <v>18650</v>
      </c>
      <c r="C302" s="1">
        <v>42880</v>
      </c>
      <c r="F302" s="49"/>
      <c r="G302">
        <v>22.7</v>
      </c>
      <c r="H302">
        <v>15.7</v>
      </c>
      <c r="I302">
        <v>28.7</v>
      </c>
      <c r="J302">
        <f t="shared" si="34"/>
        <v>2658.6999999999994</v>
      </c>
      <c r="K302" s="36">
        <f t="shared" si="36"/>
        <v>76.2</v>
      </c>
      <c r="L302" s="8">
        <f>AVERAGE(G299:G319)</f>
        <v>19.966666666666665</v>
      </c>
      <c r="M302">
        <v>0</v>
      </c>
      <c r="N302">
        <v>6.5</v>
      </c>
      <c r="O302">
        <f t="shared" si="31"/>
        <v>-6.5</v>
      </c>
      <c r="P302">
        <f t="shared" si="37"/>
        <v>4.0000000000000018</v>
      </c>
      <c r="Q302">
        <v>248</v>
      </c>
      <c r="R302">
        <f t="shared" si="40"/>
        <v>0.80925925925925912</v>
      </c>
      <c r="S302">
        <f t="shared" si="32"/>
        <v>5.2601851851851844</v>
      </c>
      <c r="T302" s="24">
        <f t="shared" si="33"/>
        <v>-5.2601851851851844</v>
      </c>
      <c r="U302" s="24">
        <f t="shared" si="38"/>
        <v>8.3537037037037098</v>
      </c>
      <c r="V302">
        <v>18</v>
      </c>
      <c r="W302">
        <v>3007.4</v>
      </c>
      <c r="Y302">
        <f t="shared" si="35"/>
        <v>248642.99999999991</v>
      </c>
      <c r="Z302" s="36">
        <f t="shared" si="39"/>
        <v>8010.6</v>
      </c>
      <c r="AA302">
        <v>14.867914043458548</v>
      </c>
      <c r="AB302">
        <f>(AB300/100)/L300</f>
        <v>0.99890054853326971</v>
      </c>
    </row>
    <row r="303" spans="1:28" x14ac:dyDescent="0.25">
      <c r="A303">
        <v>5080</v>
      </c>
      <c r="B303">
        <v>18650</v>
      </c>
      <c r="C303" s="1">
        <v>42881</v>
      </c>
      <c r="F303" s="49"/>
      <c r="G303">
        <v>22.3</v>
      </c>
      <c r="H303">
        <v>18.399999999999999</v>
      </c>
      <c r="I303">
        <v>28.1</v>
      </c>
      <c r="J303">
        <f t="shared" si="34"/>
        <v>2680.9999999999995</v>
      </c>
      <c r="K303" s="36">
        <f t="shared" ref="K303:K333" si="41">K302+G303</f>
        <v>98.5</v>
      </c>
      <c r="L303" s="16" t="s">
        <v>36</v>
      </c>
      <c r="M303">
        <v>0</v>
      </c>
      <c r="N303">
        <v>7.8</v>
      </c>
      <c r="O303">
        <f t="shared" si="31"/>
        <v>-7.8</v>
      </c>
      <c r="P303">
        <v>0</v>
      </c>
      <c r="Q303">
        <v>249</v>
      </c>
      <c r="R303">
        <f t="shared" si="40"/>
        <v>0.7944444444444444</v>
      </c>
      <c r="S303">
        <f t="shared" si="32"/>
        <v>6.1966666666666663</v>
      </c>
      <c r="T303" s="24">
        <f t="shared" si="33"/>
        <v>-6.1966666666666663</v>
      </c>
      <c r="U303" s="24">
        <f t="shared" si="38"/>
        <v>2.1570370370370435</v>
      </c>
      <c r="V303" s="33" t="s">
        <v>43</v>
      </c>
      <c r="W303">
        <v>2772.6</v>
      </c>
      <c r="Y303">
        <f t="shared" si="35"/>
        <v>251415.59999999992</v>
      </c>
      <c r="Z303" s="36">
        <f t="shared" si="39"/>
        <v>10783.2</v>
      </c>
      <c r="AA303">
        <v>14.896233336118936</v>
      </c>
      <c r="AB303" s="33" t="s">
        <v>48</v>
      </c>
    </row>
    <row r="304" spans="1:28" x14ac:dyDescent="0.25">
      <c r="A304">
        <v>5080</v>
      </c>
      <c r="B304">
        <v>18650</v>
      </c>
      <c r="C304" s="1">
        <v>42882</v>
      </c>
      <c r="F304" s="49"/>
      <c r="G304">
        <v>21.5</v>
      </c>
      <c r="H304">
        <v>17.5</v>
      </c>
      <c r="I304">
        <v>25.7</v>
      </c>
      <c r="J304">
        <f t="shared" si="34"/>
        <v>2702.4999999999995</v>
      </c>
      <c r="K304" s="36">
        <f t="shared" si="41"/>
        <v>120</v>
      </c>
      <c r="L304" s="8">
        <f>MIN(H299:H319)</f>
        <v>12.1</v>
      </c>
      <c r="M304">
        <v>0</v>
      </c>
      <c r="N304">
        <v>6.3</v>
      </c>
      <c r="O304">
        <f t="shared" si="31"/>
        <v>-6.3</v>
      </c>
      <c r="P304">
        <v>0</v>
      </c>
      <c r="Q304">
        <v>250</v>
      </c>
      <c r="R304">
        <f t="shared" si="40"/>
        <v>0.77962962962962956</v>
      </c>
      <c r="S304">
        <f t="shared" si="32"/>
        <v>4.9116666666666662</v>
      </c>
      <c r="T304" s="24">
        <f t="shared" si="33"/>
        <v>-4.9116666666666662</v>
      </c>
      <c r="U304" s="24">
        <v>0</v>
      </c>
      <c r="V304">
        <v>0</v>
      </c>
      <c r="W304">
        <v>2600.6999999999998</v>
      </c>
      <c r="Y304">
        <f t="shared" si="35"/>
        <v>254016.29999999993</v>
      </c>
      <c r="Z304" s="36">
        <f t="shared" si="39"/>
        <v>13383.900000000001</v>
      </c>
      <c r="AA304">
        <v>14.923670524328648</v>
      </c>
      <c r="AB304">
        <v>3</v>
      </c>
    </row>
    <row r="305" spans="1:27" x14ac:dyDescent="0.25">
      <c r="A305">
        <v>5080</v>
      </c>
      <c r="B305">
        <v>18650</v>
      </c>
      <c r="C305" s="1">
        <v>42883</v>
      </c>
      <c r="F305" s="49"/>
      <c r="G305">
        <v>22.4</v>
      </c>
      <c r="H305">
        <v>17.3</v>
      </c>
      <c r="I305">
        <v>27.2</v>
      </c>
      <c r="J305">
        <f t="shared" si="34"/>
        <v>2724.8999999999996</v>
      </c>
      <c r="K305" s="36">
        <f t="shared" si="41"/>
        <v>142.4</v>
      </c>
      <c r="L305" s="16" t="s">
        <v>37</v>
      </c>
      <c r="M305">
        <v>0</v>
      </c>
      <c r="N305">
        <v>8.1</v>
      </c>
      <c r="O305">
        <f t="shared" si="31"/>
        <v>-8.1</v>
      </c>
      <c r="P305">
        <v>0</v>
      </c>
      <c r="Q305">
        <v>251</v>
      </c>
      <c r="R305">
        <f t="shared" si="40"/>
        <v>0.76481481481481484</v>
      </c>
      <c r="S305">
        <f t="shared" si="32"/>
        <v>6.1950000000000003</v>
      </c>
      <c r="T305" s="24">
        <f t="shared" si="33"/>
        <v>-6.1950000000000003</v>
      </c>
      <c r="U305" s="24">
        <v>0</v>
      </c>
      <c r="V305" s="33" t="s">
        <v>44</v>
      </c>
      <c r="W305">
        <v>2903.2</v>
      </c>
      <c r="Y305">
        <f t="shared" si="35"/>
        <v>256919.49999999994</v>
      </c>
      <c r="Z305" s="36">
        <f t="shared" si="39"/>
        <v>16287.100000000002</v>
      </c>
      <c r="AA305">
        <v>14.950207727473106</v>
      </c>
    </row>
    <row r="306" spans="1:27" x14ac:dyDescent="0.25">
      <c r="A306">
        <v>5080</v>
      </c>
      <c r="B306">
        <v>18650</v>
      </c>
      <c r="C306" s="1">
        <v>42884</v>
      </c>
      <c r="F306" s="49"/>
      <c r="G306">
        <v>19.8</v>
      </c>
      <c r="H306">
        <v>18.5</v>
      </c>
      <c r="I306">
        <v>22.2</v>
      </c>
      <c r="J306">
        <f t="shared" si="34"/>
        <v>2744.7</v>
      </c>
      <c r="K306" s="36">
        <f t="shared" si="41"/>
        <v>162.20000000000002</v>
      </c>
      <c r="L306" s="8">
        <f>MAX(I299:I319)</f>
        <v>31.7</v>
      </c>
      <c r="M306">
        <v>0.4</v>
      </c>
      <c r="N306">
        <v>2.1</v>
      </c>
      <c r="O306">
        <f t="shared" si="31"/>
        <v>-1.7000000000000002</v>
      </c>
      <c r="P306">
        <v>0</v>
      </c>
      <c r="Q306">
        <v>252</v>
      </c>
      <c r="R306">
        <f t="shared" si="40"/>
        <v>0.75</v>
      </c>
      <c r="S306">
        <f t="shared" si="32"/>
        <v>1.5750000000000002</v>
      </c>
      <c r="T306" s="24">
        <f t="shared" si="33"/>
        <v>-1.1750000000000003</v>
      </c>
      <c r="U306" s="24">
        <v>0</v>
      </c>
      <c r="V306" s="24">
        <f>MAX(U299:U319)</f>
        <v>34.212407407407412</v>
      </c>
      <c r="W306">
        <v>803.1</v>
      </c>
      <c r="Y306">
        <f t="shared" si="35"/>
        <v>257722.59999999995</v>
      </c>
      <c r="Z306" s="36">
        <f t="shared" si="39"/>
        <v>17090.2</v>
      </c>
      <c r="AA306">
        <v>14.975827355640831</v>
      </c>
    </row>
    <row r="307" spans="1:27" x14ac:dyDescent="0.25">
      <c r="A307">
        <v>5080</v>
      </c>
      <c r="B307">
        <v>18650</v>
      </c>
      <c r="C307" s="1">
        <v>42885</v>
      </c>
      <c r="F307" s="49"/>
      <c r="G307">
        <v>18.2</v>
      </c>
      <c r="H307">
        <v>17.399999999999999</v>
      </c>
      <c r="I307">
        <v>19.5</v>
      </c>
      <c r="J307">
        <f t="shared" si="34"/>
        <v>2762.8999999999996</v>
      </c>
      <c r="K307" s="36">
        <f t="shared" si="41"/>
        <v>180.4</v>
      </c>
      <c r="L307" s="16" t="s">
        <v>38</v>
      </c>
      <c r="M307">
        <v>28.5</v>
      </c>
      <c r="N307">
        <v>1.6</v>
      </c>
      <c r="O307">
        <f t="shared" si="31"/>
        <v>26.9</v>
      </c>
      <c r="P307">
        <f t="shared" si="37"/>
        <v>26.9</v>
      </c>
      <c r="Q307">
        <v>253</v>
      </c>
      <c r="R307">
        <f t="shared" si="40"/>
        <v>0.73518518518518516</v>
      </c>
      <c r="S307">
        <f t="shared" si="32"/>
        <v>1.1762962962962964</v>
      </c>
      <c r="T307" s="24">
        <f t="shared" si="33"/>
        <v>27.323703703703703</v>
      </c>
      <c r="U307" s="24">
        <f t="shared" si="38"/>
        <v>27.323703703703703</v>
      </c>
      <c r="V307" s="33" t="s">
        <v>45</v>
      </c>
      <c r="W307">
        <v>977.4</v>
      </c>
      <c r="Y307">
        <f t="shared" si="35"/>
        <v>258699.99999999994</v>
      </c>
      <c r="Z307" s="36">
        <f t="shared" si="39"/>
        <v>18067.600000000002</v>
      </c>
      <c r="AA307">
        <v>15.000512146792543</v>
      </c>
    </row>
    <row r="308" spans="1:27" x14ac:dyDescent="0.25">
      <c r="A308">
        <v>5080</v>
      </c>
      <c r="B308">
        <v>18650</v>
      </c>
      <c r="C308" s="1">
        <v>42886</v>
      </c>
      <c r="F308" s="49"/>
      <c r="G308">
        <v>19</v>
      </c>
      <c r="H308">
        <v>16.399999999999999</v>
      </c>
      <c r="I308">
        <v>22.5</v>
      </c>
      <c r="J308">
        <f t="shared" si="34"/>
        <v>2781.8999999999996</v>
      </c>
      <c r="K308" s="36">
        <f t="shared" si="41"/>
        <v>199.4</v>
      </c>
      <c r="L308" s="8">
        <v>10</v>
      </c>
      <c r="M308">
        <v>7.9</v>
      </c>
      <c r="N308">
        <v>2.7</v>
      </c>
      <c r="O308">
        <f t="shared" si="31"/>
        <v>5.2</v>
      </c>
      <c r="P308">
        <f t="shared" si="37"/>
        <v>32.1</v>
      </c>
      <c r="Q308">
        <v>254</v>
      </c>
      <c r="R308">
        <f t="shared" si="40"/>
        <v>0.72037037037037033</v>
      </c>
      <c r="S308">
        <f t="shared" si="32"/>
        <v>1.9450000000000001</v>
      </c>
      <c r="T308" s="24">
        <f t="shared" si="33"/>
        <v>5.9550000000000001</v>
      </c>
      <c r="U308" s="24">
        <f t="shared" si="38"/>
        <v>33.278703703703705</v>
      </c>
      <c r="V308" s="21">
        <f>AVERAGE(U299:U319)</f>
        <v>19.40141093474427</v>
      </c>
      <c r="W308">
        <v>1307.3</v>
      </c>
      <c r="Y308">
        <f t="shared" si="35"/>
        <v>260007.29999999993</v>
      </c>
      <c r="Z308" s="36">
        <f t="shared" si="39"/>
        <v>19374.900000000001</v>
      </c>
      <c r="AA308">
        <v>15.024245204279522</v>
      </c>
    </row>
    <row r="309" spans="1:27" x14ac:dyDescent="0.25">
      <c r="A309">
        <v>5080</v>
      </c>
      <c r="B309">
        <v>18650</v>
      </c>
      <c r="C309" s="1">
        <v>42887</v>
      </c>
      <c r="F309" s="49"/>
      <c r="G309">
        <v>21.6</v>
      </c>
      <c r="H309">
        <v>16.2</v>
      </c>
      <c r="I309">
        <v>26.3</v>
      </c>
      <c r="J309">
        <f t="shared" si="34"/>
        <v>2803.4999999999995</v>
      </c>
      <c r="K309" s="36">
        <f t="shared" si="41"/>
        <v>221</v>
      </c>
      <c r="L309" s="16" t="s">
        <v>39</v>
      </c>
      <c r="M309">
        <v>0</v>
      </c>
      <c r="N309">
        <v>4.4000000000000004</v>
      </c>
      <c r="O309">
        <f t="shared" si="31"/>
        <v>-4.4000000000000004</v>
      </c>
      <c r="P309">
        <f t="shared" si="37"/>
        <v>27.700000000000003</v>
      </c>
      <c r="Q309">
        <v>255</v>
      </c>
      <c r="R309">
        <f t="shared" si="40"/>
        <v>0.70555555555555549</v>
      </c>
      <c r="S309">
        <f t="shared" si="32"/>
        <v>3.1044444444444443</v>
      </c>
      <c r="T309" s="24">
        <f t="shared" si="33"/>
        <v>-3.1044444444444443</v>
      </c>
      <c r="U309" s="24">
        <f t="shared" si="38"/>
        <v>30.174259259259262</v>
      </c>
      <c r="W309">
        <v>2143</v>
      </c>
      <c r="Y309">
        <f t="shared" si="35"/>
        <v>262150.29999999993</v>
      </c>
      <c r="Z309" s="36">
        <f t="shared" si="39"/>
        <v>21517.9</v>
      </c>
      <c r="AA309">
        <v>15.047010034565849</v>
      </c>
    </row>
    <row r="310" spans="1:27" x14ac:dyDescent="0.25">
      <c r="A310">
        <v>5080</v>
      </c>
      <c r="B310">
        <v>18650</v>
      </c>
      <c r="C310" s="1">
        <v>42888</v>
      </c>
      <c r="F310" s="49"/>
      <c r="G310">
        <v>22.5</v>
      </c>
      <c r="H310">
        <v>17.5</v>
      </c>
      <c r="I310">
        <v>27.3</v>
      </c>
      <c r="J310">
        <f t="shared" si="34"/>
        <v>2825.9999999999995</v>
      </c>
      <c r="K310" s="36">
        <f t="shared" si="41"/>
        <v>243.5</v>
      </c>
      <c r="L310" s="8">
        <v>0</v>
      </c>
      <c r="M310">
        <v>0.1</v>
      </c>
      <c r="N310">
        <v>4.8</v>
      </c>
      <c r="O310">
        <f t="shared" si="31"/>
        <v>-4.7</v>
      </c>
      <c r="P310">
        <f t="shared" si="37"/>
        <v>23.000000000000004</v>
      </c>
      <c r="Q310">
        <v>256</v>
      </c>
      <c r="R310">
        <f t="shared" si="40"/>
        <v>0.69074074074074066</v>
      </c>
      <c r="S310">
        <f t="shared" si="32"/>
        <v>3.3155555555555551</v>
      </c>
      <c r="T310" s="24">
        <f t="shared" si="33"/>
        <v>-3.2155555555555551</v>
      </c>
      <c r="U310" s="24">
        <f t="shared" si="38"/>
        <v>26.958703703703708</v>
      </c>
      <c r="V310" s="8">
        <f>(V308*100)/155.7</f>
        <v>12.460764890651426</v>
      </c>
      <c r="W310">
        <v>2334.1</v>
      </c>
      <c r="Y310">
        <f t="shared" si="35"/>
        <v>264484.39999999991</v>
      </c>
      <c r="Z310" s="36">
        <f t="shared" si="39"/>
        <v>23852</v>
      </c>
      <c r="AA310">
        <v>15.068790585001612</v>
      </c>
    </row>
    <row r="311" spans="1:27" x14ac:dyDescent="0.25">
      <c r="A311">
        <v>5080</v>
      </c>
      <c r="B311">
        <v>18650</v>
      </c>
      <c r="C311" s="1">
        <v>42889</v>
      </c>
      <c r="F311" s="49"/>
      <c r="G311">
        <v>17.5</v>
      </c>
      <c r="H311">
        <v>17.100000000000001</v>
      </c>
      <c r="I311">
        <v>18.3</v>
      </c>
      <c r="J311">
        <f t="shared" si="34"/>
        <v>2843.4999999999995</v>
      </c>
      <c r="K311" s="36">
        <f t="shared" si="41"/>
        <v>261</v>
      </c>
      <c r="L311" s="16" t="s">
        <v>40</v>
      </c>
      <c r="M311">
        <v>8.1999999999999993</v>
      </c>
      <c r="N311">
        <v>1.4</v>
      </c>
      <c r="O311">
        <f t="shared" si="31"/>
        <v>6.7999999999999989</v>
      </c>
      <c r="P311">
        <f t="shared" si="37"/>
        <v>29.800000000000004</v>
      </c>
      <c r="Q311">
        <v>257</v>
      </c>
      <c r="R311">
        <f t="shared" si="40"/>
        <v>0.67592592592592593</v>
      </c>
      <c r="S311">
        <f t="shared" si="32"/>
        <v>0.94629629629629619</v>
      </c>
      <c r="T311" s="24">
        <f t="shared" si="33"/>
        <v>7.2537037037037031</v>
      </c>
      <c r="U311" s="24">
        <f>MIN(U310+T311,155.7)</f>
        <v>34.212407407407412</v>
      </c>
      <c r="W311">
        <v>610.70000000000005</v>
      </c>
      <c r="Y311">
        <f t="shared" si="35"/>
        <v>265095.09999999992</v>
      </c>
      <c r="Z311" s="36">
        <f t="shared" si="39"/>
        <v>24462.7</v>
      </c>
      <c r="AA311">
        <v>15.089571281487329</v>
      </c>
    </row>
    <row r="312" spans="1:27" x14ac:dyDescent="0.25">
      <c r="A312">
        <v>5080</v>
      </c>
      <c r="B312">
        <v>18650</v>
      </c>
      <c r="C312" s="1">
        <v>42890</v>
      </c>
      <c r="F312" s="49"/>
      <c r="G312">
        <v>15.6</v>
      </c>
      <c r="H312">
        <v>14</v>
      </c>
      <c r="I312">
        <v>17.7</v>
      </c>
      <c r="J312">
        <f t="shared" si="34"/>
        <v>2859.0999999999995</v>
      </c>
      <c r="K312" s="36">
        <f t="shared" si="41"/>
        <v>276.60000000000002</v>
      </c>
      <c r="L312" s="8">
        <v>0</v>
      </c>
      <c r="M312">
        <v>0</v>
      </c>
      <c r="N312">
        <v>3</v>
      </c>
      <c r="O312">
        <f t="shared" ref="O312:O333" si="42">M312-N312</f>
        <v>-3</v>
      </c>
      <c r="P312">
        <f t="shared" si="37"/>
        <v>26.800000000000004</v>
      </c>
      <c r="Q312">
        <v>258</v>
      </c>
      <c r="R312">
        <f t="shared" si="40"/>
        <v>0.66111111111111098</v>
      </c>
      <c r="S312">
        <f t="shared" ref="S312:S333" si="43">R312*N312</f>
        <v>1.9833333333333329</v>
      </c>
      <c r="T312" s="24">
        <f t="shared" ref="T312:T333" si="44">M312-S312</f>
        <v>-1.9833333333333329</v>
      </c>
      <c r="U312" s="24">
        <f t="shared" si="38"/>
        <v>32.229074074074077</v>
      </c>
      <c r="W312">
        <v>1819.6</v>
      </c>
      <c r="Y312">
        <f t="shared" si="35"/>
        <v>266914.6999999999</v>
      </c>
      <c r="Z312" s="36">
        <f t="shared" si="39"/>
        <v>26282.3</v>
      </c>
      <c r="AA312">
        <v>15.109337065864013</v>
      </c>
    </row>
    <row r="313" spans="1:27" x14ac:dyDescent="0.25">
      <c r="A313">
        <v>5080</v>
      </c>
      <c r="B313">
        <v>18650</v>
      </c>
      <c r="C313" s="1">
        <v>42891</v>
      </c>
      <c r="F313" s="49"/>
      <c r="G313">
        <v>17.399999999999999</v>
      </c>
      <c r="H313">
        <v>13.7</v>
      </c>
      <c r="I313">
        <v>21.7</v>
      </c>
      <c r="J313">
        <f t="shared" ref="J313:J333" si="45">J312+G313</f>
        <v>2876.4999999999995</v>
      </c>
      <c r="K313" s="36">
        <f t="shared" si="41"/>
        <v>294</v>
      </c>
      <c r="M313">
        <v>0.2</v>
      </c>
      <c r="N313">
        <v>3.7</v>
      </c>
      <c r="O313">
        <f t="shared" si="42"/>
        <v>-3.5</v>
      </c>
      <c r="P313">
        <f t="shared" si="37"/>
        <v>23.300000000000004</v>
      </c>
      <c r="Q313">
        <v>259</v>
      </c>
      <c r="R313">
        <f t="shared" si="40"/>
        <v>0.64629629629629626</v>
      </c>
      <c r="S313">
        <f t="shared" si="43"/>
        <v>2.3912962962962965</v>
      </c>
      <c r="T313" s="24">
        <f t="shared" si="44"/>
        <v>-2.1912962962962963</v>
      </c>
      <c r="U313" s="24">
        <f t="shared" si="38"/>
        <v>30.03777777777778</v>
      </c>
      <c r="W313">
        <v>1782.2</v>
      </c>
      <c r="Y313">
        <f t="shared" ref="Y313:Y333" si="46">Y312+W313</f>
        <v>268696.89999999991</v>
      </c>
      <c r="Z313" s="36">
        <f t="shared" si="39"/>
        <v>28064.5</v>
      </c>
      <c r="AA313">
        <v>15.128073432858303</v>
      </c>
    </row>
    <row r="314" spans="1:27" x14ac:dyDescent="0.25">
      <c r="A314">
        <v>5080</v>
      </c>
      <c r="B314">
        <v>18650</v>
      </c>
      <c r="C314" s="1">
        <v>42892</v>
      </c>
      <c r="F314" s="49"/>
      <c r="G314">
        <v>17.2</v>
      </c>
      <c r="H314">
        <v>14.5</v>
      </c>
      <c r="I314">
        <v>20.100000000000001</v>
      </c>
      <c r="J314">
        <f t="shared" si="45"/>
        <v>2893.6999999999994</v>
      </c>
      <c r="K314" s="36">
        <f t="shared" si="41"/>
        <v>311.2</v>
      </c>
      <c r="M314">
        <v>0</v>
      </c>
      <c r="N314">
        <v>4.4000000000000004</v>
      </c>
      <c r="O314">
        <f t="shared" si="42"/>
        <v>-4.4000000000000004</v>
      </c>
      <c r="P314">
        <f t="shared" si="37"/>
        <v>18.900000000000006</v>
      </c>
      <c r="Q314">
        <v>260</v>
      </c>
      <c r="R314">
        <f t="shared" si="40"/>
        <v>0.63148148148148142</v>
      </c>
      <c r="S314">
        <f t="shared" si="43"/>
        <v>2.7785185185185184</v>
      </c>
      <c r="T314" s="24">
        <f t="shared" si="44"/>
        <v>-2.7785185185185184</v>
      </c>
      <c r="U314" s="24">
        <f t="shared" si="38"/>
        <v>27.259259259259263</v>
      </c>
      <c r="W314">
        <v>1989.9</v>
      </c>
      <c r="Y314">
        <f t="shared" si="46"/>
        <v>270686.79999999993</v>
      </c>
      <c r="Z314" s="36">
        <f t="shared" si="39"/>
        <v>30054.400000000001</v>
      </c>
      <c r="AA314">
        <v>15.145766466408455</v>
      </c>
    </row>
    <row r="315" spans="1:27" x14ac:dyDescent="0.25">
      <c r="A315">
        <v>5080</v>
      </c>
      <c r="B315">
        <v>18650</v>
      </c>
      <c r="C315" s="1">
        <v>42893</v>
      </c>
      <c r="F315" s="49"/>
      <c r="G315">
        <v>17</v>
      </c>
      <c r="H315">
        <v>12.1</v>
      </c>
      <c r="I315">
        <v>20.7</v>
      </c>
      <c r="J315">
        <f t="shared" si="45"/>
        <v>2910.6999999999994</v>
      </c>
      <c r="K315" s="36">
        <f t="shared" si="41"/>
        <v>328.2</v>
      </c>
      <c r="M315">
        <v>0</v>
      </c>
      <c r="N315">
        <v>4.2</v>
      </c>
      <c r="O315">
        <f t="shared" si="42"/>
        <v>-4.2</v>
      </c>
      <c r="P315">
        <f t="shared" si="37"/>
        <v>14.700000000000006</v>
      </c>
      <c r="Q315">
        <v>261</v>
      </c>
      <c r="R315">
        <f t="shared" si="40"/>
        <v>0.6166666666666667</v>
      </c>
      <c r="S315">
        <f t="shared" si="43"/>
        <v>2.5900000000000003</v>
      </c>
      <c r="T315" s="24">
        <f t="shared" si="44"/>
        <v>-2.5900000000000003</v>
      </c>
      <c r="U315" s="24">
        <f t="shared" si="38"/>
        <v>24.669259259259263</v>
      </c>
      <c r="W315">
        <v>2109</v>
      </c>
      <c r="Y315">
        <f t="shared" si="46"/>
        <v>272795.79999999993</v>
      </c>
      <c r="Z315" s="36">
        <f t="shared" si="39"/>
        <v>32163.4</v>
      </c>
      <c r="AA315">
        <v>15.162402875194305</v>
      </c>
    </row>
    <row r="316" spans="1:27" x14ac:dyDescent="0.25">
      <c r="A316">
        <v>5080</v>
      </c>
      <c r="B316">
        <v>18650</v>
      </c>
      <c r="C316" s="1">
        <v>42894</v>
      </c>
      <c r="F316" s="49"/>
      <c r="G316">
        <v>20.9</v>
      </c>
      <c r="H316">
        <v>14.5</v>
      </c>
      <c r="I316">
        <v>27.9</v>
      </c>
      <c r="J316">
        <f t="shared" si="45"/>
        <v>2931.5999999999995</v>
      </c>
      <c r="K316" s="36">
        <f t="shared" si="41"/>
        <v>349.09999999999997</v>
      </c>
      <c r="M316">
        <v>3.8</v>
      </c>
      <c r="N316">
        <v>6.9</v>
      </c>
      <c r="O316">
        <f t="shared" si="42"/>
        <v>-3.1000000000000005</v>
      </c>
      <c r="P316">
        <f t="shared" si="37"/>
        <v>11.600000000000005</v>
      </c>
      <c r="Q316">
        <v>262</v>
      </c>
      <c r="R316">
        <f t="shared" si="40"/>
        <v>0.60185185185185175</v>
      </c>
      <c r="S316">
        <f t="shared" si="43"/>
        <v>4.1527777777777777</v>
      </c>
      <c r="T316" s="24">
        <f t="shared" si="44"/>
        <v>-0.35277777777777786</v>
      </c>
      <c r="U316" s="24">
        <f t="shared" si="38"/>
        <v>24.316481481481485</v>
      </c>
      <c r="W316">
        <v>2874.2</v>
      </c>
      <c r="Y316">
        <f t="shared" si="46"/>
        <v>275669.99999999994</v>
      </c>
      <c r="Z316" s="36">
        <f t="shared" si="39"/>
        <v>35037.599999999999</v>
      </c>
      <c r="AA316">
        <v>15.177970027193146</v>
      </c>
    </row>
    <row r="317" spans="1:27" x14ac:dyDescent="0.25">
      <c r="A317">
        <v>5080</v>
      </c>
      <c r="B317">
        <v>18650</v>
      </c>
      <c r="C317" s="1">
        <v>42895</v>
      </c>
      <c r="F317" s="49"/>
      <c r="G317">
        <v>20.399999999999999</v>
      </c>
      <c r="H317">
        <v>17.600000000000001</v>
      </c>
      <c r="I317">
        <v>23.3</v>
      </c>
      <c r="J317">
        <f t="shared" si="45"/>
        <v>2951.9999999999995</v>
      </c>
      <c r="K317" s="36">
        <f t="shared" si="41"/>
        <v>369.49999999999994</v>
      </c>
      <c r="M317">
        <v>0</v>
      </c>
      <c r="N317">
        <v>2.8</v>
      </c>
      <c r="O317">
        <f t="shared" si="42"/>
        <v>-2.8</v>
      </c>
      <c r="P317">
        <f t="shared" si="37"/>
        <v>8.8000000000000043</v>
      </c>
      <c r="Q317">
        <v>263</v>
      </c>
      <c r="R317">
        <f t="shared" si="40"/>
        <v>0.58703703703703702</v>
      </c>
      <c r="S317">
        <f t="shared" si="43"/>
        <v>1.6437037037037037</v>
      </c>
      <c r="T317" s="24">
        <f t="shared" si="44"/>
        <v>-1.6437037037037037</v>
      </c>
      <c r="U317" s="24">
        <f t="shared" si="38"/>
        <v>22.672777777777782</v>
      </c>
      <c r="W317">
        <v>1214.4000000000001</v>
      </c>
      <c r="Y317">
        <f t="shared" si="46"/>
        <v>276884.39999999997</v>
      </c>
      <c r="Z317" s="36">
        <f t="shared" si="39"/>
        <v>36252</v>
      </c>
      <c r="AA317">
        <v>15.192455983083569</v>
      </c>
    </row>
    <row r="318" spans="1:27" x14ac:dyDescent="0.25">
      <c r="A318">
        <v>5080</v>
      </c>
      <c r="B318">
        <v>18650</v>
      </c>
      <c r="C318" s="1">
        <v>42896</v>
      </c>
      <c r="F318" s="49"/>
      <c r="G318">
        <v>24.1</v>
      </c>
      <c r="H318">
        <v>18.399999999999999</v>
      </c>
      <c r="I318">
        <v>29.3</v>
      </c>
      <c r="J318">
        <f t="shared" si="45"/>
        <v>2976.0999999999995</v>
      </c>
      <c r="K318" s="36">
        <f t="shared" si="41"/>
        <v>393.59999999999997</v>
      </c>
      <c r="M318">
        <v>0</v>
      </c>
      <c r="N318">
        <v>7</v>
      </c>
      <c r="O318">
        <f t="shared" si="42"/>
        <v>-7</v>
      </c>
      <c r="P318">
        <f t="shared" si="37"/>
        <v>1.8000000000000043</v>
      </c>
      <c r="Q318">
        <v>264</v>
      </c>
      <c r="R318">
        <f t="shared" si="40"/>
        <v>0.57222222222222219</v>
      </c>
      <c r="S318">
        <f t="shared" si="43"/>
        <v>4.0055555555555555</v>
      </c>
      <c r="T318" s="24">
        <f t="shared" si="44"/>
        <v>-4.0055555555555555</v>
      </c>
      <c r="U318" s="24">
        <f t="shared" si="38"/>
        <v>18.667222222222225</v>
      </c>
      <c r="W318">
        <v>3140</v>
      </c>
      <c r="Y318">
        <f t="shared" si="46"/>
        <v>280024.39999999997</v>
      </c>
      <c r="Z318" s="36">
        <f t="shared" si="39"/>
        <v>39392</v>
      </c>
      <c r="AA318">
        <v>15.205849528320817</v>
      </c>
    </row>
    <row r="319" spans="1:27" s="25" customFormat="1" ht="15.75" thickBot="1" x14ac:dyDescent="0.3">
      <c r="A319" s="25">
        <v>5080</v>
      </c>
      <c r="B319" s="25">
        <v>18650</v>
      </c>
      <c r="C319" s="26">
        <v>42897</v>
      </c>
      <c r="F319" s="49"/>
      <c r="G319" s="25">
        <v>25.7</v>
      </c>
      <c r="H319" s="25">
        <v>19.600000000000001</v>
      </c>
      <c r="I319" s="25">
        <v>31.7</v>
      </c>
      <c r="J319" s="25">
        <f t="shared" si="45"/>
        <v>3001.7999999999993</v>
      </c>
      <c r="K319" s="25">
        <f t="shared" si="41"/>
        <v>419.29999999999995</v>
      </c>
      <c r="L319" s="27"/>
      <c r="M319" s="25">
        <v>0</v>
      </c>
      <c r="N319" s="25">
        <v>6.1</v>
      </c>
      <c r="O319" s="25">
        <f t="shared" si="42"/>
        <v>-6.1</v>
      </c>
      <c r="P319" s="25">
        <v>0</v>
      </c>
      <c r="Q319" s="25">
        <v>265</v>
      </c>
      <c r="R319" s="25">
        <f t="shared" si="40"/>
        <v>0.55740740740740735</v>
      </c>
      <c r="S319" s="25">
        <f t="shared" si="43"/>
        <v>3.4001851851851845</v>
      </c>
      <c r="T319" s="28">
        <f t="shared" si="44"/>
        <v>-3.4001851851851845</v>
      </c>
      <c r="U319" s="24">
        <f t="shared" si="38"/>
        <v>15.26703703703704</v>
      </c>
      <c r="V319" s="27"/>
      <c r="W319" s="25">
        <v>2491.9</v>
      </c>
      <c r="Y319" s="25">
        <f t="shared" si="46"/>
        <v>282516.3</v>
      </c>
      <c r="Z319" s="25">
        <f t="shared" si="39"/>
        <v>41883.9</v>
      </c>
      <c r="AA319" s="25">
        <v>15.218140203710394</v>
      </c>
    </row>
    <row r="320" spans="1:27" s="36" customFormat="1" x14ac:dyDescent="0.25">
      <c r="A320" s="36">
        <v>5080</v>
      </c>
      <c r="B320" s="36">
        <v>18650</v>
      </c>
      <c r="C320" s="37">
        <v>42898</v>
      </c>
      <c r="D320" s="15"/>
      <c r="E320" s="15"/>
      <c r="F320" s="15"/>
      <c r="G320" s="36">
        <v>22.6</v>
      </c>
      <c r="H320" s="36">
        <v>18.7</v>
      </c>
      <c r="I320" s="36">
        <v>26.2</v>
      </c>
      <c r="J320" s="36">
        <f t="shared" si="45"/>
        <v>3024.3999999999992</v>
      </c>
      <c r="K320" s="36">
        <f t="shared" si="41"/>
        <v>441.9</v>
      </c>
      <c r="M320" s="36">
        <v>0</v>
      </c>
      <c r="N320" s="36">
        <v>3.9</v>
      </c>
      <c r="O320" s="36">
        <f t="shared" si="42"/>
        <v>-3.9</v>
      </c>
      <c r="P320" s="36">
        <v>0</v>
      </c>
      <c r="Q320" s="36">
        <v>266</v>
      </c>
      <c r="R320">
        <f t="shared" si="40"/>
        <v>0.54259259259259252</v>
      </c>
      <c r="S320" s="36">
        <f t="shared" si="43"/>
        <v>2.1161111111111106</v>
      </c>
      <c r="T320" s="38">
        <f t="shared" si="44"/>
        <v>-2.1161111111111106</v>
      </c>
      <c r="U320" s="24">
        <f t="shared" si="38"/>
        <v>13.150925925925929</v>
      </c>
      <c r="W320" s="36">
        <v>1551.6</v>
      </c>
      <c r="Y320" s="36">
        <f t="shared" si="46"/>
        <v>284067.89999999997</v>
      </c>
      <c r="Z320" s="36">
        <f t="shared" si="39"/>
        <v>43435.5</v>
      </c>
      <c r="AA320" s="36">
        <v>15.229318334311062</v>
      </c>
    </row>
    <row r="321" spans="1:27" x14ac:dyDescent="0.25">
      <c r="A321">
        <v>5080</v>
      </c>
      <c r="B321">
        <v>18650</v>
      </c>
      <c r="C321" s="1">
        <v>42899</v>
      </c>
      <c r="G321">
        <v>26.5</v>
      </c>
      <c r="H321">
        <v>20.8</v>
      </c>
      <c r="I321">
        <v>31.3</v>
      </c>
      <c r="J321">
        <f t="shared" si="45"/>
        <v>3050.8999999999992</v>
      </c>
      <c r="K321" s="36">
        <f t="shared" si="41"/>
        <v>468.4</v>
      </c>
      <c r="M321">
        <v>0</v>
      </c>
      <c r="N321">
        <v>5.7</v>
      </c>
      <c r="O321">
        <f t="shared" si="42"/>
        <v>-5.7</v>
      </c>
      <c r="P321">
        <v>0</v>
      </c>
      <c r="Q321">
        <v>267</v>
      </c>
      <c r="R321">
        <f t="shared" si="40"/>
        <v>0.52777777777777768</v>
      </c>
      <c r="S321">
        <f t="shared" si="43"/>
        <v>3.0083333333333329</v>
      </c>
      <c r="T321" s="24">
        <f t="shared" si="44"/>
        <v>-3.0083333333333329</v>
      </c>
      <c r="U321" s="24">
        <f t="shared" si="38"/>
        <v>10.142592592592596</v>
      </c>
      <c r="W321">
        <v>2521.1</v>
      </c>
      <c r="Y321">
        <f t="shared" si="46"/>
        <v>286588.99999999994</v>
      </c>
      <c r="Z321" s="36">
        <f t="shared" si="39"/>
        <v>45956.6</v>
      </c>
      <c r="AA321">
        <v>15.239375056504585</v>
      </c>
    </row>
    <row r="322" spans="1:27" x14ac:dyDescent="0.25">
      <c r="A322">
        <v>5080</v>
      </c>
      <c r="B322">
        <v>18650</v>
      </c>
      <c r="C322" s="1">
        <v>42900</v>
      </c>
      <c r="G322">
        <v>27.4</v>
      </c>
      <c r="H322">
        <v>21.7</v>
      </c>
      <c r="I322">
        <v>32.299999999999997</v>
      </c>
      <c r="J322">
        <f t="shared" si="45"/>
        <v>3078.2999999999993</v>
      </c>
      <c r="K322" s="36">
        <f t="shared" si="41"/>
        <v>495.79999999999995</v>
      </c>
      <c r="M322">
        <v>0</v>
      </c>
      <c r="N322">
        <v>6.7</v>
      </c>
      <c r="O322">
        <f t="shared" si="42"/>
        <v>-6.7</v>
      </c>
      <c r="P322">
        <v>0</v>
      </c>
      <c r="Q322">
        <v>268</v>
      </c>
      <c r="R322">
        <f t="shared" si="40"/>
        <v>0.51296296296296295</v>
      </c>
      <c r="S322">
        <f t="shared" si="43"/>
        <v>3.436851851851852</v>
      </c>
      <c r="T322" s="24">
        <f t="shared" si="44"/>
        <v>-3.436851851851852</v>
      </c>
      <c r="U322" s="24">
        <f t="shared" ref="U322:U323" si="47">MIN(U321+T322,155.7)</f>
        <v>6.7057407407407439</v>
      </c>
      <c r="W322">
        <v>2718.1</v>
      </c>
      <c r="Y322">
        <f t="shared" si="46"/>
        <v>289307.09999999992</v>
      </c>
      <c r="Z322" s="36">
        <f t="shared" si="39"/>
        <v>48674.7</v>
      </c>
      <c r="AA322">
        <v>15.248302343077114</v>
      </c>
    </row>
    <row r="323" spans="1:27" x14ac:dyDescent="0.25">
      <c r="A323">
        <v>5080</v>
      </c>
      <c r="B323">
        <v>18650</v>
      </c>
      <c r="C323" s="1">
        <v>42901</v>
      </c>
      <c r="G323">
        <v>23.1</v>
      </c>
      <c r="H323">
        <v>19.2</v>
      </c>
      <c r="I323">
        <v>26.9</v>
      </c>
      <c r="J323">
        <f t="shared" si="45"/>
        <v>3101.3999999999992</v>
      </c>
      <c r="K323" s="36">
        <f t="shared" si="41"/>
        <v>518.9</v>
      </c>
      <c r="M323">
        <v>0</v>
      </c>
      <c r="N323">
        <v>3.2</v>
      </c>
      <c r="O323">
        <f t="shared" si="42"/>
        <v>-3.2</v>
      </c>
      <c r="P323">
        <v>0</v>
      </c>
      <c r="Q323">
        <v>269</v>
      </c>
      <c r="R323">
        <f t="shared" si="40"/>
        <v>0.49814814814814812</v>
      </c>
      <c r="S323">
        <f t="shared" si="43"/>
        <v>1.594074074074074</v>
      </c>
      <c r="T323" s="24">
        <f t="shared" si="44"/>
        <v>-1.594074074074074</v>
      </c>
      <c r="U323" s="24">
        <f t="shared" si="47"/>
        <v>5.1116666666666699</v>
      </c>
      <c r="W323">
        <v>877.3</v>
      </c>
      <c r="Y323">
        <f t="shared" si="46"/>
        <v>290184.39999999991</v>
      </c>
      <c r="Z323" s="36">
        <f t="shared" si="39"/>
        <v>49552</v>
      </c>
      <c r="AA323">
        <v>15.256093026166161</v>
      </c>
    </row>
    <row r="324" spans="1:27" x14ac:dyDescent="0.25">
      <c r="A324">
        <v>5080</v>
      </c>
      <c r="B324">
        <v>18650</v>
      </c>
      <c r="C324" s="1">
        <v>42902</v>
      </c>
      <c r="G324">
        <v>23.4</v>
      </c>
      <c r="H324">
        <v>19.399999999999999</v>
      </c>
      <c r="I324">
        <v>27.7</v>
      </c>
      <c r="J324">
        <f t="shared" si="45"/>
        <v>3124.7999999999993</v>
      </c>
      <c r="K324" s="36">
        <f t="shared" si="41"/>
        <v>542.29999999999995</v>
      </c>
      <c r="M324">
        <v>0</v>
      </c>
      <c r="N324">
        <v>6.8</v>
      </c>
      <c r="O324">
        <f t="shared" si="42"/>
        <v>-6.8</v>
      </c>
      <c r="P324">
        <v>0</v>
      </c>
      <c r="Q324">
        <v>270</v>
      </c>
      <c r="R324">
        <f t="shared" si="40"/>
        <v>0.48333333333333328</v>
      </c>
      <c r="S324">
        <f t="shared" si="43"/>
        <v>3.2866666666666662</v>
      </c>
      <c r="T324" s="24">
        <f t="shared" si="44"/>
        <v>-3.2866666666666662</v>
      </c>
      <c r="U324" s="24">
        <f>MIN(U323+T324,155.7)</f>
        <v>1.8250000000000037</v>
      </c>
      <c r="W324">
        <v>2430.5</v>
      </c>
      <c r="Y324">
        <f t="shared" si="46"/>
        <v>292614.89999999991</v>
      </c>
      <c r="Z324" s="36">
        <f t="shared" si="39"/>
        <v>51982.5</v>
      </c>
      <c r="AA324">
        <v>15.262740817937626</v>
      </c>
    </row>
    <row r="325" spans="1:27" x14ac:dyDescent="0.25">
      <c r="A325">
        <v>5080</v>
      </c>
      <c r="B325">
        <v>18650</v>
      </c>
      <c r="C325" s="1">
        <v>42903</v>
      </c>
      <c r="G325">
        <v>24.4</v>
      </c>
      <c r="H325">
        <v>18.5</v>
      </c>
      <c r="I325">
        <v>29.9</v>
      </c>
      <c r="J325">
        <f t="shared" si="45"/>
        <v>3149.1999999999994</v>
      </c>
      <c r="K325" s="36">
        <f t="shared" si="41"/>
        <v>566.69999999999993</v>
      </c>
      <c r="M325">
        <v>0</v>
      </c>
      <c r="N325">
        <v>8</v>
      </c>
      <c r="O325">
        <f t="shared" si="42"/>
        <v>-8</v>
      </c>
      <c r="P325">
        <v>0</v>
      </c>
      <c r="Q325">
        <v>271</v>
      </c>
      <c r="R325">
        <f t="shared" si="40"/>
        <v>0.46851851851851845</v>
      </c>
      <c r="S325">
        <f t="shared" si="43"/>
        <v>3.7481481481481476</v>
      </c>
      <c r="T325" s="24">
        <f t="shared" si="44"/>
        <v>-3.7481481481481476</v>
      </c>
      <c r="U325" s="24">
        <v>0</v>
      </c>
      <c r="W325">
        <v>3298.8</v>
      </c>
      <c r="Y325">
        <f t="shared" si="46"/>
        <v>295913.6999999999</v>
      </c>
      <c r="Z325" s="36">
        <f t="shared" si="39"/>
        <v>55281.3</v>
      </c>
      <c r="AA325">
        <v>15.268240328869252</v>
      </c>
    </row>
    <row r="326" spans="1:27" x14ac:dyDescent="0.25">
      <c r="A326">
        <v>5080</v>
      </c>
      <c r="B326">
        <v>18650</v>
      </c>
      <c r="C326" s="1">
        <v>42904</v>
      </c>
      <c r="G326">
        <v>25.3</v>
      </c>
      <c r="H326">
        <v>19.7</v>
      </c>
      <c r="I326">
        <v>31.1</v>
      </c>
      <c r="J326">
        <f t="shared" si="45"/>
        <v>3174.4999999999995</v>
      </c>
      <c r="K326" s="36">
        <f t="shared" si="41"/>
        <v>591.99999999999989</v>
      </c>
      <c r="M326">
        <v>0</v>
      </c>
      <c r="N326">
        <v>8.1999999999999993</v>
      </c>
      <c r="O326">
        <f t="shared" si="42"/>
        <v>-8.1999999999999993</v>
      </c>
      <c r="P326">
        <v>0</v>
      </c>
      <c r="Q326">
        <v>272</v>
      </c>
      <c r="R326">
        <f t="shared" si="40"/>
        <v>0.45370370370370372</v>
      </c>
      <c r="S326">
        <f t="shared" si="43"/>
        <v>3.7203703703703703</v>
      </c>
      <c r="T326" s="24">
        <f t="shared" si="44"/>
        <v>-3.7203703703703703</v>
      </c>
      <c r="U326" s="24">
        <v>0</v>
      </c>
      <c r="W326">
        <v>3299</v>
      </c>
      <c r="Y326">
        <f t="shared" si="46"/>
        <v>299212.6999999999</v>
      </c>
      <c r="Z326" s="36">
        <f t="shared" si="39"/>
        <v>58580.3</v>
      </c>
      <c r="AA326">
        <v>15.27258708352981</v>
      </c>
    </row>
    <row r="327" spans="1:27" x14ac:dyDescent="0.25">
      <c r="A327">
        <v>5080</v>
      </c>
      <c r="B327">
        <v>18650</v>
      </c>
      <c r="C327" s="1">
        <v>42905</v>
      </c>
      <c r="G327">
        <v>26</v>
      </c>
      <c r="H327">
        <v>20.5</v>
      </c>
      <c r="I327">
        <v>30.5</v>
      </c>
      <c r="J327">
        <f t="shared" si="45"/>
        <v>3200.4999999999995</v>
      </c>
      <c r="K327" s="36">
        <f t="shared" si="41"/>
        <v>617.99999999999989</v>
      </c>
      <c r="M327">
        <v>0</v>
      </c>
      <c r="N327">
        <v>8.8000000000000007</v>
      </c>
      <c r="O327">
        <f t="shared" si="42"/>
        <v>-8.8000000000000007</v>
      </c>
      <c r="P327">
        <v>0</v>
      </c>
      <c r="Q327">
        <v>273</v>
      </c>
      <c r="R327">
        <f t="shared" si="40"/>
        <v>0.43888888888888888</v>
      </c>
      <c r="S327">
        <f t="shared" si="43"/>
        <v>3.8622222222222224</v>
      </c>
      <c r="T327" s="24">
        <f t="shared" si="44"/>
        <v>-3.8622222222222224</v>
      </c>
      <c r="U327" s="24">
        <v>0</v>
      </c>
      <c r="W327">
        <v>3263.4</v>
      </c>
      <c r="Y327">
        <f t="shared" si="46"/>
        <v>302476.09999999992</v>
      </c>
      <c r="Z327" s="36">
        <f t="shared" si="39"/>
        <v>61843.700000000004</v>
      </c>
      <c r="AA327">
        <v>15.27577753375772</v>
      </c>
    </row>
    <row r="328" spans="1:27" x14ac:dyDescent="0.25">
      <c r="A328">
        <v>5080</v>
      </c>
      <c r="B328">
        <v>18650</v>
      </c>
      <c r="C328" s="1">
        <v>42906</v>
      </c>
      <c r="G328">
        <v>27.6</v>
      </c>
      <c r="H328">
        <v>22.8</v>
      </c>
      <c r="I328">
        <v>32.5</v>
      </c>
      <c r="J328">
        <f t="shared" si="45"/>
        <v>3228.0999999999995</v>
      </c>
      <c r="K328" s="36">
        <f t="shared" si="41"/>
        <v>645.59999999999991</v>
      </c>
      <c r="M328">
        <v>0</v>
      </c>
      <c r="N328">
        <v>7.2</v>
      </c>
      <c r="O328">
        <f t="shared" si="42"/>
        <v>-7.2</v>
      </c>
      <c r="P328">
        <v>0</v>
      </c>
      <c r="Q328">
        <v>274</v>
      </c>
      <c r="R328">
        <f t="shared" si="40"/>
        <v>0.42407407407407405</v>
      </c>
      <c r="S328">
        <f t="shared" si="43"/>
        <v>3.0533333333333332</v>
      </c>
      <c r="T328" s="24">
        <f t="shared" si="44"/>
        <v>-3.0533333333333332</v>
      </c>
      <c r="U328" s="24">
        <v>0</v>
      </c>
      <c r="W328">
        <v>2650.5</v>
      </c>
      <c r="Y328">
        <f t="shared" si="46"/>
        <v>305126.59999999992</v>
      </c>
      <c r="Z328" s="36">
        <f t="shared" si="39"/>
        <v>64494.200000000004</v>
      </c>
      <c r="AA328">
        <v>15.277809069157978</v>
      </c>
    </row>
    <row r="329" spans="1:27" x14ac:dyDescent="0.25">
      <c r="A329">
        <v>5080</v>
      </c>
      <c r="B329">
        <v>18650</v>
      </c>
      <c r="C329" s="1">
        <v>42907</v>
      </c>
      <c r="G329">
        <v>28.5</v>
      </c>
      <c r="H329">
        <v>22.4</v>
      </c>
      <c r="I329">
        <v>34.299999999999997</v>
      </c>
      <c r="J329">
        <f t="shared" si="45"/>
        <v>3256.5999999999995</v>
      </c>
      <c r="K329" s="36">
        <f t="shared" si="41"/>
        <v>674.09999999999991</v>
      </c>
      <c r="M329">
        <v>0</v>
      </c>
      <c r="N329">
        <v>8.1999999999999993</v>
      </c>
      <c r="O329">
        <f t="shared" si="42"/>
        <v>-8.1999999999999993</v>
      </c>
      <c r="P329">
        <v>0</v>
      </c>
      <c r="Q329">
        <v>275</v>
      </c>
      <c r="R329">
        <f t="shared" si="40"/>
        <v>0.40925925925925921</v>
      </c>
      <c r="S329">
        <f t="shared" si="43"/>
        <v>3.3559259259259253</v>
      </c>
      <c r="T329" s="24">
        <f t="shared" si="44"/>
        <v>-3.3559259259259253</v>
      </c>
      <c r="U329" s="24">
        <v>0</v>
      </c>
      <c r="W329">
        <v>3234.9</v>
      </c>
      <c r="Y329">
        <f t="shared" si="46"/>
        <v>308361.49999999994</v>
      </c>
      <c r="Z329" s="36">
        <f t="shared" si="39"/>
        <v>67729.100000000006</v>
      </c>
      <c r="AA329">
        <v>15.278680024852294</v>
      </c>
    </row>
    <row r="330" spans="1:27" x14ac:dyDescent="0.25">
      <c r="A330">
        <v>5080</v>
      </c>
      <c r="B330">
        <v>18650</v>
      </c>
      <c r="C330" s="1">
        <v>42908</v>
      </c>
      <c r="G330">
        <v>29.1</v>
      </c>
      <c r="H330">
        <v>22.5</v>
      </c>
      <c r="I330">
        <v>35.700000000000003</v>
      </c>
      <c r="J330">
        <f t="shared" si="45"/>
        <v>3285.6999999999994</v>
      </c>
      <c r="K330" s="36">
        <f t="shared" si="41"/>
        <v>703.19999999999993</v>
      </c>
      <c r="M330">
        <v>0</v>
      </c>
      <c r="N330">
        <v>8.1999999999999993</v>
      </c>
      <c r="O330">
        <f t="shared" si="42"/>
        <v>-8.1999999999999993</v>
      </c>
      <c r="P330">
        <v>0</v>
      </c>
      <c r="Q330">
        <v>276</v>
      </c>
      <c r="R330">
        <f t="shared" si="40"/>
        <v>0.39444444444444449</v>
      </c>
      <c r="S330">
        <f t="shared" si="43"/>
        <v>3.2344444444444447</v>
      </c>
      <c r="T330" s="24">
        <f t="shared" si="44"/>
        <v>-3.2344444444444447</v>
      </c>
      <c r="U330" s="24">
        <v>0</v>
      </c>
      <c r="W330">
        <v>2987</v>
      </c>
      <c r="Y330">
        <f t="shared" si="46"/>
        <v>311348.49999999994</v>
      </c>
      <c r="Z330" s="36">
        <f t="shared" si="39"/>
        <v>70716.100000000006</v>
      </c>
      <c r="AA330">
        <v>15.278389686434265</v>
      </c>
    </row>
    <row r="331" spans="1:27" x14ac:dyDescent="0.25">
      <c r="A331">
        <v>5080</v>
      </c>
      <c r="B331">
        <v>18650</v>
      </c>
      <c r="C331" s="1">
        <v>42909</v>
      </c>
      <c r="G331">
        <v>22.1</v>
      </c>
      <c r="H331">
        <v>20.3</v>
      </c>
      <c r="I331">
        <v>24</v>
      </c>
      <c r="J331">
        <f t="shared" si="45"/>
        <v>3307.7999999999993</v>
      </c>
      <c r="K331" s="36">
        <f t="shared" si="41"/>
        <v>725.3</v>
      </c>
      <c r="M331">
        <v>0</v>
      </c>
      <c r="N331">
        <v>2.5</v>
      </c>
      <c r="O331">
        <f t="shared" si="42"/>
        <v>-2.5</v>
      </c>
      <c r="P331">
        <v>0</v>
      </c>
      <c r="Q331">
        <v>277</v>
      </c>
      <c r="R331">
        <f t="shared" si="40"/>
        <v>0.37962962962962965</v>
      </c>
      <c r="S331">
        <f t="shared" si="43"/>
        <v>0.94907407407407418</v>
      </c>
      <c r="T331" s="24">
        <f t="shared" si="44"/>
        <v>-0.94907407407407418</v>
      </c>
      <c r="U331" s="24">
        <v>0</v>
      </c>
      <c r="W331">
        <v>742.5</v>
      </c>
      <c r="Y331">
        <f t="shared" si="46"/>
        <v>312090.99999999994</v>
      </c>
      <c r="Z331" s="36">
        <f t="shared" si="39"/>
        <v>71458.600000000006</v>
      </c>
      <c r="AA331">
        <v>15.276938292098558</v>
      </c>
    </row>
    <row r="332" spans="1:27" x14ac:dyDescent="0.25">
      <c r="A332">
        <v>5080</v>
      </c>
      <c r="B332">
        <v>18650</v>
      </c>
      <c r="C332" s="1">
        <v>42910</v>
      </c>
      <c r="G332">
        <v>21.8</v>
      </c>
      <c r="H332">
        <v>19.7</v>
      </c>
      <c r="I332">
        <v>23.4</v>
      </c>
      <c r="J332">
        <f t="shared" si="45"/>
        <v>3329.5999999999995</v>
      </c>
      <c r="K332" s="36">
        <f t="shared" si="41"/>
        <v>747.09999999999991</v>
      </c>
      <c r="M332">
        <v>0</v>
      </c>
      <c r="N332">
        <v>3.1</v>
      </c>
      <c r="O332">
        <f t="shared" si="42"/>
        <v>-3.1</v>
      </c>
      <c r="P332">
        <v>0</v>
      </c>
      <c r="Q332">
        <v>278</v>
      </c>
      <c r="R332">
        <f t="shared" si="40"/>
        <v>0.36481481481481481</v>
      </c>
      <c r="S332">
        <f t="shared" si="43"/>
        <v>1.1309259259259259</v>
      </c>
      <c r="T332" s="24">
        <f t="shared" si="44"/>
        <v>-1.1309259259259259</v>
      </c>
      <c r="U332" s="24">
        <v>0</v>
      </c>
      <c r="W332">
        <v>796.5</v>
      </c>
      <c r="Y332">
        <f t="shared" si="46"/>
        <v>312887.49999999994</v>
      </c>
      <c r="Z332" s="36">
        <f t="shared" si="39"/>
        <v>72255.100000000006</v>
      </c>
      <c r="AA332">
        <v>15.274327031930808</v>
      </c>
    </row>
    <row r="333" spans="1:27" x14ac:dyDescent="0.25">
      <c r="A333">
        <v>5080</v>
      </c>
      <c r="B333">
        <v>18650</v>
      </c>
      <c r="C333" s="1">
        <v>42911</v>
      </c>
      <c r="G333">
        <v>22.6</v>
      </c>
      <c r="H333">
        <v>17.399999999999999</v>
      </c>
      <c r="I333">
        <v>26.8</v>
      </c>
      <c r="J333">
        <f t="shared" si="45"/>
        <v>3352.1999999999994</v>
      </c>
      <c r="K333" s="36">
        <f t="shared" si="41"/>
        <v>769.69999999999993</v>
      </c>
      <c r="M333">
        <v>0.6</v>
      </c>
      <c r="N333">
        <v>4.5999999999999996</v>
      </c>
      <c r="O333">
        <f t="shared" si="42"/>
        <v>-3.9999999999999996</v>
      </c>
      <c r="P333">
        <v>0</v>
      </c>
      <c r="Q333">
        <v>279</v>
      </c>
      <c r="R333">
        <f t="shared" si="40"/>
        <v>0.35</v>
      </c>
      <c r="S333">
        <f t="shared" si="43"/>
        <v>1.6099999999999999</v>
      </c>
      <c r="T333" s="24">
        <f t="shared" si="44"/>
        <v>-1.0099999999999998</v>
      </c>
      <c r="U333" s="24">
        <v>0</v>
      </c>
      <c r="W333">
        <v>2058.8000000000002</v>
      </c>
      <c r="Y333">
        <f t="shared" si="46"/>
        <v>314946.29999999993</v>
      </c>
      <c r="Z333" s="36">
        <f t="shared" si="39"/>
        <v>74313.900000000009</v>
      </c>
      <c r="AA333">
        <v>15.270558044362676</v>
      </c>
    </row>
    <row r="334" spans="1:27" s="7" customFormat="1" x14ac:dyDescent="0.25">
      <c r="A334" s="39" t="s">
        <v>33</v>
      </c>
      <c r="B334" s="39"/>
      <c r="C334" s="39"/>
      <c r="D334" s="39"/>
      <c r="E334" s="39"/>
      <c r="F334" s="39"/>
      <c r="L334" s="10"/>
      <c r="V334" s="10"/>
    </row>
    <row r="335" spans="1:27" x14ac:dyDescent="0.25">
      <c r="A335">
        <v>5080</v>
      </c>
      <c r="B335">
        <v>18650</v>
      </c>
      <c r="C335" s="1">
        <v>42912</v>
      </c>
      <c r="G335">
        <v>22.5</v>
      </c>
      <c r="H335">
        <v>19</v>
      </c>
      <c r="I335">
        <v>27.1</v>
      </c>
      <c r="M335">
        <v>0.2</v>
      </c>
      <c r="N335">
        <v>3.4</v>
      </c>
      <c r="W335">
        <v>1492.3</v>
      </c>
    </row>
    <row r="336" spans="1:27" x14ac:dyDescent="0.25">
      <c r="A336">
        <v>5080</v>
      </c>
      <c r="B336">
        <v>18650</v>
      </c>
      <c r="C336" s="1">
        <v>42913</v>
      </c>
      <c r="G336">
        <v>20.9</v>
      </c>
      <c r="H336">
        <v>18.399999999999999</v>
      </c>
      <c r="I336">
        <v>27.7</v>
      </c>
      <c r="M336">
        <v>16.5</v>
      </c>
      <c r="N336">
        <v>4.9000000000000004</v>
      </c>
      <c r="W336">
        <v>2109.1</v>
      </c>
    </row>
    <row r="337" spans="1:23" x14ac:dyDescent="0.25">
      <c r="A337">
        <v>5080</v>
      </c>
      <c r="B337">
        <v>18650</v>
      </c>
      <c r="C337" s="1">
        <v>42914</v>
      </c>
      <c r="G337">
        <v>19.3</v>
      </c>
      <c r="H337">
        <v>16.8</v>
      </c>
      <c r="I337">
        <v>25</v>
      </c>
      <c r="M337">
        <v>4.5999999999999996</v>
      </c>
      <c r="N337">
        <v>4.5</v>
      </c>
      <c r="W337">
        <v>1686.2</v>
      </c>
    </row>
    <row r="338" spans="1:23" x14ac:dyDescent="0.25">
      <c r="A338">
        <v>5080</v>
      </c>
      <c r="B338">
        <v>18650</v>
      </c>
      <c r="C338" s="1">
        <v>42915</v>
      </c>
      <c r="G338">
        <v>17.600000000000001</v>
      </c>
      <c r="H338">
        <v>14.9</v>
      </c>
      <c r="I338">
        <v>20.5</v>
      </c>
      <c r="M338">
        <v>0</v>
      </c>
      <c r="N338">
        <v>5.8</v>
      </c>
      <c r="W338">
        <v>2589.4</v>
      </c>
    </row>
    <row r="339" spans="1:23" x14ac:dyDescent="0.25">
      <c r="A339">
        <v>5080</v>
      </c>
      <c r="B339">
        <v>18650</v>
      </c>
      <c r="C339" s="1">
        <v>42916</v>
      </c>
      <c r="G339">
        <v>15</v>
      </c>
      <c r="H339">
        <v>13.9</v>
      </c>
      <c r="I339">
        <v>17.600000000000001</v>
      </c>
      <c r="M339">
        <v>3.4</v>
      </c>
      <c r="N339">
        <v>2.9</v>
      </c>
      <c r="W339">
        <v>1121.2</v>
      </c>
    </row>
    <row r="340" spans="1:23" x14ac:dyDescent="0.25">
      <c r="A340">
        <v>5080</v>
      </c>
      <c r="B340">
        <v>18650</v>
      </c>
      <c r="C340" s="1">
        <v>42917</v>
      </c>
      <c r="G340">
        <v>15.5</v>
      </c>
      <c r="H340">
        <v>13.4</v>
      </c>
      <c r="I340">
        <v>17.899999999999999</v>
      </c>
      <c r="M340">
        <v>7.5</v>
      </c>
      <c r="N340">
        <v>2.1</v>
      </c>
      <c r="W340">
        <v>795.7</v>
      </c>
    </row>
    <row r="341" spans="1:23" x14ac:dyDescent="0.25">
      <c r="A341">
        <v>5080</v>
      </c>
      <c r="B341">
        <v>18650</v>
      </c>
      <c r="C341" s="1">
        <v>42918</v>
      </c>
      <c r="G341">
        <v>18.100000000000001</v>
      </c>
      <c r="H341">
        <v>14.4</v>
      </c>
      <c r="I341">
        <v>21.3</v>
      </c>
      <c r="M341">
        <v>0</v>
      </c>
      <c r="N341">
        <v>3</v>
      </c>
      <c r="W341">
        <v>1122.5999999999999</v>
      </c>
    </row>
    <row r="342" spans="1:23" x14ac:dyDescent="0.25">
      <c r="A342">
        <v>5080</v>
      </c>
      <c r="B342">
        <v>18650</v>
      </c>
      <c r="C342" s="1">
        <v>42919</v>
      </c>
      <c r="G342">
        <v>21.3</v>
      </c>
      <c r="H342">
        <v>18.100000000000001</v>
      </c>
      <c r="I342">
        <v>25.4</v>
      </c>
      <c r="M342">
        <v>0.2</v>
      </c>
      <c r="N342">
        <v>4.5</v>
      </c>
      <c r="W342">
        <v>2048.1</v>
      </c>
    </row>
    <row r="343" spans="1:23" x14ac:dyDescent="0.25">
      <c r="A343">
        <v>5080</v>
      </c>
      <c r="B343">
        <v>18650</v>
      </c>
      <c r="C343" s="1">
        <v>42920</v>
      </c>
      <c r="G343">
        <v>24.2</v>
      </c>
      <c r="H343">
        <v>17.399999999999999</v>
      </c>
      <c r="I343">
        <v>31.1</v>
      </c>
      <c r="M343">
        <v>0</v>
      </c>
      <c r="N343">
        <v>7.1</v>
      </c>
      <c r="W343">
        <v>2794.8</v>
      </c>
    </row>
    <row r="344" spans="1:23" x14ac:dyDescent="0.25">
      <c r="A344">
        <v>5080</v>
      </c>
      <c r="B344">
        <v>18650</v>
      </c>
      <c r="C344" s="1">
        <v>42921</v>
      </c>
      <c r="G344">
        <v>24.3</v>
      </c>
      <c r="H344">
        <v>20.399999999999999</v>
      </c>
      <c r="I344">
        <v>28.5</v>
      </c>
      <c r="M344">
        <v>0</v>
      </c>
      <c r="N344">
        <v>8.9</v>
      </c>
      <c r="W344">
        <v>3266.4</v>
      </c>
    </row>
    <row r="345" spans="1:23" x14ac:dyDescent="0.25">
      <c r="A345">
        <v>5080</v>
      </c>
      <c r="B345">
        <v>18650</v>
      </c>
      <c r="C345" s="1">
        <v>42922</v>
      </c>
      <c r="G345">
        <v>24</v>
      </c>
      <c r="H345">
        <v>19.899999999999999</v>
      </c>
      <c r="I345">
        <v>27.6</v>
      </c>
      <c r="M345">
        <v>0</v>
      </c>
      <c r="N345">
        <v>5.5</v>
      </c>
      <c r="W345">
        <v>2201</v>
      </c>
    </row>
    <row r="346" spans="1:23" x14ac:dyDescent="0.25">
      <c r="A346">
        <v>5080</v>
      </c>
      <c r="B346">
        <v>18650</v>
      </c>
      <c r="C346" s="1">
        <v>42923</v>
      </c>
      <c r="G346">
        <v>27.8</v>
      </c>
      <c r="H346">
        <v>20.5</v>
      </c>
      <c r="I346">
        <v>33.799999999999997</v>
      </c>
      <c r="M346">
        <v>0</v>
      </c>
      <c r="N346">
        <v>7</v>
      </c>
      <c r="W346">
        <v>2500</v>
      </c>
    </row>
    <row r="347" spans="1:23" x14ac:dyDescent="0.25">
      <c r="A347">
        <v>5080</v>
      </c>
      <c r="B347">
        <v>18650</v>
      </c>
      <c r="C347" s="1">
        <v>42924</v>
      </c>
      <c r="G347">
        <v>23.6</v>
      </c>
      <c r="H347">
        <v>21.3</v>
      </c>
      <c r="I347">
        <v>27</v>
      </c>
      <c r="M347">
        <v>12.9</v>
      </c>
      <c r="N347">
        <v>1.8</v>
      </c>
      <c r="W347">
        <v>953.9</v>
      </c>
    </row>
    <row r="348" spans="1:23" x14ac:dyDescent="0.25">
      <c r="A348">
        <v>5080</v>
      </c>
      <c r="B348">
        <v>18650</v>
      </c>
      <c r="C348" s="1">
        <v>42925</v>
      </c>
      <c r="G348">
        <v>20.399999999999999</v>
      </c>
      <c r="H348">
        <v>17.7</v>
      </c>
      <c r="I348">
        <v>24.8</v>
      </c>
      <c r="M348">
        <v>1.8</v>
      </c>
      <c r="N348">
        <v>2.7</v>
      </c>
      <c r="W348">
        <v>888.1</v>
      </c>
    </row>
    <row r="349" spans="1:23" x14ac:dyDescent="0.25">
      <c r="A349">
        <v>5080</v>
      </c>
      <c r="B349">
        <v>18650</v>
      </c>
      <c r="C349" s="1">
        <v>42926</v>
      </c>
      <c r="G349">
        <v>19.899999999999999</v>
      </c>
      <c r="H349">
        <v>17.399999999999999</v>
      </c>
      <c r="I349">
        <v>22.3</v>
      </c>
      <c r="M349">
        <v>0</v>
      </c>
      <c r="N349">
        <v>2.5</v>
      </c>
      <c r="W349">
        <v>1174.8</v>
      </c>
    </row>
    <row r="350" spans="1:23" x14ac:dyDescent="0.25">
      <c r="A350">
        <v>5080</v>
      </c>
      <c r="B350">
        <v>18650</v>
      </c>
      <c r="C350" s="1">
        <v>42927</v>
      </c>
      <c r="G350">
        <v>21.4</v>
      </c>
      <c r="H350">
        <v>18</v>
      </c>
      <c r="I350">
        <v>25.4</v>
      </c>
      <c r="M350">
        <v>0</v>
      </c>
      <c r="N350">
        <v>2.2999999999999998</v>
      </c>
      <c r="W350">
        <v>893.3</v>
      </c>
    </row>
    <row r="351" spans="1:23" x14ac:dyDescent="0.25">
      <c r="A351">
        <v>5080</v>
      </c>
      <c r="B351">
        <v>18650</v>
      </c>
      <c r="C351" s="1">
        <v>42928</v>
      </c>
      <c r="G351">
        <v>21.3</v>
      </c>
      <c r="H351">
        <v>18.899999999999999</v>
      </c>
      <c r="I351">
        <v>23.9</v>
      </c>
      <c r="M351">
        <v>0</v>
      </c>
      <c r="N351">
        <v>2.5</v>
      </c>
      <c r="W351">
        <v>874.5</v>
      </c>
    </row>
    <row r="352" spans="1:23" x14ac:dyDescent="0.25">
      <c r="A352">
        <v>5080</v>
      </c>
      <c r="B352">
        <v>18650</v>
      </c>
      <c r="C352" s="1">
        <v>42929</v>
      </c>
      <c r="G352">
        <v>21.5</v>
      </c>
      <c r="H352">
        <v>18.899999999999999</v>
      </c>
      <c r="I352">
        <v>25.5</v>
      </c>
      <c r="M352">
        <v>0</v>
      </c>
      <c r="N352">
        <v>3.4</v>
      </c>
      <c r="W352">
        <v>1178.2</v>
      </c>
    </row>
    <row r="353" spans="1:23" x14ac:dyDescent="0.25">
      <c r="A353">
        <v>5080</v>
      </c>
      <c r="B353">
        <v>18650</v>
      </c>
      <c r="C353" s="1">
        <v>42930</v>
      </c>
      <c r="G353">
        <v>21.4</v>
      </c>
      <c r="H353">
        <v>18.600000000000001</v>
      </c>
      <c r="I353">
        <v>24.5</v>
      </c>
      <c r="M353">
        <v>0</v>
      </c>
      <c r="N353">
        <v>4.5999999999999996</v>
      </c>
      <c r="W353">
        <v>1658.7</v>
      </c>
    </row>
    <row r="354" spans="1:23" x14ac:dyDescent="0.25">
      <c r="A354">
        <v>5080</v>
      </c>
      <c r="B354">
        <v>18650</v>
      </c>
      <c r="C354" s="1">
        <v>42931</v>
      </c>
      <c r="G354">
        <v>22.9</v>
      </c>
      <c r="H354">
        <v>18</v>
      </c>
      <c r="I354">
        <v>28</v>
      </c>
      <c r="M354">
        <v>0</v>
      </c>
      <c r="N354">
        <v>7.3</v>
      </c>
      <c r="W354">
        <v>3116.1</v>
      </c>
    </row>
    <row r="355" spans="1:23" x14ac:dyDescent="0.25">
      <c r="A355">
        <v>5080</v>
      </c>
      <c r="B355">
        <v>18650</v>
      </c>
      <c r="C355" s="1">
        <v>42932</v>
      </c>
      <c r="G355">
        <v>25.4</v>
      </c>
      <c r="H355">
        <v>18.100000000000001</v>
      </c>
      <c r="I355">
        <v>32.5</v>
      </c>
      <c r="M355">
        <v>0</v>
      </c>
      <c r="N355">
        <v>7.7</v>
      </c>
      <c r="W355">
        <v>3206.6</v>
      </c>
    </row>
    <row r="356" spans="1:23" x14ac:dyDescent="0.25">
      <c r="A356">
        <v>5080</v>
      </c>
      <c r="B356">
        <v>18650</v>
      </c>
      <c r="C356" s="1">
        <v>42933</v>
      </c>
      <c r="G356">
        <v>25.4</v>
      </c>
      <c r="H356">
        <v>20.8</v>
      </c>
      <c r="I356">
        <v>31.8</v>
      </c>
      <c r="M356">
        <v>0</v>
      </c>
      <c r="N356">
        <v>9</v>
      </c>
      <c r="W356">
        <v>2863.6</v>
      </c>
    </row>
    <row r="357" spans="1:23" x14ac:dyDescent="0.25">
      <c r="A357">
        <v>5080</v>
      </c>
      <c r="B357">
        <v>18650</v>
      </c>
      <c r="C357" s="1">
        <v>42934</v>
      </c>
      <c r="G357">
        <v>25.5</v>
      </c>
      <c r="H357">
        <v>20</v>
      </c>
      <c r="I357">
        <v>30.3</v>
      </c>
      <c r="M357">
        <v>0</v>
      </c>
      <c r="N357">
        <v>7.3</v>
      </c>
      <c r="W357">
        <v>2493.4</v>
      </c>
    </row>
    <row r="358" spans="1:23" x14ac:dyDescent="0.25">
      <c r="A358">
        <v>5080</v>
      </c>
      <c r="B358">
        <v>18650</v>
      </c>
      <c r="C358" s="1">
        <v>42935</v>
      </c>
      <c r="G358">
        <v>24.3</v>
      </c>
      <c r="H358">
        <v>22.7</v>
      </c>
      <c r="I358">
        <v>26.8</v>
      </c>
      <c r="M358">
        <v>24.7</v>
      </c>
      <c r="N358">
        <v>3.9</v>
      </c>
      <c r="W358">
        <v>1679</v>
      </c>
    </row>
    <row r="359" spans="1:23" x14ac:dyDescent="0.25">
      <c r="A359">
        <v>5080</v>
      </c>
      <c r="B359">
        <v>18650</v>
      </c>
      <c r="C359" s="1">
        <v>42936</v>
      </c>
      <c r="G359">
        <v>20</v>
      </c>
      <c r="H359">
        <v>19.3</v>
      </c>
      <c r="I359">
        <v>21.5</v>
      </c>
      <c r="M359">
        <v>0.8</v>
      </c>
      <c r="N359">
        <v>1.9</v>
      </c>
      <c r="W359">
        <v>787.9</v>
      </c>
    </row>
    <row r="360" spans="1:23" x14ac:dyDescent="0.25">
      <c r="A360">
        <v>5080</v>
      </c>
      <c r="B360">
        <v>18650</v>
      </c>
      <c r="C360" s="1">
        <v>42937</v>
      </c>
      <c r="G360">
        <v>20.100000000000001</v>
      </c>
      <c r="H360">
        <v>17.600000000000001</v>
      </c>
      <c r="I360">
        <v>23.3</v>
      </c>
      <c r="M360">
        <v>2.7</v>
      </c>
      <c r="N360">
        <v>3.8</v>
      </c>
      <c r="W360">
        <v>1814.6</v>
      </c>
    </row>
    <row r="361" spans="1:23" x14ac:dyDescent="0.25">
      <c r="A361">
        <v>5080</v>
      </c>
      <c r="B361">
        <v>18650</v>
      </c>
      <c r="C361" s="1">
        <v>42938</v>
      </c>
      <c r="G361">
        <v>21.4</v>
      </c>
      <c r="H361">
        <v>17.100000000000001</v>
      </c>
      <c r="I361">
        <v>24.7</v>
      </c>
      <c r="M361">
        <v>0</v>
      </c>
      <c r="N361">
        <v>2.9</v>
      </c>
      <c r="W361">
        <v>1074.5999999999999</v>
      </c>
    </row>
    <row r="362" spans="1:23" x14ac:dyDescent="0.25">
      <c r="A362">
        <v>5080</v>
      </c>
      <c r="B362">
        <v>18650</v>
      </c>
      <c r="C362" s="1">
        <v>42939</v>
      </c>
      <c r="G362">
        <v>20.2</v>
      </c>
      <c r="H362">
        <v>18.399999999999999</v>
      </c>
      <c r="I362">
        <v>22.3</v>
      </c>
      <c r="M362">
        <v>1.1000000000000001</v>
      </c>
      <c r="N362">
        <v>2.7</v>
      </c>
      <c r="W362">
        <v>819.7</v>
      </c>
    </row>
    <row r="363" spans="1:23" x14ac:dyDescent="0.25">
      <c r="A363">
        <v>5080</v>
      </c>
      <c r="B363">
        <v>18650</v>
      </c>
      <c r="C363" s="1">
        <v>42940</v>
      </c>
      <c r="G363">
        <v>19.3</v>
      </c>
      <c r="H363">
        <v>17.7</v>
      </c>
      <c r="I363">
        <v>22.6</v>
      </c>
      <c r="M363">
        <v>2.1</v>
      </c>
      <c r="N363">
        <v>3.2</v>
      </c>
      <c r="W363">
        <v>1071.5999999999999</v>
      </c>
    </row>
    <row r="364" spans="1:23" x14ac:dyDescent="0.25">
      <c r="A364">
        <v>5080</v>
      </c>
      <c r="B364">
        <v>18650</v>
      </c>
      <c r="C364" s="1">
        <v>42941</v>
      </c>
      <c r="G364">
        <v>19.5</v>
      </c>
      <c r="H364">
        <v>15.9</v>
      </c>
      <c r="I364">
        <v>23</v>
      </c>
      <c r="M364">
        <v>0.1</v>
      </c>
      <c r="N364">
        <v>4.2</v>
      </c>
      <c r="W364">
        <v>2001.6</v>
      </c>
    </row>
    <row r="365" spans="1:23" x14ac:dyDescent="0.25">
      <c r="A365">
        <v>5080</v>
      </c>
      <c r="B365">
        <v>18650</v>
      </c>
      <c r="C365" s="1">
        <v>42942</v>
      </c>
      <c r="G365">
        <v>19.8</v>
      </c>
      <c r="H365">
        <v>15.7</v>
      </c>
      <c r="I365">
        <v>24.1</v>
      </c>
      <c r="M365">
        <v>0</v>
      </c>
      <c r="N365">
        <v>3</v>
      </c>
      <c r="W365">
        <v>1222.5999999999999</v>
      </c>
    </row>
    <row r="366" spans="1:23" x14ac:dyDescent="0.25">
      <c r="A366">
        <v>5080</v>
      </c>
      <c r="B366">
        <v>18650</v>
      </c>
      <c r="C366" s="1">
        <v>42943</v>
      </c>
      <c r="G366">
        <v>22.9</v>
      </c>
      <c r="H366">
        <v>17.7</v>
      </c>
      <c r="I366">
        <v>27.4</v>
      </c>
      <c r="M366">
        <v>0</v>
      </c>
      <c r="N366">
        <v>4.5</v>
      </c>
      <c r="W366">
        <v>1985.5</v>
      </c>
    </row>
    <row r="367" spans="1:23" x14ac:dyDescent="0.25">
      <c r="A367">
        <v>5080</v>
      </c>
      <c r="B367">
        <v>18650</v>
      </c>
      <c r="C367" s="1">
        <v>42944</v>
      </c>
      <c r="G367">
        <v>22.8</v>
      </c>
      <c r="H367">
        <v>19.600000000000001</v>
      </c>
      <c r="I367">
        <v>26.3</v>
      </c>
      <c r="M367">
        <v>0</v>
      </c>
      <c r="N367">
        <v>2.7</v>
      </c>
      <c r="W367">
        <v>1145</v>
      </c>
    </row>
    <row r="368" spans="1:23" x14ac:dyDescent="0.25">
      <c r="A368">
        <v>5080</v>
      </c>
      <c r="B368">
        <v>18650</v>
      </c>
      <c r="C368" s="1">
        <v>42945</v>
      </c>
      <c r="G368">
        <v>24.9</v>
      </c>
      <c r="H368">
        <v>17.600000000000001</v>
      </c>
      <c r="I368">
        <v>31.9</v>
      </c>
      <c r="M368">
        <v>0</v>
      </c>
      <c r="N368">
        <v>3.3</v>
      </c>
      <c r="W368">
        <v>1280.9000000000001</v>
      </c>
    </row>
    <row r="369" spans="1:23" x14ac:dyDescent="0.25">
      <c r="A369">
        <v>5080</v>
      </c>
      <c r="B369">
        <v>18650</v>
      </c>
      <c r="C369" s="1">
        <v>42946</v>
      </c>
      <c r="G369">
        <v>23.9</v>
      </c>
      <c r="H369">
        <v>20.3</v>
      </c>
      <c r="I369">
        <v>26.6</v>
      </c>
      <c r="M369">
        <v>0</v>
      </c>
      <c r="N369">
        <v>3.2</v>
      </c>
      <c r="W369">
        <v>1102.5999999999999</v>
      </c>
    </row>
    <row r="370" spans="1:23" x14ac:dyDescent="0.25">
      <c r="A370">
        <v>5080</v>
      </c>
      <c r="B370">
        <v>18650</v>
      </c>
      <c r="C370" s="1">
        <v>42947</v>
      </c>
      <c r="G370">
        <v>23.4</v>
      </c>
      <c r="H370">
        <v>20.2</v>
      </c>
      <c r="I370">
        <v>25.9</v>
      </c>
      <c r="M370">
        <v>0</v>
      </c>
      <c r="N370">
        <v>3.8</v>
      </c>
      <c r="W370">
        <v>1580.1</v>
      </c>
    </row>
    <row r="371" spans="1:23" x14ac:dyDescent="0.25">
      <c r="A371">
        <v>5080</v>
      </c>
      <c r="B371">
        <v>18650</v>
      </c>
      <c r="C371" s="1">
        <v>42948</v>
      </c>
      <c r="G371">
        <v>24.1</v>
      </c>
      <c r="H371">
        <v>19.3</v>
      </c>
      <c r="I371">
        <v>27.7</v>
      </c>
      <c r="M371">
        <v>0</v>
      </c>
      <c r="N371">
        <v>3.7</v>
      </c>
      <c r="W371">
        <v>1768.5</v>
      </c>
    </row>
    <row r="372" spans="1:23" x14ac:dyDescent="0.25">
      <c r="A372">
        <v>5080</v>
      </c>
      <c r="B372">
        <v>18650</v>
      </c>
      <c r="C372" s="1">
        <v>42949</v>
      </c>
      <c r="G372">
        <v>26.7</v>
      </c>
      <c r="H372">
        <v>19.100000000000001</v>
      </c>
      <c r="I372">
        <v>33.299999999999997</v>
      </c>
      <c r="M372">
        <v>0</v>
      </c>
      <c r="N372">
        <v>4.0999999999999996</v>
      </c>
      <c r="W372">
        <v>1644.4</v>
      </c>
    </row>
    <row r="373" spans="1:23" x14ac:dyDescent="0.25">
      <c r="A373">
        <v>5080</v>
      </c>
      <c r="B373">
        <v>18650</v>
      </c>
      <c r="C373" s="1">
        <v>42950</v>
      </c>
      <c r="G373">
        <v>25.6</v>
      </c>
      <c r="H373">
        <v>19.5</v>
      </c>
      <c r="I373">
        <v>30.3</v>
      </c>
      <c r="M373">
        <v>0</v>
      </c>
      <c r="N373">
        <v>7.3</v>
      </c>
      <c r="W373">
        <v>2905.3</v>
      </c>
    </row>
    <row r="374" spans="1:23" x14ac:dyDescent="0.25">
      <c r="A374">
        <v>5080</v>
      </c>
      <c r="B374">
        <v>18650</v>
      </c>
      <c r="C374" s="1">
        <v>42951</v>
      </c>
      <c r="G374">
        <v>26.3</v>
      </c>
      <c r="H374">
        <v>20.9</v>
      </c>
      <c r="I374">
        <v>31.2</v>
      </c>
      <c r="M374">
        <v>0</v>
      </c>
      <c r="N374">
        <v>6.3</v>
      </c>
      <c r="W374">
        <v>2381.9</v>
      </c>
    </row>
    <row r="375" spans="1:23" x14ac:dyDescent="0.25">
      <c r="A375">
        <v>5080</v>
      </c>
      <c r="B375">
        <v>18650</v>
      </c>
      <c r="C375" s="1">
        <v>42952</v>
      </c>
      <c r="G375">
        <v>22.6</v>
      </c>
      <c r="H375">
        <v>21.4</v>
      </c>
      <c r="I375">
        <v>24.7</v>
      </c>
      <c r="M375">
        <v>0.9</v>
      </c>
      <c r="N375">
        <v>3</v>
      </c>
      <c r="W375">
        <v>731.2</v>
      </c>
    </row>
    <row r="376" spans="1:23" x14ac:dyDescent="0.25">
      <c r="A376">
        <v>5080</v>
      </c>
      <c r="B376">
        <v>18650</v>
      </c>
      <c r="C376" s="1">
        <v>42953</v>
      </c>
      <c r="G376">
        <v>21.4</v>
      </c>
      <c r="H376">
        <v>16.5</v>
      </c>
      <c r="I376">
        <v>26.6</v>
      </c>
      <c r="M376">
        <v>0</v>
      </c>
      <c r="N376">
        <v>4.3</v>
      </c>
      <c r="W376">
        <v>1256.9000000000001</v>
      </c>
    </row>
    <row r="377" spans="1:23" x14ac:dyDescent="0.25">
      <c r="A377">
        <v>5080</v>
      </c>
      <c r="B377">
        <v>18650</v>
      </c>
      <c r="C377" s="1">
        <v>42954</v>
      </c>
      <c r="G377">
        <v>23.1</v>
      </c>
      <c r="H377">
        <v>15.7</v>
      </c>
      <c r="I377">
        <v>29.3</v>
      </c>
      <c r="M377">
        <v>8.5</v>
      </c>
      <c r="N377">
        <v>5.3</v>
      </c>
      <c r="W377">
        <v>2231.3000000000002</v>
      </c>
    </row>
    <row r="378" spans="1:23" x14ac:dyDescent="0.25">
      <c r="A378">
        <v>5080</v>
      </c>
      <c r="B378">
        <v>18650</v>
      </c>
      <c r="C378" s="1">
        <v>42955</v>
      </c>
      <c r="G378">
        <v>18.8</v>
      </c>
      <c r="H378">
        <v>16.5</v>
      </c>
      <c r="I378">
        <v>21.5</v>
      </c>
      <c r="M378">
        <v>0</v>
      </c>
      <c r="N378">
        <v>3.8</v>
      </c>
      <c r="W378">
        <v>1568.2</v>
      </c>
    </row>
    <row r="379" spans="1:23" x14ac:dyDescent="0.25">
      <c r="A379">
        <v>5080</v>
      </c>
      <c r="B379">
        <v>18650</v>
      </c>
      <c r="C379" s="1">
        <v>42956</v>
      </c>
      <c r="G379">
        <v>16.8</v>
      </c>
      <c r="H379">
        <v>14</v>
      </c>
      <c r="I379">
        <v>19.399999999999999</v>
      </c>
      <c r="M379">
        <v>0</v>
      </c>
      <c r="N379">
        <v>3.3</v>
      </c>
      <c r="W379">
        <v>1812.3</v>
      </c>
    </row>
    <row r="380" spans="1:23" x14ac:dyDescent="0.25">
      <c r="A380">
        <v>5080</v>
      </c>
      <c r="B380">
        <v>18650</v>
      </c>
      <c r="C380" s="1">
        <v>42957</v>
      </c>
      <c r="G380">
        <v>17.100000000000001</v>
      </c>
      <c r="H380">
        <v>13.6</v>
      </c>
      <c r="I380">
        <v>21.7</v>
      </c>
      <c r="M380">
        <v>1.8</v>
      </c>
      <c r="N380">
        <v>3</v>
      </c>
      <c r="W380">
        <v>1251.4000000000001</v>
      </c>
    </row>
    <row r="381" spans="1:23" x14ac:dyDescent="0.25">
      <c r="A381">
        <v>5080</v>
      </c>
      <c r="B381">
        <v>18650</v>
      </c>
      <c r="C381" s="1">
        <v>42958</v>
      </c>
      <c r="G381">
        <v>17.600000000000001</v>
      </c>
      <c r="H381">
        <v>14.1</v>
      </c>
      <c r="I381">
        <v>21</v>
      </c>
      <c r="M381">
        <v>0.2</v>
      </c>
      <c r="N381">
        <v>4.3</v>
      </c>
      <c r="W381">
        <v>2028.3</v>
      </c>
    </row>
    <row r="382" spans="1:23" x14ac:dyDescent="0.25">
      <c r="A382">
        <v>5080</v>
      </c>
      <c r="B382">
        <v>18650</v>
      </c>
      <c r="C382" s="1">
        <v>42959</v>
      </c>
      <c r="G382">
        <v>18.8</v>
      </c>
      <c r="H382">
        <v>12.9</v>
      </c>
      <c r="I382">
        <v>23.6</v>
      </c>
      <c r="M382">
        <v>0</v>
      </c>
      <c r="N382">
        <v>4.3</v>
      </c>
      <c r="W382">
        <v>2135.8000000000002</v>
      </c>
    </row>
    <row r="383" spans="1:23" x14ac:dyDescent="0.25">
      <c r="A383">
        <v>5080</v>
      </c>
      <c r="B383">
        <v>18650</v>
      </c>
      <c r="C383" s="1">
        <v>42960</v>
      </c>
      <c r="G383">
        <v>21.2</v>
      </c>
      <c r="H383">
        <v>14</v>
      </c>
      <c r="I383">
        <v>26.9</v>
      </c>
      <c r="M383">
        <v>0</v>
      </c>
      <c r="N383">
        <v>4.5999999999999996</v>
      </c>
      <c r="W383">
        <v>2367.6</v>
      </c>
    </row>
    <row r="384" spans="1:23" x14ac:dyDescent="0.25">
      <c r="A384">
        <v>5080</v>
      </c>
      <c r="B384">
        <v>18650</v>
      </c>
      <c r="C384" s="1">
        <v>42961</v>
      </c>
      <c r="G384">
        <v>25</v>
      </c>
      <c r="H384">
        <v>18.2</v>
      </c>
      <c r="I384">
        <v>32.4</v>
      </c>
      <c r="M384">
        <v>0.3</v>
      </c>
      <c r="N384">
        <v>7</v>
      </c>
      <c r="W384">
        <v>2308.1999999999998</v>
      </c>
    </row>
    <row r="385" spans="1:23" x14ac:dyDescent="0.25">
      <c r="A385">
        <v>5080</v>
      </c>
      <c r="B385">
        <v>18650</v>
      </c>
      <c r="C385" s="1">
        <v>42962</v>
      </c>
      <c r="G385">
        <v>22.7</v>
      </c>
      <c r="H385">
        <v>20.7</v>
      </c>
      <c r="I385">
        <v>24.8</v>
      </c>
      <c r="M385">
        <v>1.8</v>
      </c>
      <c r="N385">
        <v>2.2000000000000002</v>
      </c>
      <c r="W385">
        <v>1059</v>
      </c>
    </row>
    <row r="386" spans="1:23" x14ac:dyDescent="0.25">
      <c r="A386">
        <v>5080</v>
      </c>
      <c r="B386">
        <v>18650</v>
      </c>
      <c r="C386" s="1">
        <v>42963</v>
      </c>
      <c r="G386">
        <v>22.7</v>
      </c>
      <c r="H386">
        <v>19.899999999999999</v>
      </c>
      <c r="I386">
        <v>26</v>
      </c>
      <c r="M386">
        <v>0</v>
      </c>
      <c r="N386">
        <v>2</v>
      </c>
      <c r="W386">
        <v>721.1</v>
      </c>
    </row>
    <row r="387" spans="1:23" x14ac:dyDescent="0.25">
      <c r="A387">
        <v>5080</v>
      </c>
      <c r="B387">
        <v>18650</v>
      </c>
      <c r="C387" s="1">
        <v>42964</v>
      </c>
      <c r="G387">
        <v>23.6</v>
      </c>
      <c r="H387">
        <v>17.399999999999999</v>
      </c>
      <c r="I387">
        <v>29.3</v>
      </c>
      <c r="M387">
        <v>0</v>
      </c>
      <c r="N387">
        <v>5.4</v>
      </c>
      <c r="W387">
        <v>2315.3000000000002</v>
      </c>
    </row>
    <row r="388" spans="1:23" x14ac:dyDescent="0.25">
      <c r="A388">
        <v>5080</v>
      </c>
      <c r="B388">
        <v>18650</v>
      </c>
      <c r="C388" s="1">
        <v>42965</v>
      </c>
      <c r="G388">
        <v>22.3</v>
      </c>
      <c r="H388">
        <v>19.3</v>
      </c>
      <c r="I388">
        <v>27.5</v>
      </c>
      <c r="M388">
        <v>0.1</v>
      </c>
      <c r="N388">
        <v>4.2</v>
      </c>
      <c r="W388">
        <v>1206.4000000000001</v>
      </c>
    </row>
    <row r="389" spans="1:23" x14ac:dyDescent="0.25">
      <c r="A389">
        <v>5080</v>
      </c>
      <c r="B389">
        <v>18650</v>
      </c>
      <c r="C389" s="1">
        <v>42966</v>
      </c>
      <c r="G389">
        <v>20.2</v>
      </c>
      <c r="H389">
        <v>17.5</v>
      </c>
      <c r="I389">
        <v>23.4</v>
      </c>
      <c r="M389">
        <v>0</v>
      </c>
      <c r="N389">
        <v>4.5999999999999996</v>
      </c>
      <c r="W389">
        <v>1873.1</v>
      </c>
    </row>
    <row r="390" spans="1:23" x14ac:dyDescent="0.25">
      <c r="A390">
        <v>5080</v>
      </c>
      <c r="B390">
        <v>18650</v>
      </c>
      <c r="C390" s="1">
        <v>42967</v>
      </c>
      <c r="G390">
        <v>19.2</v>
      </c>
      <c r="H390">
        <v>12.5</v>
      </c>
      <c r="I390">
        <v>24.9</v>
      </c>
      <c r="M390">
        <v>0</v>
      </c>
      <c r="N390">
        <v>6.4</v>
      </c>
      <c r="W390">
        <v>2772.1</v>
      </c>
    </row>
    <row r="391" spans="1:23" x14ac:dyDescent="0.25">
      <c r="A391">
        <v>5080</v>
      </c>
      <c r="B391">
        <v>18650</v>
      </c>
      <c r="C391" s="1">
        <v>42968</v>
      </c>
      <c r="G391">
        <v>22.8</v>
      </c>
      <c r="H391">
        <v>12.7</v>
      </c>
      <c r="I391">
        <v>31.5</v>
      </c>
      <c r="M391">
        <v>0</v>
      </c>
      <c r="N391">
        <v>6.8</v>
      </c>
      <c r="W391">
        <v>2629.9</v>
      </c>
    </row>
    <row r="392" spans="1:23" x14ac:dyDescent="0.25">
      <c r="A392">
        <v>5080</v>
      </c>
      <c r="B392">
        <v>18650</v>
      </c>
      <c r="C392" s="1">
        <v>42969</v>
      </c>
      <c r="G392">
        <v>26.6</v>
      </c>
      <c r="H392">
        <v>19.2</v>
      </c>
      <c r="I392">
        <v>33.6</v>
      </c>
      <c r="M392">
        <v>0.6</v>
      </c>
      <c r="N392">
        <v>8</v>
      </c>
      <c r="W392">
        <v>2559.1</v>
      </c>
    </row>
    <row r="393" spans="1:23" x14ac:dyDescent="0.25">
      <c r="A393">
        <v>5080</v>
      </c>
      <c r="B393">
        <v>18650</v>
      </c>
      <c r="C393" s="1">
        <v>42970</v>
      </c>
      <c r="G393">
        <v>23.3</v>
      </c>
      <c r="H393">
        <v>19.8</v>
      </c>
      <c r="I393">
        <v>26.1</v>
      </c>
      <c r="M393">
        <v>0</v>
      </c>
      <c r="N393">
        <v>3.9</v>
      </c>
      <c r="W393">
        <v>1707.7</v>
      </c>
    </row>
    <row r="394" spans="1:23" x14ac:dyDescent="0.25">
      <c r="A394">
        <v>5080</v>
      </c>
      <c r="B394">
        <v>18650</v>
      </c>
      <c r="C394" s="1">
        <v>42971</v>
      </c>
      <c r="G394">
        <v>25.6</v>
      </c>
      <c r="H394">
        <v>19.600000000000001</v>
      </c>
      <c r="I394">
        <v>30.2</v>
      </c>
      <c r="M394">
        <v>0.1</v>
      </c>
      <c r="N394">
        <v>4.9000000000000004</v>
      </c>
      <c r="W394">
        <v>1977.3</v>
      </c>
    </row>
    <row r="395" spans="1:23" x14ac:dyDescent="0.25">
      <c r="A395">
        <v>5080</v>
      </c>
      <c r="B395">
        <v>18650</v>
      </c>
      <c r="C395" s="1">
        <v>42972</v>
      </c>
      <c r="G395">
        <v>24.8</v>
      </c>
      <c r="H395">
        <v>19.600000000000001</v>
      </c>
      <c r="I395">
        <v>28.9</v>
      </c>
      <c r="M395">
        <v>0</v>
      </c>
      <c r="N395">
        <v>4.3</v>
      </c>
      <c r="W395">
        <v>1598.4</v>
      </c>
    </row>
    <row r="396" spans="1:23" x14ac:dyDescent="0.25">
      <c r="A396">
        <v>5080</v>
      </c>
      <c r="B396">
        <v>18650</v>
      </c>
      <c r="C396" s="1">
        <v>42973</v>
      </c>
      <c r="G396">
        <v>26.1</v>
      </c>
      <c r="H396">
        <v>21.8</v>
      </c>
      <c r="I396">
        <v>31.4</v>
      </c>
      <c r="M396">
        <v>0</v>
      </c>
      <c r="N396">
        <v>6.2</v>
      </c>
      <c r="W396">
        <v>2063.6999999999998</v>
      </c>
    </row>
    <row r="397" spans="1:23" x14ac:dyDescent="0.25">
      <c r="A397">
        <v>5080</v>
      </c>
      <c r="B397">
        <v>18650</v>
      </c>
      <c r="C397" s="1">
        <v>42974</v>
      </c>
      <c r="G397">
        <v>25.6</v>
      </c>
      <c r="H397">
        <v>22.5</v>
      </c>
      <c r="I397">
        <v>32.5</v>
      </c>
      <c r="M397">
        <v>1.3</v>
      </c>
      <c r="N397">
        <v>4.5</v>
      </c>
      <c r="W397">
        <v>1488.2</v>
      </c>
    </row>
    <row r="398" spans="1:23" x14ac:dyDescent="0.25">
      <c r="A398">
        <v>5080</v>
      </c>
      <c r="B398">
        <v>18650</v>
      </c>
      <c r="C398" s="1">
        <v>42975</v>
      </c>
      <c r="G398">
        <v>25.9</v>
      </c>
      <c r="H398">
        <v>18.5</v>
      </c>
      <c r="I398">
        <v>32.299999999999997</v>
      </c>
      <c r="M398">
        <v>0</v>
      </c>
      <c r="N398">
        <v>5.4</v>
      </c>
      <c r="W398">
        <v>2166.5</v>
      </c>
    </row>
    <row r="399" spans="1:23" x14ac:dyDescent="0.25">
      <c r="A399">
        <v>5080</v>
      </c>
      <c r="B399">
        <v>18650</v>
      </c>
      <c r="C399" s="1">
        <v>42976</v>
      </c>
      <c r="G399">
        <v>25.6</v>
      </c>
      <c r="H399">
        <v>22.2</v>
      </c>
      <c r="I399">
        <v>30</v>
      </c>
      <c r="M399">
        <v>0</v>
      </c>
      <c r="N399">
        <v>5.3</v>
      </c>
      <c r="W399">
        <v>2119.4</v>
      </c>
    </row>
    <row r="400" spans="1:23" x14ac:dyDescent="0.25">
      <c r="A400">
        <v>5080</v>
      </c>
      <c r="B400">
        <v>18650</v>
      </c>
      <c r="C400" s="1">
        <v>42977</v>
      </c>
      <c r="G400">
        <v>22.4</v>
      </c>
      <c r="H400">
        <v>20.100000000000001</v>
      </c>
      <c r="I400">
        <v>27.6</v>
      </c>
      <c r="M400">
        <v>26</v>
      </c>
      <c r="N400">
        <v>3.1</v>
      </c>
      <c r="W400">
        <v>1311.2</v>
      </c>
    </row>
    <row r="401" spans="1:23" x14ac:dyDescent="0.25">
      <c r="A401">
        <v>5080</v>
      </c>
      <c r="B401">
        <v>18650</v>
      </c>
      <c r="C401" s="1">
        <v>42978</v>
      </c>
      <c r="G401">
        <v>17.600000000000001</v>
      </c>
      <c r="H401">
        <v>15.7</v>
      </c>
      <c r="I401">
        <v>19.7</v>
      </c>
      <c r="M401">
        <v>0.6</v>
      </c>
      <c r="N401">
        <v>2.6</v>
      </c>
      <c r="W401">
        <v>1226.4000000000001</v>
      </c>
    </row>
  </sheetData>
  <mergeCells count="13">
    <mergeCell ref="A334:F334"/>
    <mergeCell ref="F184:F234"/>
    <mergeCell ref="F235:F255"/>
    <mergeCell ref="F256:F279"/>
    <mergeCell ref="F280:F298"/>
    <mergeCell ref="F299:F319"/>
    <mergeCell ref="F144:F183"/>
    <mergeCell ref="G1:L1"/>
    <mergeCell ref="M1:P1"/>
    <mergeCell ref="Q1:U1"/>
    <mergeCell ref="W1:AB1"/>
    <mergeCell ref="A54:F54"/>
    <mergeCell ref="F55:F143"/>
  </mergeCells>
  <conditionalFormatting sqref="O2">
    <cfRule type="cellIs" dxfId="20" priority="21" operator="lessThan">
      <formula>0</formula>
    </cfRule>
  </conditionalFormatting>
  <conditionalFormatting sqref="G3:I401">
    <cfRule type="cellIs" dxfId="19" priority="18" operator="greaterThanOrEqual">
      <formula>25</formula>
    </cfRule>
    <cfRule type="cellIs" dxfId="18" priority="19" operator="between">
      <formula>0</formula>
      <formula>5</formula>
    </cfRule>
    <cfRule type="cellIs" dxfId="17" priority="20" operator="lessThan">
      <formula>0</formula>
    </cfRule>
  </conditionalFormatting>
  <conditionalFormatting sqref="L56 L64 L68 L66">
    <cfRule type="cellIs" dxfId="16" priority="16" operator="lessThanOrEqual">
      <formula>0</formula>
    </cfRule>
    <cfRule type="cellIs" dxfId="15" priority="17" operator="lessThanOrEqual">
      <formula>5</formula>
    </cfRule>
  </conditionalFormatting>
  <conditionalFormatting sqref="L281 L291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L257 L265 L267 L269">
    <cfRule type="cellIs" dxfId="12" priority="12" operator="lessThanOrEqual">
      <formula>0</formula>
    </cfRule>
    <cfRule type="cellIs" dxfId="11" priority="13" operator="lessThanOrEqual">
      <formula>5</formula>
    </cfRule>
  </conditionalFormatting>
  <conditionalFormatting sqref="L236 L248 L246 L244">
    <cfRule type="cellIs" dxfId="10" priority="10" operator="lessThanOrEqual">
      <formula>0</formula>
    </cfRule>
    <cfRule type="cellIs" dxfId="9" priority="11" operator="lessThanOrEqual">
      <formula>5</formula>
    </cfRule>
  </conditionalFormatting>
  <conditionalFormatting sqref="L185 L193 L197 L195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L145 L153 L157 L155">
    <cfRule type="cellIs" dxfId="6" priority="6" operator="lessThanOrEqual">
      <formula>0</formula>
    </cfRule>
    <cfRule type="cellIs" dxfId="5" priority="7" operator="lessThanOrEqual">
      <formula>5</formula>
    </cfRule>
  </conditionalFormatting>
  <conditionalFormatting sqref="O1:O1048576">
    <cfRule type="cellIs" dxfId="4" priority="5" operator="lessThan">
      <formula>0</formula>
    </cfRule>
  </conditionalFormatting>
  <conditionalFormatting sqref="T55:T333">
    <cfRule type="cellIs" dxfId="3" priority="4" operator="lessThan">
      <formula>0</formula>
    </cfRule>
  </conditionalFormatting>
  <conditionalFormatting sqref="W55:W333">
    <cfRule type="cellIs" dxfId="2" priority="3" operator="lessThan">
      <formula>900</formula>
    </cfRule>
  </conditionalFormatting>
  <conditionalFormatting sqref="U55:U333">
    <cfRule type="cellIs" dxfId="1" priority="1" operator="equal">
      <formula>0</formula>
    </cfRule>
    <cfRule type="cellIs" dxfId="0" priority="2" operator="lessThan">
      <formula>51.9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N-</vt:lpstr>
      <vt:lpstr>N+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2018-11-08T15:06:18Z</dcterms:created>
  <dcterms:modified xsi:type="dcterms:W3CDTF">2019-11-27T10:22:11Z</dcterms:modified>
</cp:coreProperties>
</file>