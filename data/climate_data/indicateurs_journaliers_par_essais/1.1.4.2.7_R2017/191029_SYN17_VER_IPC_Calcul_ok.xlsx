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7\"/>
    </mc:Choice>
  </mc:AlternateContent>
  <bookViews>
    <workbookView xWindow="0" yWindow="0" windowWidth="28800" windowHeight="11700"/>
  </bookViews>
  <sheets>
    <sheet name="N+" sheetId="1" r:id="rId1"/>
    <sheet name="N-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32" i="1" l="1"/>
  <c r="AC224" i="1"/>
  <c r="AC204" i="1"/>
  <c r="AC196" i="1"/>
  <c r="AD218" i="1"/>
  <c r="AD216" i="1"/>
  <c r="AD214" i="1"/>
  <c r="AD212" i="1"/>
  <c r="AC232" i="2"/>
  <c r="AC224" i="2"/>
  <c r="AC204" i="2"/>
  <c r="AD220" i="2" s="1"/>
  <c r="AC196" i="2"/>
  <c r="AD218" i="2"/>
  <c r="AD216" i="2"/>
  <c r="AD214" i="2"/>
  <c r="AD220" i="1" l="1"/>
  <c r="AD212" i="2"/>
  <c r="U188" i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13" i="1" s="1"/>
  <c r="U314" i="1" s="1"/>
  <c r="U315" i="1" s="1"/>
  <c r="U316" i="1" s="1"/>
  <c r="U317" i="1" s="1"/>
  <c r="U318" i="1" s="1"/>
  <c r="U319" i="1" s="1"/>
  <c r="U320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295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187" i="1"/>
  <c r="U188" i="2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13" i="2" s="1"/>
  <c r="U314" i="2" s="1"/>
  <c r="U315" i="2" s="1"/>
  <c r="U316" i="2" s="1"/>
  <c r="U317" i="2" s="1"/>
  <c r="U318" i="2" s="1"/>
  <c r="U319" i="2" s="1"/>
  <c r="U320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295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187" i="2"/>
  <c r="L320" i="2" l="1"/>
  <c r="L318" i="2"/>
  <c r="L316" i="2"/>
  <c r="L302" i="2"/>
  <c r="L300" i="2"/>
  <c r="L298" i="2"/>
  <c r="L274" i="2"/>
  <c r="L272" i="2"/>
  <c r="L270" i="2"/>
  <c r="Z313" i="2"/>
  <c r="Z295" i="2"/>
  <c r="Z267" i="2"/>
  <c r="L253" i="2"/>
  <c r="L251" i="2"/>
  <c r="L249" i="2"/>
  <c r="L194" i="2"/>
  <c r="L192" i="2"/>
  <c r="L190" i="2"/>
  <c r="K313" i="2"/>
  <c r="K295" i="2"/>
  <c r="K267" i="2"/>
  <c r="Z246" i="2"/>
  <c r="K246" i="2"/>
  <c r="L320" i="1"/>
  <c r="L318" i="1"/>
  <c r="L316" i="1"/>
  <c r="L302" i="1"/>
  <c r="L300" i="1"/>
  <c r="L298" i="1"/>
  <c r="L275" i="1"/>
  <c r="L273" i="1"/>
  <c r="L271" i="1"/>
  <c r="L254" i="1"/>
  <c r="L252" i="1"/>
  <c r="L250" i="1"/>
  <c r="L194" i="1"/>
  <c r="L192" i="1"/>
  <c r="L190" i="1"/>
  <c r="Z268" i="1"/>
  <c r="Z295" i="1"/>
  <c r="Z313" i="1"/>
  <c r="K313" i="1"/>
  <c r="K295" i="1"/>
  <c r="K268" i="1"/>
  <c r="Z249" i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48" i="1"/>
  <c r="Z247" i="1"/>
  <c r="K249" i="1"/>
  <c r="K250" i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48" i="1"/>
  <c r="K247" i="1"/>
  <c r="S358" i="2"/>
  <c r="T358" i="2" s="1"/>
  <c r="O358" i="2"/>
  <c r="S357" i="2"/>
  <c r="T357" i="2" s="1"/>
  <c r="O357" i="2"/>
  <c r="S356" i="2"/>
  <c r="T356" i="2" s="1"/>
  <c r="O356" i="2"/>
  <c r="S355" i="2"/>
  <c r="T355" i="2" s="1"/>
  <c r="O355" i="2"/>
  <c r="S354" i="2"/>
  <c r="T354" i="2" s="1"/>
  <c r="O354" i="2"/>
  <c r="S353" i="2"/>
  <c r="T353" i="2" s="1"/>
  <c r="O353" i="2"/>
  <c r="S352" i="2"/>
  <c r="T352" i="2" s="1"/>
  <c r="O352" i="2"/>
  <c r="S351" i="2"/>
  <c r="T351" i="2" s="1"/>
  <c r="O351" i="2"/>
  <c r="S350" i="2"/>
  <c r="T350" i="2" s="1"/>
  <c r="O350" i="2"/>
  <c r="S349" i="2"/>
  <c r="T349" i="2" s="1"/>
  <c r="O349" i="2"/>
  <c r="S348" i="2"/>
  <c r="T348" i="2" s="1"/>
  <c r="O348" i="2"/>
  <c r="P348" i="2" s="1"/>
  <c r="S347" i="2"/>
  <c r="T347" i="2" s="1"/>
  <c r="O347" i="2"/>
  <c r="S346" i="2"/>
  <c r="T346" i="2" s="1"/>
  <c r="O346" i="2"/>
  <c r="S345" i="2"/>
  <c r="T345" i="2" s="1"/>
  <c r="O345" i="2"/>
  <c r="S344" i="2"/>
  <c r="T344" i="2" s="1"/>
  <c r="O344" i="2"/>
  <c r="S343" i="2"/>
  <c r="T343" i="2" s="1"/>
  <c r="O343" i="2"/>
  <c r="S342" i="2"/>
  <c r="T342" i="2" s="1"/>
  <c r="O342" i="2"/>
  <c r="S341" i="2"/>
  <c r="T341" i="2" s="1"/>
  <c r="O341" i="2"/>
  <c r="S340" i="2"/>
  <c r="T340" i="2" s="1"/>
  <c r="O340" i="2"/>
  <c r="S339" i="2"/>
  <c r="T339" i="2" s="1"/>
  <c r="O339" i="2"/>
  <c r="S338" i="2"/>
  <c r="T338" i="2" s="1"/>
  <c r="O338" i="2"/>
  <c r="S337" i="2"/>
  <c r="T337" i="2" s="1"/>
  <c r="O337" i="2"/>
  <c r="S336" i="2"/>
  <c r="T336" i="2" s="1"/>
  <c r="O336" i="2"/>
  <c r="P336" i="2" s="1"/>
  <c r="P337" i="2" s="1"/>
  <c r="P338" i="2" s="1"/>
  <c r="P339" i="2" s="1"/>
  <c r="P340" i="2" s="1"/>
  <c r="P341" i="2" s="1"/>
  <c r="P342" i="2" s="1"/>
  <c r="P343" i="2" s="1"/>
  <c r="P344" i="2" s="1"/>
  <c r="S335" i="2"/>
  <c r="T335" i="2" s="1"/>
  <c r="O335" i="2"/>
  <c r="P335" i="2" s="1"/>
  <c r="S334" i="2"/>
  <c r="T334" i="2" s="1"/>
  <c r="O334" i="2"/>
  <c r="S333" i="2"/>
  <c r="T333" i="2" s="1"/>
  <c r="O333" i="2"/>
  <c r="S332" i="2"/>
  <c r="T332" i="2" s="1"/>
  <c r="O332" i="2"/>
  <c r="S331" i="2"/>
  <c r="T331" i="2" s="1"/>
  <c r="O331" i="2"/>
  <c r="S330" i="2"/>
  <c r="T330" i="2" s="1"/>
  <c r="O330" i="2"/>
  <c r="S329" i="2"/>
  <c r="T329" i="2" s="1"/>
  <c r="O329" i="2"/>
  <c r="S328" i="2"/>
  <c r="T328" i="2" s="1"/>
  <c r="O328" i="2"/>
  <c r="S327" i="2"/>
  <c r="T327" i="2" s="1"/>
  <c r="O327" i="2"/>
  <c r="S326" i="2"/>
  <c r="T326" i="2" s="1"/>
  <c r="O326" i="2"/>
  <c r="S325" i="2"/>
  <c r="T325" i="2" s="1"/>
  <c r="O325" i="2"/>
  <c r="S324" i="2"/>
  <c r="T324" i="2" s="1"/>
  <c r="O324" i="2"/>
  <c r="S323" i="2"/>
  <c r="T323" i="2" s="1"/>
  <c r="O323" i="2"/>
  <c r="S322" i="2"/>
  <c r="T322" i="2" s="1"/>
  <c r="O322" i="2"/>
  <c r="S321" i="2"/>
  <c r="T321" i="2" s="1"/>
  <c r="O321" i="2"/>
  <c r="S320" i="2"/>
  <c r="T320" i="2" s="1"/>
  <c r="O320" i="2"/>
  <c r="S319" i="2"/>
  <c r="T319" i="2" s="1"/>
  <c r="O319" i="2"/>
  <c r="S318" i="2"/>
  <c r="T318" i="2" s="1"/>
  <c r="O318" i="2"/>
  <c r="AB316" i="2"/>
  <c r="S317" i="2"/>
  <c r="T317" i="2" s="1"/>
  <c r="O317" i="2"/>
  <c r="S316" i="2"/>
  <c r="T316" i="2" s="1"/>
  <c r="O316" i="2"/>
  <c r="S315" i="2"/>
  <c r="T315" i="2" s="1"/>
  <c r="O315" i="2"/>
  <c r="S314" i="2"/>
  <c r="T314" i="2" s="1"/>
  <c r="P314" i="2"/>
  <c r="P315" i="2" s="1"/>
  <c r="P316" i="2" s="1"/>
  <c r="O314" i="2"/>
  <c r="S313" i="2"/>
  <c r="T313" i="2" s="1"/>
  <c r="O313" i="2"/>
  <c r="P313" i="2" s="1"/>
  <c r="S312" i="2"/>
  <c r="T312" i="2" s="1"/>
  <c r="O312" i="2"/>
  <c r="S311" i="2"/>
  <c r="T311" i="2" s="1"/>
  <c r="O311" i="2"/>
  <c r="S310" i="2"/>
  <c r="T310" i="2" s="1"/>
  <c r="O310" i="2"/>
  <c r="S309" i="2"/>
  <c r="T309" i="2" s="1"/>
  <c r="O309" i="2"/>
  <c r="S308" i="2"/>
  <c r="T308" i="2" s="1"/>
  <c r="O308" i="2"/>
  <c r="S307" i="2"/>
  <c r="T307" i="2" s="1"/>
  <c r="O307" i="2"/>
  <c r="S306" i="2"/>
  <c r="T306" i="2" s="1"/>
  <c r="O306" i="2"/>
  <c r="S305" i="2"/>
  <c r="T305" i="2" s="1"/>
  <c r="O305" i="2"/>
  <c r="S304" i="2"/>
  <c r="T304" i="2" s="1"/>
  <c r="O304" i="2"/>
  <c r="S303" i="2"/>
  <c r="T303" i="2" s="1"/>
  <c r="O303" i="2"/>
  <c r="S302" i="2"/>
  <c r="T302" i="2" s="1"/>
  <c r="O302" i="2"/>
  <c r="S301" i="2"/>
  <c r="T301" i="2" s="1"/>
  <c r="O301" i="2"/>
  <c r="S300" i="2"/>
  <c r="T300" i="2" s="1"/>
  <c r="O300" i="2"/>
  <c r="AB298" i="2"/>
  <c r="S299" i="2"/>
  <c r="T299" i="2" s="1"/>
  <c r="O299" i="2"/>
  <c r="S298" i="2"/>
  <c r="T298" i="2" s="1"/>
  <c r="O298" i="2"/>
  <c r="T297" i="2"/>
  <c r="S297" i="2"/>
  <c r="O297" i="2"/>
  <c r="S296" i="2"/>
  <c r="T296" i="2" s="1"/>
  <c r="O296" i="2"/>
  <c r="S295" i="2"/>
  <c r="T295" i="2" s="1"/>
  <c r="O295" i="2"/>
  <c r="S294" i="2"/>
  <c r="T294" i="2" s="1"/>
  <c r="O294" i="2"/>
  <c r="S293" i="2"/>
  <c r="T293" i="2" s="1"/>
  <c r="O293" i="2"/>
  <c r="S292" i="2"/>
  <c r="T292" i="2" s="1"/>
  <c r="O292" i="2"/>
  <c r="S291" i="2"/>
  <c r="T291" i="2" s="1"/>
  <c r="O291" i="2"/>
  <c r="S290" i="2"/>
  <c r="T290" i="2" s="1"/>
  <c r="O290" i="2"/>
  <c r="S289" i="2"/>
  <c r="T289" i="2" s="1"/>
  <c r="O289" i="2"/>
  <c r="S288" i="2"/>
  <c r="T288" i="2" s="1"/>
  <c r="O288" i="2"/>
  <c r="S287" i="2"/>
  <c r="T287" i="2" s="1"/>
  <c r="O287" i="2"/>
  <c r="S286" i="2"/>
  <c r="T286" i="2" s="1"/>
  <c r="O286" i="2"/>
  <c r="S285" i="2"/>
  <c r="T285" i="2" s="1"/>
  <c r="O285" i="2"/>
  <c r="S284" i="2"/>
  <c r="T284" i="2" s="1"/>
  <c r="O284" i="2"/>
  <c r="S283" i="2"/>
  <c r="T283" i="2" s="1"/>
  <c r="O283" i="2"/>
  <c r="T282" i="2"/>
  <c r="S282" i="2"/>
  <c r="O282" i="2"/>
  <c r="S281" i="2"/>
  <c r="T281" i="2" s="1"/>
  <c r="O281" i="2"/>
  <c r="T280" i="2"/>
  <c r="S280" i="2"/>
  <c r="O280" i="2"/>
  <c r="S279" i="2"/>
  <c r="T279" i="2" s="1"/>
  <c r="O279" i="2"/>
  <c r="S278" i="2"/>
  <c r="T278" i="2" s="1"/>
  <c r="O278" i="2"/>
  <c r="S277" i="2"/>
  <c r="T277" i="2" s="1"/>
  <c r="O277" i="2"/>
  <c r="S276" i="2"/>
  <c r="T276" i="2" s="1"/>
  <c r="O276" i="2"/>
  <c r="T275" i="2"/>
  <c r="S275" i="2"/>
  <c r="O275" i="2"/>
  <c r="T274" i="2"/>
  <c r="S274" i="2"/>
  <c r="O274" i="2"/>
  <c r="S273" i="2"/>
  <c r="T273" i="2" s="1"/>
  <c r="O273" i="2"/>
  <c r="AB270" i="2"/>
  <c r="S272" i="2"/>
  <c r="T272" i="2" s="1"/>
  <c r="O272" i="2"/>
  <c r="S271" i="2"/>
  <c r="T271" i="2" s="1"/>
  <c r="O271" i="2"/>
  <c r="S270" i="2"/>
  <c r="T270" i="2" s="1"/>
  <c r="O270" i="2"/>
  <c r="S269" i="2"/>
  <c r="T269" i="2" s="1"/>
  <c r="O269" i="2"/>
  <c r="S268" i="2"/>
  <c r="T268" i="2" s="1"/>
  <c r="O268" i="2"/>
  <c r="S267" i="2"/>
  <c r="T267" i="2" s="1"/>
  <c r="O267" i="2"/>
  <c r="S266" i="2"/>
  <c r="T266" i="2" s="1"/>
  <c r="O266" i="2"/>
  <c r="S265" i="2"/>
  <c r="T265" i="2" s="1"/>
  <c r="O265" i="2"/>
  <c r="S264" i="2"/>
  <c r="T264" i="2" s="1"/>
  <c r="O264" i="2"/>
  <c r="S263" i="2"/>
  <c r="T263" i="2" s="1"/>
  <c r="O263" i="2"/>
  <c r="S262" i="2"/>
  <c r="T262" i="2" s="1"/>
  <c r="O262" i="2"/>
  <c r="T261" i="2"/>
  <c r="S261" i="2"/>
  <c r="O261" i="2"/>
  <c r="S260" i="2"/>
  <c r="T260" i="2" s="1"/>
  <c r="O260" i="2"/>
  <c r="S259" i="2"/>
  <c r="T259" i="2" s="1"/>
  <c r="O259" i="2"/>
  <c r="S258" i="2"/>
  <c r="T258" i="2" s="1"/>
  <c r="O258" i="2"/>
  <c r="S257" i="2"/>
  <c r="T257" i="2" s="1"/>
  <c r="O257" i="2"/>
  <c r="S256" i="2"/>
  <c r="T256" i="2" s="1"/>
  <c r="O256" i="2"/>
  <c r="S255" i="2"/>
  <c r="T255" i="2" s="1"/>
  <c r="O255" i="2"/>
  <c r="T254" i="2"/>
  <c r="S254" i="2"/>
  <c r="O254" i="2"/>
  <c r="S253" i="2"/>
  <c r="T253" i="2" s="1"/>
  <c r="O253" i="2"/>
  <c r="S252" i="2"/>
  <c r="T252" i="2" s="1"/>
  <c r="O252" i="2"/>
  <c r="AB249" i="2"/>
  <c r="S251" i="2"/>
  <c r="T251" i="2" s="1"/>
  <c r="O251" i="2"/>
  <c r="S250" i="2"/>
  <c r="T250" i="2" s="1"/>
  <c r="O250" i="2"/>
  <c r="S249" i="2"/>
  <c r="T249" i="2" s="1"/>
  <c r="O249" i="2"/>
  <c r="S248" i="2"/>
  <c r="T248" i="2" s="1"/>
  <c r="O248" i="2"/>
  <c r="S247" i="2"/>
  <c r="T247" i="2" s="1"/>
  <c r="O247" i="2"/>
  <c r="S246" i="2"/>
  <c r="T246" i="2" s="1"/>
  <c r="O246" i="2"/>
  <c r="S245" i="2"/>
  <c r="T245" i="2" s="1"/>
  <c r="O245" i="2"/>
  <c r="S244" i="2"/>
  <c r="T244" i="2" s="1"/>
  <c r="O244" i="2"/>
  <c r="S243" i="2"/>
  <c r="T243" i="2" s="1"/>
  <c r="O243" i="2"/>
  <c r="S242" i="2"/>
  <c r="T242" i="2" s="1"/>
  <c r="O242" i="2"/>
  <c r="S241" i="2"/>
  <c r="T241" i="2" s="1"/>
  <c r="O241" i="2"/>
  <c r="S240" i="2"/>
  <c r="T240" i="2" s="1"/>
  <c r="O240" i="2"/>
  <c r="S239" i="2"/>
  <c r="T239" i="2" s="1"/>
  <c r="O239" i="2"/>
  <c r="S238" i="2"/>
  <c r="T238" i="2" s="1"/>
  <c r="O238" i="2"/>
  <c r="S237" i="2"/>
  <c r="T237" i="2" s="1"/>
  <c r="O237" i="2"/>
  <c r="S236" i="2"/>
  <c r="T236" i="2" s="1"/>
  <c r="O236" i="2"/>
  <c r="S235" i="2"/>
  <c r="T235" i="2" s="1"/>
  <c r="O235" i="2"/>
  <c r="S234" i="2"/>
  <c r="T234" i="2" s="1"/>
  <c r="O234" i="2"/>
  <c r="S233" i="2"/>
  <c r="T233" i="2" s="1"/>
  <c r="O233" i="2"/>
  <c r="S232" i="2"/>
  <c r="T232" i="2" s="1"/>
  <c r="O232" i="2"/>
  <c r="S231" i="2"/>
  <c r="T231" i="2" s="1"/>
  <c r="O231" i="2"/>
  <c r="S230" i="2"/>
  <c r="T230" i="2" s="1"/>
  <c r="O230" i="2"/>
  <c r="S229" i="2"/>
  <c r="T229" i="2" s="1"/>
  <c r="O229" i="2"/>
  <c r="S228" i="2"/>
  <c r="T228" i="2" s="1"/>
  <c r="O228" i="2"/>
  <c r="S227" i="2"/>
  <c r="T227" i="2" s="1"/>
  <c r="O227" i="2"/>
  <c r="S226" i="2"/>
  <c r="T226" i="2" s="1"/>
  <c r="O226" i="2"/>
  <c r="S225" i="2"/>
  <c r="T225" i="2" s="1"/>
  <c r="O225" i="2"/>
  <c r="S224" i="2"/>
  <c r="T224" i="2" s="1"/>
  <c r="O224" i="2"/>
  <c r="S223" i="2"/>
  <c r="T223" i="2" s="1"/>
  <c r="O223" i="2"/>
  <c r="S222" i="2"/>
  <c r="T222" i="2" s="1"/>
  <c r="O222" i="2"/>
  <c r="S221" i="2"/>
  <c r="T221" i="2" s="1"/>
  <c r="O221" i="2"/>
  <c r="S220" i="2"/>
  <c r="T220" i="2" s="1"/>
  <c r="O220" i="2"/>
  <c r="S219" i="2"/>
  <c r="T219" i="2" s="1"/>
  <c r="O219" i="2"/>
  <c r="S218" i="2"/>
  <c r="T218" i="2" s="1"/>
  <c r="O218" i="2"/>
  <c r="S217" i="2"/>
  <c r="T217" i="2" s="1"/>
  <c r="O217" i="2"/>
  <c r="S216" i="2"/>
  <c r="T216" i="2" s="1"/>
  <c r="O216" i="2"/>
  <c r="S215" i="2"/>
  <c r="T215" i="2" s="1"/>
  <c r="O215" i="2"/>
  <c r="S214" i="2"/>
  <c r="T214" i="2" s="1"/>
  <c r="O214" i="2"/>
  <c r="S213" i="2"/>
  <c r="T213" i="2" s="1"/>
  <c r="O213" i="2"/>
  <c r="S212" i="2"/>
  <c r="T212" i="2" s="1"/>
  <c r="O212" i="2"/>
  <c r="S211" i="2"/>
  <c r="T211" i="2" s="1"/>
  <c r="O211" i="2"/>
  <c r="S210" i="2"/>
  <c r="T210" i="2" s="1"/>
  <c r="O210" i="2"/>
  <c r="S209" i="2"/>
  <c r="T209" i="2" s="1"/>
  <c r="O209" i="2"/>
  <c r="S208" i="2"/>
  <c r="T208" i="2" s="1"/>
  <c r="O208" i="2"/>
  <c r="S207" i="2"/>
  <c r="T207" i="2" s="1"/>
  <c r="O207" i="2"/>
  <c r="S206" i="2"/>
  <c r="T206" i="2" s="1"/>
  <c r="O206" i="2"/>
  <c r="S205" i="2"/>
  <c r="T205" i="2" s="1"/>
  <c r="O205" i="2"/>
  <c r="S204" i="2"/>
  <c r="T204" i="2" s="1"/>
  <c r="O204" i="2"/>
  <c r="S203" i="2"/>
  <c r="T203" i="2" s="1"/>
  <c r="O203" i="2"/>
  <c r="S202" i="2"/>
  <c r="T202" i="2" s="1"/>
  <c r="O202" i="2"/>
  <c r="S201" i="2"/>
  <c r="T201" i="2" s="1"/>
  <c r="O201" i="2"/>
  <c r="S200" i="2"/>
  <c r="T200" i="2" s="1"/>
  <c r="O200" i="2"/>
  <c r="S199" i="2"/>
  <c r="T199" i="2" s="1"/>
  <c r="O199" i="2"/>
  <c r="T198" i="2"/>
  <c r="S198" i="2"/>
  <c r="O198" i="2"/>
  <c r="S197" i="2"/>
  <c r="T197" i="2" s="1"/>
  <c r="O197" i="2"/>
  <c r="S196" i="2"/>
  <c r="T196" i="2" s="1"/>
  <c r="O196" i="2"/>
  <c r="S195" i="2"/>
  <c r="T195" i="2" s="1"/>
  <c r="O195" i="2"/>
  <c r="S194" i="2"/>
  <c r="T194" i="2" s="1"/>
  <c r="O194" i="2"/>
  <c r="S193" i="2"/>
  <c r="T193" i="2" s="1"/>
  <c r="O193" i="2"/>
  <c r="S192" i="2"/>
  <c r="T192" i="2" s="1"/>
  <c r="O192" i="2"/>
  <c r="S191" i="2"/>
  <c r="T191" i="2" s="1"/>
  <c r="O191" i="2"/>
  <c r="AB190" i="2"/>
  <c r="S190" i="2"/>
  <c r="T190" i="2" s="1"/>
  <c r="O190" i="2"/>
  <c r="S189" i="2"/>
  <c r="T189" i="2" s="1"/>
  <c r="O189" i="2"/>
  <c r="S188" i="2"/>
  <c r="T188" i="2" s="1"/>
  <c r="O188" i="2"/>
  <c r="K188" i="2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Z187" i="2"/>
  <c r="Z188" i="2" s="1"/>
  <c r="Z189" i="2" s="1"/>
  <c r="Z190" i="2" s="1"/>
  <c r="Z191" i="2" s="1"/>
  <c r="Z192" i="2" s="1"/>
  <c r="Z193" i="2" s="1"/>
  <c r="Z194" i="2" s="1"/>
  <c r="Z195" i="2" s="1"/>
  <c r="Z196" i="2" s="1"/>
  <c r="Z197" i="2" s="1"/>
  <c r="Z198" i="2" s="1"/>
  <c r="Z199" i="2" s="1"/>
  <c r="Z200" i="2" s="1"/>
  <c r="Z201" i="2" s="1"/>
  <c r="Z202" i="2" s="1"/>
  <c r="Z203" i="2" s="1"/>
  <c r="Z204" i="2" s="1"/>
  <c r="Z205" i="2" s="1"/>
  <c r="Z206" i="2" s="1"/>
  <c r="Z207" i="2" s="1"/>
  <c r="Z208" i="2" s="1"/>
  <c r="Z209" i="2" s="1"/>
  <c r="Z210" i="2" s="1"/>
  <c r="Z211" i="2" s="1"/>
  <c r="Z212" i="2" s="1"/>
  <c r="Z213" i="2" s="1"/>
  <c r="Z214" i="2" s="1"/>
  <c r="Z215" i="2" s="1"/>
  <c r="Z216" i="2" s="1"/>
  <c r="Z217" i="2" s="1"/>
  <c r="Z218" i="2" s="1"/>
  <c r="Z219" i="2" s="1"/>
  <c r="Z220" i="2" s="1"/>
  <c r="Z221" i="2" s="1"/>
  <c r="Z222" i="2" s="1"/>
  <c r="Z223" i="2" s="1"/>
  <c r="Z224" i="2" s="1"/>
  <c r="Z225" i="2" s="1"/>
  <c r="Z226" i="2" s="1"/>
  <c r="Z227" i="2" s="1"/>
  <c r="Z228" i="2" s="1"/>
  <c r="Z229" i="2" s="1"/>
  <c r="Z230" i="2" s="1"/>
  <c r="Z231" i="2" s="1"/>
  <c r="Z232" i="2" s="1"/>
  <c r="Z233" i="2" s="1"/>
  <c r="Z234" i="2" s="1"/>
  <c r="Z235" i="2" s="1"/>
  <c r="Z236" i="2" s="1"/>
  <c r="Z237" i="2" s="1"/>
  <c r="Z238" i="2" s="1"/>
  <c r="Z239" i="2" s="1"/>
  <c r="Z240" i="2" s="1"/>
  <c r="Z241" i="2" s="1"/>
  <c r="Z242" i="2" s="1"/>
  <c r="Z243" i="2" s="1"/>
  <c r="Z244" i="2" s="1"/>
  <c r="Z245" i="2" s="1"/>
  <c r="Z247" i="2" s="1"/>
  <c r="Z248" i="2" s="1"/>
  <c r="Z249" i="2" s="1"/>
  <c r="Z250" i="2" s="1"/>
  <c r="Z251" i="2" s="1"/>
  <c r="Z252" i="2" s="1"/>
  <c r="Z253" i="2" s="1"/>
  <c r="Z254" i="2" s="1"/>
  <c r="Z255" i="2" s="1"/>
  <c r="Z256" i="2" s="1"/>
  <c r="Z257" i="2" s="1"/>
  <c r="Z258" i="2" s="1"/>
  <c r="Z259" i="2" s="1"/>
  <c r="Z260" i="2" s="1"/>
  <c r="Z261" i="2" s="1"/>
  <c r="Z262" i="2" s="1"/>
  <c r="Z263" i="2" s="1"/>
  <c r="Z264" i="2" s="1"/>
  <c r="Z265" i="2" s="1"/>
  <c r="Z266" i="2" s="1"/>
  <c r="Z268" i="2" s="1"/>
  <c r="Z269" i="2" s="1"/>
  <c r="Z270" i="2" s="1"/>
  <c r="Z271" i="2" s="1"/>
  <c r="Z272" i="2" s="1"/>
  <c r="Z273" i="2" s="1"/>
  <c r="Z274" i="2" s="1"/>
  <c r="Z275" i="2" s="1"/>
  <c r="Z276" i="2" s="1"/>
  <c r="Z277" i="2" s="1"/>
  <c r="Z278" i="2" s="1"/>
  <c r="Z279" i="2" s="1"/>
  <c r="Z280" i="2" s="1"/>
  <c r="Z281" i="2" s="1"/>
  <c r="Z282" i="2" s="1"/>
  <c r="Z283" i="2" s="1"/>
  <c r="Z284" i="2" s="1"/>
  <c r="Z285" i="2" s="1"/>
  <c r="Z286" i="2" s="1"/>
  <c r="Z287" i="2" s="1"/>
  <c r="Z288" i="2" s="1"/>
  <c r="Z289" i="2" s="1"/>
  <c r="Z290" i="2" s="1"/>
  <c r="Z291" i="2" s="1"/>
  <c r="Z292" i="2" s="1"/>
  <c r="Z293" i="2" s="1"/>
  <c r="Z294" i="2" s="1"/>
  <c r="S187" i="2"/>
  <c r="T187" i="2" s="1"/>
  <c r="O187" i="2"/>
  <c r="S186" i="2"/>
  <c r="T186" i="2" s="1"/>
  <c r="O186" i="2"/>
  <c r="S185" i="2"/>
  <c r="T185" i="2" s="1"/>
  <c r="O185" i="2"/>
  <c r="K185" i="2"/>
  <c r="K186" i="2" s="1"/>
  <c r="J185" i="2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S184" i="2"/>
  <c r="T184" i="2" s="1"/>
  <c r="O184" i="2"/>
  <c r="K184" i="2"/>
  <c r="J184" i="2"/>
  <c r="S183" i="2"/>
  <c r="T183" i="2" s="1"/>
  <c r="O183" i="2"/>
  <c r="T182" i="2"/>
  <c r="S182" i="2"/>
  <c r="O182" i="2"/>
  <c r="T181" i="2"/>
  <c r="S181" i="2"/>
  <c r="O181" i="2"/>
  <c r="S180" i="2"/>
  <c r="T180" i="2" s="1"/>
  <c r="O180" i="2"/>
  <c r="S179" i="2"/>
  <c r="T179" i="2" s="1"/>
  <c r="O179" i="2"/>
  <c r="S178" i="2"/>
  <c r="T178" i="2" s="1"/>
  <c r="O178" i="2"/>
  <c r="T177" i="2"/>
  <c r="S177" i="2"/>
  <c r="O177" i="2"/>
  <c r="S176" i="2"/>
  <c r="T176" i="2" s="1"/>
  <c r="O176" i="2"/>
  <c r="S175" i="2"/>
  <c r="T175" i="2" s="1"/>
  <c r="O175" i="2"/>
  <c r="S174" i="2"/>
  <c r="T174" i="2" s="1"/>
  <c r="O174" i="2"/>
  <c r="S173" i="2"/>
  <c r="T173" i="2" s="1"/>
  <c r="O173" i="2"/>
  <c r="S172" i="2"/>
  <c r="T172" i="2" s="1"/>
  <c r="O172" i="2"/>
  <c r="S171" i="2"/>
  <c r="T171" i="2" s="1"/>
  <c r="O171" i="2"/>
  <c r="S170" i="2"/>
  <c r="T170" i="2" s="1"/>
  <c r="O170" i="2"/>
  <c r="S169" i="2"/>
  <c r="T169" i="2" s="1"/>
  <c r="O169" i="2"/>
  <c r="S168" i="2"/>
  <c r="T168" i="2" s="1"/>
  <c r="O168" i="2"/>
  <c r="S167" i="2"/>
  <c r="T167" i="2" s="1"/>
  <c r="O167" i="2"/>
  <c r="S166" i="2"/>
  <c r="T166" i="2" s="1"/>
  <c r="O166" i="2"/>
  <c r="S165" i="2"/>
  <c r="T165" i="2" s="1"/>
  <c r="O165" i="2"/>
  <c r="K165" i="2"/>
  <c r="K166" i="2" s="1"/>
  <c r="K167" i="2" s="1"/>
  <c r="K168" i="2" s="1"/>
  <c r="K169" i="2" s="1"/>
  <c r="K170" i="2" s="1"/>
  <c r="K171" i="2" s="1"/>
  <c r="K172" i="2" s="1"/>
  <c r="K173" i="2" s="1"/>
  <c r="J165" i="2"/>
  <c r="J166" i="2" s="1"/>
  <c r="J167" i="2" s="1"/>
  <c r="J168" i="2" s="1"/>
  <c r="J169" i="2" s="1"/>
  <c r="J170" i="2" s="1"/>
  <c r="J171" i="2" s="1"/>
  <c r="J172" i="2" s="1"/>
  <c r="J173" i="2" s="1"/>
  <c r="S164" i="2"/>
  <c r="T164" i="2" s="1"/>
  <c r="O164" i="2"/>
  <c r="S163" i="2"/>
  <c r="T163" i="2" s="1"/>
  <c r="O163" i="2"/>
  <c r="S162" i="2"/>
  <c r="T162" i="2" s="1"/>
  <c r="O162" i="2"/>
  <c r="J162" i="2"/>
  <c r="S161" i="2"/>
  <c r="T161" i="2" s="1"/>
  <c r="O161" i="2"/>
  <c r="K161" i="2"/>
  <c r="K162" i="2" s="1"/>
  <c r="J161" i="2"/>
  <c r="S160" i="2"/>
  <c r="T160" i="2" s="1"/>
  <c r="O160" i="2"/>
  <c r="T159" i="2"/>
  <c r="S159" i="2"/>
  <c r="O159" i="2"/>
  <c r="K159" i="2"/>
  <c r="J159" i="2"/>
  <c r="S158" i="2"/>
  <c r="T158" i="2" s="1"/>
  <c r="O158" i="2"/>
  <c r="T157" i="2"/>
  <c r="S157" i="2"/>
  <c r="O157" i="2"/>
  <c r="S156" i="2"/>
  <c r="T156" i="2" s="1"/>
  <c r="O156" i="2"/>
  <c r="S155" i="2"/>
  <c r="T155" i="2" s="1"/>
  <c r="O155" i="2"/>
  <c r="S154" i="2"/>
  <c r="T154" i="2" s="1"/>
  <c r="O154" i="2"/>
  <c r="S153" i="2"/>
  <c r="T153" i="2" s="1"/>
  <c r="O153" i="2"/>
  <c r="S152" i="2"/>
  <c r="T152" i="2" s="1"/>
  <c r="O152" i="2"/>
  <c r="S151" i="2"/>
  <c r="T151" i="2" s="1"/>
  <c r="O151" i="2"/>
  <c r="S150" i="2"/>
  <c r="T150" i="2" s="1"/>
  <c r="O150" i="2"/>
  <c r="S149" i="2"/>
  <c r="T149" i="2" s="1"/>
  <c r="O149" i="2"/>
  <c r="S148" i="2"/>
  <c r="T148" i="2" s="1"/>
  <c r="O148" i="2"/>
  <c r="S147" i="2"/>
  <c r="T147" i="2" s="1"/>
  <c r="O147" i="2"/>
  <c r="S146" i="2"/>
  <c r="T146" i="2" s="1"/>
  <c r="O146" i="2"/>
  <c r="S145" i="2"/>
  <c r="T145" i="2" s="1"/>
  <c r="O145" i="2"/>
  <c r="S144" i="2"/>
  <c r="T144" i="2" s="1"/>
  <c r="O144" i="2"/>
  <c r="T143" i="2"/>
  <c r="S143" i="2"/>
  <c r="O143" i="2"/>
  <c r="S142" i="2"/>
  <c r="T142" i="2" s="1"/>
  <c r="O142" i="2"/>
  <c r="S141" i="2"/>
  <c r="T141" i="2" s="1"/>
  <c r="O141" i="2"/>
  <c r="S140" i="2"/>
  <c r="T140" i="2" s="1"/>
  <c r="O140" i="2"/>
  <c r="S139" i="2"/>
  <c r="T139" i="2" s="1"/>
  <c r="O139" i="2"/>
  <c r="S138" i="2"/>
  <c r="T138" i="2" s="1"/>
  <c r="O138" i="2"/>
  <c r="S137" i="2"/>
  <c r="T137" i="2" s="1"/>
  <c r="O137" i="2"/>
  <c r="S136" i="2"/>
  <c r="T136" i="2" s="1"/>
  <c r="O136" i="2"/>
  <c r="T135" i="2"/>
  <c r="S135" i="2"/>
  <c r="O135" i="2"/>
  <c r="T134" i="2"/>
  <c r="S134" i="2"/>
  <c r="O134" i="2"/>
  <c r="S133" i="2"/>
  <c r="T133" i="2" s="1"/>
  <c r="O133" i="2"/>
  <c r="S132" i="2"/>
  <c r="T132" i="2" s="1"/>
  <c r="O132" i="2"/>
  <c r="S131" i="2"/>
  <c r="T131" i="2" s="1"/>
  <c r="O131" i="2"/>
  <c r="S130" i="2"/>
  <c r="T130" i="2" s="1"/>
  <c r="O130" i="2"/>
  <c r="L130" i="2"/>
  <c r="S129" i="2"/>
  <c r="T129" i="2" s="1"/>
  <c r="O129" i="2"/>
  <c r="S128" i="2"/>
  <c r="T128" i="2" s="1"/>
  <c r="O128" i="2"/>
  <c r="L128" i="2"/>
  <c r="S127" i="2"/>
  <c r="T127" i="2" s="1"/>
  <c r="O127" i="2"/>
  <c r="K127" i="2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J127" i="2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AB126" i="2"/>
  <c r="S126" i="2"/>
  <c r="T126" i="2" s="1"/>
  <c r="O126" i="2"/>
  <c r="L126" i="2"/>
  <c r="T125" i="2"/>
  <c r="S125" i="2"/>
  <c r="O125" i="2"/>
  <c r="S124" i="2"/>
  <c r="T124" i="2" s="1"/>
  <c r="O124" i="2"/>
  <c r="Z123" i="2"/>
  <c r="Z124" i="2" s="1"/>
  <c r="Z125" i="2" s="1"/>
  <c r="Z126" i="2" s="1"/>
  <c r="Z127" i="2" s="1"/>
  <c r="Z128" i="2" s="1"/>
  <c r="Z129" i="2" s="1"/>
  <c r="Z130" i="2" s="1"/>
  <c r="Z131" i="2" s="1"/>
  <c r="Z132" i="2" s="1"/>
  <c r="Z133" i="2" s="1"/>
  <c r="Z134" i="2" s="1"/>
  <c r="Z135" i="2" s="1"/>
  <c r="Z136" i="2" s="1"/>
  <c r="Z137" i="2" s="1"/>
  <c r="Z138" i="2" s="1"/>
  <c r="Z139" i="2" s="1"/>
  <c r="Z140" i="2" s="1"/>
  <c r="Z141" i="2" s="1"/>
  <c r="Z142" i="2" s="1"/>
  <c r="Z143" i="2" s="1"/>
  <c r="Z144" i="2" s="1"/>
  <c r="Z145" i="2" s="1"/>
  <c r="Z146" i="2" s="1"/>
  <c r="Z147" i="2" s="1"/>
  <c r="Z148" i="2" s="1"/>
  <c r="Z149" i="2" s="1"/>
  <c r="Z150" i="2" s="1"/>
  <c r="Z151" i="2" s="1"/>
  <c r="Z152" i="2" s="1"/>
  <c r="Z153" i="2" s="1"/>
  <c r="Z154" i="2" s="1"/>
  <c r="Z155" i="2" s="1"/>
  <c r="Z156" i="2" s="1"/>
  <c r="Z157" i="2" s="1"/>
  <c r="Z158" i="2" s="1"/>
  <c r="Z159" i="2" s="1"/>
  <c r="Z160" i="2" s="1"/>
  <c r="Z161" i="2" s="1"/>
  <c r="Z162" i="2" s="1"/>
  <c r="Z163" i="2" s="1"/>
  <c r="Z164" i="2" s="1"/>
  <c r="Z165" i="2" s="1"/>
  <c r="Z166" i="2" s="1"/>
  <c r="Z167" i="2" s="1"/>
  <c r="Z168" i="2" s="1"/>
  <c r="Z169" i="2" s="1"/>
  <c r="Z170" i="2" s="1"/>
  <c r="Z171" i="2" s="1"/>
  <c r="Z172" i="2" s="1"/>
  <c r="Z173" i="2" s="1"/>
  <c r="Z174" i="2" s="1"/>
  <c r="Z175" i="2" s="1"/>
  <c r="Z176" i="2" s="1"/>
  <c r="Z177" i="2" s="1"/>
  <c r="Z178" i="2" s="1"/>
  <c r="Z179" i="2" s="1"/>
  <c r="Z180" i="2" s="1"/>
  <c r="Z181" i="2" s="1"/>
  <c r="Z182" i="2" s="1"/>
  <c r="Z183" i="2" s="1"/>
  <c r="Z184" i="2" s="1"/>
  <c r="Z185" i="2" s="1"/>
  <c r="Z186" i="2" s="1"/>
  <c r="S123" i="2"/>
  <c r="T123" i="2" s="1"/>
  <c r="O123" i="2"/>
  <c r="K123" i="2"/>
  <c r="K124" i="2" s="1"/>
  <c r="R122" i="2"/>
  <c r="S122" i="2" s="1"/>
  <c r="T122" i="2" s="1"/>
  <c r="O122" i="2"/>
  <c r="T121" i="2"/>
  <c r="R121" i="2"/>
  <c r="S121" i="2" s="1"/>
  <c r="O121" i="2"/>
  <c r="R120" i="2"/>
  <c r="S120" i="2" s="1"/>
  <c r="T120" i="2" s="1"/>
  <c r="O120" i="2"/>
  <c r="T119" i="2"/>
  <c r="R119" i="2"/>
  <c r="S119" i="2" s="1"/>
  <c r="O119" i="2"/>
  <c r="R118" i="2"/>
  <c r="S118" i="2" s="1"/>
  <c r="T118" i="2" s="1"/>
  <c r="O118" i="2"/>
  <c r="R117" i="2"/>
  <c r="S117" i="2" s="1"/>
  <c r="T117" i="2" s="1"/>
  <c r="O117" i="2"/>
  <c r="R116" i="2"/>
  <c r="S116" i="2" s="1"/>
  <c r="T116" i="2" s="1"/>
  <c r="O116" i="2"/>
  <c r="R115" i="2"/>
  <c r="S115" i="2" s="1"/>
  <c r="T115" i="2" s="1"/>
  <c r="O115" i="2"/>
  <c r="R114" i="2"/>
  <c r="S114" i="2" s="1"/>
  <c r="T114" i="2" s="1"/>
  <c r="O114" i="2"/>
  <c r="T113" i="2"/>
  <c r="R113" i="2"/>
  <c r="S113" i="2" s="1"/>
  <c r="O113" i="2"/>
  <c r="R112" i="2"/>
  <c r="S112" i="2" s="1"/>
  <c r="T112" i="2" s="1"/>
  <c r="O112" i="2"/>
  <c r="T111" i="2"/>
  <c r="R111" i="2"/>
  <c r="S111" i="2" s="1"/>
  <c r="O111" i="2"/>
  <c r="R110" i="2"/>
  <c r="S110" i="2" s="1"/>
  <c r="T110" i="2" s="1"/>
  <c r="O110" i="2"/>
  <c r="T109" i="2"/>
  <c r="R109" i="2"/>
  <c r="S109" i="2" s="1"/>
  <c r="O109" i="2"/>
  <c r="R108" i="2"/>
  <c r="S108" i="2" s="1"/>
  <c r="T108" i="2" s="1"/>
  <c r="O108" i="2"/>
  <c r="R107" i="2"/>
  <c r="S107" i="2" s="1"/>
  <c r="T107" i="2" s="1"/>
  <c r="O107" i="2"/>
  <c r="R106" i="2"/>
  <c r="S106" i="2" s="1"/>
  <c r="T106" i="2" s="1"/>
  <c r="O106" i="2"/>
  <c r="T105" i="2"/>
  <c r="R105" i="2"/>
  <c r="S105" i="2" s="1"/>
  <c r="O105" i="2"/>
  <c r="R104" i="2"/>
  <c r="S104" i="2" s="1"/>
  <c r="T104" i="2" s="1"/>
  <c r="O104" i="2"/>
  <c r="T103" i="2"/>
  <c r="R103" i="2"/>
  <c r="S103" i="2" s="1"/>
  <c r="O103" i="2"/>
  <c r="R102" i="2"/>
  <c r="S102" i="2" s="1"/>
  <c r="T102" i="2" s="1"/>
  <c r="O102" i="2"/>
  <c r="T101" i="2"/>
  <c r="R101" i="2"/>
  <c r="S101" i="2" s="1"/>
  <c r="O101" i="2"/>
  <c r="R100" i="2"/>
  <c r="S100" i="2" s="1"/>
  <c r="T100" i="2" s="1"/>
  <c r="O100" i="2"/>
  <c r="R99" i="2"/>
  <c r="S99" i="2" s="1"/>
  <c r="T99" i="2" s="1"/>
  <c r="O99" i="2"/>
  <c r="R98" i="2"/>
  <c r="S98" i="2" s="1"/>
  <c r="T98" i="2" s="1"/>
  <c r="O98" i="2"/>
  <c r="T97" i="2"/>
  <c r="R97" i="2"/>
  <c r="S97" i="2" s="1"/>
  <c r="O97" i="2"/>
  <c r="R96" i="2"/>
  <c r="S96" i="2" s="1"/>
  <c r="T96" i="2" s="1"/>
  <c r="O96" i="2"/>
  <c r="R95" i="2"/>
  <c r="S95" i="2" s="1"/>
  <c r="T95" i="2" s="1"/>
  <c r="O95" i="2"/>
  <c r="R94" i="2"/>
  <c r="S94" i="2" s="1"/>
  <c r="T94" i="2" s="1"/>
  <c r="O94" i="2"/>
  <c r="T93" i="2"/>
  <c r="R93" i="2"/>
  <c r="S93" i="2" s="1"/>
  <c r="O93" i="2"/>
  <c r="R92" i="2"/>
  <c r="S92" i="2" s="1"/>
  <c r="T92" i="2" s="1"/>
  <c r="O92" i="2"/>
  <c r="R91" i="2"/>
  <c r="S91" i="2" s="1"/>
  <c r="T91" i="2" s="1"/>
  <c r="O91" i="2"/>
  <c r="R90" i="2"/>
  <c r="S90" i="2" s="1"/>
  <c r="T90" i="2" s="1"/>
  <c r="O90" i="2"/>
  <c r="R89" i="2"/>
  <c r="S89" i="2" s="1"/>
  <c r="T89" i="2" s="1"/>
  <c r="O89" i="2"/>
  <c r="R88" i="2"/>
  <c r="S88" i="2" s="1"/>
  <c r="T88" i="2" s="1"/>
  <c r="O88" i="2"/>
  <c r="T87" i="2"/>
  <c r="R87" i="2"/>
  <c r="S87" i="2" s="1"/>
  <c r="O87" i="2"/>
  <c r="R86" i="2"/>
  <c r="S86" i="2" s="1"/>
  <c r="T86" i="2" s="1"/>
  <c r="O86" i="2"/>
  <c r="R85" i="2"/>
  <c r="S85" i="2" s="1"/>
  <c r="T85" i="2" s="1"/>
  <c r="O85" i="2"/>
  <c r="R84" i="2"/>
  <c r="S84" i="2" s="1"/>
  <c r="T84" i="2" s="1"/>
  <c r="O84" i="2"/>
  <c r="R83" i="2"/>
  <c r="S83" i="2" s="1"/>
  <c r="T83" i="2" s="1"/>
  <c r="O83" i="2"/>
  <c r="R82" i="2"/>
  <c r="S82" i="2" s="1"/>
  <c r="T82" i="2" s="1"/>
  <c r="O82" i="2"/>
  <c r="R81" i="2"/>
  <c r="S81" i="2" s="1"/>
  <c r="T81" i="2" s="1"/>
  <c r="O81" i="2"/>
  <c r="R80" i="2"/>
  <c r="S80" i="2" s="1"/>
  <c r="T80" i="2" s="1"/>
  <c r="O80" i="2"/>
  <c r="R79" i="2"/>
  <c r="S79" i="2" s="1"/>
  <c r="T79" i="2" s="1"/>
  <c r="O79" i="2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R78" i="2"/>
  <c r="S78" i="2" s="1"/>
  <c r="T78" i="2" s="1"/>
  <c r="O78" i="2"/>
  <c r="R77" i="2"/>
  <c r="S77" i="2" s="1"/>
  <c r="T77" i="2" s="1"/>
  <c r="O77" i="2"/>
  <c r="R76" i="2"/>
  <c r="S76" i="2" s="1"/>
  <c r="T76" i="2" s="1"/>
  <c r="O76" i="2"/>
  <c r="R75" i="2"/>
  <c r="S75" i="2" s="1"/>
  <c r="T75" i="2" s="1"/>
  <c r="O75" i="2"/>
  <c r="P75" i="2" s="1"/>
  <c r="P76" i="2" s="1"/>
  <c r="R74" i="2"/>
  <c r="S74" i="2" s="1"/>
  <c r="T74" i="2" s="1"/>
  <c r="O74" i="2"/>
  <c r="R73" i="2"/>
  <c r="S73" i="2" s="1"/>
  <c r="T73" i="2" s="1"/>
  <c r="O73" i="2"/>
  <c r="R72" i="2"/>
  <c r="S72" i="2" s="1"/>
  <c r="T72" i="2" s="1"/>
  <c r="O72" i="2"/>
  <c r="S71" i="2"/>
  <c r="T71" i="2" s="1"/>
  <c r="R71" i="2"/>
  <c r="O71" i="2"/>
  <c r="R70" i="2"/>
  <c r="S70" i="2" s="1"/>
  <c r="T70" i="2" s="1"/>
  <c r="O70" i="2"/>
  <c r="R69" i="2"/>
  <c r="S69" i="2" s="1"/>
  <c r="T69" i="2" s="1"/>
  <c r="O69" i="2"/>
  <c r="R68" i="2"/>
  <c r="S68" i="2" s="1"/>
  <c r="T68" i="2" s="1"/>
  <c r="O68" i="2"/>
  <c r="R67" i="2"/>
  <c r="S67" i="2" s="1"/>
  <c r="T67" i="2" s="1"/>
  <c r="O67" i="2"/>
  <c r="S66" i="2"/>
  <c r="T66" i="2" s="1"/>
  <c r="R66" i="2"/>
  <c r="O66" i="2"/>
  <c r="R65" i="2"/>
  <c r="S65" i="2" s="1"/>
  <c r="T65" i="2" s="1"/>
  <c r="O65" i="2"/>
  <c r="P65" i="2" s="1"/>
  <c r="P66" i="2" s="1"/>
  <c r="R64" i="2"/>
  <c r="S64" i="2" s="1"/>
  <c r="T64" i="2" s="1"/>
  <c r="O64" i="2"/>
  <c r="R63" i="2"/>
  <c r="S63" i="2" s="1"/>
  <c r="T63" i="2" s="1"/>
  <c r="O63" i="2"/>
  <c r="R62" i="2"/>
  <c r="S62" i="2" s="1"/>
  <c r="T62" i="2" s="1"/>
  <c r="O62" i="2"/>
  <c r="S61" i="2"/>
  <c r="T61" i="2" s="1"/>
  <c r="R61" i="2"/>
  <c r="O61" i="2"/>
  <c r="R60" i="2"/>
  <c r="S60" i="2" s="1"/>
  <c r="T60" i="2" s="1"/>
  <c r="O60" i="2"/>
  <c r="R59" i="2"/>
  <c r="S59" i="2" s="1"/>
  <c r="T59" i="2" s="1"/>
  <c r="O59" i="2"/>
  <c r="R58" i="2"/>
  <c r="S58" i="2" s="1"/>
  <c r="T58" i="2" s="1"/>
  <c r="O58" i="2"/>
  <c r="R57" i="2"/>
  <c r="S57" i="2" s="1"/>
  <c r="T57" i="2" s="1"/>
  <c r="O57" i="2"/>
  <c r="R56" i="2"/>
  <c r="S56" i="2" s="1"/>
  <c r="T56" i="2" s="1"/>
  <c r="O56" i="2"/>
  <c r="R55" i="2"/>
  <c r="S55" i="2" s="1"/>
  <c r="T55" i="2" s="1"/>
  <c r="O55" i="2"/>
  <c r="S54" i="2"/>
  <c r="T54" i="2" s="1"/>
  <c r="R54" i="2"/>
  <c r="O54" i="2"/>
  <c r="R53" i="2"/>
  <c r="S53" i="2" s="1"/>
  <c r="T53" i="2" s="1"/>
  <c r="O53" i="2"/>
  <c r="R52" i="2"/>
  <c r="S52" i="2" s="1"/>
  <c r="T52" i="2" s="1"/>
  <c r="O52" i="2"/>
  <c r="S51" i="2"/>
  <c r="T51" i="2" s="1"/>
  <c r="R51" i="2"/>
  <c r="O51" i="2"/>
  <c r="S50" i="2"/>
  <c r="T50" i="2" s="1"/>
  <c r="U50" i="2" s="1"/>
  <c r="R50" i="2"/>
  <c r="O50" i="2"/>
  <c r="P50" i="2" s="1"/>
  <c r="P51" i="2" s="1"/>
  <c r="P52" i="2" s="1"/>
  <c r="R49" i="2"/>
  <c r="S49" i="2" s="1"/>
  <c r="T49" i="2" s="1"/>
  <c r="O49" i="2"/>
  <c r="T48" i="2"/>
  <c r="S48" i="2"/>
  <c r="R48" i="2"/>
  <c r="O48" i="2"/>
  <c r="R47" i="2"/>
  <c r="S47" i="2" s="1"/>
  <c r="T47" i="2" s="1"/>
  <c r="O47" i="2"/>
  <c r="R46" i="2"/>
  <c r="S46" i="2" s="1"/>
  <c r="T46" i="2" s="1"/>
  <c r="O46" i="2"/>
  <c r="R45" i="2"/>
  <c r="S45" i="2" s="1"/>
  <c r="T45" i="2" s="1"/>
  <c r="O45" i="2"/>
  <c r="R44" i="2"/>
  <c r="S44" i="2" s="1"/>
  <c r="T44" i="2" s="1"/>
  <c r="O44" i="2"/>
  <c r="R43" i="2"/>
  <c r="S43" i="2" s="1"/>
  <c r="T43" i="2" s="1"/>
  <c r="O43" i="2"/>
  <c r="S42" i="2"/>
  <c r="T42" i="2" s="1"/>
  <c r="R42" i="2"/>
  <c r="O42" i="2"/>
  <c r="L42" i="2"/>
  <c r="R41" i="2"/>
  <c r="S41" i="2" s="1"/>
  <c r="T41" i="2" s="1"/>
  <c r="O41" i="2"/>
  <c r="S40" i="2"/>
  <c r="T40" i="2" s="1"/>
  <c r="R40" i="2"/>
  <c r="O40" i="2"/>
  <c r="L40" i="2"/>
  <c r="T39" i="2"/>
  <c r="S39" i="2"/>
  <c r="O39" i="2"/>
  <c r="AB38" i="2"/>
  <c r="T38" i="2"/>
  <c r="U38" i="2" s="1"/>
  <c r="S38" i="2"/>
  <c r="O38" i="2"/>
  <c r="P38" i="2" s="1"/>
  <c r="L38" i="2"/>
  <c r="S37" i="2"/>
  <c r="T37" i="2" s="1"/>
  <c r="O37" i="2"/>
  <c r="Y36" i="2"/>
  <c r="Y37" i="2" s="1"/>
  <c r="Y38" i="2" s="1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Y154" i="2" s="1"/>
  <c r="Y155" i="2" s="1"/>
  <c r="Y156" i="2" s="1"/>
  <c r="Y157" i="2" s="1"/>
  <c r="Y158" i="2" s="1"/>
  <c r="Y159" i="2" s="1"/>
  <c r="Y160" i="2" s="1"/>
  <c r="Y161" i="2" s="1"/>
  <c r="Y162" i="2" s="1"/>
  <c r="Y163" i="2" s="1"/>
  <c r="Y164" i="2" s="1"/>
  <c r="Y165" i="2" s="1"/>
  <c r="Y166" i="2" s="1"/>
  <c r="Y167" i="2" s="1"/>
  <c r="Y168" i="2" s="1"/>
  <c r="Y169" i="2" s="1"/>
  <c r="Y170" i="2" s="1"/>
  <c r="Y171" i="2" s="1"/>
  <c r="Y172" i="2" s="1"/>
  <c r="Y173" i="2" s="1"/>
  <c r="Y174" i="2" s="1"/>
  <c r="Y175" i="2" s="1"/>
  <c r="Y176" i="2" s="1"/>
  <c r="Y177" i="2" s="1"/>
  <c r="Y178" i="2" s="1"/>
  <c r="Y179" i="2" s="1"/>
  <c r="Y180" i="2" s="1"/>
  <c r="Y181" i="2" s="1"/>
  <c r="Y182" i="2" s="1"/>
  <c r="Y183" i="2" s="1"/>
  <c r="Y184" i="2" s="1"/>
  <c r="Y185" i="2" s="1"/>
  <c r="Y186" i="2" s="1"/>
  <c r="Y187" i="2" s="1"/>
  <c r="Y188" i="2" s="1"/>
  <c r="Y189" i="2" s="1"/>
  <c r="Y190" i="2" s="1"/>
  <c r="Y191" i="2" s="1"/>
  <c r="Y192" i="2" s="1"/>
  <c r="Y193" i="2" s="1"/>
  <c r="Y194" i="2" s="1"/>
  <c r="Y195" i="2" s="1"/>
  <c r="Y196" i="2" s="1"/>
  <c r="Y197" i="2" s="1"/>
  <c r="Y198" i="2" s="1"/>
  <c r="Y199" i="2" s="1"/>
  <c r="Y200" i="2" s="1"/>
  <c r="Y201" i="2" s="1"/>
  <c r="Y202" i="2" s="1"/>
  <c r="Y203" i="2" s="1"/>
  <c r="Y204" i="2" s="1"/>
  <c r="Y205" i="2" s="1"/>
  <c r="Y206" i="2" s="1"/>
  <c r="Y207" i="2" s="1"/>
  <c r="Y208" i="2" s="1"/>
  <c r="Y209" i="2" s="1"/>
  <c r="Y210" i="2" s="1"/>
  <c r="Y211" i="2" s="1"/>
  <c r="Y212" i="2" s="1"/>
  <c r="Y213" i="2" s="1"/>
  <c r="Y214" i="2" s="1"/>
  <c r="Y215" i="2" s="1"/>
  <c r="Y216" i="2" s="1"/>
  <c r="Y217" i="2" s="1"/>
  <c r="Y218" i="2" s="1"/>
  <c r="Y219" i="2" s="1"/>
  <c r="Y220" i="2" s="1"/>
  <c r="Y221" i="2" s="1"/>
  <c r="Y222" i="2" s="1"/>
  <c r="Y223" i="2" s="1"/>
  <c r="Y224" i="2" s="1"/>
  <c r="Y225" i="2" s="1"/>
  <c r="Y226" i="2" s="1"/>
  <c r="Y227" i="2" s="1"/>
  <c r="Y228" i="2" s="1"/>
  <c r="Y229" i="2" s="1"/>
  <c r="Y230" i="2" s="1"/>
  <c r="Y231" i="2" s="1"/>
  <c r="Y232" i="2" s="1"/>
  <c r="Y233" i="2" s="1"/>
  <c r="Y234" i="2" s="1"/>
  <c r="Y235" i="2" s="1"/>
  <c r="Y236" i="2" s="1"/>
  <c r="Y237" i="2" s="1"/>
  <c r="Y238" i="2" s="1"/>
  <c r="Y239" i="2" s="1"/>
  <c r="Y240" i="2" s="1"/>
  <c r="Y241" i="2" s="1"/>
  <c r="Y242" i="2" s="1"/>
  <c r="Y243" i="2" s="1"/>
  <c r="Y244" i="2" s="1"/>
  <c r="Y245" i="2" s="1"/>
  <c r="Y246" i="2" s="1"/>
  <c r="Y247" i="2" s="1"/>
  <c r="Y248" i="2" s="1"/>
  <c r="Y249" i="2" s="1"/>
  <c r="Y250" i="2" s="1"/>
  <c r="Y251" i="2" s="1"/>
  <c r="Y252" i="2" s="1"/>
  <c r="Y253" i="2" s="1"/>
  <c r="Y254" i="2" s="1"/>
  <c r="Y255" i="2" s="1"/>
  <c r="Y256" i="2" s="1"/>
  <c r="Y257" i="2" s="1"/>
  <c r="Y258" i="2" s="1"/>
  <c r="Y259" i="2" s="1"/>
  <c r="Y260" i="2" s="1"/>
  <c r="Y261" i="2" s="1"/>
  <c r="Y262" i="2" s="1"/>
  <c r="Y263" i="2" s="1"/>
  <c r="Y264" i="2" s="1"/>
  <c r="Y265" i="2" s="1"/>
  <c r="Y266" i="2" s="1"/>
  <c r="Y267" i="2" s="1"/>
  <c r="Y268" i="2" s="1"/>
  <c r="Y269" i="2" s="1"/>
  <c r="Y270" i="2" s="1"/>
  <c r="Y271" i="2" s="1"/>
  <c r="Y272" i="2" s="1"/>
  <c r="Y273" i="2" s="1"/>
  <c r="Y274" i="2" s="1"/>
  <c r="Y275" i="2" s="1"/>
  <c r="Y276" i="2" s="1"/>
  <c r="Y277" i="2" s="1"/>
  <c r="Y278" i="2" s="1"/>
  <c r="Y279" i="2" s="1"/>
  <c r="Y280" i="2" s="1"/>
  <c r="Y281" i="2" s="1"/>
  <c r="Y282" i="2" s="1"/>
  <c r="Y283" i="2" s="1"/>
  <c r="Y284" i="2" s="1"/>
  <c r="Y285" i="2" s="1"/>
  <c r="Y286" i="2" s="1"/>
  <c r="Y287" i="2" s="1"/>
  <c r="Y288" i="2" s="1"/>
  <c r="Y289" i="2" s="1"/>
  <c r="Y290" i="2" s="1"/>
  <c r="Y291" i="2" s="1"/>
  <c r="Y292" i="2" s="1"/>
  <c r="Y293" i="2" s="1"/>
  <c r="Y294" i="2" s="1"/>
  <c r="Y295" i="2" s="1"/>
  <c r="Y296" i="2" s="1"/>
  <c r="Y297" i="2" s="1"/>
  <c r="Y298" i="2" s="1"/>
  <c r="Y299" i="2" s="1"/>
  <c r="Y300" i="2" s="1"/>
  <c r="Y301" i="2" s="1"/>
  <c r="Y302" i="2" s="1"/>
  <c r="Y303" i="2" s="1"/>
  <c r="Y304" i="2" s="1"/>
  <c r="Y305" i="2" s="1"/>
  <c r="Y306" i="2" s="1"/>
  <c r="Y307" i="2" s="1"/>
  <c r="Y308" i="2" s="1"/>
  <c r="Y309" i="2" s="1"/>
  <c r="Y310" i="2" s="1"/>
  <c r="Y311" i="2" s="1"/>
  <c r="Y312" i="2" s="1"/>
  <c r="Y313" i="2" s="1"/>
  <c r="Y314" i="2" s="1"/>
  <c r="Y315" i="2" s="1"/>
  <c r="Y316" i="2" s="1"/>
  <c r="Y317" i="2" s="1"/>
  <c r="Y318" i="2" s="1"/>
  <c r="Y319" i="2" s="1"/>
  <c r="Y320" i="2" s="1"/>
  <c r="Y321" i="2" s="1"/>
  <c r="Y322" i="2" s="1"/>
  <c r="Y323" i="2" s="1"/>
  <c r="Y324" i="2" s="1"/>
  <c r="Y325" i="2" s="1"/>
  <c r="Y326" i="2" s="1"/>
  <c r="Y327" i="2" s="1"/>
  <c r="Y328" i="2" s="1"/>
  <c r="Y329" i="2" s="1"/>
  <c r="Y330" i="2" s="1"/>
  <c r="Y331" i="2" s="1"/>
  <c r="Y332" i="2" s="1"/>
  <c r="Y333" i="2" s="1"/>
  <c r="Y334" i="2" s="1"/>
  <c r="Y335" i="2" s="1"/>
  <c r="Y336" i="2" s="1"/>
  <c r="Y337" i="2" s="1"/>
  <c r="Y338" i="2" s="1"/>
  <c r="Y339" i="2" s="1"/>
  <c r="Y340" i="2" s="1"/>
  <c r="Y341" i="2" s="1"/>
  <c r="Y342" i="2" s="1"/>
  <c r="Y343" i="2" s="1"/>
  <c r="Y344" i="2" s="1"/>
  <c r="Y345" i="2" s="1"/>
  <c r="Y346" i="2" s="1"/>
  <c r="Y347" i="2" s="1"/>
  <c r="Y348" i="2" s="1"/>
  <c r="Y349" i="2" s="1"/>
  <c r="Y350" i="2" s="1"/>
  <c r="Y351" i="2" s="1"/>
  <c r="Y352" i="2" s="1"/>
  <c r="Y353" i="2" s="1"/>
  <c r="Y354" i="2" s="1"/>
  <c r="Y355" i="2" s="1"/>
  <c r="Y356" i="2" s="1"/>
  <c r="Y357" i="2" s="1"/>
  <c r="Y358" i="2" s="1"/>
  <c r="S36" i="2"/>
  <c r="T36" i="2" s="1"/>
  <c r="O36" i="2"/>
  <c r="Y35" i="2"/>
  <c r="S35" i="2"/>
  <c r="T35" i="2" s="1"/>
  <c r="O35" i="2"/>
  <c r="J35" i="2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O33" i="2"/>
  <c r="O32" i="2"/>
  <c r="P32" i="2" s="1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P4" i="2" s="1"/>
  <c r="P5" i="2" s="1"/>
  <c r="P6" i="2" s="1"/>
  <c r="P7" i="2" s="1"/>
  <c r="P8" i="2" s="1"/>
  <c r="O3" i="2"/>
  <c r="V134" i="1"/>
  <c r="V46" i="1"/>
  <c r="P9" i="2" l="1"/>
  <c r="P10" i="2" s="1"/>
  <c r="P11" i="2" s="1"/>
  <c r="P12" i="2" s="1"/>
  <c r="P13" i="2" s="1"/>
  <c r="P14" i="2" s="1"/>
  <c r="P15" i="2" s="1"/>
  <c r="P349" i="2"/>
  <c r="P350" i="2" s="1"/>
  <c r="P351" i="2" s="1"/>
  <c r="P53" i="2"/>
  <c r="P54" i="2" s="1"/>
  <c r="P55" i="2" s="1"/>
  <c r="P56" i="2" s="1"/>
  <c r="P57" i="2" s="1"/>
  <c r="P58" i="2" s="1"/>
  <c r="P59" i="2" s="1"/>
  <c r="P60" i="2" s="1"/>
  <c r="Z296" i="2"/>
  <c r="Z297" i="2" s="1"/>
  <c r="Z298" i="2" s="1"/>
  <c r="Z299" i="2" s="1"/>
  <c r="Z300" i="2" s="1"/>
  <c r="Z301" i="2" s="1"/>
  <c r="Z302" i="2" s="1"/>
  <c r="Z303" i="2" s="1"/>
  <c r="Z304" i="2" s="1"/>
  <c r="Z305" i="2" s="1"/>
  <c r="Z306" i="2" s="1"/>
  <c r="Z307" i="2" s="1"/>
  <c r="Z308" i="2" s="1"/>
  <c r="Z309" i="2" s="1"/>
  <c r="Z310" i="2" s="1"/>
  <c r="Z311" i="2" s="1"/>
  <c r="Z312" i="2" s="1"/>
  <c r="Z314" i="2" s="1"/>
  <c r="Z315" i="2" s="1"/>
  <c r="Z316" i="2" s="1"/>
  <c r="Z317" i="2" s="1"/>
  <c r="Z318" i="2" s="1"/>
  <c r="Z319" i="2" s="1"/>
  <c r="Z320" i="2" s="1"/>
  <c r="Z321" i="2" s="1"/>
  <c r="Z322" i="2" s="1"/>
  <c r="Z323" i="2" s="1"/>
  <c r="Z324" i="2" s="1"/>
  <c r="Z325" i="2" s="1"/>
  <c r="Z326" i="2" s="1"/>
  <c r="Z327" i="2" s="1"/>
  <c r="Z328" i="2" s="1"/>
  <c r="Z329" i="2" s="1"/>
  <c r="Z330" i="2" s="1"/>
  <c r="Z331" i="2" s="1"/>
  <c r="Z332" i="2" s="1"/>
  <c r="Z333" i="2" s="1"/>
  <c r="Z334" i="2" s="1"/>
  <c r="Z335" i="2" s="1"/>
  <c r="Z336" i="2" s="1"/>
  <c r="Z337" i="2" s="1"/>
  <c r="Z338" i="2" s="1"/>
  <c r="Z339" i="2" s="1"/>
  <c r="Z340" i="2" s="1"/>
  <c r="Z341" i="2" s="1"/>
  <c r="Z342" i="2" s="1"/>
  <c r="Z343" i="2" s="1"/>
  <c r="Z344" i="2" s="1"/>
  <c r="Z345" i="2" s="1"/>
  <c r="Z346" i="2" s="1"/>
  <c r="Z347" i="2" s="1"/>
  <c r="Z348" i="2" s="1"/>
  <c r="Z349" i="2" s="1"/>
  <c r="Z350" i="2" s="1"/>
  <c r="Z351" i="2" s="1"/>
  <c r="Z352" i="2" s="1"/>
  <c r="Z353" i="2" s="1"/>
  <c r="Z354" i="2" s="1"/>
  <c r="Z355" i="2" s="1"/>
  <c r="Z356" i="2" s="1"/>
  <c r="Z357" i="2" s="1"/>
  <c r="Z358" i="2" s="1"/>
  <c r="K268" i="2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Z296" i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4" i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K296" i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U39" i="2"/>
  <c r="U40" i="2" s="1"/>
  <c r="U41" i="2" s="1"/>
  <c r="U42" i="2" s="1"/>
  <c r="U43" i="2" s="1"/>
  <c r="U44" i="2" s="1"/>
  <c r="U45" i="2" s="1"/>
  <c r="U46" i="2" s="1"/>
  <c r="U51" i="2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P39" i="2"/>
  <c r="P40" i="2" s="1"/>
  <c r="P41" i="2" s="1"/>
  <c r="P317" i="2"/>
  <c r="P318" i="2" s="1"/>
  <c r="P319" i="2" s="1"/>
  <c r="AB316" i="1"/>
  <c r="AB298" i="1"/>
  <c r="AB271" i="1"/>
  <c r="AB250" i="1"/>
  <c r="AB190" i="1"/>
  <c r="AB126" i="1"/>
  <c r="AB38" i="1"/>
  <c r="Z187" i="1"/>
  <c r="Z125" i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24" i="1"/>
  <c r="Z123" i="1"/>
  <c r="Y37" i="1"/>
  <c r="Y38" i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Y357" i="1" s="1"/>
  <c r="Y358" i="1" s="1"/>
  <c r="Y36" i="1"/>
  <c r="Y35" i="1"/>
  <c r="V132" i="1"/>
  <c r="V130" i="1"/>
  <c r="V128" i="1"/>
  <c r="V44" i="1"/>
  <c r="V42" i="1"/>
  <c r="S297" i="1"/>
  <c r="T297" i="1" s="1"/>
  <c r="S304" i="1"/>
  <c r="T304" i="1" s="1"/>
  <c r="S305" i="1"/>
  <c r="T305" i="1" s="1"/>
  <c r="S312" i="1"/>
  <c r="T312" i="1" s="1"/>
  <c r="S313" i="1"/>
  <c r="T313" i="1" s="1"/>
  <c r="S320" i="1"/>
  <c r="T320" i="1" s="1"/>
  <c r="S321" i="1"/>
  <c r="T321" i="1" s="1"/>
  <c r="S328" i="1"/>
  <c r="T328" i="1" s="1"/>
  <c r="S329" i="1"/>
  <c r="T329" i="1" s="1"/>
  <c r="S336" i="1"/>
  <c r="T336" i="1" s="1"/>
  <c r="S337" i="1"/>
  <c r="T337" i="1" s="1"/>
  <c r="S344" i="1"/>
  <c r="T344" i="1" s="1"/>
  <c r="S345" i="1"/>
  <c r="T345" i="1" s="1"/>
  <c r="S352" i="1"/>
  <c r="T352" i="1" s="1"/>
  <c r="S353" i="1"/>
  <c r="T353" i="1" s="1"/>
  <c r="S296" i="1"/>
  <c r="T296" i="1" s="1"/>
  <c r="S188" i="1"/>
  <c r="T188" i="1" s="1"/>
  <c r="S195" i="1"/>
  <c r="T195" i="1" s="1"/>
  <c r="S196" i="1"/>
  <c r="T196" i="1" s="1"/>
  <c r="S203" i="1"/>
  <c r="T203" i="1" s="1"/>
  <c r="S204" i="1"/>
  <c r="T204" i="1" s="1"/>
  <c r="S211" i="1"/>
  <c r="T211" i="1" s="1"/>
  <c r="S212" i="1"/>
  <c r="T212" i="1" s="1"/>
  <c r="S219" i="1"/>
  <c r="T219" i="1" s="1"/>
  <c r="S220" i="1"/>
  <c r="T220" i="1" s="1"/>
  <c r="S227" i="1"/>
  <c r="T227" i="1" s="1"/>
  <c r="S228" i="1"/>
  <c r="T228" i="1" s="1"/>
  <c r="S235" i="1"/>
  <c r="T235" i="1" s="1"/>
  <c r="S236" i="1"/>
  <c r="T236" i="1" s="1"/>
  <c r="S243" i="1"/>
  <c r="T243" i="1" s="1"/>
  <c r="S244" i="1"/>
  <c r="T244" i="1" s="1"/>
  <c r="R247" i="1"/>
  <c r="S187" i="1"/>
  <c r="T187" i="1" s="1"/>
  <c r="U39" i="1"/>
  <c r="U40" i="1" s="1"/>
  <c r="U41" i="1" s="1"/>
  <c r="U42" i="1" s="1"/>
  <c r="U43" i="1" s="1"/>
  <c r="U44" i="1" s="1"/>
  <c r="U45" i="1" s="1"/>
  <c r="U46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38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9" i="1"/>
  <c r="T213" i="1"/>
  <c r="T217" i="1"/>
  <c r="T221" i="1"/>
  <c r="T245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301" i="1"/>
  <c r="T309" i="1"/>
  <c r="T317" i="1"/>
  <c r="T325" i="1"/>
  <c r="T333" i="1"/>
  <c r="T341" i="1"/>
  <c r="T349" i="1"/>
  <c r="T357" i="1"/>
  <c r="T35" i="1"/>
  <c r="R41" i="1"/>
  <c r="R42" i="1"/>
  <c r="R43" i="1"/>
  <c r="S43" i="1" s="1"/>
  <c r="R44" i="1"/>
  <c r="R45" i="1"/>
  <c r="R46" i="1"/>
  <c r="S46" i="1" s="1"/>
  <c r="R47" i="1"/>
  <c r="S47" i="1" s="1"/>
  <c r="R48" i="1"/>
  <c r="R49" i="1"/>
  <c r="R50" i="1"/>
  <c r="R51" i="1"/>
  <c r="S51" i="1" s="1"/>
  <c r="R52" i="1"/>
  <c r="R53" i="1"/>
  <c r="R54" i="1"/>
  <c r="S54" i="1" s="1"/>
  <c r="R55" i="1"/>
  <c r="S55" i="1" s="1"/>
  <c r="R56" i="1"/>
  <c r="R57" i="1"/>
  <c r="R58" i="1"/>
  <c r="R59" i="1"/>
  <c r="S59" i="1" s="1"/>
  <c r="R60" i="1"/>
  <c r="R61" i="1"/>
  <c r="R62" i="1"/>
  <c r="S62" i="1" s="1"/>
  <c r="R63" i="1"/>
  <c r="S63" i="1" s="1"/>
  <c r="R64" i="1"/>
  <c r="R65" i="1"/>
  <c r="R66" i="1"/>
  <c r="R67" i="1"/>
  <c r="S67" i="1" s="1"/>
  <c r="R68" i="1"/>
  <c r="R69" i="1"/>
  <c r="R70" i="1"/>
  <c r="S70" i="1" s="1"/>
  <c r="R71" i="1"/>
  <c r="S71" i="1" s="1"/>
  <c r="R72" i="1"/>
  <c r="R73" i="1"/>
  <c r="R74" i="1"/>
  <c r="R75" i="1"/>
  <c r="S75" i="1" s="1"/>
  <c r="R76" i="1"/>
  <c r="R77" i="1"/>
  <c r="R78" i="1"/>
  <c r="S78" i="1" s="1"/>
  <c r="R79" i="1"/>
  <c r="S79" i="1" s="1"/>
  <c r="R80" i="1"/>
  <c r="R81" i="1"/>
  <c r="R82" i="1"/>
  <c r="R83" i="1"/>
  <c r="S83" i="1" s="1"/>
  <c r="R84" i="1"/>
  <c r="R85" i="1"/>
  <c r="R86" i="1"/>
  <c r="S86" i="1" s="1"/>
  <c r="R87" i="1"/>
  <c r="S87" i="1" s="1"/>
  <c r="R88" i="1"/>
  <c r="R89" i="1"/>
  <c r="R90" i="1"/>
  <c r="R91" i="1"/>
  <c r="S91" i="1" s="1"/>
  <c r="R92" i="1"/>
  <c r="R93" i="1"/>
  <c r="R94" i="1"/>
  <c r="S94" i="1" s="1"/>
  <c r="R95" i="1"/>
  <c r="S95" i="1" s="1"/>
  <c r="R96" i="1"/>
  <c r="R97" i="1"/>
  <c r="R98" i="1"/>
  <c r="R99" i="1"/>
  <c r="S99" i="1" s="1"/>
  <c r="R100" i="1"/>
  <c r="R101" i="1"/>
  <c r="R102" i="1"/>
  <c r="S102" i="1" s="1"/>
  <c r="R103" i="1"/>
  <c r="S103" i="1" s="1"/>
  <c r="R104" i="1"/>
  <c r="R105" i="1"/>
  <c r="R106" i="1"/>
  <c r="R107" i="1"/>
  <c r="S107" i="1" s="1"/>
  <c r="R108" i="1"/>
  <c r="R109" i="1"/>
  <c r="R110" i="1"/>
  <c r="S110" i="1" s="1"/>
  <c r="R111" i="1"/>
  <c r="S111" i="1" s="1"/>
  <c r="R112" i="1"/>
  <c r="R113" i="1"/>
  <c r="R114" i="1"/>
  <c r="R115" i="1"/>
  <c r="S115" i="1" s="1"/>
  <c r="R116" i="1"/>
  <c r="R117" i="1"/>
  <c r="R118" i="1"/>
  <c r="S118" i="1" s="1"/>
  <c r="R119" i="1"/>
  <c r="S119" i="1" s="1"/>
  <c r="R120" i="1"/>
  <c r="R121" i="1"/>
  <c r="R122" i="1"/>
  <c r="R40" i="1"/>
  <c r="S40" i="1" s="1"/>
  <c r="S36" i="1"/>
  <c r="S37" i="1"/>
  <c r="S38" i="1"/>
  <c r="S39" i="1"/>
  <c r="S41" i="1"/>
  <c r="S42" i="1"/>
  <c r="S44" i="1"/>
  <c r="S45" i="1"/>
  <c r="S48" i="1"/>
  <c r="S49" i="1"/>
  <c r="S50" i="1"/>
  <c r="S52" i="1"/>
  <c r="S53" i="1"/>
  <c r="S56" i="1"/>
  <c r="S57" i="1"/>
  <c r="S58" i="1"/>
  <c r="S60" i="1"/>
  <c r="S61" i="1"/>
  <c r="S64" i="1"/>
  <c r="S65" i="1"/>
  <c r="S66" i="1"/>
  <c r="S68" i="1"/>
  <c r="S69" i="1"/>
  <c r="S72" i="1"/>
  <c r="S73" i="1"/>
  <c r="S74" i="1"/>
  <c r="S76" i="1"/>
  <c r="S77" i="1"/>
  <c r="S80" i="1"/>
  <c r="S81" i="1"/>
  <c r="S82" i="1"/>
  <c r="S84" i="1"/>
  <c r="S85" i="1"/>
  <c r="S88" i="1"/>
  <c r="S89" i="1"/>
  <c r="S90" i="1"/>
  <c r="S92" i="1"/>
  <c r="S93" i="1"/>
  <c r="S96" i="1"/>
  <c r="S97" i="1"/>
  <c r="S98" i="1"/>
  <c r="S100" i="1"/>
  <c r="S101" i="1"/>
  <c r="S104" i="1"/>
  <c r="S105" i="1"/>
  <c r="S106" i="1"/>
  <c r="S108" i="1"/>
  <c r="S109" i="1"/>
  <c r="S112" i="1"/>
  <c r="S113" i="1"/>
  <c r="S114" i="1"/>
  <c r="S116" i="1"/>
  <c r="S117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9" i="1"/>
  <c r="S190" i="1"/>
  <c r="T190" i="1" s="1"/>
  <c r="S191" i="1"/>
  <c r="T191" i="1" s="1"/>
  <c r="S192" i="1"/>
  <c r="T192" i="1" s="1"/>
  <c r="S193" i="1"/>
  <c r="T193" i="1" s="1"/>
  <c r="S194" i="1"/>
  <c r="T194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3" i="1"/>
  <c r="S214" i="1"/>
  <c r="T214" i="1" s="1"/>
  <c r="S215" i="1"/>
  <c r="T215" i="1" s="1"/>
  <c r="S216" i="1"/>
  <c r="T216" i="1" s="1"/>
  <c r="S217" i="1"/>
  <c r="S218" i="1"/>
  <c r="T218" i="1" s="1"/>
  <c r="S221" i="1"/>
  <c r="S222" i="1"/>
  <c r="T222" i="1" s="1"/>
  <c r="S223" i="1"/>
  <c r="T223" i="1" s="1"/>
  <c r="S224" i="1"/>
  <c r="T224" i="1" s="1"/>
  <c r="S225" i="1"/>
  <c r="T225" i="1" s="1"/>
  <c r="S226" i="1"/>
  <c r="T226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5" i="1"/>
  <c r="S246" i="1"/>
  <c r="T246" i="1" s="1"/>
  <c r="S247" i="1"/>
  <c r="T247" i="1" s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T295" i="1" s="1"/>
  <c r="S298" i="1"/>
  <c r="T298" i="1" s="1"/>
  <c r="S299" i="1"/>
  <c r="T299" i="1" s="1"/>
  <c r="S300" i="1"/>
  <c r="T300" i="1" s="1"/>
  <c r="S301" i="1"/>
  <c r="S302" i="1"/>
  <c r="T302" i="1" s="1"/>
  <c r="S303" i="1"/>
  <c r="T303" i="1" s="1"/>
  <c r="S306" i="1"/>
  <c r="T306" i="1" s="1"/>
  <c r="S307" i="1"/>
  <c r="T307" i="1" s="1"/>
  <c r="S308" i="1"/>
  <c r="T308" i="1" s="1"/>
  <c r="S309" i="1"/>
  <c r="S310" i="1"/>
  <c r="T310" i="1" s="1"/>
  <c r="S311" i="1"/>
  <c r="T311" i="1" s="1"/>
  <c r="S314" i="1"/>
  <c r="T314" i="1" s="1"/>
  <c r="S315" i="1"/>
  <c r="T315" i="1" s="1"/>
  <c r="S316" i="1"/>
  <c r="T316" i="1" s="1"/>
  <c r="S317" i="1"/>
  <c r="S318" i="1"/>
  <c r="T318" i="1" s="1"/>
  <c r="S319" i="1"/>
  <c r="T319" i="1" s="1"/>
  <c r="S322" i="1"/>
  <c r="T322" i="1" s="1"/>
  <c r="S323" i="1"/>
  <c r="T323" i="1" s="1"/>
  <c r="S324" i="1"/>
  <c r="T324" i="1" s="1"/>
  <c r="S325" i="1"/>
  <c r="S326" i="1"/>
  <c r="T326" i="1" s="1"/>
  <c r="S327" i="1"/>
  <c r="T327" i="1" s="1"/>
  <c r="S330" i="1"/>
  <c r="T330" i="1" s="1"/>
  <c r="S331" i="1"/>
  <c r="T331" i="1" s="1"/>
  <c r="S332" i="1"/>
  <c r="T332" i="1" s="1"/>
  <c r="S333" i="1"/>
  <c r="S334" i="1"/>
  <c r="T334" i="1" s="1"/>
  <c r="S335" i="1"/>
  <c r="T335" i="1" s="1"/>
  <c r="S338" i="1"/>
  <c r="T338" i="1" s="1"/>
  <c r="S339" i="1"/>
  <c r="T339" i="1" s="1"/>
  <c r="S340" i="1"/>
  <c r="T340" i="1" s="1"/>
  <c r="S341" i="1"/>
  <c r="S342" i="1"/>
  <c r="T342" i="1" s="1"/>
  <c r="S343" i="1"/>
  <c r="T343" i="1" s="1"/>
  <c r="S346" i="1"/>
  <c r="T346" i="1" s="1"/>
  <c r="S347" i="1"/>
  <c r="T347" i="1" s="1"/>
  <c r="S348" i="1"/>
  <c r="T348" i="1" s="1"/>
  <c r="S349" i="1"/>
  <c r="S350" i="1"/>
  <c r="T350" i="1" s="1"/>
  <c r="S351" i="1"/>
  <c r="T351" i="1" s="1"/>
  <c r="S354" i="1"/>
  <c r="T354" i="1" s="1"/>
  <c r="S355" i="1"/>
  <c r="T355" i="1" s="1"/>
  <c r="S356" i="1"/>
  <c r="T356" i="1" s="1"/>
  <c r="S357" i="1"/>
  <c r="S358" i="1"/>
  <c r="T358" i="1" s="1"/>
  <c r="S35" i="1"/>
  <c r="P4" i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32" i="1" s="1"/>
  <c r="P38" i="1" s="1"/>
  <c r="P39" i="1" s="1"/>
  <c r="P40" i="1" s="1"/>
  <c r="P41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5" i="1" s="1"/>
  <c r="P66" i="1" s="1"/>
  <c r="P75" i="1" s="1"/>
  <c r="P76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3" i="1" s="1"/>
  <c r="P314" i="1" s="1"/>
  <c r="P315" i="1" s="1"/>
  <c r="P316" i="1" s="1"/>
  <c r="P317" i="1" s="1"/>
  <c r="P318" i="1" s="1"/>
  <c r="P319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8" i="1" s="1"/>
  <c r="P349" i="1" s="1"/>
  <c r="P350" i="1" s="1"/>
  <c r="P351" i="1" s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" i="1"/>
  <c r="L130" i="1"/>
  <c r="L128" i="1"/>
  <c r="L126" i="1"/>
  <c r="L42" i="1"/>
  <c r="L40" i="1"/>
  <c r="L38" i="1"/>
  <c r="K127" i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9" i="1" s="1"/>
  <c r="K161" i="1" s="1"/>
  <c r="K162" i="1" s="1"/>
  <c r="K165" i="1" s="1"/>
  <c r="K166" i="1" s="1"/>
  <c r="K167" i="1" s="1"/>
  <c r="K168" i="1" s="1"/>
  <c r="K169" i="1" s="1"/>
  <c r="K170" i="1" s="1"/>
  <c r="K171" i="1" s="1"/>
  <c r="K172" i="1" s="1"/>
  <c r="K173" i="1" s="1"/>
  <c r="K184" i="1" s="1"/>
  <c r="K185" i="1" s="1"/>
  <c r="K186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124" i="1"/>
  <c r="K123" i="1"/>
  <c r="J37" i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9" i="1" s="1"/>
  <c r="J161" i="1" s="1"/>
  <c r="J162" i="1" s="1"/>
  <c r="J165" i="1" s="1"/>
  <c r="J166" i="1" s="1"/>
  <c r="J167" i="1" s="1"/>
  <c r="J168" i="1" s="1"/>
  <c r="J169" i="1" s="1"/>
  <c r="J170" i="1" s="1"/>
  <c r="J171" i="1" s="1"/>
  <c r="J172" i="1" s="1"/>
  <c r="J17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6" i="1"/>
  <c r="J35" i="1"/>
  <c r="V44" i="2" l="1"/>
  <c r="V46" i="2" s="1"/>
  <c r="V42" i="2"/>
  <c r="U124" i="2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Z188" i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U187" i="1"/>
  <c r="V128" i="2" l="1"/>
  <c r="V130" i="2"/>
  <c r="V132" i="2"/>
  <c r="V134" i="2" s="1"/>
  <c r="V196" i="1" l="1"/>
  <c r="V198" i="1" s="1"/>
  <c r="V192" i="1"/>
  <c r="V194" i="1"/>
  <c r="V192" i="2"/>
  <c r="V194" i="2"/>
  <c r="V196" i="2"/>
  <c r="V198" i="2" s="1"/>
  <c r="V252" i="1" l="1"/>
  <c r="V254" i="1"/>
  <c r="V256" i="1"/>
  <c r="V258" i="1" s="1"/>
  <c r="V255" i="2"/>
  <c r="V257" i="2" s="1"/>
  <c r="V251" i="2"/>
  <c r="V253" i="2"/>
  <c r="V275" i="1" l="1"/>
  <c r="V273" i="1"/>
  <c r="V277" i="1"/>
  <c r="V279" i="1" s="1"/>
  <c r="V320" i="2"/>
  <c r="V322" i="2"/>
  <c r="V324" i="2" s="1"/>
  <c r="V276" i="2"/>
  <c r="V278" i="2" s="1"/>
  <c r="V272" i="2"/>
  <c r="V274" i="2"/>
  <c r="V304" i="1" l="1"/>
  <c r="V306" i="1" s="1"/>
  <c r="V302" i="1"/>
  <c r="V302" i="2"/>
  <c r="V304" i="2"/>
  <c r="V306" i="2" s="1"/>
  <c r="V321" i="1" l="1"/>
  <c r="V323" i="1"/>
  <c r="V325" i="1" s="1"/>
</calcChain>
</file>

<file path=xl/sharedStrings.xml><?xml version="1.0" encoding="utf-8"?>
<sst xmlns="http://schemas.openxmlformats.org/spreadsheetml/2006/main" count="340" uniqueCount="68">
  <si>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</si>
  <si>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</si>
  <si>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</si>
  <si>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</si>
  <si>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</si>
  <si>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</si>
  <si>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</si>
  <si>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</si>
  <si>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</si>
  <si>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TEMPERATURE</t>
  </si>
  <si>
    <t>EAU</t>
  </si>
  <si>
    <t>BILAN HYDRIQUE</t>
  </si>
  <si>
    <t>SOLAIRE</t>
  </si>
  <si>
    <t>Floraison</t>
  </si>
  <si>
    <t>Vernalisation</t>
  </si>
  <si>
    <t>Période</t>
  </si>
  <si>
    <t>GDD_Cumul</t>
  </si>
  <si>
    <t>GDD/période</t>
  </si>
  <si>
    <t>Indicateurs</t>
  </si>
  <si>
    <t>P-ETP</t>
  </si>
  <si>
    <t>RU_avant_semis</t>
  </si>
  <si>
    <t>i</t>
  </si>
  <si>
    <t>kc</t>
  </si>
  <si>
    <t>ETM</t>
  </si>
  <si>
    <t>P-ETM</t>
  </si>
  <si>
    <t>WSCi</t>
  </si>
  <si>
    <t>Indicateur</t>
  </si>
  <si>
    <t>QTP</t>
  </si>
  <si>
    <t>SSI_Cumul</t>
  </si>
  <si>
    <t>SSI/période</t>
  </si>
  <si>
    <t>photopériode</t>
  </si>
  <si>
    <t>SEMIS</t>
  </si>
  <si>
    <t>levée</t>
  </si>
  <si>
    <t>Fin floraison</t>
  </si>
  <si>
    <t>RECOLTE</t>
  </si>
  <si>
    <t>FLOWERING</t>
  </si>
  <si>
    <t>fin hiver</t>
  </si>
  <si>
    <t>début hiver</t>
  </si>
  <si>
    <t>LGDD</t>
  </si>
  <si>
    <t>TMN</t>
  </si>
  <si>
    <t>TMIN</t>
  </si>
  <si>
    <t>TMAX</t>
  </si>
  <si>
    <t>NBD_HT</t>
  </si>
  <si>
    <t>NBD_LT</t>
  </si>
  <si>
    <t>NBD_FR</t>
  </si>
  <si>
    <t>FALL</t>
  </si>
  <si>
    <t>CLIMATIC WINTER</t>
  </si>
  <si>
    <t>BOLTING</t>
  </si>
  <si>
    <t>P300</t>
  </si>
  <si>
    <t>P600</t>
  </si>
  <si>
    <t>P1000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</si>
  <si>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</si>
  <si>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</si>
  <si>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</si>
  <si>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</si>
  <si>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</si>
  <si>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</si>
  <si>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</si>
  <si>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</si>
  <si>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f</t>
  </si>
  <si>
    <t>NBD_VERN</t>
  </si>
  <si>
    <t>N40</t>
  </si>
  <si>
    <t>N80</t>
  </si>
  <si>
    <t>WSC_I</t>
  </si>
  <si>
    <t>BI</t>
  </si>
  <si>
    <t>DRF</t>
  </si>
  <si>
    <t>TS</t>
  </si>
  <si>
    <t>IRF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</si>
</sst>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Fill="1"/>
    <xf numFmtId="0" fontId="1" fillId="0" borderId="1" xfId="0" applyFont="1" applyFill="1" applyBorder="1"/>
    <xf numFmtId="0" fontId="1" fillId="0" borderId="0" xfId="0" applyFont="1" applyFill="1" applyBorder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1" fillId="5" borderId="1" xfId="0" applyFont="1" applyFill="1" applyBorder="1"/>
    <xf numFmtId="0" fontId="0" fillId="0" borderId="1" xfId="0" applyBorder="1"/>
    <xf numFmtId="0" fontId="0" fillId="0" borderId="1" xfId="0" applyFont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4" borderId="1" xfId="0" applyFont="1" applyFill="1" applyBorder="1"/>
    <xf numFmtId="0" fontId="0" fillId="0" borderId="1" xfId="0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0" fillId="11" borderId="0" xfId="0" applyFill="1"/>
    <xf numFmtId="2" fontId="0" fillId="0" borderId="0" xfId="0" applyNumberFormat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4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0" borderId="2" xfId="0" applyFont="1" applyBorder="1"/>
    <xf numFmtId="14" fontId="1" fillId="0" borderId="2" xfId="0" applyNumberFormat="1" applyFont="1" applyBorder="1"/>
    <xf numFmtId="2" fontId="1" fillId="0" borderId="2" xfId="0" applyNumberFormat="1" applyFont="1" applyBorder="1"/>
    <xf numFmtId="0" fontId="0" fillId="12" borderId="0" xfId="0" applyFill="1"/>
    <xf numFmtId="0" fontId="1" fillId="12" borderId="2" xfId="0" applyFont="1" applyFill="1" applyBorder="1"/>
    <xf numFmtId="0" fontId="0" fillId="0" borderId="0" xfId="0" applyFont="1" applyBorder="1"/>
    <xf numFmtId="14" fontId="0" fillId="0" borderId="0" xfId="0" applyNumberFormat="1" applyFont="1" applyBorder="1"/>
    <xf numFmtId="2" fontId="0" fillId="0" borderId="0" xfId="0" applyNumberFormat="1" applyFont="1" applyBorder="1"/>
    <xf numFmtId="0" fontId="0" fillId="0" borderId="0" xfId="0" applyFont="1" applyFill="1" applyBorder="1"/>
    <xf numFmtId="14" fontId="0" fillId="0" borderId="0" xfId="0" applyNumberFormat="1" applyFont="1" applyFill="1" applyBorder="1"/>
    <xf numFmtId="2" fontId="0" fillId="0" borderId="0" xfId="0" applyNumberFormat="1" applyFont="1" applyFill="1" applyBorder="1"/>
    <xf numFmtId="164" fontId="0" fillId="0" borderId="0" xfId="0" applyNumberFormat="1"/>
    <xf numFmtId="0" fontId="2" fillId="2" borderId="0" xfId="0" applyFont="1" applyFill="1" applyAlignment="1">
      <alignment horizontal="center" vertical="center"/>
    </xf>
    <xf numFmtId="0" fontId="1" fillId="5" borderId="0" xfId="0" applyFont="1" applyFill="1" applyBorder="1" applyAlignment="1">
      <alignment horizontal="center" vertical="center" textRotation="255"/>
    </xf>
    <xf numFmtId="0" fontId="1" fillId="6" borderId="1" xfId="0" applyFont="1" applyFill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/>
    </xf>
    <xf numFmtId="0" fontId="1" fillId="7" borderId="1" xfId="0" applyFont="1" applyFill="1" applyBorder="1" applyAlignment="1">
      <alignment horizontal="center" vertical="center" textRotation="255"/>
    </xf>
    <xf numFmtId="0" fontId="1" fillId="4" borderId="0" xfId="0" applyFont="1" applyFill="1" applyBorder="1" applyAlignment="1">
      <alignment horizontal="center" vertical="center" textRotation="255"/>
    </xf>
    <xf numFmtId="0" fontId="1" fillId="4" borderId="2" xfId="0" applyFont="1" applyFill="1" applyBorder="1" applyAlignment="1">
      <alignment horizontal="center" vertical="center" textRotation="255"/>
    </xf>
    <xf numFmtId="0" fontId="1" fillId="8" borderId="3" xfId="0" applyFont="1" applyFill="1" applyBorder="1" applyAlignment="1">
      <alignment horizontal="center" vertical="center" textRotation="255"/>
    </xf>
    <xf numFmtId="0" fontId="1" fillId="8" borderId="1" xfId="0" applyFont="1" applyFill="1" applyBorder="1" applyAlignment="1">
      <alignment horizontal="center" vertical="center" textRotation="255"/>
    </xf>
    <xf numFmtId="0" fontId="1" fillId="9" borderId="1" xfId="0" applyFont="1" applyFill="1" applyBorder="1" applyAlignment="1">
      <alignment horizontal="center" vertical="center" textRotation="255"/>
    </xf>
    <xf numFmtId="0" fontId="1" fillId="10" borderId="1" xfId="0" applyFont="1" applyFill="1" applyBorder="1" applyAlignment="1">
      <alignment horizontal="center" vertical="center" textRotation="255"/>
    </xf>
    <xf numFmtId="0" fontId="2" fillId="3" borderId="0" xfId="0" applyFont="1" applyFill="1" applyAlignment="1">
      <alignment horizontal="center" vertical="center"/>
    </xf>
    <xf numFmtId="0" fontId="0" fillId="13" borderId="0" xfId="0" applyFill="1"/>
    <xf numFmtId="14" fontId="0" fillId="13" borderId="0" xfId="0" applyNumberFormat="1" applyFill="1"/>
    <xf numFmtId="2" fontId="0" fillId="13" borderId="0" xfId="0" applyNumberFormat="1" applyFill="1"/>
    <xf numFmtId="0" fontId="1" fillId="0" borderId="0" xfId="0" applyFont="1"/>
    <xf numFmtId="0" fontId="0" fillId="14" borderId="0" xfId="0" applyFill="1"/>
    <xf numFmtId="2" fontId="0" fillId="14" borderId="0" xfId="0" applyNumberFormat="1" applyFill="1"/>
    <xf numFmtId="2" fontId="1" fillId="0" borderId="0" xfId="0" applyNumberFormat="1" applyFont="1"/>
  </cellXfs>
  <cellStyles count="1"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tabSelected="1" zoomScale="70" zoomScaleNormal="70" workbookViewId="0">
      <pane xSplit="6" ySplit="2" topLeftCell="G180" activePane="bottomRight" state="frozen"/>
      <selection pane="topRight" activeCell="G1" sqref="G1"/>
      <selection pane="bottomLeft" activeCell="A3" sqref="A3"/>
      <selection pane="bottomRight" activeCell="AC217" sqref="AC217"/>
    </sheetView>
  </sheetViews>
  <sheetFormatPr baseColWidth="10" defaultRowHeight="15" x14ac:dyDescent="0.25"/>
  <sheetData>
    <row r="1" spans="1:28" x14ac:dyDescent="0.25">
      <c r="G1" s="41" t="s">
        <v>9</v>
      </c>
      <c r="H1" s="41"/>
      <c r="I1" s="41"/>
      <c r="J1" s="41"/>
      <c r="K1" s="41"/>
      <c r="L1" s="41"/>
      <c r="M1" s="41" t="s">
        <v>10</v>
      </c>
      <c r="N1" s="41"/>
      <c r="O1" s="41"/>
      <c r="P1" s="41"/>
      <c r="Q1" s="41" t="s">
        <v>11</v>
      </c>
      <c r="R1" s="41"/>
      <c r="S1" s="41"/>
      <c r="T1" s="41"/>
      <c r="U1" s="41"/>
      <c r="W1" s="41" t="s">
        <v>12</v>
      </c>
      <c r="X1" s="41"/>
      <c r="Y1" s="41"/>
      <c r="Z1" s="41"/>
      <c r="AA1" s="41"/>
      <c r="AB1" s="41"/>
    </row>
    <row r="2" spans="1:28" x14ac:dyDescent="0.25">
      <c r="A2" t="s">
        <v>0</v>
      </c>
      <c r="B2" t="s">
        <v>1</v>
      </c>
      <c r="C2" t="s">
        <v>2</v>
      </c>
      <c r="D2" t="s">
        <v>13</v>
      </c>
      <c r="E2" t="s">
        <v>14</v>
      </c>
      <c r="F2" t="s">
        <v>15</v>
      </c>
      <c r="G2" s="1" t="s">
        <v>4</v>
      </c>
      <c r="H2" s="1" t="s">
        <v>7</v>
      </c>
      <c r="I2" s="1" t="s">
        <v>8</v>
      </c>
      <c r="J2" s="1" t="s">
        <v>16</v>
      </c>
      <c r="K2" s="1" t="s">
        <v>17</v>
      </c>
      <c r="L2" s="2" t="s">
        <v>18</v>
      </c>
      <c r="M2" s="1" t="s">
        <v>3</v>
      </c>
      <c r="N2" s="1" t="s">
        <v>6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1" t="s">
        <v>5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26</v>
      </c>
    </row>
    <row r="3" spans="1:28" x14ac:dyDescent="0.25">
      <c r="A3">
        <v>6440</v>
      </c>
      <c r="B3">
        <v>25210</v>
      </c>
      <c r="C3" s="4">
        <v>42582</v>
      </c>
      <c r="G3">
        <v>16.600000000000001</v>
      </c>
      <c r="H3">
        <v>12.8</v>
      </c>
      <c r="I3">
        <v>21.5</v>
      </c>
      <c r="M3">
        <v>2.4</v>
      </c>
      <c r="N3">
        <v>2.5</v>
      </c>
      <c r="O3">
        <f>M3-N3</f>
        <v>-0.10000000000000009</v>
      </c>
      <c r="P3">
        <v>0</v>
      </c>
      <c r="W3">
        <v>1258.4000000000001</v>
      </c>
    </row>
    <row r="4" spans="1:28" x14ac:dyDescent="0.25">
      <c r="A4">
        <v>6440</v>
      </c>
      <c r="B4">
        <v>25210</v>
      </c>
      <c r="C4" s="4">
        <v>42583</v>
      </c>
      <c r="G4">
        <v>16.2</v>
      </c>
      <c r="H4">
        <v>10.199999999999999</v>
      </c>
      <c r="I4">
        <v>21.6</v>
      </c>
      <c r="M4">
        <v>2.8</v>
      </c>
      <c r="N4">
        <v>2.8</v>
      </c>
      <c r="O4">
        <f t="shared" ref="O4:O33" si="0">M4-N4</f>
        <v>0</v>
      </c>
      <c r="P4">
        <f>P3+O4</f>
        <v>0</v>
      </c>
      <c r="W4">
        <v>1550.5</v>
      </c>
    </row>
    <row r="5" spans="1:28" x14ac:dyDescent="0.25">
      <c r="A5">
        <v>6440</v>
      </c>
      <c r="B5">
        <v>25210</v>
      </c>
      <c r="C5" s="4">
        <v>42584</v>
      </c>
      <c r="G5">
        <v>17.2</v>
      </c>
      <c r="H5">
        <v>14.1</v>
      </c>
      <c r="I5">
        <v>18.7</v>
      </c>
      <c r="M5">
        <v>10.8</v>
      </c>
      <c r="N5">
        <v>1</v>
      </c>
      <c r="O5">
        <f t="shared" si="0"/>
        <v>9.8000000000000007</v>
      </c>
      <c r="P5">
        <f t="shared" ref="P5:P32" si="1">P4+O5</f>
        <v>9.8000000000000007</v>
      </c>
      <c r="W5">
        <v>598.5</v>
      </c>
    </row>
    <row r="6" spans="1:28" x14ac:dyDescent="0.25">
      <c r="A6">
        <v>6440</v>
      </c>
      <c r="B6">
        <v>25210</v>
      </c>
      <c r="C6" s="4">
        <v>42585</v>
      </c>
      <c r="G6">
        <v>18.100000000000001</v>
      </c>
      <c r="H6">
        <v>16.7</v>
      </c>
      <c r="I6">
        <v>19.399999999999999</v>
      </c>
      <c r="M6">
        <v>15.9</v>
      </c>
      <c r="N6">
        <v>1.2</v>
      </c>
      <c r="O6">
        <f t="shared" si="0"/>
        <v>14.700000000000001</v>
      </c>
      <c r="P6">
        <f t="shared" si="1"/>
        <v>24.5</v>
      </c>
      <c r="W6">
        <v>552.29999999999995</v>
      </c>
    </row>
    <row r="7" spans="1:28" x14ac:dyDescent="0.25">
      <c r="A7">
        <v>6440</v>
      </c>
      <c r="B7">
        <v>25210</v>
      </c>
      <c r="C7" s="4">
        <v>42586</v>
      </c>
      <c r="G7">
        <v>16.899999999999999</v>
      </c>
      <c r="H7">
        <v>14.5</v>
      </c>
      <c r="I7">
        <v>19.399999999999999</v>
      </c>
      <c r="M7">
        <v>0.3</v>
      </c>
      <c r="N7">
        <v>3</v>
      </c>
      <c r="O7">
        <f t="shared" si="0"/>
        <v>-2.7</v>
      </c>
      <c r="P7">
        <f t="shared" si="1"/>
        <v>21.8</v>
      </c>
      <c r="W7">
        <v>1817.7</v>
      </c>
    </row>
    <row r="8" spans="1:28" x14ac:dyDescent="0.25">
      <c r="A8">
        <v>6440</v>
      </c>
      <c r="B8">
        <v>25210</v>
      </c>
      <c r="C8" s="4">
        <v>42587</v>
      </c>
      <c r="G8">
        <v>16.600000000000001</v>
      </c>
      <c r="H8">
        <v>13.3</v>
      </c>
      <c r="I8">
        <v>21.1</v>
      </c>
      <c r="M8">
        <v>0</v>
      </c>
      <c r="N8">
        <v>3.6</v>
      </c>
      <c r="O8">
        <f t="shared" si="0"/>
        <v>-3.6</v>
      </c>
      <c r="P8">
        <f t="shared" si="1"/>
        <v>18.2</v>
      </c>
      <c r="W8">
        <v>1793.1</v>
      </c>
    </row>
    <row r="9" spans="1:28" x14ac:dyDescent="0.25">
      <c r="A9">
        <v>6440</v>
      </c>
      <c r="B9">
        <v>25210</v>
      </c>
      <c r="C9" s="4">
        <v>42588</v>
      </c>
      <c r="G9">
        <v>17.7</v>
      </c>
      <c r="H9">
        <v>11.4</v>
      </c>
      <c r="I9">
        <v>22.9</v>
      </c>
      <c r="M9">
        <v>0</v>
      </c>
      <c r="N9">
        <v>3.6</v>
      </c>
      <c r="O9">
        <f t="shared" si="0"/>
        <v>-3.6</v>
      </c>
      <c r="P9">
        <f t="shared" si="1"/>
        <v>14.6</v>
      </c>
      <c r="W9">
        <v>1680.9</v>
      </c>
    </row>
    <row r="10" spans="1:28" x14ac:dyDescent="0.25">
      <c r="A10">
        <v>6440</v>
      </c>
      <c r="B10">
        <v>25210</v>
      </c>
      <c r="C10" s="4">
        <v>42589</v>
      </c>
      <c r="G10">
        <v>19.899999999999999</v>
      </c>
      <c r="H10">
        <v>12.2</v>
      </c>
      <c r="I10">
        <v>26</v>
      </c>
      <c r="M10">
        <v>0</v>
      </c>
      <c r="N10">
        <v>3.1</v>
      </c>
      <c r="O10">
        <f t="shared" si="0"/>
        <v>-3.1</v>
      </c>
      <c r="P10">
        <f t="shared" si="1"/>
        <v>11.5</v>
      </c>
      <c r="W10">
        <v>1267</v>
      </c>
    </row>
    <row r="11" spans="1:28" x14ac:dyDescent="0.25">
      <c r="A11">
        <v>6440</v>
      </c>
      <c r="B11">
        <v>25210</v>
      </c>
      <c r="C11" s="4">
        <v>42590</v>
      </c>
      <c r="G11">
        <v>16.8</v>
      </c>
      <c r="H11">
        <v>14.6</v>
      </c>
      <c r="I11">
        <v>20.100000000000001</v>
      </c>
      <c r="M11">
        <v>0</v>
      </c>
      <c r="N11">
        <v>2.6</v>
      </c>
      <c r="O11">
        <f t="shared" si="0"/>
        <v>-2.6</v>
      </c>
      <c r="P11">
        <f t="shared" si="1"/>
        <v>8.9</v>
      </c>
      <c r="W11">
        <v>1029.7</v>
      </c>
    </row>
    <row r="12" spans="1:28" x14ac:dyDescent="0.25">
      <c r="A12">
        <v>6440</v>
      </c>
      <c r="B12">
        <v>25210</v>
      </c>
      <c r="C12" s="4">
        <v>42591</v>
      </c>
      <c r="G12">
        <v>15</v>
      </c>
      <c r="H12">
        <v>11.7</v>
      </c>
      <c r="I12">
        <v>19.399999999999999</v>
      </c>
      <c r="M12">
        <v>0.1</v>
      </c>
      <c r="N12">
        <v>3.9</v>
      </c>
      <c r="O12">
        <f t="shared" si="0"/>
        <v>-3.8</v>
      </c>
      <c r="P12">
        <f t="shared" si="1"/>
        <v>5.1000000000000005</v>
      </c>
      <c r="W12">
        <v>1844.2</v>
      </c>
    </row>
    <row r="13" spans="1:28" x14ac:dyDescent="0.25">
      <c r="A13">
        <v>6440</v>
      </c>
      <c r="B13">
        <v>25210</v>
      </c>
      <c r="C13" s="4">
        <v>42592</v>
      </c>
      <c r="G13">
        <v>12.3</v>
      </c>
      <c r="H13">
        <v>9.4</v>
      </c>
      <c r="I13">
        <v>16.100000000000001</v>
      </c>
      <c r="M13">
        <v>0.9</v>
      </c>
      <c r="N13">
        <v>2.5</v>
      </c>
      <c r="O13">
        <f t="shared" si="0"/>
        <v>-1.6</v>
      </c>
      <c r="P13">
        <f t="shared" si="1"/>
        <v>3.5000000000000004</v>
      </c>
      <c r="W13">
        <v>1391</v>
      </c>
    </row>
    <row r="14" spans="1:28" x14ac:dyDescent="0.25">
      <c r="A14">
        <v>6440</v>
      </c>
      <c r="B14">
        <v>25210</v>
      </c>
      <c r="C14" s="4">
        <v>42593</v>
      </c>
      <c r="G14">
        <v>13.6</v>
      </c>
      <c r="H14">
        <v>7.8</v>
      </c>
      <c r="I14">
        <v>18.5</v>
      </c>
      <c r="M14">
        <v>1.8</v>
      </c>
      <c r="N14">
        <v>0.7</v>
      </c>
      <c r="O14">
        <f t="shared" si="0"/>
        <v>1.1000000000000001</v>
      </c>
      <c r="P14">
        <f t="shared" si="1"/>
        <v>4.6000000000000005</v>
      </c>
      <c r="W14">
        <v>430.1</v>
      </c>
    </row>
    <row r="15" spans="1:28" x14ac:dyDescent="0.25">
      <c r="A15">
        <v>6440</v>
      </c>
      <c r="B15">
        <v>25210</v>
      </c>
      <c r="C15" s="4">
        <v>42594</v>
      </c>
      <c r="G15">
        <v>18.2</v>
      </c>
      <c r="H15">
        <v>13.2</v>
      </c>
      <c r="I15">
        <v>23.8</v>
      </c>
      <c r="M15">
        <v>0</v>
      </c>
      <c r="N15">
        <v>2.8</v>
      </c>
      <c r="O15">
        <f t="shared" si="0"/>
        <v>-2.8</v>
      </c>
      <c r="P15">
        <f t="shared" si="1"/>
        <v>1.8000000000000007</v>
      </c>
      <c r="W15">
        <v>1239</v>
      </c>
    </row>
    <row r="16" spans="1:28" x14ac:dyDescent="0.25">
      <c r="A16">
        <v>6440</v>
      </c>
      <c r="B16">
        <v>25210</v>
      </c>
      <c r="C16" s="4">
        <v>42595</v>
      </c>
      <c r="G16">
        <v>18.600000000000001</v>
      </c>
      <c r="H16">
        <v>11.6</v>
      </c>
      <c r="I16">
        <v>23.8</v>
      </c>
      <c r="M16">
        <v>0</v>
      </c>
      <c r="N16">
        <v>3.7</v>
      </c>
      <c r="O16">
        <f t="shared" si="0"/>
        <v>-3.7</v>
      </c>
      <c r="P16">
        <v>0</v>
      </c>
      <c r="W16">
        <v>2008.2</v>
      </c>
    </row>
    <row r="17" spans="1:23" x14ac:dyDescent="0.25">
      <c r="A17">
        <v>6440</v>
      </c>
      <c r="B17">
        <v>25210</v>
      </c>
      <c r="C17" s="4">
        <v>42596</v>
      </c>
      <c r="G17">
        <v>18</v>
      </c>
      <c r="H17">
        <v>14.3</v>
      </c>
      <c r="I17">
        <v>22.3</v>
      </c>
      <c r="M17">
        <v>0</v>
      </c>
      <c r="N17">
        <v>2.9</v>
      </c>
      <c r="O17">
        <f t="shared" si="0"/>
        <v>-2.9</v>
      </c>
      <c r="P17">
        <v>0</v>
      </c>
      <c r="W17">
        <v>1517.5</v>
      </c>
    </row>
    <row r="18" spans="1:23" x14ac:dyDescent="0.25">
      <c r="A18">
        <v>6440</v>
      </c>
      <c r="B18">
        <v>25210</v>
      </c>
      <c r="C18" s="4">
        <v>42597</v>
      </c>
      <c r="G18">
        <v>18.5</v>
      </c>
      <c r="H18">
        <v>13.5</v>
      </c>
      <c r="I18">
        <v>23.8</v>
      </c>
      <c r="M18">
        <v>0</v>
      </c>
      <c r="N18">
        <v>4.7</v>
      </c>
      <c r="O18">
        <f t="shared" si="0"/>
        <v>-4.7</v>
      </c>
      <c r="P18">
        <v>0</v>
      </c>
      <c r="W18">
        <v>2356.4</v>
      </c>
    </row>
    <row r="19" spans="1:23" x14ac:dyDescent="0.25">
      <c r="A19">
        <v>6440</v>
      </c>
      <c r="B19">
        <v>25210</v>
      </c>
      <c r="C19" s="4">
        <v>42598</v>
      </c>
      <c r="G19">
        <v>19.600000000000001</v>
      </c>
      <c r="H19">
        <v>13.3</v>
      </c>
      <c r="I19">
        <v>25.8</v>
      </c>
      <c r="M19">
        <v>0</v>
      </c>
      <c r="N19">
        <v>4.8</v>
      </c>
      <c r="O19">
        <f t="shared" si="0"/>
        <v>-4.8</v>
      </c>
      <c r="P19">
        <v>0</v>
      </c>
      <c r="W19">
        <v>2308.1999999999998</v>
      </c>
    </row>
    <row r="20" spans="1:23" x14ac:dyDescent="0.25">
      <c r="A20">
        <v>6440</v>
      </c>
      <c r="B20">
        <v>25210</v>
      </c>
      <c r="C20" s="4">
        <v>42599</v>
      </c>
      <c r="G20">
        <v>20.5</v>
      </c>
      <c r="H20">
        <v>14.4</v>
      </c>
      <c r="I20">
        <v>26.4</v>
      </c>
      <c r="M20">
        <v>0.5</v>
      </c>
      <c r="N20">
        <v>4.3</v>
      </c>
      <c r="O20">
        <f t="shared" si="0"/>
        <v>-3.8</v>
      </c>
      <c r="P20">
        <v>0</v>
      </c>
      <c r="W20">
        <v>2046.3</v>
      </c>
    </row>
    <row r="21" spans="1:23" x14ac:dyDescent="0.25">
      <c r="A21">
        <v>6440</v>
      </c>
      <c r="B21">
        <v>25210</v>
      </c>
      <c r="C21" s="4">
        <v>42600</v>
      </c>
      <c r="G21">
        <v>19.2</v>
      </c>
      <c r="H21">
        <v>15</v>
      </c>
      <c r="I21">
        <v>22.3</v>
      </c>
      <c r="M21">
        <v>0.9</v>
      </c>
      <c r="N21">
        <v>2.1</v>
      </c>
      <c r="O21">
        <f t="shared" si="0"/>
        <v>-1.2000000000000002</v>
      </c>
      <c r="P21">
        <v>0</v>
      </c>
      <c r="W21">
        <v>1093.0999999999999</v>
      </c>
    </row>
    <row r="22" spans="1:23" x14ac:dyDescent="0.25">
      <c r="A22">
        <v>6440</v>
      </c>
      <c r="B22">
        <v>25210</v>
      </c>
      <c r="C22" s="4">
        <v>42601</v>
      </c>
      <c r="G22">
        <v>17.3</v>
      </c>
      <c r="H22">
        <v>15</v>
      </c>
      <c r="I22">
        <v>22.6</v>
      </c>
      <c r="M22">
        <v>2</v>
      </c>
      <c r="N22">
        <v>2.4</v>
      </c>
      <c r="O22">
        <f t="shared" si="0"/>
        <v>-0.39999999999999991</v>
      </c>
      <c r="P22">
        <v>0</v>
      </c>
      <c r="W22">
        <v>948</v>
      </c>
    </row>
    <row r="23" spans="1:23" x14ac:dyDescent="0.25">
      <c r="A23">
        <v>6440</v>
      </c>
      <c r="B23">
        <v>25210</v>
      </c>
      <c r="C23" s="4">
        <v>42602</v>
      </c>
      <c r="G23">
        <v>17.2</v>
      </c>
      <c r="H23">
        <v>14.3</v>
      </c>
      <c r="I23">
        <v>22.5</v>
      </c>
      <c r="M23">
        <v>3</v>
      </c>
      <c r="N23">
        <v>3.8</v>
      </c>
      <c r="O23">
        <f t="shared" si="0"/>
        <v>-0.79999999999999982</v>
      </c>
      <c r="P23">
        <v>0</v>
      </c>
      <c r="W23">
        <v>1503.7</v>
      </c>
    </row>
    <row r="24" spans="1:23" x14ac:dyDescent="0.25">
      <c r="A24">
        <v>6440</v>
      </c>
      <c r="B24">
        <v>25210</v>
      </c>
      <c r="C24" s="4">
        <v>42603</v>
      </c>
      <c r="G24">
        <v>15.9</v>
      </c>
      <c r="H24">
        <v>13.7</v>
      </c>
      <c r="I24">
        <v>17.5</v>
      </c>
      <c r="M24">
        <v>0.2</v>
      </c>
      <c r="N24">
        <v>1.6</v>
      </c>
      <c r="O24">
        <f t="shared" si="0"/>
        <v>-1.4000000000000001</v>
      </c>
      <c r="P24">
        <v>0</v>
      </c>
      <c r="W24">
        <v>585.20000000000005</v>
      </c>
    </row>
    <row r="25" spans="1:23" x14ac:dyDescent="0.25">
      <c r="A25">
        <v>6440</v>
      </c>
      <c r="B25">
        <v>25210</v>
      </c>
      <c r="C25" s="4">
        <v>42604</v>
      </c>
      <c r="G25">
        <v>20.100000000000001</v>
      </c>
      <c r="H25">
        <v>15.3</v>
      </c>
      <c r="I25">
        <v>25.1</v>
      </c>
      <c r="M25">
        <v>0</v>
      </c>
      <c r="N25">
        <v>4.0999999999999996</v>
      </c>
      <c r="O25">
        <f t="shared" si="0"/>
        <v>-4.0999999999999996</v>
      </c>
      <c r="P25">
        <v>0</v>
      </c>
      <c r="W25">
        <v>1694.3</v>
      </c>
    </row>
    <row r="26" spans="1:23" x14ac:dyDescent="0.25">
      <c r="A26">
        <v>6440</v>
      </c>
      <c r="B26">
        <v>25210</v>
      </c>
      <c r="C26" s="4">
        <v>42605</v>
      </c>
      <c r="G26">
        <v>22.1</v>
      </c>
      <c r="H26">
        <v>15.1</v>
      </c>
      <c r="I26">
        <v>28.3</v>
      </c>
      <c r="M26">
        <v>0</v>
      </c>
      <c r="N26">
        <v>5.6</v>
      </c>
      <c r="O26">
        <f t="shared" si="0"/>
        <v>-5.6</v>
      </c>
      <c r="P26">
        <v>0</v>
      </c>
      <c r="W26">
        <v>2333.5</v>
      </c>
    </row>
    <row r="27" spans="1:23" x14ac:dyDescent="0.25">
      <c r="A27">
        <v>6440</v>
      </c>
      <c r="B27">
        <v>25210</v>
      </c>
      <c r="C27" s="4">
        <v>42606</v>
      </c>
      <c r="G27">
        <v>24.8</v>
      </c>
      <c r="H27">
        <v>18.2</v>
      </c>
      <c r="I27">
        <v>31.6</v>
      </c>
      <c r="M27">
        <v>0</v>
      </c>
      <c r="N27">
        <v>6.4</v>
      </c>
      <c r="O27">
        <f t="shared" si="0"/>
        <v>-6.4</v>
      </c>
      <c r="P27">
        <v>0</v>
      </c>
      <c r="W27">
        <v>2419.9</v>
      </c>
    </row>
    <row r="28" spans="1:23" x14ac:dyDescent="0.25">
      <c r="A28">
        <v>6440</v>
      </c>
      <c r="B28">
        <v>25210</v>
      </c>
      <c r="C28" s="4">
        <v>42607</v>
      </c>
      <c r="G28">
        <v>25.5</v>
      </c>
      <c r="H28">
        <v>18.100000000000001</v>
      </c>
      <c r="I28">
        <v>32.9</v>
      </c>
      <c r="M28">
        <v>0</v>
      </c>
      <c r="N28">
        <v>5.9</v>
      </c>
      <c r="O28">
        <f t="shared" si="0"/>
        <v>-5.9</v>
      </c>
      <c r="P28">
        <v>0</v>
      </c>
      <c r="W28">
        <v>2277.4</v>
      </c>
    </row>
    <row r="29" spans="1:23" x14ac:dyDescent="0.25">
      <c r="A29">
        <v>6440</v>
      </c>
      <c r="B29">
        <v>25210</v>
      </c>
      <c r="C29" s="4">
        <v>42608</v>
      </c>
      <c r="G29">
        <v>23.9</v>
      </c>
      <c r="H29">
        <v>17.7</v>
      </c>
      <c r="I29">
        <v>30.4</v>
      </c>
      <c r="M29">
        <v>0</v>
      </c>
      <c r="N29">
        <v>5.3</v>
      </c>
      <c r="O29">
        <f t="shared" si="0"/>
        <v>-5.3</v>
      </c>
      <c r="P29">
        <v>0</v>
      </c>
      <c r="W29">
        <v>2206.4</v>
      </c>
    </row>
    <row r="30" spans="1:23" x14ac:dyDescent="0.25">
      <c r="A30">
        <v>6440</v>
      </c>
      <c r="B30">
        <v>25210</v>
      </c>
      <c r="C30" s="4">
        <v>42609</v>
      </c>
      <c r="G30">
        <v>24.6</v>
      </c>
      <c r="H30">
        <v>18.899999999999999</v>
      </c>
      <c r="I30">
        <v>30.6</v>
      </c>
      <c r="M30">
        <v>0</v>
      </c>
      <c r="N30">
        <v>4.8</v>
      </c>
      <c r="O30">
        <f t="shared" si="0"/>
        <v>-4.8</v>
      </c>
      <c r="P30">
        <v>0</v>
      </c>
      <c r="W30">
        <v>2022.7</v>
      </c>
    </row>
    <row r="31" spans="1:23" x14ac:dyDescent="0.25">
      <c r="A31">
        <v>6440</v>
      </c>
      <c r="B31">
        <v>25210</v>
      </c>
      <c r="C31" s="4">
        <v>42610</v>
      </c>
      <c r="G31">
        <v>20.7</v>
      </c>
      <c r="H31">
        <v>18.399999999999999</v>
      </c>
      <c r="I31">
        <v>25.5</v>
      </c>
      <c r="M31">
        <v>0.7</v>
      </c>
      <c r="N31">
        <v>4.0999999999999996</v>
      </c>
      <c r="O31">
        <f t="shared" si="0"/>
        <v>-3.3999999999999995</v>
      </c>
      <c r="P31">
        <v>0</v>
      </c>
      <c r="W31">
        <v>1571.5</v>
      </c>
    </row>
    <row r="32" spans="1:23" x14ac:dyDescent="0.25">
      <c r="A32">
        <v>6440</v>
      </c>
      <c r="B32">
        <v>25210</v>
      </c>
      <c r="C32" s="4">
        <v>42611</v>
      </c>
      <c r="G32">
        <v>17.600000000000001</v>
      </c>
      <c r="H32">
        <v>16.3</v>
      </c>
      <c r="I32">
        <v>20.100000000000001</v>
      </c>
      <c r="M32">
        <v>2.6</v>
      </c>
      <c r="N32">
        <v>2</v>
      </c>
      <c r="O32">
        <f t="shared" si="0"/>
        <v>0.60000000000000009</v>
      </c>
      <c r="P32">
        <f t="shared" si="1"/>
        <v>0.60000000000000009</v>
      </c>
      <c r="V32">
        <v>189.6</v>
      </c>
      <c r="W32">
        <v>857.4</v>
      </c>
    </row>
    <row r="33" spans="1:28" x14ac:dyDescent="0.25">
      <c r="A33">
        <v>6440</v>
      </c>
      <c r="B33">
        <v>25210</v>
      </c>
      <c r="C33" s="4">
        <v>42612</v>
      </c>
      <c r="G33">
        <v>17.399999999999999</v>
      </c>
      <c r="H33">
        <v>11.5</v>
      </c>
      <c r="I33">
        <v>23.4</v>
      </c>
      <c r="M33">
        <v>0</v>
      </c>
      <c r="N33">
        <v>3.6</v>
      </c>
      <c r="O33">
        <f t="shared" si="0"/>
        <v>-3.6</v>
      </c>
      <c r="P33">
        <v>0</v>
      </c>
      <c r="W33">
        <v>1797.1</v>
      </c>
    </row>
    <row r="34" spans="1:28" s="6" customFormat="1" x14ac:dyDescent="0.25">
      <c r="A34" s="49" t="s">
        <v>31</v>
      </c>
      <c r="B34" s="49"/>
      <c r="C34" s="49"/>
      <c r="D34" s="49"/>
      <c r="E34" s="49"/>
      <c r="F34" s="49"/>
    </row>
    <row r="35" spans="1:28" x14ac:dyDescent="0.25">
      <c r="A35">
        <v>6440</v>
      </c>
      <c r="B35">
        <v>25210</v>
      </c>
      <c r="C35" s="4">
        <v>42613</v>
      </c>
      <c r="F35" s="39" t="s">
        <v>45</v>
      </c>
      <c r="G35">
        <v>17.5</v>
      </c>
      <c r="H35">
        <v>11.9</v>
      </c>
      <c r="I35">
        <v>24.8</v>
      </c>
      <c r="J35">
        <f>G35</f>
        <v>17.5</v>
      </c>
      <c r="L35" s="7" t="s">
        <v>38</v>
      </c>
      <c r="M35">
        <v>0</v>
      </c>
      <c r="N35">
        <v>4</v>
      </c>
      <c r="O35">
        <f>M35-N35</f>
        <v>-4</v>
      </c>
      <c r="P35">
        <v>0</v>
      </c>
      <c r="Q35">
        <v>1</v>
      </c>
      <c r="R35">
        <v>0.35</v>
      </c>
      <c r="S35" s="18">
        <f>R35*N35</f>
        <v>1.4</v>
      </c>
      <c r="T35" s="18">
        <f>M35-S35</f>
        <v>-1.4</v>
      </c>
      <c r="U35">
        <v>0</v>
      </c>
      <c r="V35" s="19" t="s">
        <v>51</v>
      </c>
      <c r="W35">
        <v>1732.1</v>
      </c>
      <c r="Y35">
        <f>W35</f>
        <v>1732.1</v>
      </c>
      <c r="AA35">
        <v>13.287517282481462</v>
      </c>
      <c r="AB35" s="19" t="s">
        <v>56</v>
      </c>
    </row>
    <row r="36" spans="1:28" x14ac:dyDescent="0.25">
      <c r="A36">
        <v>6440</v>
      </c>
      <c r="B36">
        <v>25210</v>
      </c>
      <c r="C36" s="4">
        <v>42614</v>
      </c>
      <c r="F36" s="39"/>
      <c r="G36">
        <v>17.5</v>
      </c>
      <c r="H36">
        <v>11.9</v>
      </c>
      <c r="I36">
        <v>22.9</v>
      </c>
      <c r="J36">
        <f>J35+G36</f>
        <v>35</v>
      </c>
      <c r="L36" s="8">
        <v>1021.2</v>
      </c>
      <c r="M36">
        <v>0</v>
      </c>
      <c r="N36">
        <v>3.1</v>
      </c>
      <c r="O36">
        <f t="shared" ref="O36:O99" si="2">M36-N36</f>
        <v>-3.1</v>
      </c>
      <c r="P36">
        <v>0</v>
      </c>
      <c r="Q36">
        <v>2</v>
      </c>
      <c r="R36">
        <v>0.35</v>
      </c>
      <c r="S36" s="18">
        <f t="shared" ref="S36:S99" si="3">R36*N36</f>
        <v>1.085</v>
      </c>
      <c r="T36" s="18">
        <f t="shared" ref="T36:T99" si="4">M36-S36</f>
        <v>-1.085</v>
      </c>
      <c r="U36">
        <v>0</v>
      </c>
      <c r="V36">
        <v>6</v>
      </c>
      <c r="W36">
        <v>1642</v>
      </c>
      <c r="Y36">
        <f>Y35+W36</f>
        <v>3374.1</v>
      </c>
      <c r="AA36">
        <v>13.225853154442362</v>
      </c>
      <c r="AB36">
        <v>63447.6</v>
      </c>
    </row>
    <row r="37" spans="1:28" x14ac:dyDescent="0.25">
      <c r="A37">
        <v>6440</v>
      </c>
      <c r="B37">
        <v>25210</v>
      </c>
      <c r="C37" s="4">
        <v>42615</v>
      </c>
      <c r="F37" s="39"/>
      <c r="G37">
        <v>16.8</v>
      </c>
      <c r="H37">
        <v>11.1</v>
      </c>
      <c r="I37">
        <v>24.2</v>
      </c>
      <c r="J37">
        <f t="shared" ref="J37:J100" si="5">J36+G37</f>
        <v>51.8</v>
      </c>
      <c r="L37" s="7" t="s">
        <v>39</v>
      </c>
      <c r="M37">
        <v>0</v>
      </c>
      <c r="N37">
        <v>3.1</v>
      </c>
      <c r="O37">
        <f t="shared" si="2"/>
        <v>-3.1</v>
      </c>
      <c r="P37">
        <v>0</v>
      </c>
      <c r="Q37">
        <v>3</v>
      </c>
      <c r="R37">
        <v>0.35</v>
      </c>
      <c r="S37" s="18">
        <f t="shared" si="3"/>
        <v>1.085</v>
      </c>
      <c r="T37" s="18">
        <f t="shared" si="4"/>
        <v>-1.085</v>
      </c>
      <c r="U37">
        <v>0</v>
      </c>
      <c r="V37" s="19" t="s">
        <v>52</v>
      </c>
      <c r="W37">
        <v>1294.3</v>
      </c>
      <c r="Y37">
        <f t="shared" ref="Y37:Y100" si="6">Y36+W37</f>
        <v>4668.3999999999996</v>
      </c>
      <c r="AA37">
        <v>13.164010364103177</v>
      </c>
      <c r="AB37" s="19" t="s">
        <v>57</v>
      </c>
    </row>
    <row r="38" spans="1:28" x14ac:dyDescent="0.25">
      <c r="A38">
        <v>6440</v>
      </c>
      <c r="B38">
        <v>25210</v>
      </c>
      <c r="C38" s="4">
        <v>42616</v>
      </c>
      <c r="F38" s="39"/>
      <c r="G38">
        <v>19.600000000000001</v>
      </c>
      <c r="H38">
        <v>14.2</v>
      </c>
      <c r="I38">
        <v>23</v>
      </c>
      <c r="J38">
        <f t="shared" si="5"/>
        <v>71.400000000000006</v>
      </c>
      <c r="L38" s="8">
        <f>AVERAGE(G35:G122)</f>
        <v>11.60454545454545</v>
      </c>
      <c r="M38">
        <v>5.0999999999999996</v>
      </c>
      <c r="N38">
        <v>3.1</v>
      </c>
      <c r="O38">
        <f t="shared" si="2"/>
        <v>1.9999999999999996</v>
      </c>
      <c r="P38">
        <f t="shared" ref="P38:P100" si="7">P37+O38</f>
        <v>1.9999999999999996</v>
      </c>
      <c r="Q38">
        <v>4</v>
      </c>
      <c r="R38">
        <v>0.35</v>
      </c>
      <c r="S38" s="18">
        <f t="shared" si="3"/>
        <v>1.085</v>
      </c>
      <c r="T38" s="18">
        <f t="shared" si="4"/>
        <v>4.0149999999999997</v>
      </c>
      <c r="U38" s="18">
        <f>U37+T38</f>
        <v>4.0149999999999997</v>
      </c>
      <c r="V38">
        <v>82</v>
      </c>
      <c r="W38">
        <v>1528.9</v>
      </c>
      <c r="Y38">
        <f t="shared" si="6"/>
        <v>6197.2999999999993</v>
      </c>
      <c r="AA38">
        <v>13.101999966629547</v>
      </c>
      <c r="AB38">
        <f>(AB36/100)/L36</f>
        <v>0.6213043478260869</v>
      </c>
    </row>
    <row r="39" spans="1:28" x14ac:dyDescent="0.25">
      <c r="A39">
        <v>6440</v>
      </c>
      <c r="B39">
        <v>25210</v>
      </c>
      <c r="C39" s="4">
        <v>42617</v>
      </c>
      <c r="D39" t="s">
        <v>32</v>
      </c>
      <c r="F39" s="39"/>
      <c r="G39">
        <v>17.7</v>
      </c>
      <c r="H39">
        <v>17.399999999999999</v>
      </c>
      <c r="I39">
        <v>18.8</v>
      </c>
      <c r="J39">
        <f t="shared" si="5"/>
        <v>89.100000000000009</v>
      </c>
      <c r="L39" s="7" t="s">
        <v>40</v>
      </c>
      <c r="M39">
        <v>1.4</v>
      </c>
      <c r="N39">
        <v>2.2000000000000002</v>
      </c>
      <c r="O39">
        <f t="shared" si="2"/>
        <v>-0.80000000000000027</v>
      </c>
      <c r="P39">
        <f t="shared" si="7"/>
        <v>1.1999999999999993</v>
      </c>
      <c r="Q39">
        <v>5</v>
      </c>
      <c r="R39">
        <v>0.35</v>
      </c>
      <c r="S39" s="18">
        <f t="shared" si="3"/>
        <v>0.77</v>
      </c>
      <c r="T39" s="18">
        <f t="shared" si="4"/>
        <v>0.62999999999999989</v>
      </c>
      <c r="U39" s="18">
        <f t="shared" ref="U39:U102" si="8">U38+T39</f>
        <v>4.6449999999999996</v>
      </c>
      <c r="V39" s="19" t="s">
        <v>53</v>
      </c>
      <c r="W39">
        <v>992.1</v>
      </c>
      <c r="Y39">
        <f t="shared" si="6"/>
        <v>7189.4</v>
      </c>
      <c r="AA39">
        <v>13.039832722349741</v>
      </c>
      <c r="AB39" s="19" t="s">
        <v>58</v>
      </c>
    </row>
    <row r="40" spans="1:28" x14ac:dyDescent="0.25">
      <c r="A40">
        <v>6440</v>
      </c>
      <c r="B40">
        <v>25210</v>
      </c>
      <c r="C40" s="4">
        <v>42618</v>
      </c>
      <c r="F40" s="39"/>
      <c r="G40">
        <v>17.2</v>
      </c>
      <c r="H40">
        <v>15.7</v>
      </c>
      <c r="I40">
        <v>18.7</v>
      </c>
      <c r="J40">
        <f t="shared" si="5"/>
        <v>106.30000000000001</v>
      </c>
      <c r="L40" s="9">
        <f>MIN(H35:H122)</f>
        <v>-0.9</v>
      </c>
      <c r="M40">
        <v>2.8</v>
      </c>
      <c r="N40">
        <v>1.2</v>
      </c>
      <c r="O40">
        <f t="shared" si="2"/>
        <v>1.5999999999999999</v>
      </c>
      <c r="P40">
        <f t="shared" si="7"/>
        <v>2.7999999999999989</v>
      </c>
      <c r="Q40">
        <v>6</v>
      </c>
      <c r="R40">
        <f>0.35+((Q40-5)/83)*(1-0.35)</f>
        <v>0.35783132530120482</v>
      </c>
      <c r="S40" s="18">
        <f t="shared" si="3"/>
        <v>0.42939759036144576</v>
      </c>
      <c r="T40" s="18">
        <f t="shared" si="4"/>
        <v>2.3706024096385541</v>
      </c>
      <c r="U40" s="18">
        <f t="shared" si="8"/>
        <v>7.0156024096385536</v>
      </c>
      <c r="V40">
        <v>0</v>
      </c>
      <c r="W40">
        <v>569.29999999999995</v>
      </c>
      <c r="Y40">
        <f t="shared" si="6"/>
        <v>7758.7</v>
      </c>
      <c r="AA40">
        <v>12.977519111490034</v>
      </c>
      <c r="AB40">
        <v>62</v>
      </c>
    </row>
    <row r="41" spans="1:28" x14ac:dyDescent="0.25">
      <c r="A41">
        <v>6440</v>
      </c>
      <c r="B41">
        <v>25210</v>
      </c>
      <c r="C41" s="4">
        <v>42619</v>
      </c>
      <c r="F41" s="39"/>
      <c r="G41">
        <v>19.899999999999999</v>
      </c>
      <c r="H41">
        <v>18.100000000000001</v>
      </c>
      <c r="I41">
        <v>22.5</v>
      </c>
      <c r="J41">
        <f t="shared" si="5"/>
        <v>126.20000000000002</v>
      </c>
      <c r="L41" s="7" t="s">
        <v>41</v>
      </c>
      <c r="M41">
        <v>0.4</v>
      </c>
      <c r="N41">
        <v>1.5</v>
      </c>
      <c r="O41">
        <f t="shared" si="2"/>
        <v>-1.1000000000000001</v>
      </c>
      <c r="P41">
        <f t="shared" si="7"/>
        <v>1.6999999999999988</v>
      </c>
      <c r="Q41">
        <v>7</v>
      </c>
      <c r="R41">
        <f t="shared" ref="R41:R104" si="9">0.35+((Q41-5)/83)*(1-0.35)</f>
        <v>0.3656626506024096</v>
      </c>
      <c r="S41" s="18">
        <f t="shared" si="3"/>
        <v>0.54849397590361437</v>
      </c>
      <c r="T41" s="18">
        <f t="shared" si="4"/>
        <v>-0.14849397590361435</v>
      </c>
      <c r="U41" s="18">
        <f t="shared" si="8"/>
        <v>6.8671084337349395</v>
      </c>
      <c r="V41" s="19" t="s">
        <v>54</v>
      </c>
      <c r="W41">
        <v>627.6</v>
      </c>
      <c r="Y41">
        <f t="shared" si="6"/>
        <v>8386.2999999999993</v>
      </c>
      <c r="AA41">
        <v>12.915069349151452</v>
      </c>
    </row>
    <row r="42" spans="1:28" x14ac:dyDescent="0.25">
      <c r="A42">
        <v>6440</v>
      </c>
      <c r="B42">
        <v>25210</v>
      </c>
      <c r="C42" s="4">
        <v>42620</v>
      </c>
      <c r="F42" s="39"/>
      <c r="G42">
        <v>19.5</v>
      </c>
      <c r="H42">
        <v>13.7</v>
      </c>
      <c r="I42">
        <v>25.5</v>
      </c>
      <c r="J42">
        <f t="shared" si="5"/>
        <v>145.70000000000002</v>
      </c>
      <c r="L42" s="8">
        <f>MAX(I35:I122)</f>
        <v>28.2</v>
      </c>
      <c r="M42">
        <v>0</v>
      </c>
      <c r="N42">
        <v>4.5</v>
      </c>
      <c r="O42">
        <f t="shared" si="2"/>
        <v>-4.5</v>
      </c>
      <c r="P42">
        <v>0</v>
      </c>
      <c r="Q42">
        <v>8</v>
      </c>
      <c r="R42">
        <f t="shared" si="9"/>
        <v>0.37349397590361444</v>
      </c>
      <c r="S42" s="18">
        <f t="shared" si="3"/>
        <v>1.6807228915662651</v>
      </c>
      <c r="T42" s="18">
        <f t="shared" si="4"/>
        <v>-1.6807228915662651</v>
      </c>
      <c r="U42" s="18">
        <f t="shared" si="8"/>
        <v>5.186385542168674</v>
      </c>
      <c r="V42">
        <f>MAX(U35:U122)</f>
        <v>50.368192771084345</v>
      </c>
      <c r="W42">
        <v>1963.9</v>
      </c>
      <c r="Y42">
        <f t="shared" si="6"/>
        <v>10350.199999999999</v>
      </c>
      <c r="AA42">
        <v>12.852493400502283</v>
      </c>
    </row>
    <row r="43" spans="1:28" x14ac:dyDescent="0.25">
      <c r="A43">
        <v>6440</v>
      </c>
      <c r="B43">
        <v>25210</v>
      </c>
      <c r="C43" s="4">
        <v>42621</v>
      </c>
      <c r="F43" s="39"/>
      <c r="G43">
        <v>16.5</v>
      </c>
      <c r="H43">
        <v>13.2</v>
      </c>
      <c r="I43">
        <v>21.9</v>
      </c>
      <c r="J43">
        <f t="shared" si="5"/>
        <v>162.20000000000002</v>
      </c>
      <c r="L43" s="7" t="s">
        <v>42</v>
      </c>
      <c r="M43">
        <v>0</v>
      </c>
      <c r="N43">
        <v>2.7</v>
      </c>
      <c r="O43">
        <f t="shared" si="2"/>
        <v>-2.7</v>
      </c>
      <c r="P43">
        <v>0</v>
      </c>
      <c r="Q43">
        <v>9</v>
      </c>
      <c r="R43">
        <f t="shared" si="9"/>
        <v>0.38132530120481928</v>
      </c>
      <c r="S43" s="18">
        <f t="shared" si="3"/>
        <v>1.0295783132530121</v>
      </c>
      <c r="T43" s="18">
        <f t="shared" si="4"/>
        <v>-1.0295783132530121</v>
      </c>
      <c r="U43" s="18">
        <f t="shared" si="8"/>
        <v>4.1568072289156621</v>
      </c>
      <c r="V43" s="19" t="s">
        <v>55</v>
      </c>
      <c r="W43">
        <v>1015.4</v>
      </c>
      <c r="Y43">
        <f t="shared" si="6"/>
        <v>11365.599999999999</v>
      </c>
      <c r="AA43">
        <v>12.789800996162933</v>
      </c>
    </row>
    <row r="44" spans="1:28" x14ac:dyDescent="0.25">
      <c r="A44">
        <v>6440</v>
      </c>
      <c r="B44">
        <v>25210</v>
      </c>
      <c r="C44" s="4">
        <v>42622</v>
      </c>
      <c r="F44" s="39"/>
      <c r="G44">
        <v>16.5</v>
      </c>
      <c r="H44">
        <v>10.1</v>
      </c>
      <c r="I44">
        <v>23.2</v>
      </c>
      <c r="J44">
        <f t="shared" si="5"/>
        <v>178.70000000000002</v>
      </c>
      <c r="L44" s="8">
        <v>4</v>
      </c>
      <c r="M44">
        <v>0</v>
      </c>
      <c r="N44">
        <v>3.6</v>
      </c>
      <c r="O44">
        <f t="shared" si="2"/>
        <v>-3.6</v>
      </c>
      <c r="P44">
        <v>0</v>
      </c>
      <c r="Q44">
        <v>10</v>
      </c>
      <c r="R44">
        <f t="shared" si="9"/>
        <v>0.38915662650602406</v>
      </c>
      <c r="S44" s="18">
        <f t="shared" si="3"/>
        <v>1.4009638554216866</v>
      </c>
      <c r="T44" s="18">
        <f t="shared" si="4"/>
        <v>-1.4009638554216866</v>
      </c>
      <c r="U44" s="18">
        <f t="shared" si="8"/>
        <v>2.7558433734939758</v>
      </c>
      <c r="V44">
        <f>AVERAGE(U35:U122)</f>
        <v>15.966128833515887</v>
      </c>
      <c r="W44">
        <v>1700.7</v>
      </c>
      <c r="Y44">
        <f t="shared" si="6"/>
        <v>13066.3</v>
      </c>
      <c r="AA44">
        <v>12.727001647761561</v>
      </c>
    </row>
    <row r="45" spans="1:28" x14ac:dyDescent="0.25">
      <c r="A45">
        <v>6440</v>
      </c>
      <c r="B45">
        <v>25210</v>
      </c>
      <c r="C45" s="4">
        <v>42623</v>
      </c>
      <c r="F45" s="39"/>
      <c r="G45">
        <v>18.8</v>
      </c>
      <c r="H45">
        <v>11.7</v>
      </c>
      <c r="I45">
        <v>24.7</v>
      </c>
      <c r="J45">
        <f t="shared" si="5"/>
        <v>197.50000000000003</v>
      </c>
      <c r="L45" s="7" t="s">
        <v>43</v>
      </c>
      <c r="M45">
        <v>0.4</v>
      </c>
      <c r="N45">
        <v>3.6</v>
      </c>
      <c r="O45">
        <f t="shared" si="2"/>
        <v>-3.2</v>
      </c>
      <c r="P45">
        <v>0</v>
      </c>
      <c r="Q45">
        <v>11</v>
      </c>
      <c r="R45">
        <f t="shared" si="9"/>
        <v>0.3969879518072289</v>
      </c>
      <c r="S45" s="18">
        <f t="shared" si="3"/>
        <v>1.429156626506024</v>
      </c>
      <c r="T45" s="18">
        <f t="shared" si="4"/>
        <v>-1.0291566265060239</v>
      </c>
      <c r="U45" s="18">
        <f t="shared" si="8"/>
        <v>1.7266867469879519</v>
      </c>
      <c r="W45">
        <v>1569.3</v>
      </c>
      <c r="Y45">
        <f t="shared" si="6"/>
        <v>14635.599999999999</v>
      </c>
      <c r="AA45">
        <v>12.664104663640874</v>
      </c>
    </row>
    <row r="46" spans="1:28" x14ac:dyDescent="0.25">
      <c r="A46">
        <v>6440</v>
      </c>
      <c r="B46">
        <v>25210</v>
      </c>
      <c r="C46" s="4">
        <v>42624</v>
      </c>
      <c r="F46" s="39"/>
      <c r="G46">
        <v>18.7</v>
      </c>
      <c r="H46">
        <v>17.100000000000001</v>
      </c>
      <c r="I46">
        <v>19.600000000000001</v>
      </c>
      <c r="J46">
        <f t="shared" si="5"/>
        <v>216.20000000000002</v>
      </c>
      <c r="L46" s="8">
        <v>21</v>
      </c>
      <c r="M46">
        <v>0</v>
      </c>
      <c r="N46">
        <v>1.1000000000000001</v>
      </c>
      <c r="O46">
        <f t="shared" si="2"/>
        <v>-1.1000000000000001</v>
      </c>
      <c r="P46">
        <v>0</v>
      </c>
      <c r="Q46">
        <v>12</v>
      </c>
      <c r="R46">
        <f t="shared" si="9"/>
        <v>0.40481927710843368</v>
      </c>
      <c r="S46" s="18">
        <f t="shared" si="3"/>
        <v>0.4453012048192771</v>
      </c>
      <c r="T46" s="18">
        <f t="shared" si="4"/>
        <v>-0.4453012048192771</v>
      </c>
      <c r="U46" s="18">
        <f t="shared" si="8"/>
        <v>1.2813855421686748</v>
      </c>
      <c r="V46">
        <f>(V44*100)/189.6</f>
        <v>8.4209540261159734</v>
      </c>
      <c r="W46">
        <v>500.7</v>
      </c>
      <c r="Y46">
        <f t="shared" si="6"/>
        <v>15136.3</v>
      </c>
      <c r="AA46">
        <v>12.601119164698032</v>
      </c>
    </row>
    <row r="47" spans="1:28" x14ac:dyDescent="0.25">
      <c r="A47">
        <v>6440</v>
      </c>
      <c r="B47">
        <v>25210</v>
      </c>
      <c r="C47" s="4">
        <v>42625</v>
      </c>
      <c r="F47" s="39"/>
      <c r="G47">
        <v>21.9</v>
      </c>
      <c r="H47">
        <v>15.8</v>
      </c>
      <c r="I47">
        <v>28.2</v>
      </c>
      <c r="J47">
        <f t="shared" si="5"/>
        <v>238.10000000000002</v>
      </c>
      <c r="L47" s="7" t="s">
        <v>44</v>
      </c>
      <c r="M47">
        <v>0</v>
      </c>
      <c r="N47">
        <v>3.8</v>
      </c>
      <c r="O47">
        <f t="shared" si="2"/>
        <v>-3.8</v>
      </c>
      <c r="P47">
        <v>0</v>
      </c>
      <c r="Q47">
        <v>13</v>
      </c>
      <c r="R47">
        <f t="shared" si="9"/>
        <v>0.41265060240963852</v>
      </c>
      <c r="S47" s="18">
        <f t="shared" si="3"/>
        <v>1.5680722891566263</v>
      </c>
      <c r="T47" s="18">
        <f t="shared" si="4"/>
        <v>-1.5680722891566263</v>
      </c>
      <c r="U47" s="18">
        <v>0</v>
      </c>
      <c r="W47">
        <v>1495.4</v>
      </c>
      <c r="Y47">
        <f t="shared" si="6"/>
        <v>16631.7</v>
      </c>
      <c r="AA47">
        <v>12.538054100341343</v>
      </c>
    </row>
    <row r="48" spans="1:28" x14ac:dyDescent="0.25">
      <c r="A48">
        <v>6440</v>
      </c>
      <c r="B48">
        <v>25210</v>
      </c>
      <c r="C48" s="4">
        <v>42626</v>
      </c>
      <c r="F48" s="39"/>
      <c r="G48">
        <v>22.4</v>
      </c>
      <c r="H48">
        <v>19.399999999999999</v>
      </c>
      <c r="I48">
        <v>26</v>
      </c>
      <c r="J48">
        <f t="shared" si="5"/>
        <v>260.5</v>
      </c>
      <c r="L48" s="8">
        <v>2</v>
      </c>
      <c r="M48">
        <v>0</v>
      </c>
      <c r="N48">
        <v>2.7</v>
      </c>
      <c r="O48">
        <f t="shared" si="2"/>
        <v>-2.7</v>
      </c>
      <c r="P48">
        <v>0</v>
      </c>
      <c r="Q48">
        <v>14</v>
      </c>
      <c r="R48">
        <f t="shared" si="9"/>
        <v>0.42048192771084336</v>
      </c>
      <c r="S48" s="18">
        <f t="shared" si="3"/>
        <v>1.1353012048192772</v>
      </c>
      <c r="T48" s="18">
        <f t="shared" si="4"/>
        <v>-1.1353012048192772</v>
      </c>
      <c r="U48" s="18">
        <v>0</v>
      </c>
      <c r="W48">
        <v>875.9</v>
      </c>
      <c r="Y48">
        <f t="shared" si="6"/>
        <v>17507.600000000002</v>
      </c>
      <c r="AA48">
        <v>12.474918264548734</v>
      </c>
    </row>
    <row r="49" spans="1:27" x14ac:dyDescent="0.25">
      <c r="A49">
        <v>6440</v>
      </c>
      <c r="B49">
        <v>25210</v>
      </c>
      <c r="C49" s="4">
        <v>42627</v>
      </c>
      <c r="F49" s="39"/>
      <c r="G49">
        <v>22.2</v>
      </c>
      <c r="H49">
        <v>18.899999999999999</v>
      </c>
      <c r="I49">
        <v>26.1</v>
      </c>
      <c r="J49">
        <f t="shared" si="5"/>
        <v>282.7</v>
      </c>
      <c r="M49">
        <v>0.1</v>
      </c>
      <c r="N49">
        <v>4</v>
      </c>
      <c r="O49">
        <f t="shared" si="2"/>
        <v>-3.9</v>
      </c>
      <c r="P49">
        <v>0</v>
      </c>
      <c r="Q49">
        <v>15</v>
      </c>
      <c r="R49">
        <f t="shared" si="9"/>
        <v>0.42831325301204815</v>
      </c>
      <c r="S49" s="18">
        <f t="shared" si="3"/>
        <v>1.7132530120481926</v>
      </c>
      <c r="T49" s="18">
        <f t="shared" si="4"/>
        <v>-1.6132530120481925</v>
      </c>
      <c r="U49" s="18">
        <v>0</v>
      </c>
      <c r="W49">
        <v>1606.8</v>
      </c>
      <c r="Y49">
        <f t="shared" si="6"/>
        <v>19114.400000000001</v>
      </c>
      <c r="AA49">
        <v>12.411720312014376</v>
      </c>
    </row>
    <row r="50" spans="1:27" x14ac:dyDescent="0.25">
      <c r="A50">
        <v>6440</v>
      </c>
      <c r="B50">
        <v>25210</v>
      </c>
      <c r="C50" s="4">
        <v>42628</v>
      </c>
      <c r="F50" s="39"/>
      <c r="G50">
        <v>16.899999999999999</v>
      </c>
      <c r="H50">
        <v>15.7</v>
      </c>
      <c r="I50">
        <v>18.399999999999999</v>
      </c>
      <c r="J50">
        <f t="shared" si="5"/>
        <v>299.59999999999997</v>
      </c>
      <c r="M50">
        <v>3.9</v>
      </c>
      <c r="N50">
        <v>1.5</v>
      </c>
      <c r="O50">
        <f t="shared" si="2"/>
        <v>2.4</v>
      </c>
      <c r="P50">
        <f t="shared" si="7"/>
        <v>2.4</v>
      </c>
      <c r="Q50">
        <v>16</v>
      </c>
      <c r="R50">
        <f t="shared" si="9"/>
        <v>0.43614457831325298</v>
      </c>
      <c r="S50" s="18">
        <f t="shared" si="3"/>
        <v>0.6542168674698795</v>
      </c>
      <c r="T50" s="18">
        <f t="shared" si="4"/>
        <v>3.2457831325301205</v>
      </c>
      <c r="U50" s="18">
        <f t="shared" si="8"/>
        <v>3.2457831325301205</v>
      </c>
      <c r="W50">
        <v>681</v>
      </c>
      <c r="Y50">
        <f t="shared" si="6"/>
        <v>19795.400000000001</v>
      </c>
      <c r="AA50">
        <v>12.348468774371014</v>
      </c>
    </row>
    <row r="51" spans="1:27" x14ac:dyDescent="0.25">
      <c r="A51">
        <v>6440</v>
      </c>
      <c r="B51">
        <v>25210</v>
      </c>
      <c r="C51" s="4">
        <v>42629</v>
      </c>
      <c r="F51" s="39"/>
      <c r="G51">
        <v>16.2</v>
      </c>
      <c r="H51">
        <v>14.2</v>
      </c>
      <c r="I51">
        <v>19.8</v>
      </c>
      <c r="J51">
        <f t="shared" si="5"/>
        <v>315.79999999999995</v>
      </c>
      <c r="M51">
        <v>16.899999999999999</v>
      </c>
      <c r="N51">
        <v>1.8</v>
      </c>
      <c r="O51">
        <f t="shared" si="2"/>
        <v>15.099999999999998</v>
      </c>
      <c r="P51">
        <f t="shared" si="7"/>
        <v>17.499999999999996</v>
      </c>
      <c r="Q51">
        <v>17</v>
      </c>
      <c r="R51">
        <f t="shared" si="9"/>
        <v>0.44397590361445782</v>
      </c>
      <c r="S51" s="18">
        <f t="shared" si="3"/>
        <v>0.79915662650602415</v>
      </c>
      <c r="T51" s="18">
        <f t="shared" si="4"/>
        <v>16.100843373493973</v>
      </c>
      <c r="U51" s="18">
        <f t="shared" si="8"/>
        <v>19.346626506024094</v>
      </c>
      <c r="W51">
        <v>568.70000000000005</v>
      </c>
      <c r="Y51">
        <f t="shared" si="6"/>
        <v>20364.100000000002</v>
      </c>
      <c r="AA51">
        <v>12.285172076476623</v>
      </c>
    </row>
    <row r="52" spans="1:27" x14ac:dyDescent="0.25">
      <c r="A52">
        <v>6440</v>
      </c>
      <c r="B52">
        <v>25210</v>
      </c>
      <c r="C52" s="4">
        <v>42630</v>
      </c>
      <c r="F52" s="39"/>
      <c r="G52">
        <v>14.1</v>
      </c>
      <c r="H52">
        <v>13.4</v>
      </c>
      <c r="I52">
        <v>15.4</v>
      </c>
      <c r="J52">
        <f t="shared" si="5"/>
        <v>329.9</v>
      </c>
      <c r="M52">
        <v>0</v>
      </c>
      <c r="N52">
        <v>1.1000000000000001</v>
      </c>
      <c r="O52">
        <f t="shared" si="2"/>
        <v>-1.1000000000000001</v>
      </c>
      <c r="P52">
        <f t="shared" si="7"/>
        <v>16.399999999999995</v>
      </c>
      <c r="Q52">
        <v>18</v>
      </c>
      <c r="R52">
        <f t="shared" si="9"/>
        <v>0.45180722891566261</v>
      </c>
      <c r="S52" s="18">
        <f t="shared" si="3"/>
        <v>0.49698795180722893</v>
      </c>
      <c r="T52" s="18">
        <f t="shared" si="4"/>
        <v>-0.49698795180722893</v>
      </c>
      <c r="U52" s="18">
        <f t="shared" si="8"/>
        <v>18.849638554216867</v>
      </c>
      <c r="W52">
        <v>559.79999999999995</v>
      </c>
      <c r="Y52">
        <f t="shared" si="6"/>
        <v>20923.900000000001</v>
      </c>
      <c r="AA52">
        <v>12.221838552754912</v>
      </c>
    </row>
    <row r="53" spans="1:27" x14ac:dyDescent="0.25">
      <c r="A53">
        <v>6440</v>
      </c>
      <c r="B53">
        <v>25210</v>
      </c>
      <c r="C53" s="4">
        <v>42631</v>
      </c>
      <c r="F53" s="39"/>
      <c r="G53">
        <v>16.399999999999999</v>
      </c>
      <c r="H53">
        <v>11.1</v>
      </c>
      <c r="I53">
        <v>20.2</v>
      </c>
      <c r="J53">
        <f t="shared" si="5"/>
        <v>346.29999999999995</v>
      </c>
      <c r="M53">
        <v>0.2</v>
      </c>
      <c r="N53">
        <v>1.5</v>
      </c>
      <c r="O53">
        <f t="shared" si="2"/>
        <v>-1.3</v>
      </c>
      <c r="P53">
        <f t="shared" si="7"/>
        <v>15.099999999999994</v>
      </c>
      <c r="Q53">
        <v>19</v>
      </c>
      <c r="R53">
        <f t="shared" si="9"/>
        <v>0.45963855421686745</v>
      </c>
      <c r="S53" s="18">
        <f t="shared" si="3"/>
        <v>0.68945783132530114</v>
      </c>
      <c r="T53" s="18">
        <f t="shared" si="4"/>
        <v>-0.48945783132530113</v>
      </c>
      <c r="U53" s="18">
        <f t="shared" si="8"/>
        <v>18.360180722891567</v>
      </c>
      <c r="W53">
        <v>1022.8</v>
      </c>
      <c r="Y53">
        <f t="shared" si="6"/>
        <v>21946.7</v>
      </c>
      <c r="AA53">
        <v>12.158476463580033</v>
      </c>
    </row>
    <row r="54" spans="1:27" x14ac:dyDescent="0.25">
      <c r="A54">
        <v>6440</v>
      </c>
      <c r="B54">
        <v>25210</v>
      </c>
      <c r="C54" s="4">
        <v>42632</v>
      </c>
      <c r="F54" s="39"/>
      <c r="G54">
        <v>16.8</v>
      </c>
      <c r="H54">
        <v>14.7</v>
      </c>
      <c r="I54">
        <v>20</v>
      </c>
      <c r="J54">
        <f t="shared" si="5"/>
        <v>363.09999999999997</v>
      </c>
      <c r="M54">
        <v>0.2</v>
      </c>
      <c r="N54">
        <v>2.4</v>
      </c>
      <c r="O54">
        <f t="shared" si="2"/>
        <v>-2.1999999999999997</v>
      </c>
      <c r="P54">
        <f t="shared" si="7"/>
        <v>12.899999999999995</v>
      </c>
      <c r="Q54">
        <v>20</v>
      </c>
      <c r="R54">
        <f t="shared" si="9"/>
        <v>0.46746987951807228</v>
      </c>
      <c r="S54" s="18">
        <f t="shared" si="3"/>
        <v>1.1219277108433734</v>
      </c>
      <c r="T54" s="18">
        <f t="shared" si="4"/>
        <v>-0.92192771084337344</v>
      </c>
      <c r="U54" s="18">
        <f t="shared" si="8"/>
        <v>17.438253012048193</v>
      </c>
      <c r="W54">
        <v>1301.8</v>
      </c>
      <c r="Y54">
        <f t="shared" si="6"/>
        <v>23248.5</v>
      </c>
      <c r="AA54">
        <v>12.095094011696553</v>
      </c>
    </row>
    <row r="55" spans="1:27" x14ac:dyDescent="0.25">
      <c r="A55">
        <v>6440</v>
      </c>
      <c r="B55">
        <v>25210</v>
      </c>
      <c r="C55" s="4">
        <v>42633</v>
      </c>
      <c r="F55" s="39"/>
      <c r="G55">
        <v>15.3</v>
      </c>
      <c r="H55">
        <v>13.1</v>
      </c>
      <c r="I55">
        <v>19</v>
      </c>
      <c r="J55">
        <f t="shared" si="5"/>
        <v>378.4</v>
      </c>
      <c r="M55">
        <v>0</v>
      </c>
      <c r="N55">
        <v>2.1</v>
      </c>
      <c r="O55">
        <f t="shared" si="2"/>
        <v>-2.1</v>
      </c>
      <c r="P55">
        <f t="shared" si="7"/>
        <v>10.799999999999995</v>
      </c>
      <c r="Q55">
        <v>21</v>
      </c>
      <c r="R55">
        <f t="shared" si="9"/>
        <v>0.47530120481927707</v>
      </c>
      <c r="S55" s="18">
        <f t="shared" si="3"/>
        <v>0.99813253012048186</v>
      </c>
      <c r="T55" s="18">
        <f t="shared" si="4"/>
        <v>-0.99813253012048186</v>
      </c>
      <c r="U55" s="18">
        <f t="shared" si="8"/>
        <v>16.44012048192771</v>
      </c>
      <c r="W55">
        <v>1073.2</v>
      </c>
      <c r="Y55">
        <f t="shared" si="6"/>
        <v>24321.7</v>
      </c>
      <c r="AA55">
        <v>12.031699358666245</v>
      </c>
    </row>
    <row r="56" spans="1:27" x14ac:dyDescent="0.25">
      <c r="A56">
        <v>6440</v>
      </c>
      <c r="B56">
        <v>25210</v>
      </c>
      <c r="C56" s="4">
        <v>42634</v>
      </c>
      <c r="F56" s="39"/>
      <c r="G56">
        <v>14.4</v>
      </c>
      <c r="H56">
        <v>9.5</v>
      </c>
      <c r="I56">
        <v>19.899999999999999</v>
      </c>
      <c r="J56">
        <f t="shared" si="5"/>
        <v>392.79999999999995</v>
      </c>
      <c r="M56">
        <v>0</v>
      </c>
      <c r="N56">
        <v>2.6</v>
      </c>
      <c r="O56">
        <f t="shared" si="2"/>
        <v>-2.6</v>
      </c>
      <c r="P56">
        <f t="shared" si="7"/>
        <v>8.1999999999999957</v>
      </c>
      <c r="Q56">
        <v>22</v>
      </c>
      <c r="R56">
        <f t="shared" si="9"/>
        <v>0.48313253012048191</v>
      </c>
      <c r="S56" s="18">
        <f t="shared" si="3"/>
        <v>1.256144578313253</v>
      </c>
      <c r="T56" s="18">
        <f t="shared" si="4"/>
        <v>-1.256144578313253</v>
      </c>
      <c r="U56" s="18">
        <f t="shared" si="8"/>
        <v>15.183975903614458</v>
      </c>
      <c r="W56">
        <v>1443.9</v>
      </c>
      <c r="Y56">
        <f t="shared" si="6"/>
        <v>25765.600000000002</v>
      </c>
      <c r="AA56">
        <v>11.968300641333757</v>
      </c>
    </row>
    <row r="57" spans="1:27" x14ac:dyDescent="0.25">
      <c r="A57">
        <v>6440</v>
      </c>
      <c r="B57">
        <v>25210</v>
      </c>
      <c r="C57" s="4">
        <v>42635</v>
      </c>
      <c r="F57" s="39"/>
      <c r="G57">
        <v>15.3</v>
      </c>
      <c r="H57">
        <v>10.1</v>
      </c>
      <c r="I57">
        <v>20.7</v>
      </c>
      <c r="J57">
        <f t="shared" si="5"/>
        <v>408.09999999999997</v>
      </c>
      <c r="M57">
        <v>1.2</v>
      </c>
      <c r="N57">
        <v>1.7</v>
      </c>
      <c r="O57">
        <f t="shared" si="2"/>
        <v>-0.5</v>
      </c>
      <c r="P57">
        <f t="shared" si="7"/>
        <v>7.6999999999999957</v>
      </c>
      <c r="Q57">
        <v>23</v>
      </c>
      <c r="R57">
        <f t="shared" si="9"/>
        <v>0.49096385542168675</v>
      </c>
      <c r="S57" s="18">
        <f t="shared" si="3"/>
        <v>0.8346385542168675</v>
      </c>
      <c r="T57" s="18">
        <f t="shared" si="4"/>
        <v>0.36536144578313245</v>
      </c>
      <c r="U57" s="18">
        <f t="shared" si="8"/>
        <v>15.549337349397591</v>
      </c>
      <c r="W57">
        <v>952.2</v>
      </c>
      <c r="Y57">
        <f t="shared" si="6"/>
        <v>26717.800000000003</v>
      </c>
      <c r="AA57">
        <v>11.904905988303447</v>
      </c>
    </row>
    <row r="58" spans="1:27" x14ac:dyDescent="0.25">
      <c r="A58">
        <v>6440</v>
      </c>
      <c r="B58">
        <v>25210</v>
      </c>
      <c r="C58" s="4">
        <v>42636</v>
      </c>
      <c r="F58" s="39"/>
      <c r="G58">
        <v>15.4</v>
      </c>
      <c r="H58">
        <v>12.3</v>
      </c>
      <c r="I58">
        <v>20</v>
      </c>
      <c r="J58">
        <f t="shared" si="5"/>
        <v>423.49999999999994</v>
      </c>
      <c r="M58">
        <v>0</v>
      </c>
      <c r="N58">
        <v>1.9</v>
      </c>
      <c r="O58">
        <f t="shared" si="2"/>
        <v>-1.9</v>
      </c>
      <c r="P58">
        <f t="shared" si="7"/>
        <v>5.7999999999999954</v>
      </c>
      <c r="Q58">
        <v>24</v>
      </c>
      <c r="R58">
        <f t="shared" si="9"/>
        <v>0.49879518072289153</v>
      </c>
      <c r="S58" s="18">
        <f t="shared" si="3"/>
        <v>0.94771084337349387</v>
      </c>
      <c r="T58" s="18">
        <f t="shared" si="4"/>
        <v>-0.94771084337349387</v>
      </c>
      <c r="U58" s="18">
        <f t="shared" si="8"/>
        <v>14.601626506024097</v>
      </c>
      <c r="W58">
        <v>867.2</v>
      </c>
      <c r="Y58">
        <f t="shared" si="6"/>
        <v>27585.000000000004</v>
      </c>
      <c r="AA58">
        <v>11.841523536419967</v>
      </c>
    </row>
    <row r="59" spans="1:27" x14ac:dyDescent="0.25">
      <c r="A59">
        <v>6440</v>
      </c>
      <c r="B59">
        <v>25210</v>
      </c>
      <c r="C59" s="4">
        <v>42637</v>
      </c>
      <c r="F59" s="39"/>
      <c r="G59">
        <v>15.7</v>
      </c>
      <c r="H59">
        <v>10.1</v>
      </c>
      <c r="I59">
        <v>23.2</v>
      </c>
      <c r="J59">
        <f t="shared" si="5"/>
        <v>439.19999999999993</v>
      </c>
      <c r="M59">
        <v>0</v>
      </c>
      <c r="N59">
        <v>3.6</v>
      </c>
      <c r="O59">
        <f t="shared" si="2"/>
        <v>-3.6</v>
      </c>
      <c r="P59">
        <f t="shared" si="7"/>
        <v>2.1999999999999953</v>
      </c>
      <c r="Q59">
        <v>25</v>
      </c>
      <c r="R59">
        <f t="shared" si="9"/>
        <v>0.50662650602409642</v>
      </c>
      <c r="S59" s="18">
        <f t="shared" si="3"/>
        <v>1.8238554216867471</v>
      </c>
      <c r="T59" s="18">
        <f t="shared" si="4"/>
        <v>-1.8238554216867471</v>
      </c>
      <c r="U59" s="18">
        <f t="shared" si="8"/>
        <v>12.777771084337349</v>
      </c>
      <c r="W59">
        <v>1548.9</v>
      </c>
      <c r="Y59">
        <f t="shared" si="6"/>
        <v>29133.900000000005</v>
      </c>
      <c r="AA59">
        <v>11.778161447245086</v>
      </c>
    </row>
    <row r="60" spans="1:27" x14ac:dyDescent="0.25">
      <c r="A60">
        <v>6440</v>
      </c>
      <c r="B60">
        <v>25210</v>
      </c>
      <c r="C60" s="4">
        <v>42638</v>
      </c>
      <c r="F60" s="39"/>
      <c r="G60">
        <v>14.3</v>
      </c>
      <c r="H60">
        <v>13.6</v>
      </c>
      <c r="I60">
        <v>18.2</v>
      </c>
      <c r="J60">
        <f t="shared" si="5"/>
        <v>453.49999999999994</v>
      </c>
      <c r="M60">
        <v>0.3</v>
      </c>
      <c r="N60">
        <v>1.8</v>
      </c>
      <c r="O60">
        <f t="shared" si="2"/>
        <v>-1.5</v>
      </c>
      <c r="P60">
        <f t="shared" si="7"/>
        <v>0.69999999999999529</v>
      </c>
      <c r="Q60">
        <v>26</v>
      </c>
      <c r="R60">
        <f t="shared" si="9"/>
        <v>0.51445783132530121</v>
      </c>
      <c r="S60" s="18">
        <f t="shared" si="3"/>
        <v>0.92602409638554217</v>
      </c>
      <c r="T60" s="18">
        <f t="shared" si="4"/>
        <v>-0.62602409638554213</v>
      </c>
      <c r="U60" s="18">
        <f t="shared" si="8"/>
        <v>12.151746987951807</v>
      </c>
      <c r="W60">
        <v>578.70000000000005</v>
      </c>
      <c r="Y60">
        <f t="shared" si="6"/>
        <v>29712.600000000006</v>
      </c>
      <c r="AA60">
        <v>11.714827923523375</v>
      </c>
    </row>
    <row r="61" spans="1:27" x14ac:dyDescent="0.25">
      <c r="A61">
        <v>6440</v>
      </c>
      <c r="B61">
        <v>25210</v>
      </c>
      <c r="C61" s="4">
        <v>42639</v>
      </c>
      <c r="F61" s="39"/>
      <c r="G61">
        <v>11.7</v>
      </c>
      <c r="H61">
        <v>7.7</v>
      </c>
      <c r="I61">
        <v>17</v>
      </c>
      <c r="J61">
        <f t="shared" si="5"/>
        <v>465.19999999999993</v>
      </c>
      <c r="M61">
        <v>0</v>
      </c>
      <c r="N61">
        <v>1.7</v>
      </c>
      <c r="O61">
        <f t="shared" si="2"/>
        <v>-1.7</v>
      </c>
      <c r="P61">
        <v>0</v>
      </c>
      <c r="Q61">
        <v>27</v>
      </c>
      <c r="R61">
        <f t="shared" si="9"/>
        <v>0.52228915662650599</v>
      </c>
      <c r="S61" s="18">
        <f t="shared" si="3"/>
        <v>0.88789156626506016</v>
      </c>
      <c r="T61" s="18">
        <f t="shared" si="4"/>
        <v>-0.88789156626506016</v>
      </c>
      <c r="U61" s="18">
        <f t="shared" si="8"/>
        <v>11.263855421686747</v>
      </c>
      <c r="W61">
        <v>902</v>
      </c>
      <c r="Y61">
        <f t="shared" si="6"/>
        <v>30614.600000000006</v>
      </c>
      <c r="AA61">
        <v>11.651531225628984</v>
      </c>
    </row>
    <row r="62" spans="1:27" x14ac:dyDescent="0.25">
      <c r="A62">
        <v>6440</v>
      </c>
      <c r="B62">
        <v>25210</v>
      </c>
      <c r="C62" s="4">
        <v>42640</v>
      </c>
      <c r="F62" s="39"/>
      <c r="G62">
        <v>14.4</v>
      </c>
      <c r="H62">
        <v>6.5</v>
      </c>
      <c r="I62">
        <v>21.2</v>
      </c>
      <c r="J62">
        <f t="shared" si="5"/>
        <v>479.59999999999991</v>
      </c>
      <c r="M62">
        <v>0</v>
      </c>
      <c r="N62">
        <v>2.6</v>
      </c>
      <c r="O62">
        <f t="shared" si="2"/>
        <v>-2.6</v>
      </c>
      <c r="P62">
        <v>0</v>
      </c>
      <c r="Q62">
        <v>28</v>
      </c>
      <c r="R62">
        <f t="shared" si="9"/>
        <v>0.53012048192771077</v>
      </c>
      <c r="S62" s="18">
        <f t="shared" si="3"/>
        <v>1.3783132530120481</v>
      </c>
      <c r="T62" s="18">
        <f t="shared" si="4"/>
        <v>-1.3783132530120481</v>
      </c>
      <c r="U62" s="18">
        <f t="shared" si="8"/>
        <v>9.8855421686747</v>
      </c>
      <c r="W62">
        <v>1239.2</v>
      </c>
      <c r="Y62">
        <f t="shared" si="6"/>
        <v>31853.800000000007</v>
      </c>
      <c r="AA62">
        <v>11.588279687985626</v>
      </c>
    </row>
    <row r="63" spans="1:27" x14ac:dyDescent="0.25">
      <c r="A63">
        <v>6440</v>
      </c>
      <c r="B63">
        <v>25210</v>
      </c>
      <c r="C63" s="4">
        <v>42641</v>
      </c>
      <c r="F63" s="39"/>
      <c r="G63">
        <v>16.7</v>
      </c>
      <c r="H63">
        <v>14.6</v>
      </c>
      <c r="I63">
        <v>21.3</v>
      </c>
      <c r="J63">
        <f t="shared" si="5"/>
        <v>496.2999999999999</v>
      </c>
      <c r="M63">
        <v>0</v>
      </c>
      <c r="N63">
        <v>3.1</v>
      </c>
      <c r="O63">
        <f t="shared" si="2"/>
        <v>-3.1</v>
      </c>
      <c r="P63">
        <v>0</v>
      </c>
      <c r="Q63">
        <v>29</v>
      </c>
      <c r="R63">
        <f t="shared" si="9"/>
        <v>0.53795180722891567</v>
      </c>
      <c r="S63" s="18">
        <f t="shared" si="3"/>
        <v>1.6676506024096387</v>
      </c>
      <c r="T63" s="18">
        <f t="shared" si="4"/>
        <v>-1.6676506024096387</v>
      </c>
      <c r="U63" s="18">
        <f t="shared" si="8"/>
        <v>8.2178915662650613</v>
      </c>
      <c r="W63">
        <v>1270.4000000000001</v>
      </c>
      <c r="Y63">
        <f t="shared" si="6"/>
        <v>33124.200000000004</v>
      </c>
      <c r="AA63">
        <v>11.525081735451264</v>
      </c>
    </row>
    <row r="64" spans="1:27" x14ac:dyDescent="0.25">
      <c r="A64">
        <v>6440</v>
      </c>
      <c r="B64">
        <v>25210</v>
      </c>
      <c r="C64" s="4">
        <v>42642</v>
      </c>
      <c r="F64" s="39"/>
      <c r="G64">
        <v>16.5</v>
      </c>
      <c r="H64">
        <v>13.3</v>
      </c>
      <c r="I64">
        <v>19.100000000000001</v>
      </c>
      <c r="J64">
        <f t="shared" si="5"/>
        <v>512.79999999999995</v>
      </c>
      <c r="M64">
        <v>0.6</v>
      </c>
      <c r="N64">
        <v>1.6</v>
      </c>
      <c r="O64">
        <f t="shared" si="2"/>
        <v>-1</v>
      </c>
      <c r="P64">
        <v>0</v>
      </c>
      <c r="Q64">
        <v>30</v>
      </c>
      <c r="R64">
        <f t="shared" si="9"/>
        <v>0.54578313253012045</v>
      </c>
      <c r="S64" s="18">
        <f t="shared" si="3"/>
        <v>0.87325301204819272</v>
      </c>
      <c r="T64" s="18">
        <f t="shared" si="4"/>
        <v>-0.27325301204819274</v>
      </c>
      <c r="U64" s="18">
        <f t="shared" si="8"/>
        <v>7.9446385542168683</v>
      </c>
      <c r="W64">
        <v>560.5</v>
      </c>
      <c r="Y64">
        <f t="shared" si="6"/>
        <v>33684.700000000004</v>
      </c>
      <c r="AA64">
        <v>11.461945899658655</v>
      </c>
    </row>
    <row r="65" spans="1:27" x14ac:dyDescent="0.25">
      <c r="A65">
        <v>6440</v>
      </c>
      <c r="B65">
        <v>25210</v>
      </c>
      <c r="C65" s="4">
        <v>42643</v>
      </c>
      <c r="F65" s="39"/>
      <c r="G65">
        <v>14.7</v>
      </c>
      <c r="H65">
        <v>12.2</v>
      </c>
      <c r="I65">
        <v>18.2</v>
      </c>
      <c r="J65">
        <f t="shared" si="5"/>
        <v>527.5</v>
      </c>
      <c r="M65">
        <v>1.9</v>
      </c>
      <c r="N65">
        <v>1.8</v>
      </c>
      <c r="O65">
        <f t="shared" si="2"/>
        <v>9.9999999999999867E-2</v>
      </c>
      <c r="P65">
        <f t="shared" si="7"/>
        <v>9.9999999999999867E-2</v>
      </c>
      <c r="Q65">
        <v>31</v>
      </c>
      <c r="R65">
        <f t="shared" si="9"/>
        <v>0.55361445783132535</v>
      </c>
      <c r="S65" s="18">
        <f t="shared" si="3"/>
        <v>0.99650602409638567</v>
      </c>
      <c r="T65" s="18">
        <f t="shared" si="4"/>
        <v>0.90349397590361424</v>
      </c>
      <c r="U65" s="18">
        <f t="shared" si="8"/>
        <v>8.8481325301204823</v>
      </c>
      <c r="W65">
        <v>721.5</v>
      </c>
      <c r="Y65">
        <f t="shared" si="6"/>
        <v>34406.200000000004</v>
      </c>
      <c r="AA65">
        <v>11.39888083530197</v>
      </c>
    </row>
    <row r="66" spans="1:27" x14ac:dyDescent="0.25">
      <c r="A66">
        <v>6440</v>
      </c>
      <c r="B66">
        <v>25210</v>
      </c>
      <c r="C66" s="4">
        <v>42644</v>
      </c>
      <c r="F66" s="39"/>
      <c r="G66">
        <v>12.3</v>
      </c>
      <c r="H66">
        <v>10.7</v>
      </c>
      <c r="I66">
        <v>16.3</v>
      </c>
      <c r="J66">
        <f t="shared" si="5"/>
        <v>539.79999999999995</v>
      </c>
      <c r="M66">
        <v>1.7</v>
      </c>
      <c r="N66">
        <v>1.7</v>
      </c>
      <c r="O66">
        <f t="shared" si="2"/>
        <v>0</v>
      </c>
      <c r="P66">
        <f t="shared" si="7"/>
        <v>9.9999999999999867E-2</v>
      </c>
      <c r="Q66">
        <v>32</v>
      </c>
      <c r="R66">
        <f t="shared" si="9"/>
        <v>0.56144578313253013</v>
      </c>
      <c r="S66" s="18">
        <f t="shared" si="3"/>
        <v>0.95445783132530115</v>
      </c>
      <c r="T66" s="18">
        <f t="shared" si="4"/>
        <v>0.7455421686746988</v>
      </c>
      <c r="U66" s="18">
        <f t="shared" si="8"/>
        <v>9.5936746987951818</v>
      </c>
      <c r="W66">
        <v>784.5</v>
      </c>
      <c r="Y66">
        <f t="shared" si="6"/>
        <v>35190.700000000004</v>
      </c>
      <c r="AA66">
        <v>11.335895336359124</v>
      </c>
    </row>
    <row r="67" spans="1:27" x14ac:dyDescent="0.25">
      <c r="A67">
        <v>6440</v>
      </c>
      <c r="B67">
        <v>25210</v>
      </c>
      <c r="C67" s="4">
        <v>42645</v>
      </c>
      <c r="F67" s="39"/>
      <c r="G67">
        <v>11.6</v>
      </c>
      <c r="H67">
        <v>9.6</v>
      </c>
      <c r="I67">
        <v>15.4</v>
      </c>
      <c r="J67">
        <f t="shared" si="5"/>
        <v>551.4</v>
      </c>
      <c r="M67">
        <v>1</v>
      </c>
      <c r="N67">
        <v>1.6</v>
      </c>
      <c r="O67">
        <f t="shared" si="2"/>
        <v>-0.60000000000000009</v>
      </c>
      <c r="P67">
        <v>0</v>
      </c>
      <c r="Q67">
        <v>33</v>
      </c>
      <c r="R67">
        <f t="shared" si="9"/>
        <v>0.56927710843373491</v>
      </c>
      <c r="S67" s="18">
        <f t="shared" si="3"/>
        <v>0.91084337349397593</v>
      </c>
      <c r="T67" s="18">
        <f t="shared" si="4"/>
        <v>8.9156626506024073E-2</v>
      </c>
      <c r="U67" s="18">
        <f t="shared" si="8"/>
        <v>9.6828313253012066</v>
      </c>
      <c r="W67">
        <v>677.7</v>
      </c>
      <c r="Y67">
        <f t="shared" si="6"/>
        <v>35868.400000000001</v>
      </c>
      <c r="AA67">
        <v>11.272998352238435</v>
      </c>
    </row>
    <row r="68" spans="1:27" x14ac:dyDescent="0.25">
      <c r="A68">
        <v>6440</v>
      </c>
      <c r="B68">
        <v>25210</v>
      </c>
      <c r="C68" s="4">
        <v>42646</v>
      </c>
      <c r="F68" s="39"/>
      <c r="G68">
        <v>10.6</v>
      </c>
      <c r="H68">
        <v>5</v>
      </c>
      <c r="I68">
        <v>16.600000000000001</v>
      </c>
      <c r="J68">
        <f t="shared" si="5"/>
        <v>562</v>
      </c>
      <c r="M68">
        <v>0.3</v>
      </c>
      <c r="N68">
        <v>2.2999999999999998</v>
      </c>
      <c r="O68">
        <f t="shared" si="2"/>
        <v>-1.9999999999999998</v>
      </c>
      <c r="P68">
        <v>0</v>
      </c>
      <c r="Q68">
        <v>34</v>
      </c>
      <c r="R68">
        <f t="shared" si="9"/>
        <v>0.5771084337349397</v>
      </c>
      <c r="S68" s="18">
        <f t="shared" si="3"/>
        <v>1.3273493975903612</v>
      </c>
      <c r="T68" s="18">
        <f t="shared" si="4"/>
        <v>-1.0273493975903611</v>
      </c>
      <c r="U68" s="18">
        <f t="shared" si="8"/>
        <v>8.655481927710845</v>
      </c>
      <c r="W68">
        <v>1322.9</v>
      </c>
      <c r="Y68">
        <f t="shared" si="6"/>
        <v>37191.300000000003</v>
      </c>
      <c r="AA68">
        <v>11.210199003837069</v>
      </c>
    </row>
    <row r="69" spans="1:27" x14ac:dyDescent="0.25">
      <c r="A69">
        <v>6440</v>
      </c>
      <c r="B69">
        <v>25210</v>
      </c>
      <c r="C69" s="4">
        <v>42647</v>
      </c>
      <c r="F69" s="39"/>
      <c r="G69">
        <v>12.3</v>
      </c>
      <c r="H69">
        <v>7.9</v>
      </c>
      <c r="I69">
        <v>17.8</v>
      </c>
      <c r="J69">
        <f t="shared" si="5"/>
        <v>574.29999999999995</v>
      </c>
      <c r="M69">
        <v>0</v>
      </c>
      <c r="N69">
        <v>2.6</v>
      </c>
      <c r="O69">
        <f t="shared" si="2"/>
        <v>-2.6</v>
      </c>
      <c r="P69">
        <v>0</v>
      </c>
      <c r="Q69">
        <v>35</v>
      </c>
      <c r="R69">
        <f t="shared" si="9"/>
        <v>0.58493975903614459</v>
      </c>
      <c r="S69" s="18">
        <f t="shared" si="3"/>
        <v>1.5208433734939759</v>
      </c>
      <c r="T69" s="18">
        <f t="shared" si="4"/>
        <v>-1.5208433734939759</v>
      </c>
      <c r="U69" s="18">
        <f t="shared" si="8"/>
        <v>7.1346385542168687</v>
      </c>
      <c r="W69">
        <v>1341.7</v>
      </c>
      <c r="Y69">
        <f t="shared" si="6"/>
        <v>38533</v>
      </c>
      <c r="AA69">
        <v>11.147506599497721</v>
      </c>
    </row>
    <row r="70" spans="1:27" x14ac:dyDescent="0.25">
      <c r="A70">
        <v>6440</v>
      </c>
      <c r="B70">
        <v>25210</v>
      </c>
      <c r="C70" s="4">
        <v>42648</v>
      </c>
      <c r="F70" s="39"/>
      <c r="G70">
        <v>10.6</v>
      </c>
      <c r="H70">
        <v>7</v>
      </c>
      <c r="I70">
        <v>15.5</v>
      </c>
      <c r="J70">
        <f t="shared" si="5"/>
        <v>584.9</v>
      </c>
      <c r="M70">
        <v>0</v>
      </c>
      <c r="N70">
        <v>2.9</v>
      </c>
      <c r="O70">
        <f t="shared" si="2"/>
        <v>-2.9</v>
      </c>
      <c r="P70">
        <v>0</v>
      </c>
      <c r="Q70">
        <v>36</v>
      </c>
      <c r="R70">
        <f t="shared" si="9"/>
        <v>0.59277108433734937</v>
      </c>
      <c r="S70" s="18">
        <f t="shared" si="3"/>
        <v>1.7190361445783131</v>
      </c>
      <c r="T70" s="18">
        <f t="shared" si="4"/>
        <v>-1.7190361445783131</v>
      </c>
      <c r="U70" s="18">
        <f t="shared" si="8"/>
        <v>5.4156024096385558</v>
      </c>
      <c r="W70">
        <v>1423.4</v>
      </c>
      <c r="Y70">
        <f t="shared" si="6"/>
        <v>39956.400000000001</v>
      </c>
      <c r="AA70">
        <v>11.08493065084855</v>
      </c>
    </row>
    <row r="71" spans="1:27" x14ac:dyDescent="0.25">
      <c r="A71">
        <v>6440</v>
      </c>
      <c r="B71">
        <v>25210</v>
      </c>
      <c r="C71" s="4">
        <v>42649</v>
      </c>
      <c r="F71" s="39"/>
      <c r="G71">
        <v>8.9</v>
      </c>
      <c r="H71">
        <v>4.0999999999999996</v>
      </c>
      <c r="I71">
        <v>13.1</v>
      </c>
      <c r="J71">
        <f t="shared" si="5"/>
        <v>593.79999999999995</v>
      </c>
      <c r="M71">
        <v>0</v>
      </c>
      <c r="N71">
        <v>2</v>
      </c>
      <c r="O71">
        <f t="shared" si="2"/>
        <v>-2</v>
      </c>
      <c r="P71">
        <v>0</v>
      </c>
      <c r="Q71">
        <v>37</v>
      </c>
      <c r="R71">
        <f t="shared" si="9"/>
        <v>0.60060240963855427</v>
      </c>
      <c r="S71" s="18">
        <f t="shared" si="3"/>
        <v>1.2012048192771085</v>
      </c>
      <c r="T71" s="18">
        <f t="shared" si="4"/>
        <v>-1.2012048192771085</v>
      </c>
      <c r="U71" s="18">
        <f t="shared" si="8"/>
        <v>4.2143975903614468</v>
      </c>
      <c r="W71">
        <v>1157.7</v>
      </c>
      <c r="Y71">
        <f t="shared" si="6"/>
        <v>41114.1</v>
      </c>
      <c r="AA71">
        <v>11.022480888509966</v>
      </c>
    </row>
    <row r="72" spans="1:27" x14ac:dyDescent="0.25">
      <c r="A72">
        <v>6440</v>
      </c>
      <c r="B72">
        <v>25210</v>
      </c>
      <c r="C72" s="4">
        <v>42650</v>
      </c>
      <c r="F72" s="39"/>
      <c r="G72">
        <v>11.2</v>
      </c>
      <c r="H72">
        <v>8.8000000000000007</v>
      </c>
      <c r="I72">
        <v>13.8</v>
      </c>
      <c r="J72">
        <f t="shared" si="5"/>
        <v>605</v>
      </c>
      <c r="M72">
        <v>0</v>
      </c>
      <c r="N72">
        <v>1.1000000000000001</v>
      </c>
      <c r="O72">
        <f t="shared" si="2"/>
        <v>-1.1000000000000001</v>
      </c>
      <c r="P72">
        <v>0</v>
      </c>
      <c r="Q72">
        <v>38</v>
      </c>
      <c r="R72">
        <f t="shared" si="9"/>
        <v>0.60843373493975905</v>
      </c>
      <c r="S72" s="18">
        <f t="shared" si="3"/>
        <v>0.669277108433735</v>
      </c>
      <c r="T72" s="18">
        <f t="shared" si="4"/>
        <v>-0.669277108433735</v>
      </c>
      <c r="U72" s="18">
        <f t="shared" si="8"/>
        <v>3.5451204819277118</v>
      </c>
      <c r="W72">
        <v>369.4</v>
      </c>
      <c r="Y72">
        <f t="shared" si="6"/>
        <v>41483.5</v>
      </c>
      <c r="AA72">
        <v>10.960167277650259</v>
      </c>
    </row>
    <row r="73" spans="1:27" x14ac:dyDescent="0.25">
      <c r="A73">
        <v>6440</v>
      </c>
      <c r="B73">
        <v>25210</v>
      </c>
      <c r="C73" s="4">
        <v>42651</v>
      </c>
      <c r="F73" s="39"/>
      <c r="G73">
        <v>10</v>
      </c>
      <c r="H73">
        <v>9.1999999999999993</v>
      </c>
      <c r="I73">
        <v>14</v>
      </c>
      <c r="J73">
        <f t="shared" si="5"/>
        <v>615</v>
      </c>
      <c r="M73">
        <v>0</v>
      </c>
      <c r="N73">
        <v>1.4</v>
      </c>
      <c r="O73">
        <f t="shared" si="2"/>
        <v>-1.4</v>
      </c>
      <c r="P73">
        <v>0</v>
      </c>
      <c r="Q73">
        <v>39</v>
      </c>
      <c r="R73">
        <f t="shared" si="9"/>
        <v>0.61626506024096384</v>
      </c>
      <c r="S73" s="18">
        <f t="shared" si="3"/>
        <v>0.86277108433734928</v>
      </c>
      <c r="T73" s="18">
        <f t="shared" si="4"/>
        <v>-0.86277108433734928</v>
      </c>
      <c r="U73" s="18">
        <f t="shared" si="8"/>
        <v>2.6823493975903627</v>
      </c>
      <c r="W73">
        <v>564.6</v>
      </c>
      <c r="Y73">
        <f t="shared" si="6"/>
        <v>42048.1</v>
      </c>
      <c r="AA73">
        <v>10.898000033370455</v>
      </c>
    </row>
    <row r="74" spans="1:27" x14ac:dyDescent="0.25">
      <c r="A74">
        <v>6440</v>
      </c>
      <c r="B74">
        <v>25210</v>
      </c>
      <c r="C74" s="4">
        <v>42652</v>
      </c>
      <c r="F74" s="39"/>
      <c r="G74">
        <v>7.5</v>
      </c>
      <c r="H74">
        <v>2.7</v>
      </c>
      <c r="I74">
        <v>14.3</v>
      </c>
      <c r="J74">
        <f t="shared" si="5"/>
        <v>622.5</v>
      </c>
      <c r="M74">
        <v>0</v>
      </c>
      <c r="N74">
        <v>2</v>
      </c>
      <c r="O74">
        <f t="shared" si="2"/>
        <v>-2</v>
      </c>
      <c r="P74">
        <v>0</v>
      </c>
      <c r="Q74">
        <v>40</v>
      </c>
      <c r="R74">
        <f t="shared" si="9"/>
        <v>0.62409638554216862</v>
      </c>
      <c r="S74" s="18">
        <f t="shared" si="3"/>
        <v>1.2481927710843372</v>
      </c>
      <c r="T74" s="18">
        <f t="shared" si="4"/>
        <v>-1.2481927710843372</v>
      </c>
      <c r="U74" s="18">
        <f t="shared" si="8"/>
        <v>1.4341566265060255</v>
      </c>
      <c r="W74">
        <v>1224.4000000000001</v>
      </c>
      <c r="Y74">
        <f t="shared" si="6"/>
        <v>43272.5</v>
      </c>
      <c r="AA74">
        <v>10.835989635896825</v>
      </c>
    </row>
    <row r="75" spans="1:27" x14ac:dyDescent="0.25">
      <c r="A75">
        <v>6440</v>
      </c>
      <c r="B75">
        <v>25210</v>
      </c>
      <c r="C75" s="4">
        <v>42653</v>
      </c>
      <c r="F75" s="39"/>
      <c r="G75">
        <v>7.7</v>
      </c>
      <c r="H75">
        <v>2.7</v>
      </c>
      <c r="I75">
        <v>13.8</v>
      </c>
      <c r="J75">
        <f t="shared" si="5"/>
        <v>630.20000000000005</v>
      </c>
      <c r="M75">
        <v>2.9</v>
      </c>
      <c r="N75">
        <v>1.2</v>
      </c>
      <c r="O75">
        <f t="shared" si="2"/>
        <v>1.7</v>
      </c>
      <c r="P75">
        <f t="shared" si="7"/>
        <v>1.7</v>
      </c>
      <c r="Q75">
        <v>41</v>
      </c>
      <c r="R75">
        <f t="shared" si="9"/>
        <v>0.63192771084337351</v>
      </c>
      <c r="S75" s="18">
        <f t="shared" si="3"/>
        <v>0.75831325301204822</v>
      </c>
      <c r="T75" s="18">
        <f t="shared" si="4"/>
        <v>2.1416867469879515</v>
      </c>
      <c r="U75" s="18">
        <f t="shared" si="8"/>
        <v>3.575843373493977</v>
      </c>
      <c r="W75">
        <v>737.9</v>
      </c>
      <c r="Y75">
        <f t="shared" si="6"/>
        <v>44010.400000000001</v>
      </c>
      <c r="AA75">
        <v>10.774146845557638</v>
      </c>
    </row>
    <row r="76" spans="1:27" x14ac:dyDescent="0.25">
      <c r="A76">
        <v>6440</v>
      </c>
      <c r="B76">
        <v>25210</v>
      </c>
      <c r="C76" s="4">
        <v>42654</v>
      </c>
      <c r="F76" s="39"/>
      <c r="G76">
        <v>6.5</v>
      </c>
      <c r="H76">
        <v>3</v>
      </c>
      <c r="I76">
        <v>12.2</v>
      </c>
      <c r="J76">
        <f t="shared" si="5"/>
        <v>636.70000000000005</v>
      </c>
      <c r="M76">
        <v>0.1</v>
      </c>
      <c r="N76">
        <v>1.4</v>
      </c>
      <c r="O76">
        <f t="shared" si="2"/>
        <v>-1.2999999999999998</v>
      </c>
      <c r="P76">
        <f t="shared" si="7"/>
        <v>0.40000000000000013</v>
      </c>
      <c r="Q76">
        <v>42</v>
      </c>
      <c r="R76">
        <f t="shared" si="9"/>
        <v>0.6397590361445783</v>
      </c>
      <c r="S76" s="18">
        <f t="shared" si="3"/>
        <v>0.89566265060240957</v>
      </c>
      <c r="T76" s="18">
        <f t="shared" si="4"/>
        <v>-0.79566265060240959</v>
      </c>
      <c r="U76" s="18">
        <f t="shared" si="8"/>
        <v>2.7801807228915676</v>
      </c>
      <c r="W76">
        <v>884.7</v>
      </c>
      <c r="Y76">
        <f t="shared" si="6"/>
        <v>44895.1</v>
      </c>
      <c r="AA76">
        <v>10.712482717518538</v>
      </c>
    </row>
    <row r="77" spans="1:27" x14ac:dyDescent="0.25">
      <c r="A77">
        <v>6440</v>
      </c>
      <c r="B77">
        <v>25210</v>
      </c>
      <c r="C77" s="4">
        <v>42655</v>
      </c>
      <c r="F77" s="39"/>
      <c r="G77">
        <v>7.1</v>
      </c>
      <c r="H77">
        <v>1.2</v>
      </c>
      <c r="I77">
        <v>11.2</v>
      </c>
      <c r="J77">
        <f t="shared" si="5"/>
        <v>643.80000000000007</v>
      </c>
      <c r="M77">
        <v>0</v>
      </c>
      <c r="N77">
        <v>0.8</v>
      </c>
      <c r="O77">
        <f t="shared" si="2"/>
        <v>-0.8</v>
      </c>
      <c r="P77">
        <v>0</v>
      </c>
      <c r="Q77">
        <v>43</v>
      </c>
      <c r="R77">
        <f t="shared" si="9"/>
        <v>0.64759036144578308</v>
      </c>
      <c r="S77" s="18">
        <f t="shared" si="3"/>
        <v>0.51807228915662651</v>
      </c>
      <c r="T77" s="18">
        <f t="shared" si="4"/>
        <v>-0.51807228915662651</v>
      </c>
      <c r="U77" s="18">
        <f t="shared" si="8"/>
        <v>2.2621084337349409</v>
      </c>
      <c r="W77">
        <v>609.29999999999995</v>
      </c>
      <c r="Y77">
        <f t="shared" si="6"/>
        <v>45504.4</v>
      </c>
      <c r="AA77">
        <v>10.651008616248818</v>
      </c>
    </row>
    <row r="78" spans="1:27" x14ac:dyDescent="0.25">
      <c r="A78">
        <v>6440</v>
      </c>
      <c r="B78">
        <v>25210</v>
      </c>
      <c r="C78" s="4">
        <v>42656</v>
      </c>
      <c r="F78" s="39"/>
      <c r="G78">
        <v>8.9</v>
      </c>
      <c r="H78">
        <v>5.6</v>
      </c>
      <c r="I78">
        <v>11.6</v>
      </c>
      <c r="J78">
        <f t="shared" si="5"/>
        <v>652.70000000000005</v>
      </c>
      <c r="M78">
        <v>0.2</v>
      </c>
      <c r="N78">
        <v>1</v>
      </c>
      <c r="O78">
        <f t="shared" si="2"/>
        <v>-0.8</v>
      </c>
      <c r="P78">
        <v>0</v>
      </c>
      <c r="Q78">
        <v>44</v>
      </c>
      <c r="R78">
        <f t="shared" si="9"/>
        <v>0.65542168674698797</v>
      </c>
      <c r="S78" s="18">
        <f t="shared" si="3"/>
        <v>0.65542168674698797</v>
      </c>
      <c r="T78" s="18">
        <f t="shared" si="4"/>
        <v>-0.45542168674698796</v>
      </c>
      <c r="U78" s="18">
        <f t="shared" si="8"/>
        <v>1.8066867469879528</v>
      </c>
      <c r="W78">
        <v>556.20000000000005</v>
      </c>
      <c r="Y78">
        <f t="shared" si="6"/>
        <v>46060.6</v>
      </c>
      <c r="AA78">
        <v>10.589736229688469</v>
      </c>
    </row>
    <row r="79" spans="1:27" x14ac:dyDescent="0.25">
      <c r="A79">
        <v>6440</v>
      </c>
      <c r="B79">
        <v>25210</v>
      </c>
      <c r="C79" s="4">
        <v>42657</v>
      </c>
      <c r="F79" s="39"/>
      <c r="G79">
        <v>10.3</v>
      </c>
      <c r="H79">
        <v>8.6</v>
      </c>
      <c r="I79">
        <v>12.6</v>
      </c>
      <c r="J79">
        <f t="shared" si="5"/>
        <v>663</v>
      </c>
      <c r="M79">
        <v>8</v>
      </c>
      <c r="N79">
        <v>1</v>
      </c>
      <c r="O79">
        <f t="shared" si="2"/>
        <v>7</v>
      </c>
      <c r="P79">
        <f t="shared" si="7"/>
        <v>7</v>
      </c>
      <c r="Q79">
        <v>45</v>
      </c>
      <c r="R79">
        <f t="shared" si="9"/>
        <v>0.66325301204819276</v>
      </c>
      <c r="S79" s="18">
        <f t="shared" si="3"/>
        <v>0.66325301204819276</v>
      </c>
      <c r="T79" s="18">
        <f t="shared" si="4"/>
        <v>7.3367469879518072</v>
      </c>
      <c r="U79" s="18">
        <f t="shared" si="8"/>
        <v>9.1434337349397605</v>
      </c>
      <c r="W79">
        <v>328.5</v>
      </c>
      <c r="Y79">
        <f t="shared" si="6"/>
        <v>46389.1</v>
      </c>
      <c r="AA79">
        <v>10.528677583083477</v>
      </c>
    </row>
    <row r="80" spans="1:27" x14ac:dyDescent="0.25">
      <c r="A80">
        <v>6440</v>
      </c>
      <c r="B80">
        <v>25210</v>
      </c>
      <c r="C80" s="4">
        <v>42658</v>
      </c>
      <c r="F80" s="39"/>
      <c r="G80">
        <v>12.3</v>
      </c>
      <c r="H80">
        <v>9.6</v>
      </c>
      <c r="I80">
        <v>14.8</v>
      </c>
      <c r="J80">
        <f t="shared" si="5"/>
        <v>675.3</v>
      </c>
      <c r="M80">
        <v>0</v>
      </c>
      <c r="N80">
        <v>1.2</v>
      </c>
      <c r="O80">
        <f t="shared" si="2"/>
        <v>-1.2</v>
      </c>
      <c r="P80">
        <f t="shared" si="7"/>
        <v>5.8</v>
      </c>
      <c r="Q80">
        <v>46</v>
      </c>
      <c r="R80">
        <f t="shared" si="9"/>
        <v>0.67108433734939754</v>
      </c>
      <c r="S80" s="18">
        <f t="shared" si="3"/>
        <v>0.80530120481927703</v>
      </c>
      <c r="T80" s="18">
        <f t="shared" si="4"/>
        <v>-0.80530120481927703</v>
      </c>
      <c r="U80" s="18">
        <f t="shared" si="8"/>
        <v>8.3381325301204843</v>
      </c>
      <c r="W80">
        <v>548.29999999999995</v>
      </c>
      <c r="Y80">
        <f t="shared" si="6"/>
        <v>46937.4</v>
      </c>
      <c r="AA80">
        <v>10.46784505245421</v>
      </c>
    </row>
    <row r="81" spans="1:27" x14ac:dyDescent="0.25">
      <c r="A81">
        <v>6440</v>
      </c>
      <c r="B81">
        <v>25210</v>
      </c>
      <c r="C81" s="4">
        <v>42659</v>
      </c>
      <c r="F81" s="39"/>
      <c r="G81">
        <v>13.5</v>
      </c>
      <c r="H81">
        <v>8.1999999999999993</v>
      </c>
      <c r="I81">
        <v>19.5</v>
      </c>
      <c r="J81">
        <f t="shared" si="5"/>
        <v>688.8</v>
      </c>
      <c r="M81">
        <v>9.4</v>
      </c>
      <c r="N81">
        <v>2.2000000000000002</v>
      </c>
      <c r="O81">
        <f t="shared" si="2"/>
        <v>7.2</v>
      </c>
      <c r="P81">
        <f t="shared" si="7"/>
        <v>13</v>
      </c>
      <c r="Q81">
        <v>47</v>
      </c>
      <c r="R81">
        <f t="shared" si="9"/>
        <v>0.67891566265060233</v>
      </c>
      <c r="S81" s="18">
        <f t="shared" si="3"/>
        <v>1.4936144578313253</v>
      </c>
      <c r="T81" s="18">
        <f t="shared" si="4"/>
        <v>7.9063855421686746</v>
      </c>
      <c r="U81" s="18">
        <f t="shared" si="8"/>
        <v>16.244518072289161</v>
      </c>
      <c r="W81">
        <v>999.9</v>
      </c>
      <c r="Y81">
        <f t="shared" si="6"/>
        <v>47937.3</v>
      </c>
      <c r="AA81">
        <v>10.407251377659135</v>
      </c>
    </row>
    <row r="82" spans="1:27" x14ac:dyDescent="0.25">
      <c r="A82">
        <v>6440</v>
      </c>
      <c r="B82">
        <v>25210</v>
      </c>
      <c r="C82" s="4">
        <v>42660</v>
      </c>
      <c r="F82" s="39"/>
      <c r="G82">
        <v>12</v>
      </c>
      <c r="H82">
        <v>11.3</v>
      </c>
      <c r="I82">
        <v>14.8</v>
      </c>
      <c r="J82">
        <f t="shared" si="5"/>
        <v>700.8</v>
      </c>
      <c r="M82">
        <v>0.3</v>
      </c>
      <c r="N82">
        <v>1.5</v>
      </c>
      <c r="O82">
        <f t="shared" si="2"/>
        <v>-1.2</v>
      </c>
      <c r="P82">
        <f t="shared" si="7"/>
        <v>11.8</v>
      </c>
      <c r="Q82">
        <v>48</v>
      </c>
      <c r="R82">
        <f t="shared" si="9"/>
        <v>0.68674698795180722</v>
      </c>
      <c r="S82" s="18">
        <f t="shared" si="3"/>
        <v>1.0301204819277108</v>
      </c>
      <c r="T82" s="18">
        <f t="shared" si="4"/>
        <v>-0.73012048192771073</v>
      </c>
      <c r="U82" s="18">
        <f t="shared" si="8"/>
        <v>15.514397590361449</v>
      </c>
      <c r="W82">
        <v>711.1</v>
      </c>
      <c r="Y82">
        <f t="shared" si="6"/>
        <v>48648.4</v>
      </c>
      <c r="AA82">
        <v>10.346909675013272</v>
      </c>
    </row>
    <row r="83" spans="1:27" x14ac:dyDescent="0.25">
      <c r="A83">
        <v>6440</v>
      </c>
      <c r="B83">
        <v>25210</v>
      </c>
      <c r="C83" s="4">
        <v>42661</v>
      </c>
      <c r="F83" s="39"/>
      <c r="G83">
        <v>9.4</v>
      </c>
      <c r="H83">
        <v>7</v>
      </c>
      <c r="I83">
        <v>13.5</v>
      </c>
      <c r="J83">
        <f t="shared" si="5"/>
        <v>710.19999999999993</v>
      </c>
      <c r="M83">
        <v>2.2000000000000002</v>
      </c>
      <c r="N83">
        <v>1.1000000000000001</v>
      </c>
      <c r="O83">
        <f t="shared" si="2"/>
        <v>1.1000000000000001</v>
      </c>
      <c r="P83">
        <f t="shared" si="7"/>
        <v>12.9</v>
      </c>
      <c r="Q83">
        <v>49</v>
      </c>
      <c r="R83">
        <f t="shared" si="9"/>
        <v>0.69457831325301211</v>
      </c>
      <c r="S83" s="18">
        <f t="shared" si="3"/>
        <v>0.76403614457831337</v>
      </c>
      <c r="T83" s="18">
        <f t="shared" si="4"/>
        <v>1.4359638554216869</v>
      </c>
      <c r="U83" s="18">
        <f t="shared" si="8"/>
        <v>16.950361445783138</v>
      </c>
      <c r="W83">
        <v>459.2</v>
      </c>
      <c r="Y83">
        <f t="shared" si="6"/>
        <v>49107.6</v>
      </c>
      <c r="AA83">
        <v>10.286833449417998</v>
      </c>
    </row>
    <row r="84" spans="1:27" x14ac:dyDescent="0.25">
      <c r="A84">
        <v>6440</v>
      </c>
      <c r="B84">
        <v>25210</v>
      </c>
      <c r="C84" s="4">
        <v>42662</v>
      </c>
      <c r="F84" s="39"/>
      <c r="G84">
        <v>9.5</v>
      </c>
      <c r="H84">
        <v>6.7</v>
      </c>
      <c r="I84">
        <v>13.1</v>
      </c>
      <c r="J84">
        <f t="shared" si="5"/>
        <v>719.69999999999993</v>
      </c>
      <c r="M84">
        <v>0.8</v>
      </c>
      <c r="N84">
        <v>1.3</v>
      </c>
      <c r="O84">
        <f t="shared" si="2"/>
        <v>-0.5</v>
      </c>
      <c r="P84">
        <f t="shared" si="7"/>
        <v>12.4</v>
      </c>
      <c r="Q84">
        <v>50</v>
      </c>
      <c r="R84">
        <f t="shared" si="9"/>
        <v>0.7024096385542169</v>
      </c>
      <c r="S84" s="18">
        <f t="shared" si="3"/>
        <v>0.91313253012048201</v>
      </c>
      <c r="T84" s="18">
        <f t="shared" si="4"/>
        <v>-0.11313253012048197</v>
      </c>
      <c r="U84" s="18">
        <f t="shared" si="8"/>
        <v>16.837228915662656</v>
      </c>
      <c r="W84">
        <v>551.9</v>
      </c>
      <c r="Y84">
        <f t="shared" si="6"/>
        <v>49659.5</v>
      </c>
      <c r="AA84">
        <v>10.227036605955739</v>
      </c>
    </row>
    <row r="85" spans="1:27" x14ac:dyDescent="0.25">
      <c r="A85">
        <v>6440</v>
      </c>
      <c r="B85">
        <v>25210</v>
      </c>
      <c r="C85" s="4">
        <v>42663</v>
      </c>
      <c r="F85" s="39"/>
      <c r="G85">
        <v>10.6</v>
      </c>
      <c r="H85">
        <v>9</v>
      </c>
      <c r="I85">
        <v>13.9</v>
      </c>
      <c r="J85">
        <f t="shared" si="5"/>
        <v>730.3</v>
      </c>
      <c r="M85">
        <v>2</v>
      </c>
      <c r="N85">
        <v>1.1000000000000001</v>
      </c>
      <c r="O85">
        <f t="shared" si="2"/>
        <v>0.89999999999999991</v>
      </c>
      <c r="P85">
        <f t="shared" si="7"/>
        <v>13.3</v>
      </c>
      <c r="Q85">
        <v>51</v>
      </c>
      <c r="R85">
        <f t="shared" si="9"/>
        <v>0.71024096385542168</v>
      </c>
      <c r="S85" s="18">
        <f t="shared" si="3"/>
        <v>0.78126506024096387</v>
      </c>
      <c r="T85" s="18">
        <f t="shared" si="4"/>
        <v>1.2187349397590361</v>
      </c>
      <c r="U85" s="18">
        <f t="shared" si="8"/>
        <v>18.055963855421691</v>
      </c>
      <c r="W85">
        <v>476.8</v>
      </c>
      <c r="Y85">
        <f t="shared" si="6"/>
        <v>50136.3</v>
      </c>
      <c r="AA85">
        <v>10.167533460900229</v>
      </c>
    </row>
    <row r="86" spans="1:27" x14ac:dyDescent="0.25">
      <c r="A86">
        <v>6440</v>
      </c>
      <c r="B86">
        <v>25210</v>
      </c>
      <c r="C86" s="4">
        <v>42664</v>
      </c>
      <c r="F86" s="39"/>
      <c r="G86">
        <v>9.3000000000000007</v>
      </c>
      <c r="H86">
        <v>8.3000000000000007</v>
      </c>
      <c r="I86">
        <v>12.3</v>
      </c>
      <c r="J86">
        <f t="shared" si="5"/>
        <v>739.59999999999991</v>
      </c>
      <c r="M86">
        <v>1</v>
      </c>
      <c r="N86">
        <v>0.9</v>
      </c>
      <c r="O86">
        <f t="shared" si="2"/>
        <v>9.9999999999999978E-2</v>
      </c>
      <c r="P86">
        <f t="shared" si="7"/>
        <v>13.4</v>
      </c>
      <c r="Q86">
        <v>52</v>
      </c>
      <c r="R86">
        <f t="shared" si="9"/>
        <v>0.71807228915662646</v>
      </c>
      <c r="S86" s="18">
        <f t="shared" si="3"/>
        <v>0.64626506024096386</v>
      </c>
      <c r="T86" s="18">
        <f t="shared" si="4"/>
        <v>0.35373493975903614</v>
      </c>
      <c r="U86" s="18">
        <f t="shared" si="8"/>
        <v>18.409698795180727</v>
      </c>
      <c r="W86">
        <v>423.1</v>
      </c>
      <c r="Y86">
        <f t="shared" si="6"/>
        <v>50559.4</v>
      </c>
      <c r="AA86">
        <v>10.108338752089793</v>
      </c>
    </row>
    <row r="87" spans="1:27" x14ac:dyDescent="0.25">
      <c r="A87">
        <v>6440</v>
      </c>
      <c r="B87">
        <v>25210</v>
      </c>
      <c r="C87" s="4">
        <v>42665</v>
      </c>
      <c r="F87" s="39"/>
      <c r="G87">
        <v>7.2</v>
      </c>
      <c r="H87">
        <v>3.7</v>
      </c>
      <c r="I87">
        <v>10.7</v>
      </c>
      <c r="J87">
        <f t="shared" si="5"/>
        <v>746.8</v>
      </c>
      <c r="M87">
        <v>0.2</v>
      </c>
      <c r="N87">
        <v>0.9</v>
      </c>
      <c r="O87">
        <f t="shared" si="2"/>
        <v>-0.7</v>
      </c>
      <c r="P87">
        <f t="shared" si="7"/>
        <v>12.700000000000001</v>
      </c>
      <c r="Q87">
        <v>53</v>
      </c>
      <c r="R87">
        <f t="shared" si="9"/>
        <v>0.72590361445783125</v>
      </c>
      <c r="S87" s="18">
        <f t="shared" si="3"/>
        <v>0.65331325301204812</v>
      </c>
      <c r="T87" s="18">
        <f t="shared" si="4"/>
        <v>-0.45331325301204811</v>
      </c>
      <c r="U87" s="18">
        <f t="shared" si="8"/>
        <v>17.956385542168679</v>
      </c>
      <c r="W87">
        <v>619.4</v>
      </c>
      <c r="Y87">
        <f t="shared" si="6"/>
        <v>51178.8</v>
      </c>
      <c r="AA87">
        <v>10.04946764860812</v>
      </c>
    </row>
    <row r="88" spans="1:27" x14ac:dyDescent="0.25">
      <c r="A88">
        <v>6440</v>
      </c>
      <c r="B88">
        <v>25210</v>
      </c>
      <c r="C88" s="4">
        <v>42666</v>
      </c>
      <c r="F88" s="39"/>
      <c r="G88">
        <v>7.5</v>
      </c>
      <c r="H88">
        <v>5.2</v>
      </c>
      <c r="I88">
        <v>9</v>
      </c>
      <c r="J88">
        <f t="shared" si="5"/>
        <v>754.3</v>
      </c>
      <c r="M88">
        <v>1.3</v>
      </c>
      <c r="N88">
        <v>0.4</v>
      </c>
      <c r="O88">
        <f t="shared" si="2"/>
        <v>0.9</v>
      </c>
      <c r="P88">
        <f t="shared" si="7"/>
        <v>13.600000000000001</v>
      </c>
      <c r="Q88">
        <v>54</v>
      </c>
      <c r="R88">
        <f t="shared" si="9"/>
        <v>0.73373493975903614</v>
      </c>
      <c r="S88" s="18">
        <f t="shared" si="3"/>
        <v>0.29349397590361448</v>
      </c>
      <c r="T88" s="18">
        <f t="shared" si="4"/>
        <v>1.0065060240963857</v>
      </c>
      <c r="U88" s="18">
        <f t="shared" si="8"/>
        <v>18.962891566265064</v>
      </c>
      <c r="W88">
        <v>233.7</v>
      </c>
      <c r="Y88">
        <f t="shared" si="6"/>
        <v>51412.5</v>
      </c>
      <c r="AA88">
        <v>9.990935759713734</v>
      </c>
    </row>
    <row r="89" spans="1:27" x14ac:dyDescent="0.25">
      <c r="A89">
        <v>6440</v>
      </c>
      <c r="B89">
        <v>25210</v>
      </c>
      <c r="C89" s="4">
        <v>42667</v>
      </c>
      <c r="F89" s="39"/>
      <c r="G89">
        <v>9.9</v>
      </c>
      <c r="H89">
        <v>8.6999999999999993</v>
      </c>
      <c r="I89">
        <v>11.1</v>
      </c>
      <c r="J89">
        <f t="shared" si="5"/>
        <v>764.19999999999993</v>
      </c>
      <c r="M89">
        <v>0.2</v>
      </c>
      <c r="N89">
        <v>0.5</v>
      </c>
      <c r="O89">
        <f t="shared" si="2"/>
        <v>-0.3</v>
      </c>
      <c r="P89">
        <f t="shared" si="7"/>
        <v>13.3</v>
      </c>
      <c r="Q89">
        <v>55</v>
      </c>
      <c r="R89">
        <f t="shared" si="9"/>
        <v>0.74156626506024104</v>
      </c>
      <c r="S89" s="18">
        <f t="shared" si="3"/>
        <v>0.37078313253012052</v>
      </c>
      <c r="T89" s="18">
        <f t="shared" si="4"/>
        <v>-0.17078313253012051</v>
      </c>
      <c r="U89" s="18">
        <f t="shared" si="8"/>
        <v>18.792108433734942</v>
      </c>
      <c r="W89">
        <v>188.8</v>
      </c>
      <c r="Y89">
        <f t="shared" si="6"/>
        <v>51601.3</v>
      </c>
      <c r="AA89">
        <v>9.9327591429563498</v>
      </c>
    </row>
    <row r="90" spans="1:27" x14ac:dyDescent="0.25">
      <c r="A90">
        <v>6440</v>
      </c>
      <c r="B90">
        <v>25210</v>
      </c>
      <c r="C90" s="4">
        <v>42668</v>
      </c>
      <c r="F90" s="39"/>
      <c r="G90">
        <v>9.1</v>
      </c>
      <c r="H90">
        <v>8.3000000000000007</v>
      </c>
      <c r="I90">
        <v>9.9</v>
      </c>
      <c r="J90">
        <f t="shared" si="5"/>
        <v>773.3</v>
      </c>
      <c r="M90">
        <v>0</v>
      </c>
      <c r="N90">
        <v>0.5</v>
      </c>
      <c r="O90">
        <f t="shared" si="2"/>
        <v>-0.5</v>
      </c>
      <c r="P90">
        <f t="shared" si="7"/>
        <v>12.8</v>
      </c>
      <c r="Q90">
        <v>56</v>
      </c>
      <c r="R90">
        <f t="shared" si="9"/>
        <v>0.74939759036144582</v>
      </c>
      <c r="S90" s="18">
        <f t="shared" si="3"/>
        <v>0.37469879518072291</v>
      </c>
      <c r="T90" s="18">
        <f t="shared" si="4"/>
        <v>-0.37469879518072291</v>
      </c>
      <c r="U90" s="18">
        <f t="shared" si="8"/>
        <v>18.417409638554219</v>
      </c>
      <c r="W90">
        <v>261.39999999999998</v>
      </c>
      <c r="Y90">
        <f t="shared" si="6"/>
        <v>51862.700000000004</v>
      </c>
      <c r="AA90">
        <v>9.8749543114151486</v>
      </c>
    </row>
    <row r="91" spans="1:27" x14ac:dyDescent="0.25">
      <c r="A91">
        <v>6440</v>
      </c>
      <c r="B91">
        <v>25210</v>
      </c>
      <c r="C91" s="4">
        <v>42669</v>
      </c>
      <c r="F91" s="39"/>
      <c r="G91">
        <v>7.8</v>
      </c>
      <c r="H91">
        <v>7.3</v>
      </c>
      <c r="I91">
        <v>8.8000000000000007</v>
      </c>
      <c r="J91">
        <f t="shared" si="5"/>
        <v>781.09999999999991</v>
      </c>
      <c r="M91">
        <v>0.1</v>
      </c>
      <c r="N91">
        <v>0.7</v>
      </c>
      <c r="O91">
        <f t="shared" si="2"/>
        <v>-0.6</v>
      </c>
      <c r="P91">
        <f t="shared" si="7"/>
        <v>12.200000000000001</v>
      </c>
      <c r="Q91">
        <v>57</v>
      </c>
      <c r="R91">
        <f t="shared" si="9"/>
        <v>0.7572289156626506</v>
      </c>
      <c r="S91" s="18">
        <f t="shared" si="3"/>
        <v>0.5300602409638554</v>
      </c>
      <c r="T91" s="18">
        <f t="shared" si="4"/>
        <v>-0.43006024096385542</v>
      </c>
      <c r="U91" s="18">
        <f t="shared" si="8"/>
        <v>17.987349397590364</v>
      </c>
      <c r="W91">
        <v>375.5</v>
      </c>
      <c r="Y91">
        <f t="shared" si="6"/>
        <v>52238.200000000004</v>
      </c>
      <c r="AA91">
        <v>9.8175382399909239</v>
      </c>
    </row>
    <row r="92" spans="1:27" x14ac:dyDescent="0.25">
      <c r="A92">
        <v>6440</v>
      </c>
      <c r="B92">
        <v>25210</v>
      </c>
      <c r="C92" s="4">
        <v>42670</v>
      </c>
      <c r="F92" s="39"/>
      <c r="G92">
        <v>10.3</v>
      </c>
      <c r="H92">
        <v>7.2</v>
      </c>
      <c r="I92">
        <v>14.6</v>
      </c>
      <c r="J92">
        <f t="shared" si="5"/>
        <v>791.39999999999986</v>
      </c>
      <c r="M92">
        <v>0</v>
      </c>
      <c r="N92">
        <v>1.1000000000000001</v>
      </c>
      <c r="O92">
        <f t="shared" si="2"/>
        <v>-1.1000000000000001</v>
      </c>
      <c r="P92">
        <f t="shared" si="7"/>
        <v>11.100000000000001</v>
      </c>
      <c r="Q92">
        <v>58</v>
      </c>
      <c r="R92">
        <f t="shared" si="9"/>
        <v>0.76506024096385539</v>
      </c>
      <c r="S92" s="18">
        <f t="shared" si="3"/>
        <v>0.84156626506024101</v>
      </c>
      <c r="T92" s="18">
        <f t="shared" si="4"/>
        <v>-0.84156626506024101</v>
      </c>
      <c r="U92" s="18">
        <f t="shared" si="8"/>
        <v>17.145783132530124</v>
      </c>
      <c r="W92">
        <v>438.5</v>
      </c>
      <c r="Y92">
        <f t="shared" si="6"/>
        <v>52676.700000000004</v>
      </c>
      <c r="AA92">
        <v>9.7605283706811399</v>
      </c>
    </row>
    <row r="93" spans="1:27" x14ac:dyDescent="0.25">
      <c r="A93">
        <v>6440</v>
      </c>
      <c r="B93">
        <v>25210</v>
      </c>
      <c r="C93" s="4">
        <v>42671</v>
      </c>
      <c r="F93" s="39"/>
      <c r="G93">
        <v>11.3</v>
      </c>
      <c r="H93">
        <v>7.6</v>
      </c>
      <c r="I93">
        <v>14.1</v>
      </c>
      <c r="J93">
        <f t="shared" si="5"/>
        <v>802.69999999999982</v>
      </c>
      <c r="M93">
        <v>0</v>
      </c>
      <c r="N93">
        <v>0.8</v>
      </c>
      <c r="O93">
        <f t="shared" si="2"/>
        <v>-0.8</v>
      </c>
      <c r="P93">
        <f t="shared" si="7"/>
        <v>10.3</v>
      </c>
      <c r="Q93">
        <v>59</v>
      </c>
      <c r="R93">
        <f t="shared" si="9"/>
        <v>0.77289156626506017</v>
      </c>
      <c r="S93" s="18">
        <f t="shared" si="3"/>
        <v>0.6183132530120482</v>
      </c>
      <c r="T93" s="18">
        <f t="shared" si="4"/>
        <v>-0.6183132530120482</v>
      </c>
      <c r="U93" s="18">
        <f t="shared" si="8"/>
        <v>16.527469879518076</v>
      </c>
      <c r="W93">
        <v>367.9</v>
      </c>
      <c r="Y93">
        <f t="shared" si="6"/>
        <v>53044.600000000006</v>
      </c>
      <c r="AA93">
        <v>9.7039426167640617</v>
      </c>
    </row>
    <row r="94" spans="1:27" x14ac:dyDescent="0.25">
      <c r="A94">
        <v>6440</v>
      </c>
      <c r="B94">
        <v>25210</v>
      </c>
      <c r="C94" s="4">
        <v>42672</v>
      </c>
      <c r="F94" s="39"/>
      <c r="G94">
        <v>11.4</v>
      </c>
      <c r="H94">
        <v>11</v>
      </c>
      <c r="I94">
        <v>14.9</v>
      </c>
      <c r="J94">
        <f t="shared" si="5"/>
        <v>814.0999999999998</v>
      </c>
      <c r="M94">
        <v>0.1</v>
      </c>
      <c r="N94">
        <v>1.3</v>
      </c>
      <c r="O94">
        <f t="shared" si="2"/>
        <v>-1.2</v>
      </c>
      <c r="P94">
        <f t="shared" si="7"/>
        <v>9.1000000000000014</v>
      </c>
      <c r="Q94">
        <v>60</v>
      </c>
      <c r="R94">
        <f t="shared" si="9"/>
        <v>0.78072289156626506</v>
      </c>
      <c r="S94" s="18">
        <f t="shared" si="3"/>
        <v>1.0149397590361446</v>
      </c>
      <c r="T94" s="18">
        <f t="shared" si="4"/>
        <v>-0.91493975903614466</v>
      </c>
      <c r="U94" s="18">
        <f t="shared" si="8"/>
        <v>15.612530120481932</v>
      </c>
      <c r="W94">
        <v>535.6</v>
      </c>
      <c r="Y94">
        <f t="shared" si="6"/>
        <v>53580.200000000004</v>
      </c>
      <c r="AA94">
        <v>9.6477993658154819</v>
      </c>
    </row>
    <row r="95" spans="1:27" x14ac:dyDescent="0.25">
      <c r="A95">
        <v>6440</v>
      </c>
      <c r="B95">
        <v>25210</v>
      </c>
      <c r="C95" s="4">
        <v>42673</v>
      </c>
      <c r="F95" s="39"/>
      <c r="G95">
        <v>9.1999999999999993</v>
      </c>
      <c r="H95">
        <v>4.7</v>
      </c>
      <c r="I95">
        <v>14.4</v>
      </c>
      <c r="J95">
        <f t="shared" si="5"/>
        <v>823.29999999999984</v>
      </c>
      <c r="M95">
        <v>0</v>
      </c>
      <c r="N95">
        <v>1.4</v>
      </c>
      <c r="O95">
        <f t="shared" si="2"/>
        <v>-1.4</v>
      </c>
      <c r="P95">
        <f t="shared" si="7"/>
        <v>7.7000000000000011</v>
      </c>
      <c r="Q95">
        <v>61</v>
      </c>
      <c r="R95">
        <f t="shared" si="9"/>
        <v>0.78855421686746985</v>
      </c>
      <c r="S95" s="18">
        <f t="shared" si="3"/>
        <v>1.1039759036144576</v>
      </c>
      <c r="T95" s="18">
        <f t="shared" si="4"/>
        <v>-1.1039759036144576</v>
      </c>
      <c r="U95" s="18">
        <f t="shared" si="8"/>
        <v>14.508554216867473</v>
      </c>
      <c r="W95">
        <v>872.9</v>
      </c>
      <c r="Y95">
        <f t="shared" si="6"/>
        <v>54453.100000000006</v>
      </c>
      <c r="AA95">
        <v>9.5921174814790024</v>
      </c>
    </row>
    <row r="96" spans="1:27" x14ac:dyDescent="0.25">
      <c r="A96">
        <v>6440</v>
      </c>
      <c r="B96">
        <v>25210</v>
      </c>
      <c r="C96" s="4">
        <v>42674</v>
      </c>
      <c r="F96" s="39"/>
      <c r="G96">
        <v>9.9</v>
      </c>
      <c r="H96">
        <v>7.5</v>
      </c>
      <c r="I96">
        <v>15.5</v>
      </c>
      <c r="J96">
        <f t="shared" si="5"/>
        <v>833.19999999999982</v>
      </c>
      <c r="M96">
        <v>0.1</v>
      </c>
      <c r="N96">
        <v>1.7</v>
      </c>
      <c r="O96">
        <f t="shared" si="2"/>
        <v>-1.5999999999999999</v>
      </c>
      <c r="P96">
        <f t="shared" si="7"/>
        <v>6.1000000000000014</v>
      </c>
      <c r="Q96">
        <v>62</v>
      </c>
      <c r="R96">
        <f t="shared" si="9"/>
        <v>0.79638554216867474</v>
      </c>
      <c r="S96" s="18">
        <f t="shared" si="3"/>
        <v>1.3538554216867471</v>
      </c>
      <c r="T96" s="18">
        <f t="shared" si="4"/>
        <v>-1.253855421686747</v>
      </c>
      <c r="U96" s="18">
        <f t="shared" si="8"/>
        <v>13.254698795180726</v>
      </c>
      <c r="W96">
        <v>877.2</v>
      </c>
      <c r="Y96">
        <f t="shared" si="6"/>
        <v>55330.3</v>
      </c>
      <c r="AA96">
        <v>9.5369163039086651</v>
      </c>
    </row>
    <row r="97" spans="1:27" x14ac:dyDescent="0.25">
      <c r="A97">
        <v>6440</v>
      </c>
      <c r="B97">
        <v>25210</v>
      </c>
      <c r="C97" s="4">
        <v>42675</v>
      </c>
      <c r="F97" s="39"/>
      <c r="G97">
        <v>9.1999999999999993</v>
      </c>
      <c r="H97">
        <v>3.4</v>
      </c>
      <c r="I97">
        <v>13.4</v>
      </c>
      <c r="J97">
        <f t="shared" si="5"/>
        <v>842.39999999999986</v>
      </c>
      <c r="M97">
        <v>0.2</v>
      </c>
      <c r="N97">
        <v>0.8</v>
      </c>
      <c r="O97">
        <f t="shared" si="2"/>
        <v>-0.60000000000000009</v>
      </c>
      <c r="P97">
        <f t="shared" si="7"/>
        <v>5.5000000000000018</v>
      </c>
      <c r="Q97">
        <v>63</v>
      </c>
      <c r="R97">
        <f t="shared" si="9"/>
        <v>0.80421686746987953</v>
      </c>
      <c r="S97" s="18">
        <f t="shared" si="3"/>
        <v>0.64337349397590371</v>
      </c>
      <c r="T97" s="18">
        <f t="shared" si="4"/>
        <v>-0.4433734939759037</v>
      </c>
      <c r="U97" s="18">
        <f t="shared" si="8"/>
        <v>12.811325301204823</v>
      </c>
      <c r="W97">
        <v>610.9</v>
      </c>
      <c r="Y97">
        <f t="shared" si="6"/>
        <v>55941.200000000004</v>
      </c>
      <c r="AA97">
        <v>9.4822156488008051</v>
      </c>
    </row>
    <row r="98" spans="1:27" x14ac:dyDescent="0.25">
      <c r="A98">
        <v>6440</v>
      </c>
      <c r="B98">
        <v>25210</v>
      </c>
      <c r="C98" s="4">
        <v>42676</v>
      </c>
      <c r="F98" s="39"/>
      <c r="G98">
        <v>7.1</v>
      </c>
      <c r="H98">
        <v>4.0999999999999996</v>
      </c>
      <c r="I98">
        <v>10.3</v>
      </c>
      <c r="J98">
        <f t="shared" si="5"/>
        <v>849.49999999999989</v>
      </c>
      <c r="M98">
        <v>0</v>
      </c>
      <c r="N98">
        <v>0.8</v>
      </c>
      <c r="O98">
        <f t="shared" si="2"/>
        <v>-0.8</v>
      </c>
      <c r="P98">
        <f t="shared" si="7"/>
        <v>4.700000000000002</v>
      </c>
      <c r="Q98">
        <v>64</v>
      </c>
      <c r="R98">
        <f t="shared" si="9"/>
        <v>0.81204819277108431</v>
      </c>
      <c r="S98" s="18">
        <f t="shared" si="3"/>
        <v>0.64963855421686745</v>
      </c>
      <c r="T98" s="18">
        <f t="shared" si="4"/>
        <v>-0.64963855421686745</v>
      </c>
      <c r="U98" s="18">
        <f t="shared" si="8"/>
        <v>12.161686746987955</v>
      </c>
      <c r="W98">
        <v>434.9</v>
      </c>
      <c r="Y98">
        <f t="shared" si="6"/>
        <v>56376.100000000006</v>
      </c>
      <c r="AA98">
        <v>9.4280358049303388</v>
      </c>
    </row>
    <row r="99" spans="1:27" x14ac:dyDescent="0.25">
      <c r="A99">
        <v>6440</v>
      </c>
      <c r="B99">
        <v>25210</v>
      </c>
      <c r="C99" s="4">
        <v>42677</v>
      </c>
      <c r="F99" s="39"/>
      <c r="G99">
        <v>4.0999999999999996</v>
      </c>
      <c r="H99">
        <v>-0.7</v>
      </c>
      <c r="I99">
        <v>9.9</v>
      </c>
      <c r="J99">
        <f t="shared" si="5"/>
        <v>853.59999999999991</v>
      </c>
      <c r="M99">
        <v>0</v>
      </c>
      <c r="N99">
        <v>0.8</v>
      </c>
      <c r="O99">
        <f t="shared" si="2"/>
        <v>-0.8</v>
      </c>
      <c r="P99">
        <f t="shared" si="7"/>
        <v>3.9000000000000021</v>
      </c>
      <c r="Q99">
        <v>65</v>
      </c>
      <c r="R99">
        <f t="shared" si="9"/>
        <v>0.81987951807228909</v>
      </c>
      <c r="S99" s="18">
        <f t="shared" si="3"/>
        <v>0.6559036144578313</v>
      </c>
      <c r="T99" s="18">
        <f t="shared" si="4"/>
        <v>-0.6559036144578313</v>
      </c>
      <c r="U99" s="18">
        <f t="shared" si="8"/>
        <v>11.505783132530125</v>
      </c>
      <c r="W99">
        <v>467.1</v>
      </c>
      <c r="Y99">
        <f t="shared" si="6"/>
        <v>56843.200000000004</v>
      </c>
      <c r="AA99">
        <v>9.3743975301056288</v>
      </c>
    </row>
    <row r="100" spans="1:27" x14ac:dyDescent="0.25">
      <c r="A100">
        <v>6440</v>
      </c>
      <c r="B100">
        <v>25210</v>
      </c>
      <c r="C100" s="4">
        <v>42678</v>
      </c>
      <c r="F100" s="39"/>
      <c r="G100">
        <v>6.3</v>
      </c>
      <c r="H100">
        <v>3.9</v>
      </c>
      <c r="I100">
        <v>8</v>
      </c>
      <c r="J100">
        <f t="shared" si="5"/>
        <v>859.89999999999986</v>
      </c>
      <c r="M100">
        <v>2.9</v>
      </c>
      <c r="N100">
        <v>0.6</v>
      </c>
      <c r="O100">
        <f t="shared" ref="O100:O163" si="10">M100-N100</f>
        <v>2.2999999999999998</v>
      </c>
      <c r="P100">
        <f t="shared" si="7"/>
        <v>6.200000000000002</v>
      </c>
      <c r="Q100">
        <v>66</v>
      </c>
      <c r="R100">
        <f t="shared" si="9"/>
        <v>0.82771084337349399</v>
      </c>
      <c r="S100" s="18">
        <f t="shared" ref="S100:S163" si="11">R100*N100</f>
        <v>0.49662650602409636</v>
      </c>
      <c r="T100" s="18">
        <f t="shared" ref="T100:T163" si="12">M100-S100</f>
        <v>2.4033734939759035</v>
      </c>
      <c r="U100" s="18">
        <f t="shared" si="8"/>
        <v>13.909156626506029</v>
      </c>
      <c r="W100">
        <v>381.3</v>
      </c>
      <c r="Y100">
        <f t="shared" si="6"/>
        <v>57224.500000000007</v>
      </c>
      <c r="AA100">
        <v>9.3213220454552896</v>
      </c>
    </row>
    <row r="101" spans="1:27" x14ac:dyDescent="0.25">
      <c r="A101">
        <v>6440</v>
      </c>
      <c r="B101">
        <v>25210</v>
      </c>
      <c r="C101" s="4">
        <v>42679</v>
      </c>
      <c r="F101" s="39"/>
      <c r="G101">
        <v>6.7</v>
      </c>
      <c r="H101">
        <v>6</v>
      </c>
      <c r="I101">
        <v>10</v>
      </c>
      <c r="J101">
        <f t="shared" ref="J101:J162" si="13">J100+G101</f>
        <v>866.59999999999991</v>
      </c>
      <c r="M101">
        <v>0.1</v>
      </c>
      <c r="N101">
        <v>1.1000000000000001</v>
      </c>
      <c r="O101">
        <f t="shared" si="10"/>
        <v>-1</v>
      </c>
      <c r="P101">
        <f t="shared" ref="P101:P164" si="14">P100+O101</f>
        <v>5.200000000000002</v>
      </c>
      <c r="Q101">
        <v>67</v>
      </c>
      <c r="R101">
        <f t="shared" si="9"/>
        <v>0.83554216867469877</v>
      </c>
      <c r="S101" s="18">
        <f t="shared" si="11"/>
        <v>0.91909638554216877</v>
      </c>
      <c r="T101" s="18">
        <f t="shared" si="12"/>
        <v>-0.81909638554216879</v>
      </c>
      <c r="U101" s="18">
        <f t="shared" si="8"/>
        <v>13.09006024096386</v>
      </c>
      <c r="W101">
        <v>586.29999999999995</v>
      </c>
      <c r="Y101">
        <f t="shared" ref="Y101:Y164" si="15">Y100+W101</f>
        <v>57810.80000000001</v>
      </c>
      <c r="AA101">
        <v>9.268831027960271</v>
      </c>
    </row>
    <row r="102" spans="1:27" x14ac:dyDescent="0.25">
      <c r="A102">
        <v>6440</v>
      </c>
      <c r="B102">
        <v>25210</v>
      </c>
      <c r="C102" s="4">
        <v>42680</v>
      </c>
      <c r="F102" s="39"/>
      <c r="G102">
        <v>3.3</v>
      </c>
      <c r="H102">
        <v>1.3</v>
      </c>
      <c r="I102">
        <v>6.6</v>
      </c>
      <c r="J102">
        <f t="shared" si="13"/>
        <v>869.89999999999986</v>
      </c>
      <c r="M102">
        <v>1.7</v>
      </c>
      <c r="N102">
        <v>0.9</v>
      </c>
      <c r="O102">
        <f t="shared" si="10"/>
        <v>0.79999999999999993</v>
      </c>
      <c r="P102">
        <f t="shared" si="14"/>
        <v>6.0000000000000018</v>
      </c>
      <c r="Q102">
        <v>68</v>
      </c>
      <c r="R102">
        <f t="shared" si="9"/>
        <v>0.84337349397590367</v>
      </c>
      <c r="S102" s="18">
        <f t="shared" si="11"/>
        <v>0.75903614457831337</v>
      </c>
      <c r="T102" s="18">
        <f t="shared" si="12"/>
        <v>0.94096385542168659</v>
      </c>
      <c r="U102" s="18">
        <f t="shared" si="8"/>
        <v>14.031024096385547</v>
      </c>
      <c r="W102">
        <v>632.70000000000005</v>
      </c>
      <c r="Y102">
        <f t="shared" si="15"/>
        <v>58443.500000000007</v>
      </c>
      <c r="AA102">
        <v>9.2169466011448247</v>
      </c>
    </row>
    <row r="103" spans="1:27" x14ac:dyDescent="0.25">
      <c r="A103">
        <v>6440</v>
      </c>
      <c r="B103">
        <v>25210</v>
      </c>
      <c r="C103" s="4">
        <v>42681</v>
      </c>
      <c r="F103" s="39"/>
      <c r="G103">
        <v>3.4</v>
      </c>
      <c r="H103">
        <v>2.6</v>
      </c>
      <c r="I103">
        <v>3.8</v>
      </c>
      <c r="J103">
        <f t="shared" si="13"/>
        <v>873.29999999999984</v>
      </c>
      <c r="M103">
        <v>0.1</v>
      </c>
      <c r="N103">
        <v>0.3</v>
      </c>
      <c r="O103">
        <f t="shared" si="10"/>
        <v>-0.19999999999999998</v>
      </c>
      <c r="P103">
        <f t="shared" si="14"/>
        <v>5.8000000000000016</v>
      </c>
      <c r="Q103">
        <v>69</v>
      </c>
      <c r="R103">
        <f t="shared" si="9"/>
        <v>0.85120481927710845</v>
      </c>
      <c r="S103" s="18">
        <f t="shared" si="11"/>
        <v>0.25536144578313252</v>
      </c>
      <c r="T103" s="18">
        <f t="shared" si="12"/>
        <v>-0.15536144578313252</v>
      </c>
      <c r="U103" s="18">
        <f t="shared" ref="U103:U166" si="16">U102+T103</f>
        <v>13.875662650602415</v>
      </c>
      <c r="W103">
        <v>131.6</v>
      </c>
      <c r="Y103">
        <f t="shared" si="15"/>
        <v>58575.100000000006</v>
      </c>
      <c r="AA103">
        <v>9.165691323841326</v>
      </c>
    </row>
    <row r="104" spans="1:27" x14ac:dyDescent="0.25">
      <c r="A104">
        <v>6440</v>
      </c>
      <c r="B104">
        <v>25210</v>
      </c>
      <c r="C104" s="4">
        <v>42682</v>
      </c>
      <c r="F104" s="39"/>
      <c r="G104">
        <v>3.7</v>
      </c>
      <c r="H104">
        <v>0.5</v>
      </c>
      <c r="I104">
        <v>6.5</v>
      </c>
      <c r="J104">
        <f t="shared" si="13"/>
        <v>876.99999999999989</v>
      </c>
      <c r="M104">
        <v>3.5</v>
      </c>
      <c r="N104">
        <v>0.4</v>
      </c>
      <c r="O104">
        <f t="shared" si="10"/>
        <v>3.1</v>
      </c>
      <c r="P104">
        <f t="shared" si="14"/>
        <v>8.9000000000000021</v>
      </c>
      <c r="Q104">
        <v>70</v>
      </c>
      <c r="R104">
        <f t="shared" si="9"/>
        <v>0.85903614457831323</v>
      </c>
      <c r="S104" s="18">
        <f t="shared" si="11"/>
        <v>0.34361445783132533</v>
      </c>
      <c r="T104" s="18">
        <f t="shared" si="12"/>
        <v>3.1563855421686746</v>
      </c>
      <c r="U104" s="18">
        <f t="shared" si="16"/>
        <v>17.032048192771089</v>
      </c>
      <c r="W104">
        <v>257.60000000000002</v>
      </c>
      <c r="Y104">
        <f t="shared" si="15"/>
        <v>58832.700000000004</v>
      </c>
      <c r="AA104">
        <v>9.115088176945644</v>
      </c>
    </row>
    <row r="105" spans="1:27" x14ac:dyDescent="0.25">
      <c r="A105">
        <v>6440</v>
      </c>
      <c r="B105">
        <v>25210</v>
      </c>
      <c r="C105" s="4">
        <v>42683</v>
      </c>
      <c r="F105" s="39"/>
      <c r="G105">
        <v>6.3</v>
      </c>
      <c r="H105">
        <v>4.0999999999999996</v>
      </c>
      <c r="I105">
        <v>7.6</v>
      </c>
      <c r="J105">
        <f t="shared" si="13"/>
        <v>883.29999999999984</v>
      </c>
      <c r="M105">
        <v>6.6</v>
      </c>
      <c r="N105">
        <v>0.3</v>
      </c>
      <c r="O105">
        <f t="shared" si="10"/>
        <v>6.3</v>
      </c>
      <c r="P105">
        <f t="shared" si="14"/>
        <v>15.200000000000003</v>
      </c>
      <c r="Q105">
        <v>71</v>
      </c>
      <c r="R105">
        <f t="shared" ref="R105:R122" si="17">0.35+((Q105-5)/83)*(1-0.35)</f>
        <v>0.86686746987951813</v>
      </c>
      <c r="S105" s="18">
        <f t="shared" si="11"/>
        <v>0.26006024096385544</v>
      </c>
      <c r="T105" s="18">
        <f t="shared" si="12"/>
        <v>6.3399397590361444</v>
      </c>
      <c r="U105" s="18">
        <f t="shared" si="16"/>
        <v>23.371987951807235</v>
      </c>
      <c r="W105">
        <v>152.4</v>
      </c>
      <c r="Y105">
        <f t="shared" si="15"/>
        <v>58985.100000000006</v>
      </c>
      <c r="AA105">
        <v>9.0651605480825808</v>
      </c>
    </row>
    <row r="106" spans="1:27" x14ac:dyDescent="0.25">
      <c r="A106">
        <v>6440</v>
      </c>
      <c r="B106">
        <v>25210</v>
      </c>
      <c r="C106" s="4">
        <v>42684</v>
      </c>
      <c r="F106" s="39"/>
      <c r="G106">
        <v>6.8</v>
      </c>
      <c r="H106">
        <v>4.9000000000000004</v>
      </c>
      <c r="I106">
        <v>9.1</v>
      </c>
      <c r="J106">
        <f t="shared" si="13"/>
        <v>890.0999999999998</v>
      </c>
      <c r="M106">
        <v>4.9000000000000004</v>
      </c>
      <c r="N106">
        <v>0.5</v>
      </c>
      <c r="O106">
        <f t="shared" si="10"/>
        <v>4.4000000000000004</v>
      </c>
      <c r="P106">
        <f t="shared" si="14"/>
        <v>19.600000000000001</v>
      </c>
      <c r="Q106">
        <v>72</v>
      </c>
      <c r="R106">
        <f t="shared" si="17"/>
        <v>0.87469879518072291</v>
      </c>
      <c r="S106" s="18">
        <f t="shared" si="11"/>
        <v>0.43734939759036146</v>
      </c>
      <c r="T106" s="18">
        <f t="shared" si="12"/>
        <v>4.4626506024096386</v>
      </c>
      <c r="U106" s="18">
        <f t="shared" si="16"/>
        <v>27.834638554216873</v>
      </c>
      <c r="W106">
        <v>105.7</v>
      </c>
      <c r="Y106">
        <f t="shared" si="15"/>
        <v>59090.8</v>
      </c>
      <c r="AA106">
        <v>9.0159322141044704</v>
      </c>
    </row>
    <row r="107" spans="1:27" x14ac:dyDescent="0.25">
      <c r="A107">
        <v>6440</v>
      </c>
      <c r="B107">
        <v>25210</v>
      </c>
      <c r="C107" s="4">
        <v>42685</v>
      </c>
      <c r="E107" s="29">
        <v>1</v>
      </c>
      <c r="F107" s="39"/>
      <c r="G107">
        <v>3.9</v>
      </c>
      <c r="H107">
        <v>1.7</v>
      </c>
      <c r="I107">
        <v>7.2</v>
      </c>
      <c r="J107">
        <f t="shared" si="13"/>
        <v>893.99999999999977</v>
      </c>
      <c r="M107">
        <v>0</v>
      </c>
      <c r="N107">
        <v>1</v>
      </c>
      <c r="O107">
        <f t="shared" si="10"/>
        <v>-1</v>
      </c>
      <c r="P107">
        <f t="shared" si="14"/>
        <v>18.600000000000001</v>
      </c>
      <c r="Q107">
        <v>73</v>
      </c>
      <c r="R107">
        <f t="shared" si="17"/>
        <v>0.88253012048192769</v>
      </c>
      <c r="S107" s="18">
        <f t="shared" si="11"/>
        <v>0.88253012048192769</v>
      </c>
      <c r="T107" s="18">
        <f t="shared" si="12"/>
        <v>-0.88253012048192769</v>
      </c>
      <c r="U107" s="18">
        <f t="shared" si="16"/>
        <v>26.952108433734946</v>
      </c>
      <c r="W107">
        <v>671.2</v>
      </c>
      <c r="Y107">
        <f t="shared" si="15"/>
        <v>59762</v>
      </c>
      <c r="AA107" s="29">
        <v>8.9674273213507067</v>
      </c>
    </row>
    <row r="108" spans="1:27" x14ac:dyDescent="0.25">
      <c r="A108">
        <v>6440</v>
      </c>
      <c r="B108">
        <v>25210</v>
      </c>
      <c r="C108" s="4">
        <v>42686</v>
      </c>
      <c r="E108" s="29">
        <v>2</v>
      </c>
      <c r="F108" s="39"/>
      <c r="G108">
        <v>2.5</v>
      </c>
      <c r="H108">
        <v>-0.9</v>
      </c>
      <c r="I108">
        <v>5.0999999999999996</v>
      </c>
      <c r="J108">
        <f t="shared" si="13"/>
        <v>896.49999999999977</v>
      </c>
      <c r="M108">
        <v>3.2</v>
      </c>
      <c r="N108">
        <v>0.4</v>
      </c>
      <c r="O108">
        <f t="shared" si="10"/>
        <v>2.8000000000000003</v>
      </c>
      <c r="P108">
        <f t="shared" si="14"/>
        <v>21.400000000000002</v>
      </c>
      <c r="Q108">
        <v>74</v>
      </c>
      <c r="R108">
        <f t="shared" si="17"/>
        <v>0.89036144578313259</v>
      </c>
      <c r="S108" s="18">
        <f t="shared" si="11"/>
        <v>0.35614457831325308</v>
      </c>
      <c r="T108" s="18">
        <f t="shared" si="12"/>
        <v>2.8438554216867473</v>
      </c>
      <c r="U108" s="18">
        <f t="shared" si="16"/>
        <v>29.795963855421693</v>
      </c>
      <c r="W108">
        <v>416.9</v>
      </c>
      <c r="Y108">
        <f t="shared" si="15"/>
        <v>60178.9</v>
      </c>
      <c r="AA108" s="29">
        <v>8.9196703636015364</v>
      </c>
    </row>
    <row r="109" spans="1:27" x14ac:dyDescent="0.25">
      <c r="A109">
        <v>6440</v>
      </c>
      <c r="B109">
        <v>25210</v>
      </c>
      <c r="C109" s="4">
        <v>42687</v>
      </c>
      <c r="F109" s="39"/>
      <c r="G109">
        <v>6.8</v>
      </c>
      <c r="H109">
        <v>4.5</v>
      </c>
      <c r="I109">
        <v>8.6</v>
      </c>
      <c r="J109">
        <f t="shared" si="13"/>
        <v>903.29999999999973</v>
      </c>
      <c r="M109">
        <v>1.3</v>
      </c>
      <c r="N109">
        <v>0.3</v>
      </c>
      <c r="O109">
        <f t="shared" si="10"/>
        <v>1</v>
      </c>
      <c r="P109">
        <f t="shared" si="14"/>
        <v>22.400000000000002</v>
      </c>
      <c r="Q109">
        <v>75</v>
      </c>
      <c r="R109">
        <f t="shared" si="17"/>
        <v>0.89819277108433737</v>
      </c>
      <c r="S109" s="18">
        <f t="shared" si="11"/>
        <v>0.26945783132530121</v>
      </c>
      <c r="T109" s="18">
        <f t="shared" si="12"/>
        <v>1.0305421686746987</v>
      </c>
      <c r="U109" s="18">
        <f t="shared" si="16"/>
        <v>30.826506024096393</v>
      </c>
      <c r="W109">
        <v>219.6</v>
      </c>
      <c r="Y109">
        <f t="shared" si="15"/>
        <v>60398.5</v>
      </c>
      <c r="AA109" s="29">
        <v>8.8726861576663332</v>
      </c>
    </row>
    <row r="110" spans="1:27" x14ac:dyDescent="0.25">
      <c r="A110">
        <v>6440</v>
      </c>
      <c r="B110">
        <v>25210</v>
      </c>
      <c r="C110" s="4">
        <v>42688</v>
      </c>
      <c r="F110" s="39"/>
      <c r="G110">
        <v>6.4</v>
      </c>
      <c r="H110">
        <v>5</v>
      </c>
      <c r="I110">
        <v>9.5</v>
      </c>
      <c r="J110">
        <f t="shared" si="13"/>
        <v>909.6999999999997</v>
      </c>
      <c r="M110">
        <v>1.7</v>
      </c>
      <c r="N110">
        <v>0.5</v>
      </c>
      <c r="O110">
        <f t="shared" si="10"/>
        <v>1.2</v>
      </c>
      <c r="P110">
        <f t="shared" si="14"/>
        <v>23.6</v>
      </c>
      <c r="Q110">
        <v>76</v>
      </c>
      <c r="R110">
        <f t="shared" si="17"/>
        <v>0.90602409638554215</v>
      </c>
      <c r="S110" s="18">
        <f t="shared" si="11"/>
        <v>0.45301204819277108</v>
      </c>
      <c r="T110" s="18">
        <f t="shared" si="12"/>
        <v>1.2469879518072289</v>
      </c>
      <c r="U110" s="18">
        <f t="shared" si="16"/>
        <v>32.073493975903624</v>
      </c>
      <c r="W110">
        <v>104.7</v>
      </c>
      <c r="Y110">
        <f t="shared" si="15"/>
        <v>60503.199999999997</v>
      </c>
      <c r="AA110" s="29">
        <v>8.8264998165544668</v>
      </c>
    </row>
    <row r="111" spans="1:27" x14ac:dyDescent="0.25">
      <c r="A111">
        <v>6440</v>
      </c>
      <c r="B111">
        <v>25210</v>
      </c>
      <c r="C111" s="4">
        <v>42689</v>
      </c>
      <c r="F111" s="39"/>
      <c r="G111">
        <v>11.4</v>
      </c>
      <c r="H111">
        <v>6.9</v>
      </c>
      <c r="I111">
        <v>13</v>
      </c>
      <c r="J111">
        <f t="shared" si="13"/>
        <v>921.09999999999968</v>
      </c>
      <c r="M111">
        <v>0.9</v>
      </c>
      <c r="N111">
        <v>0.3</v>
      </c>
      <c r="O111">
        <f t="shared" si="10"/>
        <v>0.60000000000000009</v>
      </c>
      <c r="P111">
        <f t="shared" si="14"/>
        <v>24.200000000000003</v>
      </c>
      <c r="Q111">
        <v>77</v>
      </c>
      <c r="R111">
        <f t="shared" si="17"/>
        <v>0.91385542168674705</v>
      </c>
      <c r="S111" s="18">
        <f t="shared" si="11"/>
        <v>0.27415662650602413</v>
      </c>
      <c r="T111" s="18">
        <f t="shared" si="12"/>
        <v>0.6258433734939759</v>
      </c>
      <c r="U111" s="18">
        <f t="shared" si="16"/>
        <v>32.699337349397602</v>
      </c>
      <c r="W111">
        <v>124.6</v>
      </c>
      <c r="Y111">
        <f t="shared" si="15"/>
        <v>60627.799999999996</v>
      </c>
      <c r="AA111" s="29">
        <v>8.7811367201860158</v>
      </c>
    </row>
    <row r="112" spans="1:27" x14ac:dyDescent="0.25">
      <c r="A112">
        <v>6440</v>
      </c>
      <c r="B112">
        <v>25210</v>
      </c>
      <c r="C112" s="4">
        <v>42690</v>
      </c>
      <c r="F112" s="39"/>
      <c r="G112">
        <v>12.1</v>
      </c>
      <c r="H112">
        <v>11.1</v>
      </c>
      <c r="I112">
        <v>12.6</v>
      </c>
      <c r="J112">
        <f t="shared" si="13"/>
        <v>933.1999999999997</v>
      </c>
      <c r="M112">
        <v>1.4</v>
      </c>
      <c r="N112">
        <v>0.6</v>
      </c>
      <c r="O112">
        <f t="shared" si="10"/>
        <v>0.79999999999999993</v>
      </c>
      <c r="P112">
        <f t="shared" si="14"/>
        <v>25.000000000000004</v>
      </c>
      <c r="Q112">
        <v>78</v>
      </c>
      <c r="R112">
        <f t="shared" si="17"/>
        <v>0.92168674698795172</v>
      </c>
      <c r="S112" s="18">
        <f t="shared" si="11"/>
        <v>0.55301204819277106</v>
      </c>
      <c r="T112" s="18">
        <f t="shared" si="12"/>
        <v>0.84698795180722886</v>
      </c>
      <c r="U112" s="18">
        <f t="shared" si="16"/>
        <v>33.546325301204831</v>
      </c>
      <c r="W112">
        <v>289.8</v>
      </c>
      <c r="Y112">
        <f t="shared" si="15"/>
        <v>60917.599999999999</v>
      </c>
      <c r="AA112" s="29">
        <v>8.7366224836102155</v>
      </c>
    </row>
    <row r="113" spans="1:28" x14ac:dyDescent="0.25">
      <c r="A113">
        <v>6440</v>
      </c>
      <c r="B113">
        <v>25210</v>
      </c>
      <c r="C113" s="4">
        <v>42691</v>
      </c>
      <c r="F113" s="39"/>
      <c r="G113">
        <v>10.9</v>
      </c>
      <c r="H113">
        <v>10.3</v>
      </c>
      <c r="I113">
        <v>11.3</v>
      </c>
      <c r="J113">
        <f t="shared" si="13"/>
        <v>944.09999999999968</v>
      </c>
      <c r="M113">
        <v>8.4</v>
      </c>
      <c r="N113">
        <v>0.8</v>
      </c>
      <c r="O113">
        <f t="shared" si="10"/>
        <v>7.6000000000000005</v>
      </c>
      <c r="P113">
        <f t="shared" si="14"/>
        <v>32.6</v>
      </c>
      <c r="Q113">
        <v>79</v>
      </c>
      <c r="R113">
        <f t="shared" si="17"/>
        <v>0.92951807228915662</v>
      </c>
      <c r="S113" s="18">
        <f t="shared" si="11"/>
        <v>0.74361445783132529</v>
      </c>
      <c r="T113" s="18">
        <f t="shared" si="12"/>
        <v>7.6563855421686746</v>
      </c>
      <c r="U113" s="18">
        <f t="shared" si="16"/>
        <v>41.202710843373509</v>
      </c>
      <c r="W113">
        <v>187.6</v>
      </c>
      <c r="Y113">
        <f t="shared" si="15"/>
        <v>61105.2</v>
      </c>
      <c r="AA113" s="29">
        <v>8.6929829227111259</v>
      </c>
    </row>
    <row r="114" spans="1:28" x14ac:dyDescent="0.25">
      <c r="A114">
        <v>6440</v>
      </c>
      <c r="B114">
        <v>25210</v>
      </c>
      <c r="C114" s="4">
        <v>42692</v>
      </c>
      <c r="F114" s="39"/>
      <c r="G114">
        <v>7.5</v>
      </c>
      <c r="H114">
        <v>6.7</v>
      </c>
      <c r="I114">
        <v>9.1999999999999993</v>
      </c>
      <c r="J114">
        <f t="shared" si="13"/>
        <v>951.59999999999968</v>
      </c>
      <c r="M114">
        <v>0.2</v>
      </c>
      <c r="N114">
        <v>1.2</v>
      </c>
      <c r="O114">
        <f t="shared" si="10"/>
        <v>-1</v>
      </c>
      <c r="P114">
        <f t="shared" si="14"/>
        <v>31.6</v>
      </c>
      <c r="Q114">
        <v>80</v>
      </c>
      <c r="R114">
        <f t="shared" si="17"/>
        <v>0.93734939759036151</v>
      </c>
      <c r="S114" s="18">
        <f t="shared" si="11"/>
        <v>1.1248192771084338</v>
      </c>
      <c r="T114" s="18">
        <f t="shared" si="12"/>
        <v>-0.92481927710843381</v>
      </c>
      <c r="U114" s="18">
        <f t="shared" si="16"/>
        <v>40.277891566265076</v>
      </c>
      <c r="W114">
        <v>188.8</v>
      </c>
      <c r="Y114">
        <f t="shared" si="15"/>
        <v>61294</v>
      </c>
      <c r="AA114" s="29">
        <v>8.6502440173932094</v>
      </c>
    </row>
    <row r="115" spans="1:28" x14ac:dyDescent="0.25">
      <c r="A115">
        <v>6440</v>
      </c>
      <c r="B115">
        <v>25210</v>
      </c>
      <c r="C115" s="4">
        <v>42693</v>
      </c>
      <c r="F115" s="39"/>
      <c r="G115">
        <v>5.7</v>
      </c>
      <c r="H115">
        <v>3.4</v>
      </c>
      <c r="I115">
        <v>9.5</v>
      </c>
      <c r="J115">
        <f t="shared" si="13"/>
        <v>957.29999999999973</v>
      </c>
      <c r="M115">
        <v>0.6</v>
      </c>
      <c r="N115">
        <v>1.1000000000000001</v>
      </c>
      <c r="O115">
        <f t="shared" si="10"/>
        <v>-0.50000000000000011</v>
      </c>
      <c r="P115">
        <f t="shared" si="14"/>
        <v>31.1</v>
      </c>
      <c r="Q115">
        <v>81</v>
      </c>
      <c r="R115">
        <f t="shared" si="17"/>
        <v>0.94518072289156618</v>
      </c>
      <c r="S115" s="18">
        <f t="shared" si="11"/>
        <v>1.0396987951807228</v>
      </c>
      <c r="T115" s="18">
        <f t="shared" si="12"/>
        <v>-0.43969879518072286</v>
      </c>
      <c r="U115" s="18">
        <f t="shared" si="16"/>
        <v>39.838192771084351</v>
      </c>
      <c r="W115">
        <v>282.5</v>
      </c>
      <c r="Y115">
        <f t="shared" si="15"/>
        <v>61576.5</v>
      </c>
      <c r="AA115" s="29">
        <v>8.6084318722539752</v>
      </c>
    </row>
    <row r="116" spans="1:28" x14ac:dyDescent="0.25">
      <c r="A116">
        <v>6440</v>
      </c>
      <c r="B116">
        <v>25210</v>
      </c>
      <c r="C116" s="4">
        <v>42694</v>
      </c>
      <c r="F116" s="39"/>
      <c r="G116">
        <v>10.4</v>
      </c>
      <c r="H116">
        <v>6.3</v>
      </c>
      <c r="I116">
        <v>11.9</v>
      </c>
      <c r="J116">
        <f t="shared" si="13"/>
        <v>967.6999999999997</v>
      </c>
      <c r="M116">
        <v>7.6</v>
      </c>
      <c r="N116">
        <v>0.8</v>
      </c>
      <c r="O116">
        <f t="shared" si="10"/>
        <v>6.8</v>
      </c>
      <c r="P116">
        <f t="shared" si="14"/>
        <v>37.9</v>
      </c>
      <c r="Q116">
        <v>82</v>
      </c>
      <c r="R116">
        <f t="shared" si="17"/>
        <v>0.95301204819277108</v>
      </c>
      <c r="S116" s="18">
        <f t="shared" si="11"/>
        <v>0.76240963855421695</v>
      </c>
      <c r="T116" s="18">
        <f t="shared" si="12"/>
        <v>6.8375903614457822</v>
      </c>
      <c r="U116" s="18">
        <f t="shared" si="16"/>
        <v>46.675783132530135</v>
      </c>
      <c r="W116">
        <v>206.4</v>
      </c>
      <c r="Y116">
        <f t="shared" si="15"/>
        <v>61782.9</v>
      </c>
      <c r="AA116" s="29">
        <v>8.5675726747665824</v>
      </c>
    </row>
    <row r="117" spans="1:28" x14ac:dyDescent="0.25">
      <c r="A117">
        <v>6440</v>
      </c>
      <c r="B117">
        <v>25210</v>
      </c>
      <c r="C117" s="4">
        <v>42695</v>
      </c>
      <c r="F117" s="39"/>
      <c r="G117">
        <v>12</v>
      </c>
      <c r="H117">
        <v>10.6</v>
      </c>
      <c r="I117">
        <v>14.2</v>
      </c>
      <c r="J117">
        <f t="shared" si="13"/>
        <v>979.6999999999997</v>
      </c>
      <c r="M117">
        <v>0.7</v>
      </c>
      <c r="N117">
        <v>1.3</v>
      </c>
      <c r="O117">
        <f t="shared" si="10"/>
        <v>-0.60000000000000009</v>
      </c>
      <c r="P117">
        <f t="shared" si="14"/>
        <v>37.299999999999997</v>
      </c>
      <c r="Q117">
        <v>83</v>
      </c>
      <c r="R117">
        <f t="shared" si="17"/>
        <v>0.96084337349397597</v>
      </c>
      <c r="S117" s="18">
        <f t="shared" si="11"/>
        <v>1.2490963855421688</v>
      </c>
      <c r="T117" s="18">
        <f t="shared" si="12"/>
        <v>-0.54909638554216889</v>
      </c>
      <c r="U117" s="18">
        <f t="shared" si="16"/>
        <v>46.126686746987964</v>
      </c>
      <c r="W117">
        <v>110.6</v>
      </c>
      <c r="Y117">
        <f t="shared" si="15"/>
        <v>61893.5</v>
      </c>
      <c r="AA117" s="29">
        <v>8.5276926510123285</v>
      </c>
    </row>
    <row r="118" spans="1:28" x14ac:dyDescent="0.25">
      <c r="A118">
        <v>6440</v>
      </c>
      <c r="B118">
        <v>25210</v>
      </c>
      <c r="C118" s="4">
        <v>42696</v>
      </c>
      <c r="F118" s="39"/>
      <c r="G118">
        <v>9.4</v>
      </c>
      <c r="H118">
        <v>9</v>
      </c>
      <c r="I118">
        <v>11</v>
      </c>
      <c r="J118">
        <f t="shared" si="13"/>
        <v>989.09999999999968</v>
      </c>
      <c r="M118">
        <v>3.7</v>
      </c>
      <c r="N118">
        <v>1.1000000000000001</v>
      </c>
      <c r="O118">
        <f t="shared" si="10"/>
        <v>2.6</v>
      </c>
      <c r="P118">
        <f t="shared" si="14"/>
        <v>39.9</v>
      </c>
      <c r="Q118">
        <v>84</v>
      </c>
      <c r="R118">
        <f t="shared" si="17"/>
        <v>0.96867469879518064</v>
      </c>
      <c r="S118" s="18">
        <f t="shared" si="11"/>
        <v>1.0655421686746989</v>
      </c>
      <c r="T118" s="18">
        <f t="shared" si="12"/>
        <v>2.6344578313253013</v>
      </c>
      <c r="U118" s="18">
        <f t="shared" si="16"/>
        <v>48.761144578313264</v>
      </c>
      <c r="W118">
        <v>500</v>
      </c>
      <c r="Y118">
        <f t="shared" si="15"/>
        <v>62393.5</v>
      </c>
      <c r="AA118" s="29">
        <v>8.4888180190213003</v>
      </c>
    </row>
    <row r="119" spans="1:28" x14ac:dyDescent="0.25">
      <c r="A119">
        <v>6440</v>
      </c>
      <c r="B119">
        <v>25210</v>
      </c>
      <c r="C119" s="4">
        <v>42697</v>
      </c>
      <c r="F119" s="39"/>
      <c r="G119">
        <v>9.4</v>
      </c>
      <c r="H119">
        <v>7</v>
      </c>
      <c r="I119">
        <v>11</v>
      </c>
      <c r="J119">
        <f t="shared" si="13"/>
        <v>998.49999999999966</v>
      </c>
      <c r="M119">
        <v>1.9</v>
      </c>
      <c r="N119">
        <v>0.3</v>
      </c>
      <c r="O119">
        <f t="shared" si="10"/>
        <v>1.5999999999999999</v>
      </c>
      <c r="P119">
        <f t="shared" si="14"/>
        <v>41.5</v>
      </c>
      <c r="Q119">
        <v>85</v>
      </c>
      <c r="R119">
        <f t="shared" si="17"/>
        <v>0.97650602409638554</v>
      </c>
      <c r="S119" s="18">
        <f t="shared" si="11"/>
        <v>0.29295180722891567</v>
      </c>
      <c r="T119" s="18">
        <f t="shared" si="12"/>
        <v>1.6070481927710842</v>
      </c>
      <c r="U119" s="18">
        <f t="shared" si="16"/>
        <v>50.368192771084345</v>
      </c>
      <c r="W119">
        <v>197.5</v>
      </c>
      <c r="Y119">
        <f t="shared" si="15"/>
        <v>62591</v>
      </c>
      <c r="AA119" s="29">
        <v>8.4509749397987708</v>
      </c>
    </row>
    <row r="120" spans="1:28" x14ac:dyDescent="0.25">
      <c r="A120">
        <v>6440</v>
      </c>
      <c r="B120">
        <v>25210</v>
      </c>
      <c r="C120" s="4">
        <v>42698</v>
      </c>
      <c r="F120" s="39"/>
      <c r="G120">
        <v>9.5</v>
      </c>
      <c r="H120">
        <v>9</v>
      </c>
      <c r="I120">
        <v>11.4</v>
      </c>
      <c r="J120">
        <f t="shared" si="13"/>
        <v>1007.9999999999997</v>
      </c>
      <c r="M120">
        <v>0</v>
      </c>
      <c r="N120">
        <v>0.9</v>
      </c>
      <c r="O120">
        <f t="shared" si="10"/>
        <v>-0.9</v>
      </c>
      <c r="P120">
        <f t="shared" si="14"/>
        <v>40.6</v>
      </c>
      <c r="Q120">
        <v>86</v>
      </c>
      <c r="R120">
        <f t="shared" si="17"/>
        <v>0.98433734939759043</v>
      </c>
      <c r="S120" s="18">
        <f t="shared" si="11"/>
        <v>0.88590361445783139</v>
      </c>
      <c r="T120" s="18">
        <f t="shared" si="12"/>
        <v>-0.88590361445783139</v>
      </c>
      <c r="U120" s="18">
        <f t="shared" si="16"/>
        <v>49.482289156626514</v>
      </c>
      <c r="W120">
        <v>393.6</v>
      </c>
      <c r="Y120">
        <f t="shared" si="15"/>
        <v>62984.6</v>
      </c>
      <c r="AA120" s="29">
        <v>8.414189466135495</v>
      </c>
    </row>
    <row r="121" spans="1:28" x14ac:dyDescent="0.25">
      <c r="A121">
        <v>6440</v>
      </c>
      <c r="B121">
        <v>25210</v>
      </c>
      <c r="C121" s="4">
        <v>42699</v>
      </c>
      <c r="F121" s="39"/>
      <c r="G121">
        <v>6.4</v>
      </c>
      <c r="H121">
        <v>4.8</v>
      </c>
      <c r="I121">
        <v>7.3</v>
      </c>
      <c r="J121">
        <f t="shared" si="13"/>
        <v>1014.3999999999996</v>
      </c>
      <c r="M121">
        <v>0</v>
      </c>
      <c r="N121">
        <v>0.5</v>
      </c>
      <c r="O121">
        <f t="shared" si="10"/>
        <v>-0.5</v>
      </c>
      <c r="P121">
        <f t="shared" si="14"/>
        <v>40.1</v>
      </c>
      <c r="Q121">
        <v>87</v>
      </c>
      <c r="R121">
        <f t="shared" si="17"/>
        <v>0.99216867469879511</v>
      </c>
      <c r="S121" s="18">
        <f t="shared" si="11"/>
        <v>0.49608433734939755</v>
      </c>
      <c r="T121" s="18">
        <f t="shared" si="12"/>
        <v>-0.49608433734939755</v>
      </c>
      <c r="U121" s="18">
        <f t="shared" si="16"/>
        <v>48.98620481927712</v>
      </c>
      <c r="W121">
        <v>305.60000000000002</v>
      </c>
      <c r="Y121">
        <f t="shared" si="15"/>
        <v>63290.2</v>
      </c>
      <c r="AA121" s="29">
        <v>8.3784874893212677</v>
      </c>
    </row>
    <row r="122" spans="1:28" s="26" customFormat="1" ht="15.75" thickBot="1" x14ac:dyDescent="0.3">
      <c r="A122" s="26">
        <v>6440</v>
      </c>
      <c r="B122" s="26">
        <v>25210</v>
      </c>
      <c r="C122" s="27">
        <v>42700</v>
      </c>
      <c r="F122" s="39"/>
      <c r="G122" s="26">
        <v>6.8</v>
      </c>
      <c r="H122" s="26">
        <v>6.6</v>
      </c>
      <c r="I122" s="26">
        <v>7.2</v>
      </c>
      <c r="J122" s="26">
        <f t="shared" si="13"/>
        <v>1021.1999999999996</v>
      </c>
      <c r="M122" s="26">
        <v>0</v>
      </c>
      <c r="N122" s="26">
        <v>0.4</v>
      </c>
      <c r="O122" s="26">
        <f t="shared" si="10"/>
        <v>-0.4</v>
      </c>
      <c r="P122" s="26">
        <f t="shared" si="14"/>
        <v>39.700000000000003</v>
      </c>
      <c r="Q122" s="26">
        <v>88</v>
      </c>
      <c r="R122" s="26">
        <f t="shared" si="17"/>
        <v>1</v>
      </c>
      <c r="S122" s="28">
        <f t="shared" si="11"/>
        <v>0.4</v>
      </c>
      <c r="T122" s="28">
        <f t="shared" si="12"/>
        <v>-0.4</v>
      </c>
      <c r="U122" s="28">
        <f t="shared" si="16"/>
        <v>48.586204819277121</v>
      </c>
      <c r="W122" s="26">
        <v>157.4</v>
      </c>
      <c r="Y122" s="26">
        <f t="shared" si="15"/>
        <v>63447.6</v>
      </c>
      <c r="AA122" s="30">
        <v>8.3438946839031729</v>
      </c>
    </row>
    <row r="123" spans="1:28" x14ac:dyDescent="0.25">
      <c r="A123">
        <v>6440</v>
      </c>
      <c r="B123">
        <v>25210</v>
      </c>
      <c r="C123" s="4">
        <v>42701</v>
      </c>
      <c r="D123" t="s">
        <v>37</v>
      </c>
      <c r="E123" s="29">
        <v>3</v>
      </c>
      <c r="F123" s="40" t="s">
        <v>46</v>
      </c>
      <c r="G123">
        <v>4.9000000000000004</v>
      </c>
      <c r="H123">
        <v>2.4</v>
      </c>
      <c r="I123">
        <v>6.3</v>
      </c>
      <c r="J123">
        <f t="shared" si="13"/>
        <v>1026.0999999999997</v>
      </c>
      <c r="K123">
        <f>G123</f>
        <v>4.9000000000000004</v>
      </c>
      <c r="L123" s="10" t="s">
        <v>38</v>
      </c>
      <c r="M123">
        <v>0</v>
      </c>
      <c r="N123">
        <v>0.2</v>
      </c>
      <c r="O123">
        <f t="shared" si="10"/>
        <v>-0.2</v>
      </c>
      <c r="P123">
        <f t="shared" si="14"/>
        <v>39.5</v>
      </c>
      <c r="Q123">
        <v>89</v>
      </c>
      <c r="R123">
        <v>1</v>
      </c>
      <c r="S123" s="18">
        <f t="shared" si="11"/>
        <v>0.2</v>
      </c>
      <c r="T123" s="18">
        <f t="shared" si="12"/>
        <v>-0.2</v>
      </c>
      <c r="U123" s="18">
        <f t="shared" si="16"/>
        <v>48.386204819277118</v>
      </c>
      <c r="V123" s="20" t="s">
        <v>51</v>
      </c>
      <c r="W123">
        <v>191.6</v>
      </c>
      <c r="Y123">
        <f t="shared" si="15"/>
        <v>63639.199999999997</v>
      </c>
      <c r="Z123">
        <f>W123</f>
        <v>191.6</v>
      </c>
      <c r="AA123" s="29">
        <v>8.3104364506525883</v>
      </c>
      <c r="AB123" s="20" t="s">
        <v>56</v>
      </c>
    </row>
    <row r="124" spans="1:28" x14ac:dyDescent="0.25">
      <c r="A124">
        <v>6440</v>
      </c>
      <c r="B124">
        <v>25210</v>
      </c>
      <c r="C124" s="4">
        <v>42702</v>
      </c>
      <c r="E124" s="29">
        <v>4</v>
      </c>
      <c r="F124" s="40"/>
      <c r="G124">
        <v>2.8</v>
      </c>
      <c r="H124">
        <v>1.7</v>
      </c>
      <c r="I124">
        <v>5.5</v>
      </c>
      <c r="J124">
        <f t="shared" si="13"/>
        <v>1028.8999999999996</v>
      </c>
      <c r="K124">
        <f>K123+G124</f>
        <v>7.7</v>
      </c>
      <c r="L124" s="8">
        <v>169.2</v>
      </c>
      <c r="M124">
        <v>0</v>
      </c>
      <c r="N124">
        <v>1</v>
      </c>
      <c r="O124">
        <f t="shared" si="10"/>
        <v>-1</v>
      </c>
      <c r="P124">
        <f t="shared" si="14"/>
        <v>38.5</v>
      </c>
      <c r="Q124">
        <v>90</v>
      </c>
      <c r="R124">
        <v>1</v>
      </c>
      <c r="S124" s="18">
        <f t="shared" si="11"/>
        <v>1</v>
      </c>
      <c r="T124" s="18">
        <f t="shared" si="12"/>
        <v>-1</v>
      </c>
      <c r="U124" s="18">
        <f t="shared" si="16"/>
        <v>47.386204819277118</v>
      </c>
      <c r="V124">
        <v>0</v>
      </c>
      <c r="W124">
        <v>654.70000000000005</v>
      </c>
      <c r="Y124">
        <f t="shared" si="15"/>
        <v>64293.899999999994</v>
      </c>
      <c r="Z124">
        <f>Z123+W124</f>
        <v>846.30000000000007</v>
      </c>
      <c r="AA124" s="29">
        <v>8.2781378579276765</v>
      </c>
      <c r="AB124">
        <v>20556.3</v>
      </c>
    </row>
    <row r="125" spans="1:28" x14ac:dyDescent="0.25">
      <c r="A125">
        <v>6440</v>
      </c>
      <c r="B125">
        <v>25210</v>
      </c>
      <c r="C125" s="4">
        <v>42703</v>
      </c>
      <c r="E125" s="29">
        <v>5</v>
      </c>
      <c r="F125" s="40"/>
      <c r="G125">
        <v>-0.6</v>
      </c>
      <c r="H125">
        <v>-2.2999999999999998</v>
      </c>
      <c r="I125">
        <v>2.2000000000000002</v>
      </c>
      <c r="J125">
        <v>1028.9000000000001</v>
      </c>
      <c r="K125">
        <v>7.7</v>
      </c>
      <c r="L125" s="10" t="s">
        <v>39</v>
      </c>
      <c r="M125">
        <v>0</v>
      </c>
      <c r="N125">
        <v>0.8</v>
      </c>
      <c r="O125">
        <f t="shared" si="10"/>
        <v>-0.8</v>
      </c>
      <c r="P125">
        <f t="shared" si="14"/>
        <v>37.700000000000003</v>
      </c>
      <c r="Q125">
        <v>91</v>
      </c>
      <c r="R125">
        <v>1</v>
      </c>
      <c r="S125" s="18">
        <f t="shared" si="11"/>
        <v>0.8</v>
      </c>
      <c r="T125" s="18">
        <f t="shared" si="12"/>
        <v>-0.8</v>
      </c>
      <c r="U125" s="18">
        <f t="shared" si="16"/>
        <v>46.586204819277121</v>
      </c>
      <c r="V125" s="20" t="s">
        <v>52</v>
      </c>
      <c r="W125">
        <v>683.5</v>
      </c>
      <c r="Y125">
        <f t="shared" si="15"/>
        <v>64977.399999999994</v>
      </c>
      <c r="Z125">
        <f t="shared" ref="Z125:Z188" si="18">Z124+W125</f>
        <v>1529.8000000000002</v>
      </c>
      <c r="AA125" s="29">
        <v>8.2470235816411037</v>
      </c>
      <c r="AB125" s="20" t="s">
        <v>57</v>
      </c>
    </row>
    <row r="126" spans="1:28" x14ac:dyDescent="0.25">
      <c r="A126">
        <v>6440</v>
      </c>
      <c r="B126">
        <v>25210</v>
      </c>
      <c r="C126" s="4">
        <v>42704</v>
      </c>
      <c r="E126" s="29">
        <v>6</v>
      </c>
      <c r="F126" s="40"/>
      <c r="G126">
        <v>-1.3</v>
      </c>
      <c r="H126">
        <v>-4.5</v>
      </c>
      <c r="I126">
        <v>2.9</v>
      </c>
      <c r="J126">
        <v>1028.9000000000001</v>
      </c>
      <c r="K126">
        <v>7.7</v>
      </c>
      <c r="L126" s="8">
        <f>AVERAGE(G123:G186)</f>
        <v>2.0906250000000011</v>
      </c>
      <c r="M126">
        <v>0</v>
      </c>
      <c r="N126">
        <v>0.6</v>
      </c>
      <c r="O126">
        <f t="shared" si="10"/>
        <v>-0.6</v>
      </c>
      <c r="P126">
        <f t="shared" si="14"/>
        <v>37.1</v>
      </c>
      <c r="Q126">
        <v>92</v>
      </c>
      <c r="R126">
        <v>1</v>
      </c>
      <c r="S126" s="18">
        <f t="shared" si="11"/>
        <v>0.6</v>
      </c>
      <c r="T126" s="18">
        <f t="shared" si="12"/>
        <v>-0.6</v>
      </c>
      <c r="U126" s="18">
        <f t="shared" si="16"/>
        <v>45.98620481927712</v>
      </c>
      <c r="V126">
        <v>46</v>
      </c>
      <c r="W126">
        <v>602.5</v>
      </c>
      <c r="Y126">
        <f t="shared" si="15"/>
        <v>65579.899999999994</v>
      </c>
      <c r="Z126">
        <f t="shared" si="18"/>
        <v>2132.3000000000002</v>
      </c>
      <c r="AA126" s="29">
        <v>8.2171178440652195</v>
      </c>
      <c r="AB126">
        <f>(AB124/100)/L124</f>
        <v>1.2149113475177304</v>
      </c>
    </row>
    <row r="127" spans="1:28" x14ac:dyDescent="0.25">
      <c r="A127">
        <v>6440</v>
      </c>
      <c r="B127">
        <v>25210</v>
      </c>
      <c r="C127" s="4">
        <v>42705</v>
      </c>
      <c r="E127" s="29">
        <v>7</v>
      </c>
      <c r="F127" s="40"/>
      <c r="G127">
        <v>0.4</v>
      </c>
      <c r="H127">
        <v>-3.6</v>
      </c>
      <c r="I127">
        <v>5.0999999999999996</v>
      </c>
      <c r="J127">
        <f t="shared" si="13"/>
        <v>1029.3000000000002</v>
      </c>
      <c r="K127">
        <f t="shared" ref="K127:K188" si="19">K126+G127</f>
        <v>8.1</v>
      </c>
      <c r="L127" s="10" t="s">
        <v>40</v>
      </c>
      <c r="M127">
        <v>0</v>
      </c>
      <c r="N127">
        <v>0.7</v>
      </c>
      <c r="O127">
        <f t="shared" si="10"/>
        <v>-0.7</v>
      </c>
      <c r="P127">
        <f t="shared" si="14"/>
        <v>36.4</v>
      </c>
      <c r="Q127">
        <v>93</v>
      </c>
      <c r="R127">
        <v>1</v>
      </c>
      <c r="S127" s="18">
        <f t="shared" si="11"/>
        <v>0.7</v>
      </c>
      <c r="T127" s="18">
        <f t="shared" si="12"/>
        <v>-0.7</v>
      </c>
      <c r="U127" s="18">
        <f t="shared" si="16"/>
        <v>45.286204819277117</v>
      </c>
      <c r="V127" s="20" t="s">
        <v>53</v>
      </c>
      <c r="W127">
        <v>533.79999999999995</v>
      </c>
      <c r="Y127">
        <f t="shared" si="15"/>
        <v>66113.7</v>
      </c>
      <c r="Z127">
        <f t="shared" si="18"/>
        <v>2666.1000000000004</v>
      </c>
      <c r="AA127" s="29">
        <v>8.1884443517289878</v>
      </c>
      <c r="AB127" s="20" t="s">
        <v>58</v>
      </c>
    </row>
    <row r="128" spans="1:28" x14ac:dyDescent="0.25">
      <c r="A128">
        <v>6440</v>
      </c>
      <c r="B128">
        <v>25210</v>
      </c>
      <c r="C128" s="4">
        <v>42706</v>
      </c>
      <c r="E128" s="29">
        <v>8</v>
      </c>
      <c r="F128" s="40"/>
      <c r="G128">
        <v>3.3</v>
      </c>
      <c r="H128">
        <v>0.7</v>
      </c>
      <c r="I128">
        <v>5.3</v>
      </c>
      <c r="J128">
        <f t="shared" si="13"/>
        <v>1032.6000000000001</v>
      </c>
      <c r="K128">
        <f t="shared" si="19"/>
        <v>11.399999999999999</v>
      </c>
      <c r="L128" s="9">
        <f>MIN(H123:H186)</f>
        <v>-6.6</v>
      </c>
      <c r="M128">
        <v>0</v>
      </c>
      <c r="N128">
        <v>0.4</v>
      </c>
      <c r="O128">
        <f t="shared" si="10"/>
        <v>-0.4</v>
      </c>
      <c r="P128">
        <f t="shared" si="14"/>
        <v>36</v>
      </c>
      <c r="Q128">
        <v>94</v>
      </c>
      <c r="R128">
        <v>1</v>
      </c>
      <c r="S128" s="18">
        <f t="shared" si="11"/>
        <v>0.4</v>
      </c>
      <c r="T128" s="18">
        <f t="shared" si="12"/>
        <v>-0.4</v>
      </c>
      <c r="U128" s="18">
        <f t="shared" si="16"/>
        <v>44.886204819277118</v>
      </c>
      <c r="V128" s="18">
        <f>MIN(U123:U186)</f>
        <v>39.486204819277113</v>
      </c>
      <c r="W128">
        <v>230</v>
      </c>
      <c r="Y128">
        <f t="shared" si="15"/>
        <v>66343.7</v>
      </c>
      <c r="Z128">
        <f t="shared" si="18"/>
        <v>2896.1000000000004</v>
      </c>
      <c r="AA128" s="29">
        <v>8.1610262326819853</v>
      </c>
      <c r="AB128">
        <v>64</v>
      </c>
    </row>
    <row r="129" spans="1:28" x14ac:dyDescent="0.25">
      <c r="A129">
        <v>6440</v>
      </c>
      <c r="B129">
        <v>25210</v>
      </c>
      <c r="C129" s="4">
        <v>42707</v>
      </c>
      <c r="E129" s="29">
        <v>9</v>
      </c>
      <c r="F129" s="40"/>
      <c r="G129">
        <v>3.2</v>
      </c>
      <c r="H129">
        <v>1.9</v>
      </c>
      <c r="I129">
        <v>5.3</v>
      </c>
      <c r="J129">
        <f t="shared" si="13"/>
        <v>1035.8000000000002</v>
      </c>
      <c r="K129">
        <f t="shared" si="19"/>
        <v>14.599999999999998</v>
      </c>
      <c r="L129" s="10" t="s">
        <v>41</v>
      </c>
      <c r="M129">
        <v>0</v>
      </c>
      <c r="N129">
        <v>0.6</v>
      </c>
      <c r="O129">
        <f t="shared" si="10"/>
        <v>-0.6</v>
      </c>
      <c r="P129">
        <f t="shared" si="14"/>
        <v>35.4</v>
      </c>
      <c r="Q129">
        <v>95</v>
      </c>
      <c r="R129">
        <v>1</v>
      </c>
      <c r="S129" s="18">
        <f t="shared" si="11"/>
        <v>0.6</v>
      </c>
      <c r="T129" s="18">
        <f t="shared" si="12"/>
        <v>-0.6</v>
      </c>
      <c r="U129" s="18">
        <f t="shared" si="16"/>
        <v>44.286204819277117</v>
      </c>
      <c r="V129" s="20" t="s">
        <v>54</v>
      </c>
      <c r="W129">
        <v>561.5</v>
      </c>
      <c r="Y129">
        <f t="shared" si="15"/>
        <v>66905.2</v>
      </c>
      <c r="Z129">
        <f t="shared" si="18"/>
        <v>3457.6000000000004</v>
      </c>
      <c r="AA129" s="29">
        <v>8.1348859734208379</v>
      </c>
      <c r="AB129" t="s">
        <v>60</v>
      </c>
    </row>
    <row r="130" spans="1:28" x14ac:dyDescent="0.25">
      <c r="A130">
        <v>6440</v>
      </c>
      <c r="B130">
        <v>25210</v>
      </c>
      <c r="C130" s="4">
        <v>42708</v>
      </c>
      <c r="E130" s="29">
        <v>10</v>
      </c>
      <c r="F130" s="40"/>
      <c r="G130">
        <v>0.3</v>
      </c>
      <c r="H130">
        <v>-1.8</v>
      </c>
      <c r="I130">
        <v>3.1</v>
      </c>
      <c r="J130">
        <f t="shared" si="13"/>
        <v>1036.1000000000001</v>
      </c>
      <c r="K130">
        <f t="shared" si="19"/>
        <v>14.899999999999999</v>
      </c>
      <c r="L130" s="8">
        <f>MAX(I123:I186)</f>
        <v>10.199999999999999</v>
      </c>
      <c r="M130">
        <v>0</v>
      </c>
      <c r="N130">
        <v>0.7</v>
      </c>
      <c r="O130">
        <f t="shared" si="10"/>
        <v>-0.7</v>
      </c>
      <c r="P130">
        <f t="shared" si="14"/>
        <v>34.699999999999996</v>
      </c>
      <c r="Q130">
        <v>96</v>
      </c>
      <c r="R130">
        <v>1</v>
      </c>
      <c r="S130" s="18">
        <f t="shared" si="11"/>
        <v>0.7</v>
      </c>
      <c r="T130" s="18">
        <f t="shared" si="12"/>
        <v>-0.7</v>
      </c>
      <c r="U130" s="18">
        <f t="shared" si="16"/>
        <v>43.586204819277114</v>
      </c>
      <c r="V130" s="18">
        <f>MAX(U123:U186)</f>
        <v>83.286204819277117</v>
      </c>
      <c r="W130">
        <v>645.6</v>
      </c>
      <c r="Y130">
        <f t="shared" si="15"/>
        <v>67550.8</v>
      </c>
      <c r="Z130">
        <f t="shared" si="18"/>
        <v>4103.2000000000007</v>
      </c>
      <c r="AA130" s="29">
        <v>8.1100453557913976</v>
      </c>
      <c r="AB130">
        <v>53</v>
      </c>
    </row>
    <row r="131" spans="1:28" x14ac:dyDescent="0.25">
      <c r="A131">
        <v>6440</v>
      </c>
      <c r="B131">
        <v>25210</v>
      </c>
      <c r="C131" s="4">
        <v>42709</v>
      </c>
      <c r="E131" s="29">
        <v>11</v>
      </c>
      <c r="F131" s="40"/>
      <c r="G131">
        <v>0.1</v>
      </c>
      <c r="H131">
        <v>-2.7</v>
      </c>
      <c r="I131">
        <v>3.2</v>
      </c>
      <c r="J131">
        <f t="shared" si="13"/>
        <v>1036.2</v>
      </c>
      <c r="K131">
        <f t="shared" si="19"/>
        <v>14.999999999999998</v>
      </c>
      <c r="L131" s="10" t="s">
        <v>42</v>
      </c>
      <c r="M131">
        <v>0</v>
      </c>
      <c r="N131">
        <v>0.7</v>
      </c>
      <c r="O131">
        <f t="shared" si="10"/>
        <v>-0.7</v>
      </c>
      <c r="P131">
        <f t="shared" si="14"/>
        <v>33.999999999999993</v>
      </c>
      <c r="Q131">
        <v>97</v>
      </c>
      <c r="R131">
        <v>1</v>
      </c>
      <c r="S131" s="18">
        <f t="shared" si="11"/>
        <v>0.7</v>
      </c>
      <c r="T131" s="18">
        <f t="shared" si="12"/>
        <v>-0.7</v>
      </c>
      <c r="U131" s="18">
        <f t="shared" si="16"/>
        <v>42.886204819277111</v>
      </c>
      <c r="V131" s="20" t="s">
        <v>55</v>
      </c>
      <c r="W131">
        <v>550.6</v>
      </c>
      <c r="Y131">
        <f t="shared" si="15"/>
        <v>68101.400000000009</v>
      </c>
      <c r="Z131">
        <f t="shared" si="18"/>
        <v>4653.8000000000011</v>
      </c>
      <c r="AA131" s="29">
        <v>8.0865253941965918</v>
      </c>
    </row>
    <row r="132" spans="1:28" x14ac:dyDescent="0.25">
      <c r="A132">
        <v>6440</v>
      </c>
      <c r="B132">
        <v>25210</v>
      </c>
      <c r="C132" s="4">
        <v>42710</v>
      </c>
      <c r="E132" s="29">
        <v>12</v>
      </c>
      <c r="F132" s="40"/>
      <c r="G132">
        <v>1.1000000000000001</v>
      </c>
      <c r="H132">
        <v>-2</v>
      </c>
      <c r="I132">
        <v>4.8</v>
      </c>
      <c r="J132">
        <f t="shared" si="13"/>
        <v>1037.3</v>
      </c>
      <c r="K132">
        <f t="shared" si="19"/>
        <v>16.099999999999998</v>
      </c>
      <c r="L132" s="8">
        <v>0</v>
      </c>
      <c r="M132">
        <v>0</v>
      </c>
      <c r="N132">
        <v>0.7</v>
      </c>
      <c r="O132">
        <f t="shared" si="10"/>
        <v>-0.7</v>
      </c>
      <c r="P132">
        <f t="shared" si="14"/>
        <v>33.29999999999999</v>
      </c>
      <c r="Q132">
        <v>98</v>
      </c>
      <c r="R132">
        <v>1</v>
      </c>
      <c r="S132" s="18">
        <f t="shared" si="11"/>
        <v>0.7</v>
      </c>
      <c r="T132" s="18">
        <f t="shared" si="12"/>
        <v>-0.7</v>
      </c>
      <c r="U132" s="18">
        <f t="shared" si="16"/>
        <v>42.186204819277108</v>
      </c>
      <c r="V132" s="18">
        <f>AVERAGE(U123:U186)</f>
        <v>54.223704819277103</v>
      </c>
      <c r="W132">
        <v>457.2</v>
      </c>
      <c r="Y132">
        <f t="shared" si="15"/>
        <v>68558.600000000006</v>
      </c>
      <c r="Z132">
        <f t="shared" si="18"/>
        <v>5111.0000000000009</v>
      </c>
      <c r="AA132" s="29">
        <v>8.0643462734535074</v>
      </c>
    </row>
    <row r="133" spans="1:28" x14ac:dyDescent="0.25">
      <c r="A133">
        <v>6440</v>
      </c>
      <c r="B133">
        <v>25210</v>
      </c>
      <c r="C133" s="4">
        <v>42711</v>
      </c>
      <c r="E133" s="29">
        <v>13</v>
      </c>
      <c r="F133" s="40"/>
      <c r="G133">
        <v>3.9</v>
      </c>
      <c r="H133">
        <v>0.8</v>
      </c>
      <c r="I133">
        <v>7.3</v>
      </c>
      <c r="J133">
        <f t="shared" si="13"/>
        <v>1041.2</v>
      </c>
      <c r="K133">
        <f t="shared" si="19"/>
        <v>19.999999999999996</v>
      </c>
      <c r="L133" s="10" t="s">
        <v>43</v>
      </c>
      <c r="M133">
        <v>0</v>
      </c>
      <c r="N133">
        <v>0.6</v>
      </c>
      <c r="O133">
        <f t="shared" si="10"/>
        <v>-0.6</v>
      </c>
      <c r="P133">
        <f t="shared" si="14"/>
        <v>32.699999999999989</v>
      </c>
      <c r="Q133">
        <v>99</v>
      </c>
      <c r="R133">
        <v>1</v>
      </c>
      <c r="S133" s="18">
        <f t="shared" si="11"/>
        <v>0.6</v>
      </c>
      <c r="T133" s="18">
        <f t="shared" si="12"/>
        <v>-0.6</v>
      </c>
      <c r="U133" s="18">
        <f t="shared" si="16"/>
        <v>41.586204819277107</v>
      </c>
      <c r="W133">
        <v>312.2</v>
      </c>
      <c r="Y133">
        <f t="shared" si="15"/>
        <v>68870.8</v>
      </c>
      <c r="Z133">
        <f t="shared" si="18"/>
        <v>5423.2000000000007</v>
      </c>
      <c r="AA133" s="29">
        <v>8.0435272876547916</v>
      </c>
    </row>
    <row r="134" spans="1:28" x14ac:dyDescent="0.25">
      <c r="A134">
        <v>6440</v>
      </c>
      <c r="B134">
        <v>25210</v>
      </c>
      <c r="C134" s="4">
        <v>42712</v>
      </c>
      <c r="E134" s="29">
        <v>14</v>
      </c>
      <c r="F134" s="40"/>
      <c r="G134">
        <v>4.3</v>
      </c>
      <c r="H134">
        <v>1.2</v>
      </c>
      <c r="I134">
        <v>6.3</v>
      </c>
      <c r="J134">
        <f t="shared" si="13"/>
        <v>1045.5</v>
      </c>
      <c r="K134">
        <f t="shared" si="19"/>
        <v>24.299999999999997</v>
      </c>
      <c r="L134" s="8">
        <v>31</v>
      </c>
      <c r="M134">
        <v>0</v>
      </c>
      <c r="N134">
        <v>0.5</v>
      </c>
      <c r="O134">
        <f t="shared" si="10"/>
        <v>-0.5</v>
      </c>
      <c r="P134">
        <f t="shared" si="14"/>
        <v>32.199999999999989</v>
      </c>
      <c r="Q134">
        <v>100</v>
      </c>
      <c r="R134">
        <v>1</v>
      </c>
      <c r="S134" s="18">
        <f t="shared" si="11"/>
        <v>0.5</v>
      </c>
      <c r="T134" s="18">
        <f t="shared" si="12"/>
        <v>-0.5</v>
      </c>
      <c r="U134" s="18">
        <f t="shared" si="16"/>
        <v>41.086204819277107</v>
      </c>
      <c r="V134">
        <f>(V132*100)/189.6</f>
        <v>28.599000432108177</v>
      </c>
      <c r="W134">
        <v>304.8</v>
      </c>
      <c r="Y134">
        <f t="shared" si="15"/>
        <v>69175.600000000006</v>
      </c>
      <c r="Z134">
        <f t="shared" si="18"/>
        <v>5728.0000000000009</v>
      </c>
      <c r="AA134" s="29">
        <v>8.0240867803975746</v>
      </c>
    </row>
    <row r="135" spans="1:28" x14ac:dyDescent="0.25">
      <c r="A135">
        <v>6440</v>
      </c>
      <c r="B135">
        <v>25210</v>
      </c>
      <c r="C135" s="4">
        <v>42713</v>
      </c>
      <c r="F135" s="40"/>
      <c r="G135">
        <v>6.3</v>
      </c>
      <c r="H135">
        <v>5.3</v>
      </c>
      <c r="I135">
        <v>8.6999999999999993</v>
      </c>
      <c r="J135">
        <f t="shared" si="13"/>
        <v>1051.8</v>
      </c>
      <c r="K135">
        <f t="shared" si="19"/>
        <v>30.599999999999998</v>
      </c>
      <c r="L135" s="10" t="s">
        <v>44</v>
      </c>
      <c r="M135">
        <v>0.1</v>
      </c>
      <c r="N135">
        <v>0.7</v>
      </c>
      <c r="O135">
        <f t="shared" si="10"/>
        <v>-0.6</v>
      </c>
      <c r="P135">
        <f t="shared" si="14"/>
        <v>31.599999999999987</v>
      </c>
      <c r="Q135">
        <v>101</v>
      </c>
      <c r="R135">
        <v>1</v>
      </c>
      <c r="S135" s="18">
        <f t="shared" si="11"/>
        <v>0.7</v>
      </c>
      <c r="T135" s="18">
        <f t="shared" si="12"/>
        <v>-0.6</v>
      </c>
      <c r="U135" s="18">
        <f t="shared" si="16"/>
        <v>40.486204819277106</v>
      </c>
      <c r="W135">
        <v>246.2</v>
      </c>
      <c r="Y135">
        <f t="shared" si="15"/>
        <v>69421.8</v>
      </c>
      <c r="Z135">
        <f t="shared" si="18"/>
        <v>5974.2000000000007</v>
      </c>
      <c r="AA135" s="29">
        <v>8.0060420867481685</v>
      </c>
    </row>
    <row r="136" spans="1:28" x14ac:dyDescent="0.25">
      <c r="A136">
        <v>6440</v>
      </c>
      <c r="B136">
        <v>25210</v>
      </c>
      <c r="C136" s="4">
        <v>42714</v>
      </c>
      <c r="F136" s="40"/>
      <c r="G136">
        <v>5.0999999999999996</v>
      </c>
      <c r="H136">
        <v>2.2999999999999998</v>
      </c>
      <c r="I136">
        <v>7.4</v>
      </c>
      <c r="J136">
        <f t="shared" si="13"/>
        <v>1056.8999999999999</v>
      </c>
      <c r="K136">
        <f t="shared" si="19"/>
        <v>35.699999999999996</v>
      </c>
      <c r="L136" s="8">
        <v>28</v>
      </c>
      <c r="M136">
        <v>0</v>
      </c>
      <c r="N136">
        <v>0.4</v>
      </c>
      <c r="O136">
        <f t="shared" si="10"/>
        <v>-0.4</v>
      </c>
      <c r="P136">
        <f t="shared" si="14"/>
        <v>31.199999999999989</v>
      </c>
      <c r="Q136">
        <v>102</v>
      </c>
      <c r="R136">
        <v>1</v>
      </c>
      <c r="S136" s="18">
        <f t="shared" si="11"/>
        <v>0.4</v>
      </c>
      <c r="T136" s="18">
        <f t="shared" si="12"/>
        <v>-0.4</v>
      </c>
      <c r="U136" s="18">
        <f t="shared" si="16"/>
        <v>40.086204819277107</v>
      </c>
      <c r="W136">
        <v>276.5</v>
      </c>
      <c r="Y136">
        <f t="shared" si="15"/>
        <v>69698.3</v>
      </c>
      <c r="Z136">
        <f t="shared" si="18"/>
        <v>6250.7000000000007</v>
      </c>
      <c r="AA136" s="29">
        <v>7.9894094773122006</v>
      </c>
    </row>
    <row r="137" spans="1:28" x14ac:dyDescent="0.25">
      <c r="A137">
        <v>6440</v>
      </c>
      <c r="B137">
        <v>25210</v>
      </c>
      <c r="C137" s="4">
        <v>42715</v>
      </c>
      <c r="F137" s="40"/>
      <c r="G137">
        <v>6.2</v>
      </c>
      <c r="H137">
        <v>4.5</v>
      </c>
      <c r="I137">
        <v>9.5</v>
      </c>
      <c r="J137">
        <f t="shared" si="13"/>
        <v>1063.0999999999999</v>
      </c>
      <c r="K137">
        <f t="shared" si="19"/>
        <v>41.9</v>
      </c>
      <c r="M137">
        <v>0.3</v>
      </c>
      <c r="N137">
        <v>0.7</v>
      </c>
      <c r="O137">
        <f t="shared" si="10"/>
        <v>-0.39999999999999997</v>
      </c>
      <c r="P137">
        <f t="shared" si="14"/>
        <v>30.79999999999999</v>
      </c>
      <c r="Q137">
        <v>103</v>
      </c>
      <c r="R137">
        <v>1</v>
      </c>
      <c r="S137" s="18">
        <f t="shared" si="11"/>
        <v>0.7</v>
      </c>
      <c r="T137" s="18">
        <f t="shared" si="12"/>
        <v>-0.39999999999999997</v>
      </c>
      <c r="U137" s="18">
        <f t="shared" si="16"/>
        <v>39.686204819277108</v>
      </c>
      <c r="W137">
        <v>254.7</v>
      </c>
      <c r="Y137">
        <f t="shared" si="15"/>
        <v>69953</v>
      </c>
      <c r="Z137">
        <f t="shared" si="18"/>
        <v>6505.4000000000005</v>
      </c>
      <c r="AA137" s="29">
        <v>7.9742041047775016</v>
      </c>
    </row>
    <row r="138" spans="1:28" x14ac:dyDescent="0.25">
      <c r="A138">
        <v>6440</v>
      </c>
      <c r="B138">
        <v>25210</v>
      </c>
      <c r="C138" s="4">
        <v>42716</v>
      </c>
      <c r="E138" s="29">
        <v>15</v>
      </c>
      <c r="F138" s="40"/>
      <c r="G138">
        <v>4.2</v>
      </c>
      <c r="H138">
        <v>3.6</v>
      </c>
      <c r="I138">
        <v>5.5</v>
      </c>
      <c r="J138">
        <f t="shared" si="13"/>
        <v>1067.3</v>
      </c>
      <c r="K138">
        <f t="shared" si="19"/>
        <v>46.1</v>
      </c>
      <c r="M138">
        <v>2.2999999999999998</v>
      </c>
      <c r="N138">
        <v>0.3</v>
      </c>
      <c r="O138">
        <f t="shared" si="10"/>
        <v>1.9999999999999998</v>
      </c>
      <c r="P138">
        <f t="shared" si="14"/>
        <v>32.79999999999999</v>
      </c>
      <c r="Q138">
        <v>104</v>
      </c>
      <c r="R138">
        <v>1</v>
      </c>
      <c r="S138" s="18">
        <f t="shared" si="11"/>
        <v>0.3</v>
      </c>
      <c r="T138" s="18">
        <f t="shared" si="12"/>
        <v>1.9999999999999998</v>
      </c>
      <c r="U138" s="18">
        <f t="shared" si="16"/>
        <v>41.686204819277108</v>
      </c>
      <c r="W138">
        <v>157.6</v>
      </c>
      <c r="Y138">
        <f t="shared" si="15"/>
        <v>70110.600000000006</v>
      </c>
      <c r="Z138">
        <f t="shared" si="18"/>
        <v>6663.0000000000009</v>
      </c>
      <c r="AA138" s="29">
        <v>7.9604399532907228</v>
      </c>
    </row>
    <row r="139" spans="1:28" x14ac:dyDescent="0.25">
      <c r="A139">
        <v>6440</v>
      </c>
      <c r="B139">
        <v>25210</v>
      </c>
      <c r="C139" s="4">
        <v>42717</v>
      </c>
      <c r="F139" s="40"/>
      <c r="G139">
        <v>6</v>
      </c>
      <c r="H139">
        <v>4.5999999999999996</v>
      </c>
      <c r="I139">
        <v>7.3</v>
      </c>
      <c r="J139">
        <f t="shared" si="13"/>
        <v>1073.3</v>
      </c>
      <c r="K139">
        <f t="shared" si="19"/>
        <v>52.1</v>
      </c>
      <c r="M139">
        <v>0.2</v>
      </c>
      <c r="N139">
        <v>0.3</v>
      </c>
      <c r="O139">
        <f t="shared" si="10"/>
        <v>-9.9999999999999978E-2</v>
      </c>
      <c r="P139">
        <f t="shared" si="14"/>
        <v>32.699999999999989</v>
      </c>
      <c r="Q139">
        <v>105</v>
      </c>
      <c r="R139">
        <v>1</v>
      </c>
      <c r="S139" s="18">
        <f t="shared" si="11"/>
        <v>0.3</v>
      </c>
      <c r="T139" s="18">
        <f t="shared" si="12"/>
        <v>-9.9999999999999978E-2</v>
      </c>
      <c r="U139" s="18">
        <f t="shared" si="16"/>
        <v>41.586204819277107</v>
      </c>
      <c r="W139">
        <v>148.6</v>
      </c>
      <c r="Y139">
        <f t="shared" si="15"/>
        <v>70259.200000000012</v>
      </c>
      <c r="Z139">
        <f t="shared" si="18"/>
        <v>6811.6000000000013</v>
      </c>
      <c r="AA139" s="29">
        <v>7.9481297910184185</v>
      </c>
    </row>
    <row r="140" spans="1:28" x14ac:dyDescent="0.25">
      <c r="A140">
        <v>6440</v>
      </c>
      <c r="B140">
        <v>25210</v>
      </c>
      <c r="C140" s="4">
        <v>42718</v>
      </c>
      <c r="E140" s="29">
        <v>16</v>
      </c>
      <c r="F140" s="40"/>
      <c r="G140">
        <v>4.3</v>
      </c>
      <c r="H140">
        <v>1.5</v>
      </c>
      <c r="I140">
        <v>8.4</v>
      </c>
      <c r="J140">
        <f t="shared" si="13"/>
        <v>1077.5999999999999</v>
      </c>
      <c r="K140">
        <f t="shared" si="19"/>
        <v>56.4</v>
      </c>
      <c r="M140">
        <v>0.2</v>
      </c>
      <c r="N140">
        <v>0.6</v>
      </c>
      <c r="O140">
        <f t="shared" si="10"/>
        <v>-0.39999999999999997</v>
      </c>
      <c r="P140">
        <f t="shared" si="14"/>
        <v>32.29999999999999</v>
      </c>
      <c r="Q140">
        <v>106</v>
      </c>
      <c r="R140">
        <v>1</v>
      </c>
      <c r="S140" s="18">
        <f t="shared" si="11"/>
        <v>0.6</v>
      </c>
      <c r="T140" s="18">
        <f t="shared" si="12"/>
        <v>-0.39999999999999997</v>
      </c>
      <c r="U140" s="18">
        <f t="shared" si="16"/>
        <v>41.186204819277108</v>
      </c>
      <c r="W140">
        <v>367.1</v>
      </c>
      <c r="Y140">
        <f t="shared" si="15"/>
        <v>70626.300000000017</v>
      </c>
      <c r="Z140">
        <f t="shared" si="18"/>
        <v>7178.7000000000016</v>
      </c>
      <c r="AA140" s="29">
        <v>7.9372851262288115</v>
      </c>
    </row>
    <row r="141" spans="1:28" x14ac:dyDescent="0.25">
      <c r="A141">
        <v>6440</v>
      </c>
      <c r="B141">
        <v>25210</v>
      </c>
      <c r="C141" s="4">
        <v>42719</v>
      </c>
      <c r="E141" s="29">
        <v>17</v>
      </c>
      <c r="F141" s="40"/>
      <c r="G141">
        <v>3.8</v>
      </c>
      <c r="H141">
        <v>1.5</v>
      </c>
      <c r="I141">
        <v>6.6</v>
      </c>
      <c r="J141">
        <f t="shared" si="13"/>
        <v>1081.3999999999999</v>
      </c>
      <c r="K141">
        <f t="shared" si="19"/>
        <v>60.199999999999996</v>
      </c>
      <c r="M141">
        <v>0.1</v>
      </c>
      <c r="N141">
        <v>0.5</v>
      </c>
      <c r="O141">
        <f t="shared" si="10"/>
        <v>-0.4</v>
      </c>
      <c r="P141">
        <f t="shared" si="14"/>
        <v>31.899999999999991</v>
      </c>
      <c r="Q141">
        <v>107</v>
      </c>
      <c r="R141">
        <v>1</v>
      </c>
      <c r="S141" s="18">
        <f t="shared" si="11"/>
        <v>0.5</v>
      </c>
      <c r="T141" s="18">
        <f t="shared" si="12"/>
        <v>-0.4</v>
      </c>
      <c r="U141" s="18">
        <f t="shared" si="16"/>
        <v>40.78620481927711</v>
      </c>
      <c r="W141">
        <v>353.9</v>
      </c>
      <c r="Y141">
        <f t="shared" si="15"/>
        <v>70980.200000000012</v>
      </c>
      <c r="Z141">
        <f t="shared" si="18"/>
        <v>7532.6000000000013</v>
      </c>
      <c r="AA141" s="29">
        <v>7.9279161672120857</v>
      </c>
    </row>
    <row r="142" spans="1:28" x14ac:dyDescent="0.25">
      <c r="A142">
        <v>6440</v>
      </c>
      <c r="B142">
        <v>25210</v>
      </c>
      <c r="C142" s="4">
        <v>42720</v>
      </c>
      <c r="E142" s="29">
        <v>18</v>
      </c>
      <c r="F142" s="40"/>
      <c r="G142">
        <v>4.5</v>
      </c>
      <c r="H142">
        <v>2.6</v>
      </c>
      <c r="I142">
        <v>7.8</v>
      </c>
      <c r="J142">
        <f t="shared" si="13"/>
        <v>1085.8999999999999</v>
      </c>
      <c r="K142">
        <f t="shared" si="19"/>
        <v>64.699999999999989</v>
      </c>
      <c r="M142">
        <v>0</v>
      </c>
      <c r="N142">
        <v>0.7</v>
      </c>
      <c r="O142">
        <f t="shared" si="10"/>
        <v>-0.7</v>
      </c>
      <c r="P142">
        <f t="shared" si="14"/>
        <v>31.199999999999992</v>
      </c>
      <c r="Q142">
        <v>108</v>
      </c>
      <c r="R142">
        <v>1</v>
      </c>
      <c r="S142" s="18">
        <f t="shared" si="11"/>
        <v>0.7</v>
      </c>
      <c r="T142" s="18">
        <f t="shared" si="12"/>
        <v>-0.7</v>
      </c>
      <c r="U142" s="18">
        <f t="shared" si="16"/>
        <v>40.086204819277107</v>
      </c>
      <c r="W142">
        <v>398</v>
      </c>
      <c r="Y142">
        <f t="shared" si="15"/>
        <v>71378.200000000012</v>
      </c>
      <c r="Z142">
        <f t="shared" si="18"/>
        <v>7930.6000000000013</v>
      </c>
      <c r="AA142" s="29">
        <v>7.9200317863346195</v>
      </c>
    </row>
    <row r="143" spans="1:28" x14ac:dyDescent="0.25">
      <c r="A143">
        <v>6440</v>
      </c>
      <c r="B143">
        <v>25210</v>
      </c>
      <c r="C143" s="4">
        <v>42721</v>
      </c>
      <c r="E143" s="29">
        <v>19</v>
      </c>
      <c r="F143" s="40"/>
      <c r="G143">
        <v>2.2000000000000002</v>
      </c>
      <c r="H143">
        <v>-0.7</v>
      </c>
      <c r="I143">
        <v>5</v>
      </c>
      <c r="J143">
        <f t="shared" si="13"/>
        <v>1088.0999999999999</v>
      </c>
      <c r="K143">
        <f t="shared" si="19"/>
        <v>66.899999999999991</v>
      </c>
      <c r="M143">
        <v>0.3</v>
      </c>
      <c r="N143">
        <v>0.3</v>
      </c>
      <c r="O143">
        <f t="shared" si="10"/>
        <v>0</v>
      </c>
      <c r="P143">
        <f t="shared" si="14"/>
        <v>31.199999999999992</v>
      </c>
      <c r="Q143">
        <v>109</v>
      </c>
      <c r="R143">
        <v>1</v>
      </c>
      <c r="S143" s="18">
        <f t="shared" si="11"/>
        <v>0.3</v>
      </c>
      <c r="T143" s="18">
        <f t="shared" si="12"/>
        <v>0</v>
      </c>
      <c r="U143" s="18">
        <f t="shared" si="16"/>
        <v>40.086204819277107</v>
      </c>
      <c r="W143">
        <v>170.4</v>
      </c>
      <c r="Y143">
        <f t="shared" si="15"/>
        <v>71548.600000000006</v>
      </c>
      <c r="Z143">
        <f t="shared" si="18"/>
        <v>8101.0000000000009</v>
      </c>
      <c r="AA143" s="29">
        <v>7.9136394884964218</v>
      </c>
    </row>
    <row r="144" spans="1:28" x14ac:dyDescent="0.25">
      <c r="A144">
        <v>6440</v>
      </c>
      <c r="B144">
        <v>25210</v>
      </c>
      <c r="C144" s="4">
        <v>42722</v>
      </c>
      <c r="E144" s="29">
        <v>20</v>
      </c>
      <c r="F144" s="40"/>
      <c r="G144">
        <v>4.8</v>
      </c>
      <c r="H144">
        <v>4.3</v>
      </c>
      <c r="I144">
        <v>5.4</v>
      </c>
      <c r="J144">
        <f t="shared" si="13"/>
        <v>1092.8999999999999</v>
      </c>
      <c r="K144">
        <f t="shared" si="19"/>
        <v>71.699999999999989</v>
      </c>
      <c r="M144">
        <v>0.3</v>
      </c>
      <c r="N144">
        <v>0.2</v>
      </c>
      <c r="O144">
        <f t="shared" si="10"/>
        <v>9.9999999999999978E-2</v>
      </c>
      <c r="P144">
        <f t="shared" si="14"/>
        <v>31.299999999999994</v>
      </c>
      <c r="Q144">
        <v>110</v>
      </c>
      <c r="R144">
        <v>1</v>
      </c>
      <c r="S144" s="18">
        <f t="shared" si="11"/>
        <v>0.2</v>
      </c>
      <c r="T144" s="18">
        <f t="shared" si="12"/>
        <v>9.9999999999999978E-2</v>
      </c>
      <c r="U144" s="18">
        <f t="shared" si="16"/>
        <v>40.186204819277108</v>
      </c>
      <c r="W144">
        <v>162.80000000000001</v>
      </c>
      <c r="Y144">
        <f t="shared" si="15"/>
        <v>71711.400000000009</v>
      </c>
      <c r="Z144">
        <f t="shared" si="18"/>
        <v>8263.8000000000011</v>
      </c>
      <c r="AA144" s="29">
        <v>7.9087453842314073</v>
      </c>
    </row>
    <row r="145" spans="1:27" x14ac:dyDescent="0.25">
      <c r="A145">
        <v>6440</v>
      </c>
      <c r="B145">
        <v>25210</v>
      </c>
      <c r="C145" s="4">
        <v>42723</v>
      </c>
      <c r="F145" s="40"/>
      <c r="G145">
        <v>5.2</v>
      </c>
      <c r="H145">
        <v>4.0999999999999996</v>
      </c>
      <c r="I145">
        <v>7.1</v>
      </c>
      <c r="J145">
        <f t="shared" si="13"/>
        <v>1098.0999999999999</v>
      </c>
      <c r="K145">
        <f t="shared" si="19"/>
        <v>76.899999999999991</v>
      </c>
      <c r="M145">
        <v>0.1</v>
      </c>
      <c r="N145">
        <v>0.4</v>
      </c>
      <c r="O145">
        <f t="shared" si="10"/>
        <v>-0.30000000000000004</v>
      </c>
      <c r="P145">
        <f t="shared" si="14"/>
        <v>30.999999999999993</v>
      </c>
      <c r="Q145">
        <v>111</v>
      </c>
      <c r="R145">
        <v>1</v>
      </c>
      <c r="S145" s="18">
        <f t="shared" si="11"/>
        <v>0.4</v>
      </c>
      <c r="T145" s="18">
        <f t="shared" si="12"/>
        <v>-0.30000000000000004</v>
      </c>
      <c r="U145" s="18">
        <f t="shared" si="16"/>
        <v>39.886204819277111</v>
      </c>
      <c r="W145">
        <v>159.6</v>
      </c>
      <c r="Y145">
        <f t="shared" si="15"/>
        <v>71871.000000000015</v>
      </c>
      <c r="Z145">
        <f t="shared" si="18"/>
        <v>8423.4000000000015</v>
      </c>
      <c r="AA145" s="29">
        <v>7.9053541676572632</v>
      </c>
    </row>
    <row r="146" spans="1:27" x14ac:dyDescent="0.25">
      <c r="A146">
        <v>6440</v>
      </c>
      <c r="B146">
        <v>25210</v>
      </c>
      <c r="C146" s="4">
        <v>42724</v>
      </c>
      <c r="E146" s="29">
        <v>21</v>
      </c>
      <c r="F146" s="40"/>
      <c r="G146">
        <v>3.2</v>
      </c>
      <c r="H146">
        <v>2</v>
      </c>
      <c r="I146">
        <v>4.4000000000000004</v>
      </c>
      <c r="J146">
        <f t="shared" si="13"/>
        <v>1101.3</v>
      </c>
      <c r="K146">
        <f t="shared" si="19"/>
        <v>80.099999999999994</v>
      </c>
      <c r="M146">
        <v>0</v>
      </c>
      <c r="N146">
        <v>0.4</v>
      </c>
      <c r="O146">
        <f t="shared" si="10"/>
        <v>-0.4</v>
      </c>
      <c r="P146">
        <f t="shared" si="14"/>
        <v>30.599999999999994</v>
      </c>
      <c r="Q146">
        <v>112</v>
      </c>
      <c r="R146">
        <v>1</v>
      </c>
      <c r="S146" s="18">
        <f t="shared" si="11"/>
        <v>0.4</v>
      </c>
      <c r="T146" s="18">
        <f t="shared" si="12"/>
        <v>-0.4</v>
      </c>
      <c r="U146" s="18">
        <f t="shared" si="16"/>
        <v>39.486204819277113</v>
      </c>
      <c r="W146">
        <v>122.2</v>
      </c>
      <c r="Y146">
        <f t="shared" si="15"/>
        <v>71993.200000000012</v>
      </c>
      <c r="Z146">
        <f t="shared" si="18"/>
        <v>8545.6000000000022</v>
      </c>
      <c r="AA146" s="29">
        <v>7.903469099446105</v>
      </c>
    </row>
    <row r="147" spans="1:27" x14ac:dyDescent="0.25">
      <c r="A147">
        <v>6440</v>
      </c>
      <c r="B147">
        <v>25210</v>
      </c>
      <c r="C147" s="4">
        <v>42725</v>
      </c>
      <c r="E147" s="29">
        <v>22</v>
      </c>
      <c r="F147" s="40"/>
      <c r="G147">
        <v>4</v>
      </c>
      <c r="H147">
        <v>1.2</v>
      </c>
      <c r="I147">
        <v>6.2</v>
      </c>
      <c r="J147">
        <f t="shared" si="13"/>
        <v>1105.3</v>
      </c>
      <c r="K147">
        <f t="shared" si="19"/>
        <v>84.1</v>
      </c>
      <c r="M147">
        <v>14</v>
      </c>
      <c r="N147">
        <v>0.6</v>
      </c>
      <c r="O147">
        <f t="shared" si="10"/>
        <v>13.4</v>
      </c>
      <c r="P147">
        <f t="shared" si="14"/>
        <v>43.999999999999993</v>
      </c>
      <c r="Q147">
        <v>113</v>
      </c>
      <c r="R147">
        <v>1</v>
      </c>
      <c r="S147" s="18">
        <f t="shared" si="11"/>
        <v>0.6</v>
      </c>
      <c r="T147" s="18">
        <f t="shared" si="12"/>
        <v>13.4</v>
      </c>
      <c r="U147" s="18">
        <f t="shared" si="16"/>
        <v>52.886204819277111</v>
      </c>
      <c r="W147">
        <v>317.10000000000002</v>
      </c>
      <c r="Y147">
        <f t="shared" si="15"/>
        <v>72310.300000000017</v>
      </c>
      <c r="Z147">
        <f t="shared" si="18"/>
        <v>8862.7000000000025</v>
      </c>
      <c r="AA147" s="29">
        <v>7.9030919949491389</v>
      </c>
    </row>
    <row r="148" spans="1:27" x14ac:dyDescent="0.25">
      <c r="A148">
        <v>6440</v>
      </c>
      <c r="B148">
        <v>25210</v>
      </c>
      <c r="C148" s="4">
        <v>42726</v>
      </c>
      <c r="F148" s="40"/>
      <c r="G148">
        <v>5.9</v>
      </c>
      <c r="H148">
        <v>5.5</v>
      </c>
      <c r="I148">
        <v>7.2</v>
      </c>
      <c r="J148">
        <f t="shared" si="13"/>
        <v>1111.2</v>
      </c>
      <c r="K148">
        <f t="shared" si="19"/>
        <v>90</v>
      </c>
      <c r="M148">
        <v>0.4</v>
      </c>
      <c r="N148">
        <v>0.3</v>
      </c>
      <c r="O148">
        <f t="shared" si="10"/>
        <v>0.10000000000000003</v>
      </c>
      <c r="P148">
        <f t="shared" si="14"/>
        <v>44.099999999999994</v>
      </c>
      <c r="Q148">
        <v>114</v>
      </c>
      <c r="R148">
        <v>1</v>
      </c>
      <c r="S148" s="18">
        <f t="shared" si="11"/>
        <v>0.3</v>
      </c>
      <c r="T148" s="18">
        <f t="shared" si="12"/>
        <v>0.10000000000000003</v>
      </c>
      <c r="U148" s="18">
        <f t="shared" si="16"/>
        <v>52.986204819277113</v>
      </c>
      <c r="W148">
        <v>86.5</v>
      </c>
      <c r="Y148">
        <f t="shared" si="15"/>
        <v>72396.800000000017</v>
      </c>
      <c r="Z148">
        <f t="shared" si="18"/>
        <v>8949.2000000000025</v>
      </c>
      <c r="AA148" s="29">
        <v>7.9042232175686857</v>
      </c>
    </row>
    <row r="149" spans="1:27" x14ac:dyDescent="0.25">
      <c r="A149">
        <v>6440</v>
      </c>
      <c r="B149">
        <v>25210</v>
      </c>
      <c r="C149" s="4">
        <v>42727</v>
      </c>
      <c r="E149" s="29">
        <v>23</v>
      </c>
      <c r="F149" s="40"/>
      <c r="G149">
        <v>3.9</v>
      </c>
      <c r="H149">
        <v>1.4</v>
      </c>
      <c r="I149">
        <v>6.7</v>
      </c>
      <c r="J149">
        <f t="shared" si="13"/>
        <v>1115.1000000000001</v>
      </c>
      <c r="K149">
        <f t="shared" si="19"/>
        <v>93.9</v>
      </c>
      <c r="M149">
        <v>0.8</v>
      </c>
      <c r="N149">
        <v>0.3</v>
      </c>
      <c r="O149">
        <f t="shared" si="10"/>
        <v>0.5</v>
      </c>
      <c r="P149">
        <f t="shared" si="14"/>
        <v>44.599999999999994</v>
      </c>
      <c r="Q149">
        <v>115</v>
      </c>
      <c r="R149">
        <v>1</v>
      </c>
      <c r="S149" s="18">
        <f t="shared" si="11"/>
        <v>0.3</v>
      </c>
      <c r="T149" s="18">
        <f t="shared" si="12"/>
        <v>0.5</v>
      </c>
      <c r="U149" s="18">
        <f t="shared" si="16"/>
        <v>53.486204819277113</v>
      </c>
      <c r="W149">
        <v>62.5</v>
      </c>
      <c r="Y149">
        <f t="shared" si="15"/>
        <v>72459.300000000017</v>
      </c>
      <c r="Z149">
        <f t="shared" si="18"/>
        <v>9011.7000000000025</v>
      </c>
      <c r="AA149" s="29">
        <v>7.9068616774299851</v>
      </c>
    </row>
    <row r="150" spans="1:27" x14ac:dyDescent="0.25">
      <c r="A150">
        <v>6440</v>
      </c>
      <c r="B150">
        <v>25210</v>
      </c>
      <c r="C150" s="4">
        <v>42728</v>
      </c>
      <c r="F150" s="40"/>
      <c r="G150">
        <v>7.4</v>
      </c>
      <c r="H150">
        <v>5.8</v>
      </c>
      <c r="I150">
        <v>8.6</v>
      </c>
      <c r="J150">
        <f t="shared" si="13"/>
        <v>1122.5000000000002</v>
      </c>
      <c r="K150">
        <f t="shared" si="19"/>
        <v>101.30000000000001</v>
      </c>
      <c r="M150">
        <v>0.2</v>
      </c>
      <c r="N150">
        <v>0.4</v>
      </c>
      <c r="O150">
        <f t="shared" si="10"/>
        <v>-0.2</v>
      </c>
      <c r="P150">
        <f t="shared" si="14"/>
        <v>44.399999999999991</v>
      </c>
      <c r="Q150">
        <v>116</v>
      </c>
      <c r="R150">
        <v>1</v>
      </c>
      <c r="S150" s="18">
        <f t="shared" si="11"/>
        <v>0.4</v>
      </c>
      <c r="T150" s="18">
        <f t="shared" si="12"/>
        <v>-0.2</v>
      </c>
      <c r="U150" s="18">
        <f t="shared" si="16"/>
        <v>53.28620481927711</v>
      </c>
      <c r="W150">
        <v>132.4</v>
      </c>
      <c r="Y150">
        <f t="shared" si="15"/>
        <v>72591.700000000012</v>
      </c>
      <c r="Z150">
        <f t="shared" si="18"/>
        <v>9144.1000000000022</v>
      </c>
      <c r="AA150" s="29">
        <v>7.9110048353632116</v>
      </c>
    </row>
    <row r="151" spans="1:27" x14ac:dyDescent="0.25">
      <c r="A151">
        <v>6440</v>
      </c>
      <c r="B151">
        <v>25210</v>
      </c>
      <c r="C151" s="4">
        <v>42729</v>
      </c>
      <c r="F151" s="40"/>
      <c r="G151">
        <v>8.9</v>
      </c>
      <c r="H151">
        <v>7.1</v>
      </c>
      <c r="I151">
        <v>10.1</v>
      </c>
      <c r="J151">
        <f t="shared" si="13"/>
        <v>1131.4000000000003</v>
      </c>
      <c r="K151">
        <f t="shared" si="19"/>
        <v>110.20000000000002</v>
      </c>
      <c r="M151">
        <v>0.8</v>
      </c>
      <c r="N151">
        <v>0.6</v>
      </c>
      <c r="O151">
        <f t="shared" si="10"/>
        <v>0.20000000000000007</v>
      </c>
      <c r="P151">
        <f t="shared" si="14"/>
        <v>44.599999999999994</v>
      </c>
      <c r="Q151">
        <v>117</v>
      </c>
      <c r="R151">
        <v>1</v>
      </c>
      <c r="S151" s="18">
        <f t="shared" si="11"/>
        <v>0.6</v>
      </c>
      <c r="T151" s="18">
        <f t="shared" si="12"/>
        <v>0.20000000000000007</v>
      </c>
      <c r="U151" s="18">
        <f t="shared" si="16"/>
        <v>53.486204819277113</v>
      </c>
      <c r="W151">
        <v>133</v>
      </c>
      <c r="Y151">
        <f t="shared" si="15"/>
        <v>72724.700000000012</v>
      </c>
      <c r="Z151">
        <f t="shared" si="18"/>
        <v>9277.1000000000022</v>
      </c>
      <c r="AA151" s="29">
        <v>7.9166487121642515</v>
      </c>
    </row>
    <row r="152" spans="1:27" x14ac:dyDescent="0.25">
      <c r="A152">
        <v>6440</v>
      </c>
      <c r="B152">
        <v>25210</v>
      </c>
      <c r="C152" s="4">
        <v>42730</v>
      </c>
      <c r="F152" s="40"/>
      <c r="G152">
        <v>7.4</v>
      </c>
      <c r="H152">
        <v>4.7</v>
      </c>
      <c r="I152">
        <v>10.199999999999999</v>
      </c>
      <c r="J152">
        <f t="shared" si="13"/>
        <v>1138.8000000000004</v>
      </c>
      <c r="K152">
        <f t="shared" si="19"/>
        <v>117.60000000000002</v>
      </c>
      <c r="M152">
        <v>0.8</v>
      </c>
      <c r="N152">
        <v>0.4</v>
      </c>
      <c r="O152">
        <f t="shared" si="10"/>
        <v>0.4</v>
      </c>
      <c r="P152">
        <f t="shared" si="14"/>
        <v>44.999999999999993</v>
      </c>
      <c r="Q152">
        <v>118</v>
      </c>
      <c r="R152">
        <v>1</v>
      </c>
      <c r="S152" s="18">
        <f t="shared" si="11"/>
        <v>0.4</v>
      </c>
      <c r="T152" s="18">
        <f t="shared" si="12"/>
        <v>0.4</v>
      </c>
      <c r="U152" s="18">
        <f t="shared" si="16"/>
        <v>53.886204819277111</v>
      </c>
      <c r="W152">
        <v>307.89999999999998</v>
      </c>
      <c r="Y152">
        <f t="shared" si="15"/>
        <v>73032.600000000006</v>
      </c>
      <c r="Z152">
        <f t="shared" si="18"/>
        <v>9585.0000000000018</v>
      </c>
      <c r="AA152" s="29">
        <v>7.9237879030612586</v>
      </c>
    </row>
    <row r="153" spans="1:27" x14ac:dyDescent="0.25">
      <c r="A153">
        <v>6440</v>
      </c>
      <c r="B153">
        <v>25210</v>
      </c>
      <c r="C153" s="4">
        <v>42731</v>
      </c>
      <c r="E153" s="29">
        <v>24</v>
      </c>
      <c r="F153" s="40"/>
      <c r="G153">
        <v>1.7</v>
      </c>
      <c r="H153">
        <v>-0.4</v>
      </c>
      <c r="I153">
        <v>6.4</v>
      </c>
      <c r="J153">
        <f t="shared" si="13"/>
        <v>1140.5000000000005</v>
      </c>
      <c r="K153">
        <f t="shared" si="19"/>
        <v>119.30000000000003</v>
      </c>
      <c r="M153">
        <v>0.1</v>
      </c>
      <c r="N153">
        <v>0.8</v>
      </c>
      <c r="O153">
        <f t="shared" si="10"/>
        <v>-0.70000000000000007</v>
      </c>
      <c r="P153">
        <f t="shared" si="14"/>
        <v>44.29999999999999</v>
      </c>
      <c r="Q153">
        <v>119</v>
      </c>
      <c r="R153">
        <v>1</v>
      </c>
      <c r="S153" s="18">
        <f t="shared" si="11"/>
        <v>0.8</v>
      </c>
      <c r="T153" s="18">
        <f t="shared" si="12"/>
        <v>-0.70000000000000007</v>
      </c>
      <c r="U153" s="18">
        <f t="shared" si="16"/>
        <v>53.186204819277108</v>
      </c>
      <c r="W153">
        <v>509</v>
      </c>
      <c r="Y153">
        <f t="shared" si="15"/>
        <v>73541.600000000006</v>
      </c>
      <c r="Z153">
        <f t="shared" si="18"/>
        <v>10094.000000000002</v>
      </c>
      <c r="AA153" s="29">
        <v>7.9324155972734669</v>
      </c>
    </row>
    <row r="154" spans="1:27" x14ac:dyDescent="0.25">
      <c r="A154">
        <v>6440</v>
      </c>
      <c r="B154">
        <v>25210</v>
      </c>
      <c r="C154" s="4">
        <v>42732</v>
      </c>
      <c r="E154" s="29">
        <v>25</v>
      </c>
      <c r="F154" s="40"/>
      <c r="G154">
        <v>0.7</v>
      </c>
      <c r="H154">
        <v>-1</v>
      </c>
      <c r="I154">
        <v>3.7</v>
      </c>
      <c r="J154">
        <f t="shared" si="13"/>
        <v>1141.2000000000005</v>
      </c>
      <c r="K154">
        <f t="shared" si="19"/>
        <v>120.00000000000003</v>
      </c>
      <c r="M154">
        <v>0.1</v>
      </c>
      <c r="N154">
        <v>0.6</v>
      </c>
      <c r="O154">
        <f t="shared" si="10"/>
        <v>-0.5</v>
      </c>
      <c r="P154">
        <f t="shared" si="14"/>
        <v>43.79999999999999</v>
      </c>
      <c r="Q154">
        <v>120</v>
      </c>
      <c r="R154">
        <v>1</v>
      </c>
      <c r="S154" s="18">
        <f t="shared" si="11"/>
        <v>0.6</v>
      </c>
      <c r="T154" s="18">
        <f t="shared" si="12"/>
        <v>-0.5</v>
      </c>
      <c r="U154" s="18">
        <f t="shared" si="16"/>
        <v>52.686204819277108</v>
      </c>
      <c r="W154">
        <v>379.6</v>
      </c>
      <c r="Y154">
        <f t="shared" si="15"/>
        <v>73921.200000000012</v>
      </c>
      <c r="Z154">
        <f t="shared" si="18"/>
        <v>10473.600000000002</v>
      </c>
      <c r="AA154" s="29">
        <v>7.9425236025097936</v>
      </c>
    </row>
    <row r="155" spans="1:27" x14ac:dyDescent="0.25">
      <c r="A155">
        <v>6440</v>
      </c>
      <c r="B155">
        <v>25210</v>
      </c>
      <c r="C155" s="4">
        <v>42733</v>
      </c>
      <c r="E155" s="29">
        <v>26</v>
      </c>
      <c r="F155" s="40"/>
      <c r="G155">
        <v>-1.9</v>
      </c>
      <c r="H155">
        <v>-2.6</v>
      </c>
      <c r="I155">
        <v>-0.9</v>
      </c>
      <c r="J155">
        <v>1141.2</v>
      </c>
      <c r="K155">
        <v>120</v>
      </c>
      <c r="M155">
        <v>0</v>
      </c>
      <c r="N155">
        <v>0.3</v>
      </c>
      <c r="O155">
        <f t="shared" si="10"/>
        <v>-0.3</v>
      </c>
      <c r="P155">
        <f t="shared" si="14"/>
        <v>43.499999999999993</v>
      </c>
      <c r="Q155">
        <v>121</v>
      </c>
      <c r="R155">
        <v>1</v>
      </c>
      <c r="S155" s="18">
        <f t="shared" si="11"/>
        <v>0.3</v>
      </c>
      <c r="T155" s="18">
        <f t="shared" si="12"/>
        <v>-0.3</v>
      </c>
      <c r="U155" s="18">
        <f t="shared" si="16"/>
        <v>52.386204819277111</v>
      </c>
      <c r="W155">
        <v>215.2</v>
      </c>
      <c r="Y155">
        <f t="shared" si="15"/>
        <v>74136.400000000009</v>
      </c>
      <c r="Z155">
        <f t="shared" si="18"/>
        <v>10688.800000000003</v>
      </c>
      <c r="AA155" s="29">
        <v>7.9541023742179533</v>
      </c>
    </row>
    <row r="156" spans="1:27" x14ac:dyDescent="0.25">
      <c r="A156">
        <v>6440</v>
      </c>
      <c r="B156">
        <v>25210</v>
      </c>
      <c r="C156" s="4">
        <v>42734</v>
      </c>
      <c r="E156" s="29">
        <v>27</v>
      </c>
      <c r="F156" s="40"/>
      <c r="G156">
        <v>-3.4</v>
      </c>
      <c r="H156">
        <v>-4.5999999999999996</v>
      </c>
      <c r="I156">
        <v>-2.2000000000000002</v>
      </c>
      <c r="J156">
        <v>1141.2</v>
      </c>
      <c r="K156">
        <v>120</v>
      </c>
      <c r="M156">
        <v>0</v>
      </c>
      <c r="N156">
        <v>0.3</v>
      </c>
      <c r="O156">
        <f t="shared" si="10"/>
        <v>-0.3</v>
      </c>
      <c r="P156">
        <f t="shared" si="14"/>
        <v>43.199999999999996</v>
      </c>
      <c r="Q156">
        <v>122</v>
      </c>
      <c r="R156">
        <v>1</v>
      </c>
      <c r="S156" s="18">
        <f t="shared" si="11"/>
        <v>0.3</v>
      </c>
      <c r="T156" s="18">
        <f t="shared" si="12"/>
        <v>-0.3</v>
      </c>
      <c r="U156" s="18">
        <f t="shared" si="16"/>
        <v>52.086204819277114</v>
      </c>
      <c r="W156">
        <v>196.9</v>
      </c>
      <c r="Y156">
        <f t="shared" si="15"/>
        <v>74333.3</v>
      </c>
      <c r="Z156">
        <f t="shared" si="18"/>
        <v>10885.700000000003</v>
      </c>
      <c r="AA156" s="29">
        <v>7.9671410493605217</v>
      </c>
    </row>
    <row r="157" spans="1:27" x14ac:dyDescent="0.25">
      <c r="A157">
        <v>6440</v>
      </c>
      <c r="B157">
        <v>25210</v>
      </c>
      <c r="C157" s="4">
        <v>42735</v>
      </c>
      <c r="E157" s="29">
        <v>28</v>
      </c>
      <c r="F157" s="40"/>
      <c r="G157">
        <v>-3.8</v>
      </c>
      <c r="H157">
        <v>-4.3</v>
      </c>
      <c r="I157">
        <v>-3.2</v>
      </c>
      <c r="J157">
        <v>1141.2</v>
      </c>
      <c r="K157">
        <v>120</v>
      </c>
      <c r="M157">
        <v>0</v>
      </c>
      <c r="N157">
        <v>0.2</v>
      </c>
      <c r="O157">
        <f t="shared" si="10"/>
        <v>-0.2</v>
      </c>
      <c r="P157">
        <f t="shared" si="14"/>
        <v>42.999999999999993</v>
      </c>
      <c r="Q157">
        <v>123</v>
      </c>
      <c r="R157">
        <v>1</v>
      </c>
      <c r="S157" s="18">
        <f t="shared" si="11"/>
        <v>0.2</v>
      </c>
      <c r="T157" s="18">
        <f t="shared" si="12"/>
        <v>-0.2</v>
      </c>
      <c r="U157" s="18">
        <f t="shared" si="16"/>
        <v>51.886204819277111</v>
      </c>
      <c r="W157">
        <v>222</v>
      </c>
      <c r="Y157">
        <f t="shared" si="15"/>
        <v>74555.3</v>
      </c>
      <c r="Z157">
        <f t="shared" si="18"/>
        <v>11107.700000000003</v>
      </c>
      <c r="AA157" s="29">
        <v>7.9816274844630302</v>
      </c>
    </row>
    <row r="158" spans="1:27" x14ac:dyDescent="0.25">
      <c r="A158">
        <v>6440</v>
      </c>
      <c r="B158">
        <v>25210</v>
      </c>
      <c r="C158" s="4">
        <v>42736</v>
      </c>
      <c r="E158" s="29">
        <v>29</v>
      </c>
      <c r="F158" s="40"/>
      <c r="G158">
        <v>-1.8</v>
      </c>
      <c r="H158">
        <v>-3.8</v>
      </c>
      <c r="I158">
        <v>0.3</v>
      </c>
      <c r="J158">
        <v>1141.2</v>
      </c>
      <c r="K158">
        <v>120</v>
      </c>
      <c r="M158">
        <v>0.4</v>
      </c>
      <c r="N158">
        <v>0.2</v>
      </c>
      <c r="O158">
        <f t="shared" si="10"/>
        <v>0.2</v>
      </c>
      <c r="P158">
        <f t="shared" si="14"/>
        <v>43.199999999999996</v>
      </c>
      <c r="Q158">
        <v>124</v>
      </c>
      <c r="R158">
        <v>1</v>
      </c>
      <c r="S158" s="18">
        <f t="shared" si="11"/>
        <v>0.2</v>
      </c>
      <c r="T158" s="18">
        <f t="shared" si="12"/>
        <v>0.2</v>
      </c>
      <c r="U158" s="18">
        <f t="shared" si="16"/>
        <v>52.086204819277114</v>
      </c>
      <c r="W158">
        <v>170</v>
      </c>
      <c r="Y158">
        <f t="shared" si="15"/>
        <v>74725.3</v>
      </c>
      <c r="Z158">
        <f t="shared" si="18"/>
        <v>11277.700000000003</v>
      </c>
      <c r="AA158" s="29">
        <v>7.9975482976513685</v>
      </c>
    </row>
    <row r="159" spans="1:27" x14ac:dyDescent="0.25">
      <c r="A159">
        <v>6440</v>
      </c>
      <c r="B159">
        <v>25210</v>
      </c>
      <c r="C159" s="4">
        <v>42737</v>
      </c>
      <c r="E159" s="29">
        <v>30</v>
      </c>
      <c r="F159" s="40"/>
      <c r="G159">
        <v>0.5</v>
      </c>
      <c r="H159">
        <v>-0.5</v>
      </c>
      <c r="I159">
        <v>1.8</v>
      </c>
      <c r="J159">
        <f t="shared" si="13"/>
        <v>1141.7</v>
      </c>
      <c r="K159">
        <f t="shared" si="19"/>
        <v>120.5</v>
      </c>
      <c r="M159">
        <v>0.4</v>
      </c>
      <c r="N159">
        <v>0.2</v>
      </c>
      <c r="O159">
        <f t="shared" si="10"/>
        <v>0.2</v>
      </c>
      <c r="P159">
        <f t="shared" si="14"/>
        <v>43.4</v>
      </c>
      <c r="Q159">
        <v>125</v>
      </c>
      <c r="R159">
        <v>1</v>
      </c>
      <c r="S159" s="18">
        <f t="shared" si="11"/>
        <v>0.2</v>
      </c>
      <c r="T159" s="18">
        <f t="shared" si="12"/>
        <v>0.2</v>
      </c>
      <c r="U159" s="18">
        <f t="shared" si="16"/>
        <v>52.286204819277117</v>
      </c>
      <c r="W159">
        <v>163.4</v>
      </c>
      <c r="Y159">
        <f t="shared" si="15"/>
        <v>74888.7</v>
      </c>
      <c r="Z159">
        <f t="shared" si="18"/>
        <v>11441.100000000002</v>
      </c>
      <c r="AA159" s="29">
        <v>8.0148889143713333</v>
      </c>
    </row>
    <row r="160" spans="1:27" x14ac:dyDescent="0.25">
      <c r="A160">
        <v>6440</v>
      </c>
      <c r="B160">
        <v>25210</v>
      </c>
      <c r="C160" s="4">
        <v>42738</v>
      </c>
      <c r="E160" s="29">
        <v>31</v>
      </c>
      <c r="F160" s="40"/>
      <c r="G160">
        <v>-0.4</v>
      </c>
      <c r="H160">
        <v>-3.2</v>
      </c>
      <c r="I160">
        <v>3.1</v>
      </c>
      <c r="J160">
        <v>1141.7</v>
      </c>
      <c r="K160">
        <v>120.5</v>
      </c>
      <c r="M160">
        <v>1</v>
      </c>
      <c r="N160">
        <v>0.3</v>
      </c>
      <c r="O160">
        <f t="shared" si="10"/>
        <v>0.7</v>
      </c>
      <c r="P160">
        <f t="shared" si="14"/>
        <v>44.1</v>
      </c>
      <c r="Q160">
        <v>126</v>
      </c>
      <c r="R160">
        <v>1</v>
      </c>
      <c r="S160" s="18">
        <f t="shared" si="11"/>
        <v>0.3</v>
      </c>
      <c r="T160" s="18">
        <f t="shared" si="12"/>
        <v>0.7</v>
      </c>
      <c r="U160" s="18">
        <f t="shared" si="16"/>
        <v>52.98620481927712</v>
      </c>
      <c r="W160">
        <v>219.9</v>
      </c>
      <c r="Y160">
        <f t="shared" si="15"/>
        <v>75108.599999999991</v>
      </c>
      <c r="Z160">
        <f t="shared" si="18"/>
        <v>11661.000000000002</v>
      </c>
      <c r="AA160" s="29">
        <v>8.0336336164628026</v>
      </c>
    </row>
    <row r="161" spans="1:27" x14ac:dyDescent="0.25">
      <c r="A161">
        <v>6440</v>
      </c>
      <c r="B161">
        <v>25210</v>
      </c>
      <c r="C161" s="4">
        <v>42739</v>
      </c>
      <c r="E161" s="29">
        <v>32</v>
      </c>
      <c r="F161" s="40"/>
      <c r="G161">
        <v>3.4</v>
      </c>
      <c r="H161">
        <v>1.1000000000000001</v>
      </c>
      <c r="I161">
        <v>5.3</v>
      </c>
      <c r="J161">
        <f t="shared" si="13"/>
        <v>1145.1000000000001</v>
      </c>
      <c r="K161">
        <f t="shared" si="19"/>
        <v>123.9</v>
      </c>
      <c r="M161">
        <v>1</v>
      </c>
      <c r="N161">
        <v>0.2</v>
      </c>
      <c r="O161">
        <f t="shared" si="10"/>
        <v>0.8</v>
      </c>
      <c r="P161">
        <f t="shared" si="14"/>
        <v>44.9</v>
      </c>
      <c r="Q161">
        <v>127</v>
      </c>
      <c r="R161">
        <v>1</v>
      </c>
      <c r="S161" s="18">
        <f t="shared" si="11"/>
        <v>0.2</v>
      </c>
      <c r="T161" s="18">
        <f t="shared" si="12"/>
        <v>0.8</v>
      </c>
      <c r="U161" s="18">
        <f t="shared" si="16"/>
        <v>53.786204819277117</v>
      </c>
      <c r="W161">
        <v>144.1</v>
      </c>
      <c r="Y161">
        <f t="shared" si="15"/>
        <v>75252.7</v>
      </c>
      <c r="Z161">
        <f t="shared" si="18"/>
        <v>11805.100000000002</v>
      </c>
      <c r="AA161" s="29">
        <v>8.0537655942445632</v>
      </c>
    </row>
    <row r="162" spans="1:27" x14ac:dyDescent="0.25">
      <c r="A162">
        <v>6440</v>
      </c>
      <c r="B162">
        <v>25210</v>
      </c>
      <c r="C162" s="4">
        <v>42740</v>
      </c>
      <c r="E162" s="29">
        <v>33</v>
      </c>
      <c r="F162" s="40"/>
      <c r="G162">
        <v>2</v>
      </c>
      <c r="H162">
        <v>1</v>
      </c>
      <c r="I162">
        <v>4.7</v>
      </c>
      <c r="J162">
        <f t="shared" si="13"/>
        <v>1147.1000000000001</v>
      </c>
      <c r="K162">
        <f t="shared" si="19"/>
        <v>125.9</v>
      </c>
      <c r="M162">
        <v>0.1</v>
      </c>
      <c r="N162">
        <v>0.6</v>
      </c>
      <c r="O162">
        <f t="shared" si="10"/>
        <v>-0.5</v>
      </c>
      <c r="P162">
        <f t="shared" si="14"/>
        <v>44.4</v>
      </c>
      <c r="Q162">
        <v>128</v>
      </c>
      <c r="R162">
        <v>1</v>
      </c>
      <c r="S162" s="18">
        <f t="shared" si="11"/>
        <v>0.6</v>
      </c>
      <c r="T162" s="18">
        <f t="shared" si="12"/>
        <v>-0.5</v>
      </c>
      <c r="U162" s="18">
        <f t="shared" si="16"/>
        <v>53.286204819277117</v>
      </c>
      <c r="W162">
        <v>382.1</v>
      </c>
      <c r="Y162">
        <f t="shared" si="15"/>
        <v>75634.8</v>
      </c>
      <c r="Z162">
        <f t="shared" si="18"/>
        <v>12187.200000000003</v>
      </c>
      <c r="AA162" s="29">
        <v>8.0752670012534242</v>
      </c>
    </row>
    <row r="163" spans="1:27" x14ac:dyDescent="0.25">
      <c r="A163">
        <v>6440</v>
      </c>
      <c r="B163">
        <v>25210</v>
      </c>
      <c r="C163" s="4">
        <v>42741</v>
      </c>
      <c r="E163" s="29">
        <v>34</v>
      </c>
      <c r="F163" s="40"/>
      <c r="G163">
        <v>-2</v>
      </c>
      <c r="H163">
        <v>-3</v>
      </c>
      <c r="I163">
        <v>0</v>
      </c>
      <c r="J163">
        <v>1147.0999999999999</v>
      </c>
      <c r="K163">
        <v>125.9</v>
      </c>
      <c r="M163">
        <v>0</v>
      </c>
      <c r="N163">
        <v>0.4</v>
      </c>
      <c r="O163">
        <f t="shared" si="10"/>
        <v>-0.4</v>
      </c>
      <c r="P163">
        <f t="shared" si="14"/>
        <v>44</v>
      </c>
      <c r="Q163">
        <v>129</v>
      </c>
      <c r="R163">
        <v>1</v>
      </c>
      <c r="S163" s="18">
        <f t="shared" si="11"/>
        <v>0.4</v>
      </c>
      <c r="T163" s="18">
        <f t="shared" si="12"/>
        <v>-0.4</v>
      </c>
      <c r="U163" s="18">
        <f t="shared" si="16"/>
        <v>52.886204819277118</v>
      </c>
      <c r="W163">
        <v>423.9</v>
      </c>
      <c r="Y163">
        <f t="shared" si="15"/>
        <v>76058.7</v>
      </c>
      <c r="Z163">
        <f t="shared" si="18"/>
        <v>12611.100000000002</v>
      </c>
      <c r="AA163" s="29">
        <v>8.0981190112729262</v>
      </c>
    </row>
    <row r="164" spans="1:27" x14ac:dyDescent="0.25">
      <c r="A164">
        <v>6440</v>
      </c>
      <c r="B164">
        <v>25210</v>
      </c>
      <c r="C164" s="4">
        <v>42742</v>
      </c>
      <c r="E164" s="29">
        <v>35</v>
      </c>
      <c r="F164" s="40"/>
      <c r="G164">
        <v>-0.7</v>
      </c>
      <c r="H164">
        <v>-3.3</v>
      </c>
      <c r="I164">
        <v>2.2999999999999998</v>
      </c>
      <c r="J164">
        <v>1147.0999999999999</v>
      </c>
      <c r="K164">
        <v>125.9</v>
      </c>
      <c r="M164">
        <v>1.2</v>
      </c>
      <c r="N164">
        <v>0.4</v>
      </c>
      <c r="O164">
        <f t="shared" ref="O164:O227" si="20">M164-N164</f>
        <v>0.79999999999999993</v>
      </c>
      <c r="P164">
        <f t="shared" si="14"/>
        <v>44.8</v>
      </c>
      <c r="Q164">
        <v>130</v>
      </c>
      <c r="R164">
        <v>1</v>
      </c>
      <c r="S164" s="18">
        <f t="shared" ref="S164:S227" si="21">R164*N164</f>
        <v>0.4</v>
      </c>
      <c r="T164" s="18">
        <f t="shared" ref="T164:T227" si="22">M164-S164</f>
        <v>0.79999999999999993</v>
      </c>
      <c r="U164" s="18">
        <f t="shared" si="16"/>
        <v>53.686204819277116</v>
      </c>
      <c r="W164">
        <v>115.6</v>
      </c>
      <c r="Y164">
        <f t="shared" si="15"/>
        <v>76174.3</v>
      </c>
      <c r="Z164">
        <f t="shared" si="18"/>
        <v>12726.700000000003</v>
      </c>
      <c r="AA164" s="29">
        <v>8.122301877282764</v>
      </c>
    </row>
    <row r="165" spans="1:27" x14ac:dyDescent="0.25">
      <c r="A165">
        <v>6440</v>
      </c>
      <c r="B165">
        <v>25210</v>
      </c>
      <c r="C165" s="4">
        <v>42743</v>
      </c>
      <c r="E165" s="29">
        <v>36</v>
      </c>
      <c r="F165" s="40"/>
      <c r="G165">
        <v>3.5</v>
      </c>
      <c r="H165">
        <v>0.7</v>
      </c>
      <c r="I165">
        <v>5.5</v>
      </c>
      <c r="J165">
        <f t="shared" ref="J165:J228" si="23">J164+G165</f>
        <v>1150.5999999999999</v>
      </c>
      <c r="K165">
        <f t="shared" si="19"/>
        <v>129.4</v>
      </c>
      <c r="M165">
        <v>0.9</v>
      </c>
      <c r="N165">
        <v>0.2</v>
      </c>
      <c r="O165">
        <f t="shared" si="20"/>
        <v>0.7</v>
      </c>
      <c r="P165">
        <f t="shared" ref="P165:P228" si="24">P164+O165</f>
        <v>45.5</v>
      </c>
      <c r="Q165">
        <v>131</v>
      </c>
      <c r="R165">
        <v>1</v>
      </c>
      <c r="S165" s="18">
        <f t="shared" si="21"/>
        <v>0.2</v>
      </c>
      <c r="T165" s="18">
        <f t="shared" si="22"/>
        <v>0.7</v>
      </c>
      <c r="U165" s="18">
        <f t="shared" si="16"/>
        <v>54.386204819277118</v>
      </c>
      <c r="W165">
        <v>133.9</v>
      </c>
      <c r="Y165">
        <f t="shared" ref="Y165:Y228" si="25">Y164+W165</f>
        <v>76308.2</v>
      </c>
      <c r="Z165">
        <f t="shared" si="18"/>
        <v>12860.600000000002</v>
      </c>
      <c r="AA165" s="29">
        <v>8.1477949919593993</v>
      </c>
    </row>
    <row r="166" spans="1:27" x14ac:dyDescent="0.25">
      <c r="A166">
        <v>6440</v>
      </c>
      <c r="B166">
        <v>25210</v>
      </c>
      <c r="C166" s="4">
        <v>42744</v>
      </c>
      <c r="F166" s="40"/>
      <c r="G166">
        <v>5.6</v>
      </c>
      <c r="H166">
        <v>3.2</v>
      </c>
      <c r="I166">
        <v>6.9</v>
      </c>
      <c r="J166">
        <f t="shared" si="23"/>
        <v>1156.1999999999998</v>
      </c>
      <c r="K166">
        <f t="shared" si="19"/>
        <v>135</v>
      </c>
      <c r="M166">
        <v>6.4</v>
      </c>
      <c r="N166">
        <v>0.2</v>
      </c>
      <c r="O166">
        <f t="shared" si="20"/>
        <v>6.2</v>
      </c>
      <c r="P166">
        <f t="shared" si="24"/>
        <v>51.7</v>
      </c>
      <c r="Q166">
        <v>132</v>
      </c>
      <c r="R166">
        <v>1</v>
      </c>
      <c r="S166" s="18">
        <f t="shared" si="21"/>
        <v>0.2</v>
      </c>
      <c r="T166" s="18">
        <f t="shared" si="22"/>
        <v>6.2</v>
      </c>
      <c r="U166" s="18">
        <f t="shared" si="16"/>
        <v>60.586204819277121</v>
      </c>
      <c r="W166">
        <v>168.8</v>
      </c>
      <c r="Y166">
        <f t="shared" si="25"/>
        <v>76477</v>
      </c>
      <c r="Z166">
        <f t="shared" si="18"/>
        <v>13029.400000000001</v>
      </c>
      <c r="AA166" s="29">
        <v>8.1745769493617964</v>
      </c>
    </row>
    <row r="167" spans="1:27" x14ac:dyDescent="0.25">
      <c r="A167">
        <v>6440</v>
      </c>
      <c r="B167">
        <v>25210</v>
      </c>
      <c r="C167" s="4">
        <v>42745</v>
      </c>
      <c r="E167" s="29">
        <v>37</v>
      </c>
      <c r="F167" s="40"/>
      <c r="G167">
        <v>4.9000000000000004</v>
      </c>
      <c r="H167">
        <v>2.8</v>
      </c>
      <c r="I167">
        <v>6.1</v>
      </c>
      <c r="J167">
        <f t="shared" si="23"/>
        <v>1161.0999999999999</v>
      </c>
      <c r="K167">
        <f t="shared" si="19"/>
        <v>139.9</v>
      </c>
      <c r="M167">
        <v>0.4</v>
      </c>
      <c r="N167">
        <v>0.2</v>
      </c>
      <c r="O167">
        <f t="shared" si="20"/>
        <v>0.2</v>
      </c>
      <c r="P167">
        <f t="shared" si="24"/>
        <v>51.900000000000006</v>
      </c>
      <c r="Q167">
        <v>133</v>
      </c>
      <c r="R167">
        <v>1</v>
      </c>
      <c r="S167" s="18">
        <f t="shared" si="21"/>
        <v>0.2</v>
      </c>
      <c r="T167" s="18">
        <f t="shared" si="22"/>
        <v>0.2</v>
      </c>
      <c r="U167" s="18">
        <f t="shared" ref="U167:U230" si="26">U166+T167</f>
        <v>60.786204819277124</v>
      </c>
      <c r="W167">
        <v>79.400000000000006</v>
      </c>
      <c r="Y167">
        <f t="shared" si="25"/>
        <v>76556.399999999994</v>
      </c>
      <c r="Z167">
        <f t="shared" si="18"/>
        <v>13108.800000000001</v>
      </c>
      <c r="AA167" s="29">
        <v>8.2026256074426964</v>
      </c>
    </row>
    <row r="168" spans="1:27" x14ac:dyDescent="0.25">
      <c r="A168">
        <v>6440</v>
      </c>
      <c r="B168">
        <v>25210</v>
      </c>
      <c r="C168" s="4">
        <v>42746</v>
      </c>
      <c r="F168" s="40"/>
      <c r="G168">
        <v>7.1</v>
      </c>
      <c r="H168">
        <v>4.9000000000000004</v>
      </c>
      <c r="I168">
        <v>9.1</v>
      </c>
      <c r="J168">
        <f t="shared" si="23"/>
        <v>1168.1999999999998</v>
      </c>
      <c r="K168">
        <f t="shared" si="19"/>
        <v>147</v>
      </c>
      <c r="M168">
        <v>0.6</v>
      </c>
      <c r="N168">
        <v>0.3</v>
      </c>
      <c r="O168">
        <f t="shared" si="20"/>
        <v>0.3</v>
      </c>
      <c r="P168">
        <f t="shared" si="24"/>
        <v>52.2</v>
      </c>
      <c r="Q168">
        <v>134</v>
      </c>
      <c r="R168">
        <v>1</v>
      </c>
      <c r="S168" s="18">
        <f t="shared" si="21"/>
        <v>0.3</v>
      </c>
      <c r="T168" s="18">
        <f t="shared" si="22"/>
        <v>0.3</v>
      </c>
      <c r="U168" s="18">
        <f t="shared" si="26"/>
        <v>61.086204819277121</v>
      </c>
      <c r="W168">
        <v>86.8</v>
      </c>
      <c r="Y168">
        <f t="shared" si="25"/>
        <v>76643.199999999997</v>
      </c>
      <c r="Z168">
        <f t="shared" si="18"/>
        <v>13195.6</v>
      </c>
      <c r="AA168" s="29">
        <v>8.2319181510357335</v>
      </c>
    </row>
    <row r="169" spans="1:27" x14ac:dyDescent="0.25">
      <c r="A169">
        <v>6440</v>
      </c>
      <c r="B169">
        <v>25210</v>
      </c>
      <c r="C169" s="4">
        <v>42747</v>
      </c>
      <c r="F169" s="40"/>
      <c r="G169">
        <v>5.2</v>
      </c>
      <c r="H169">
        <v>5.0999999999999996</v>
      </c>
      <c r="I169">
        <v>6.3</v>
      </c>
      <c r="J169">
        <f t="shared" si="23"/>
        <v>1173.3999999999999</v>
      </c>
      <c r="K169">
        <f t="shared" si="19"/>
        <v>152.19999999999999</v>
      </c>
      <c r="M169">
        <v>9.4</v>
      </c>
      <c r="N169">
        <v>0.7</v>
      </c>
      <c r="O169">
        <f t="shared" si="20"/>
        <v>8.7000000000000011</v>
      </c>
      <c r="P169">
        <f t="shared" si="24"/>
        <v>60.900000000000006</v>
      </c>
      <c r="Q169">
        <v>135</v>
      </c>
      <c r="R169">
        <v>1</v>
      </c>
      <c r="S169" s="18">
        <f t="shared" si="21"/>
        <v>0.7</v>
      </c>
      <c r="T169" s="18">
        <f t="shared" si="22"/>
        <v>8.7000000000000011</v>
      </c>
      <c r="U169" s="18">
        <f t="shared" si="26"/>
        <v>69.786204819277117</v>
      </c>
      <c r="W169">
        <v>75.7</v>
      </c>
      <c r="Y169">
        <f t="shared" si="25"/>
        <v>76718.899999999994</v>
      </c>
      <c r="Z169">
        <f t="shared" si="18"/>
        <v>13271.300000000001</v>
      </c>
      <c r="AA169" s="29">
        <v>8.2624311549813942</v>
      </c>
    </row>
    <row r="170" spans="1:27" x14ac:dyDescent="0.25">
      <c r="A170">
        <v>6440</v>
      </c>
      <c r="B170">
        <v>25210</v>
      </c>
      <c r="C170" s="4">
        <v>42748</v>
      </c>
      <c r="E170" s="29">
        <v>38</v>
      </c>
      <c r="F170" s="40"/>
      <c r="G170">
        <v>2.9</v>
      </c>
      <c r="H170">
        <v>0.9</v>
      </c>
      <c r="I170">
        <v>4.2</v>
      </c>
      <c r="J170">
        <f t="shared" si="23"/>
        <v>1176.3</v>
      </c>
      <c r="K170">
        <f t="shared" si="19"/>
        <v>155.1</v>
      </c>
      <c r="M170">
        <v>1.9</v>
      </c>
      <c r="N170">
        <v>0.8</v>
      </c>
      <c r="O170">
        <f t="shared" si="20"/>
        <v>1.0999999999999999</v>
      </c>
      <c r="P170">
        <f t="shared" si="24"/>
        <v>62.000000000000007</v>
      </c>
      <c r="Q170">
        <v>136</v>
      </c>
      <c r="R170">
        <v>1</v>
      </c>
      <c r="S170" s="18">
        <f t="shared" si="21"/>
        <v>0.8</v>
      </c>
      <c r="T170" s="18">
        <f t="shared" si="22"/>
        <v>1.0999999999999999</v>
      </c>
      <c r="U170" s="18">
        <f t="shared" si="26"/>
        <v>70.886204819277111</v>
      </c>
      <c r="W170">
        <v>271.60000000000002</v>
      </c>
      <c r="Y170">
        <f t="shared" si="25"/>
        <v>76990.5</v>
      </c>
      <c r="Z170">
        <f t="shared" si="18"/>
        <v>13542.900000000001</v>
      </c>
      <c r="AA170" s="29">
        <v>8.2941406470698915</v>
      </c>
    </row>
    <row r="171" spans="1:27" x14ac:dyDescent="0.25">
      <c r="A171">
        <v>6440</v>
      </c>
      <c r="B171">
        <v>25210</v>
      </c>
      <c r="C171" s="4">
        <v>42749</v>
      </c>
      <c r="E171" s="29">
        <v>39</v>
      </c>
      <c r="F171" s="40"/>
      <c r="G171">
        <v>1.3</v>
      </c>
      <c r="H171">
        <v>0.8</v>
      </c>
      <c r="I171">
        <v>1.6</v>
      </c>
      <c r="J171">
        <f t="shared" si="23"/>
        <v>1177.5999999999999</v>
      </c>
      <c r="K171">
        <f t="shared" si="19"/>
        <v>156.4</v>
      </c>
      <c r="M171">
        <v>0.2</v>
      </c>
      <c r="N171">
        <v>0.4</v>
      </c>
      <c r="O171">
        <f t="shared" si="20"/>
        <v>-0.2</v>
      </c>
      <c r="P171">
        <f t="shared" si="24"/>
        <v>61.800000000000004</v>
      </c>
      <c r="Q171">
        <v>137</v>
      </c>
      <c r="R171">
        <v>1</v>
      </c>
      <c r="S171" s="18">
        <f t="shared" si="21"/>
        <v>0.4</v>
      </c>
      <c r="T171" s="18">
        <f t="shared" si="22"/>
        <v>-0.2</v>
      </c>
      <c r="U171" s="18">
        <f t="shared" si="26"/>
        <v>70.686204819277108</v>
      </c>
      <c r="W171">
        <v>222.8</v>
      </c>
      <c r="Y171">
        <f t="shared" si="25"/>
        <v>77213.3</v>
      </c>
      <c r="Z171">
        <f t="shared" si="18"/>
        <v>13765.7</v>
      </c>
      <c r="AA171" s="29">
        <v>8.327022170496388</v>
      </c>
    </row>
    <row r="172" spans="1:27" x14ac:dyDescent="0.25">
      <c r="A172">
        <v>6440</v>
      </c>
      <c r="B172">
        <v>25210</v>
      </c>
      <c r="C172" s="4">
        <v>42750</v>
      </c>
      <c r="E172" s="29">
        <v>40</v>
      </c>
      <c r="F172" s="40"/>
      <c r="G172">
        <v>0.9</v>
      </c>
      <c r="H172">
        <v>0.2</v>
      </c>
      <c r="I172">
        <v>2.2000000000000002</v>
      </c>
      <c r="J172">
        <f t="shared" si="23"/>
        <v>1178.5</v>
      </c>
      <c r="K172">
        <f t="shared" si="19"/>
        <v>157.30000000000001</v>
      </c>
      <c r="M172">
        <v>1.5</v>
      </c>
      <c r="N172">
        <v>0.2</v>
      </c>
      <c r="O172">
        <f t="shared" si="20"/>
        <v>1.3</v>
      </c>
      <c r="P172">
        <f t="shared" si="24"/>
        <v>63.1</v>
      </c>
      <c r="Q172">
        <v>138</v>
      </c>
      <c r="R172">
        <v>1</v>
      </c>
      <c r="S172" s="18">
        <f t="shared" si="21"/>
        <v>0.2</v>
      </c>
      <c r="T172" s="18">
        <f t="shared" si="22"/>
        <v>1.3</v>
      </c>
      <c r="U172" s="18">
        <f t="shared" si="26"/>
        <v>71.986204819277106</v>
      </c>
      <c r="W172">
        <v>100.8</v>
      </c>
      <c r="Y172">
        <f t="shared" si="25"/>
        <v>77314.100000000006</v>
      </c>
      <c r="Z172">
        <f t="shared" si="18"/>
        <v>13866.5</v>
      </c>
      <c r="AA172" s="29">
        <v>8.3610508455430637</v>
      </c>
    </row>
    <row r="173" spans="1:27" x14ac:dyDescent="0.25">
      <c r="A173">
        <v>6440</v>
      </c>
      <c r="B173">
        <v>25210</v>
      </c>
      <c r="C173" s="4">
        <v>42751</v>
      </c>
      <c r="E173" s="29">
        <v>41</v>
      </c>
      <c r="F173" s="40"/>
      <c r="G173">
        <v>0.5</v>
      </c>
      <c r="H173">
        <v>0.1</v>
      </c>
      <c r="I173">
        <v>1.5</v>
      </c>
      <c r="J173">
        <f t="shared" si="23"/>
        <v>1179</v>
      </c>
      <c r="K173">
        <f t="shared" si="19"/>
        <v>157.80000000000001</v>
      </c>
      <c r="M173">
        <v>0</v>
      </c>
      <c r="N173">
        <v>0.2</v>
      </c>
      <c r="O173">
        <f t="shared" si="20"/>
        <v>-0.2</v>
      </c>
      <c r="P173">
        <f t="shared" si="24"/>
        <v>62.9</v>
      </c>
      <c r="Q173">
        <v>139</v>
      </c>
      <c r="R173">
        <v>1</v>
      </c>
      <c r="S173" s="18">
        <f t="shared" si="21"/>
        <v>0.2</v>
      </c>
      <c r="T173" s="18">
        <f t="shared" si="22"/>
        <v>-0.2</v>
      </c>
      <c r="U173" s="18">
        <f t="shared" si="26"/>
        <v>71.786204819277103</v>
      </c>
      <c r="W173">
        <v>112.1</v>
      </c>
      <c r="Y173">
        <f t="shared" si="25"/>
        <v>77426.200000000012</v>
      </c>
      <c r="Z173">
        <f t="shared" si="18"/>
        <v>13978.6</v>
      </c>
      <c r="AA173" s="29">
        <v>8.3962014302231101</v>
      </c>
    </row>
    <row r="174" spans="1:27" x14ac:dyDescent="0.25">
      <c r="A174">
        <v>6440</v>
      </c>
      <c r="B174">
        <v>25210</v>
      </c>
      <c r="C174" s="4">
        <v>42752</v>
      </c>
      <c r="E174" s="29">
        <v>42</v>
      </c>
      <c r="F174" s="40"/>
      <c r="G174">
        <v>-2.2000000000000002</v>
      </c>
      <c r="H174">
        <v>-3.3</v>
      </c>
      <c r="I174">
        <v>-1.6</v>
      </c>
      <c r="J174">
        <v>1179</v>
      </c>
      <c r="K174">
        <v>157.80000000000001</v>
      </c>
      <c r="M174">
        <v>0</v>
      </c>
      <c r="N174">
        <v>0.3</v>
      </c>
      <c r="O174">
        <f t="shared" si="20"/>
        <v>-0.3</v>
      </c>
      <c r="P174">
        <f t="shared" si="24"/>
        <v>62.6</v>
      </c>
      <c r="Q174">
        <v>140</v>
      </c>
      <c r="R174">
        <v>1</v>
      </c>
      <c r="S174" s="18">
        <f t="shared" si="21"/>
        <v>0.3</v>
      </c>
      <c r="T174" s="18">
        <f t="shared" si="22"/>
        <v>-0.3</v>
      </c>
      <c r="U174" s="18">
        <f t="shared" si="26"/>
        <v>71.486204819277106</v>
      </c>
      <c r="W174">
        <v>482</v>
      </c>
      <c r="Y174">
        <f t="shared" si="25"/>
        <v>77908.200000000012</v>
      </c>
      <c r="Z174">
        <f t="shared" si="18"/>
        <v>14460.6</v>
      </c>
      <c r="AA174" s="29">
        <v>8.4324483796432439</v>
      </c>
    </row>
    <row r="175" spans="1:27" x14ac:dyDescent="0.25">
      <c r="A175">
        <v>6440</v>
      </c>
      <c r="B175">
        <v>25210</v>
      </c>
      <c r="C175" s="4">
        <v>42753</v>
      </c>
      <c r="E175" s="29">
        <v>43</v>
      </c>
      <c r="F175" s="40"/>
      <c r="G175">
        <v>-2.5</v>
      </c>
      <c r="H175">
        <v>-4.4000000000000004</v>
      </c>
      <c r="I175">
        <v>-0.9</v>
      </c>
      <c r="J175">
        <v>1179</v>
      </c>
      <c r="K175">
        <v>157.80000000000001</v>
      </c>
      <c r="M175">
        <v>0</v>
      </c>
      <c r="N175">
        <v>0.5</v>
      </c>
      <c r="O175">
        <f t="shared" si="20"/>
        <v>-0.5</v>
      </c>
      <c r="P175">
        <f t="shared" si="24"/>
        <v>62.1</v>
      </c>
      <c r="Q175">
        <v>141</v>
      </c>
      <c r="R175">
        <v>1</v>
      </c>
      <c r="S175" s="18">
        <f t="shared" si="21"/>
        <v>0.5</v>
      </c>
      <c r="T175" s="18">
        <f t="shared" si="22"/>
        <v>-0.5</v>
      </c>
      <c r="U175" s="18">
        <f t="shared" si="26"/>
        <v>70.986204819277106</v>
      </c>
      <c r="W175">
        <v>593.20000000000005</v>
      </c>
      <c r="Y175">
        <f t="shared" si="25"/>
        <v>78501.400000000009</v>
      </c>
      <c r="Z175">
        <f t="shared" si="18"/>
        <v>15053.800000000001</v>
      </c>
      <c r="AA175" s="29">
        <v>8.4697659038637401</v>
      </c>
    </row>
    <row r="176" spans="1:27" x14ac:dyDescent="0.25">
      <c r="A176">
        <v>6440</v>
      </c>
      <c r="B176">
        <v>25210</v>
      </c>
      <c r="C176" s="4">
        <v>42754</v>
      </c>
      <c r="E176" s="29">
        <v>44</v>
      </c>
      <c r="F176" s="40"/>
      <c r="G176">
        <v>-1.7</v>
      </c>
      <c r="H176">
        <v>-4.3</v>
      </c>
      <c r="I176">
        <v>0.6</v>
      </c>
      <c r="J176">
        <v>1179</v>
      </c>
      <c r="K176">
        <v>157.80000000000001</v>
      </c>
      <c r="M176">
        <v>0</v>
      </c>
      <c r="N176">
        <v>0.6</v>
      </c>
      <c r="O176">
        <f t="shared" si="20"/>
        <v>-0.6</v>
      </c>
      <c r="P176">
        <f t="shared" si="24"/>
        <v>61.5</v>
      </c>
      <c r="Q176">
        <v>142</v>
      </c>
      <c r="R176">
        <v>1</v>
      </c>
      <c r="S176" s="18">
        <f t="shared" si="21"/>
        <v>0.6</v>
      </c>
      <c r="T176" s="18">
        <f t="shared" si="22"/>
        <v>-0.6</v>
      </c>
      <c r="U176" s="18">
        <f t="shared" si="26"/>
        <v>70.386204819277111</v>
      </c>
      <c r="W176">
        <v>701</v>
      </c>
      <c r="Y176">
        <f t="shared" si="25"/>
        <v>79202.400000000009</v>
      </c>
      <c r="Z176">
        <f t="shared" si="18"/>
        <v>15754.800000000001</v>
      </c>
      <c r="AA176" s="29">
        <v>8.5081280240577364</v>
      </c>
    </row>
    <row r="177" spans="1:28" x14ac:dyDescent="0.25">
      <c r="A177">
        <v>6440</v>
      </c>
      <c r="B177">
        <v>25210</v>
      </c>
      <c r="C177" s="4">
        <v>42755</v>
      </c>
      <c r="E177" s="29">
        <v>45</v>
      </c>
      <c r="F177" s="40"/>
      <c r="G177">
        <v>-1.6</v>
      </c>
      <c r="H177">
        <v>-4</v>
      </c>
      <c r="I177">
        <v>1.1000000000000001</v>
      </c>
      <c r="J177">
        <v>1179</v>
      </c>
      <c r="K177">
        <v>157.80000000000001</v>
      </c>
      <c r="M177">
        <v>0</v>
      </c>
      <c r="N177">
        <v>0.7</v>
      </c>
      <c r="O177">
        <f t="shared" si="20"/>
        <v>-0.7</v>
      </c>
      <c r="P177">
        <f t="shared" si="24"/>
        <v>60.8</v>
      </c>
      <c r="Q177">
        <v>143</v>
      </c>
      <c r="R177">
        <v>1</v>
      </c>
      <c r="S177" s="18">
        <f t="shared" si="21"/>
        <v>0.7</v>
      </c>
      <c r="T177" s="18">
        <f t="shared" si="22"/>
        <v>-0.7</v>
      </c>
      <c r="U177" s="18">
        <f t="shared" si="26"/>
        <v>69.686204819277108</v>
      </c>
      <c r="W177">
        <v>711</v>
      </c>
      <c r="Y177">
        <f t="shared" si="25"/>
        <v>79913.400000000009</v>
      </c>
      <c r="Z177">
        <f t="shared" si="18"/>
        <v>16465.800000000003</v>
      </c>
      <c r="AA177" s="29">
        <v>8.5475086267944071</v>
      </c>
    </row>
    <row r="178" spans="1:28" x14ac:dyDescent="0.25">
      <c r="A178">
        <v>6440</v>
      </c>
      <c r="B178">
        <v>25210</v>
      </c>
      <c r="C178" s="4">
        <v>42756</v>
      </c>
      <c r="E178" s="29">
        <v>46</v>
      </c>
      <c r="F178" s="40"/>
      <c r="G178">
        <v>-3</v>
      </c>
      <c r="H178">
        <v>-5.7</v>
      </c>
      <c r="I178">
        <v>-0.5</v>
      </c>
      <c r="J178">
        <v>1179</v>
      </c>
      <c r="K178">
        <v>157.80000000000001</v>
      </c>
      <c r="M178">
        <v>0</v>
      </c>
      <c r="N178">
        <v>0.6</v>
      </c>
      <c r="O178">
        <f t="shared" si="20"/>
        <v>-0.6</v>
      </c>
      <c r="P178">
        <f t="shared" si="24"/>
        <v>60.199999999999996</v>
      </c>
      <c r="Q178">
        <v>144</v>
      </c>
      <c r="R178">
        <v>1</v>
      </c>
      <c r="S178" s="18">
        <f t="shared" si="21"/>
        <v>0.6</v>
      </c>
      <c r="T178" s="18">
        <f t="shared" si="22"/>
        <v>-0.6</v>
      </c>
      <c r="U178" s="18">
        <f t="shared" si="26"/>
        <v>69.086204819277114</v>
      </c>
      <c r="W178">
        <v>772.5</v>
      </c>
      <c r="Y178">
        <f t="shared" si="25"/>
        <v>80685.900000000009</v>
      </c>
      <c r="Z178">
        <f t="shared" si="18"/>
        <v>17238.300000000003</v>
      </c>
      <c r="AA178" s="29">
        <v>8.5878815162933151</v>
      </c>
    </row>
    <row r="179" spans="1:28" x14ac:dyDescent="0.25">
      <c r="A179">
        <v>6440</v>
      </c>
      <c r="B179">
        <v>25210</v>
      </c>
      <c r="C179" s="4">
        <v>42757</v>
      </c>
      <c r="E179" s="29">
        <v>47</v>
      </c>
      <c r="F179" s="40"/>
      <c r="G179">
        <v>-2.6</v>
      </c>
      <c r="H179">
        <v>-6.6</v>
      </c>
      <c r="I179">
        <v>0.5</v>
      </c>
      <c r="J179">
        <v>1179</v>
      </c>
      <c r="K179">
        <v>157.80000000000001</v>
      </c>
      <c r="M179">
        <v>0</v>
      </c>
      <c r="N179">
        <v>0.5</v>
      </c>
      <c r="O179">
        <f t="shared" si="20"/>
        <v>-0.5</v>
      </c>
      <c r="P179">
        <f t="shared" si="24"/>
        <v>59.699999999999996</v>
      </c>
      <c r="Q179">
        <v>145</v>
      </c>
      <c r="R179">
        <v>1</v>
      </c>
      <c r="S179" s="18">
        <f t="shared" si="21"/>
        <v>0.5</v>
      </c>
      <c r="T179" s="18">
        <f t="shared" si="22"/>
        <v>-0.5</v>
      </c>
      <c r="U179" s="18">
        <f t="shared" si="26"/>
        <v>68.586204819277114</v>
      </c>
      <c r="W179">
        <v>615.9</v>
      </c>
      <c r="Y179">
        <f t="shared" si="25"/>
        <v>81301.8</v>
      </c>
      <c r="Z179">
        <f t="shared" si="18"/>
        <v>17854.200000000004</v>
      </c>
      <c r="AA179" s="29">
        <v>8.6292204645196637</v>
      </c>
    </row>
    <row r="180" spans="1:28" x14ac:dyDescent="0.25">
      <c r="A180">
        <v>6440</v>
      </c>
      <c r="B180">
        <v>25210</v>
      </c>
      <c r="C180" s="4">
        <v>42758</v>
      </c>
      <c r="E180" s="29">
        <v>48</v>
      </c>
      <c r="F180" s="40"/>
      <c r="G180">
        <v>-1.7</v>
      </c>
      <c r="H180">
        <v>-3.2</v>
      </c>
      <c r="I180">
        <v>-0.6</v>
      </c>
      <c r="J180">
        <v>1179</v>
      </c>
      <c r="K180">
        <v>157.80000000000001</v>
      </c>
      <c r="M180">
        <v>0</v>
      </c>
      <c r="N180">
        <v>0.3</v>
      </c>
      <c r="O180">
        <f t="shared" si="20"/>
        <v>-0.3</v>
      </c>
      <c r="P180">
        <f t="shared" si="24"/>
        <v>59.4</v>
      </c>
      <c r="Q180">
        <v>146</v>
      </c>
      <c r="R180">
        <v>1</v>
      </c>
      <c r="S180" s="18">
        <f t="shared" si="21"/>
        <v>0.3</v>
      </c>
      <c r="T180" s="18">
        <f t="shared" si="22"/>
        <v>-0.3</v>
      </c>
      <c r="U180" s="18">
        <f t="shared" si="26"/>
        <v>68.286204819277117</v>
      </c>
      <c r="W180">
        <v>249.4</v>
      </c>
      <c r="Y180">
        <f t="shared" si="25"/>
        <v>81551.199999999997</v>
      </c>
      <c r="Z180">
        <f t="shared" si="18"/>
        <v>18103.600000000006</v>
      </c>
      <c r="AA180" s="29">
        <v>8.6714992590116999</v>
      </c>
    </row>
    <row r="181" spans="1:28" x14ac:dyDescent="0.25">
      <c r="A181">
        <v>6440</v>
      </c>
      <c r="B181">
        <v>25210</v>
      </c>
      <c r="C181" s="4">
        <v>42759</v>
      </c>
      <c r="E181" s="29">
        <v>49</v>
      </c>
      <c r="F181" s="40"/>
      <c r="G181">
        <v>-0.8</v>
      </c>
      <c r="H181">
        <v>-2.2999999999999998</v>
      </c>
      <c r="I181">
        <v>0.2</v>
      </c>
      <c r="J181">
        <v>1179</v>
      </c>
      <c r="K181">
        <v>157.80000000000001</v>
      </c>
      <c r="M181">
        <v>0</v>
      </c>
      <c r="N181">
        <v>0.3</v>
      </c>
      <c r="O181">
        <f t="shared" si="20"/>
        <v>-0.3</v>
      </c>
      <c r="P181">
        <f t="shared" si="24"/>
        <v>59.1</v>
      </c>
      <c r="Q181">
        <v>147</v>
      </c>
      <c r="R181">
        <v>1</v>
      </c>
      <c r="S181" s="18">
        <f t="shared" si="21"/>
        <v>0.3</v>
      </c>
      <c r="T181" s="18">
        <f t="shared" si="22"/>
        <v>-0.3</v>
      </c>
      <c r="U181" s="18">
        <f t="shared" si="26"/>
        <v>67.98620481927712</v>
      </c>
      <c r="W181">
        <v>272.3</v>
      </c>
      <c r="Y181">
        <f t="shared" si="25"/>
        <v>81823.5</v>
      </c>
      <c r="Z181">
        <f t="shared" si="18"/>
        <v>18375.900000000005</v>
      </c>
      <c r="AA181" s="29">
        <v>8.7146917483526458</v>
      </c>
    </row>
    <row r="182" spans="1:28" x14ac:dyDescent="0.25">
      <c r="A182">
        <v>6440</v>
      </c>
      <c r="B182">
        <v>25210</v>
      </c>
      <c r="C182" s="4">
        <v>42760</v>
      </c>
      <c r="E182" s="29">
        <v>50</v>
      </c>
      <c r="F182" s="40"/>
      <c r="G182">
        <v>-1.2</v>
      </c>
      <c r="H182">
        <v>-1.4</v>
      </c>
      <c r="I182">
        <v>-0.6</v>
      </c>
      <c r="J182">
        <v>1179</v>
      </c>
      <c r="K182">
        <v>157.80000000000001</v>
      </c>
      <c r="M182">
        <v>0</v>
      </c>
      <c r="N182">
        <v>0.5</v>
      </c>
      <c r="O182">
        <f t="shared" si="20"/>
        <v>-0.5</v>
      </c>
      <c r="P182">
        <f t="shared" si="24"/>
        <v>58.6</v>
      </c>
      <c r="Q182">
        <v>148</v>
      </c>
      <c r="R182">
        <v>1</v>
      </c>
      <c r="S182" s="18">
        <f t="shared" si="21"/>
        <v>0.5</v>
      </c>
      <c r="T182" s="18">
        <f t="shared" si="22"/>
        <v>-0.5</v>
      </c>
      <c r="U182" s="18">
        <f t="shared" si="26"/>
        <v>67.48620481927712</v>
      </c>
      <c r="W182">
        <v>317.89999999999998</v>
      </c>
      <c r="Y182">
        <f t="shared" si="25"/>
        <v>82141.399999999994</v>
      </c>
      <c r="Z182">
        <f t="shared" si="18"/>
        <v>18693.800000000007</v>
      </c>
      <c r="AA182" s="29">
        <v>8.7587718852192307</v>
      </c>
    </row>
    <row r="183" spans="1:28" x14ac:dyDescent="0.25">
      <c r="A183">
        <v>6440</v>
      </c>
      <c r="B183">
        <v>25210</v>
      </c>
      <c r="C183" s="4">
        <v>42761</v>
      </c>
      <c r="E183" s="29">
        <v>51</v>
      </c>
      <c r="F183" s="40"/>
      <c r="G183">
        <v>-2.2000000000000002</v>
      </c>
      <c r="H183">
        <v>-4.0999999999999996</v>
      </c>
      <c r="I183">
        <v>-0.3</v>
      </c>
      <c r="J183">
        <v>1179</v>
      </c>
      <c r="K183">
        <v>157.80000000000001</v>
      </c>
      <c r="M183">
        <v>0</v>
      </c>
      <c r="N183">
        <v>0.8</v>
      </c>
      <c r="O183">
        <f t="shared" si="20"/>
        <v>-0.8</v>
      </c>
      <c r="P183">
        <f t="shared" si="24"/>
        <v>57.800000000000004</v>
      </c>
      <c r="Q183">
        <v>149</v>
      </c>
      <c r="R183">
        <v>1</v>
      </c>
      <c r="S183" s="18">
        <f t="shared" si="21"/>
        <v>0.8</v>
      </c>
      <c r="T183" s="18">
        <f t="shared" si="22"/>
        <v>-0.8</v>
      </c>
      <c r="U183" s="18">
        <f t="shared" si="26"/>
        <v>66.686204819277123</v>
      </c>
      <c r="W183">
        <v>714.7</v>
      </c>
      <c r="Y183">
        <f t="shared" si="25"/>
        <v>82856.099999999991</v>
      </c>
      <c r="Z183">
        <f t="shared" si="18"/>
        <v>19408.500000000007</v>
      </c>
      <c r="AA183" s="29">
        <v>8.8037137669579906</v>
      </c>
    </row>
    <row r="184" spans="1:28" x14ac:dyDescent="0.25">
      <c r="A184">
        <v>6440</v>
      </c>
      <c r="B184">
        <v>25210</v>
      </c>
      <c r="C184" s="4">
        <v>42762</v>
      </c>
      <c r="E184" s="29">
        <v>52</v>
      </c>
      <c r="F184" s="40"/>
      <c r="G184">
        <v>2</v>
      </c>
      <c r="H184">
        <v>-3.1</v>
      </c>
      <c r="I184">
        <v>6</v>
      </c>
      <c r="J184">
        <f t="shared" si="23"/>
        <v>1181</v>
      </c>
      <c r="K184">
        <f t="shared" si="19"/>
        <v>159.80000000000001</v>
      </c>
      <c r="M184">
        <v>0</v>
      </c>
      <c r="N184">
        <v>0.6</v>
      </c>
      <c r="O184">
        <f t="shared" si="20"/>
        <v>-0.6</v>
      </c>
      <c r="P184">
        <f t="shared" si="24"/>
        <v>57.2</v>
      </c>
      <c r="Q184">
        <v>150</v>
      </c>
      <c r="R184">
        <v>1</v>
      </c>
      <c r="S184" s="18">
        <f t="shared" si="21"/>
        <v>0.6</v>
      </c>
      <c r="T184" s="18">
        <f t="shared" si="22"/>
        <v>-0.6</v>
      </c>
      <c r="U184" s="18">
        <f t="shared" si="26"/>
        <v>66.086204819277128</v>
      </c>
      <c r="W184">
        <v>574</v>
      </c>
      <c r="Y184">
        <f t="shared" si="25"/>
        <v>83430.099999999991</v>
      </c>
      <c r="Z184">
        <f t="shared" si="18"/>
        <v>19982.500000000007</v>
      </c>
      <c r="AA184" s="29">
        <v>8.8494916736579938</v>
      </c>
    </row>
    <row r="185" spans="1:28" x14ac:dyDescent="0.25">
      <c r="A185">
        <v>6440</v>
      </c>
      <c r="B185">
        <v>25210</v>
      </c>
      <c r="C185" s="4">
        <v>42763</v>
      </c>
      <c r="F185" s="40"/>
      <c r="G185">
        <v>5.3</v>
      </c>
      <c r="H185">
        <v>3.5</v>
      </c>
      <c r="I185">
        <v>8.1999999999999993</v>
      </c>
      <c r="J185">
        <f t="shared" si="23"/>
        <v>1186.3</v>
      </c>
      <c r="K185">
        <f t="shared" si="19"/>
        <v>165.10000000000002</v>
      </c>
      <c r="M185">
        <v>0.5</v>
      </c>
      <c r="N185">
        <v>0.9</v>
      </c>
      <c r="O185">
        <f t="shared" si="20"/>
        <v>-0.4</v>
      </c>
      <c r="P185">
        <f t="shared" si="24"/>
        <v>56.800000000000004</v>
      </c>
      <c r="Q185">
        <v>151</v>
      </c>
      <c r="R185">
        <v>1</v>
      </c>
      <c r="S185" s="18">
        <f t="shared" si="21"/>
        <v>0.9</v>
      </c>
      <c r="T185" s="18">
        <f t="shared" si="22"/>
        <v>-0.4</v>
      </c>
      <c r="U185" s="18">
        <f t="shared" si="26"/>
        <v>65.686204819277123</v>
      </c>
      <c r="W185">
        <v>421.9</v>
      </c>
      <c r="Y185">
        <f t="shared" si="25"/>
        <v>83851.999999999985</v>
      </c>
      <c r="Z185">
        <f t="shared" si="18"/>
        <v>20404.400000000009</v>
      </c>
      <c r="AA185" s="29">
        <v>8.8960801037051613</v>
      </c>
    </row>
    <row r="186" spans="1:28" s="26" customFormat="1" ht="15.75" thickBot="1" x14ac:dyDescent="0.3">
      <c r="A186" s="26">
        <v>6440</v>
      </c>
      <c r="B186" s="26">
        <v>25210</v>
      </c>
      <c r="C186" s="27">
        <v>42764</v>
      </c>
      <c r="D186" s="26" t="s">
        <v>36</v>
      </c>
      <c r="E186" s="30">
        <v>53</v>
      </c>
      <c r="F186" s="40"/>
      <c r="G186" s="26">
        <v>4.0999999999999996</v>
      </c>
      <c r="H186" s="26">
        <v>2</v>
      </c>
      <c r="I186" s="26">
        <v>6.1</v>
      </c>
      <c r="J186" s="26">
        <f t="shared" si="23"/>
        <v>1190.3999999999999</v>
      </c>
      <c r="K186" s="26">
        <f t="shared" si="19"/>
        <v>169.20000000000002</v>
      </c>
      <c r="M186" s="26">
        <v>18</v>
      </c>
      <c r="N186" s="26">
        <v>0.4</v>
      </c>
      <c r="O186" s="26">
        <f t="shared" si="20"/>
        <v>17.600000000000001</v>
      </c>
      <c r="P186" s="26">
        <f t="shared" si="24"/>
        <v>74.400000000000006</v>
      </c>
      <c r="Q186" s="26">
        <v>152</v>
      </c>
      <c r="R186" s="26">
        <v>1</v>
      </c>
      <c r="S186" s="28">
        <f t="shared" si="21"/>
        <v>0.4</v>
      </c>
      <c r="T186" s="28">
        <f t="shared" si="22"/>
        <v>17.600000000000001</v>
      </c>
      <c r="U186" s="28">
        <f t="shared" si="26"/>
        <v>83.286204819277117</v>
      </c>
      <c r="W186" s="26">
        <v>151.9</v>
      </c>
      <c r="Y186" s="26">
        <f t="shared" si="25"/>
        <v>84003.89999999998</v>
      </c>
      <c r="Z186" s="26">
        <f t="shared" si="18"/>
        <v>20556.30000000001</v>
      </c>
      <c r="AA186" s="30">
        <v>8.9434538068184715</v>
      </c>
    </row>
    <row r="187" spans="1:28" ht="15" customHeight="1" x14ac:dyDescent="0.25">
      <c r="A187">
        <v>6440</v>
      </c>
      <c r="B187">
        <v>25210</v>
      </c>
      <c r="C187" s="4">
        <v>42765</v>
      </c>
      <c r="E187" t="s">
        <v>59</v>
      </c>
      <c r="F187" s="42" t="s">
        <v>47</v>
      </c>
      <c r="G187">
        <v>7.3</v>
      </c>
      <c r="H187">
        <v>5.3</v>
      </c>
      <c r="I187">
        <v>9.6999999999999993</v>
      </c>
      <c r="J187">
        <f t="shared" si="23"/>
        <v>1197.6999999999998</v>
      </c>
      <c r="K187">
        <v>7.3</v>
      </c>
      <c r="L187" s="11" t="s">
        <v>38</v>
      </c>
      <c r="M187">
        <v>2.5</v>
      </c>
      <c r="N187">
        <v>0.4</v>
      </c>
      <c r="O187">
        <f t="shared" si="20"/>
        <v>2.1</v>
      </c>
      <c r="P187">
        <f t="shared" si="24"/>
        <v>76.5</v>
      </c>
      <c r="Q187">
        <v>153</v>
      </c>
      <c r="R187">
        <f>1+((Q187-152)/60)*(1.15-1)</f>
        <v>1.0024999999999999</v>
      </c>
      <c r="S187" s="18">
        <f t="shared" si="21"/>
        <v>0.40100000000000002</v>
      </c>
      <c r="T187" s="18">
        <f t="shared" si="22"/>
        <v>2.0990000000000002</v>
      </c>
      <c r="U187" s="18">
        <f t="shared" si="26"/>
        <v>85.385204819277121</v>
      </c>
      <c r="V187" s="21" t="s">
        <v>51</v>
      </c>
      <c r="W187">
        <v>203.2</v>
      </c>
      <c r="Y187">
        <f t="shared" si="25"/>
        <v>84207.099999999977</v>
      </c>
      <c r="Z187">
        <f>W187</f>
        <v>203.2</v>
      </c>
      <c r="AA187" s="29">
        <v>8.9915878145820383</v>
      </c>
      <c r="AB187" s="21" t="s">
        <v>56</v>
      </c>
    </row>
    <row r="188" spans="1:28" x14ac:dyDescent="0.25">
      <c r="A188">
        <v>6440</v>
      </c>
      <c r="B188">
        <v>25210</v>
      </c>
      <c r="C188" s="4">
        <v>42766</v>
      </c>
      <c r="F188" s="42"/>
      <c r="G188">
        <v>6.4</v>
      </c>
      <c r="H188">
        <v>5.3</v>
      </c>
      <c r="I188">
        <v>7.3</v>
      </c>
      <c r="J188">
        <f t="shared" si="23"/>
        <v>1204.0999999999999</v>
      </c>
      <c r="K188">
        <f t="shared" si="19"/>
        <v>13.7</v>
      </c>
      <c r="L188" s="8">
        <v>455.2</v>
      </c>
      <c r="M188">
        <v>0.4</v>
      </c>
      <c r="N188">
        <v>0.2</v>
      </c>
      <c r="O188">
        <f t="shared" si="20"/>
        <v>0.2</v>
      </c>
      <c r="P188">
        <f t="shared" si="24"/>
        <v>76.7</v>
      </c>
      <c r="Q188">
        <v>154</v>
      </c>
      <c r="R188">
        <f t="shared" ref="R188:R246" si="27">1+((Q188-152)/60)*(1.15-1)</f>
        <v>1.0049999999999999</v>
      </c>
      <c r="S188" s="18">
        <f t="shared" si="21"/>
        <v>0.20099999999999998</v>
      </c>
      <c r="T188" s="18">
        <f t="shared" si="22"/>
        <v>0.19900000000000004</v>
      </c>
      <c r="U188" s="18">
        <f t="shared" si="26"/>
        <v>85.584204819277119</v>
      </c>
      <c r="V188">
        <v>0</v>
      </c>
      <c r="W188">
        <v>161.80000000000001</v>
      </c>
      <c r="Y188">
        <f t="shared" si="25"/>
        <v>84368.89999999998</v>
      </c>
      <c r="Z188">
        <f t="shared" si="18"/>
        <v>365</v>
      </c>
      <c r="AA188">
        <v>9.0404574684996071</v>
      </c>
      <c r="AB188">
        <v>33711.599999999999</v>
      </c>
    </row>
    <row r="189" spans="1:28" x14ac:dyDescent="0.25">
      <c r="A189">
        <v>6440</v>
      </c>
      <c r="B189">
        <v>25210</v>
      </c>
      <c r="C189" s="4">
        <v>42767</v>
      </c>
      <c r="F189" s="42"/>
      <c r="G189">
        <v>8.6</v>
      </c>
      <c r="H189">
        <v>6.9</v>
      </c>
      <c r="I189">
        <v>9.6999999999999993</v>
      </c>
      <c r="J189">
        <f t="shared" si="23"/>
        <v>1212.6999999999998</v>
      </c>
      <c r="K189">
        <f t="shared" ref="K189:K246" si="28">K188+G189</f>
        <v>22.299999999999997</v>
      </c>
      <c r="L189" s="11" t="s">
        <v>39</v>
      </c>
      <c r="M189">
        <v>0.4</v>
      </c>
      <c r="N189">
        <v>0.3</v>
      </c>
      <c r="O189">
        <f t="shared" si="20"/>
        <v>0.10000000000000003</v>
      </c>
      <c r="P189">
        <f t="shared" si="24"/>
        <v>76.8</v>
      </c>
      <c r="Q189">
        <v>155</v>
      </c>
      <c r="R189">
        <f t="shared" si="27"/>
        <v>1.0075000000000001</v>
      </c>
      <c r="S189" s="18">
        <f t="shared" si="21"/>
        <v>0.30225000000000002</v>
      </c>
      <c r="T189" s="18">
        <f t="shared" si="22"/>
        <v>9.7750000000000004E-2</v>
      </c>
      <c r="U189" s="18">
        <f t="shared" si="26"/>
        <v>85.681954819277124</v>
      </c>
      <c r="V189" s="21" t="s">
        <v>52</v>
      </c>
      <c r="W189">
        <v>172</v>
      </c>
      <c r="Y189">
        <f t="shared" si="25"/>
        <v>84540.89999999998</v>
      </c>
      <c r="Z189">
        <f t="shared" ref="Z189:Z246" si="29">Z188+W189</f>
        <v>537</v>
      </c>
      <c r="AA189">
        <v>9.0900384456090517</v>
      </c>
      <c r="AB189" s="21" t="s">
        <v>57</v>
      </c>
    </row>
    <row r="190" spans="1:28" x14ac:dyDescent="0.25">
      <c r="A190">
        <v>6440</v>
      </c>
      <c r="B190">
        <v>25210</v>
      </c>
      <c r="C190" s="4">
        <v>42768</v>
      </c>
      <c r="F190" s="42"/>
      <c r="G190">
        <v>9.8000000000000007</v>
      </c>
      <c r="H190">
        <v>7.3</v>
      </c>
      <c r="I190">
        <v>12</v>
      </c>
      <c r="J190">
        <f t="shared" si="23"/>
        <v>1222.4999999999998</v>
      </c>
      <c r="K190">
        <f t="shared" si="28"/>
        <v>32.099999999999994</v>
      </c>
      <c r="L190" s="8">
        <f>AVERAGE(G187:G246)</f>
        <v>7.5866666666666678</v>
      </c>
      <c r="M190">
        <v>0.2</v>
      </c>
      <c r="N190">
        <v>0.9</v>
      </c>
      <c r="O190">
        <f t="shared" si="20"/>
        <v>-0.7</v>
      </c>
      <c r="P190">
        <f t="shared" si="24"/>
        <v>76.099999999999994</v>
      </c>
      <c r="Q190">
        <v>156</v>
      </c>
      <c r="R190">
        <f t="shared" si="27"/>
        <v>1.01</v>
      </c>
      <c r="S190" s="18">
        <f t="shared" si="21"/>
        <v>0.90900000000000003</v>
      </c>
      <c r="T190" s="18">
        <f t="shared" si="22"/>
        <v>-0.70900000000000007</v>
      </c>
      <c r="U190" s="18">
        <f t="shared" si="26"/>
        <v>84.97295481927712</v>
      </c>
      <c r="V190">
        <v>0</v>
      </c>
      <c r="W190">
        <v>426.3</v>
      </c>
      <c r="Y190">
        <f t="shared" si="25"/>
        <v>84967.199999999983</v>
      </c>
      <c r="Z190">
        <f t="shared" si="29"/>
        <v>963.3</v>
      </c>
      <c r="AA190">
        <v>9.140306781704334</v>
      </c>
      <c r="AB190">
        <f>(AB188/100)/L188</f>
        <v>0.74058875219683651</v>
      </c>
    </row>
    <row r="191" spans="1:28" x14ac:dyDescent="0.25">
      <c r="A191">
        <v>6440</v>
      </c>
      <c r="B191">
        <v>25210</v>
      </c>
      <c r="C191" s="4">
        <v>42769</v>
      </c>
      <c r="F191" s="42"/>
      <c r="G191">
        <v>8</v>
      </c>
      <c r="H191">
        <v>7.3</v>
      </c>
      <c r="I191">
        <v>9.9</v>
      </c>
      <c r="J191">
        <f t="shared" si="23"/>
        <v>1230.4999999999998</v>
      </c>
      <c r="K191">
        <f t="shared" si="28"/>
        <v>40.099999999999994</v>
      </c>
      <c r="L191" s="11" t="s">
        <v>40</v>
      </c>
      <c r="M191">
        <v>0.9</v>
      </c>
      <c r="N191">
        <v>1</v>
      </c>
      <c r="O191">
        <f t="shared" si="20"/>
        <v>-9.9999999999999978E-2</v>
      </c>
      <c r="P191">
        <f t="shared" si="24"/>
        <v>76</v>
      </c>
      <c r="Q191">
        <v>157</v>
      </c>
      <c r="R191">
        <f t="shared" si="27"/>
        <v>1.0125</v>
      </c>
      <c r="S191" s="18">
        <f t="shared" si="21"/>
        <v>1.0125</v>
      </c>
      <c r="T191" s="18">
        <f t="shared" si="22"/>
        <v>-0.11249999999999993</v>
      </c>
      <c r="U191" s="18">
        <f t="shared" si="26"/>
        <v>84.860454819277123</v>
      </c>
      <c r="V191" s="21" t="s">
        <v>53</v>
      </c>
      <c r="W191">
        <v>324</v>
      </c>
      <c r="Y191">
        <f t="shared" si="25"/>
        <v>85291.199999999983</v>
      </c>
      <c r="Z191">
        <f t="shared" si="29"/>
        <v>1287.3</v>
      </c>
      <c r="AA191">
        <v>9.1912388922208965</v>
      </c>
      <c r="AB191" s="21" t="s">
        <v>58</v>
      </c>
    </row>
    <row r="192" spans="1:28" x14ac:dyDescent="0.25">
      <c r="A192">
        <v>6440</v>
      </c>
      <c r="B192">
        <v>25210</v>
      </c>
      <c r="C192" s="4">
        <v>42770</v>
      </c>
      <c r="F192" s="42"/>
      <c r="G192">
        <v>5.0999999999999996</v>
      </c>
      <c r="H192">
        <v>4.9000000000000004</v>
      </c>
      <c r="I192">
        <v>5.6</v>
      </c>
      <c r="J192">
        <f t="shared" si="23"/>
        <v>1235.5999999999997</v>
      </c>
      <c r="K192">
        <f t="shared" si="28"/>
        <v>45.199999999999996</v>
      </c>
      <c r="L192" s="9">
        <f>MIN(H187:H246)</f>
        <v>-0.5</v>
      </c>
      <c r="M192">
        <v>11</v>
      </c>
      <c r="N192">
        <v>0.4</v>
      </c>
      <c r="O192">
        <f t="shared" si="20"/>
        <v>10.6</v>
      </c>
      <c r="P192">
        <f t="shared" si="24"/>
        <v>86.6</v>
      </c>
      <c r="Q192">
        <v>158</v>
      </c>
      <c r="R192">
        <f t="shared" si="27"/>
        <v>1.0149999999999999</v>
      </c>
      <c r="S192" s="18">
        <f t="shared" si="21"/>
        <v>0.40599999999999997</v>
      </c>
      <c r="T192" s="18">
        <f t="shared" si="22"/>
        <v>10.593999999999999</v>
      </c>
      <c r="U192" s="18">
        <f t="shared" si="26"/>
        <v>95.454454819277117</v>
      </c>
      <c r="V192" s="18">
        <f>MIN(U187:U246)</f>
        <v>84.860454819277123</v>
      </c>
      <c r="W192">
        <v>126</v>
      </c>
      <c r="Y192">
        <f t="shared" si="25"/>
        <v>85417.199999999983</v>
      </c>
      <c r="Z192">
        <f t="shared" si="29"/>
        <v>1413.3</v>
      </c>
      <c r="AA192">
        <v>9.2428115908479125</v>
      </c>
      <c r="AB192">
        <v>46</v>
      </c>
    </row>
    <row r="193" spans="1:29" x14ac:dyDescent="0.25">
      <c r="A193">
        <v>6440</v>
      </c>
      <c r="B193">
        <v>25210</v>
      </c>
      <c r="C193" s="4">
        <v>42771</v>
      </c>
      <c r="F193" s="42"/>
      <c r="G193">
        <v>5.2</v>
      </c>
      <c r="H193">
        <v>3.9</v>
      </c>
      <c r="I193">
        <v>6.3</v>
      </c>
      <c r="J193">
        <f t="shared" si="23"/>
        <v>1240.7999999999997</v>
      </c>
      <c r="K193">
        <f t="shared" si="28"/>
        <v>50.4</v>
      </c>
      <c r="L193" s="11" t="s">
        <v>41</v>
      </c>
      <c r="M193">
        <v>4.3</v>
      </c>
      <c r="N193">
        <v>0.3</v>
      </c>
      <c r="O193">
        <f t="shared" si="20"/>
        <v>4</v>
      </c>
      <c r="P193">
        <f t="shared" si="24"/>
        <v>90.6</v>
      </c>
      <c r="Q193">
        <v>159</v>
      </c>
      <c r="R193">
        <f t="shared" si="27"/>
        <v>1.0175000000000001</v>
      </c>
      <c r="S193" s="18">
        <f t="shared" si="21"/>
        <v>0.30525000000000002</v>
      </c>
      <c r="T193" s="18">
        <f t="shared" si="22"/>
        <v>3.9947499999999998</v>
      </c>
      <c r="U193" s="18">
        <f t="shared" si="26"/>
        <v>99.449204819277114</v>
      </c>
      <c r="V193" s="21" t="s">
        <v>54</v>
      </c>
      <c r="W193">
        <v>105.1</v>
      </c>
      <c r="Y193">
        <f t="shared" si="25"/>
        <v>85522.299999999988</v>
      </c>
      <c r="Z193">
        <f t="shared" si="29"/>
        <v>1518.3999999999999</v>
      </c>
      <c r="AA193">
        <v>9.2950021059369075</v>
      </c>
    </row>
    <row r="194" spans="1:29" x14ac:dyDescent="0.25">
      <c r="A194">
        <v>6440</v>
      </c>
      <c r="B194">
        <v>25210</v>
      </c>
      <c r="C194" s="4">
        <v>42772</v>
      </c>
      <c r="F194" s="42"/>
      <c r="G194">
        <v>5.9</v>
      </c>
      <c r="H194">
        <v>4.5</v>
      </c>
      <c r="I194">
        <v>7.1</v>
      </c>
      <c r="J194">
        <f t="shared" si="23"/>
        <v>1246.6999999999998</v>
      </c>
      <c r="K194">
        <f t="shared" si="28"/>
        <v>56.3</v>
      </c>
      <c r="L194" s="8">
        <f>MAX(I187:I246)</f>
        <v>20.9</v>
      </c>
      <c r="M194">
        <v>5.5</v>
      </c>
      <c r="N194">
        <v>0.8</v>
      </c>
      <c r="O194">
        <f t="shared" si="20"/>
        <v>4.7</v>
      </c>
      <c r="P194">
        <f t="shared" si="24"/>
        <v>95.3</v>
      </c>
      <c r="Q194">
        <v>160</v>
      </c>
      <c r="R194">
        <f t="shared" si="27"/>
        <v>1.02</v>
      </c>
      <c r="S194" s="18">
        <f t="shared" si="21"/>
        <v>0.81600000000000006</v>
      </c>
      <c r="T194" s="18">
        <f t="shared" si="22"/>
        <v>4.6840000000000002</v>
      </c>
      <c r="U194" s="18">
        <f t="shared" si="26"/>
        <v>104.13320481927711</v>
      </c>
      <c r="V194" s="18">
        <f>MAX(U187:U246)</f>
        <v>138.17745481927707</v>
      </c>
      <c r="W194">
        <v>485.6</v>
      </c>
      <c r="Y194">
        <f t="shared" si="25"/>
        <v>86007.9</v>
      </c>
      <c r="Z194">
        <f t="shared" si="29"/>
        <v>2004</v>
      </c>
      <c r="AA194">
        <v>9.3477880947814995</v>
      </c>
    </row>
    <row r="195" spans="1:29" x14ac:dyDescent="0.25">
      <c r="A195">
        <v>6440</v>
      </c>
      <c r="B195">
        <v>25210</v>
      </c>
      <c r="C195" s="4">
        <v>42773</v>
      </c>
      <c r="F195" s="42"/>
      <c r="G195">
        <v>5.5</v>
      </c>
      <c r="H195">
        <v>4.8</v>
      </c>
      <c r="I195">
        <v>6.6</v>
      </c>
      <c r="J195">
        <f t="shared" si="23"/>
        <v>1252.1999999999998</v>
      </c>
      <c r="K195">
        <f t="shared" si="28"/>
        <v>61.8</v>
      </c>
      <c r="L195" s="11" t="s">
        <v>42</v>
      </c>
      <c r="M195" s="54">
        <v>0.7</v>
      </c>
      <c r="N195">
        <v>0.3</v>
      </c>
      <c r="O195">
        <f t="shared" si="20"/>
        <v>0.39999999999999997</v>
      </c>
      <c r="P195">
        <f t="shared" si="24"/>
        <v>95.7</v>
      </c>
      <c r="Q195">
        <v>161</v>
      </c>
      <c r="R195">
        <f t="shared" si="27"/>
        <v>1.0225</v>
      </c>
      <c r="S195" s="18">
        <f t="shared" si="21"/>
        <v>0.30674999999999997</v>
      </c>
      <c r="T195" s="18">
        <f t="shared" si="22"/>
        <v>0.39324999999999999</v>
      </c>
      <c r="U195" s="18">
        <f t="shared" si="26"/>
        <v>104.52645481927711</v>
      </c>
      <c r="V195" s="21" t="s">
        <v>55</v>
      </c>
      <c r="W195">
        <v>125</v>
      </c>
      <c r="Y195">
        <f t="shared" si="25"/>
        <v>86132.9</v>
      </c>
      <c r="Z195">
        <f t="shared" si="29"/>
        <v>2129</v>
      </c>
      <c r="AA195">
        <v>9.4011476558470584</v>
      </c>
      <c r="AC195" s="53" t="s">
        <v>63</v>
      </c>
    </row>
    <row r="196" spans="1:29" x14ac:dyDescent="0.25">
      <c r="A196">
        <v>6440</v>
      </c>
      <c r="B196">
        <v>25210</v>
      </c>
      <c r="C196" s="4">
        <v>42774</v>
      </c>
      <c r="F196" s="42"/>
      <c r="G196">
        <v>4.0999999999999996</v>
      </c>
      <c r="H196">
        <v>3.5</v>
      </c>
      <c r="I196">
        <v>5.2</v>
      </c>
      <c r="J196">
        <f t="shared" si="23"/>
        <v>1256.2999999999997</v>
      </c>
      <c r="K196">
        <f t="shared" si="28"/>
        <v>65.899999999999991</v>
      </c>
      <c r="L196" s="8">
        <v>0</v>
      </c>
      <c r="M196" s="54">
        <v>0</v>
      </c>
      <c r="N196">
        <v>0.5</v>
      </c>
      <c r="O196">
        <f t="shared" si="20"/>
        <v>-0.5</v>
      </c>
      <c r="P196">
        <f t="shared" si="24"/>
        <v>95.2</v>
      </c>
      <c r="Q196">
        <v>162</v>
      </c>
      <c r="R196">
        <f t="shared" si="27"/>
        <v>1.0249999999999999</v>
      </c>
      <c r="S196" s="18">
        <f t="shared" si="21"/>
        <v>0.51249999999999996</v>
      </c>
      <c r="T196" s="18">
        <f t="shared" si="22"/>
        <v>-0.51249999999999996</v>
      </c>
      <c r="U196" s="18">
        <f t="shared" si="26"/>
        <v>104.0139548192771</v>
      </c>
      <c r="V196" s="18">
        <f>AVERAGE(U187:U246)</f>
        <v>112.18277148594375</v>
      </c>
      <c r="W196">
        <v>280.39999999999998</v>
      </c>
      <c r="Y196">
        <f t="shared" si="25"/>
        <v>86413.299999999988</v>
      </c>
      <c r="Z196">
        <f t="shared" si="29"/>
        <v>2409.4</v>
      </c>
      <c r="AA196">
        <v>9.4550593390322515</v>
      </c>
      <c r="AC196" s="56">
        <f>AVERAGE(U202:U215)</f>
        <v>99.225954819277078</v>
      </c>
    </row>
    <row r="197" spans="1:29" x14ac:dyDescent="0.25">
      <c r="A197">
        <v>6440</v>
      </c>
      <c r="B197">
        <v>25210</v>
      </c>
      <c r="C197" s="4">
        <v>42775</v>
      </c>
      <c r="F197" s="42"/>
      <c r="G197">
        <v>2.5</v>
      </c>
      <c r="H197">
        <v>2</v>
      </c>
      <c r="I197">
        <v>3.3</v>
      </c>
      <c r="J197">
        <f t="shared" si="23"/>
        <v>1258.7999999999997</v>
      </c>
      <c r="K197">
        <f t="shared" si="28"/>
        <v>68.399999999999991</v>
      </c>
      <c r="L197" s="11" t="s">
        <v>43</v>
      </c>
      <c r="M197" s="54">
        <v>0</v>
      </c>
      <c r="N197">
        <v>0.3</v>
      </c>
      <c r="O197">
        <f t="shared" si="20"/>
        <v>-0.3</v>
      </c>
      <c r="P197">
        <f t="shared" si="24"/>
        <v>94.9</v>
      </c>
      <c r="Q197">
        <v>163</v>
      </c>
      <c r="R197">
        <f t="shared" si="27"/>
        <v>1.0275000000000001</v>
      </c>
      <c r="S197" s="18">
        <f t="shared" si="21"/>
        <v>0.30825000000000002</v>
      </c>
      <c r="T197" s="18">
        <f t="shared" si="22"/>
        <v>-0.30825000000000002</v>
      </c>
      <c r="U197" s="18">
        <f t="shared" si="26"/>
        <v>103.7057048192771</v>
      </c>
      <c r="W197">
        <v>232.2</v>
      </c>
      <c r="Y197">
        <f t="shared" si="25"/>
        <v>86645.499999999985</v>
      </c>
      <c r="Z197">
        <f t="shared" si="29"/>
        <v>2641.6</v>
      </c>
      <c r="AA197">
        <v>9.5095021540468014</v>
      </c>
      <c r="AC197" s="53" t="s">
        <v>64</v>
      </c>
    </row>
    <row r="198" spans="1:29" x14ac:dyDescent="0.25">
      <c r="A198">
        <v>6440</v>
      </c>
      <c r="B198">
        <v>25210</v>
      </c>
      <c r="C198" s="4">
        <v>42776</v>
      </c>
      <c r="F198" s="42"/>
      <c r="G198">
        <v>0.1</v>
      </c>
      <c r="H198">
        <v>-0.4</v>
      </c>
      <c r="I198">
        <v>0.5</v>
      </c>
      <c r="J198">
        <f t="shared" si="23"/>
        <v>1258.8999999999996</v>
      </c>
      <c r="K198">
        <f t="shared" si="28"/>
        <v>68.499999999999986</v>
      </c>
      <c r="L198" s="8">
        <v>31</v>
      </c>
      <c r="M198" s="54">
        <v>0</v>
      </c>
      <c r="N198">
        <v>0.3</v>
      </c>
      <c r="O198">
        <f t="shared" si="20"/>
        <v>-0.3</v>
      </c>
      <c r="P198">
        <f t="shared" si="24"/>
        <v>94.600000000000009</v>
      </c>
      <c r="Q198">
        <v>164</v>
      </c>
      <c r="R198">
        <f t="shared" si="27"/>
        <v>1.03</v>
      </c>
      <c r="S198" s="18">
        <f t="shared" si="21"/>
        <v>0.309</v>
      </c>
      <c r="T198" s="18">
        <f t="shared" si="22"/>
        <v>-0.309</v>
      </c>
      <c r="U198" s="18">
        <f t="shared" si="26"/>
        <v>103.3967048192771</v>
      </c>
      <c r="V198" s="37">
        <f>(V196*100)/189.6</f>
        <v>59.168128420856405</v>
      </c>
      <c r="W198">
        <v>273.5</v>
      </c>
      <c r="Y198">
        <f t="shared" si="25"/>
        <v>86918.999999999985</v>
      </c>
      <c r="Z198">
        <f t="shared" si="29"/>
        <v>2915.1</v>
      </c>
      <c r="AA198">
        <v>9.5644555769912056</v>
      </c>
      <c r="AC198" s="53">
        <v>4</v>
      </c>
    </row>
    <row r="199" spans="1:29" x14ac:dyDescent="0.25">
      <c r="A199">
        <v>6440</v>
      </c>
      <c r="B199">
        <v>25210</v>
      </c>
      <c r="C199" s="4">
        <v>42777</v>
      </c>
      <c r="F199" s="42"/>
      <c r="G199">
        <v>0.1</v>
      </c>
      <c r="H199">
        <v>-0.4</v>
      </c>
      <c r="I199">
        <v>0.7</v>
      </c>
      <c r="J199">
        <f t="shared" si="23"/>
        <v>1258.9999999999995</v>
      </c>
      <c r="K199">
        <f t="shared" si="28"/>
        <v>68.59999999999998</v>
      </c>
      <c r="L199" s="11" t="s">
        <v>44</v>
      </c>
      <c r="M199" s="54">
        <v>1</v>
      </c>
      <c r="N199">
        <v>0.2</v>
      </c>
      <c r="O199">
        <f t="shared" si="20"/>
        <v>0.8</v>
      </c>
      <c r="P199">
        <f t="shared" si="24"/>
        <v>95.4</v>
      </c>
      <c r="Q199">
        <v>165</v>
      </c>
      <c r="R199">
        <f t="shared" si="27"/>
        <v>1.0325</v>
      </c>
      <c r="S199" s="18">
        <f t="shared" si="21"/>
        <v>0.20650000000000002</v>
      </c>
      <c r="T199" s="18">
        <f t="shared" si="22"/>
        <v>0.79349999999999998</v>
      </c>
      <c r="U199" s="18">
        <f t="shared" si="26"/>
        <v>104.1902048192771</v>
      </c>
      <c r="W199">
        <v>109.3</v>
      </c>
      <c r="Y199">
        <f t="shared" si="25"/>
        <v>87028.299999999988</v>
      </c>
      <c r="Z199">
        <f t="shared" si="29"/>
        <v>3024.4</v>
      </c>
      <c r="AA199">
        <v>9.6198995552250626</v>
      </c>
      <c r="AC199" s="53" t="s">
        <v>65</v>
      </c>
    </row>
    <row r="200" spans="1:29" x14ac:dyDescent="0.25">
      <c r="A200">
        <v>6440</v>
      </c>
      <c r="B200">
        <v>25210</v>
      </c>
      <c r="C200" s="4">
        <v>42778</v>
      </c>
      <c r="F200" s="42"/>
      <c r="G200">
        <v>3.1</v>
      </c>
      <c r="H200">
        <v>0.3</v>
      </c>
      <c r="I200">
        <v>6.5</v>
      </c>
      <c r="J200">
        <f t="shared" si="23"/>
        <v>1262.0999999999995</v>
      </c>
      <c r="K200">
        <f t="shared" si="28"/>
        <v>71.699999999999974</v>
      </c>
      <c r="L200" s="8">
        <v>3</v>
      </c>
      <c r="M200" s="54">
        <v>0</v>
      </c>
      <c r="N200">
        <v>0.4</v>
      </c>
      <c r="O200">
        <f t="shared" si="20"/>
        <v>-0.4</v>
      </c>
      <c r="P200">
        <f t="shared" si="24"/>
        <v>95</v>
      </c>
      <c r="Q200">
        <v>166</v>
      </c>
      <c r="R200">
        <f t="shared" si="27"/>
        <v>1.0349999999999999</v>
      </c>
      <c r="S200" s="18">
        <f t="shared" si="21"/>
        <v>0.41399999999999998</v>
      </c>
      <c r="T200" s="18">
        <f t="shared" si="22"/>
        <v>-0.41399999999999998</v>
      </c>
      <c r="U200" s="18">
        <f t="shared" si="26"/>
        <v>103.7762048192771</v>
      </c>
      <c r="W200">
        <v>270.60000000000002</v>
      </c>
      <c r="Y200">
        <f t="shared" si="25"/>
        <v>87298.9</v>
      </c>
      <c r="Z200">
        <f t="shared" si="29"/>
        <v>3295</v>
      </c>
      <c r="AA200">
        <v>9.6758145106106941</v>
      </c>
      <c r="AC200" s="53">
        <v>2</v>
      </c>
    </row>
    <row r="201" spans="1:29" x14ac:dyDescent="0.25">
      <c r="A201">
        <v>6440</v>
      </c>
      <c r="B201">
        <v>25210</v>
      </c>
      <c r="C201" s="4">
        <v>42779</v>
      </c>
      <c r="F201" s="42"/>
      <c r="G201">
        <v>4.5999999999999996</v>
      </c>
      <c r="H201">
        <v>2.1</v>
      </c>
      <c r="I201">
        <v>6.7</v>
      </c>
      <c r="J201">
        <f t="shared" si="23"/>
        <v>1266.6999999999994</v>
      </c>
      <c r="K201">
        <f t="shared" si="28"/>
        <v>76.299999999999969</v>
      </c>
      <c r="M201" s="54">
        <v>0</v>
      </c>
      <c r="N201">
        <v>1.1000000000000001</v>
      </c>
      <c r="O201">
        <f t="shared" si="20"/>
        <v>-1.1000000000000001</v>
      </c>
      <c r="P201">
        <f t="shared" si="24"/>
        <v>93.9</v>
      </c>
      <c r="Q201">
        <v>167</v>
      </c>
      <c r="R201">
        <f t="shared" si="27"/>
        <v>1.0375000000000001</v>
      </c>
      <c r="S201" s="18">
        <f t="shared" si="21"/>
        <v>1.1412500000000001</v>
      </c>
      <c r="T201" s="18">
        <f t="shared" si="22"/>
        <v>-1.1412500000000001</v>
      </c>
      <c r="U201" s="18">
        <f t="shared" si="26"/>
        <v>102.6349548192771</v>
      </c>
      <c r="W201">
        <v>1004.1</v>
      </c>
      <c r="Y201">
        <f t="shared" si="25"/>
        <v>88303</v>
      </c>
      <c r="Z201">
        <f t="shared" si="29"/>
        <v>4299.1000000000004</v>
      </c>
      <c r="AA201">
        <v>9.7321813412184017</v>
      </c>
      <c r="AC201" s="53" t="s">
        <v>66</v>
      </c>
    </row>
    <row r="202" spans="1:29" x14ac:dyDescent="0.25">
      <c r="A202">
        <v>6440</v>
      </c>
      <c r="B202">
        <v>25210</v>
      </c>
      <c r="C202" s="4">
        <v>42780</v>
      </c>
      <c r="F202" s="42"/>
      <c r="G202">
        <v>6.3</v>
      </c>
      <c r="H202">
        <v>1.9</v>
      </c>
      <c r="I202">
        <v>9.9</v>
      </c>
      <c r="J202">
        <f t="shared" si="23"/>
        <v>1272.9999999999993</v>
      </c>
      <c r="K202">
        <f t="shared" si="28"/>
        <v>82.599999999999966</v>
      </c>
      <c r="M202" s="54">
        <v>0</v>
      </c>
      <c r="N202">
        <v>1</v>
      </c>
      <c r="O202">
        <f t="shared" si="20"/>
        <v>-1</v>
      </c>
      <c r="P202">
        <f t="shared" si="24"/>
        <v>92.9</v>
      </c>
      <c r="Q202">
        <v>168</v>
      </c>
      <c r="R202">
        <f t="shared" si="27"/>
        <v>1.04</v>
      </c>
      <c r="S202" s="18">
        <f t="shared" si="21"/>
        <v>1.04</v>
      </c>
      <c r="T202" s="18">
        <f t="shared" si="22"/>
        <v>-1.04</v>
      </c>
      <c r="U202" s="55">
        <f t="shared" si="26"/>
        <v>101.59495481927709</v>
      </c>
      <c r="W202">
        <v>587.5</v>
      </c>
      <c r="Y202">
        <f t="shared" si="25"/>
        <v>88890.5</v>
      </c>
      <c r="Z202">
        <f t="shared" si="29"/>
        <v>4886.6000000000004</v>
      </c>
      <c r="AA202">
        <v>9.7889814215787219</v>
      </c>
      <c r="AC202" s="53">
        <v>0</v>
      </c>
    </row>
    <row r="203" spans="1:29" x14ac:dyDescent="0.25">
      <c r="A203">
        <v>6440</v>
      </c>
      <c r="B203">
        <v>25210</v>
      </c>
      <c r="C203" s="4">
        <v>42781</v>
      </c>
      <c r="F203" s="42"/>
      <c r="G203">
        <v>8</v>
      </c>
      <c r="H203">
        <v>2.8</v>
      </c>
      <c r="I203">
        <v>13.4</v>
      </c>
      <c r="J203">
        <f t="shared" si="23"/>
        <v>1280.9999999999993</v>
      </c>
      <c r="K203">
        <f t="shared" si="28"/>
        <v>90.599999999999966</v>
      </c>
      <c r="M203" s="54">
        <v>0</v>
      </c>
      <c r="N203">
        <v>1.4</v>
      </c>
      <c r="O203">
        <f t="shared" si="20"/>
        <v>-1.4</v>
      </c>
      <c r="P203">
        <f t="shared" si="24"/>
        <v>91.5</v>
      </c>
      <c r="Q203">
        <v>169</v>
      </c>
      <c r="R203">
        <f t="shared" si="27"/>
        <v>1.0425</v>
      </c>
      <c r="S203" s="18">
        <f t="shared" si="21"/>
        <v>1.4594999999999998</v>
      </c>
      <c r="T203" s="18">
        <f t="shared" si="22"/>
        <v>-1.4594999999999998</v>
      </c>
      <c r="U203" s="55">
        <f t="shared" si="26"/>
        <v>100.13545481927709</v>
      </c>
      <c r="W203">
        <v>938.3</v>
      </c>
      <c r="Y203">
        <f t="shared" si="25"/>
        <v>89828.800000000003</v>
      </c>
      <c r="Z203">
        <f t="shared" si="29"/>
        <v>5824.9000000000005</v>
      </c>
      <c r="AA203">
        <v>9.8461966015656941</v>
      </c>
      <c r="AC203" s="53" t="s">
        <v>67</v>
      </c>
    </row>
    <row r="204" spans="1:29" x14ac:dyDescent="0.25">
      <c r="A204">
        <v>6440</v>
      </c>
      <c r="B204">
        <v>25210</v>
      </c>
      <c r="C204" s="4">
        <v>42782</v>
      </c>
      <c r="F204" s="42"/>
      <c r="G204">
        <v>6.5</v>
      </c>
      <c r="H204">
        <v>2.8</v>
      </c>
      <c r="I204">
        <v>10.7</v>
      </c>
      <c r="J204">
        <f t="shared" si="23"/>
        <v>1287.4999999999993</v>
      </c>
      <c r="K204">
        <f t="shared" si="28"/>
        <v>97.099999999999966</v>
      </c>
      <c r="M204" s="54">
        <v>0.2</v>
      </c>
      <c r="N204">
        <v>0.8</v>
      </c>
      <c r="O204">
        <f t="shared" si="20"/>
        <v>-0.60000000000000009</v>
      </c>
      <c r="P204">
        <f t="shared" si="24"/>
        <v>90.9</v>
      </c>
      <c r="Q204">
        <v>170</v>
      </c>
      <c r="R204">
        <f t="shared" si="27"/>
        <v>1.0449999999999999</v>
      </c>
      <c r="S204" s="18">
        <f t="shared" si="21"/>
        <v>0.83599999999999997</v>
      </c>
      <c r="T204" s="18">
        <f t="shared" si="22"/>
        <v>-0.6359999999999999</v>
      </c>
      <c r="U204" s="55">
        <f t="shared" si="26"/>
        <v>99.499454819277091</v>
      </c>
      <c r="W204">
        <v>426.2</v>
      </c>
      <c r="Y204">
        <f t="shared" si="25"/>
        <v>90255</v>
      </c>
      <c r="Z204">
        <f t="shared" si="29"/>
        <v>6251.1</v>
      </c>
      <c r="AA204">
        <v>9.9038092039933314</v>
      </c>
      <c r="AC204">
        <f>SUM(M206:M215)</f>
        <v>15.599999999999998</v>
      </c>
    </row>
    <row r="205" spans="1:29" s="50" customFormat="1" x14ac:dyDescent="0.25">
      <c r="A205" s="50">
        <v>6440</v>
      </c>
      <c r="B205" s="50">
        <v>25210</v>
      </c>
      <c r="C205" s="51">
        <v>42783</v>
      </c>
      <c r="D205" s="50" t="s">
        <v>62</v>
      </c>
      <c r="F205" s="42"/>
      <c r="G205" s="50">
        <v>6.3</v>
      </c>
      <c r="H205" s="50">
        <v>5.0999999999999996</v>
      </c>
      <c r="I205" s="50">
        <v>9.1</v>
      </c>
      <c r="J205" s="50">
        <f t="shared" si="23"/>
        <v>1293.7999999999993</v>
      </c>
      <c r="K205" s="50">
        <f t="shared" si="28"/>
        <v>103.39999999999996</v>
      </c>
      <c r="M205" s="50">
        <v>0.2</v>
      </c>
      <c r="N205" s="50">
        <v>0.8</v>
      </c>
      <c r="O205" s="50">
        <f t="shared" si="20"/>
        <v>-0.60000000000000009</v>
      </c>
      <c r="P205" s="50">
        <f t="shared" si="24"/>
        <v>90.300000000000011</v>
      </c>
      <c r="Q205" s="50">
        <v>171</v>
      </c>
      <c r="R205" s="50">
        <f t="shared" si="27"/>
        <v>1.0474999999999999</v>
      </c>
      <c r="S205" s="52">
        <f t="shared" si="21"/>
        <v>0.83799999999999997</v>
      </c>
      <c r="T205" s="52">
        <f t="shared" si="22"/>
        <v>-0.6379999999999999</v>
      </c>
      <c r="U205" s="52">
        <f t="shared" si="26"/>
        <v>98.861454819277085</v>
      </c>
      <c r="W205" s="50">
        <v>395.2</v>
      </c>
      <c r="Y205" s="50">
        <f t="shared" si="25"/>
        <v>90650.2</v>
      </c>
      <c r="Z205" s="50">
        <f t="shared" si="29"/>
        <v>6646.3</v>
      </c>
      <c r="AA205" s="50">
        <v>9.9618020210054645</v>
      </c>
    </row>
    <row r="206" spans="1:29" x14ac:dyDescent="0.25">
      <c r="A206">
        <v>6440</v>
      </c>
      <c r="B206">
        <v>25210</v>
      </c>
      <c r="C206" s="4">
        <v>42784</v>
      </c>
      <c r="F206" s="42"/>
      <c r="G206">
        <v>3</v>
      </c>
      <c r="H206">
        <v>0</v>
      </c>
      <c r="I206">
        <v>5.0999999999999996</v>
      </c>
      <c r="J206">
        <f t="shared" si="23"/>
        <v>1296.7999999999993</v>
      </c>
      <c r="K206">
        <f t="shared" si="28"/>
        <v>106.39999999999996</v>
      </c>
      <c r="M206" s="54">
        <v>0.2</v>
      </c>
      <c r="N206">
        <v>0.5</v>
      </c>
      <c r="O206">
        <f t="shared" si="20"/>
        <v>-0.3</v>
      </c>
      <c r="P206">
        <f t="shared" si="24"/>
        <v>90.000000000000014</v>
      </c>
      <c r="Q206">
        <v>172</v>
      </c>
      <c r="R206">
        <f t="shared" si="27"/>
        <v>1.05</v>
      </c>
      <c r="S206" s="18">
        <f t="shared" si="21"/>
        <v>0.52500000000000002</v>
      </c>
      <c r="T206" s="18">
        <f t="shared" si="22"/>
        <v>-0.32500000000000001</v>
      </c>
      <c r="U206" s="55">
        <f t="shared" si="26"/>
        <v>98.536454819277083</v>
      </c>
      <c r="W206">
        <v>351.5</v>
      </c>
      <c r="Y206">
        <f t="shared" si="25"/>
        <v>91001.7</v>
      </c>
      <c r="Z206">
        <f t="shared" si="29"/>
        <v>6997.8</v>
      </c>
      <c r="AA206">
        <v>10.020158309336756</v>
      </c>
    </row>
    <row r="207" spans="1:29" x14ac:dyDescent="0.25">
      <c r="A207">
        <v>6440</v>
      </c>
      <c r="B207">
        <v>25210</v>
      </c>
      <c r="C207" s="4">
        <v>42785</v>
      </c>
      <c r="F207" s="42"/>
      <c r="G207">
        <v>5.6</v>
      </c>
      <c r="H207">
        <v>-0.5</v>
      </c>
      <c r="I207">
        <v>9.1999999999999993</v>
      </c>
      <c r="J207">
        <f t="shared" si="23"/>
        <v>1302.3999999999992</v>
      </c>
      <c r="K207">
        <f t="shared" si="28"/>
        <v>111.99999999999996</v>
      </c>
      <c r="M207" s="54">
        <v>0.2</v>
      </c>
      <c r="N207">
        <v>0.4</v>
      </c>
      <c r="O207">
        <f t="shared" si="20"/>
        <v>-0.2</v>
      </c>
      <c r="P207">
        <f t="shared" si="24"/>
        <v>89.800000000000011</v>
      </c>
      <c r="Q207">
        <v>173</v>
      </c>
      <c r="R207">
        <f t="shared" si="27"/>
        <v>1.0525</v>
      </c>
      <c r="S207" s="18">
        <f t="shared" si="21"/>
        <v>0.42100000000000004</v>
      </c>
      <c r="T207" s="18">
        <f t="shared" si="22"/>
        <v>-0.22100000000000003</v>
      </c>
      <c r="U207" s="55">
        <f t="shared" si="26"/>
        <v>98.315454819277079</v>
      </c>
      <c r="W207">
        <v>387.6</v>
      </c>
      <c r="Y207">
        <f t="shared" si="25"/>
        <v>91389.3</v>
      </c>
      <c r="Z207">
        <f t="shared" si="29"/>
        <v>7385.4000000000005</v>
      </c>
      <c r="AA207">
        <v>10.07886178452004</v>
      </c>
    </row>
    <row r="208" spans="1:29" x14ac:dyDescent="0.25">
      <c r="A208">
        <v>6440</v>
      </c>
      <c r="B208">
        <v>25210</v>
      </c>
      <c r="C208" s="4">
        <v>42786</v>
      </c>
      <c r="F208" s="42"/>
      <c r="G208">
        <v>9.6</v>
      </c>
      <c r="H208">
        <v>7.9</v>
      </c>
      <c r="I208">
        <v>11.1</v>
      </c>
      <c r="J208">
        <f t="shared" si="23"/>
        <v>1311.9999999999991</v>
      </c>
      <c r="K208">
        <f t="shared" si="28"/>
        <v>121.59999999999995</v>
      </c>
      <c r="M208" s="54">
        <v>0.4</v>
      </c>
      <c r="N208">
        <v>0.3</v>
      </c>
      <c r="O208">
        <f t="shared" si="20"/>
        <v>0.10000000000000003</v>
      </c>
      <c r="P208">
        <f t="shared" si="24"/>
        <v>89.9</v>
      </c>
      <c r="Q208">
        <v>174</v>
      </c>
      <c r="R208">
        <f t="shared" si="27"/>
        <v>1.0549999999999999</v>
      </c>
      <c r="S208" s="18">
        <f t="shared" si="21"/>
        <v>0.31649999999999995</v>
      </c>
      <c r="T208" s="18">
        <f t="shared" si="22"/>
        <v>8.3500000000000074E-2</v>
      </c>
      <c r="U208" s="55">
        <f t="shared" si="26"/>
        <v>98.39895481927708</v>
      </c>
      <c r="W208">
        <v>134.80000000000001</v>
      </c>
      <c r="Y208">
        <f t="shared" si="25"/>
        <v>91524.1</v>
      </c>
      <c r="Z208">
        <f t="shared" si="29"/>
        <v>7520.2000000000007</v>
      </c>
      <c r="AA208">
        <v>10.137896614112416</v>
      </c>
    </row>
    <row r="209" spans="1:30" x14ac:dyDescent="0.25">
      <c r="A209">
        <v>6440</v>
      </c>
      <c r="B209">
        <v>25210</v>
      </c>
      <c r="C209" s="4">
        <v>42787</v>
      </c>
      <c r="F209" s="42"/>
      <c r="G209">
        <v>10.5</v>
      </c>
      <c r="H209">
        <v>9.6999999999999993</v>
      </c>
      <c r="I209">
        <v>11.1</v>
      </c>
      <c r="J209">
        <f t="shared" si="23"/>
        <v>1322.4999999999991</v>
      </c>
      <c r="K209">
        <f t="shared" si="28"/>
        <v>132.09999999999997</v>
      </c>
      <c r="M209" s="54">
        <v>0.6</v>
      </c>
      <c r="N209">
        <v>0.4</v>
      </c>
      <c r="O209">
        <f t="shared" si="20"/>
        <v>0.19999999999999996</v>
      </c>
      <c r="P209">
        <f t="shared" si="24"/>
        <v>90.100000000000009</v>
      </c>
      <c r="Q209">
        <v>175</v>
      </c>
      <c r="R209">
        <f t="shared" si="27"/>
        <v>1.0574999999999999</v>
      </c>
      <c r="S209" s="18">
        <f t="shared" si="21"/>
        <v>0.42299999999999999</v>
      </c>
      <c r="T209" s="18">
        <f t="shared" si="22"/>
        <v>0.17699999999999999</v>
      </c>
      <c r="U209" s="55">
        <f t="shared" si="26"/>
        <v>98.575954819277086</v>
      </c>
      <c r="W209">
        <v>199.7</v>
      </c>
      <c r="Y209">
        <f t="shared" si="25"/>
        <v>91723.8</v>
      </c>
      <c r="Z209">
        <f t="shared" si="29"/>
        <v>7719.9000000000005</v>
      </c>
      <c r="AA209">
        <v>10.197247410009632</v>
      </c>
    </row>
    <row r="210" spans="1:30" x14ac:dyDescent="0.25">
      <c r="A210">
        <v>6440</v>
      </c>
      <c r="B210">
        <v>25210</v>
      </c>
      <c r="C210" s="4">
        <v>42788</v>
      </c>
      <c r="F210" s="42"/>
      <c r="G210">
        <v>10.3</v>
      </c>
      <c r="H210">
        <v>10</v>
      </c>
      <c r="I210">
        <v>10.6</v>
      </c>
      <c r="J210">
        <f t="shared" si="23"/>
        <v>1332.799999999999</v>
      </c>
      <c r="K210">
        <f t="shared" si="28"/>
        <v>142.39999999999998</v>
      </c>
      <c r="M210" s="54">
        <v>1.3</v>
      </c>
      <c r="N210">
        <v>0.9</v>
      </c>
      <c r="O210">
        <f t="shared" si="20"/>
        <v>0.4</v>
      </c>
      <c r="P210">
        <f t="shared" si="24"/>
        <v>90.500000000000014</v>
      </c>
      <c r="Q210">
        <v>176</v>
      </c>
      <c r="R210">
        <f t="shared" si="27"/>
        <v>1.06</v>
      </c>
      <c r="S210" s="18">
        <f t="shared" si="21"/>
        <v>0.95400000000000007</v>
      </c>
      <c r="T210" s="18">
        <f t="shared" si="22"/>
        <v>0.34599999999999997</v>
      </c>
      <c r="U210" s="55">
        <f t="shared" si="26"/>
        <v>98.92195481927709</v>
      </c>
      <c r="W210">
        <v>185.9</v>
      </c>
      <c r="Y210">
        <f t="shared" si="25"/>
        <v>91909.7</v>
      </c>
      <c r="Z210">
        <f t="shared" si="29"/>
        <v>7905.8</v>
      </c>
      <c r="AA210">
        <v>10.256899219915233</v>
      </c>
    </row>
    <row r="211" spans="1:30" x14ac:dyDescent="0.25">
      <c r="A211">
        <v>6440</v>
      </c>
      <c r="B211">
        <v>25210</v>
      </c>
      <c r="C211" s="4">
        <v>42789</v>
      </c>
      <c r="F211" s="42"/>
      <c r="G211">
        <v>8.9</v>
      </c>
      <c r="H211">
        <v>8.4</v>
      </c>
      <c r="I211">
        <v>10.199999999999999</v>
      </c>
      <c r="J211">
        <f t="shared" si="23"/>
        <v>1341.6999999999991</v>
      </c>
      <c r="K211">
        <f t="shared" si="28"/>
        <v>151.29999999999998</v>
      </c>
      <c r="M211" s="54">
        <v>1.4</v>
      </c>
      <c r="N211">
        <v>1.4</v>
      </c>
      <c r="O211">
        <f t="shared" si="20"/>
        <v>0</v>
      </c>
      <c r="P211">
        <f t="shared" si="24"/>
        <v>90.500000000000014</v>
      </c>
      <c r="Q211">
        <v>177</v>
      </c>
      <c r="R211">
        <f t="shared" si="27"/>
        <v>1.0625</v>
      </c>
      <c r="S211" s="18">
        <f t="shared" si="21"/>
        <v>1.4874999999999998</v>
      </c>
      <c r="T211" s="18">
        <f t="shared" si="22"/>
        <v>-8.7499999999999911E-2</v>
      </c>
      <c r="U211" s="55">
        <f t="shared" si="26"/>
        <v>98.834454819277084</v>
      </c>
      <c r="W211">
        <v>202.6</v>
      </c>
      <c r="Y211">
        <f t="shared" si="25"/>
        <v>92112.3</v>
      </c>
      <c r="Z211">
        <f t="shared" si="29"/>
        <v>8108.4000000000005</v>
      </c>
      <c r="AA211">
        <v>10.316837518027908</v>
      </c>
      <c r="AD211" s="53" t="s">
        <v>63</v>
      </c>
    </row>
    <row r="212" spans="1:30" x14ac:dyDescent="0.25">
      <c r="A212">
        <v>6440</v>
      </c>
      <c r="B212">
        <v>25210</v>
      </c>
      <c r="C212" s="4">
        <v>42790</v>
      </c>
      <c r="F212" s="42"/>
      <c r="G212">
        <v>4.7</v>
      </c>
      <c r="H212">
        <v>4.5</v>
      </c>
      <c r="I212">
        <v>7.1</v>
      </c>
      <c r="J212">
        <f t="shared" si="23"/>
        <v>1346.3999999999992</v>
      </c>
      <c r="K212">
        <f t="shared" si="28"/>
        <v>155.99999999999997</v>
      </c>
      <c r="M212" s="54">
        <v>0.3</v>
      </c>
      <c r="N212">
        <v>1</v>
      </c>
      <c r="O212">
        <f t="shared" si="20"/>
        <v>-0.7</v>
      </c>
      <c r="P212">
        <f t="shared" si="24"/>
        <v>89.800000000000011</v>
      </c>
      <c r="Q212">
        <v>178</v>
      </c>
      <c r="R212">
        <f t="shared" si="27"/>
        <v>1.0649999999999999</v>
      </c>
      <c r="S212" s="18">
        <f t="shared" si="21"/>
        <v>1.0649999999999999</v>
      </c>
      <c r="T212" s="18">
        <f t="shared" si="22"/>
        <v>-0.7649999999999999</v>
      </c>
      <c r="U212" s="55">
        <f t="shared" si="26"/>
        <v>98.069454819277084</v>
      </c>
      <c r="W212">
        <v>418.9</v>
      </c>
      <c r="Y212">
        <f t="shared" si="25"/>
        <v>92531.199999999997</v>
      </c>
      <c r="Z212">
        <f t="shared" si="29"/>
        <v>8527.3000000000011</v>
      </c>
      <c r="AA212">
        <v>10.377048195007312</v>
      </c>
      <c r="AD212" s="53">
        <f>(AC196*(80/160))+(AC224*(80/160))</f>
        <v>113.24035660499138</v>
      </c>
    </row>
    <row r="213" spans="1:30" x14ac:dyDescent="0.25">
      <c r="A213">
        <v>6440</v>
      </c>
      <c r="B213">
        <v>25210</v>
      </c>
      <c r="C213" s="4">
        <v>42791</v>
      </c>
      <c r="F213" s="42"/>
      <c r="G213">
        <v>5.3</v>
      </c>
      <c r="H213">
        <v>0.1</v>
      </c>
      <c r="I213">
        <v>9</v>
      </c>
      <c r="J213">
        <f t="shared" si="23"/>
        <v>1351.6999999999991</v>
      </c>
      <c r="K213">
        <f t="shared" si="28"/>
        <v>161.29999999999998</v>
      </c>
      <c r="M213" s="54">
        <v>0</v>
      </c>
      <c r="N213">
        <v>0.8</v>
      </c>
      <c r="O213">
        <f t="shared" si="20"/>
        <v>-0.8</v>
      </c>
      <c r="P213">
        <f t="shared" si="24"/>
        <v>89.000000000000014</v>
      </c>
      <c r="Q213">
        <v>179</v>
      </c>
      <c r="R213">
        <f t="shared" si="27"/>
        <v>1.0674999999999999</v>
      </c>
      <c r="S213" s="18">
        <f t="shared" si="21"/>
        <v>0.85399999999999998</v>
      </c>
      <c r="T213" s="18">
        <f t="shared" si="22"/>
        <v>-0.85399999999999998</v>
      </c>
      <c r="U213" s="55">
        <f t="shared" si="26"/>
        <v>97.215454819277085</v>
      </c>
      <c r="W213">
        <v>365.9</v>
      </c>
      <c r="Y213">
        <f t="shared" si="25"/>
        <v>92897.099999999991</v>
      </c>
      <c r="Z213">
        <f t="shared" si="29"/>
        <v>8893.2000000000007</v>
      </c>
      <c r="AA213">
        <v>10.437517547275551</v>
      </c>
      <c r="AD213" s="53" t="s">
        <v>64</v>
      </c>
    </row>
    <row r="214" spans="1:30" x14ac:dyDescent="0.25">
      <c r="A214">
        <v>6440</v>
      </c>
      <c r="B214">
        <v>25210</v>
      </c>
      <c r="C214" s="4">
        <v>42792</v>
      </c>
      <c r="F214" s="42"/>
      <c r="G214">
        <v>9.1999999999999993</v>
      </c>
      <c r="H214">
        <v>6.4</v>
      </c>
      <c r="I214">
        <v>10.8</v>
      </c>
      <c r="J214">
        <f t="shared" si="23"/>
        <v>1360.8999999999992</v>
      </c>
      <c r="K214">
        <f t="shared" si="28"/>
        <v>170.49999999999997</v>
      </c>
      <c r="M214" s="54">
        <v>0</v>
      </c>
      <c r="N214">
        <v>1</v>
      </c>
      <c r="O214">
        <f t="shared" si="20"/>
        <v>-1</v>
      </c>
      <c r="P214">
        <f t="shared" si="24"/>
        <v>88.000000000000014</v>
      </c>
      <c r="Q214">
        <v>180</v>
      </c>
      <c r="R214">
        <f t="shared" si="27"/>
        <v>1.07</v>
      </c>
      <c r="S214" s="18">
        <f t="shared" si="21"/>
        <v>1.07</v>
      </c>
      <c r="T214" s="18">
        <f t="shared" si="22"/>
        <v>-1.07</v>
      </c>
      <c r="U214" s="55">
        <f t="shared" si="26"/>
        <v>96.145454819277091</v>
      </c>
      <c r="W214">
        <v>262.2</v>
      </c>
      <c r="Y214">
        <f t="shared" si="25"/>
        <v>93159.299999999988</v>
      </c>
      <c r="Z214">
        <f t="shared" si="29"/>
        <v>9155.4000000000015</v>
      </c>
      <c r="AA214">
        <v>10.49823226570833</v>
      </c>
      <c r="AD214" s="53">
        <f>(AC198*(80/160))+(AC226*(80/160))</f>
        <v>4</v>
      </c>
    </row>
    <row r="215" spans="1:30" x14ac:dyDescent="0.25">
      <c r="A215">
        <v>6440</v>
      </c>
      <c r="B215">
        <v>25210</v>
      </c>
      <c r="C215" s="4">
        <v>42793</v>
      </c>
      <c r="F215" s="42"/>
      <c r="G215">
        <v>8.3000000000000007</v>
      </c>
      <c r="H215">
        <v>6.7</v>
      </c>
      <c r="I215">
        <v>9.8000000000000007</v>
      </c>
      <c r="J215">
        <f t="shared" si="23"/>
        <v>1369.1999999999991</v>
      </c>
      <c r="K215">
        <f t="shared" si="28"/>
        <v>178.79999999999998</v>
      </c>
      <c r="M215" s="54">
        <v>11.2</v>
      </c>
      <c r="N215">
        <v>1.2</v>
      </c>
      <c r="O215">
        <f t="shared" si="20"/>
        <v>10</v>
      </c>
      <c r="P215">
        <f t="shared" si="24"/>
        <v>98.000000000000014</v>
      </c>
      <c r="Q215">
        <v>181</v>
      </c>
      <c r="R215">
        <f t="shared" si="27"/>
        <v>1.0725</v>
      </c>
      <c r="S215" s="18">
        <f t="shared" si="21"/>
        <v>1.2869999999999999</v>
      </c>
      <c r="T215" s="18">
        <f t="shared" si="22"/>
        <v>9.9130000000000003</v>
      </c>
      <c r="U215" s="55">
        <f t="shared" si="26"/>
        <v>106.05845481927709</v>
      </c>
      <c r="W215">
        <v>226.5</v>
      </c>
      <c r="Y215">
        <f t="shared" si="25"/>
        <v>93385.799999999988</v>
      </c>
      <c r="Z215">
        <f t="shared" si="29"/>
        <v>9381.9000000000015</v>
      </c>
      <c r="AA215">
        <v>10.559179423766718</v>
      </c>
      <c r="AD215" s="53" t="s">
        <v>65</v>
      </c>
    </row>
    <row r="216" spans="1:30" x14ac:dyDescent="0.25">
      <c r="A216">
        <v>6440</v>
      </c>
      <c r="B216">
        <v>25210</v>
      </c>
      <c r="C216" s="4">
        <v>42794</v>
      </c>
      <c r="F216" s="42"/>
      <c r="G216">
        <v>4.5999999999999996</v>
      </c>
      <c r="H216">
        <v>3.5</v>
      </c>
      <c r="I216">
        <v>5.7</v>
      </c>
      <c r="J216">
        <f t="shared" si="23"/>
        <v>1373.799999999999</v>
      </c>
      <c r="K216">
        <f t="shared" si="28"/>
        <v>183.39999999999998</v>
      </c>
      <c r="M216">
        <v>3.3</v>
      </c>
      <c r="N216">
        <v>0.7</v>
      </c>
      <c r="O216">
        <f t="shared" si="20"/>
        <v>2.5999999999999996</v>
      </c>
      <c r="P216">
        <f t="shared" si="24"/>
        <v>100.60000000000001</v>
      </c>
      <c r="Q216">
        <v>182</v>
      </c>
      <c r="R216">
        <f t="shared" si="27"/>
        <v>1.075</v>
      </c>
      <c r="S216" s="18">
        <f t="shared" si="21"/>
        <v>0.75249999999999995</v>
      </c>
      <c r="T216" s="18">
        <f t="shared" si="22"/>
        <v>2.5474999999999999</v>
      </c>
      <c r="U216" s="18">
        <f t="shared" si="26"/>
        <v>108.60595481927709</v>
      </c>
      <c r="W216">
        <v>229.9</v>
      </c>
      <c r="Y216">
        <f t="shared" si="25"/>
        <v>93615.699999999983</v>
      </c>
      <c r="Z216">
        <f t="shared" si="29"/>
        <v>9611.8000000000011</v>
      </c>
      <c r="AA216">
        <v>10.62034646511742</v>
      </c>
      <c r="AD216" s="53">
        <f>(AC200*(80/160))+(AC228*(80/160))</f>
        <v>4</v>
      </c>
    </row>
    <row r="217" spans="1:30" x14ac:dyDescent="0.25">
      <c r="A217">
        <v>6440</v>
      </c>
      <c r="B217">
        <v>25210</v>
      </c>
      <c r="C217" s="4">
        <v>42795</v>
      </c>
      <c r="F217" s="42"/>
      <c r="G217">
        <v>7.2</v>
      </c>
      <c r="H217">
        <v>5</v>
      </c>
      <c r="I217">
        <v>9.4</v>
      </c>
      <c r="J217">
        <f t="shared" si="23"/>
        <v>1380.9999999999991</v>
      </c>
      <c r="K217">
        <f t="shared" si="28"/>
        <v>190.59999999999997</v>
      </c>
      <c r="M217">
        <v>3.9</v>
      </c>
      <c r="N217">
        <v>0.8</v>
      </c>
      <c r="O217">
        <f t="shared" si="20"/>
        <v>3.0999999999999996</v>
      </c>
      <c r="P217">
        <f t="shared" si="24"/>
        <v>103.7</v>
      </c>
      <c r="Q217">
        <v>183</v>
      </c>
      <c r="R217">
        <f t="shared" si="27"/>
        <v>1.0774999999999999</v>
      </c>
      <c r="S217" s="18">
        <f t="shared" si="21"/>
        <v>0.86199999999999999</v>
      </c>
      <c r="T217" s="18">
        <f t="shared" si="22"/>
        <v>3.0379999999999998</v>
      </c>
      <c r="U217" s="18">
        <f t="shared" si="26"/>
        <v>111.64395481927708</v>
      </c>
      <c r="W217">
        <v>248</v>
      </c>
      <c r="Y217">
        <f t="shared" si="25"/>
        <v>93863.699999999983</v>
      </c>
      <c r="Z217">
        <f t="shared" si="29"/>
        <v>9859.8000000000011</v>
      </c>
      <c r="AA217">
        <v>10.681721190786435</v>
      </c>
      <c r="AD217" s="53" t="s">
        <v>66</v>
      </c>
    </row>
    <row r="218" spans="1:30" x14ac:dyDescent="0.25">
      <c r="A218">
        <v>6440</v>
      </c>
      <c r="B218">
        <v>25210</v>
      </c>
      <c r="C218" s="4">
        <v>42796</v>
      </c>
      <c r="F218" s="42"/>
      <c r="G218">
        <v>6.8</v>
      </c>
      <c r="H218">
        <v>5.3</v>
      </c>
      <c r="I218">
        <v>10</v>
      </c>
      <c r="J218">
        <f t="shared" si="23"/>
        <v>1387.799999999999</v>
      </c>
      <c r="K218">
        <f t="shared" si="28"/>
        <v>197.39999999999998</v>
      </c>
      <c r="M218">
        <v>0.2</v>
      </c>
      <c r="N218">
        <v>1.9</v>
      </c>
      <c r="O218">
        <f t="shared" si="20"/>
        <v>-1.7</v>
      </c>
      <c r="P218">
        <f t="shared" si="24"/>
        <v>102</v>
      </c>
      <c r="Q218">
        <v>184</v>
      </c>
      <c r="R218">
        <f t="shared" si="27"/>
        <v>1.0799999999999998</v>
      </c>
      <c r="S218" s="18">
        <f t="shared" si="21"/>
        <v>2.0519999999999996</v>
      </c>
      <c r="T218" s="18">
        <f t="shared" si="22"/>
        <v>-1.8519999999999996</v>
      </c>
      <c r="U218" s="18">
        <f t="shared" si="26"/>
        <v>109.79195481927708</v>
      </c>
      <c r="W218">
        <v>785.8</v>
      </c>
      <c r="Y218">
        <f t="shared" si="25"/>
        <v>94649.499999999985</v>
      </c>
      <c r="Z218">
        <f t="shared" si="29"/>
        <v>10645.6</v>
      </c>
      <c r="AA218">
        <v>10.74329174588811</v>
      </c>
      <c r="AD218" s="53">
        <f>(AC202*(80/160))+(AC230*(80/160))</f>
        <v>0</v>
      </c>
    </row>
    <row r="219" spans="1:30" x14ac:dyDescent="0.25">
      <c r="A219">
        <v>6440</v>
      </c>
      <c r="B219">
        <v>25210</v>
      </c>
      <c r="C219" s="4">
        <v>42797</v>
      </c>
      <c r="F219" s="42"/>
      <c r="G219">
        <v>8.6999999999999993</v>
      </c>
      <c r="H219">
        <v>4.0999999999999996</v>
      </c>
      <c r="I219">
        <v>10.8</v>
      </c>
      <c r="J219">
        <f t="shared" si="23"/>
        <v>1396.4999999999991</v>
      </c>
      <c r="K219">
        <f t="shared" si="28"/>
        <v>206.09999999999997</v>
      </c>
      <c r="M219">
        <v>5</v>
      </c>
      <c r="N219">
        <v>0.7</v>
      </c>
      <c r="O219">
        <f t="shared" si="20"/>
        <v>4.3</v>
      </c>
      <c r="P219">
        <f t="shared" si="24"/>
        <v>106.3</v>
      </c>
      <c r="Q219">
        <v>185</v>
      </c>
      <c r="R219">
        <f t="shared" si="27"/>
        <v>1.0825</v>
      </c>
      <c r="S219" s="18">
        <f t="shared" si="21"/>
        <v>0.75774999999999992</v>
      </c>
      <c r="T219" s="18">
        <f t="shared" si="22"/>
        <v>4.2422500000000003</v>
      </c>
      <c r="U219" s="18">
        <f t="shared" si="26"/>
        <v>114.03420481927708</v>
      </c>
      <c r="W219">
        <v>409.2</v>
      </c>
      <c r="Y219">
        <f t="shared" si="25"/>
        <v>95058.699999999983</v>
      </c>
      <c r="Z219">
        <f t="shared" si="29"/>
        <v>11054.800000000001</v>
      </c>
      <c r="AA219">
        <v>10.805046605968734</v>
      </c>
      <c r="AD219" s="53" t="s">
        <v>67</v>
      </c>
    </row>
    <row r="220" spans="1:30" x14ac:dyDescent="0.25">
      <c r="A220">
        <v>6440</v>
      </c>
      <c r="B220">
        <v>25210</v>
      </c>
      <c r="C220" s="4">
        <v>42798</v>
      </c>
      <c r="F220" s="42"/>
      <c r="G220">
        <v>8</v>
      </c>
      <c r="H220">
        <v>6.9</v>
      </c>
      <c r="I220">
        <v>8.8000000000000007</v>
      </c>
      <c r="J220">
        <f t="shared" si="23"/>
        <v>1404.4999999999991</v>
      </c>
      <c r="K220">
        <f t="shared" si="28"/>
        <v>214.09999999999997</v>
      </c>
      <c r="M220">
        <v>8.1</v>
      </c>
      <c r="N220">
        <v>0.4</v>
      </c>
      <c r="O220">
        <f t="shared" si="20"/>
        <v>7.6999999999999993</v>
      </c>
      <c r="P220">
        <f t="shared" si="24"/>
        <v>114</v>
      </c>
      <c r="Q220">
        <v>186</v>
      </c>
      <c r="R220">
        <f t="shared" si="27"/>
        <v>1.085</v>
      </c>
      <c r="S220" s="18">
        <f t="shared" si="21"/>
        <v>0.434</v>
      </c>
      <c r="T220" s="18">
        <f t="shared" si="22"/>
        <v>7.6659999999999995</v>
      </c>
      <c r="U220" s="18">
        <f t="shared" si="26"/>
        <v>121.70020481927708</v>
      </c>
      <c r="W220">
        <v>199.9</v>
      </c>
      <c r="Y220">
        <f t="shared" si="25"/>
        <v>95258.599999999977</v>
      </c>
      <c r="Z220">
        <f t="shared" si="29"/>
        <v>11254.7</v>
      </c>
      <c r="AA220">
        <v>10.866974563001163</v>
      </c>
      <c r="AD220" s="53">
        <f>(AC204*(80/160))+(AC232*(80/160))</f>
        <v>11.599999999999998</v>
      </c>
    </row>
    <row r="221" spans="1:30" x14ac:dyDescent="0.25">
      <c r="A221">
        <v>6440</v>
      </c>
      <c r="B221">
        <v>25210</v>
      </c>
      <c r="C221" s="4">
        <v>42799</v>
      </c>
      <c r="F221" s="42"/>
      <c r="G221">
        <v>5.4</v>
      </c>
      <c r="H221">
        <v>4</v>
      </c>
      <c r="I221">
        <v>6.5</v>
      </c>
      <c r="J221">
        <f t="shared" si="23"/>
        <v>1409.8999999999992</v>
      </c>
      <c r="K221">
        <f t="shared" si="28"/>
        <v>219.49999999999997</v>
      </c>
      <c r="M221">
        <v>10.1</v>
      </c>
      <c r="N221">
        <v>0.6</v>
      </c>
      <c r="O221">
        <f t="shared" si="20"/>
        <v>9.5</v>
      </c>
      <c r="P221">
        <f t="shared" si="24"/>
        <v>123.5</v>
      </c>
      <c r="Q221">
        <v>187</v>
      </c>
      <c r="R221">
        <f t="shared" si="27"/>
        <v>1.0874999999999999</v>
      </c>
      <c r="S221" s="18">
        <f t="shared" si="21"/>
        <v>0.65249999999999997</v>
      </c>
      <c r="T221" s="18">
        <f t="shared" si="22"/>
        <v>9.4474999999999998</v>
      </c>
      <c r="U221" s="18">
        <f t="shared" si="26"/>
        <v>131.14770481927707</v>
      </c>
      <c r="W221">
        <v>233.9</v>
      </c>
      <c r="Y221">
        <f t="shared" si="25"/>
        <v>95492.499999999971</v>
      </c>
      <c r="Z221">
        <f t="shared" si="29"/>
        <v>11488.6</v>
      </c>
      <c r="AA221">
        <v>10.929064711064221</v>
      </c>
    </row>
    <row r="222" spans="1:30" x14ac:dyDescent="0.25">
      <c r="A222">
        <v>6440</v>
      </c>
      <c r="B222">
        <v>25210</v>
      </c>
      <c r="C222" s="4">
        <v>42800</v>
      </c>
      <c r="F222" s="42"/>
      <c r="G222">
        <v>6.7</v>
      </c>
      <c r="H222">
        <v>5.7</v>
      </c>
      <c r="I222">
        <v>8.3000000000000007</v>
      </c>
      <c r="J222">
        <f t="shared" si="23"/>
        <v>1416.5999999999992</v>
      </c>
      <c r="K222">
        <f t="shared" si="28"/>
        <v>226.19999999999996</v>
      </c>
      <c r="M222">
        <v>0.5</v>
      </c>
      <c r="N222">
        <v>0.9</v>
      </c>
      <c r="O222">
        <f t="shared" si="20"/>
        <v>-0.4</v>
      </c>
      <c r="P222">
        <f t="shared" si="24"/>
        <v>123.1</v>
      </c>
      <c r="Q222">
        <v>188</v>
      </c>
      <c r="R222">
        <f t="shared" si="27"/>
        <v>1.0899999999999999</v>
      </c>
      <c r="S222" s="18">
        <f t="shared" si="21"/>
        <v>0.98099999999999987</v>
      </c>
      <c r="T222" s="18">
        <f t="shared" si="22"/>
        <v>-0.48099999999999987</v>
      </c>
      <c r="U222" s="18">
        <f t="shared" si="26"/>
        <v>130.66670481927707</v>
      </c>
      <c r="W222">
        <v>656</v>
      </c>
      <c r="Y222">
        <f t="shared" si="25"/>
        <v>96148.499999999971</v>
      </c>
      <c r="Z222">
        <f t="shared" si="29"/>
        <v>12144.6</v>
      </c>
      <c r="AA222">
        <v>10.991306431738268</v>
      </c>
    </row>
    <row r="223" spans="1:30" x14ac:dyDescent="0.25">
      <c r="A223">
        <v>6440</v>
      </c>
      <c r="B223">
        <v>25210</v>
      </c>
      <c r="C223" s="4">
        <v>42801</v>
      </c>
      <c r="F223" s="42"/>
      <c r="G223">
        <v>5.8</v>
      </c>
      <c r="H223">
        <v>4.2</v>
      </c>
      <c r="I223">
        <v>8.6999999999999993</v>
      </c>
      <c r="J223">
        <f t="shared" si="23"/>
        <v>1422.3999999999992</v>
      </c>
      <c r="K223">
        <f t="shared" si="28"/>
        <v>231.99999999999997</v>
      </c>
      <c r="M223" s="54">
        <v>2.5</v>
      </c>
      <c r="N223">
        <v>1</v>
      </c>
      <c r="O223">
        <f t="shared" si="20"/>
        <v>1.5</v>
      </c>
      <c r="P223">
        <f t="shared" si="24"/>
        <v>124.6</v>
      </c>
      <c r="Q223">
        <v>189</v>
      </c>
      <c r="R223">
        <f t="shared" si="27"/>
        <v>1.0925</v>
      </c>
      <c r="S223" s="18">
        <f t="shared" si="21"/>
        <v>1.0925</v>
      </c>
      <c r="T223" s="18">
        <f t="shared" si="22"/>
        <v>1.4075</v>
      </c>
      <c r="U223" s="18">
        <f t="shared" si="26"/>
        <v>132.07420481927707</v>
      </c>
      <c r="W223">
        <v>631.20000000000005</v>
      </c>
      <c r="Y223">
        <f t="shared" si="25"/>
        <v>96779.699999999968</v>
      </c>
      <c r="Z223">
        <f t="shared" si="29"/>
        <v>12775.800000000001</v>
      </c>
      <c r="AA223">
        <v>11.053689379245807</v>
      </c>
      <c r="AC223" s="53" t="s">
        <v>63</v>
      </c>
    </row>
    <row r="224" spans="1:30" x14ac:dyDescent="0.25">
      <c r="A224">
        <v>6440</v>
      </c>
      <c r="B224">
        <v>25210</v>
      </c>
      <c r="C224" s="4">
        <v>42802</v>
      </c>
      <c r="F224" s="42"/>
      <c r="G224">
        <v>9.5</v>
      </c>
      <c r="H224">
        <v>3.6</v>
      </c>
      <c r="I224">
        <v>11.9</v>
      </c>
      <c r="J224">
        <f t="shared" si="23"/>
        <v>1431.8999999999992</v>
      </c>
      <c r="K224">
        <f t="shared" si="28"/>
        <v>241.49999999999997</v>
      </c>
      <c r="M224" s="54">
        <v>6</v>
      </c>
      <c r="N224">
        <v>0.3</v>
      </c>
      <c r="O224">
        <f t="shared" si="20"/>
        <v>5.7</v>
      </c>
      <c r="P224">
        <f t="shared" si="24"/>
        <v>130.29999999999998</v>
      </c>
      <c r="Q224">
        <v>190</v>
      </c>
      <c r="R224">
        <f t="shared" si="27"/>
        <v>1.095</v>
      </c>
      <c r="S224" s="18">
        <f t="shared" si="21"/>
        <v>0.32849999999999996</v>
      </c>
      <c r="T224" s="18">
        <f t="shared" si="22"/>
        <v>5.6715</v>
      </c>
      <c r="U224" s="18">
        <f t="shared" si="26"/>
        <v>137.74570481927708</v>
      </c>
      <c r="W224">
        <v>205.2</v>
      </c>
      <c r="Y224">
        <f t="shared" si="25"/>
        <v>96984.899999999965</v>
      </c>
      <c r="Z224">
        <f t="shared" si="29"/>
        <v>12981.000000000002</v>
      </c>
      <c r="AA224">
        <v>11.116203465363792</v>
      </c>
      <c r="AC224" s="56">
        <f>AVERAGE(U230:U243)</f>
        <v>127.25475839070569</v>
      </c>
    </row>
    <row r="225" spans="1:29" x14ac:dyDescent="0.25">
      <c r="A225">
        <v>6440</v>
      </c>
      <c r="B225">
        <v>25210</v>
      </c>
      <c r="C225" s="4">
        <v>42803</v>
      </c>
      <c r="F225" s="42"/>
      <c r="G225">
        <v>11.3</v>
      </c>
      <c r="H225">
        <v>11</v>
      </c>
      <c r="I225">
        <v>12.6</v>
      </c>
      <c r="J225">
        <f t="shared" si="23"/>
        <v>1443.1999999999991</v>
      </c>
      <c r="K225">
        <f t="shared" si="28"/>
        <v>252.79999999999998</v>
      </c>
      <c r="M225" s="54">
        <v>1.2</v>
      </c>
      <c r="N225">
        <v>0.7</v>
      </c>
      <c r="O225">
        <f t="shared" si="20"/>
        <v>0.5</v>
      </c>
      <c r="P225">
        <f t="shared" si="24"/>
        <v>130.79999999999998</v>
      </c>
      <c r="Q225">
        <v>191</v>
      </c>
      <c r="R225">
        <f t="shared" si="27"/>
        <v>1.0974999999999999</v>
      </c>
      <c r="S225" s="18">
        <f t="shared" si="21"/>
        <v>0.76824999999999988</v>
      </c>
      <c r="T225" s="18">
        <f t="shared" si="22"/>
        <v>0.43175000000000008</v>
      </c>
      <c r="U225" s="18">
        <f t="shared" si="26"/>
        <v>138.17745481927707</v>
      </c>
      <c r="W225">
        <v>270.5</v>
      </c>
      <c r="Y225">
        <f t="shared" si="25"/>
        <v>97255.399999999965</v>
      </c>
      <c r="Z225">
        <f t="shared" si="29"/>
        <v>13251.500000000002</v>
      </c>
      <c r="AA225">
        <v>11.178838844132139</v>
      </c>
      <c r="AC225" s="53" t="s">
        <v>64</v>
      </c>
    </row>
    <row r="226" spans="1:29" x14ac:dyDescent="0.25">
      <c r="A226">
        <v>6440</v>
      </c>
      <c r="B226">
        <v>25210</v>
      </c>
      <c r="C226" s="4">
        <v>42804</v>
      </c>
      <c r="F226" s="42"/>
      <c r="G226">
        <v>7.9</v>
      </c>
      <c r="H226">
        <v>4.0999999999999996</v>
      </c>
      <c r="I226">
        <v>11.4</v>
      </c>
      <c r="J226">
        <f t="shared" si="23"/>
        <v>1451.0999999999992</v>
      </c>
      <c r="K226">
        <f t="shared" si="28"/>
        <v>260.7</v>
      </c>
      <c r="M226" s="54">
        <v>0.2</v>
      </c>
      <c r="N226">
        <v>1.3</v>
      </c>
      <c r="O226">
        <f t="shared" si="20"/>
        <v>-1.1000000000000001</v>
      </c>
      <c r="P226">
        <f t="shared" si="24"/>
        <v>129.69999999999999</v>
      </c>
      <c r="Q226">
        <v>192</v>
      </c>
      <c r="R226">
        <f t="shared" si="27"/>
        <v>1.0999999999999999</v>
      </c>
      <c r="S226" s="18">
        <f t="shared" si="21"/>
        <v>1.43</v>
      </c>
      <c r="T226" s="18">
        <f t="shared" si="22"/>
        <v>-1.23</v>
      </c>
      <c r="U226" s="18">
        <f t="shared" si="26"/>
        <v>136.94745481927708</v>
      </c>
      <c r="W226">
        <v>1061.8</v>
      </c>
      <c r="Y226">
        <f t="shared" si="25"/>
        <v>98317.199999999968</v>
      </c>
      <c r="Z226">
        <f t="shared" si="29"/>
        <v>14313.300000000001</v>
      </c>
      <c r="AA226">
        <v>11.241585896380904</v>
      </c>
      <c r="AC226" s="53">
        <v>4</v>
      </c>
    </row>
    <row r="227" spans="1:29" x14ac:dyDescent="0.25">
      <c r="A227">
        <v>6440</v>
      </c>
      <c r="B227">
        <v>25210</v>
      </c>
      <c r="C227" s="4">
        <v>42805</v>
      </c>
      <c r="F227" s="42"/>
      <c r="G227">
        <v>7.6</v>
      </c>
      <c r="H227">
        <v>2.2999999999999998</v>
      </c>
      <c r="I227">
        <v>12.5</v>
      </c>
      <c r="J227">
        <f t="shared" si="23"/>
        <v>1458.6999999999991</v>
      </c>
      <c r="K227">
        <f t="shared" si="28"/>
        <v>268.3</v>
      </c>
      <c r="M227" s="54">
        <v>0</v>
      </c>
      <c r="N227">
        <v>1.5</v>
      </c>
      <c r="O227">
        <f t="shared" si="20"/>
        <v>-1.5</v>
      </c>
      <c r="P227">
        <f t="shared" si="24"/>
        <v>128.19999999999999</v>
      </c>
      <c r="Q227">
        <v>193</v>
      </c>
      <c r="R227">
        <f t="shared" si="27"/>
        <v>1.1025</v>
      </c>
      <c r="S227" s="18">
        <f t="shared" si="21"/>
        <v>1.6537500000000001</v>
      </c>
      <c r="T227" s="18">
        <f t="shared" si="22"/>
        <v>-1.6537500000000001</v>
      </c>
      <c r="U227" s="18">
        <f t="shared" si="26"/>
        <v>135.29370481927708</v>
      </c>
      <c r="W227">
        <v>1110.7</v>
      </c>
      <c r="Y227">
        <f t="shared" si="25"/>
        <v>99427.899999999965</v>
      </c>
      <c r="Z227">
        <f t="shared" si="29"/>
        <v>15424.000000000002</v>
      </c>
      <c r="AA227">
        <v>11.304435214096731</v>
      </c>
      <c r="AC227" s="53" t="s">
        <v>65</v>
      </c>
    </row>
    <row r="228" spans="1:29" x14ac:dyDescent="0.25">
      <c r="A228">
        <v>6440</v>
      </c>
      <c r="B228">
        <v>25210</v>
      </c>
      <c r="C228" s="4">
        <v>42806</v>
      </c>
      <c r="F228" s="42"/>
      <c r="G228">
        <v>8.6999999999999993</v>
      </c>
      <c r="H228">
        <v>3.7</v>
      </c>
      <c r="I228">
        <v>13</v>
      </c>
      <c r="J228">
        <f t="shared" si="23"/>
        <v>1467.3999999999992</v>
      </c>
      <c r="K228">
        <f t="shared" si="28"/>
        <v>277</v>
      </c>
      <c r="M228" s="54">
        <v>0.1</v>
      </c>
      <c r="N228">
        <v>1.5</v>
      </c>
      <c r="O228">
        <f t="shared" ref="O228:O291" si="30">M228-N228</f>
        <v>-1.4</v>
      </c>
      <c r="P228">
        <f t="shared" si="24"/>
        <v>126.79999999999998</v>
      </c>
      <c r="Q228">
        <v>194</v>
      </c>
      <c r="R228">
        <f t="shared" si="27"/>
        <v>1.105</v>
      </c>
      <c r="S228" s="18">
        <f t="shared" ref="S228:S291" si="31">R228*N228</f>
        <v>1.6575</v>
      </c>
      <c r="T228" s="18">
        <f t="shared" ref="T228:T291" si="32">M228-S228</f>
        <v>-1.5574999999999999</v>
      </c>
      <c r="U228" s="18">
        <f t="shared" si="26"/>
        <v>133.73620481927708</v>
      </c>
      <c r="W228">
        <v>1100.0999999999999</v>
      </c>
      <c r="Y228">
        <f t="shared" si="25"/>
        <v>100527.99999999997</v>
      </c>
      <c r="Z228">
        <f t="shared" si="29"/>
        <v>16524.100000000002</v>
      </c>
      <c r="AA228">
        <v>11.367377584647341</v>
      </c>
      <c r="AC228" s="53">
        <v>6</v>
      </c>
    </row>
    <row r="229" spans="1:29" x14ac:dyDescent="0.25">
      <c r="A229">
        <v>6440</v>
      </c>
      <c r="B229">
        <v>25210</v>
      </c>
      <c r="C229" s="4">
        <v>42807</v>
      </c>
      <c r="F229" s="42"/>
      <c r="G229">
        <v>8.1</v>
      </c>
      <c r="H229">
        <v>4.5999999999999996</v>
      </c>
      <c r="I229">
        <v>11.9</v>
      </c>
      <c r="J229">
        <f t="shared" ref="J229:J292" si="33">J228+G229</f>
        <v>1475.4999999999991</v>
      </c>
      <c r="K229">
        <f t="shared" si="28"/>
        <v>285.10000000000002</v>
      </c>
      <c r="M229" s="54">
        <v>0</v>
      </c>
      <c r="N229">
        <v>0.9</v>
      </c>
      <c r="O229">
        <f t="shared" si="30"/>
        <v>-0.9</v>
      </c>
      <c r="P229">
        <f t="shared" ref="P229:P292" si="34">P228+O229</f>
        <v>125.89999999999998</v>
      </c>
      <c r="Q229">
        <v>195</v>
      </c>
      <c r="R229">
        <f t="shared" si="27"/>
        <v>1.1074999999999999</v>
      </c>
      <c r="S229" s="18">
        <f t="shared" si="31"/>
        <v>0.99674999999999991</v>
      </c>
      <c r="T229" s="18">
        <f t="shared" si="32"/>
        <v>-0.99674999999999991</v>
      </c>
      <c r="U229" s="18">
        <f t="shared" si="26"/>
        <v>132.73945481927709</v>
      </c>
      <c r="W229">
        <v>600.1</v>
      </c>
      <c r="Y229">
        <f t="shared" ref="Y229:Y292" si="35">Y228+W229</f>
        <v>101128.09999999998</v>
      </c>
      <c r="Z229">
        <f t="shared" si="29"/>
        <v>17124.2</v>
      </c>
      <c r="AA229">
        <v>11.430403974881282</v>
      </c>
      <c r="AC229" s="53" t="s">
        <v>66</v>
      </c>
    </row>
    <row r="230" spans="1:29" x14ac:dyDescent="0.25">
      <c r="A230">
        <v>6440</v>
      </c>
      <c r="B230">
        <v>25210</v>
      </c>
      <c r="C230" s="4">
        <v>42808</v>
      </c>
      <c r="F230" s="42"/>
      <c r="G230">
        <v>7.8</v>
      </c>
      <c r="H230">
        <v>1.6</v>
      </c>
      <c r="I230">
        <v>12.3</v>
      </c>
      <c r="J230">
        <f t="shared" si="33"/>
        <v>1483.299999999999</v>
      </c>
      <c r="K230">
        <f t="shared" si="28"/>
        <v>292.90000000000003</v>
      </c>
      <c r="M230" s="54">
        <v>0</v>
      </c>
      <c r="N230">
        <v>0.5</v>
      </c>
      <c r="O230">
        <f t="shared" si="30"/>
        <v>-0.5</v>
      </c>
      <c r="P230">
        <f t="shared" si="34"/>
        <v>125.39999999999998</v>
      </c>
      <c r="Q230">
        <v>196</v>
      </c>
      <c r="R230">
        <f t="shared" si="27"/>
        <v>1.1099999999999999</v>
      </c>
      <c r="S230" s="18">
        <f t="shared" si="31"/>
        <v>0.55499999999999994</v>
      </c>
      <c r="T230" s="18">
        <f t="shared" si="32"/>
        <v>-0.55499999999999994</v>
      </c>
      <c r="U230" s="55">
        <f t="shared" si="26"/>
        <v>132.18445481927708</v>
      </c>
      <c r="W230">
        <v>473.6</v>
      </c>
      <c r="Y230">
        <f t="shared" si="35"/>
        <v>101601.69999999998</v>
      </c>
      <c r="Z230">
        <f t="shared" si="29"/>
        <v>17597.8</v>
      </c>
      <c r="AA230">
        <v>11.493505515118555</v>
      </c>
      <c r="AC230" s="53">
        <v>0</v>
      </c>
    </row>
    <row r="231" spans="1:29" x14ac:dyDescent="0.25">
      <c r="A231">
        <v>6440</v>
      </c>
      <c r="B231">
        <v>25210</v>
      </c>
      <c r="C231" s="4">
        <v>42809</v>
      </c>
      <c r="F231" s="42"/>
      <c r="G231">
        <v>11.3</v>
      </c>
      <c r="H231">
        <v>8.9</v>
      </c>
      <c r="I231">
        <v>15.2</v>
      </c>
      <c r="J231">
        <f t="shared" si="33"/>
        <v>1494.599999999999</v>
      </c>
      <c r="K231">
        <f t="shared" si="28"/>
        <v>304.20000000000005</v>
      </c>
      <c r="M231" s="54">
        <v>0</v>
      </c>
      <c r="N231">
        <v>1.5</v>
      </c>
      <c r="O231">
        <f t="shared" si="30"/>
        <v>-1.5</v>
      </c>
      <c r="P231">
        <f t="shared" si="34"/>
        <v>123.89999999999998</v>
      </c>
      <c r="Q231">
        <v>197</v>
      </c>
      <c r="R231">
        <f t="shared" si="27"/>
        <v>1.1124999999999998</v>
      </c>
      <c r="S231" s="18">
        <f t="shared" si="31"/>
        <v>1.6687499999999997</v>
      </c>
      <c r="T231" s="18">
        <f t="shared" si="32"/>
        <v>-1.6687499999999997</v>
      </c>
      <c r="U231" s="55">
        <f t="shared" ref="U231:U294" si="36">U230+T231</f>
        <v>130.51570481927709</v>
      </c>
      <c r="W231">
        <v>952.9</v>
      </c>
      <c r="Y231">
        <f t="shared" si="35"/>
        <v>102554.59999999998</v>
      </c>
      <c r="Z231">
        <f t="shared" si="29"/>
        <v>18550.7</v>
      </c>
      <c r="AA231">
        <v>11.556673483046453</v>
      </c>
      <c r="AC231" s="53" t="s">
        <v>67</v>
      </c>
    </row>
    <row r="232" spans="1:29" x14ac:dyDescent="0.25">
      <c r="A232">
        <v>6440</v>
      </c>
      <c r="B232">
        <v>25210</v>
      </c>
      <c r="C232" s="4">
        <v>42810</v>
      </c>
      <c r="F232" s="42"/>
      <c r="G232">
        <v>10.5</v>
      </c>
      <c r="H232">
        <v>3.6</v>
      </c>
      <c r="I232">
        <v>16.600000000000001</v>
      </c>
      <c r="J232">
        <f t="shared" si="33"/>
        <v>1505.099999999999</v>
      </c>
      <c r="K232">
        <f t="shared" si="28"/>
        <v>314.70000000000005</v>
      </c>
      <c r="M232" s="54">
        <v>0</v>
      </c>
      <c r="N232">
        <v>2.4</v>
      </c>
      <c r="O232">
        <f t="shared" si="30"/>
        <v>-2.4</v>
      </c>
      <c r="P232">
        <f t="shared" si="34"/>
        <v>121.49999999999997</v>
      </c>
      <c r="Q232">
        <v>198</v>
      </c>
      <c r="R232">
        <f t="shared" si="27"/>
        <v>1.115</v>
      </c>
      <c r="S232" s="18">
        <f t="shared" si="31"/>
        <v>2.6759999999999997</v>
      </c>
      <c r="T232" s="18">
        <f t="shared" si="32"/>
        <v>-2.6759999999999997</v>
      </c>
      <c r="U232" s="55">
        <f t="shared" si="36"/>
        <v>127.83970481927709</v>
      </c>
      <c r="W232">
        <v>1578.8</v>
      </c>
      <c r="Y232">
        <f t="shared" si="35"/>
        <v>104133.39999999998</v>
      </c>
      <c r="Z232">
        <f t="shared" si="29"/>
        <v>20129.5</v>
      </c>
      <c r="AA232">
        <v>11.619899287533585</v>
      </c>
      <c r="AC232">
        <f>SUM(M234:M243)</f>
        <v>7.6</v>
      </c>
    </row>
    <row r="233" spans="1:29" s="50" customFormat="1" x14ac:dyDescent="0.25">
      <c r="A233" s="50">
        <v>6440</v>
      </c>
      <c r="B233" s="50">
        <v>25210</v>
      </c>
      <c r="C233" s="51">
        <v>42811</v>
      </c>
      <c r="D233" s="50" t="s">
        <v>62</v>
      </c>
      <c r="F233" s="42"/>
      <c r="G233" s="50">
        <v>8.8000000000000007</v>
      </c>
      <c r="H233" s="50">
        <v>7.9</v>
      </c>
      <c r="I233" s="50">
        <v>11.3</v>
      </c>
      <c r="J233" s="50">
        <f t="shared" si="33"/>
        <v>1513.899999999999</v>
      </c>
      <c r="K233" s="50">
        <f t="shared" si="28"/>
        <v>323.50000000000006</v>
      </c>
      <c r="M233" s="50">
        <v>1.5</v>
      </c>
      <c r="N233" s="50">
        <v>1.6</v>
      </c>
      <c r="O233" s="50">
        <f t="shared" si="30"/>
        <v>-0.10000000000000009</v>
      </c>
      <c r="P233" s="50">
        <f t="shared" si="34"/>
        <v>121.39999999999998</v>
      </c>
      <c r="Q233" s="50">
        <v>199</v>
      </c>
      <c r="R233" s="50">
        <f t="shared" si="27"/>
        <v>1.1174999999999999</v>
      </c>
      <c r="S233" s="52">
        <f t="shared" si="31"/>
        <v>1.788</v>
      </c>
      <c r="T233" s="52">
        <f t="shared" si="32"/>
        <v>-0.28800000000000003</v>
      </c>
      <c r="U233" s="52">
        <f t="shared" si="36"/>
        <v>127.55170481927709</v>
      </c>
      <c r="W233" s="50">
        <v>595</v>
      </c>
      <c r="Y233" s="50">
        <f t="shared" si="35"/>
        <v>104728.39999999998</v>
      </c>
      <c r="Z233" s="50">
        <f t="shared" si="29"/>
        <v>20724.5</v>
      </c>
      <c r="AA233" s="50">
        <v>11.68317445237402</v>
      </c>
    </row>
    <row r="234" spans="1:29" x14ac:dyDescent="0.25">
      <c r="A234">
        <v>6440</v>
      </c>
      <c r="B234">
        <v>25210</v>
      </c>
      <c r="C234" s="4">
        <v>42812</v>
      </c>
      <c r="F234" s="42"/>
      <c r="G234">
        <v>10.4</v>
      </c>
      <c r="H234">
        <v>7.2</v>
      </c>
      <c r="I234">
        <v>11.9</v>
      </c>
      <c r="J234">
        <f t="shared" si="33"/>
        <v>1524.299999999999</v>
      </c>
      <c r="K234">
        <f t="shared" si="28"/>
        <v>333.90000000000003</v>
      </c>
      <c r="M234" s="54">
        <v>5.3</v>
      </c>
      <c r="N234">
        <v>0.4</v>
      </c>
      <c r="O234">
        <f t="shared" si="30"/>
        <v>4.8999999999999995</v>
      </c>
      <c r="P234">
        <f t="shared" si="34"/>
        <v>126.29999999999998</v>
      </c>
      <c r="Q234">
        <v>200</v>
      </c>
      <c r="R234">
        <f t="shared" si="27"/>
        <v>1.1199999999999999</v>
      </c>
      <c r="S234" s="18">
        <f t="shared" si="31"/>
        <v>0.44799999999999995</v>
      </c>
      <c r="T234" s="18">
        <f t="shared" si="32"/>
        <v>4.8520000000000003</v>
      </c>
      <c r="U234" s="55">
        <f t="shared" si="36"/>
        <v>132.4037048192771</v>
      </c>
      <c r="W234">
        <v>272</v>
      </c>
      <c r="Y234">
        <f t="shared" si="35"/>
        <v>105000.39999999998</v>
      </c>
      <c r="Z234">
        <f t="shared" si="29"/>
        <v>20996.5</v>
      </c>
      <c r="AA234">
        <v>11.746490599972464</v>
      </c>
    </row>
    <row r="235" spans="1:29" x14ac:dyDescent="0.25">
      <c r="A235">
        <v>6440</v>
      </c>
      <c r="B235">
        <v>25210</v>
      </c>
      <c r="C235" s="4">
        <v>42813</v>
      </c>
      <c r="F235" s="42"/>
      <c r="G235">
        <v>11.1</v>
      </c>
      <c r="H235">
        <v>10.8</v>
      </c>
      <c r="I235">
        <v>12</v>
      </c>
      <c r="J235">
        <f t="shared" si="33"/>
        <v>1535.399999999999</v>
      </c>
      <c r="K235">
        <f t="shared" si="28"/>
        <v>345.00000000000006</v>
      </c>
      <c r="M235" s="54">
        <v>0</v>
      </c>
      <c r="N235">
        <v>1.2</v>
      </c>
      <c r="O235">
        <f t="shared" si="30"/>
        <v>-1.2</v>
      </c>
      <c r="P235">
        <f t="shared" si="34"/>
        <v>125.09999999999998</v>
      </c>
      <c r="Q235">
        <v>201</v>
      </c>
      <c r="R235">
        <f t="shared" si="27"/>
        <v>1.1224999999999998</v>
      </c>
      <c r="S235" s="18">
        <f t="shared" si="31"/>
        <v>1.3469999999999998</v>
      </c>
      <c r="T235" s="18">
        <f t="shared" si="32"/>
        <v>-1.3469999999999998</v>
      </c>
      <c r="U235" s="55">
        <f t="shared" si="36"/>
        <v>131.05670481927709</v>
      </c>
      <c r="W235">
        <v>337.7</v>
      </c>
      <c r="Y235">
        <f t="shared" si="35"/>
        <v>105338.09999999998</v>
      </c>
      <c r="Z235">
        <f t="shared" si="29"/>
        <v>21334.2</v>
      </c>
      <c r="AA235">
        <v>11.809839434980484</v>
      </c>
    </row>
    <row r="236" spans="1:29" x14ac:dyDescent="0.25">
      <c r="A236">
        <v>6440</v>
      </c>
      <c r="B236">
        <v>25210</v>
      </c>
      <c r="C236" s="4">
        <v>42814</v>
      </c>
      <c r="F236" s="42"/>
      <c r="G236">
        <v>10.4</v>
      </c>
      <c r="H236">
        <v>9.3000000000000007</v>
      </c>
      <c r="I236">
        <v>11.5</v>
      </c>
      <c r="J236">
        <f t="shared" si="33"/>
        <v>1545.799999999999</v>
      </c>
      <c r="K236">
        <f t="shared" si="28"/>
        <v>355.40000000000003</v>
      </c>
      <c r="M236" s="54">
        <v>0.8</v>
      </c>
      <c r="N236">
        <v>1.3</v>
      </c>
      <c r="O236">
        <f t="shared" si="30"/>
        <v>-0.5</v>
      </c>
      <c r="P236">
        <f t="shared" si="34"/>
        <v>124.59999999999998</v>
      </c>
      <c r="Q236">
        <v>202</v>
      </c>
      <c r="R236">
        <f t="shared" si="27"/>
        <v>1.125</v>
      </c>
      <c r="S236" s="18">
        <f t="shared" si="31"/>
        <v>1.4625000000000001</v>
      </c>
      <c r="T236" s="18">
        <f t="shared" si="32"/>
        <v>-0.66250000000000009</v>
      </c>
      <c r="U236" s="55">
        <f t="shared" si="36"/>
        <v>130.39420481927709</v>
      </c>
      <c r="W236">
        <v>208.4</v>
      </c>
      <c r="Y236">
        <f t="shared" si="35"/>
        <v>105546.49999999997</v>
      </c>
      <c r="Z236">
        <f t="shared" si="29"/>
        <v>21542.600000000002</v>
      </c>
      <c r="AA236">
        <v>11.873212727893081</v>
      </c>
    </row>
    <row r="237" spans="1:29" x14ac:dyDescent="0.25">
      <c r="A237">
        <v>6440</v>
      </c>
      <c r="B237">
        <v>25210</v>
      </c>
      <c r="C237" s="4">
        <v>42815</v>
      </c>
      <c r="F237" s="42"/>
      <c r="G237">
        <v>7.2</v>
      </c>
      <c r="H237">
        <v>7</v>
      </c>
      <c r="I237">
        <v>8.9</v>
      </c>
      <c r="J237">
        <f t="shared" si="33"/>
        <v>1552.9999999999991</v>
      </c>
      <c r="K237">
        <f t="shared" si="28"/>
        <v>362.6</v>
      </c>
      <c r="M237" s="54">
        <v>0.2</v>
      </c>
      <c r="N237">
        <v>1.1000000000000001</v>
      </c>
      <c r="O237">
        <f t="shared" si="30"/>
        <v>-0.90000000000000013</v>
      </c>
      <c r="P237">
        <f t="shared" si="34"/>
        <v>123.69999999999997</v>
      </c>
      <c r="Q237">
        <v>203</v>
      </c>
      <c r="R237">
        <f t="shared" si="27"/>
        <v>1.1274999999999999</v>
      </c>
      <c r="S237" s="18">
        <f t="shared" si="31"/>
        <v>1.2402500000000001</v>
      </c>
      <c r="T237" s="18">
        <f t="shared" si="32"/>
        <v>-1.0402500000000001</v>
      </c>
      <c r="U237" s="55">
        <f t="shared" si="36"/>
        <v>129.35395481927711</v>
      </c>
      <c r="W237">
        <v>615.79999999999995</v>
      </c>
      <c r="Y237">
        <f t="shared" si="35"/>
        <v>106162.29999999997</v>
      </c>
      <c r="Z237">
        <f t="shared" si="29"/>
        <v>22158.400000000001</v>
      </c>
      <c r="AA237">
        <v>11.936602298614293</v>
      </c>
    </row>
    <row r="238" spans="1:29" x14ac:dyDescent="0.25">
      <c r="A238">
        <v>6440</v>
      </c>
      <c r="B238">
        <v>25210</v>
      </c>
      <c r="C238" s="4">
        <v>42816</v>
      </c>
      <c r="F238" s="42"/>
      <c r="G238">
        <v>6.7</v>
      </c>
      <c r="H238">
        <v>2.1</v>
      </c>
      <c r="I238">
        <v>10.6</v>
      </c>
      <c r="J238">
        <f t="shared" si="33"/>
        <v>1559.6999999999991</v>
      </c>
      <c r="K238">
        <f t="shared" si="28"/>
        <v>369.3</v>
      </c>
      <c r="M238" s="54">
        <v>0</v>
      </c>
      <c r="N238">
        <v>1.1000000000000001</v>
      </c>
      <c r="O238">
        <f t="shared" si="30"/>
        <v>-1.1000000000000001</v>
      </c>
      <c r="P238">
        <f t="shared" si="34"/>
        <v>122.59999999999998</v>
      </c>
      <c r="Q238">
        <v>204</v>
      </c>
      <c r="R238">
        <f t="shared" si="27"/>
        <v>1.1299999999999999</v>
      </c>
      <c r="S238" s="18">
        <f t="shared" si="31"/>
        <v>1.2429999999999999</v>
      </c>
      <c r="T238" s="18">
        <f t="shared" si="32"/>
        <v>-1.2429999999999999</v>
      </c>
      <c r="U238" s="55">
        <f t="shared" si="36"/>
        <v>128.11095481927711</v>
      </c>
      <c r="W238">
        <v>572</v>
      </c>
      <c r="Y238">
        <f t="shared" si="35"/>
        <v>106734.29999999997</v>
      </c>
      <c r="Z238">
        <f t="shared" si="29"/>
        <v>22730.400000000001</v>
      </c>
      <c r="AA238">
        <v>12</v>
      </c>
    </row>
    <row r="239" spans="1:29" x14ac:dyDescent="0.25">
      <c r="A239">
        <v>6440</v>
      </c>
      <c r="B239">
        <v>25210</v>
      </c>
      <c r="C239" s="4">
        <v>42817</v>
      </c>
      <c r="F239" s="42"/>
      <c r="G239">
        <v>9</v>
      </c>
      <c r="H239">
        <v>3.9</v>
      </c>
      <c r="I239">
        <v>12.5</v>
      </c>
      <c r="J239">
        <f t="shared" si="33"/>
        <v>1568.6999999999991</v>
      </c>
      <c r="K239">
        <f t="shared" si="28"/>
        <v>378.3</v>
      </c>
      <c r="M239" s="54">
        <v>1.3</v>
      </c>
      <c r="N239">
        <v>1.4</v>
      </c>
      <c r="O239">
        <f t="shared" si="30"/>
        <v>-9.9999999999999867E-2</v>
      </c>
      <c r="P239">
        <f t="shared" si="34"/>
        <v>122.49999999999999</v>
      </c>
      <c r="Q239">
        <v>205</v>
      </c>
      <c r="R239">
        <f t="shared" si="27"/>
        <v>1.1324999999999998</v>
      </c>
      <c r="S239" s="18">
        <f t="shared" si="31"/>
        <v>1.5854999999999997</v>
      </c>
      <c r="T239" s="18">
        <f t="shared" si="32"/>
        <v>-0.28549999999999964</v>
      </c>
      <c r="U239" s="55">
        <f t="shared" si="36"/>
        <v>127.82545481927711</v>
      </c>
      <c r="W239">
        <v>1201.8</v>
      </c>
      <c r="Y239">
        <f t="shared" si="35"/>
        <v>107936.09999999998</v>
      </c>
      <c r="Z239">
        <f t="shared" si="29"/>
        <v>23932.2</v>
      </c>
      <c r="AA239">
        <v>12.063397701385705</v>
      </c>
    </row>
    <row r="240" spans="1:29" x14ac:dyDescent="0.25">
      <c r="A240">
        <v>6440</v>
      </c>
      <c r="B240">
        <v>25210</v>
      </c>
      <c r="C240" s="4">
        <v>42818</v>
      </c>
      <c r="F240" s="42"/>
      <c r="G240">
        <v>10.1</v>
      </c>
      <c r="H240">
        <v>7.8</v>
      </c>
      <c r="I240">
        <v>12.8</v>
      </c>
      <c r="J240">
        <f t="shared" si="33"/>
        <v>1578.799999999999</v>
      </c>
      <c r="K240">
        <f t="shared" si="28"/>
        <v>388.40000000000003</v>
      </c>
      <c r="M240" s="54">
        <v>0</v>
      </c>
      <c r="N240">
        <v>1.6</v>
      </c>
      <c r="O240">
        <f t="shared" si="30"/>
        <v>-1.6</v>
      </c>
      <c r="P240">
        <f t="shared" si="34"/>
        <v>120.89999999999999</v>
      </c>
      <c r="Q240">
        <v>206</v>
      </c>
      <c r="R240">
        <f t="shared" si="27"/>
        <v>1.135</v>
      </c>
      <c r="S240" s="18">
        <f t="shared" si="31"/>
        <v>1.8160000000000001</v>
      </c>
      <c r="T240" s="18">
        <f t="shared" si="32"/>
        <v>-1.8160000000000001</v>
      </c>
      <c r="U240" s="55">
        <f t="shared" si="36"/>
        <v>126.00945481927711</v>
      </c>
      <c r="W240">
        <v>1062.3</v>
      </c>
      <c r="Y240">
        <f t="shared" si="35"/>
        <v>108998.39999999998</v>
      </c>
      <c r="Z240">
        <f t="shared" si="29"/>
        <v>24994.5</v>
      </c>
      <c r="AA240">
        <v>12.126787272106919</v>
      </c>
    </row>
    <row r="241" spans="1:28" x14ac:dyDescent="0.25">
      <c r="A241">
        <v>6440</v>
      </c>
      <c r="B241">
        <v>25210</v>
      </c>
      <c r="C241" s="4">
        <v>42819</v>
      </c>
      <c r="F241" s="42"/>
      <c r="G241">
        <v>9.9</v>
      </c>
      <c r="H241">
        <v>4.5999999999999996</v>
      </c>
      <c r="I241">
        <v>14</v>
      </c>
      <c r="J241">
        <f t="shared" si="33"/>
        <v>1588.6999999999991</v>
      </c>
      <c r="K241">
        <f t="shared" si="28"/>
        <v>398.3</v>
      </c>
      <c r="M241" s="54">
        <v>0</v>
      </c>
      <c r="N241">
        <v>2.8</v>
      </c>
      <c r="O241">
        <f t="shared" si="30"/>
        <v>-2.8</v>
      </c>
      <c r="P241">
        <f t="shared" si="34"/>
        <v>118.1</v>
      </c>
      <c r="Q241">
        <v>207</v>
      </c>
      <c r="R241">
        <f t="shared" si="27"/>
        <v>1.1375</v>
      </c>
      <c r="S241" s="18">
        <f t="shared" si="31"/>
        <v>3.1849999999999996</v>
      </c>
      <c r="T241" s="18">
        <f t="shared" si="32"/>
        <v>-3.1849999999999996</v>
      </c>
      <c r="U241" s="55">
        <f t="shared" si="36"/>
        <v>122.82445481927711</v>
      </c>
      <c r="W241">
        <v>1621.5</v>
      </c>
      <c r="Y241">
        <f t="shared" si="35"/>
        <v>110619.89999999998</v>
      </c>
      <c r="Z241">
        <f t="shared" si="29"/>
        <v>26616</v>
      </c>
      <c r="AA241">
        <v>12.190160565019514</v>
      </c>
    </row>
    <row r="242" spans="1:28" x14ac:dyDescent="0.25">
      <c r="A242">
        <v>6440</v>
      </c>
      <c r="B242">
        <v>25210</v>
      </c>
      <c r="C242" s="4">
        <v>42820</v>
      </c>
      <c r="F242" s="42"/>
      <c r="G242">
        <v>10.5</v>
      </c>
      <c r="H242">
        <v>5.4</v>
      </c>
      <c r="I242">
        <v>15.4</v>
      </c>
      <c r="J242">
        <f t="shared" si="33"/>
        <v>1599.1999999999991</v>
      </c>
      <c r="K242">
        <f t="shared" si="28"/>
        <v>408.8</v>
      </c>
      <c r="M242" s="54">
        <v>0</v>
      </c>
      <c r="N242">
        <v>3.1</v>
      </c>
      <c r="O242">
        <f t="shared" si="30"/>
        <v>-3.1</v>
      </c>
      <c r="P242">
        <f t="shared" si="34"/>
        <v>115</v>
      </c>
      <c r="Q242">
        <v>208</v>
      </c>
      <c r="R242">
        <f t="shared" si="27"/>
        <v>1.1399999999999999</v>
      </c>
      <c r="S242" s="18">
        <f t="shared" si="31"/>
        <v>3.5339999999999998</v>
      </c>
      <c r="T242" s="18">
        <f t="shared" si="32"/>
        <v>-3.5339999999999998</v>
      </c>
      <c r="U242" s="55">
        <f t="shared" si="36"/>
        <v>119.2904548192771</v>
      </c>
      <c r="W242">
        <v>1803.8</v>
      </c>
      <c r="Y242">
        <f t="shared" si="35"/>
        <v>112423.69999999998</v>
      </c>
      <c r="Z242">
        <f t="shared" si="29"/>
        <v>28419.8</v>
      </c>
      <c r="AA242">
        <v>12.253509400027534</v>
      </c>
    </row>
    <row r="243" spans="1:28" x14ac:dyDescent="0.25">
      <c r="A243">
        <v>6440</v>
      </c>
      <c r="B243">
        <v>25210</v>
      </c>
      <c r="C243" s="4">
        <v>42821</v>
      </c>
      <c r="F243" s="42"/>
      <c r="G243">
        <v>9.6</v>
      </c>
      <c r="H243">
        <v>3.2</v>
      </c>
      <c r="I243">
        <v>16.100000000000001</v>
      </c>
      <c r="J243">
        <f t="shared" si="33"/>
        <v>1608.799999999999</v>
      </c>
      <c r="K243">
        <f t="shared" si="28"/>
        <v>418.40000000000003</v>
      </c>
      <c r="M243" s="54">
        <v>0</v>
      </c>
      <c r="N243">
        <v>2.7</v>
      </c>
      <c r="O243">
        <f t="shared" si="30"/>
        <v>-2.7</v>
      </c>
      <c r="P243">
        <f t="shared" si="34"/>
        <v>112.3</v>
      </c>
      <c r="Q243">
        <v>209</v>
      </c>
      <c r="R243">
        <f t="shared" si="27"/>
        <v>1.1424999999999998</v>
      </c>
      <c r="S243" s="18">
        <f t="shared" si="31"/>
        <v>3.0847499999999997</v>
      </c>
      <c r="T243" s="18">
        <f t="shared" si="32"/>
        <v>-3.0847499999999997</v>
      </c>
      <c r="U243" s="55">
        <f t="shared" si="36"/>
        <v>116.2057048192771</v>
      </c>
      <c r="W243">
        <v>1775.5</v>
      </c>
      <c r="Y243">
        <f t="shared" si="35"/>
        <v>114199.19999999998</v>
      </c>
      <c r="Z243">
        <f t="shared" si="29"/>
        <v>30195.3</v>
      </c>
      <c r="AA243">
        <v>12.316825547625978</v>
      </c>
    </row>
    <row r="244" spans="1:28" x14ac:dyDescent="0.25">
      <c r="A244">
        <v>6440</v>
      </c>
      <c r="B244">
        <v>25210</v>
      </c>
      <c r="C244" s="4">
        <v>42822</v>
      </c>
      <c r="F244" s="42"/>
      <c r="G244">
        <v>10.199999999999999</v>
      </c>
      <c r="H244">
        <v>4.4000000000000004</v>
      </c>
      <c r="I244">
        <v>16.100000000000001</v>
      </c>
      <c r="J244">
        <f t="shared" si="33"/>
        <v>1618.9999999999991</v>
      </c>
      <c r="K244">
        <f t="shared" si="28"/>
        <v>428.6</v>
      </c>
      <c r="M244">
        <v>0</v>
      </c>
      <c r="N244">
        <v>2.1</v>
      </c>
      <c r="O244">
        <f t="shared" si="30"/>
        <v>-2.1</v>
      </c>
      <c r="P244">
        <f t="shared" si="34"/>
        <v>110.2</v>
      </c>
      <c r="Q244">
        <v>210</v>
      </c>
      <c r="R244">
        <f t="shared" si="27"/>
        <v>1.145</v>
      </c>
      <c r="S244" s="18">
        <f t="shared" si="31"/>
        <v>2.4045000000000001</v>
      </c>
      <c r="T244" s="18">
        <f t="shared" si="32"/>
        <v>-2.4045000000000001</v>
      </c>
      <c r="U244" s="18">
        <f t="shared" si="36"/>
        <v>113.8012048192771</v>
      </c>
      <c r="W244">
        <v>1230.4000000000001</v>
      </c>
      <c r="Y244">
        <f t="shared" si="35"/>
        <v>115429.59999999998</v>
      </c>
      <c r="Z244">
        <f t="shared" si="29"/>
        <v>31425.7</v>
      </c>
      <c r="AA244">
        <v>12.380100712466414</v>
      </c>
    </row>
    <row r="245" spans="1:28" x14ac:dyDescent="0.25">
      <c r="A245">
        <v>6440</v>
      </c>
      <c r="B245">
        <v>25210</v>
      </c>
      <c r="C245" s="4">
        <v>42823</v>
      </c>
      <c r="F245" s="42"/>
      <c r="G245">
        <v>12.3</v>
      </c>
      <c r="H245">
        <v>7.8</v>
      </c>
      <c r="I245">
        <v>16.399999999999999</v>
      </c>
      <c r="J245">
        <f t="shared" si="33"/>
        <v>1631.299999999999</v>
      </c>
      <c r="K245">
        <f t="shared" si="28"/>
        <v>440.90000000000003</v>
      </c>
      <c r="M245">
        <v>0</v>
      </c>
      <c r="N245">
        <v>1.4</v>
      </c>
      <c r="O245">
        <f t="shared" si="30"/>
        <v>-1.4</v>
      </c>
      <c r="P245">
        <f t="shared" si="34"/>
        <v>108.8</v>
      </c>
      <c r="Q245">
        <v>211</v>
      </c>
      <c r="R245">
        <f t="shared" si="27"/>
        <v>1.1475</v>
      </c>
      <c r="S245" s="18">
        <f t="shared" si="31"/>
        <v>1.6064999999999998</v>
      </c>
      <c r="T245" s="18">
        <f t="shared" si="32"/>
        <v>-1.6064999999999998</v>
      </c>
      <c r="U245" s="18">
        <f t="shared" si="36"/>
        <v>112.19470481927711</v>
      </c>
      <c r="W245">
        <v>523.20000000000005</v>
      </c>
      <c r="Y245">
        <f t="shared" si="35"/>
        <v>115952.79999999997</v>
      </c>
      <c r="Z245">
        <f t="shared" si="29"/>
        <v>31948.9</v>
      </c>
      <c r="AA245">
        <v>12.443326516953547</v>
      </c>
    </row>
    <row r="246" spans="1:28" s="26" customFormat="1" ht="15.75" thickBot="1" x14ac:dyDescent="0.3">
      <c r="A246" s="26">
        <v>6440</v>
      </c>
      <c r="B246" s="26">
        <v>25210</v>
      </c>
      <c r="C246" s="27">
        <v>42824</v>
      </c>
      <c r="F246" s="42"/>
      <c r="G246" s="26">
        <v>14.3</v>
      </c>
      <c r="H246" s="26">
        <v>8.9</v>
      </c>
      <c r="I246" s="26">
        <v>20.9</v>
      </c>
      <c r="J246" s="26">
        <f t="shared" si="33"/>
        <v>1645.599999999999</v>
      </c>
      <c r="K246" s="26">
        <f t="shared" si="28"/>
        <v>455.20000000000005</v>
      </c>
      <c r="M246" s="26">
        <v>0</v>
      </c>
      <c r="N246" s="26">
        <v>3.5</v>
      </c>
      <c r="O246" s="26">
        <f t="shared" si="30"/>
        <v>-3.5</v>
      </c>
      <c r="P246" s="26">
        <f t="shared" si="34"/>
        <v>105.3</v>
      </c>
      <c r="Q246" s="26">
        <v>212</v>
      </c>
      <c r="R246">
        <f t="shared" si="27"/>
        <v>1.1499999999999999</v>
      </c>
      <c r="S246" s="28">
        <f t="shared" si="31"/>
        <v>4.0249999999999995</v>
      </c>
      <c r="T246" s="28">
        <f t="shared" si="32"/>
        <v>-4.0249999999999995</v>
      </c>
      <c r="U246" s="18">
        <f t="shared" si="36"/>
        <v>108.1697048192771</v>
      </c>
      <c r="W246" s="26">
        <v>1762.7</v>
      </c>
      <c r="Y246" s="26">
        <f t="shared" si="35"/>
        <v>117715.49999999997</v>
      </c>
      <c r="Z246" s="26">
        <f t="shared" si="29"/>
        <v>33711.599999999999</v>
      </c>
      <c r="AA246" s="26">
        <v>12.506494484881445</v>
      </c>
    </row>
    <row r="247" spans="1:28" s="31" customFormat="1" x14ac:dyDescent="0.25">
      <c r="A247" s="31">
        <v>6440</v>
      </c>
      <c r="B247" s="31">
        <v>25210</v>
      </c>
      <c r="C247" s="32">
        <v>42825</v>
      </c>
      <c r="D247" t="s">
        <v>13</v>
      </c>
      <c r="F247" s="43" t="s">
        <v>35</v>
      </c>
      <c r="G247" s="31">
        <v>13</v>
      </c>
      <c r="H247" s="31">
        <v>10.7</v>
      </c>
      <c r="I247" s="31">
        <v>15.6</v>
      </c>
      <c r="J247" s="31">
        <f t="shared" si="33"/>
        <v>1658.599999999999</v>
      </c>
      <c r="K247" s="31">
        <f>G247</f>
        <v>13</v>
      </c>
      <c r="L247" s="12" t="s">
        <v>38</v>
      </c>
      <c r="M247" s="31">
        <v>0.9</v>
      </c>
      <c r="N247" s="31">
        <v>1.5</v>
      </c>
      <c r="O247" s="31">
        <f t="shared" si="30"/>
        <v>-0.6</v>
      </c>
      <c r="P247" s="31">
        <f t="shared" si="34"/>
        <v>104.7</v>
      </c>
      <c r="Q247" s="31">
        <v>213</v>
      </c>
      <c r="R247" s="31">
        <f t="shared" ref="R247" si="37">1+((Q247-152)/61)*(1.15-1)</f>
        <v>1.1499999999999999</v>
      </c>
      <c r="S247" s="33">
        <f t="shared" si="31"/>
        <v>1.7249999999999999</v>
      </c>
      <c r="T247" s="33">
        <f t="shared" si="32"/>
        <v>-0.82499999999999984</v>
      </c>
      <c r="U247" s="18">
        <f t="shared" si="36"/>
        <v>107.3447048192771</v>
      </c>
      <c r="V247" s="22" t="s">
        <v>51</v>
      </c>
      <c r="W247" s="31">
        <v>652.1</v>
      </c>
      <c r="Y247" s="31">
        <f t="shared" si="35"/>
        <v>118367.59999999998</v>
      </c>
      <c r="Z247" s="31">
        <f>W247</f>
        <v>652.1</v>
      </c>
      <c r="AA247" s="31">
        <v>12.569596025118718</v>
      </c>
      <c r="AB247" s="22" t="s">
        <v>56</v>
      </c>
    </row>
    <row r="248" spans="1:28" ht="15" customHeight="1" x14ac:dyDescent="0.25">
      <c r="A248">
        <v>6440</v>
      </c>
      <c r="B248">
        <v>25210</v>
      </c>
      <c r="C248" s="4">
        <v>42826</v>
      </c>
      <c r="F248" s="43"/>
      <c r="G248">
        <v>10.6</v>
      </c>
      <c r="H248">
        <v>8.6999999999999993</v>
      </c>
      <c r="I248">
        <v>13.4</v>
      </c>
      <c r="J248">
        <f t="shared" si="33"/>
        <v>1669.1999999999989</v>
      </c>
      <c r="K248">
        <f>K247+G248</f>
        <v>23.6</v>
      </c>
      <c r="L248" s="8">
        <v>195</v>
      </c>
      <c r="M248">
        <v>0</v>
      </c>
      <c r="N248">
        <v>1.2</v>
      </c>
      <c r="O248">
        <f t="shared" si="30"/>
        <v>-1.2</v>
      </c>
      <c r="P248">
        <f t="shared" si="34"/>
        <v>103.5</v>
      </c>
      <c r="Q248">
        <v>214</v>
      </c>
      <c r="R248">
        <v>1.1499999999999999</v>
      </c>
      <c r="S248" s="18">
        <f t="shared" si="31"/>
        <v>1.38</v>
      </c>
      <c r="T248" s="18">
        <f t="shared" si="32"/>
        <v>-1.38</v>
      </c>
      <c r="U248" s="18">
        <f t="shared" si="36"/>
        <v>105.9647048192771</v>
      </c>
      <c r="V248">
        <v>0</v>
      </c>
      <c r="W248">
        <v>720</v>
      </c>
      <c r="Y248">
        <f t="shared" si="35"/>
        <v>119087.59999999998</v>
      </c>
      <c r="Z248">
        <f>Z247+W248</f>
        <v>1372.1</v>
      </c>
      <c r="AA248">
        <v>12.632622415352657</v>
      </c>
      <c r="AB248">
        <v>27105.8</v>
      </c>
    </row>
    <row r="249" spans="1:28" x14ac:dyDescent="0.25">
      <c r="A249">
        <v>6440</v>
      </c>
      <c r="B249">
        <v>25210</v>
      </c>
      <c r="C249" s="4">
        <v>42827</v>
      </c>
      <c r="F249" s="43"/>
      <c r="G249">
        <v>10.199999999999999</v>
      </c>
      <c r="H249">
        <v>4.5</v>
      </c>
      <c r="I249">
        <v>15.1</v>
      </c>
      <c r="J249">
        <f t="shared" si="33"/>
        <v>1679.399999999999</v>
      </c>
      <c r="K249">
        <f t="shared" ref="K249:K312" si="38">K248+G249</f>
        <v>33.799999999999997</v>
      </c>
      <c r="L249" s="12" t="s">
        <v>39</v>
      </c>
      <c r="M249">
        <v>0</v>
      </c>
      <c r="N249">
        <v>2.1</v>
      </c>
      <c r="O249">
        <f t="shared" si="30"/>
        <v>-2.1</v>
      </c>
      <c r="P249">
        <f t="shared" si="34"/>
        <v>101.4</v>
      </c>
      <c r="Q249">
        <v>215</v>
      </c>
      <c r="R249">
        <v>1.1499999999999999</v>
      </c>
      <c r="S249" s="18">
        <f t="shared" si="31"/>
        <v>2.415</v>
      </c>
      <c r="T249" s="18">
        <f t="shared" si="32"/>
        <v>-2.415</v>
      </c>
      <c r="U249" s="18">
        <f t="shared" si="36"/>
        <v>103.5497048192771</v>
      </c>
      <c r="V249" s="22" t="s">
        <v>52</v>
      </c>
      <c r="W249">
        <v>1426.9</v>
      </c>
      <c r="Y249">
        <f t="shared" si="35"/>
        <v>120514.49999999997</v>
      </c>
      <c r="Z249">
        <f t="shared" ref="Z249:Z312" si="39">Z248+W249</f>
        <v>2799</v>
      </c>
      <c r="AA249">
        <v>12.695564785903267</v>
      </c>
      <c r="AB249" s="22" t="s">
        <v>57</v>
      </c>
    </row>
    <row r="250" spans="1:28" x14ac:dyDescent="0.25">
      <c r="A250">
        <v>6440</v>
      </c>
      <c r="B250">
        <v>25210</v>
      </c>
      <c r="C250" s="4">
        <v>42828</v>
      </c>
      <c r="F250" s="43"/>
      <c r="G250">
        <v>10.5</v>
      </c>
      <c r="H250">
        <v>3.1</v>
      </c>
      <c r="I250">
        <v>16.399999999999999</v>
      </c>
      <c r="J250">
        <f t="shared" si="33"/>
        <v>1689.899999999999</v>
      </c>
      <c r="K250">
        <f t="shared" si="38"/>
        <v>44.3</v>
      </c>
      <c r="L250" s="8">
        <f>AVERAGE(G247:G267)</f>
        <v>9.2857142857142865</v>
      </c>
      <c r="M250">
        <v>0</v>
      </c>
      <c r="N250">
        <v>2.4</v>
      </c>
      <c r="O250">
        <f t="shared" si="30"/>
        <v>-2.4</v>
      </c>
      <c r="P250">
        <f t="shared" si="34"/>
        <v>99</v>
      </c>
      <c r="Q250">
        <v>216</v>
      </c>
      <c r="R250">
        <v>1.1499999999999999</v>
      </c>
      <c r="S250" s="18">
        <f t="shared" si="31"/>
        <v>2.76</v>
      </c>
      <c r="T250" s="18">
        <f t="shared" si="32"/>
        <v>-2.76</v>
      </c>
      <c r="U250" s="18">
        <f t="shared" si="36"/>
        <v>100.78970481927709</v>
      </c>
      <c r="V250">
        <v>1</v>
      </c>
      <c r="W250">
        <v>1594.3</v>
      </c>
      <c r="Y250">
        <f t="shared" si="35"/>
        <v>122108.79999999997</v>
      </c>
      <c r="Z250">
        <f t="shared" si="39"/>
        <v>4393.3</v>
      </c>
      <c r="AA250">
        <v>12.758414103619094</v>
      </c>
      <c r="AB250" s="18">
        <f>(AB248/100)/L248</f>
        <v>1.3900410256410256</v>
      </c>
    </row>
    <row r="251" spans="1:28" x14ac:dyDescent="0.25">
      <c r="A251">
        <v>6440</v>
      </c>
      <c r="B251">
        <v>25210</v>
      </c>
      <c r="C251" s="4">
        <v>42829</v>
      </c>
      <c r="F251" s="43"/>
      <c r="G251">
        <v>10.1</v>
      </c>
      <c r="H251">
        <v>6</v>
      </c>
      <c r="I251">
        <v>14.5</v>
      </c>
      <c r="J251">
        <f t="shared" si="33"/>
        <v>1699.9999999999989</v>
      </c>
      <c r="K251">
        <f t="shared" si="38"/>
        <v>54.4</v>
      </c>
      <c r="L251" s="12" t="s">
        <v>40</v>
      </c>
      <c r="M251">
        <v>0</v>
      </c>
      <c r="N251">
        <v>1.8</v>
      </c>
      <c r="O251">
        <f t="shared" si="30"/>
        <v>-1.8</v>
      </c>
      <c r="P251">
        <f t="shared" si="34"/>
        <v>97.2</v>
      </c>
      <c r="Q251">
        <v>217</v>
      </c>
      <c r="R251">
        <v>1.1499999999999999</v>
      </c>
      <c r="S251" s="18">
        <f t="shared" si="31"/>
        <v>2.0699999999999998</v>
      </c>
      <c r="T251" s="18">
        <f t="shared" si="32"/>
        <v>-2.0699999999999998</v>
      </c>
      <c r="U251" s="18">
        <f t="shared" si="36"/>
        <v>98.719704819277098</v>
      </c>
      <c r="V251" s="22" t="s">
        <v>53</v>
      </c>
      <c r="W251">
        <v>995</v>
      </c>
      <c r="Y251">
        <f t="shared" si="35"/>
        <v>123103.79999999997</v>
      </c>
      <c r="Z251">
        <f t="shared" si="39"/>
        <v>5388.3</v>
      </c>
      <c r="AA251">
        <v>12.821161155867861</v>
      </c>
      <c r="AB251" s="22" t="s">
        <v>58</v>
      </c>
    </row>
    <row r="252" spans="1:28" x14ac:dyDescent="0.25">
      <c r="A252">
        <v>6440</v>
      </c>
      <c r="B252">
        <v>25210</v>
      </c>
      <c r="C252" s="4">
        <v>42830</v>
      </c>
      <c r="F252" s="43"/>
      <c r="G252">
        <v>9.8000000000000007</v>
      </c>
      <c r="H252">
        <v>7.8</v>
      </c>
      <c r="I252">
        <v>13.5</v>
      </c>
      <c r="J252">
        <f t="shared" si="33"/>
        <v>1709.7999999999988</v>
      </c>
      <c r="K252">
        <f t="shared" si="38"/>
        <v>64.2</v>
      </c>
      <c r="L252" s="9">
        <f>MIN(H247:H267)</f>
        <v>-1.1000000000000001</v>
      </c>
      <c r="M252">
        <v>0</v>
      </c>
      <c r="N252">
        <v>1.9</v>
      </c>
      <c r="O252">
        <f t="shared" si="30"/>
        <v>-1.9</v>
      </c>
      <c r="P252">
        <f t="shared" si="34"/>
        <v>95.3</v>
      </c>
      <c r="Q252">
        <v>218</v>
      </c>
      <c r="R252">
        <v>1.1499999999999999</v>
      </c>
      <c r="S252" s="18">
        <f t="shared" si="31"/>
        <v>2.1849999999999996</v>
      </c>
      <c r="T252" s="18">
        <f t="shared" si="32"/>
        <v>-2.1849999999999996</v>
      </c>
      <c r="U252" s="18">
        <f t="shared" si="36"/>
        <v>96.534704819277096</v>
      </c>
      <c r="V252" s="18">
        <f>MIN(U247:U267)</f>
        <v>61.229704819277103</v>
      </c>
      <c r="W252">
        <v>891</v>
      </c>
      <c r="Y252">
        <f t="shared" si="35"/>
        <v>123994.79999999997</v>
      </c>
      <c r="Z252">
        <f t="shared" si="39"/>
        <v>6279.3</v>
      </c>
      <c r="AA252">
        <v>12.883796534636208</v>
      </c>
      <c r="AB252">
        <v>7</v>
      </c>
    </row>
    <row r="253" spans="1:28" x14ac:dyDescent="0.25">
      <c r="A253">
        <v>6440</v>
      </c>
      <c r="B253">
        <v>25210</v>
      </c>
      <c r="C253" s="4">
        <v>42831</v>
      </c>
      <c r="F253" s="43"/>
      <c r="G253">
        <v>7.7</v>
      </c>
      <c r="H253">
        <v>3.1</v>
      </c>
      <c r="I253">
        <v>12.2</v>
      </c>
      <c r="J253">
        <f t="shared" si="33"/>
        <v>1717.4999999999989</v>
      </c>
      <c r="K253">
        <f t="shared" si="38"/>
        <v>71.900000000000006</v>
      </c>
      <c r="L253" s="12" t="s">
        <v>41</v>
      </c>
      <c r="M253">
        <v>0</v>
      </c>
      <c r="N253">
        <v>1.9</v>
      </c>
      <c r="O253">
        <f t="shared" si="30"/>
        <v>-1.9</v>
      </c>
      <c r="P253">
        <f t="shared" si="34"/>
        <v>93.399999999999991</v>
      </c>
      <c r="Q253">
        <v>219</v>
      </c>
      <c r="R253">
        <v>1.1499999999999999</v>
      </c>
      <c r="S253" s="18">
        <f t="shared" si="31"/>
        <v>2.1849999999999996</v>
      </c>
      <c r="T253" s="18">
        <f t="shared" si="32"/>
        <v>-2.1849999999999996</v>
      </c>
      <c r="U253" s="18">
        <f t="shared" si="36"/>
        <v>94.349704819277093</v>
      </c>
      <c r="V253" s="22" t="s">
        <v>54</v>
      </c>
      <c r="W253">
        <v>1149.2</v>
      </c>
      <c r="Y253">
        <f t="shared" si="35"/>
        <v>125143.99999999997</v>
      </c>
      <c r="Z253">
        <f t="shared" si="39"/>
        <v>7428.5</v>
      </c>
      <c r="AA253">
        <v>12.946310620754192</v>
      </c>
    </row>
    <row r="254" spans="1:28" x14ac:dyDescent="0.25">
      <c r="A254">
        <v>6440</v>
      </c>
      <c r="B254">
        <v>25210</v>
      </c>
      <c r="C254" s="4">
        <v>42832</v>
      </c>
      <c r="F254" s="43"/>
      <c r="G254">
        <v>9</v>
      </c>
      <c r="H254">
        <v>1.5</v>
      </c>
      <c r="I254">
        <v>15.4</v>
      </c>
      <c r="J254">
        <f t="shared" si="33"/>
        <v>1726.4999999999989</v>
      </c>
      <c r="K254">
        <f t="shared" si="38"/>
        <v>80.900000000000006</v>
      </c>
      <c r="L254" s="8">
        <f>MAX(I247:I267)</f>
        <v>21</v>
      </c>
      <c r="M254">
        <v>0</v>
      </c>
      <c r="N254">
        <v>2</v>
      </c>
      <c r="O254">
        <f t="shared" si="30"/>
        <v>-2</v>
      </c>
      <c r="P254">
        <f t="shared" si="34"/>
        <v>91.399999999999991</v>
      </c>
      <c r="Q254">
        <v>220</v>
      </c>
      <c r="R254">
        <v>1.1499999999999999</v>
      </c>
      <c r="S254" s="18">
        <f t="shared" si="31"/>
        <v>2.2999999999999998</v>
      </c>
      <c r="T254" s="18">
        <f t="shared" si="32"/>
        <v>-2.2999999999999998</v>
      </c>
      <c r="U254" s="18">
        <f t="shared" si="36"/>
        <v>92.049704819277096</v>
      </c>
      <c r="V254" s="18">
        <f>MAX(U247:U267)</f>
        <v>107.3447048192771</v>
      </c>
      <c r="W254">
        <v>1457.5</v>
      </c>
      <c r="Y254">
        <f t="shared" si="35"/>
        <v>126601.49999999997</v>
      </c>
      <c r="Z254">
        <f t="shared" si="39"/>
        <v>8886</v>
      </c>
      <c r="AA254">
        <v>13.00869356826173</v>
      </c>
    </row>
    <row r="255" spans="1:28" x14ac:dyDescent="0.25">
      <c r="A255">
        <v>6440</v>
      </c>
      <c r="B255">
        <v>25210</v>
      </c>
      <c r="C255" s="4">
        <v>42833</v>
      </c>
      <c r="F255" s="43"/>
      <c r="G255">
        <v>9.8000000000000007</v>
      </c>
      <c r="H255">
        <v>2.7</v>
      </c>
      <c r="I255">
        <v>15.9</v>
      </c>
      <c r="J255">
        <f t="shared" si="33"/>
        <v>1736.2999999999988</v>
      </c>
      <c r="K255">
        <f t="shared" si="38"/>
        <v>90.7</v>
      </c>
      <c r="L255" s="12" t="s">
        <v>42</v>
      </c>
      <c r="M255">
        <v>0</v>
      </c>
      <c r="N255">
        <v>3</v>
      </c>
      <c r="O255">
        <f t="shared" si="30"/>
        <v>-3</v>
      </c>
      <c r="P255">
        <f t="shared" si="34"/>
        <v>88.399999999999991</v>
      </c>
      <c r="Q255">
        <v>221</v>
      </c>
      <c r="R255">
        <v>1.1499999999999999</v>
      </c>
      <c r="S255" s="18">
        <f t="shared" si="31"/>
        <v>3.4499999999999997</v>
      </c>
      <c r="T255" s="18">
        <f t="shared" si="32"/>
        <v>-3.4499999999999997</v>
      </c>
      <c r="U255" s="18">
        <f t="shared" si="36"/>
        <v>88.599704819277093</v>
      </c>
      <c r="V255" s="22" t="s">
        <v>55</v>
      </c>
      <c r="W255">
        <v>2086.1</v>
      </c>
      <c r="Y255">
        <f t="shared" si="35"/>
        <v>128687.59999999998</v>
      </c>
      <c r="Z255">
        <f t="shared" si="39"/>
        <v>10972.1</v>
      </c>
      <c r="AA255">
        <v>13.070935288935779</v>
      </c>
    </row>
    <row r="256" spans="1:28" x14ac:dyDescent="0.25">
      <c r="A256">
        <v>6440</v>
      </c>
      <c r="B256">
        <v>25210</v>
      </c>
      <c r="C256" s="4">
        <v>42834</v>
      </c>
      <c r="F256" s="43"/>
      <c r="G256">
        <v>13.2</v>
      </c>
      <c r="H256">
        <v>3</v>
      </c>
      <c r="I256">
        <v>21</v>
      </c>
      <c r="J256">
        <f t="shared" si="33"/>
        <v>1749.4999999999989</v>
      </c>
      <c r="K256">
        <f t="shared" si="38"/>
        <v>103.9</v>
      </c>
      <c r="L256" s="8">
        <v>0</v>
      </c>
      <c r="M256">
        <v>0</v>
      </c>
      <c r="N256">
        <v>3.6</v>
      </c>
      <c r="O256">
        <f t="shared" si="30"/>
        <v>-3.6</v>
      </c>
      <c r="P256">
        <f t="shared" si="34"/>
        <v>84.8</v>
      </c>
      <c r="Q256">
        <v>222</v>
      </c>
      <c r="R256">
        <v>1.1499999999999999</v>
      </c>
      <c r="S256" s="18">
        <f t="shared" si="31"/>
        <v>4.1399999999999997</v>
      </c>
      <c r="T256" s="18">
        <f t="shared" si="32"/>
        <v>-4.1399999999999997</v>
      </c>
      <c r="U256" s="18">
        <f t="shared" si="36"/>
        <v>84.459704819277093</v>
      </c>
      <c r="V256" s="18">
        <f>AVERAGE(U247:U267)</f>
        <v>84.267085771658046</v>
      </c>
      <c r="W256">
        <v>2123.1</v>
      </c>
      <c r="Y256">
        <f t="shared" si="35"/>
        <v>130810.69999999998</v>
      </c>
      <c r="Z256">
        <f t="shared" si="39"/>
        <v>13095.2</v>
      </c>
      <c r="AA256">
        <v>13.133025436998837</v>
      </c>
    </row>
    <row r="257" spans="1:28" x14ac:dyDescent="0.25">
      <c r="A257">
        <v>6440</v>
      </c>
      <c r="B257">
        <v>25210</v>
      </c>
      <c r="C257" s="4">
        <v>42835</v>
      </c>
      <c r="F257" s="43"/>
      <c r="G257">
        <v>10.7</v>
      </c>
      <c r="H257">
        <v>9.9</v>
      </c>
      <c r="I257">
        <v>14.1</v>
      </c>
      <c r="J257">
        <f t="shared" si="33"/>
        <v>1760.1999999999989</v>
      </c>
      <c r="K257">
        <f t="shared" si="38"/>
        <v>114.60000000000001</v>
      </c>
      <c r="L257" s="12" t="s">
        <v>43</v>
      </c>
      <c r="M257">
        <v>0</v>
      </c>
      <c r="N257">
        <v>2</v>
      </c>
      <c r="O257">
        <f t="shared" si="30"/>
        <v>-2</v>
      </c>
      <c r="P257">
        <f t="shared" si="34"/>
        <v>82.8</v>
      </c>
      <c r="Q257">
        <v>223</v>
      </c>
      <c r="R257">
        <v>1.1499999999999999</v>
      </c>
      <c r="S257" s="18">
        <f t="shared" si="31"/>
        <v>2.2999999999999998</v>
      </c>
      <c r="T257" s="18">
        <f t="shared" si="32"/>
        <v>-2.2999999999999998</v>
      </c>
      <c r="U257" s="18">
        <f t="shared" si="36"/>
        <v>82.159704819277096</v>
      </c>
      <c r="W257">
        <v>863.9</v>
      </c>
      <c r="Y257">
        <f t="shared" si="35"/>
        <v>131674.59999999998</v>
      </c>
      <c r="Z257">
        <f t="shared" si="39"/>
        <v>13959.1</v>
      </c>
      <c r="AA257">
        <v>13.194953394031264</v>
      </c>
    </row>
    <row r="258" spans="1:28" x14ac:dyDescent="0.25">
      <c r="A258">
        <v>6440</v>
      </c>
      <c r="B258">
        <v>25210</v>
      </c>
      <c r="C258" s="4">
        <v>42836</v>
      </c>
      <c r="F258" s="43"/>
      <c r="G258">
        <v>8.6999999999999993</v>
      </c>
      <c r="H258">
        <v>3.6</v>
      </c>
      <c r="I258">
        <v>14.1</v>
      </c>
      <c r="J258">
        <f t="shared" si="33"/>
        <v>1768.899999999999</v>
      </c>
      <c r="K258">
        <f t="shared" si="38"/>
        <v>123.30000000000001</v>
      </c>
      <c r="L258" s="8">
        <v>10</v>
      </c>
      <c r="M258">
        <v>0</v>
      </c>
      <c r="N258">
        <v>2.1</v>
      </c>
      <c r="O258">
        <f t="shared" si="30"/>
        <v>-2.1</v>
      </c>
      <c r="P258">
        <f t="shared" si="34"/>
        <v>80.7</v>
      </c>
      <c r="Q258">
        <v>224</v>
      </c>
      <c r="R258">
        <v>1.1499999999999999</v>
      </c>
      <c r="S258" s="18">
        <f t="shared" si="31"/>
        <v>2.415</v>
      </c>
      <c r="T258" s="18">
        <f t="shared" si="32"/>
        <v>-2.415</v>
      </c>
      <c r="U258" s="18">
        <f t="shared" si="36"/>
        <v>79.744704819277089</v>
      </c>
      <c r="V258" s="37">
        <f>(V256*100)/189.6</f>
        <v>44.444665491380825</v>
      </c>
      <c r="W258">
        <v>1209</v>
      </c>
      <c r="Y258">
        <f t="shared" si="35"/>
        <v>132883.59999999998</v>
      </c>
      <c r="Z258">
        <f t="shared" si="39"/>
        <v>15168.1</v>
      </c>
      <c r="AA258">
        <v>13.25670825411189</v>
      </c>
    </row>
    <row r="259" spans="1:28" x14ac:dyDescent="0.25">
      <c r="A259">
        <v>6440</v>
      </c>
      <c r="B259">
        <v>25210</v>
      </c>
      <c r="C259" s="4">
        <v>42837</v>
      </c>
      <c r="F259" s="43"/>
      <c r="G259">
        <v>8.9</v>
      </c>
      <c r="H259">
        <v>3.9</v>
      </c>
      <c r="I259">
        <v>15.7</v>
      </c>
      <c r="J259">
        <f t="shared" si="33"/>
        <v>1777.799999999999</v>
      </c>
      <c r="K259">
        <f t="shared" si="38"/>
        <v>132.20000000000002</v>
      </c>
      <c r="L259" s="12" t="s">
        <v>44</v>
      </c>
      <c r="M259">
        <v>0</v>
      </c>
      <c r="N259">
        <v>2.2999999999999998</v>
      </c>
      <c r="O259">
        <f t="shared" si="30"/>
        <v>-2.2999999999999998</v>
      </c>
      <c r="P259">
        <f t="shared" si="34"/>
        <v>78.400000000000006</v>
      </c>
      <c r="Q259">
        <v>225</v>
      </c>
      <c r="R259">
        <v>1.1499999999999999</v>
      </c>
      <c r="S259" s="18">
        <f t="shared" si="31"/>
        <v>2.6449999999999996</v>
      </c>
      <c r="T259" s="18">
        <f t="shared" si="32"/>
        <v>-2.6449999999999996</v>
      </c>
      <c r="U259" s="18">
        <f t="shared" si="36"/>
        <v>77.099704819277093</v>
      </c>
      <c r="W259">
        <v>1385</v>
      </c>
      <c r="Y259">
        <f t="shared" si="35"/>
        <v>134268.59999999998</v>
      </c>
      <c r="Z259">
        <f t="shared" si="39"/>
        <v>16553.099999999999</v>
      </c>
      <c r="AA259">
        <v>13.318278809213565</v>
      </c>
    </row>
    <row r="260" spans="1:28" x14ac:dyDescent="0.25">
      <c r="A260">
        <v>6440</v>
      </c>
      <c r="B260">
        <v>25210</v>
      </c>
      <c r="C260" s="4">
        <v>42838</v>
      </c>
      <c r="F260" s="43"/>
      <c r="G260">
        <v>10.199999999999999</v>
      </c>
      <c r="H260">
        <v>6</v>
      </c>
      <c r="I260">
        <v>13.1</v>
      </c>
      <c r="J260">
        <f t="shared" si="33"/>
        <v>1787.9999999999991</v>
      </c>
      <c r="K260">
        <f t="shared" si="38"/>
        <v>142.4</v>
      </c>
      <c r="L260" s="13">
        <v>1</v>
      </c>
      <c r="M260">
        <v>0</v>
      </c>
      <c r="N260">
        <v>1.2</v>
      </c>
      <c r="O260">
        <f t="shared" si="30"/>
        <v>-1.2</v>
      </c>
      <c r="P260">
        <f t="shared" si="34"/>
        <v>77.2</v>
      </c>
      <c r="Q260">
        <v>226</v>
      </c>
      <c r="R260">
        <v>1.1499999999999999</v>
      </c>
      <c r="S260" s="18">
        <f t="shared" si="31"/>
        <v>1.38</v>
      </c>
      <c r="T260" s="18">
        <f t="shared" si="32"/>
        <v>-1.38</v>
      </c>
      <c r="U260" s="18">
        <f t="shared" si="36"/>
        <v>75.719704819277098</v>
      </c>
      <c r="W260">
        <v>649.20000000000005</v>
      </c>
      <c r="Y260">
        <f t="shared" si="35"/>
        <v>134917.79999999999</v>
      </c>
      <c r="Z260">
        <f t="shared" si="39"/>
        <v>17202.3</v>
      </c>
      <c r="AA260">
        <v>13.37965353488258</v>
      </c>
    </row>
    <row r="261" spans="1:28" x14ac:dyDescent="0.25">
      <c r="A261">
        <v>6440</v>
      </c>
      <c r="B261">
        <v>25210</v>
      </c>
      <c r="C261" s="4">
        <v>42839</v>
      </c>
      <c r="F261" s="43"/>
      <c r="G261">
        <v>9.6</v>
      </c>
      <c r="H261">
        <v>5.9</v>
      </c>
      <c r="I261">
        <v>12.6</v>
      </c>
      <c r="J261">
        <f t="shared" si="33"/>
        <v>1797.599999999999</v>
      </c>
      <c r="K261">
        <f t="shared" si="38"/>
        <v>152</v>
      </c>
      <c r="M261">
        <v>0</v>
      </c>
      <c r="N261">
        <v>1.1000000000000001</v>
      </c>
      <c r="O261">
        <f t="shared" si="30"/>
        <v>-1.1000000000000001</v>
      </c>
      <c r="P261">
        <f t="shared" si="34"/>
        <v>76.100000000000009</v>
      </c>
      <c r="Q261">
        <v>227</v>
      </c>
      <c r="R261">
        <v>1.1499999999999999</v>
      </c>
      <c r="S261" s="18">
        <f t="shared" si="31"/>
        <v>1.2649999999999999</v>
      </c>
      <c r="T261" s="18">
        <f t="shared" si="32"/>
        <v>-1.2649999999999999</v>
      </c>
      <c r="U261" s="18">
        <f t="shared" si="36"/>
        <v>74.454704819277097</v>
      </c>
      <c r="W261">
        <v>574.29999999999995</v>
      </c>
      <c r="Y261">
        <f t="shared" si="35"/>
        <v>135492.09999999998</v>
      </c>
      <c r="Z261">
        <f t="shared" si="39"/>
        <v>17776.599999999999</v>
      </c>
      <c r="AA261">
        <v>13.440820576233282</v>
      </c>
    </row>
    <row r="262" spans="1:28" x14ac:dyDescent="0.25">
      <c r="A262">
        <v>6440</v>
      </c>
      <c r="B262">
        <v>25210</v>
      </c>
      <c r="C262" s="4">
        <v>42840</v>
      </c>
      <c r="F262" s="43"/>
      <c r="G262">
        <v>10</v>
      </c>
      <c r="H262">
        <v>7.5</v>
      </c>
      <c r="I262">
        <v>12.9</v>
      </c>
      <c r="J262">
        <f t="shared" si="33"/>
        <v>1807.599999999999</v>
      </c>
      <c r="K262">
        <f t="shared" si="38"/>
        <v>162</v>
      </c>
      <c r="M262">
        <v>0.5</v>
      </c>
      <c r="N262">
        <v>1.9</v>
      </c>
      <c r="O262">
        <f t="shared" si="30"/>
        <v>-1.4</v>
      </c>
      <c r="P262">
        <f t="shared" si="34"/>
        <v>74.7</v>
      </c>
      <c r="Q262">
        <v>228</v>
      </c>
      <c r="R262">
        <v>1.1499999999999999</v>
      </c>
      <c r="S262" s="18">
        <f t="shared" si="31"/>
        <v>2.1849999999999996</v>
      </c>
      <c r="T262" s="18">
        <f t="shared" si="32"/>
        <v>-1.6849999999999996</v>
      </c>
      <c r="U262" s="18">
        <f t="shared" si="36"/>
        <v>72.769704819277095</v>
      </c>
      <c r="W262">
        <v>1339.5</v>
      </c>
      <c r="Y262">
        <f t="shared" si="35"/>
        <v>136831.59999999998</v>
      </c>
      <c r="Z262">
        <f t="shared" si="39"/>
        <v>19116.099999999999</v>
      </c>
      <c r="AA262">
        <v>13.50176773429167</v>
      </c>
    </row>
    <row r="263" spans="1:28" x14ac:dyDescent="0.25">
      <c r="A263">
        <v>6440</v>
      </c>
      <c r="B263">
        <v>25210</v>
      </c>
      <c r="C263" s="4">
        <v>42841</v>
      </c>
      <c r="F263" s="43"/>
      <c r="G263">
        <v>9.1999999999999993</v>
      </c>
      <c r="H263">
        <v>5.3</v>
      </c>
      <c r="I263">
        <v>12.9</v>
      </c>
      <c r="J263">
        <f t="shared" si="33"/>
        <v>1816.799999999999</v>
      </c>
      <c r="K263">
        <f t="shared" si="38"/>
        <v>171.2</v>
      </c>
      <c r="M263">
        <v>0.5</v>
      </c>
      <c r="N263">
        <v>1.9</v>
      </c>
      <c r="O263">
        <f t="shared" si="30"/>
        <v>-1.4</v>
      </c>
      <c r="P263">
        <f t="shared" si="34"/>
        <v>73.3</v>
      </c>
      <c r="Q263">
        <v>229</v>
      </c>
      <c r="R263">
        <v>1.1499999999999999</v>
      </c>
      <c r="S263" s="18">
        <f t="shared" si="31"/>
        <v>2.1849999999999996</v>
      </c>
      <c r="T263" s="18">
        <f t="shared" si="32"/>
        <v>-1.6849999999999996</v>
      </c>
      <c r="U263" s="18">
        <f t="shared" si="36"/>
        <v>71.084704819277093</v>
      </c>
      <c r="W263">
        <v>1044.9000000000001</v>
      </c>
      <c r="Y263">
        <f t="shared" si="35"/>
        <v>137876.49999999997</v>
      </c>
      <c r="Z263">
        <f t="shared" si="39"/>
        <v>20161</v>
      </c>
      <c r="AA263">
        <v>13.562482452724447</v>
      </c>
    </row>
    <row r="264" spans="1:28" x14ac:dyDescent="0.25">
      <c r="A264">
        <v>6440</v>
      </c>
      <c r="B264">
        <v>25210</v>
      </c>
      <c r="C264" s="4">
        <v>42842</v>
      </c>
      <c r="F264" s="43"/>
      <c r="G264">
        <v>8.3000000000000007</v>
      </c>
      <c r="H264">
        <v>7.3</v>
      </c>
      <c r="I264">
        <v>10.4</v>
      </c>
      <c r="J264">
        <f t="shared" si="33"/>
        <v>1825.099999999999</v>
      </c>
      <c r="K264">
        <f t="shared" si="38"/>
        <v>179.5</v>
      </c>
      <c r="M264">
        <v>0.7</v>
      </c>
      <c r="N264">
        <v>1.6</v>
      </c>
      <c r="O264">
        <f t="shared" si="30"/>
        <v>-0.90000000000000013</v>
      </c>
      <c r="P264">
        <f t="shared" si="34"/>
        <v>72.399999999999991</v>
      </c>
      <c r="Q264">
        <v>230</v>
      </c>
      <c r="R264">
        <v>1.1499999999999999</v>
      </c>
      <c r="S264" s="18">
        <f t="shared" si="31"/>
        <v>1.8399999999999999</v>
      </c>
      <c r="T264" s="18">
        <f t="shared" si="32"/>
        <v>-1.1399999999999999</v>
      </c>
      <c r="U264" s="18">
        <f t="shared" si="36"/>
        <v>69.944704819277092</v>
      </c>
      <c r="W264">
        <v>745.1</v>
      </c>
      <c r="Y264">
        <f t="shared" si="35"/>
        <v>138621.59999999998</v>
      </c>
      <c r="Z264">
        <f t="shared" si="39"/>
        <v>20906.099999999999</v>
      </c>
      <c r="AA264">
        <v>13.622951804992686</v>
      </c>
    </row>
    <row r="265" spans="1:28" x14ac:dyDescent="0.25">
      <c r="A265">
        <v>6440</v>
      </c>
      <c r="B265">
        <v>25210</v>
      </c>
      <c r="C265" s="4">
        <v>42843</v>
      </c>
      <c r="F265" s="43"/>
      <c r="G265">
        <v>5.3</v>
      </c>
      <c r="H265">
        <v>0.9</v>
      </c>
      <c r="I265">
        <v>9.1999999999999993</v>
      </c>
      <c r="J265">
        <f t="shared" si="33"/>
        <v>1830.399999999999</v>
      </c>
      <c r="K265">
        <f t="shared" si="38"/>
        <v>184.8</v>
      </c>
      <c r="M265">
        <v>0.6</v>
      </c>
      <c r="N265">
        <v>1.9</v>
      </c>
      <c r="O265">
        <f t="shared" si="30"/>
        <v>-1.2999999999999998</v>
      </c>
      <c r="P265">
        <f t="shared" si="34"/>
        <v>71.099999999999994</v>
      </c>
      <c r="Q265">
        <v>231</v>
      </c>
      <c r="R265">
        <v>1.1499999999999999</v>
      </c>
      <c r="S265" s="18">
        <f t="shared" si="31"/>
        <v>2.1849999999999996</v>
      </c>
      <c r="T265" s="18">
        <f t="shared" si="32"/>
        <v>-1.5849999999999995</v>
      </c>
      <c r="U265" s="18">
        <f t="shared" si="36"/>
        <v>68.359704819277098</v>
      </c>
      <c r="W265">
        <v>1383.2</v>
      </c>
      <c r="Y265">
        <f t="shared" si="35"/>
        <v>140004.79999999999</v>
      </c>
      <c r="Z265">
        <f t="shared" si="39"/>
        <v>22289.3</v>
      </c>
      <c r="AA265">
        <v>13.68316248197209</v>
      </c>
    </row>
    <row r="266" spans="1:28" x14ac:dyDescent="0.25">
      <c r="A266">
        <v>6440</v>
      </c>
      <c r="B266">
        <v>25210</v>
      </c>
      <c r="C266" s="4">
        <v>42844</v>
      </c>
      <c r="F266" s="43"/>
      <c r="G266">
        <v>4.9000000000000004</v>
      </c>
      <c r="H266">
        <v>0.8</v>
      </c>
      <c r="I266">
        <v>9.3000000000000007</v>
      </c>
      <c r="J266">
        <f t="shared" si="33"/>
        <v>1835.299999999999</v>
      </c>
      <c r="K266">
        <f t="shared" si="38"/>
        <v>189.70000000000002</v>
      </c>
      <c r="M266">
        <v>0</v>
      </c>
      <c r="N266">
        <v>3.2</v>
      </c>
      <c r="O266">
        <f t="shared" si="30"/>
        <v>-3.2</v>
      </c>
      <c r="P266">
        <f t="shared" si="34"/>
        <v>67.899999999999991</v>
      </c>
      <c r="Q266">
        <v>232</v>
      </c>
      <c r="R266">
        <v>1.1499999999999999</v>
      </c>
      <c r="S266" s="18">
        <f t="shared" si="31"/>
        <v>3.6799999999999997</v>
      </c>
      <c r="T266" s="18">
        <f t="shared" si="32"/>
        <v>-3.6799999999999997</v>
      </c>
      <c r="U266" s="18">
        <f t="shared" si="36"/>
        <v>64.679704819277106</v>
      </c>
      <c r="W266">
        <v>2456.1</v>
      </c>
      <c r="Y266">
        <f t="shared" si="35"/>
        <v>142460.9</v>
      </c>
      <c r="Z266">
        <f t="shared" si="39"/>
        <v>24745.399999999998</v>
      </c>
      <c r="AA266">
        <v>13.743100780084765</v>
      </c>
    </row>
    <row r="267" spans="1:28" s="26" customFormat="1" ht="15.75" thickBot="1" x14ac:dyDescent="0.3">
      <c r="A267" s="26">
        <v>6440</v>
      </c>
      <c r="B267" s="26">
        <v>25210</v>
      </c>
      <c r="C267" s="27">
        <v>42845</v>
      </c>
      <c r="D267" s="26" t="s">
        <v>33</v>
      </c>
      <c r="F267" s="44"/>
      <c r="G267" s="26">
        <v>5.3</v>
      </c>
      <c r="H267" s="26">
        <v>-1.1000000000000001</v>
      </c>
      <c r="I267" s="26">
        <v>11.3</v>
      </c>
      <c r="J267" s="26">
        <f t="shared" si="33"/>
        <v>1840.599999999999</v>
      </c>
      <c r="K267" s="26">
        <f t="shared" si="38"/>
        <v>195.00000000000003</v>
      </c>
      <c r="M267" s="26">
        <v>0</v>
      </c>
      <c r="N267" s="26">
        <v>3</v>
      </c>
      <c r="O267" s="26">
        <f t="shared" si="30"/>
        <v>-3</v>
      </c>
      <c r="P267" s="26">
        <f t="shared" si="34"/>
        <v>64.899999999999991</v>
      </c>
      <c r="Q267" s="26">
        <v>233</v>
      </c>
      <c r="R267" s="26">
        <v>1.1499999999999999</v>
      </c>
      <c r="S267" s="28">
        <f t="shared" si="31"/>
        <v>3.4499999999999997</v>
      </c>
      <c r="T267" s="28">
        <f t="shared" si="32"/>
        <v>-3.4499999999999997</v>
      </c>
      <c r="U267" s="18">
        <f t="shared" si="36"/>
        <v>61.229704819277103</v>
      </c>
      <c r="W267" s="26">
        <v>2360.4</v>
      </c>
      <c r="Y267" s="26">
        <f t="shared" si="35"/>
        <v>144821.29999999999</v>
      </c>
      <c r="Z267" s="26">
        <f t="shared" si="39"/>
        <v>27105.8</v>
      </c>
      <c r="AA267" s="26">
        <v>13.802752589990368</v>
      </c>
    </row>
    <row r="268" spans="1:28" s="31" customFormat="1" x14ac:dyDescent="0.25">
      <c r="A268" s="31">
        <v>6440</v>
      </c>
      <c r="B268" s="31">
        <v>25210</v>
      </c>
      <c r="C268" s="32">
        <v>42846</v>
      </c>
      <c r="F268" s="45" t="s">
        <v>48</v>
      </c>
      <c r="G268" s="31">
        <v>9</v>
      </c>
      <c r="H268" s="31">
        <v>1.2</v>
      </c>
      <c r="I268" s="31">
        <v>14.2</v>
      </c>
      <c r="J268" s="31">
        <f t="shared" si="33"/>
        <v>1849.599999999999</v>
      </c>
      <c r="K268">
        <f>G268</f>
        <v>9</v>
      </c>
      <c r="L268" s="14" t="s">
        <v>38</v>
      </c>
      <c r="M268" s="31">
        <v>0</v>
      </c>
      <c r="N268" s="31">
        <v>1.7</v>
      </c>
      <c r="O268" s="31">
        <f t="shared" si="30"/>
        <v>-1.7</v>
      </c>
      <c r="P268" s="31">
        <f t="shared" si="34"/>
        <v>63.199999999999989</v>
      </c>
      <c r="Q268" s="31">
        <v>234</v>
      </c>
      <c r="R268" s="31">
        <v>1.1499999999999999</v>
      </c>
      <c r="S268" s="33">
        <f t="shared" si="31"/>
        <v>1.9549999999999998</v>
      </c>
      <c r="T268" s="33">
        <f t="shared" si="32"/>
        <v>-1.9549999999999998</v>
      </c>
      <c r="U268" s="18">
        <f t="shared" si="36"/>
        <v>59.274704819277105</v>
      </c>
      <c r="V268" s="23" t="s">
        <v>51</v>
      </c>
      <c r="W268" s="31">
        <v>1197.0999999999999</v>
      </c>
      <c r="Y268" s="31">
        <f t="shared" si="35"/>
        <v>146018.4</v>
      </c>
      <c r="Z268">
        <f>W268</f>
        <v>1197.0999999999999</v>
      </c>
      <c r="AA268" s="31">
        <v>13.862103385887583</v>
      </c>
      <c r="AB268" s="23" t="s">
        <v>56</v>
      </c>
    </row>
    <row r="269" spans="1:28" ht="15" customHeight="1" x14ac:dyDescent="0.25">
      <c r="A269">
        <v>6440</v>
      </c>
      <c r="B269">
        <v>25210</v>
      </c>
      <c r="C269" s="4">
        <v>42847</v>
      </c>
      <c r="F269" s="46"/>
      <c r="G269">
        <v>8.9</v>
      </c>
      <c r="H269">
        <v>9.6</v>
      </c>
      <c r="I269">
        <v>10.9</v>
      </c>
      <c r="J269">
        <f t="shared" si="33"/>
        <v>1858.4999999999991</v>
      </c>
      <c r="K269">
        <f t="shared" si="38"/>
        <v>17.899999999999999</v>
      </c>
      <c r="L269" s="8">
        <v>301.39999999999998</v>
      </c>
      <c r="M269">
        <v>0</v>
      </c>
      <c r="N269">
        <v>2</v>
      </c>
      <c r="O269">
        <f t="shared" si="30"/>
        <v>-2</v>
      </c>
      <c r="P269">
        <f t="shared" si="34"/>
        <v>61.199999999999989</v>
      </c>
      <c r="Q269">
        <v>235</v>
      </c>
      <c r="R269">
        <v>1.1499999999999999</v>
      </c>
      <c r="S269" s="18">
        <f t="shared" si="31"/>
        <v>2.2999999999999998</v>
      </c>
      <c r="T269" s="18">
        <f t="shared" si="32"/>
        <v>-2.2999999999999998</v>
      </c>
      <c r="U269" s="18">
        <f t="shared" si="36"/>
        <v>56.974704819277108</v>
      </c>
      <c r="V269">
        <v>0</v>
      </c>
      <c r="W269">
        <v>1398.2</v>
      </c>
      <c r="Y269">
        <f t="shared" si="35"/>
        <v>147416.6</v>
      </c>
      <c r="Z269">
        <f t="shared" si="39"/>
        <v>2595.3000000000002</v>
      </c>
      <c r="AA269">
        <v>13.921138215479958</v>
      </c>
      <c r="AB269">
        <v>35390.400000000001</v>
      </c>
    </row>
    <row r="270" spans="1:28" x14ac:dyDescent="0.25">
      <c r="A270">
        <v>6440</v>
      </c>
      <c r="B270">
        <v>25210</v>
      </c>
      <c r="C270" s="4">
        <v>42848</v>
      </c>
      <c r="F270" s="46"/>
      <c r="G270">
        <v>7.3</v>
      </c>
      <c r="H270">
        <v>1.5</v>
      </c>
      <c r="I270">
        <v>12.6</v>
      </c>
      <c r="J270">
        <f t="shared" si="33"/>
        <v>1865.799999999999</v>
      </c>
      <c r="K270">
        <f t="shared" si="38"/>
        <v>25.2</v>
      </c>
      <c r="L270" s="14" t="s">
        <v>39</v>
      </c>
      <c r="M270">
        <v>0</v>
      </c>
      <c r="N270">
        <v>1.7</v>
      </c>
      <c r="O270">
        <f t="shared" si="30"/>
        <v>-1.7</v>
      </c>
      <c r="P270">
        <f t="shared" si="34"/>
        <v>59.499999999999986</v>
      </c>
      <c r="Q270">
        <v>236</v>
      </c>
      <c r="R270">
        <v>1.1499999999999999</v>
      </c>
      <c r="S270" s="18">
        <f t="shared" si="31"/>
        <v>1.9549999999999998</v>
      </c>
      <c r="T270" s="18">
        <f t="shared" si="32"/>
        <v>-1.9549999999999998</v>
      </c>
      <c r="U270" s="18">
        <f t="shared" si="36"/>
        <v>55.019704819277109</v>
      </c>
      <c r="V270" s="23" t="s">
        <v>52</v>
      </c>
      <c r="W270">
        <v>1172.5</v>
      </c>
      <c r="Y270">
        <f t="shared" si="35"/>
        <v>148589.1</v>
      </c>
      <c r="Z270">
        <f t="shared" si="39"/>
        <v>3767.8</v>
      </c>
      <c r="AA270">
        <v>13.979841690663243</v>
      </c>
      <c r="AB270" s="23" t="s">
        <v>57</v>
      </c>
    </row>
    <row r="271" spans="1:28" x14ac:dyDescent="0.25">
      <c r="A271">
        <v>6440</v>
      </c>
      <c r="B271">
        <v>25210</v>
      </c>
      <c r="C271" s="4">
        <v>42849</v>
      </c>
      <c r="F271" s="46"/>
      <c r="G271">
        <v>8.8000000000000007</v>
      </c>
      <c r="H271">
        <v>1.7</v>
      </c>
      <c r="I271">
        <v>15.1</v>
      </c>
      <c r="J271">
        <f t="shared" si="33"/>
        <v>1874.599999999999</v>
      </c>
      <c r="K271">
        <f t="shared" si="38"/>
        <v>34</v>
      </c>
      <c r="L271" s="8">
        <f>AVERAGE(G268:G294)</f>
        <v>11.162962962962963</v>
      </c>
      <c r="M271">
        <v>0</v>
      </c>
      <c r="N271">
        <v>2.1</v>
      </c>
      <c r="O271">
        <f t="shared" si="30"/>
        <v>-2.1</v>
      </c>
      <c r="P271">
        <f t="shared" si="34"/>
        <v>57.399999999999984</v>
      </c>
      <c r="Q271">
        <v>237</v>
      </c>
      <c r="R271">
        <v>1.1499999999999999</v>
      </c>
      <c r="S271" s="18">
        <f t="shared" si="31"/>
        <v>2.415</v>
      </c>
      <c r="T271" s="18">
        <f t="shared" si="32"/>
        <v>-2.415</v>
      </c>
      <c r="U271" s="18">
        <f t="shared" si="36"/>
        <v>52.60470481927711</v>
      </c>
      <c r="V271">
        <v>27</v>
      </c>
      <c r="W271">
        <v>1394.2</v>
      </c>
      <c r="Y271">
        <f t="shared" si="35"/>
        <v>149983.30000000002</v>
      </c>
      <c r="Z271">
        <f t="shared" si="39"/>
        <v>5162</v>
      </c>
      <c r="AA271">
        <v>14.038197978994535</v>
      </c>
      <c r="AB271">
        <f>(AB269/100)/L269</f>
        <v>1.1742003981420042</v>
      </c>
    </row>
    <row r="272" spans="1:28" x14ac:dyDescent="0.25">
      <c r="A272">
        <v>6440</v>
      </c>
      <c r="B272">
        <v>25210</v>
      </c>
      <c r="C272" s="4">
        <v>42850</v>
      </c>
      <c r="F272" s="46"/>
      <c r="G272">
        <v>6.8</v>
      </c>
      <c r="H272">
        <v>5.2</v>
      </c>
      <c r="I272">
        <v>9.8000000000000007</v>
      </c>
      <c r="J272">
        <f t="shared" si="33"/>
        <v>1881.399999999999</v>
      </c>
      <c r="K272">
        <f t="shared" si="38"/>
        <v>40.799999999999997</v>
      </c>
      <c r="L272" s="14" t="s">
        <v>40</v>
      </c>
      <c r="M272">
        <v>0</v>
      </c>
      <c r="N272">
        <v>2.5</v>
      </c>
      <c r="O272">
        <f t="shared" si="30"/>
        <v>-2.5</v>
      </c>
      <c r="P272">
        <f t="shared" si="34"/>
        <v>54.899999999999984</v>
      </c>
      <c r="Q272">
        <v>238</v>
      </c>
      <c r="R272">
        <v>1.1499999999999999</v>
      </c>
      <c r="S272" s="18">
        <f t="shared" si="31"/>
        <v>2.875</v>
      </c>
      <c r="T272" s="18">
        <f t="shared" si="32"/>
        <v>-2.875</v>
      </c>
      <c r="U272" s="18">
        <f t="shared" si="36"/>
        <v>49.72970481927711</v>
      </c>
      <c r="V272" s="23" t="s">
        <v>53</v>
      </c>
      <c r="W272">
        <v>1496.9</v>
      </c>
      <c r="Y272">
        <f t="shared" si="35"/>
        <v>151480.20000000001</v>
      </c>
      <c r="Z272">
        <f t="shared" si="39"/>
        <v>6658.9</v>
      </c>
      <c r="AA272">
        <v>14.096190796006669</v>
      </c>
      <c r="AB272" s="23" t="s">
        <v>58</v>
      </c>
    </row>
    <row r="273" spans="1:28" x14ac:dyDescent="0.25">
      <c r="A273">
        <v>6440</v>
      </c>
      <c r="B273">
        <v>25210</v>
      </c>
      <c r="C273" s="4">
        <v>42851</v>
      </c>
      <c r="F273" s="46"/>
      <c r="G273">
        <v>4.5</v>
      </c>
      <c r="H273">
        <v>0.5</v>
      </c>
      <c r="I273">
        <v>9.1999999999999993</v>
      </c>
      <c r="J273">
        <f t="shared" si="33"/>
        <v>1885.899999999999</v>
      </c>
      <c r="K273">
        <f t="shared" si="38"/>
        <v>45.3</v>
      </c>
      <c r="L273" s="9">
        <f>MIN(H268:H294)</f>
        <v>0.5</v>
      </c>
      <c r="M273">
        <v>0.6</v>
      </c>
      <c r="N273">
        <v>2.2999999999999998</v>
      </c>
      <c r="O273">
        <f t="shared" si="30"/>
        <v>-1.6999999999999997</v>
      </c>
      <c r="P273">
        <f t="shared" si="34"/>
        <v>53.199999999999982</v>
      </c>
      <c r="Q273">
        <v>239</v>
      </c>
      <c r="R273">
        <v>1.1499999999999999</v>
      </c>
      <c r="S273" s="18">
        <f t="shared" si="31"/>
        <v>2.6449999999999996</v>
      </c>
      <c r="T273" s="18">
        <f t="shared" si="32"/>
        <v>-2.0449999999999995</v>
      </c>
      <c r="U273" s="18">
        <f t="shared" si="36"/>
        <v>47.684704819277108</v>
      </c>
      <c r="V273" s="18">
        <f>MIN(U268:U294)</f>
        <v>22.199704819277098</v>
      </c>
      <c r="W273">
        <v>1920.3</v>
      </c>
      <c r="Y273">
        <f t="shared" si="35"/>
        <v>153400.5</v>
      </c>
      <c r="Z273">
        <f t="shared" si="39"/>
        <v>8579.1999999999989</v>
      </c>
      <c r="AA273">
        <v>14.153803398434304</v>
      </c>
      <c r="AB273">
        <v>7</v>
      </c>
    </row>
    <row r="274" spans="1:28" x14ac:dyDescent="0.25">
      <c r="A274">
        <v>6440</v>
      </c>
      <c r="B274">
        <v>25210</v>
      </c>
      <c r="C274" s="4">
        <v>42852</v>
      </c>
      <c r="F274" s="46"/>
      <c r="G274">
        <v>6</v>
      </c>
      <c r="H274">
        <v>1</v>
      </c>
      <c r="I274">
        <v>10</v>
      </c>
      <c r="J274">
        <f t="shared" si="33"/>
        <v>1891.899999999999</v>
      </c>
      <c r="K274">
        <f t="shared" si="38"/>
        <v>51.3</v>
      </c>
      <c r="L274" s="14" t="s">
        <v>41</v>
      </c>
      <c r="M274">
        <v>1</v>
      </c>
      <c r="N274">
        <v>1.9</v>
      </c>
      <c r="O274">
        <f t="shared" si="30"/>
        <v>-0.89999999999999991</v>
      </c>
      <c r="P274">
        <f t="shared" si="34"/>
        <v>52.299999999999983</v>
      </c>
      <c r="Q274">
        <v>240</v>
      </c>
      <c r="R274">
        <v>1.1499999999999999</v>
      </c>
      <c r="S274" s="18">
        <f t="shared" si="31"/>
        <v>2.1849999999999996</v>
      </c>
      <c r="T274" s="18">
        <f t="shared" si="32"/>
        <v>-1.1849999999999996</v>
      </c>
      <c r="U274" s="18">
        <f t="shared" si="36"/>
        <v>46.499704819277106</v>
      </c>
      <c r="V274" s="23" t="s">
        <v>54</v>
      </c>
      <c r="W274">
        <v>1351.3</v>
      </c>
      <c r="Y274">
        <f t="shared" si="35"/>
        <v>154751.79999999999</v>
      </c>
      <c r="Z274">
        <f t="shared" si="39"/>
        <v>9930.4999999999982</v>
      </c>
      <c r="AA274">
        <v>14.211018578421276</v>
      </c>
    </row>
    <row r="275" spans="1:28" x14ac:dyDescent="0.25">
      <c r="A275">
        <v>6440</v>
      </c>
      <c r="B275">
        <v>25210</v>
      </c>
      <c r="C275" s="4">
        <v>42853</v>
      </c>
      <c r="F275" s="46"/>
      <c r="G275">
        <v>8.1999999999999993</v>
      </c>
      <c r="H275">
        <v>4.5999999999999996</v>
      </c>
      <c r="I275">
        <v>11.4</v>
      </c>
      <c r="J275">
        <f t="shared" si="33"/>
        <v>1900.099999999999</v>
      </c>
      <c r="K275">
        <f t="shared" si="38"/>
        <v>59.5</v>
      </c>
      <c r="L275" s="8">
        <f>MAX(I268:I294)</f>
        <v>27.8</v>
      </c>
      <c r="M275">
        <v>0.7</v>
      </c>
      <c r="N275">
        <v>1.6</v>
      </c>
      <c r="O275">
        <f t="shared" si="30"/>
        <v>-0.90000000000000013</v>
      </c>
      <c r="P275">
        <f t="shared" si="34"/>
        <v>51.399999999999984</v>
      </c>
      <c r="Q275">
        <v>241</v>
      </c>
      <c r="R275">
        <v>1.1499999999999999</v>
      </c>
      <c r="S275" s="18">
        <f t="shared" si="31"/>
        <v>1.8399999999999999</v>
      </c>
      <c r="T275" s="18">
        <f t="shared" si="32"/>
        <v>-1.1399999999999999</v>
      </c>
      <c r="U275" s="18">
        <f t="shared" si="36"/>
        <v>45.359704819277106</v>
      </c>
      <c r="V275" s="18">
        <f>MAX(U268:U294)</f>
        <v>59.274704819277105</v>
      </c>
      <c r="W275">
        <v>1085.5</v>
      </c>
      <c r="Y275">
        <f t="shared" si="35"/>
        <v>155837.29999999999</v>
      </c>
      <c r="Z275">
        <f t="shared" si="39"/>
        <v>11015.999999999998</v>
      </c>
      <c r="AA275">
        <v>14.267818658781598</v>
      </c>
    </row>
    <row r="276" spans="1:28" x14ac:dyDescent="0.25">
      <c r="A276">
        <v>6440</v>
      </c>
      <c r="B276">
        <v>25210</v>
      </c>
      <c r="C276" s="4">
        <v>42854</v>
      </c>
      <c r="F276" s="46"/>
      <c r="G276">
        <v>9.6</v>
      </c>
      <c r="H276">
        <v>4.5</v>
      </c>
      <c r="I276">
        <v>14.5</v>
      </c>
      <c r="J276">
        <f t="shared" si="33"/>
        <v>1909.6999999999989</v>
      </c>
      <c r="K276">
        <f t="shared" si="38"/>
        <v>69.099999999999994</v>
      </c>
      <c r="L276" s="14" t="s">
        <v>42</v>
      </c>
      <c r="M276">
        <v>0</v>
      </c>
      <c r="N276">
        <v>2.5</v>
      </c>
      <c r="O276">
        <f t="shared" si="30"/>
        <v>-2.5</v>
      </c>
      <c r="P276">
        <f t="shared" si="34"/>
        <v>48.899999999999984</v>
      </c>
      <c r="Q276">
        <v>242</v>
      </c>
      <c r="R276">
        <v>1.1499999999999999</v>
      </c>
      <c r="S276" s="18">
        <f t="shared" si="31"/>
        <v>2.875</v>
      </c>
      <c r="T276" s="18">
        <f t="shared" si="32"/>
        <v>-2.875</v>
      </c>
      <c r="U276" s="18">
        <f t="shared" si="36"/>
        <v>42.484704819277106</v>
      </c>
      <c r="V276" s="23" t="s">
        <v>55</v>
      </c>
      <c r="W276">
        <v>1438</v>
      </c>
      <c r="Y276">
        <f t="shared" si="35"/>
        <v>157275.29999999999</v>
      </c>
      <c r="Z276">
        <f t="shared" si="39"/>
        <v>12453.999999999998</v>
      </c>
      <c r="AA276">
        <v>14.324185489389306</v>
      </c>
    </row>
    <row r="277" spans="1:28" x14ac:dyDescent="0.25">
      <c r="A277">
        <v>6440</v>
      </c>
      <c r="B277">
        <v>25210</v>
      </c>
      <c r="C277" s="4">
        <v>42855</v>
      </c>
      <c r="F277" s="46"/>
      <c r="G277">
        <v>11.6</v>
      </c>
      <c r="H277">
        <v>5.5</v>
      </c>
      <c r="I277">
        <v>18.100000000000001</v>
      </c>
      <c r="J277">
        <f t="shared" si="33"/>
        <v>1921.2999999999988</v>
      </c>
      <c r="K277">
        <f t="shared" si="38"/>
        <v>80.699999999999989</v>
      </c>
      <c r="L277" s="8">
        <v>1</v>
      </c>
      <c r="M277">
        <v>2.7</v>
      </c>
      <c r="N277">
        <v>3.4</v>
      </c>
      <c r="O277">
        <f t="shared" si="30"/>
        <v>-0.69999999999999973</v>
      </c>
      <c r="P277">
        <f t="shared" si="34"/>
        <v>48.199999999999982</v>
      </c>
      <c r="Q277">
        <v>243</v>
      </c>
      <c r="R277">
        <v>1.1499999999999999</v>
      </c>
      <c r="S277" s="18">
        <f t="shared" si="31"/>
        <v>3.9099999999999997</v>
      </c>
      <c r="T277" s="18">
        <f t="shared" si="32"/>
        <v>-1.2099999999999995</v>
      </c>
      <c r="U277" s="18">
        <f t="shared" si="36"/>
        <v>41.274704819277105</v>
      </c>
      <c r="V277" s="18">
        <f>AVERAGE(U268:U294)</f>
        <v>40.566186300758574</v>
      </c>
      <c r="W277">
        <v>1605.4</v>
      </c>
      <c r="Y277">
        <f t="shared" si="35"/>
        <v>158880.69999999998</v>
      </c>
      <c r="Z277">
        <f t="shared" si="39"/>
        <v>14059.399999999998</v>
      </c>
      <c r="AA277">
        <v>14.380100444774937</v>
      </c>
    </row>
    <row r="278" spans="1:28" x14ac:dyDescent="0.25">
      <c r="A278">
        <v>6440</v>
      </c>
      <c r="B278">
        <v>25210</v>
      </c>
      <c r="C278" s="4">
        <v>42856</v>
      </c>
      <c r="F278" s="46"/>
      <c r="G278">
        <v>9.6999999999999993</v>
      </c>
      <c r="H278">
        <v>7.2</v>
      </c>
      <c r="I278">
        <v>13.3</v>
      </c>
      <c r="J278">
        <f t="shared" si="33"/>
        <v>1930.9999999999989</v>
      </c>
      <c r="K278">
        <f t="shared" si="38"/>
        <v>90.399999999999991</v>
      </c>
      <c r="L278" s="14" t="s">
        <v>43</v>
      </c>
      <c r="M278">
        <v>0</v>
      </c>
      <c r="N278">
        <v>1.6</v>
      </c>
      <c r="O278">
        <f t="shared" si="30"/>
        <v>-1.6</v>
      </c>
      <c r="P278">
        <f t="shared" si="34"/>
        <v>46.59999999999998</v>
      </c>
      <c r="Q278">
        <v>244</v>
      </c>
      <c r="R278">
        <v>1.1499999999999999</v>
      </c>
      <c r="S278" s="18">
        <f t="shared" si="31"/>
        <v>1.8399999999999999</v>
      </c>
      <c r="T278" s="18">
        <f t="shared" si="32"/>
        <v>-1.8399999999999999</v>
      </c>
      <c r="U278" s="18">
        <f t="shared" si="36"/>
        <v>39.434704819277101</v>
      </c>
      <c r="W278">
        <v>779.6</v>
      </c>
      <c r="Y278">
        <f t="shared" si="35"/>
        <v>159660.29999999999</v>
      </c>
      <c r="Z278">
        <f t="shared" si="39"/>
        <v>14838.999999999998</v>
      </c>
      <c r="AA278">
        <v>14.435544423008793</v>
      </c>
    </row>
    <row r="279" spans="1:28" x14ac:dyDescent="0.25">
      <c r="A279">
        <v>6440</v>
      </c>
      <c r="B279">
        <v>25210</v>
      </c>
      <c r="C279" s="4">
        <v>42857</v>
      </c>
      <c r="F279" s="46"/>
      <c r="G279">
        <v>10.199999999999999</v>
      </c>
      <c r="H279">
        <v>4.2</v>
      </c>
      <c r="I279">
        <v>15.5</v>
      </c>
      <c r="J279">
        <f t="shared" si="33"/>
        <v>1941.1999999999989</v>
      </c>
      <c r="K279">
        <f t="shared" si="38"/>
        <v>100.6</v>
      </c>
      <c r="L279" s="8">
        <v>8</v>
      </c>
      <c r="M279">
        <v>0.8</v>
      </c>
      <c r="N279">
        <v>2.4</v>
      </c>
      <c r="O279">
        <f t="shared" si="30"/>
        <v>-1.5999999999999999</v>
      </c>
      <c r="P279">
        <f t="shared" si="34"/>
        <v>44.999999999999979</v>
      </c>
      <c r="Q279">
        <v>245</v>
      </c>
      <c r="R279">
        <v>1.1499999999999999</v>
      </c>
      <c r="S279" s="18">
        <f t="shared" si="31"/>
        <v>2.76</v>
      </c>
      <c r="T279" s="18">
        <f t="shared" si="32"/>
        <v>-1.9599999999999997</v>
      </c>
      <c r="U279" s="18">
        <f t="shared" si="36"/>
        <v>37.4747048192771</v>
      </c>
      <c r="V279" s="37">
        <f>(V277*100)/189.6</f>
        <v>21.395667880146927</v>
      </c>
      <c r="W279">
        <v>1541.8</v>
      </c>
      <c r="Y279">
        <f t="shared" si="35"/>
        <v>161202.09999999998</v>
      </c>
      <c r="Z279">
        <f t="shared" si="39"/>
        <v>16380.799999999997</v>
      </c>
      <c r="AA279">
        <v>14.490497845953199</v>
      </c>
    </row>
    <row r="280" spans="1:28" x14ac:dyDescent="0.25">
      <c r="A280">
        <v>6440</v>
      </c>
      <c r="B280">
        <v>25210</v>
      </c>
      <c r="C280" s="4">
        <v>42858</v>
      </c>
      <c r="F280" s="46"/>
      <c r="G280">
        <v>9.9</v>
      </c>
      <c r="H280">
        <v>9.1</v>
      </c>
      <c r="I280">
        <v>11.5</v>
      </c>
      <c r="J280">
        <f t="shared" si="33"/>
        <v>1951.099999999999</v>
      </c>
      <c r="K280">
        <f t="shared" si="38"/>
        <v>110.5</v>
      </c>
      <c r="L280" s="14" t="s">
        <v>44</v>
      </c>
      <c r="M280">
        <v>4.3</v>
      </c>
      <c r="N280">
        <v>0.9</v>
      </c>
      <c r="O280">
        <f t="shared" si="30"/>
        <v>3.4</v>
      </c>
      <c r="P280">
        <f t="shared" si="34"/>
        <v>48.399999999999977</v>
      </c>
      <c r="Q280">
        <v>246</v>
      </c>
      <c r="R280">
        <v>1.1499999999999999</v>
      </c>
      <c r="S280" s="18">
        <f t="shared" si="31"/>
        <v>1.0349999999999999</v>
      </c>
      <c r="T280" s="18">
        <f t="shared" si="32"/>
        <v>3.2649999999999997</v>
      </c>
      <c r="U280" s="18">
        <f t="shared" si="36"/>
        <v>40.739704819277101</v>
      </c>
      <c r="W280">
        <v>555.1</v>
      </c>
      <c r="Y280">
        <f t="shared" si="35"/>
        <v>161757.19999999998</v>
      </c>
      <c r="Z280">
        <f t="shared" si="39"/>
        <v>16935.899999999998</v>
      </c>
      <c r="AA280">
        <v>14.544940660967747</v>
      </c>
    </row>
    <row r="281" spans="1:28" x14ac:dyDescent="0.25">
      <c r="A281">
        <v>6440</v>
      </c>
      <c r="B281">
        <v>25210</v>
      </c>
      <c r="C281" s="4">
        <v>42859</v>
      </c>
      <c r="F281" s="46"/>
      <c r="G281">
        <v>11.1</v>
      </c>
      <c r="H281">
        <v>7.8</v>
      </c>
      <c r="I281">
        <v>13.7</v>
      </c>
      <c r="J281">
        <f t="shared" si="33"/>
        <v>1962.1999999999989</v>
      </c>
      <c r="K281">
        <f t="shared" si="38"/>
        <v>121.6</v>
      </c>
      <c r="L281" s="13">
        <v>0</v>
      </c>
      <c r="M281">
        <v>0.1</v>
      </c>
      <c r="N281">
        <v>1.6</v>
      </c>
      <c r="O281">
        <f t="shared" si="30"/>
        <v>-1.5</v>
      </c>
      <c r="P281">
        <f t="shared" si="34"/>
        <v>46.899999999999977</v>
      </c>
      <c r="Q281">
        <v>247</v>
      </c>
      <c r="R281">
        <v>1.1499999999999999</v>
      </c>
      <c r="S281" s="18">
        <f t="shared" si="31"/>
        <v>1.8399999999999999</v>
      </c>
      <c r="T281" s="18">
        <f t="shared" si="32"/>
        <v>-1.7399999999999998</v>
      </c>
      <c r="U281" s="18">
        <f t="shared" si="36"/>
        <v>38.999704819277099</v>
      </c>
      <c r="W281">
        <v>1069.5999999999999</v>
      </c>
      <c r="Y281">
        <f t="shared" si="35"/>
        <v>162826.79999999999</v>
      </c>
      <c r="Z281">
        <f t="shared" si="39"/>
        <v>18005.499999999996</v>
      </c>
      <c r="AA281">
        <v>14.598852344152942</v>
      </c>
    </row>
    <row r="282" spans="1:28" x14ac:dyDescent="0.25">
      <c r="A282">
        <v>6440</v>
      </c>
      <c r="B282">
        <v>25210</v>
      </c>
      <c r="C282" s="4">
        <v>42860</v>
      </c>
      <c r="F282" s="46"/>
      <c r="G282">
        <v>11.2</v>
      </c>
      <c r="H282">
        <v>7.8</v>
      </c>
      <c r="I282">
        <v>14.7</v>
      </c>
      <c r="J282">
        <f t="shared" si="33"/>
        <v>1973.399999999999</v>
      </c>
      <c r="K282">
        <f t="shared" si="38"/>
        <v>132.79999999999998</v>
      </c>
      <c r="M282">
        <v>0</v>
      </c>
      <c r="N282">
        <v>1.8</v>
      </c>
      <c r="O282">
        <f t="shared" si="30"/>
        <v>-1.8</v>
      </c>
      <c r="P282">
        <f t="shared" si="34"/>
        <v>45.09999999999998</v>
      </c>
      <c r="Q282">
        <v>248</v>
      </c>
      <c r="R282">
        <v>1.1499999999999999</v>
      </c>
      <c r="S282" s="18">
        <f t="shared" si="31"/>
        <v>2.0699999999999998</v>
      </c>
      <c r="T282" s="18">
        <f t="shared" si="32"/>
        <v>-2.0699999999999998</v>
      </c>
      <c r="U282" s="18">
        <f t="shared" si="36"/>
        <v>36.929704819277099</v>
      </c>
      <c r="W282">
        <v>1141.8</v>
      </c>
      <c r="Y282">
        <f t="shared" si="35"/>
        <v>163968.59999999998</v>
      </c>
      <c r="Z282">
        <f t="shared" si="39"/>
        <v>19147.299999999996</v>
      </c>
      <c r="AA282">
        <v>14.652211905218499</v>
      </c>
    </row>
    <row r="283" spans="1:28" x14ac:dyDescent="0.25">
      <c r="A283">
        <v>6440</v>
      </c>
      <c r="B283">
        <v>25210</v>
      </c>
      <c r="C283" s="4">
        <v>42861</v>
      </c>
      <c r="F283" s="46"/>
      <c r="G283">
        <v>11.1</v>
      </c>
      <c r="H283">
        <v>8.8000000000000007</v>
      </c>
      <c r="I283">
        <v>13</v>
      </c>
      <c r="J283">
        <f t="shared" si="33"/>
        <v>1984.4999999999989</v>
      </c>
      <c r="K283">
        <f t="shared" si="38"/>
        <v>143.89999999999998</v>
      </c>
      <c r="M283">
        <v>7.1</v>
      </c>
      <c r="N283">
        <v>1.3</v>
      </c>
      <c r="O283">
        <f t="shared" si="30"/>
        <v>5.8</v>
      </c>
      <c r="P283">
        <f t="shared" si="34"/>
        <v>50.899999999999977</v>
      </c>
      <c r="Q283">
        <v>249</v>
      </c>
      <c r="R283">
        <v>1.1499999999999999</v>
      </c>
      <c r="S283" s="18">
        <f t="shared" si="31"/>
        <v>1.4949999999999999</v>
      </c>
      <c r="T283" s="18">
        <f t="shared" si="32"/>
        <v>5.6049999999999995</v>
      </c>
      <c r="U283" s="18">
        <f t="shared" si="36"/>
        <v>42.534704819277096</v>
      </c>
      <c r="W283">
        <v>762.1</v>
      </c>
      <c r="Y283">
        <f t="shared" si="35"/>
        <v>164730.69999999998</v>
      </c>
      <c r="Z283">
        <f t="shared" si="39"/>
        <v>19909.399999999994</v>
      </c>
      <c r="AA283">
        <v>14.704997894063093</v>
      </c>
    </row>
    <row r="284" spans="1:28" x14ac:dyDescent="0.25">
      <c r="A284">
        <v>6440</v>
      </c>
      <c r="B284">
        <v>25210</v>
      </c>
      <c r="C284" s="4">
        <v>42862</v>
      </c>
      <c r="F284" s="46"/>
      <c r="G284">
        <v>9.8000000000000007</v>
      </c>
      <c r="H284">
        <v>9.6999999999999993</v>
      </c>
      <c r="I284">
        <v>10.4</v>
      </c>
      <c r="J284">
        <f t="shared" si="33"/>
        <v>1994.2999999999988</v>
      </c>
      <c r="K284">
        <f t="shared" si="38"/>
        <v>153.69999999999999</v>
      </c>
      <c r="M284">
        <v>2.2000000000000002</v>
      </c>
      <c r="N284">
        <v>0.8</v>
      </c>
      <c r="O284">
        <f t="shared" si="30"/>
        <v>1.4000000000000001</v>
      </c>
      <c r="P284">
        <f t="shared" si="34"/>
        <v>52.299999999999976</v>
      </c>
      <c r="Q284">
        <v>250</v>
      </c>
      <c r="R284">
        <v>1.1499999999999999</v>
      </c>
      <c r="S284" s="18">
        <f t="shared" si="31"/>
        <v>0.91999999999999993</v>
      </c>
      <c r="T284" s="18">
        <f t="shared" si="32"/>
        <v>1.2800000000000002</v>
      </c>
      <c r="U284" s="18">
        <f t="shared" si="36"/>
        <v>43.814704819277097</v>
      </c>
      <c r="W284">
        <v>422.4</v>
      </c>
      <c r="Y284">
        <f t="shared" si="35"/>
        <v>165153.09999999998</v>
      </c>
      <c r="Z284">
        <f t="shared" si="39"/>
        <v>20331.799999999996</v>
      </c>
      <c r="AA284">
        <v>14.757188409152088</v>
      </c>
    </row>
    <row r="285" spans="1:28" x14ac:dyDescent="0.25">
      <c r="A285">
        <v>6440</v>
      </c>
      <c r="B285">
        <v>25210</v>
      </c>
      <c r="C285" s="4">
        <v>42863</v>
      </c>
      <c r="F285" s="46"/>
      <c r="G285">
        <v>8.5</v>
      </c>
      <c r="H285">
        <v>7.2</v>
      </c>
      <c r="I285">
        <v>10.6</v>
      </c>
      <c r="J285">
        <f t="shared" si="33"/>
        <v>2002.7999999999988</v>
      </c>
      <c r="K285">
        <f t="shared" si="38"/>
        <v>162.19999999999999</v>
      </c>
      <c r="M285">
        <v>0.8</v>
      </c>
      <c r="N285">
        <v>1.1000000000000001</v>
      </c>
      <c r="O285">
        <f t="shared" si="30"/>
        <v>-0.30000000000000004</v>
      </c>
      <c r="P285">
        <f t="shared" si="34"/>
        <v>51.999999999999979</v>
      </c>
      <c r="Q285">
        <v>251</v>
      </c>
      <c r="R285">
        <v>1.1499999999999999</v>
      </c>
      <c r="S285" s="18">
        <f t="shared" si="31"/>
        <v>1.2649999999999999</v>
      </c>
      <c r="T285" s="18">
        <f t="shared" si="32"/>
        <v>-0.46499999999999986</v>
      </c>
      <c r="U285" s="18">
        <f t="shared" si="36"/>
        <v>43.349704819277093</v>
      </c>
      <c r="W285">
        <v>632</v>
      </c>
      <c r="Y285">
        <f t="shared" si="35"/>
        <v>165785.09999999998</v>
      </c>
      <c r="Z285">
        <f t="shared" si="39"/>
        <v>20963.799999999996</v>
      </c>
      <c r="AA285">
        <v>14.808761107779103</v>
      </c>
    </row>
    <row r="286" spans="1:28" x14ac:dyDescent="0.25">
      <c r="A286">
        <v>6440</v>
      </c>
      <c r="B286">
        <v>25210</v>
      </c>
      <c r="C286" s="4">
        <v>42864</v>
      </c>
      <c r="F286" s="46"/>
      <c r="G286">
        <v>9.9</v>
      </c>
      <c r="H286">
        <v>5.0999999999999996</v>
      </c>
      <c r="I286">
        <v>14</v>
      </c>
      <c r="J286">
        <f t="shared" si="33"/>
        <v>2012.6999999999989</v>
      </c>
      <c r="K286">
        <f t="shared" si="38"/>
        <v>172.1</v>
      </c>
      <c r="M286">
        <v>0</v>
      </c>
      <c r="N286">
        <v>3.2</v>
      </c>
      <c r="O286">
        <f t="shared" si="30"/>
        <v>-3.2</v>
      </c>
      <c r="P286">
        <f t="shared" si="34"/>
        <v>48.799999999999976</v>
      </c>
      <c r="Q286">
        <v>252</v>
      </c>
      <c r="R286">
        <v>1.1499999999999999</v>
      </c>
      <c r="S286" s="18">
        <f t="shared" si="31"/>
        <v>3.6799999999999997</v>
      </c>
      <c r="T286" s="18">
        <f t="shared" si="32"/>
        <v>-3.6799999999999997</v>
      </c>
      <c r="U286" s="18">
        <f t="shared" si="36"/>
        <v>39.669704819277094</v>
      </c>
      <c r="W286">
        <v>2342.6999999999998</v>
      </c>
      <c r="Y286">
        <f t="shared" si="35"/>
        <v>168127.8</v>
      </c>
      <c r="Z286">
        <f t="shared" si="39"/>
        <v>23306.499999999996</v>
      </c>
      <c r="AA286">
        <v>14.859693218295664</v>
      </c>
    </row>
    <row r="287" spans="1:28" x14ac:dyDescent="0.25">
      <c r="A287">
        <v>6440</v>
      </c>
      <c r="B287">
        <v>25210</v>
      </c>
      <c r="C287" s="4">
        <v>42865</v>
      </c>
      <c r="F287" s="46"/>
      <c r="G287">
        <v>12.6</v>
      </c>
      <c r="H287">
        <v>6</v>
      </c>
      <c r="I287">
        <v>19.2</v>
      </c>
      <c r="J287">
        <f t="shared" si="33"/>
        <v>2025.2999999999988</v>
      </c>
      <c r="K287">
        <f t="shared" si="38"/>
        <v>184.7</v>
      </c>
      <c r="M287">
        <v>0</v>
      </c>
      <c r="N287">
        <v>4.0999999999999996</v>
      </c>
      <c r="O287">
        <f t="shared" si="30"/>
        <v>-4.0999999999999996</v>
      </c>
      <c r="P287">
        <f t="shared" si="34"/>
        <v>44.699999999999974</v>
      </c>
      <c r="Q287">
        <v>253</v>
      </c>
      <c r="R287">
        <v>1.1499999999999999</v>
      </c>
      <c r="S287" s="18">
        <f t="shared" si="31"/>
        <v>4.714999999999999</v>
      </c>
      <c r="T287" s="18">
        <f t="shared" si="32"/>
        <v>-4.714999999999999</v>
      </c>
      <c r="U287" s="18">
        <f t="shared" si="36"/>
        <v>34.954704819277097</v>
      </c>
      <c r="W287">
        <v>2594</v>
      </c>
      <c r="Y287">
        <f t="shared" si="35"/>
        <v>170721.8</v>
      </c>
      <c r="Z287">
        <f t="shared" si="39"/>
        <v>25900.499999999996</v>
      </c>
      <c r="AA287">
        <v>14.909961554390947</v>
      </c>
    </row>
    <row r="288" spans="1:28" x14ac:dyDescent="0.25">
      <c r="A288">
        <v>6440</v>
      </c>
      <c r="B288">
        <v>25210</v>
      </c>
      <c r="C288" s="4">
        <v>42866</v>
      </c>
      <c r="F288" s="46"/>
      <c r="G288">
        <v>15.2</v>
      </c>
      <c r="H288">
        <v>8.4</v>
      </c>
      <c r="I288">
        <v>22</v>
      </c>
      <c r="J288">
        <f t="shared" si="33"/>
        <v>2040.4999999999989</v>
      </c>
      <c r="K288">
        <f t="shared" si="38"/>
        <v>199.89999999999998</v>
      </c>
      <c r="M288">
        <v>2.9</v>
      </c>
      <c r="N288">
        <v>1.8</v>
      </c>
      <c r="O288">
        <f t="shared" si="30"/>
        <v>1.0999999999999999</v>
      </c>
      <c r="P288">
        <f t="shared" si="34"/>
        <v>45.799999999999976</v>
      </c>
      <c r="Q288">
        <v>254</v>
      </c>
      <c r="R288">
        <v>1.1499999999999999</v>
      </c>
      <c r="S288" s="18">
        <f t="shared" si="31"/>
        <v>2.0699999999999998</v>
      </c>
      <c r="T288" s="18">
        <f t="shared" si="32"/>
        <v>0.83000000000000007</v>
      </c>
      <c r="U288" s="18">
        <f t="shared" si="36"/>
        <v>35.784704819277096</v>
      </c>
      <c r="W288">
        <v>674.3</v>
      </c>
      <c r="Y288">
        <f t="shared" si="35"/>
        <v>171396.09999999998</v>
      </c>
      <c r="Z288">
        <f t="shared" si="39"/>
        <v>26574.799999999996</v>
      </c>
      <c r="AA288">
        <v>14.959542531500393</v>
      </c>
    </row>
    <row r="289" spans="1:28" x14ac:dyDescent="0.25">
      <c r="A289">
        <v>6440</v>
      </c>
      <c r="B289">
        <v>25210</v>
      </c>
      <c r="C289" s="4">
        <v>42867</v>
      </c>
      <c r="F289" s="46"/>
      <c r="G289">
        <v>15.5</v>
      </c>
      <c r="H289">
        <v>12.8</v>
      </c>
      <c r="I289">
        <v>20.7</v>
      </c>
      <c r="J289">
        <f t="shared" si="33"/>
        <v>2055.9999999999991</v>
      </c>
      <c r="K289">
        <f t="shared" si="38"/>
        <v>215.39999999999998</v>
      </c>
      <c r="M289">
        <v>1.6</v>
      </c>
      <c r="N289">
        <v>2.6</v>
      </c>
      <c r="O289">
        <f t="shared" si="30"/>
        <v>-1</v>
      </c>
      <c r="P289">
        <f t="shared" si="34"/>
        <v>44.799999999999976</v>
      </c>
      <c r="Q289">
        <v>255</v>
      </c>
      <c r="R289">
        <v>1.1499999999999999</v>
      </c>
      <c r="S289" s="18">
        <f t="shared" si="31"/>
        <v>2.9899999999999998</v>
      </c>
      <c r="T289" s="18">
        <f t="shared" si="32"/>
        <v>-1.3899999999999997</v>
      </c>
      <c r="U289" s="18">
        <f t="shared" si="36"/>
        <v>34.394704819277095</v>
      </c>
      <c r="W289">
        <v>1073.7</v>
      </c>
      <c r="Y289">
        <f t="shared" si="35"/>
        <v>172469.8</v>
      </c>
      <c r="Z289">
        <f t="shared" si="39"/>
        <v>27648.499999999996</v>
      </c>
      <c r="AA289">
        <v>15.008412185417962</v>
      </c>
    </row>
    <row r="290" spans="1:28" x14ac:dyDescent="0.25">
      <c r="A290">
        <v>6440</v>
      </c>
      <c r="B290">
        <v>25210</v>
      </c>
      <c r="C290" s="4">
        <v>42868</v>
      </c>
      <c r="F290" s="46"/>
      <c r="G290">
        <v>14.9</v>
      </c>
      <c r="H290">
        <v>12.8</v>
      </c>
      <c r="I290">
        <v>17.8</v>
      </c>
      <c r="J290">
        <f t="shared" si="33"/>
        <v>2070.8999999999992</v>
      </c>
      <c r="K290">
        <f t="shared" si="38"/>
        <v>230.29999999999998</v>
      </c>
      <c r="M290">
        <v>0</v>
      </c>
      <c r="N290">
        <v>2.8</v>
      </c>
      <c r="O290">
        <f t="shared" si="30"/>
        <v>-2.8</v>
      </c>
      <c r="P290">
        <f t="shared" si="34"/>
        <v>41.999999999999979</v>
      </c>
      <c r="Q290">
        <v>256</v>
      </c>
      <c r="R290">
        <v>1.1499999999999999</v>
      </c>
      <c r="S290" s="18">
        <f t="shared" si="31"/>
        <v>3.2199999999999998</v>
      </c>
      <c r="T290" s="18">
        <f t="shared" si="32"/>
        <v>-3.2199999999999998</v>
      </c>
      <c r="U290" s="18">
        <f t="shared" si="36"/>
        <v>31.174704819277096</v>
      </c>
      <c r="W290">
        <v>1483</v>
      </c>
      <c r="Y290">
        <f t="shared" si="35"/>
        <v>173952.8</v>
      </c>
      <c r="Z290">
        <f t="shared" si="39"/>
        <v>29131.499999999996</v>
      </c>
      <c r="AA290">
        <v>15.056546193181529</v>
      </c>
    </row>
    <row r="291" spans="1:28" x14ac:dyDescent="0.25">
      <c r="A291">
        <v>6440</v>
      </c>
      <c r="B291">
        <v>25210</v>
      </c>
      <c r="C291" s="4">
        <v>42869</v>
      </c>
      <c r="F291" s="46"/>
      <c r="G291">
        <v>13.5</v>
      </c>
      <c r="H291">
        <v>10.4</v>
      </c>
      <c r="I291">
        <v>17.8</v>
      </c>
      <c r="J291">
        <f t="shared" si="33"/>
        <v>2084.3999999999992</v>
      </c>
      <c r="K291">
        <f t="shared" si="38"/>
        <v>243.79999999999998</v>
      </c>
      <c r="M291">
        <v>0.6</v>
      </c>
      <c r="N291">
        <v>2.7</v>
      </c>
      <c r="O291">
        <f t="shared" si="30"/>
        <v>-2.1</v>
      </c>
      <c r="P291">
        <f t="shared" si="34"/>
        <v>39.899999999999977</v>
      </c>
      <c r="Q291">
        <v>257</v>
      </c>
      <c r="R291">
        <v>1.1499999999999999</v>
      </c>
      <c r="S291" s="18">
        <f t="shared" si="31"/>
        <v>3.105</v>
      </c>
      <c r="T291" s="18">
        <f t="shared" si="32"/>
        <v>-2.5049999999999999</v>
      </c>
      <c r="U291" s="18">
        <f t="shared" si="36"/>
        <v>28.669704819277097</v>
      </c>
      <c r="W291">
        <v>1542.4</v>
      </c>
      <c r="Y291">
        <f t="shared" si="35"/>
        <v>175495.19999999998</v>
      </c>
      <c r="Z291">
        <f t="shared" si="39"/>
        <v>30673.899999999998</v>
      </c>
      <c r="AA291">
        <v>15.103919896294839</v>
      </c>
    </row>
    <row r="292" spans="1:28" x14ac:dyDescent="0.25">
      <c r="A292">
        <v>6440</v>
      </c>
      <c r="B292">
        <v>25210</v>
      </c>
      <c r="C292" s="4">
        <v>42870</v>
      </c>
      <c r="F292" s="46"/>
      <c r="G292">
        <v>15.9</v>
      </c>
      <c r="H292">
        <v>7.2</v>
      </c>
      <c r="I292">
        <v>21.2</v>
      </c>
      <c r="J292">
        <f t="shared" si="33"/>
        <v>2100.2999999999993</v>
      </c>
      <c r="K292">
        <f t="shared" si="38"/>
        <v>259.7</v>
      </c>
      <c r="M292">
        <v>0</v>
      </c>
      <c r="N292">
        <v>2.9</v>
      </c>
      <c r="O292">
        <f t="shared" ref="O292:O355" si="40">M292-N292</f>
        <v>-2.9</v>
      </c>
      <c r="P292">
        <f t="shared" si="34"/>
        <v>36.999999999999979</v>
      </c>
      <c r="Q292">
        <v>258</v>
      </c>
      <c r="R292">
        <v>1.1499999999999999</v>
      </c>
      <c r="S292" s="18">
        <f t="shared" ref="S292:S355" si="41">R292*N292</f>
        <v>3.3349999999999995</v>
      </c>
      <c r="T292" s="18">
        <f t="shared" ref="T292:T355" si="42">M292-S292</f>
        <v>-3.3349999999999995</v>
      </c>
      <c r="U292" s="18">
        <f t="shared" si="36"/>
        <v>25.334704819277096</v>
      </c>
      <c r="W292">
        <v>1920.7</v>
      </c>
      <c r="Y292">
        <f t="shared" si="35"/>
        <v>177415.9</v>
      </c>
      <c r="Z292">
        <f t="shared" si="39"/>
        <v>32594.6</v>
      </c>
      <c r="AA292">
        <v>15.150508326342006</v>
      </c>
    </row>
    <row r="293" spans="1:28" x14ac:dyDescent="0.25">
      <c r="A293">
        <v>6440</v>
      </c>
      <c r="B293">
        <v>25210</v>
      </c>
      <c r="C293" s="4">
        <v>42871</v>
      </c>
      <c r="F293" s="46"/>
      <c r="G293">
        <v>20.399999999999999</v>
      </c>
      <c r="H293">
        <v>15.4</v>
      </c>
      <c r="I293">
        <v>24.8</v>
      </c>
      <c r="J293">
        <f t="shared" ref="J293:J356" si="43">J292+G293</f>
        <v>2120.6999999999994</v>
      </c>
      <c r="K293">
        <f t="shared" si="38"/>
        <v>280.09999999999997</v>
      </c>
      <c r="M293">
        <v>0</v>
      </c>
      <c r="N293">
        <v>2.1</v>
      </c>
      <c r="O293">
        <f t="shared" si="40"/>
        <v>-2.1</v>
      </c>
      <c r="P293">
        <f t="shared" ref="P293:P351" si="44">P292+O293</f>
        <v>34.899999999999977</v>
      </c>
      <c r="Q293">
        <v>259</v>
      </c>
      <c r="R293">
        <v>1.1499999999999999</v>
      </c>
      <c r="S293" s="18">
        <f t="shared" si="41"/>
        <v>2.415</v>
      </c>
      <c r="T293" s="18">
        <f t="shared" si="42"/>
        <v>-2.415</v>
      </c>
      <c r="U293" s="18">
        <f t="shared" si="36"/>
        <v>22.919704819277097</v>
      </c>
      <c r="W293">
        <v>777.9</v>
      </c>
      <c r="Y293">
        <f t="shared" ref="Y293:Y356" si="45">Y292+W293</f>
        <v>178193.8</v>
      </c>
      <c r="Z293">
        <f t="shared" si="39"/>
        <v>33372.5</v>
      </c>
      <c r="AA293">
        <v>15.196286233042008</v>
      </c>
    </row>
    <row r="294" spans="1:28" s="26" customFormat="1" ht="15.75" thickBot="1" x14ac:dyDescent="0.3">
      <c r="A294" s="26">
        <v>6440</v>
      </c>
      <c r="B294" s="26">
        <v>25210</v>
      </c>
      <c r="C294" s="27">
        <v>42872</v>
      </c>
      <c r="F294" s="46"/>
      <c r="G294" s="26">
        <v>21.3</v>
      </c>
      <c r="H294" s="26">
        <v>16.399999999999999</v>
      </c>
      <c r="I294" s="26">
        <v>27.8</v>
      </c>
      <c r="J294" s="26">
        <f t="shared" si="43"/>
        <v>2141.9999999999995</v>
      </c>
      <c r="K294" s="26">
        <f t="shared" si="38"/>
        <v>301.39999999999998</v>
      </c>
      <c r="M294" s="26">
        <v>4.8</v>
      </c>
      <c r="N294" s="26">
        <v>4.8</v>
      </c>
      <c r="O294" s="26">
        <f t="shared" si="40"/>
        <v>0</v>
      </c>
      <c r="P294" s="26">
        <f t="shared" si="44"/>
        <v>34.899999999999977</v>
      </c>
      <c r="Q294" s="26">
        <v>260</v>
      </c>
      <c r="R294" s="26">
        <v>1.1499999999999999</v>
      </c>
      <c r="S294" s="28">
        <f t="shared" si="41"/>
        <v>5.52</v>
      </c>
      <c r="T294" s="28">
        <f t="shared" si="42"/>
        <v>-0.71999999999999975</v>
      </c>
      <c r="U294" s="18">
        <f t="shared" si="36"/>
        <v>22.199704819277098</v>
      </c>
      <c r="W294" s="26">
        <v>2017.9</v>
      </c>
      <c r="Y294" s="26">
        <f t="shared" si="45"/>
        <v>180211.69999999998</v>
      </c>
      <c r="Z294" s="26">
        <f t="shared" si="39"/>
        <v>35390.400000000001</v>
      </c>
      <c r="AA294" s="26">
        <v>15.241228114780769</v>
      </c>
    </row>
    <row r="295" spans="1:28" s="34" customFormat="1" x14ac:dyDescent="0.25">
      <c r="A295" s="34">
        <v>6440</v>
      </c>
      <c r="B295" s="34">
        <v>25210</v>
      </c>
      <c r="C295" s="35">
        <v>42873</v>
      </c>
      <c r="D295" s="34">
        <v>300</v>
      </c>
      <c r="F295" s="47" t="s">
        <v>49</v>
      </c>
      <c r="G295" s="34">
        <v>15.7</v>
      </c>
      <c r="H295" s="34">
        <v>14.5</v>
      </c>
      <c r="I295" s="34">
        <v>18.5</v>
      </c>
      <c r="J295" s="34">
        <f t="shared" si="43"/>
        <v>2157.6999999999994</v>
      </c>
      <c r="K295">
        <f>G295</f>
        <v>15.7</v>
      </c>
      <c r="L295" s="15" t="s">
        <v>38</v>
      </c>
      <c r="M295" s="34">
        <v>13.9</v>
      </c>
      <c r="N295" s="34">
        <v>1.3</v>
      </c>
      <c r="O295" s="34">
        <f t="shared" si="40"/>
        <v>12.6</v>
      </c>
      <c r="P295" s="34">
        <f t="shared" si="44"/>
        <v>47.499999999999979</v>
      </c>
      <c r="Q295" s="34">
        <v>261</v>
      </c>
      <c r="R295">
        <f>1.15+((Q295-260)/64)*(0.35-1.15)</f>
        <v>1.1375</v>
      </c>
      <c r="S295" s="36">
        <f t="shared" si="41"/>
        <v>1.47875</v>
      </c>
      <c r="T295" s="36">
        <f t="shared" si="42"/>
        <v>12.421250000000001</v>
      </c>
      <c r="U295" s="18">
        <f t="shared" ref="U295:U358" si="46">U294+T295</f>
        <v>34.620954819277102</v>
      </c>
      <c r="V295" s="24" t="s">
        <v>51</v>
      </c>
      <c r="W295" s="34">
        <v>607.6</v>
      </c>
      <c r="Y295" s="34">
        <f t="shared" si="45"/>
        <v>180819.3</v>
      </c>
      <c r="Z295">
        <f>W295</f>
        <v>607.6</v>
      </c>
      <c r="AA295" s="34">
        <v>15.285308251647352</v>
      </c>
      <c r="AB295" s="24" t="s">
        <v>56</v>
      </c>
    </row>
    <row r="296" spans="1:28" ht="15" customHeight="1" x14ac:dyDescent="0.25">
      <c r="A296">
        <v>6440</v>
      </c>
      <c r="B296">
        <v>25210</v>
      </c>
      <c r="C296" s="4">
        <v>42874</v>
      </c>
      <c r="F296" s="47"/>
      <c r="G296">
        <v>11.1</v>
      </c>
      <c r="H296">
        <v>10.199999999999999</v>
      </c>
      <c r="I296">
        <v>13.2</v>
      </c>
      <c r="J296">
        <f t="shared" si="43"/>
        <v>2168.7999999999993</v>
      </c>
      <c r="K296">
        <f t="shared" si="38"/>
        <v>26.799999999999997</v>
      </c>
      <c r="L296" s="8">
        <v>314.39999999999998</v>
      </c>
      <c r="M296">
        <v>5.3</v>
      </c>
      <c r="N296">
        <v>1.6</v>
      </c>
      <c r="O296">
        <f t="shared" si="40"/>
        <v>3.6999999999999997</v>
      </c>
      <c r="P296">
        <f t="shared" si="44"/>
        <v>51.199999999999982</v>
      </c>
      <c r="Q296">
        <v>262</v>
      </c>
      <c r="R296">
        <f t="shared" ref="R296:R358" si="47">1.15+((Q296-260)/64)*(0.35-1.15)</f>
        <v>1.125</v>
      </c>
      <c r="S296" s="18">
        <f t="shared" si="41"/>
        <v>1.8</v>
      </c>
      <c r="T296" s="18">
        <f t="shared" si="42"/>
        <v>3.5</v>
      </c>
      <c r="U296" s="18">
        <f t="shared" si="46"/>
        <v>38.120954819277102</v>
      </c>
      <c r="V296">
        <v>8</v>
      </c>
      <c r="W296">
        <v>988.5</v>
      </c>
      <c r="Y296">
        <f t="shared" si="45"/>
        <v>181807.8</v>
      </c>
      <c r="Z296">
        <f t="shared" si="39"/>
        <v>1596.1</v>
      </c>
      <c r="AA296">
        <v>15.328500740988298</v>
      </c>
      <c r="AB296">
        <v>33951.1</v>
      </c>
    </row>
    <row r="297" spans="1:28" x14ac:dyDescent="0.25">
      <c r="A297">
        <v>6440</v>
      </c>
      <c r="B297">
        <v>25210</v>
      </c>
      <c r="C297" s="4">
        <v>42875</v>
      </c>
      <c r="F297" s="47"/>
      <c r="G297">
        <v>12.2</v>
      </c>
      <c r="H297">
        <v>9.3000000000000007</v>
      </c>
      <c r="I297">
        <v>15.2</v>
      </c>
      <c r="J297">
        <f t="shared" si="43"/>
        <v>2180.9999999999991</v>
      </c>
      <c r="K297">
        <f t="shared" si="38"/>
        <v>39</v>
      </c>
      <c r="L297" s="15" t="s">
        <v>39</v>
      </c>
      <c r="M297">
        <v>0.2</v>
      </c>
      <c r="N297">
        <v>2.2999999999999998</v>
      </c>
      <c r="O297">
        <f t="shared" si="40"/>
        <v>-2.0999999999999996</v>
      </c>
      <c r="P297">
        <f t="shared" si="44"/>
        <v>49.09999999999998</v>
      </c>
      <c r="Q297">
        <v>263</v>
      </c>
      <c r="R297">
        <f t="shared" si="47"/>
        <v>1.1124999999999998</v>
      </c>
      <c r="S297" s="18">
        <f t="shared" si="41"/>
        <v>2.5587499999999994</v>
      </c>
      <c r="T297" s="18">
        <f t="shared" si="42"/>
        <v>-2.3587499999999992</v>
      </c>
      <c r="U297" s="18">
        <f t="shared" si="46"/>
        <v>35.762204819277102</v>
      </c>
      <c r="V297" s="24" t="s">
        <v>52</v>
      </c>
      <c r="W297">
        <v>1518.2</v>
      </c>
      <c r="Y297">
        <f t="shared" si="45"/>
        <v>183326</v>
      </c>
      <c r="Z297">
        <f t="shared" si="39"/>
        <v>3114.3</v>
      </c>
      <c r="AA297">
        <v>15.370779535480334</v>
      </c>
      <c r="AB297" s="24" t="s">
        <v>57</v>
      </c>
    </row>
    <row r="298" spans="1:28" x14ac:dyDescent="0.25">
      <c r="A298">
        <v>6440</v>
      </c>
      <c r="B298">
        <v>25210</v>
      </c>
      <c r="C298" s="4">
        <v>42876</v>
      </c>
      <c r="F298" s="47"/>
      <c r="G298">
        <v>14.5</v>
      </c>
      <c r="H298">
        <v>9.1999999999999993</v>
      </c>
      <c r="I298">
        <v>19.3</v>
      </c>
      <c r="J298">
        <f t="shared" si="43"/>
        <v>2195.4999999999991</v>
      </c>
      <c r="K298">
        <f t="shared" si="38"/>
        <v>53.5</v>
      </c>
      <c r="L298" s="8">
        <f>AVERAGE(G295:G312)</f>
        <v>17.466666666666669</v>
      </c>
      <c r="M298">
        <v>0</v>
      </c>
      <c r="N298">
        <v>3.3</v>
      </c>
      <c r="O298">
        <f t="shared" si="40"/>
        <v>-3.3</v>
      </c>
      <c r="P298">
        <f t="shared" si="44"/>
        <v>45.799999999999983</v>
      </c>
      <c r="Q298">
        <v>264</v>
      </c>
      <c r="R298">
        <f t="shared" si="47"/>
        <v>1.0999999999999999</v>
      </c>
      <c r="S298" s="18">
        <f t="shared" si="41"/>
        <v>3.6299999999999994</v>
      </c>
      <c r="T298" s="18">
        <f t="shared" si="42"/>
        <v>-3.6299999999999994</v>
      </c>
      <c r="U298" s="18">
        <f t="shared" si="46"/>
        <v>32.132204819277099</v>
      </c>
      <c r="V298">
        <v>10</v>
      </c>
      <c r="W298">
        <v>2032.1</v>
      </c>
      <c r="Y298">
        <f t="shared" si="45"/>
        <v>185358.1</v>
      </c>
      <c r="Z298">
        <f t="shared" si="39"/>
        <v>5146.3999999999996</v>
      </c>
      <c r="AA298">
        <v>15.412118483706683</v>
      </c>
      <c r="AB298">
        <f>(AB296/100)/L296</f>
        <v>1.0798695928753181</v>
      </c>
    </row>
    <row r="299" spans="1:28" x14ac:dyDescent="0.25">
      <c r="A299">
        <v>6440</v>
      </c>
      <c r="B299">
        <v>25210</v>
      </c>
      <c r="C299" s="4">
        <v>42877</v>
      </c>
      <c r="F299" s="47"/>
      <c r="G299">
        <v>17.5</v>
      </c>
      <c r="H299">
        <v>10</v>
      </c>
      <c r="I299">
        <v>23.2</v>
      </c>
      <c r="J299">
        <f t="shared" si="43"/>
        <v>2212.9999999999991</v>
      </c>
      <c r="K299">
        <f t="shared" si="38"/>
        <v>71</v>
      </c>
      <c r="L299" s="15" t="s">
        <v>40</v>
      </c>
      <c r="M299">
        <v>0</v>
      </c>
      <c r="N299">
        <v>3.9</v>
      </c>
      <c r="O299">
        <f t="shared" si="40"/>
        <v>-3.9</v>
      </c>
      <c r="P299">
        <f t="shared" si="44"/>
        <v>41.899999999999984</v>
      </c>
      <c r="Q299">
        <v>265</v>
      </c>
      <c r="R299">
        <f t="shared" si="47"/>
        <v>1.0874999999999999</v>
      </c>
      <c r="S299" s="18">
        <f t="shared" si="41"/>
        <v>4.24125</v>
      </c>
      <c r="T299" s="18">
        <f t="shared" si="42"/>
        <v>-4.24125</v>
      </c>
      <c r="U299" s="18">
        <f t="shared" si="46"/>
        <v>27.890954819277098</v>
      </c>
      <c r="V299" s="24" t="s">
        <v>53</v>
      </c>
      <c r="W299">
        <v>2215.1</v>
      </c>
      <c r="Y299">
        <f t="shared" si="45"/>
        <v>187573.2</v>
      </c>
      <c r="Z299">
        <f t="shared" si="39"/>
        <v>7361.5</v>
      </c>
      <c r="AA299">
        <v>15.452491373205591</v>
      </c>
      <c r="AB299" s="24" t="s">
        <v>58</v>
      </c>
    </row>
    <row r="300" spans="1:28" x14ac:dyDescent="0.25">
      <c r="A300">
        <v>6440</v>
      </c>
      <c r="B300">
        <v>25210</v>
      </c>
      <c r="C300" s="4">
        <v>42878</v>
      </c>
      <c r="F300" s="47"/>
      <c r="G300">
        <v>17</v>
      </c>
      <c r="H300">
        <v>13.3</v>
      </c>
      <c r="I300">
        <v>19.7</v>
      </c>
      <c r="J300">
        <f t="shared" si="43"/>
        <v>2229.9999999999991</v>
      </c>
      <c r="K300">
        <f t="shared" si="38"/>
        <v>88</v>
      </c>
      <c r="L300" s="9">
        <f>MIN(H295:H312)</f>
        <v>9.1999999999999993</v>
      </c>
      <c r="M300">
        <v>0</v>
      </c>
      <c r="N300">
        <v>3.1</v>
      </c>
      <c r="O300">
        <f t="shared" si="40"/>
        <v>-3.1</v>
      </c>
      <c r="P300">
        <f t="shared" si="44"/>
        <v>38.799999999999983</v>
      </c>
      <c r="Q300">
        <v>266</v>
      </c>
      <c r="R300">
        <f t="shared" si="47"/>
        <v>1.075</v>
      </c>
      <c r="S300" s="18">
        <f t="shared" si="41"/>
        <v>3.3325</v>
      </c>
      <c r="T300" s="18">
        <f t="shared" si="42"/>
        <v>-3.3325</v>
      </c>
      <c r="U300" s="18">
        <f t="shared" si="46"/>
        <v>24.558454819277099</v>
      </c>
      <c r="V300">
        <v>0</v>
      </c>
      <c r="W300">
        <v>1684.3</v>
      </c>
      <c r="Y300">
        <f t="shared" si="45"/>
        <v>189257.5</v>
      </c>
      <c r="Z300">
        <f t="shared" si="39"/>
        <v>9045.7999999999993</v>
      </c>
      <c r="AA300">
        <v>15.491871975942264</v>
      </c>
      <c r="AB300">
        <v>1</v>
      </c>
    </row>
    <row r="301" spans="1:28" x14ac:dyDescent="0.25">
      <c r="A301">
        <v>6440</v>
      </c>
      <c r="B301">
        <v>25210</v>
      </c>
      <c r="C301" s="4">
        <v>42879</v>
      </c>
      <c r="F301" s="47"/>
      <c r="G301">
        <v>17.8</v>
      </c>
      <c r="H301">
        <v>14.9</v>
      </c>
      <c r="I301">
        <v>21.8</v>
      </c>
      <c r="J301">
        <f t="shared" si="43"/>
        <v>2247.7999999999993</v>
      </c>
      <c r="K301">
        <f t="shared" si="38"/>
        <v>105.8</v>
      </c>
      <c r="L301" s="15" t="s">
        <v>41</v>
      </c>
      <c r="M301">
        <v>0</v>
      </c>
      <c r="N301">
        <v>3.5</v>
      </c>
      <c r="O301">
        <f t="shared" si="40"/>
        <v>-3.5</v>
      </c>
      <c r="P301">
        <f t="shared" si="44"/>
        <v>35.299999999999983</v>
      </c>
      <c r="Q301">
        <v>267</v>
      </c>
      <c r="R301">
        <f t="shared" si="47"/>
        <v>1.0625</v>
      </c>
      <c r="S301" s="18">
        <f t="shared" si="41"/>
        <v>3.71875</v>
      </c>
      <c r="T301" s="18">
        <f t="shared" si="42"/>
        <v>-3.71875</v>
      </c>
      <c r="U301" s="18">
        <f t="shared" si="46"/>
        <v>20.839704819277099</v>
      </c>
      <c r="V301" s="24" t="s">
        <v>54</v>
      </c>
      <c r="W301">
        <v>1978.2</v>
      </c>
      <c r="Y301">
        <f t="shared" si="45"/>
        <v>191235.7</v>
      </c>
      <c r="Z301">
        <f t="shared" si="39"/>
        <v>11024</v>
      </c>
      <c r="AA301">
        <v>15.53023409613626</v>
      </c>
    </row>
    <row r="302" spans="1:28" x14ac:dyDescent="0.25">
      <c r="A302">
        <v>6440</v>
      </c>
      <c r="B302">
        <v>25210</v>
      </c>
      <c r="C302" s="4">
        <v>42880</v>
      </c>
      <c r="F302" s="47"/>
      <c r="G302">
        <v>19.100000000000001</v>
      </c>
      <c r="H302">
        <v>13.3</v>
      </c>
      <c r="I302">
        <v>24</v>
      </c>
      <c r="J302">
        <f t="shared" si="43"/>
        <v>2266.8999999999992</v>
      </c>
      <c r="K302">
        <f t="shared" si="38"/>
        <v>124.9</v>
      </c>
      <c r="L302" s="8">
        <f>MAX(I295:I312)</f>
        <v>28.1</v>
      </c>
      <c r="M302">
        <v>0</v>
      </c>
      <c r="N302">
        <v>5.7</v>
      </c>
      <c r="O302">
        <f t="shared" si="40"/>
        <v>-5.7</v>
      </c>
      <c r="P302">
        <f t="shared" si="44"/>
        <v>29.599999999999984</v>
      </c>
      <c r="Q302">
        <v>268</v>
      </c>
      <c r="R302">
        <f t="shared" si="47"/>
        <v>1.0499999999999998</v>
      </c>
      <c r="S302" s="18">
        <f t="shared" si="41"/>
        <v>5.9849999999999994</v>
      </c>
      <c r="T302" s="18">
        <f t="shared" si="42"/>
        <v>-5.9849999999999994</v>
      </c>
      <c r="U302" s="18">
        <f t="shared" si="46"/>
        <v>14.854704819277099</v>
      </c>
      <c r="V302" s="18">
        <f>MAX(U295:U312)</f>
        <v>38.120954819277102</v>
      </c>
      <c r="W302">
        <v>2981.5</v>
      </c>
      <c r="Y302">
        <f t="shared" si="45"/>
        <v>194217.2</v>
      </c>
      <c r="Z302">
        <f t="shared" si="39"/>
        <v>14005.5</v>
      </c>
      <c r="AA302">
        <v>15.567551620356758</v>
      </c>
    </row>
    <row r="303" spans="1:28" x14ac:dyDescent="0.25">
      <c r="A303">
        <v>6440</v>
      </c>
      <c r="B303">
        <v>25210</v>
      </c>
      <c r="C303" s="4">
        <v>42881</v>
      </c>
      <c r="F303" s="47"/>
      <c r="G303">
        <v>20.9</v>
      </c>
      <c r="H303">
        <v>14.7</v>
      </c>
      <c r="I303">
        <v>25.8</v>
      </c>
      <c r="J303">
        <f t="shared" si="43"/>
        <v>2287.7999999999993</v>
      </c>
      <c r="K303">
        <f t="shared" si="38"/>
        <v>145.80000000000001</v>
      </c>
      <c r="L303" s="15" t="s">
        <v>42</v>
      </c>
      <c r="M303">
        <v>0</v>
      </c>
      <c r="N303">
        <v>6.7</v>
      </c>
      <c r="O303">
        <f t="shared" si="40"/>
        <v>-6.7</v>
      </c>
      <c r="P303">
        <f t="shared" si="44"/>
        <v>22.899999999999984</v>
      </c>
      <c r="Q303">
        <v>269</v>
      </c>
      <c r="R303">
        <f t="shared" si="47"/>
        <v>1.0374999999999999</v>
      </c>
      <c r="S303" s="18">
        <f t="shared" si="41"/>
        <v>6.951249999999999</v>
      </c>
      <c r="T303" s="18">
        <f t="shared" si="42"/>
        <v>-6.951249999999999</v>
      </c>
      <c r="U303" s="18">
        <f t="shared" si="46"/>
        <v>7.9034548192771004</v>
      </c>
      <c r="V303" s="24" t="s">
        <v>55</v>
      </c>
      <c r="W303">
        <v>3176.1</v>
      </c>
      <c r="Y303">
        <f t="shared" si="45"/>
        <v>197393.30000000002</v>
      </c>
      <c r="Z303">
        <f t="shared" si="39"/>
        <v>17181.599999999999</v>
      </c>
      <c r="AA303">
        <v>15.603798569776888</v>
      </c>
    </row>
    <row r="304" spans="1:28" x14ac:dyDescent="0.25">
      <c r="A304">
        <v>6440</v>
      </c>
      <c r="B304">
        <v>25210</v>
      </c>
      <c r="C304" s="4">
        <v>42882</v>
      </c>
      <c r="F304" s="47"/>
      <c r="G304">
        <v>20.7</v>
      </c>
      <c r="H304">
        <v>15.9</v>
      </c>
      <c r="I304">
        <v>27.2</v>
      </c>
      <c r="J304">
        <f t="shared" si="43"/>
        <v>2308.4999999999991</v>
      </c>
      <c r="K304">
        <f t="shared" si="38"/>
        <v>166.5</v>
      </c>
      <c r="L304" s="8">
        <v>5</v>
      </c>
      <c r="M304">
        <v>0.2</v>
      </c>
      <c r="N304">
        <v>4.5</v>
      </c>
      <c r="O304">
        <f t="shared" si="40"/>
        <v>-4.3</v>
      </c>
      <c r="P304">
        <f t="shared" si="44"/>
        <v>18.599999999999984</v>
      </c>
      <c r="Q304">
        <v>270</v>
      </c>
      <c r="R304">
        <f t="shared" si="47"/>
        <v>1.0249999999999999</v>
      </c>
      <c r="S304" s="18">
        <f t="shared" si="41"/>
        <v>4.6124999999999998</v>
      </c>
      <c r="T304" s="18">
        <f t="shared" si="42"/>
        <v>-4.4124999999999996</v>
      </c>
      <c r="U304" s="18">
        <f t="shared" si="46"/>
        <v>3.4909548192771007</v>
      </c>
      <c r="V304" s="18">
        <f>AVERAGE(U295:U312)</f>
        <v>13.343030455153944</v>
      </c>
      <c r="W304">
        <v>2055.4</v>
      </c>
      <c r="Y304">
        <f t="shared" si="45"/>
        <v>199448.7</v>
      </c>
      <c r="Z304">
        <f t="shared" si="39"/>
        <v>19237</v>
      </c>
      <c r="AA304">
        <v>15.638949154456935</v>
      </c>
    </row>
    <row r="305" spans="1:28" x14ac:dyDescent="0.25">
      <c r="A305">
        <v>6440</v>
      </c>
      <c r="B305">
        <v>25210</v>
      </c>
      <c r="C305" s="4">
        <v>42883</v>
      </c>
      <c r="F305" s="47"/>
      <c r="G305">
        <v>22.7</v>
      </c>
      <c r="H305">
        <v>15.8</v>
      </c>
      <c r="I305">
        <v>27.7</v>
      </c>
      <c r="J305">
        <f t="shared" si="43"/>
        <v>2331.1999999999989</v>
      </c>
      <c r="K305">
        <f t="shared" si="38"/>
        <v>189.2</v>
      </c>
      <c r="L305" s="15" t="s">
        <v>43</v>
      </c>
      <c r="M305">
        <v>0</v>
      </c>
      <c r="N305">
        <v>3.7</v>
      </c>
      <c r="O305">
        <f t="shared" si="40"/>
        <v>-3.7</v>
      </c>
      <c r="P305">
        <f t="shared" si="44"/>
        <v>14.899999999999984</v>
      </c>
      <c r="Q305">
        <v>271</v>
      </c>
      <c r="R305">
        <f t="shared" si="47"/>
        <v>1.0125</v>
      </c>
      <c r="S305" s="18">
        <f t="shared" si="41"/>
        <v>3.7462499999999999</v>
      </c>
      <c r="T305" s="18">
        <f t="shared" si="42"/>
        <v>-3.7462499999999999</v>
      </c>
      <c r="U305" s="18">
        <v>0</v>
      </c>
      <c r="W305">
        <v>2041.3</v>
      </c>
      <c r="Y305">
        <f t="shared" si="45"/>
        <v>201490</v>
      </c>
      <c r="Z305">
        <f t="shared" si="39"/>
        <v>21278.3</v>
      </c>
      <c r="AA305">
        <v>15.67297782950361</v>
      </c>
    </row>
    <row r="306" spans="1:28" x14ac:dyDescent="0.25">
      <c r="A306">
        <v>6440</v>
      </c>
      <c r="B306">
        <v>25210</v>
      </c>
      <c r="C306" s="4">
        <v>42884</v>
      </c>
      <c r="F306" s="47"/>
      <c r="G306">
        <v>22.9</v>
      </c>
      <c r="H306">
        <v>20.5</v>
      </c>
      <c r="I306">
        <v>28.1</v>
      </c>
      <c r="J306">
        <f t="shared" si="43"/>
        <v>2354.099999999999</v>
      </c>
      <c r="K306">
        <f t="shared" si="38"/>
        <v>212.1</v>
      </c>
      <c r="L306" s="8">
        <v>0</v>
      </c>
      <c r="M306">
        <v>0.8</v>
      </c>
      <c r="N306">
        <v>4.5999999999999996</v>
      </c>
      <c r="O306">
        <f t="shared" si="40"/>
        <v>-3.8</v>
      </c>
      <c r="P306">
        <f t="shared" si="44"/>
        <v>11.099999999999984</v>
      </c>
      <c r="Q306">
        <v>272</v>
      </c>
      <c r="R306">
        <f t="shared" si="47"/>
        <v>0.99999999999999989</v>
      </c>
      <c r="S306" s="18">
        <f t="shared" si="41"/>
        <v>4.5999999999999988</v>
      </c>
      <c r="T306" s="18">
        <f t="shared" si="42"/>
        <v>-3.7999999999999989</v>
      </c>
      <c r="U306" s="18">
        <v>0</v>
      </c>
      <c r="V306" s="37">
        <f>(V304*100)/189.6</f>
        <v>7.0374633202288734</v>
      </c>
      <c r="W306">
        <v>2081.6999999999998</v>
      </c>
      <c r="Y306">
        <f t="shared" si="45"/>
        <v>203571.7</v>
      </c>
      <c r="Z306">
        <f t="shared" si="39"/>
        <v>23360</v>
      </c>
      <c r="AA306">
        <v>15.70585935293011</v>
      </c>
    </row>
    <row r="307" spans="1:28" x14ac:dyDescent="0.25">
      <c r="A307">
        <v>6440</v>
      </c>
      <c r="B307">
        <v>25210</v>
      </c>
      <c r="C307" s="4">
        <v>42885</v>
      </c>
      <c r="F307" s="47"/>
      <c r="G307">
        <v>16.600000000000001</v>
      </c>
      <c r="H307">
        <v>15.6</v>
      </c>
      <c r="I307">
        <v>19.399999999999999</v>
      </c>
      <c r="J307">
        <f t="shared" si="43"/>
        <v>2370.6999999999989</v>
      </c>
      <c r="K307">
        <f t="shared" si="38"/>
        <v>228.7</v>
      </c>
      <c r="L307" s="15" t="s">
        <v>44</v>
      </c>
      <c r="M307">
        <v>0</v>
      </c>
      <c r="N307">
        <v>2.5</v>
      </c>
      <c r="O307">
        <f t="shared" si="40"/>
        <v>-2.5</v>
      </c>
      <c r="P307">
        <f t="shared" si="44"/>
        <v>8.5999999999999837</v>
      </c>
      <c r="Q307">
        <v>273</v>
      </c>
      <c r="R307">
        <f t="shared" si="47"/>
        <v>0.98749999999999993</v>
      </c>
      <c r="S307" s="18">
        <f t="shared" si="41"/>
        <v>2.46875</v>
      </c>
      <c r="T307" s="18">
        <f t="shared" si="42"/>
        <v>-2.46875</v>
      </c>
      <c r="U307" s="18">
        <v>0</v>
      </c>
      <c r="W307">
        <v>969.8</v>
      </c>
      <c r="Y307">
        <f t="shared" si="45"/>
        <v>204541.5</v>
      </c>
      <c r="Z307">
        <f t="shared" si="39"/>
        <v>24329.8</v>
      </c>
      <c r="AA307">
        <v>15.737568845018604</v>
      </c>
    </row>
    <row r="308" spans="1:28" x14ac:dyDescent="0.25">
      <c r="A308">
        <v>6440</v>
      </c>
      <c r="B308">
        <v>25210</v>
      </c>
      <c r="C308" s="4">
        <v>42886</v>
      </c>
      <c r="F308" s="47"/>
      <c r="G308">
        <v>16.8</v>
      </c>
      <c r="H308">
        <v>10</v>
      </c>
      <c r="I308">
        <v>21.9</v>
      </c>
      <c r="J308">
        <f t="shared" si="43"/>
        <v>2387.4999999999991</v>
      </c>
      <c r="K308">
        <f t="shared" si="38"/>
        <v>245.5</v>
      </c>
      <c r="L308" s="13">
        <v>0</v>
      </c>
      <c r="M308">
        <v>0</v>
      </c>
      <c r="N308">
        <v>3.7</v>
      </c>
      <c r="O308">
        <f t="shared" si="40"/>
        <v>-3.7</v>
      </c>
      <c r="P308">
        <f t="shared" si="44"/>
        <v>4.8999999999999835</v>
      </c>
      <c r="Q308">
        <v>274</v>
      </c>
      <c r="R308">
        <f t="shared" si="47"/>
        <v>0.97499999999999987</v>
      </c>
      <c r="S308" s="18">
        <f t="shared" si="41"/>
        <v>3.6074999999999995</v>
      </c>
      <c r="T308" s="18">
        <f t="shared" si="42"/>
        <v>-3.6074999999999995</v>
      </c>
      <c r="U308" s="18">
        <v>0</v>
      </c>
      <c r="W308">
        <v>2219.5</v>
      </c>
      <c r="Y308">
        <f t="shared" si="45"/>
        <v>206761</v>
      </c>
      <c r="Z308">
        <f t="shared" si="39"/>
        <v>26549.3</v>
      </c>
      <c r="AA308">
        <v>15.768081848964266</v>
      </c>
    </row>
    <row r="309" spans="1:28" x14ac:dyDescent="0.25">
      <c r="A309">
        <v>6440</v>
      </c>
      <c r="B309">
        <v>25210</v>
      </c>
      <c r="C309" s="4">
        <v>42887</v>
      </c>
      <c r="F309" s="47"/>
      <c r="G309">
        <v>19.600000000000001</v>
      </c>
      <c r="H309">
        <v>13.4</v>
      </c>
      <c r="I309">
        <v>24.6</v>
      </c>
      <c r="J309">
        <f t="shared" si="43"/>
        <v>2407.099999999999</v>
      </c>
      <c r="K309">
        <f t="shared" si="38"/>
        <v>265.10000000000002</v>
      </c>
      <c r="M309">
        <v>0</v>
      </c>
      <c r="N309">
        <v>4.4000000000000004</v>
      </c>
      <c r="O309">
        <f t="shared" si="40"/>
        <v>-4.4000000000000004</v>
      </c>
      <c r="P309">
        <f t="shared" si="44"/>
        <v>0.49999999999998312</v>
      </c>
      <c r="Q309">
        <v>275</v>
      </c>
      <c r="R309">
        <f t="shared" si="47"/>
        <v>0.96249999999999991</v>
      </c>
      <c r="S309" s="18">
        <f t="shared" si="41"/>
        <v>4.2350000000000003</v>
      </c>
      <c r="T309" s="18">
        <f t="shared" si="42"/>
        <v>-4.2350000000000003</v>
      </c>
      <c r="U309" s="18">
        <v>0</v>
      </c>
      <c r="W309">
        <v>2415.9</v>
      </c>
      <c r="Y309">
        <f t="shared" si="45"/>
        <v>209176.9</v>
      </c>
      <c r="Z309">
        <f t="shared" si="39"/>
        <v>28965.200000000001</v>
      </c>
      <c r="AA309">
        <v>15.797374392557302</v>
      </c>
    </row>
    <row r="310" spans="1:28" x14ac:dyDescent="0.25">
      <c r="A310">
        <v>6440</v>
      </c>
      <c r="B310">
        <v>25210</v>
      </c>
      <c r="C310" s="4">
        <v>42888</v>
      </c>
      <c r="F310" s="47"/>
      <c r="G310">
        <v>19.7</v>
      </c>
      <c r="H310">
        <v>14.9</v>
      </c>
      <c r="I310">
        <v>25.9</v>
      </c>
      <c r="J310">
        <f t="shared" si="43"/>
        <v>2426.7999999999988</v>
      </c>
      <c r="K310">
        <f t="shared" si="38"/>
        <v>284.8</v>
      </c>
      <c r="M310">
        <v>3.8</v>
      </c>
      <c r="N310">
        <v>4.0999999999999996</v>
      </c>
      <c r="O310">
        <f t="shared" si="40"/>
        <v>-0.29999999999999982</v>
      </c>
      <c r="P310">
        <f t="shared" si="44"/>
        <v>0.1999999999999833</v>
      </c>
      <c r="Q310">
        <v>276</v>
      </c>
      <c r="R310">
        <f t="shared" si="47"/>
        <v>0.95</v>
      </c>
      <c r="S310" s="18">
        <f t="shared" si="41"/>
        <v>3.8949999999999996</v>
      </c>
      <c r="T310" s="18">
        <f t="shared" si="42"/>
        <v>-9.4999999999999751E-2</v>
      </c>
      <c r="U310" s="18">
        <v>0</v>
      </c>
      <c r="W310">
        <v>1989</v>
      </c>
      <c r="Y310">
        <f t="shared" si="45"/>
        <v>211165.9</v>
      </c>
      <c r="Z310">
        <f t="shared" si="39"/>
        <v>30954.2</v>
      </c>
      <c r="AA310">
        <v>15.825423050638202</v>
      </c>
    </row>
    <row r="311" spans="1:28" x14ac:dyDescent="0.25">
      <c r="A311">
        <v>6440</v>
      </c>
      <c r="B311">
        <v>25210</v>
      </c>
      <c r="C311" s="4">
        <v>42889</v>
      </c>
      <c r="F311" s="47"/>
      <c r="G311">
        <v>15</v>
      </c>
      <c r="H311">
        <v>14.7</v>
      </c>
      <c r="I311">
        <v>18.100000000000001</v>
      </c>
      <c r="J311">
        <f t="shared" si="43"/>
        <v>2441.7999999999988</v>
      </c>
      <c r="K311">
        <f t="shared" si="38"/>
        <v>299.8</v>
      </c>
      <c r="M311">
        <v>0.3</v>
      </c>
      <c r="N311">
        <v>2</v>
      </c>
      <c r="O311">
        <f t="shared" si="40"/>
        <v>-1.7</v>
      </c>
      <c r="P311">
        <v>0</v>
      </c>
      <c r="Q311">
        <v>277</v>
      </c>
      <c r="R311">
        <f t="shared" si="47"/>
        <v>0.93749999999999989</v>
      </c>
      <c r="S311" s="18">
        <f t="shared" si="41"/>
        <v>1.8749999999999998</v>
      </c>
      <c r="T311" s="18">
        <f t="shared" si="42"/>
        <v>-1.5749999999999997</v>
      </c>
      <c r="U311" s="18">
        <v>0</v>
      </c>
      <c r="W311">
        <v>955.8</v>
      </c>
      <c r="Y311">
        <f t="shared" si="45"/>
        <v>212121.69999999998</v>
      </c>
      <c r="Z311">
        <f t="shared" si="39"/>
        <v>31910</v>
      </c>
      <c r="AA311">
        <v>15.852205008040601</v>
      </c>
    </row>
    <row r="312" spans="1:28" s="26" customFormat="1" ht="15.75" thickBot="1" x14ac:dyDescent="0.3">
      <c r="A312" s="26">
        <v>6440</v>
      </c>
      <c r="B312" s="26">
        <v>25210</v>
      </c>
      <c r="C312" s="27">
        <v>42890</v>
      </c>
      <c r="F312" s="47"/>
      <c r="G312" s="26">
        <v>14.6</v>
      </c>
      <c r="H312" s="26">
        <v>9.5</v>
      </c>
      <c r="I312" s="26">
        <v>18.2</v>
      </c>
      <c r="J312" s="26">
        <f t="shared" si="43"/>
        <v>2456.3999999999987</v>
      </c>
      <c r="K312" s="26">
        <f t="shared" si="38"/>
        <v>314.40000000000003</v>
      </c>
      <c r="M312" s="26">
        <v>0</v>
      </c>
      <c r="N312" s="26">
        <v>3.2</v>
      </c>
      <c r="O312" s="26">
        <f t="shared" si="40"/>
        <v>-3.2</v>
      </c>
      <c r="P312" s="26">
        <v>0</v>
      </c>
      <c r="Q312" s="26">
        <v>278</v>
      </c>
      <c r="R312">
        <f t="shared" si="47"/>
        <v>0.92499999999999993</v>
      </c>
      <c r="S312" s="28">
        <f t="shared" si="41"/>
        <v>2.96</v>
      </c>
      <c r="T312" s="28">
        <f t="shared" si="42"/>
        <v>-2.96</v>
      </c>
      <c r="U312" s="18">
        <v>0</v>
      </c>
      <c r="W312" s="26">
        <v>2041.1</v>
      </c>
      <c r="Y312" s="26">
        <f t="shared" si="45"/>
        <v>214162.8</v>
      </c>
      <c r="Z312" s="26">
        <f t="shared" si="39"/>
        <v>33951.1</v>
      </c>
      <c r="AA312" s="26">
        <v>15.877698122717236</v>
      </c>
    </row>
    <row r="313" spans="1:28" s="31" customFormat="1" x14ac:dyDescent="0.25">
      <c r="A313" s="31">
        <v>6440</v>
      </c>
      <c r="B313" s="31">
        <v>25210</v>
      </c>
      <c r="C313" s="32">
        <v>42891</v>
      </c>
      <c r="D313" s="31">
        <v>600</v>
      </c>
      <c r="F313" s="48" t="s">
        <v>50</v>
      </c>
      <c r="G313" s="31">
        <v>16.899999999999999</v>
      </c>
      <c r="H313" s="31">
        <v>11.7</v>
      </c>
      <c r="I313" s="31">
        <v>21</v>
      </c>
      <c r="J313" s="31">
        <f t="shared" si="43"/>
        <v>2473.2999999999988</v>
      </c>
      <c r="K313">
        <f>G313</f>
        <v>16.899999999999999</v>
      </c>
      <c r="L313" s="16" t="s">
        <v>38</v>
      </c>
      <c r="M313" s="31">
        <v>7.8</v>
      </c>
      <c r="N313" s="31">
        <v>3.6</v>
      </c>
      <c r="O313" s="31">
        <f t="shared" si="40"/>
        <v>4.1999999999999993</v>
      </c>
      <c r="P313" s="31">
        <f t="shared" si="44"/>
        <v>4.1999999999999993</v>
      </c>
      <c r="Q313" s="31">
        <v>279</v>
      </c>
      <c r="R313">
        <f t="shared" si="47"/>
        <v>0.91249999999999987</v>
      </c>
      <c r="S313" s="33">
        <f t="shared" si="41"/>
        <v>3.2849999999999997</v>
      </c>
      <c r="T313" s="33">
        <f t="shared" si="42"/>
        <v>4.5150000000000006</v>
      </c>
      <c r="U313" s="18">
        <f t="shared" si="46"/>
        <v>4.5150000000000006</v>
      </c>
      <c r="W313" s="31">
        <v>1832.3</v>
      </c>
      <c r="Y313" s="31">
        <f t="shared" si="45"/>
        <v>215995.09999999998</v>
      </c>
      <c r="Z313">
        <f>W313</f>
        <v>1832.3</v>
      </c>
      <c r="AA313" s="31">
        <v>15.901880988727074</v>
      </c>
      <c r="AB313" s="25" t="s">
        <v>56</v>
      </c>
    </row>
    <row r="314" spans="1:28" ht="15" customHeight="1" x14ac:dyDescent="0.25">
      <c r="A314">
        <v>6440</v>
      </c>
      <c r="B314">
        <v>25210</v>
      </c>
      <c r="C314" s="4">
        <v>42892</v>
      </c>
      <c r="F314" s="48"/>
      <c r="G314">
        <v>13.2</v>
      </c>
      <c r="H314">
        <v>12</v>
      </c>
      <c r="I314">
        <v>14.7</v>
      </c>
      <c r="J314">
        <f t="shared" si="43"/>
        <v>2486.4999999999986</v>
      </c>
      <c r="K314">
        <f t="shared" ref="K314:K358" si="48">K313+G314</f>
        <v>30.099999999999998</v>
      </c>
      <c r="L314" s="8">
        <v>401.2</v>
      </c>
      <c r="M314">
        <v>2.2000000000000002</v>
      </c>
      <c r="N314">
        <v>2.7</v>
      </c>
      <c r="O314">
        <f t="shared" si="40"/>
        <v>-0.5</v>
      </c>
      <c r="P314">
        <f t="shared" si="44"/>
        <v>3.6999999999999993</v>
      </c>
      <c r="Q314">
        <v>280</v>
      </c>
      <c r="R314">
        <f t="shared" si="47"/>
        <v>0.89999999999999991</v>
      </c>
      <c r="S314" s="18">
        <f t="shared" si="41"/>
        <v>2.4299999999999997</v>
      </c>
      <c r="T314" s="18">
        <f t="shared" si="42"/>
        <v>-0.22999999999999954</v>
      </c>
      <c r="U314" s="18">
        <f t="shared" si="46"/>
        <v>4.285000000000001</v>
      </c>
      <c r="V314" s="25" t="s">
        <v>51</v>
      </c>
      <c r="W314">
        <v>1537</v>
      </c>
      <c r="Y314">
        <f t="shared" si="45"/>
        <v>217532.09999999998</v>
      </c>
      <c r="Z314">
        <f t="shared" ref="Z314:Z358" si="49">Z313+W314</f>
        <v>3369.3</v>
      </c>
      <c r="AA314">
        <v>15.924732998746576</v>
      </c>
      <c r="AB314">
        <v>40491.699999999997</v>
      </c>
    </row>
    <row r="315" spans="1:28" x14ac:dyDescent="0.25">
      <c r="A315">
        <v>6440</v>
      </c>
      <c r="B315">
        <v>25210</v>
      </c>
      <c r="C315" s="4">
        <v>42893</v>
      </c>
      <c r="F315" s="48"/>
      <c r="G315">
        <v>14.3</v>
      </c>
      <c r="H315">
        <v>9.6999999999999993</v>
      </c>
      <c r="I315">
        <v>17.399999999999999</v>
      </c>
      <c r="J315">
        <f t="shared" si="43"/>
        <v>2500.7999999999988</v>
      </c>
      <c r="K315">
        <f t="shared" si="48"/>
        <v>44.4</v>
      </c>
      <c r="L315" s="16" t="s">
        <v>39</v>
      </c>
      <c r="M315">
        <v>0.2</v>
      </c>
      <c r="N315">
        <v>2.8</v>
      </c>
      <c r="O315">
        <f t="shared" si="40"/>
        <v>-2.5999999999999996</v>
      </c>
      <c r="P315">
        <f t="shared" si="44"/>
        <v>1.0999999999999996</v>
      </c>
      <c r="Q315">
        <v>281</v>
      </c>
      <c r="R315">
        <f t="shared" si="47"/>
        <v>0.88749999999999996</v>
      </c>
      <c r="S315" s="18">
        <f t="shared" si="41"/>
        <v>2.4849999999999999</v>
      </c>
      <c r="T315" s="18">
        <f t="shared" si="42"/>
        <v>-2.2849999999999997</v>
      </c>
      <c r="U315" s="18">
        <f t="shared" si="46"/>
        <v>2.0000000000000013</v>
      </c>
      <c r="V315">
        <v>13</v>
      </c>
      <c r="W315">
        <v>1524.7</v>
      </c>
      <c r="Y315">
        <f t="shared" si="45"/>
        <v>219056.8</v>
      </c>
      <c r="Z315">
        <f t="shared" si="49"/>
        <v>4894</v>
      </c>
      <c r="AA315">
        <v>15.946234405755435</v>
      </c>
      <c r="AB315" s="25" t="s">
        <v>57</v>
      </c>
    </row>
    <row r="316" spans="1:28" x14ac:dyDescent="0.25">
      <c r="A316">
        <v>6440</v>
      </c>
      <c r="B316">
        <v>25210</v>
      </c>
      <c r="C316" s="4">
        <v>42894</v>
      </c>
      <c r="F316" s="48"/>
      <c r="G316">
        <v>18.2</v>
      </c>
      <c r="H316">
        <v>12.4</v>
      </c>
      <c r="I316">
        <v>23.3</v>
      </c>
      <c r="J316">
        <f t="shared" si="43"/>
        <v>2518.9999999999986</v>
      </c>
      <c r="K316">
        <f t="shared" si="48"/>
        <v>62.599999999999994</v>
      </c>
      <c r="L316" s="8">
        <f>AVERAGE(G313:G333)</f>
        <v>19.104761904761908</v>
      </c>
      <c r="M316">
        <v>14.1</v>
      </c>
      <c r="N316">
        <v>3.5</v>
      </c>
      <c r="O316">
        <f t="shared" si="40"/>
        <v>10.6</v>
      </c>
      <c r="P316">
        <f t="shared" si="44"/>
        <v>11.7</v>
      </c>
      <c r="Q316">
        <v>282</v>
      </c>
      <c r="R316">
        <f t="shared" si="47"/>
        <v>0.875</v>
      </c>
      <c r="S316" s="18">
        <f t="shared" si="41"/>
        <v>3.0625</v>
      </c>
      <c r="T316" s="18">
        <f t="shared" si="42"/>
        <v>11.0375</v>
      </c>
      <c r="U316" s="18">
        <f t="shared" si="46"/>
        <v>13.037500000000001</v>
      </c>
      <c r="V316" s="25" t="s">
        <v>52</v>
      </c>
      <c r="W316">
        <v>1815.9</v>
      </c>
      <c r="Y316">
        <f t="shared" si="45"/>
        <v>220872.69999999998</v>
      </c>
      <c r="Z316">
        <f t="shared" si="49"/>
        <v>6709.9</v>
      </c>
      <c r="AA316">
        <v>15.966366383537196</v>
      </c>
      <c r="AB316">
        <f>(AB314/100)/L314</f>
        <v>1.009264705882353</v>
      </c>
    </row>
    <row r="317" spans="1:28" x14ac:dyDescent="0.25">
      <c r="A317">
        <v>6440</v>
      </c>
      <c r="B317">
        <v>25210</v>
      </c>
      <c r="C317" s="4">
        <v>42895</v>
      </c>
      <c r="F317" s="48"/>
      <c r="G317">
        <v>16.8</v>
      </c>
      <c r="H317">
        <v>15</v>
      </c>
      <c r="I317">
        <v>19.899999999999999</v>
      </c>
      <c r="J317">
        <f t="shared" si="43"/>
        <v>2535.7999999999988</v>
      </c>
      <c r="K317">
        <f t="shared" si="48"/>
        <v>79.399999999999991</v>
      </c>
      <c r="L317" s="16" t="s">
        <v>40</v>
      </c>
      <c r="M317">
        <v>0.2</v>
      </c>
      <c r="N317">
        <v>3.6</v>
      </c>
      <c r="O317">
        <f t="shared" si="40"/>
        <v>-3.4</v>
      </c>
      <c r="P317">
        <f t="shared" si="44"/>
        <v>8.2999999999999989</v>
      </c>
      <c r="Q317">
        <v>283</v>
      </c>
      <c r="R317">
        <f t="shared" si="47"/>
        <v>0.86249999999999993</v>
      </c>
      <c r="S317" s="18">
        <f t="shared" si="41"/>
        <v>3.105</v>
      </c>
      <c r="T317" s="18">
        <f t="shared" si="42"/>
        <v>-2.9049999999999998</v>
      </c>
      <c r="U317" s="18">
        <f t="shared" si="46"/>
        <v>10.132500000000002</v>
      </c>
      <c r="V317">
        <v>8</v>
      </c>
      <c r="W317">
        <v>1824.2</v>
      </c>
      <c r="Y317">
        <f t="shared" si="45"/>
        <v>222696.9</v>
      </c>
      <c r="Z317">
        <f t="shared" si="49"/>
        <v>8534.1</v>
      </c>
      <c r="AA317">
        <v>15.985111085628665</v>
      </c>
      <c r="AB317" s="25" t="s">
        <v>58</v>
      </c>
    </row>
    <row r="318" spans="1:28" x14ac:dyDescent="0.25">
      <c r="A318">
        <v>6440</v>
      </c>
      <c r="B318">
        <v>25210</v>
      </c>
      <c r="C318" s="4">
        <v>42896</v>
      </c>
      <c r="F318" s="48"/>
      <c r="G318">
        <v>19.5</v>
      </c>
      <c r="H318">
        <v>12.1</v>
      </c>
      <c r="I318">
        <v>24.8</v>
      </c>
      <c r="J318">
        <f t="shared" si="43"/>
        <v>2555.2999999999988</v>
      </c>
      <c r="K318">
        <f t="shared" si="48"/>
        <v>98.899999999999991</v>
      </c>
      <c r="L318" s="9">
        <f>MIN(H313:H333)</f>
        <v>8.6</v>
      </c>
      <c r="M318">
        <v>0</v>
      </c>
      <c r="N318">
        <v>3.9</v>
      </c>
      <c r="O318">
        <f t="shared" si="40"/>
        <v>-3.9</v>
      </c>
      <c r="P318">
        <f t="shared" si="44"/>
        <v>4.3999999999999986</v>
      </c>
      <c r="Q318">
        <v>284</v>
      </c>
      <c r="R318">
        <f t="shared" si="47"/>
        <v>0.84999999999999987</v>
      </c>
      <c r="S318" s="18">
        <f t="shared" si="41"/>
        <v>3.3149999999999995</v>
      </c>
      <c r="T318" s="18">
        <f t="shared" si="42"/>
        <v>-3.3149999999999995</v>
      </c>
      <c r="U318" s="18">
        <f t="shared" si="46"/>
        <v>6.8175000000000026</v>
      </c>
      <c r="V318" s="25" t="s">
        <v>53</v>
      </c>
      <c r="W318">
        <v>1974</v>
      </c>
      <c r="Y318">
        <f t="shared" si="45"/>
        <v>224670.9</v>
      </c>
      <c r="Z318">
        <f t="shared" si="49"/>
        <v>10508.1</v>
      </c>
      <c r="AA318">
        <v>16.00245170234863</v>
      </c>
      <c r="AB318">
        <v>1</v>
      </c>
    </row>
    <row r="319" spans="1:28" x14ac:dyDescent="0.25">
      <c r="A319">
        <v>6440</v>
      </c>
      <c r="B319">
        <v>25210</v>
      </c>
      <c r="C319" s="4">
        <v>42897</v>
      </c>
      <c r="F319" s="48"/>
      <c r="G319">
        <v>19.899999999999999</v>
      </c>
      <c r="H319">
        <v>15.7</v>
      </c>
      <c r="I319">
        <v>26.8</v>
      </c>
      <c r="J319">
        <f t="shared" si="43"/>
        <v>2575.1999999999989</v>
      </c>
      <c r="K319">
        <f t="shared" si="48"/>
        <v>118.79999999999998</v>
      </c>
      <c r="L319" s="16" t="s">
        <v>41</v>
      </c>
      <c r="M319">
        <v>0</v>
      </c>
      <c r="N319">
        <v>3.9</v>
      </c>
      <c r="O319">
        <f t="shared" si="40"/>
        <v>-3.9</v>
      </c>
      <c r="P319">
        <f t="shared" si="44"/>
        <v>0.49999999999999867</v>
      </c>
      <c r="Q319">
        <v>285</v>
      </c>
      <c r="R319">
        <f t="shared" si="47"/>
        <v>0.83749999999999991</v>
      </c>
      <c r="S319" s="18">
        <f t="shared" si="41"/>
        <v>3.2662499999999994</v>
      </c>
      <c r="T319" s="18">
        <f t="shared" si="42"/>
        <v>-3.2662499999999994</v>
      </c>
      <c r="U319" s="18">
        <f t="shared" si="46"/>
        <v>3.5512500000000031</v>
      </c>
      <c r="V319">
        <v>0</v>
      </c>
      <c r="W319">
        <v>1468.4</v>
      </c>
      <c r="Y319">
        <f t="shared" si="45"/>
        <v>226139.3</v>
      </c>
      <c r="Z319">
        <f t="shared" si="49"/>
        <v>11976.5</v>
      </c>
      <c r="AA319">
        <v>16.018372515536971</v>
      </c>
    </row>
    <row r="320" spans="1:28" x14ac:dyDescent="0.25">
      <c r="A320">
        <v>6440</v>
      </c>
      <c r="B320">
        <v>25210</v>
      </c>
      <c r="C320" s="4">
        <v>42898</v>
      </c>
      <c r="F320" s="48"/>
      <c r="G320">
        <v>14.7</v>
      </c>
      <c r="H320">
        <v>13.3</v>
      </c>
      <c r="I320">
        <v>17.399999999999999</v>
      </c>
      <c r="J320">
        <f t="shared" si="43"/>
        <v>2589.8999999999987</v>
      </c>
      <c r="K320">
        <f t="shared" si="48"/>
        <v>133.49999999999997</v>
      </c>
      <c r="L320" s="8">
        <f>MAX(I313:I333)</f>
        <v>32.9</v>
      </c>
      <c r="M320">
        <v>0</v>
      </c>
      <c r="N320">
        <v>2.9</v>
      </c>
      <c r="O320">
        <f t="shared" si="40"/>
        <v>-2.9</v>
      </c>
      <c r="P320">
        <v>0</v>
      </c>
      <c r="Q320">
        <v>286</v>
      </c>
      <c r="R320">
        <f t="shared" si="47"/>
        <v>0.82499999999999996</v>
      </c>
      <c r="S320" s="18">
        <f t="shared" si="41"/>
        <v>2.3924999999999996</v>
      </c>
      <c r="T320" s="18">
        <f t="shared" si="42"/>
        <v>-2.3924999999999996</v>
      </c>
      <c r="U320" s="18">
        <f t="shared" si="46"/>
        <v>1.1587500000000035</v>
      </c>
      <c r="V320" s="25" t="s">
        <v>54</v>
      </c>
      <c r="W320">
        <v>1370.6</v>
      </c>
      <c r="Y320">
        <f t="shared" si="45"/>
        <v>227509.9</v>
      </c>
      <c r="Z320">
        <f t="shared" si="49"/>
        <v>13347.1</v>
      </c>
      <c r="AA320">
        <v>16.032858950639476</v>
      </c>
    </row>
    <row r="321" spans="1:27" x14ac:dyDescent="0.25">
      <c r="A321">
        <v>6440</v>
      </c>
      <c r="B321">
        <v>25210</v>
      </c>
      <c r="C321" s="4">
        <v>42899</v>
      </c>
      <c r="F321" s="48"/>
      <c r="G321">
        <v>16.399999999999999</v>
      </c>
      <c r="H321">
        <v>8.6</v>
      </c>
      <c r="I321">
        <v>21.8</v>
      </c>
      <c r="J321">
        <f t="shared" si="43"/>
        <v>2606.2999999999988</v>
      </c>
      <c r="K321">
        <f t="shared" si="48"/>
        <v>149.89999999999998</v>
      </c>
      <c r="L321" s="16" t="s">
        <v>42</v>
      </c>
      <c r="M321">
        <v>0</v>
      </c>
      <c r="N321">
        <v>3.7</v>
      </c>
      <c r="O321">
        <f t="shared" si="40"/>
        <v>-3.7</v>
      </c>
      <c r="P321">
        <v>0</v>
      </c>
      <c r="Q321">
        <v>287</v>
      </c>
      <c r="R321">
        <f t="shared" si="47"/>
        <v>0.8125</v>
      </c>
      <c r="S321" s="18">
        <f t="shared" si="41"/>
        <v>3.0062500000000001</v>
      </c>
      <c r="T321" s="18">
        <f t="shared" si="42"/>
        <v>-3.0062500000000001</v>
      </c>
      <c r="U321" s="18">
        <v>0</v>
      </c>
      <c r="V321" s="18">
        <f>MAX(U313:U320)</f>
        <v>13.037500000000001</v>
      </c>
      <c r="W321">
        <v>2331.3000000000002</v>
      </c>
      <c r="Y321">
        <f t="shared" si="45"/>
        <v>229841.19999999998</v>
      </c>
      <c r="Z321">
        <f t="shared" si="49"/>
        <v>15678.400000000001</v>
      </c>
      <c r="AA321">
        <v>16.045897625782047</v>
      </c>
    </row>
    <row r="322" spans="1:27" x14ac:dyDescent="0.25">
      <c r="A322">
        <v>6440</v>
      </c>
      <c r="B322">
        <v>25210</v>
      </c>
      <c r="C322" s="4">
        <v>42900</v>
      </c>
      <c r="F322" s="48"/>
      <c r="G322">
        <v>20.8</v>
      </c>
      <c r="H322">
        <v>13.9</v>
      </c>
      <c r="I322">
        <v>26.3</v>
      </c>
      <c r="J322">
        <f t="shared" si="43"/>
        <v>2627.099999999999</v>
      </c>
      <c r="K322">
        <f t="shared" si="48"/>
        <v>170.7</v>
      </c>
      <c r="L322" s="8">
        <v>9</v>
      </c>
      <c r="M322">
        <v>0</v>
      </c>
      <c r="N322">
        <v>4.3</v>
      </c>
      <c r="O322">
        <f t="shared" si="40"/>
        <v>-4.3</v>
      </c>
      <c r="P322">
        <v>0</v>
      </c>
      <c r="Q322">
        <v>288</v>
      </c>
      <c r="R322">
        <f t="shared" si="47"/>
        <v>0.79999999999999993</v>
      </c>
      <c r="S322" s="18">
        <f t="shared" si="41"/>
        <v>3.4399999999999995</v>
      </c>
      <c r="T322" s="18">
        <f t="shared" si="42"/>
        <v>-3.4399999999999995</v>
      </c>
      <c r="U322" s="18">
        <v>0</v>
      </c>
      <c r="V322" s="25" t="s">
        <v>55</v>
      </c>
      <c r="W322">
        <v>2233.1</v>
      </c>
      <c r="Y322">
        <f t="shared" si="45"/>
        <v>232074.3</v>
      </c>
      <c r="Z322">
        <f t="shared" si="49"/>
        <v>17911.5</v>
      </c>
      <c r="AA322">
        <v>16.057476397490205</v>
      </c>
    </row>
    <row r="323" spans="1:27" x14ac:dyDescent="0.25">
      <c r="A323">
        <v>6440</v>
      </c>
      <c r="B323">
        <v>25210</v>
      </c>
      <c r="C323" s="4">
        <v>42901</v>
      </c>
      <c r="F323" s="48"/>
      <c r="G323">
        <v>19.899999999999999</v>
      </c>
      <c r="H323">
        <v>17.399999999999999</v>
      </c>
      <c r="I323">
        <v>25.1</v>
      </c>
      <c r="J323">
        <f t="shared" si="43"/>
        <v>2646.9999999999991</v>
      </c>
      <c r="K323">
        <f t="shared" si="48"/>
        <v>190.6</v>
      </c>
      <c r="L323" s="16" t="s">
        <v>43</v>
      </c>
      <c r="M323">
        <v>0</v>
      </c>
      <c r="N323">
        <v>5.2</v>
      </c>
      <c r="O323">
        <f t="shared" si="40"/>
        <v>-5.2</v>
      </c>
      <c r="P323">
        <v>0</v>
      </c>
      <c r="Q323">
        <v>289</v>
      </c>
      <c r="R323">
        <f t="shared" si="47"/>
        <v>0.78749999999999987</v>
      </c>
      <c r="S323" s="18">
        <f t="shared" si="41"/>
        <v>4.0949999999999998</v>
      </c>
      <c r="T323" s="18">
        <f t="shared" si="42"/>
        <v>-4.0949999999999998</v>
      </c>
      <c r="U323" s="18">
        <v>0</v>
      </c>
      <c r="V323" s="18">
        <f>AVERAGE(U313:U333)</f>
        <v>2.1665476190476198</v>
      </c>
      <c r="W323">
        <v>2473</v>
      </c>
      <c r="Y323">
        <f t="shared" si="45"/>
        <v>234547.3</v>
      </c>
      <c r="Z323">
        <f t="shared" si="49"/>
        <v>20384.5</v>
      </c>
      <c r="AA323">
        <v>16.067584402726531</v>
      </c>
    </row>
    <row r="324" spans="1:27" x14ac:dyDescent="0.25">
      <c r="A324">
        <v>6440</v>
      </c>
      <c r="B324">
        <v>25210</v>
      </c>
      <c r="C324" s="4">
        <v>42902</v>
      </c>
      <c r="F324" s="48"/>
      <c r="G324">
        <v>16.5</v>
      </c>
      <c r="H324">
        <v>12.3</v>
      </c>
      <c r="I324">
        <v>20.100000000000001</v>
      </c>
      <c r="J324">
        <f t="shared" si="43"/>
        <v>2663.4999999999991</v>
      </c>
      <c r="K324">
        <f t="shared" si="48"/>
        <v>207.1</v>
      </c>
      <c r="L324" s="8">
        <v>0</v>
      </c>
      <c r="M324">
        <v>0</v>
      </c>
      <c r="N324">
        <v>3.2</v>
      </c>
      <c r="O324">
        <f t="shared" si="40"/>
        <v>-3.2</v>
      </c>
      <c r="P324">
        <v>0</v>
      </c>
      <c r="Q324">
        <v>290</v>
      </c>
      <c r="R324">
        <f t="shared" si="47"/>
        <v>0.77499999999999991</v>
      </c>
      <c r="S324" s="18">
        <f t="shared" si="41"/>
        <v>2.48</v>
      </c>
      <c r="T324" s="18">
        <f t="shared" si="42"/>
        <v>-2.48</v>
      </c>
      <c r="U324" s="18">
        <v>0</v>
      </c>
      <c r="W324">
        <v>1577.9</v>
      </c>
      <c r="Y324">
        <f t="shared" si="45"/>
        <v>236125.19999999998</v>
      </c>
      <c r="Z324">
        <f t="shared" si="49"/>
        <v>21962.400000000001</v>
      </c>
      <c r="AA324">
        <v>16.07621209693874</v>
      </c>
    </row>
    <row r="325" spans="1:27" x14ac:dyDescent="0.25">
      <c r="A325">
        <v>6440</v>
      </c>
      <c r="B325">
        <v>25210</v>
      </c>
      <c r="C325" s="4">
        <v>42903</v>
      </c>
      <c r="F325" s="48"/>
      <c r="G325">
        <v>20</v>
      </c>
      <c r="H325">
        <v>11.7</v>
      </c>
      <c r="I325">
        <v>25.6</v>
      </c>
      <c r="J325">
        <f t="shared" si="43"/>
        <v>2683.4999999999991</v>
      </c>
      <c r="K325">
        <f t="shared" si="48"/>
        <v>227.1</v>
      </c>
      <c r="L325" s="16" t="s">
        <v>44</v>
      </c>
      <c r="M325">
        <v>0</v>
      </c>
      <c r="N325">
        <v>3.6</v>
      </c>
      <c r="O325">
        <f t="shared" si="40"/>
        <v>-3.6</v>
      </c>
      <c r="P325">
        <v>0</v>
      </c>
      <c r="Q325">
        <v>291</v>
      </c>
      <c r="R325">
        <f t="shared" si="47"/>
        <v>0.76249999999999996</v>
      </c>
      <c r="S325" s="18">
        <f t="shared" si="41"/>
        <v>2.7450000000000001</v>
      </c>
      <c r="T325" s="18">
        <f t="shared" si="42"/>
        <v>-2.7450000000000001</v>
      </c>
      <c r="U325" s="18">
        <v>0</v>
      </c>
      <c r="V325" s="37">
        <f>(V323*100)/189.6</f>
        <v>1.1426938919027532</v>
      </c>
      <c r="W325">
        <v>1898.2</v>
      </c>
      <c r="Y325">
        <f t="shared" si="45"/>
        <v>238023.4</v>
      </c>
      <c r="Z325">
        <f t="shared" si="49"/>
        <v>23860.600000000002</v>
      </c>
      <c r="AA325">
        <v>16.083351287835747</v>
      </c>
    </row>
    <row r="326" spans="1:27" x14ac:dyDescent="0.25">
      <c r="A326">
        <v>6440</v>
      </c>
      <c r="B326">
        <v>25210</v>
      </c>
      <c r="C326" s="4">
        <v>42904</v>
      </c>
      <c r="F326" s="48"/>
      <c r="G326">
        <v>22.3</v>
      </c>
      <c r="H326">
        <v>15.9</v>
      </c>
      <c r="I326">
        <v>27.1</v>
      </c>
      <c r="J326">
        <f t="shared" si="43"/>
        <v>2705.7999999999993</v>
      </c>
      <c r="K326">
        <f t="shared" si="48"/>
        <v>249.4</v>
      </c>
      <c r="L326" s="13">
        <v>0</v>
      </c>
      <c r="M326">
        <v>0</v>
      </c>
      <c r="N326">
        <v>5.6</v>
      </c>
      <c r="O326">
        <f t="shared" si="40"/>
        <v>-5.6</v>
      </c>
      <c r="P326">
        <v>0</v>
      </c>
      <c r="Q326">
        <v>292</v>
      </c>
      <c r="R326">
        <f t="shared" si="47"/>
        <v>0.75</v>
      </c>
      <c r="S326" s="18">
        <f t="shared" si="41"/>
        <v>4.1999999999999993</v>
      </c>
      <c r="T326" s="18">
        <f t="shared" si="42"/>
        <v>-4.1999999999999993</v>
      </c>
      <c r="U326" s="18">
        <v>0</v>
      </c>
      <c r="W326">
        <v>2675.5</v>
      </c>
      <c r="Y326">
        <f t="shared" si="45"/>
        <v>240698.9</v>
      </c>
      <c r="Z326">
        <f t="shared" si="49"/>
        <v>26536.100000000002</v>
      </c>
      <c r="AA326">
        <v>16.088995164636788</v>
      </c>
    </row>
    <row r="327" spans="1:27" x14ac:dyDescent="0.25">
      <c r="A327">
        <v>6440</v>
      </c>
      <c r="B327">
        <v>25210</v>
      </c>
      <c r="C327" s="4">
        <v>42905</v>
      </c>
      <c r="F327" s="48"/>
      <c r="G327">
        <v>23.9</v>
      </c>
      <c r="H327">
        <v>18.600000000000001</v>
      </c>
      <c r="I327">
        <v>29.3</v>
      </c>
      <c r="J327">
        <f t="shared" si="43"/>
        <v>2729.6999999999994</v>
      </c>
      <c r="K327">
        <f t="shared" si="48"/>
        <v>273.3</v>
      </c>
      <c r="M327">
        <v>0</v>
      </c>
      <c r="N327">
        <v>6.7</v>
      </c>
      <c r="O327">
        <f t="shared" si="40"/>
        <v>-6.7</v>
      </c>
      <c r="P327">
        <v>0</v>
      </c>
      <c r="Q327">
        <v>293</v>
      </c>
      <c r="R327">
        <f t="shared" si="47"/>
        <v>0.73749999999999993</v>
      </c>
      <c r="S327" s="18">
        <f t="shared" si="41"/>
        <v>4.9412499999999993</v>
      </c>
      <c r="T327" s="18">
        <f t="shared" si="42"/>
        <v>-4.9412499999999993</v>
      </c>
      <c r="U327" s="18">
        <v>0</v>
      </c>
      <c r="W327">
        <v>2930.5</v>
      </c>
      <c r="Y327">
        <f t="shared" si="45"/>
        <v>243629.4</v>
      </c>
      <c r="Z327">
        <f t="shared" si="49"/>
        <v>29466.600000000002</v>
      </c>
      <c r="AA327">
        <v>16.093138322570013</v>
      </c>
    </row>
    <row r="328" spans="1:27" x14ac:dyDescent="0.25">
      <c r="A328">
        <v>6440</v>
      </c>
      <c r="B328">
        <v>25210</v>
      </c>
      <c r="C328" s="4">
        <v>42906</v>
      </c>
      <c r="F328" s="48"/>
      <c r="G328">
        <v>23.8</v>
      </c>
      <c r="H328">
        <v>16.399999999999999</v>
      </c>
      <c r="I328">
        <v>30.6</v>
      </c>
      <c r="J328">
        <f t="shared" si="43"/>
        <v>2753.4999999999995</v>
      </c>
      <c r="K328">
        <f t="shared" si="48"/>
        <v>297.10000000000002</v>
      </c>
      <c r="M328">
        <v>0</v>
      </c>
      <c r="N328">
        <v>5.3</v>
      </c>
      <c r="O328">
        <f t="shared" si="40"/>
        <v>-5.3</v>
      </c>
      <c r="P328">
        <v>0</v>
      </c>
      <c r="Q328">
        <v>294</v>
      </c>
      <c r="R328">
        <f t="shared" si="47"/>
        <v>0.72499999999999987</v>
      </c>
      <c r="S328" s="18">
        <f t="shared" si="41"/>
        <v>3.8424999999999994</v>
      </c>
      <c r="T328" s="18">
        <f t="shared" si="42"/>
        <v>-3.8424999999999994</v>
      </c>
      <c r="U328" s="18">
        <v>0</v>
      </c>
      <c r="W328">
        <v>2330.6</v>
      </c>
      <c r="Y328">
        <f t="shared" si="45"/>
        <v>245960</v>
      </c>
      <c r="Z328">
        <f t="shared" si="49"/>
        <v>31797.200000000001</v>
      </c>
      <c r="AA328">
        <v>16.095776782431315</v>
      </c>
    </row>
    <row r="329" spans="1:27" x14ac:dyDescent="0.25">
      <c r="A329">
        <v>6440</v>
      </c>
      <c r="B329">
        <v>25210</v>
      </c>
      <c r="C329" s="4">
        <v>42907</v>
      </c>
      <c r="F329" s="48"/>
      <c r="G329">
        <v>26.5</v>
      </c>
      <c r="H329">
        <v>17.899999999999999</v>
      </c>
      <c r="I329">
        <v>32.9</v>
      </c>
      <c r="J329">
        <f t="shared" si="43"/>
        <v>2779.9999999999995</v>
      </c>
      <c r="K329">
        <f t="shared" si="48"/>
        <v>323.60000000000002</v>
      </c>
      <c r="M329">
        <v>0</v>
      </c>
      <c r="N329">
        <v>5.5</v>
      </c>
      <c r="O329">
        <f t="shared" si="40"/>
        <v>-5.5</v>
      </c>
      <c r="P329">
        <v>0</v>
      </c>
      <c r="Q329">
        <v>295</v>
      </c>
      <c r="R329">
        <f t="shared" si="47"/>
        <v>0.71249999999999991</v>
      </c>
      <c r="S329" s="18">
        <f t="shared" si="41"/>
        <v>3.9187499999999993</v>
      </c>
      <c r="T329" s="18">
        <f t="shared" si="42"/>
        <v>-3.9187499999999993</v>
      </c>
      <c r="U329" s="18">
        <v>0</v>
      </c>
      <c r="W329">
        <v>2390.4</v>
      </c>
      <c r="Y329">
        <f t="shared" si="45"/>
        <v>248350.4</v>
      </c>
      <c r="Z329">
        <f t="shared" si="49"/>
        <v>34187.599999999999</v>
      </c>
      <c r="AA329">
        <v>16.09690800505086</v>
      </c>
    </row>
    <row r="330" spans="1:27" x14ac:dyDescent="0.25">
      <c r="A330">
        <v>6440</v>
      </c>
      <c r="B330">
        <v>25210</v>
      </c>
      <c r="C330" s="4">
        <v>42908</v>
      </c>
      <c r="F330" s="48"/>
      <c r="G330">
        <v>22.6</v>
      </c>
      <c r="H330">
        <v>20.8</v>
      </c>
      <c r="I330">
        <v>30.4</v>
      </c>
      <c r="J330">
        <f t="shared" si="43"/>
        <v>2802.5999999999995</v>
      </c>
      <c r="K330">
        <f t="shared" si="48"/>
        <v>346.20000000000005</v>
      </c>
      <c r="M330">
        <v>0</v>
      </c>
      <c r="N330">
        <v>7.6</v>
      </c>
      <c r="O330">
        <f t="shared" si="40"/>
        <v>-7.6</v>
      </c>
      <c r="P330">
        <v>0</v>
      </c>
      <c r="Q330">
        <v>296</v>
      </c>
      <c r="R330">
        <f t="shared" si="47"/>
        <v>0.7</v>
      </c>
      <c r="S330" s="18">
        <f t="shared" si="41"/>
        <v>5.3199999999999994</v>
      </c>
      <c r="T330" s="18">
        <f t="shared" si="42"/>
        <v>-5.3199999999999994</v>
      </c>
      <c r="U330" s="18">
        <v>0</v>
      </c>
      <c r="W330">
        <v>3040.6</v>
      </c>
      <c r="Y330">
        <f t="shared" si="45"/>
        <v>251391</v>
      </c>
      <c r="Z330">
        <f t="shared" si="49"/>
        <v>37228.199999999997</v>
      </c>
      <c r="AA330">
        <v>16.096530900553894</v>
      </c>
    </row>
    <row r="331" spans="1:27" x14ac:dyDescent="0.25">
      <c r="A331">
        <v>6440</v>
      </c>
      <c r="B331">
        <v>25210</v>
      </c>
      <c r="C331" s="4">
        <v>42909</v>
      </c>
      <c r="F331" s="48"/>
      <c r="G331">
        <v>17.100000000000001</v>
      </c>
      <c r="H331">
        <v>13.1</v>
      </c>
      <c r="I331">
        <v>20.9</v>
      </c>
      <c r="J331">
        <f t="shared" si="43"/>
        <v>2819.6999999999994</v>
      </c>
      <c r="K331">
        <f t="shared" si="48"/>
        <v>363.30000000000007</v>
      </c>
      <c r="M331">
        <v>0</v>
      </c>
      <c r="N331">
        <v>2.7</v>
      </c>
      <c r="O331">
        <f t="shared" si="40"/>
        <v>-2.7</v>
      </c>
      <c r="P331">
        <v>0</v>
      </c>
      <c r="Q331">
        <v>297</v>
      </c>
      <c r="R331">
        <f t="shared" si="47"/>
        <v>0.6875</v>
      </c>
      <c r="S331" s="18">
        <f t="shared" si="41"/>
        <v>1.8562500000000002</v>
      </c>
      <c r="T331" s="18">
        <f t="shared" si="42"/>
        <v>-1.8562500000000002</v>
      </c>
      <c r="U331" s="18">
        <v>0</v>
      </c>
      <c r="W331">
        <v>1017.4</v>
      </c>
      <c r="Y331">
        <f t="shared" si="45"/>
        <v>252408.4</v>
      </c>
      <c r="Z331">
        <f t="shared" si="49"/>
        <v>38245.599999999999</v>
      </c>
      <c r="AA331">
        <v>16.094645832342735</v>
      </c>
    </row>
    <row r="332" spans="1:27" x14ac:dyDescent="0.25">
      <c r="A332">
        <v>6440</v>
      </c>
      <c r="B332">
        <v>25210</v>
      </c>
      <c r="C332" s="4">
        <v>42910</v>
      </c>
      <c r="F332" s="48"/>
      <c r="G332">
        <v>19</v>
      </c>
      <c r="H332">
        <v>12.7</v>
      </c>
      <c r="I332">
        <v>23.5</v>
      </c>
      <c r="J332">
        <f t="shared" si="43"/>
        <v>2838.6999999999994</v>
      </c>
      <c r="K332">
        <f t="shared" si="48"/>
        <v>382.30000000000007</v>
      </c>
      <c r="M332">
        <v>0.2</v>
      </c>
      <c r="N332">
        <v>3.4</v>
      </c>
      <c r="O332">
        <f t="shared" si="40"/>
        <v>-3.1999999999999997</v>
      </c>
      <c r="P332">
        <v>0</v>
      </c>
      <c r="Q332">
        <v>298</v>
      </c>
      <c r="R332">
        <f t="shared" si="47"/>
        <v>0.67499999999999993</v>
      </c>
      <c r="S332" s="18">
        <f t="shared" si="41"/>
        <v>2.2949999999999999</v>
      </c>
      <c r="T332" s="18">
        <f t="shared" si="42"/>
        <v>-2.0949999999999998</v>
      </c>
      <c r="U332" s="18">
        <v>0</v>
      </c>
      <c r="W332">
        <v>1355.9</v>
      </c>
      <c r="Y332">
        <f t="shared" si="45"/>
        <v>253764.3</v>
      </c>
      <c r="Z332">
        <f t="shared" si="49"/>
        <v>39601.5</v>
      </c>
      <c r="AA332">
        <v>16.091254615768591</v>
      </c>
    </row>
    <row r="333" spans="1:27" s="26" customFormat="1" ht="15.75" thickBot="1" x14ac:dyDescent="0.3">
      <c r="A333" s="26">
        <v>6440</v>
      </c>
      <c r="B333" s="26">
        <v>25210</v>
      </c>
      <c r="C333" s="27">
        <v>42911</v>
      </c>
      <c r="F333" s="48"/>
      <c r="G333" s="26">
        <v>18.899999999999999</v>
      </c>
      <c r="H333" s="26">
        <v>16.3</v>
      </c>
      <c r="I333" s="26">
        <v>21.9</v>
      </c>
      <c r="J333" s="26">
        <f t="shared" si="43"/>
        <v>2857.5999999999995</v>
      </c>
      <c r="K333" s="26">
        <f t="shared" si="48"/>
        <v>401.20000000000005</v>
      </c>
      <c r="M333" s="26">
        <v>0</v>
      </c>
      <c r="N333" s="26">
        <v>2.6</v>
      </c>
      <c r="O333" s="26">
        <f t="shared" si="40"/>
        <v>-2.6</v>
      </c>
      <c r="P333" s="26">
        <v>0</v>
      </c>
      <c r="Q333" s="26">
        <v>299</v>
      </c>
      <c r="R333">
        <f t="shared" si="47"/>
        <v>0.66249999999999998</v>
      </c>
      <c r="S333" s="28">
        <f t="shared" si="41"/>
        <v>1.7224999999999999</v>
      </c>
      <c r="T333" s="28">
        <f t="shared" si="42"/>
        <v>-1.7224999999999999</v>
      </c>
      <c r="U333" s="18">
        <v>0</v>
      </c>
      <c r="W333" s="26">
        <v>890.2</v>
      </c>
      <c r="Y333" s="26">
        <f t="shared" si="45"/>
        <v>254654.5</v>
      </c>
      <c r="Z333" s="26">
        <f t="shared" si="49"/>
        <v>40491.699999999997</v>
      </c>
      <c r="AA333" s="26">
        <v>16.086360511503578</v>
      </c>
    </row>
    <row r="334" spans="1:27" s="31" customFormat="1" x14ac:dyDescent="0.25">
      <c r="A334" s="31">
        <v>6440</v>
      </c>
      <c r="B334" s="31">
        <v>25210</v>
      </c>
      <c r="C334" s="32">
        <v>42912</v>
      </c>
      <c r="D334" s="17"/>
      <c r="E334" s="17"/>
      <c r="F334" s="17"/>
      <c r="G334" s="31">
        <v>20.2</v>
      </c>
      <c r="H334" s="31">
        <v>15.5</v>
      </c>
      <c r="I334" s="31">
        <v>24.4</v>
      </c>
      <c r="J334" s="31">
        <f t="shared" si="43"/>
        <v>2877.7999999999993</v>
      </c>
      <c r="K334">
        <f t="shared" si="48"/>
        <v>421.40000000000003</v>
      </c>
      <c r="M334" s="31">
        <v>0</v>
      </c>
      <c r="N334" s="31">
        <v>4.4000000000000004</v>
      </c>
      <c r="O334" s="31">
        <f t="shared" si="40"/>
        <v>-4.4000000000000004</v>
      </c>
      <c r="P334" s="31">
        <v>0</v>
      </c>
      <c r="Q334" s="31">
        <v>300</v>
      </c>
      <c r="R334">
        <f t="shared" si="47"/>
        <v>0.64999999999999991</v>
      </c>
      <c r="S334" s="33">
        <f t="shared" si="41"/>
        <v>2.86</v>
      </c>
      <c r="T334" s="33">
        <f t="shared" si="42"/>
        <v>-2.86</v>
      </c>
      <c r="U334" s="18">
        <v>0</v>
      </c>
      <c r="W334" s="31">
        <v>2149.1999999999998</v>
      </c>
      <c r="Y334" s="31">
        <f t="shared" si="45"/>
        <v>256803.7</v>
      </c>
      <c r="Z334">
        <f t="shared" si="49"/>
        <v>42640.899999999994</v>
      </c>
      <c r="AA334" s="31">
        <v>16.079968213665381</v>
      </c>
    </row>
    <row r="335" spans="1:27" x14ac:dyDescent="0.25">
      <c r="A335">
        <v>6440</v>
      </c>
      <c r="B335">
        <v>25210</v>
      </c>
      <c r="C335" s="4">
        <v>42913</v>
      </c>
      <c r="G335">
        <v>18.8</v>
      </c>
      <c r="H335">
        <v>16</v>
      </c>
      <c r="I335">
        <v>22</v>
      </c>
      <c r="J335">
        <f t="shared" si="43"/>
        <v>2896.5999999999995</v>
      </c>
      <c r="K335">
        <f t="shared" si="48"/>
        <v>440.20000000000005</v>
      </c>
      <c r="M335">
        <v>6.3</v>
      </c>
      <c r="N335">
        <v>2.2000000000000002</v>
      </c>
      <c r="O335">
        <f t="shared" si="40"/>
        <v>4.0999999999999996</v>
      </c>
      <c r="P335">
        <f t="shared" si="44"/>
        <v>4.0999999999999996</v>
      </c>
      <c r="Q335">
        <v>301</v>
      </c>
      <c r="R335">
        <f t="shared" si="47"/>
        <v>0.63749999999999996</v>
      </c>
      <c r="S335" s="18">
        <f t="shared" si="41"/>
        <v>1.4025000000000001</v>
      </c>
      <c r="T335" s="18">
        <f t="shared" si="42"/>
        <v>4.8975</v>
      </c>
      <c r="U335" s="18">
        <f t="shared" si="46"/>
        <v>4.8975</v>
      </c>
      <c r="W335">
        <v>999.1</v>
      </c>
      <c r="Y335">
        <f t="shared" si="45"/>
        <v>257802.80000000002</v>
      </c>
      <c r="Z335">
        <f t="shared" si="49"/>
        <v>43639.999999999993</v>
      </c>
      <c r="AA335">
        <v>16.072083832787914</v>
      </c>
    </row>
    <row r="336" spans="1:27" x14ac:dyDescent="0.25">
      <c r="A336">
        <v>6440</v>
      </c>
      <c r="B336">
        <v>25210</v>
      </c>
      <c r="C336" s="4">
        <v>42914</v>
      </c>
      <c r="G336">
        <v>18.3</v>
      </c>
      <c r="H336">
        <v>16.5</v>
      </c>
      <c r="I336">
        <v>22.3</v>
      </c>
      <c r="J336">
        <f t="shared" si="43"/>
        <v>2914.8999999999996</v>
      </c>
      <c r="K336">
        <f t="shared" si="48"/>
        <v>458.50000000000006</v>
      </c>
      <c r="M336">
        <v>7.8</v>
      </c>
      <c r="N336">
        <v>2.8</v>
      </c>
      <c r="O336">
        <f t="shared" si="40"/>
        <v>5</v>
      </c>
      <c r="P336">
        <f t="shared" si="44"/>
        <v>9.1</v>
      </c>
      <c r="Q336">
        <v>302</v>
      </c>
      <c r="R336">
        <f t="shared" si="47"/>
        <v>0.625</v>
      </c>
      <c r="S336" s="18">
        <f t="shared" si="41"/>
        <v>1.75</v>
      </c>
      <c r="T336" s="18">
        <f t="shared" si="42"/>
        <v>6.05</v>
      </c>
      <c r="U336" s="18">
        <f t="shared" si="46"/>
        <v>10.9475</v>
      </c>
      <c r="W336">
        <v>1153.2</v>
      </c>
      <c r="Y336">
        <f t="shared" si="45"/>
        <v>258956.00000000003</v>
      </c>
      <c r="Z336">
        <f t="shared" si="49"/>
        <v>44793.19999999999</v>
      </c>
      <c r="AA336">
        <v>16.062714873771188</v>
      </c>
    </row>
    <row r="337" spans="1:27" x14ac:dyDescent="0.25">
      <c r="A337">
        <v>6440</v>
      </c>
      <c r="B337">
        <v>25210</v>
      </c>
      <c r="C337" s="4">
        <v>42915</v>
      </c>
      <c r="G337">
        <v>16.8</v>
      </c>
      <c r="H337">
        <v>13.8</v>
      </c>
      <c r="I337">
        <v>19.899999999999999</v>
      </c>
      <c r="J337">
        <f t="shared" si="43"/>
        <v>2931.7</v>
      </c>
      <c r="K337">
        <f t="shared" si="48"/>
        <v>475.30000000000007</v>
      </c>
      <c r="M337">
        <v>0</v>
      </c>
      <c r="N337">
        <v>2.8</v>
      </c>
      <c r="O337">
        <f t="shared" si="40"/>
        <v>-2.8</v>
      </c>
      <c r="P337">
        <f t="shared" si="44"/>
        <v>6.3</v>
      </c>
      <c r="Q337">
        <v>303</v>
      </c>
      <c r="R337">
        <f t="shared" si="47"/>
        <v>0.61249999999999993</v>
      </c>
      <c r="S337" s="18">
        <f t="shared" si="41"/>
        <v>1.7149999999999996</v>
      </c>
      <c r="T337" s="18">
        <f t="shared" si="42"/>
        <v>-1.7149999999999996</v>
      </c>
      <c r="U337" s="18">
        <f t="shared" si="46"/>
        <v>9.2324999999999999</v>
      </c>
      <c r="W337">
        <v>1331</v>
      </c>
      <c r="Y337">
        <f t="shared" si="45"/>
        <v>260287.00000000003</v>
      </c>
      <c r="Z337">
        <f t="shared" si="49"/>
        <v>46124.19999999999</v>
      </c>
      <c r="AA337">
        <v>16.05187020898158</v>
      </c>
    </row>
    <row r="338" spans="1:27" x14ac:dyDescent="0.25">
      <c r="A338">
        <v>6440</v>
      </c>
      <c r="B338">
        <v>25210</v>
      </c>
      <c r="C338" s="4">
        <v>42916</v>
      </c>
      <c r="G338">
        <v>17</v>
      </c>
      <c r="H338">
        <v>14.5</v>
      </c>
      <c r="I338">
        <v>20</v>
      </c>
      <c r="J338">
        <f t="shared" si="43"/>
        <v>2948.7</v>
      </c>
      <c r="K338">
        <f t="shared" si="48"/>
        <v>492.30000000000007</v>
      </c>
      <c r="M338">
        <v>4.0999999999999996</v>
      </c>
      <c r="N338">
        <v>1.9</v>
      </c>
      <c r="O338">
        <f t="shared" si="40"/>
        <v>2.1999999999999997</v>
      </c>
      <c r="P338">
        <f t="shared" si="44"/>
        <v>8.5</v>
      </c>
      <c r="Q338">
        <v>304</v>
      </c>
      <c r="R338">
        <f t="shared" si="47"/>
        <v>0.6</v>
      </c>
      <c r="S338" s="18">
        <f t="shared" si="41"/>
        <v>1.1399999999999999</v>
      </c>
      <c r="T338" s="18">
        <f t="shared" si="42"/>
        <v>2.96</v>
      </c>
      <c r="U338" s="18">
        <f t="shared" si="46"/>
        <v>12.192499999999999</v>
      </c>
      <c r="W338">
        <v>843.5</v>
      </c>
      <c r="Y338">
        <f t="shared" si="45"/>
        <v>261130.50000000003</v>
      </c>
      <c r="Z338">
        <f t="shared" si="49"/>
        <v>46967.69999999999</v>
      </c>
      <c r="AA338">
        <v>16.03956004670928</v>
      </c>
    </row>
    <row r="339" spans="1:27" x14ac:dyDescent="0.25">
      <c r="A339">
        <v>6440</v>
      </c>
      <c r="B339">
        <v>25210</v>
      </c>
      <c r="C339" s="4">
        <v>42917</v>
      </c>
      <c r="G339">
        <v>16.600000000000001</v>
      </c>
      <c r="H339">
        <v>14.8</v>
      </c>
      <c r="I339">
        <v>21</v>
      </c>
      <c r="J339">
        <f t="shared" si="43"/>
        <v>2965.2999999999997</v>
      </c>
      <c r="K339">
        <f t="shared" si="48"/>
        <v>508.90000000000009</v>
      </c>
      <c r="M339">
        <v>8.3000000000000007</v>
      </c>
      <c r="N339">
        <v>2.7</v>
      </c>
      <c r="O339">
        <f t="shared" si="40"/>
        <v>5.6000000000000005</v>
      </c>
      <c r="P339">
        <f t="shared" si="44"/>
        <v>14.100000000000001</v>
      </c>
      <c r="Q339">
        <v>305</v>
      </c>
      <c r="R339">
        <f t="shared" si="47"/>
        <v>0.58749999999999991</v>
      </c>
      <c r="S339" s="18">
        <f t="shared" si="41"/>
        <v>1.5862499999999999</v>
      </c>
      <c r="T339" s="18">
        <f t="shared" si="42"/>
        <v>6.713750000000001</v>
      </c>
      <c r="U339" s="18">
        <f t="shared" si="46"/>
        <v>18.90625</v>
      </c>
      <c r="W339">
        <v>1160.9000000000001</v>
      </c>
      <c r="Y339">
        <f t="shared" si="45"/>
        <v>262291.40000000002</v>
      </c>
      <c r="Z339">
        <f t="shared" si="49"/>
        <v>48128.599999999991</v>
      </c>
      <c r="AA339">
        <v>16.025795895222497</v>
      </c>
    </row>
    <row r="340" spans="1:27" x14ac:dyDescent="0.25">
      <c r="A340">
        <v>6440</v>
      </c>
      <c r="B340">
        <v>25210</v>
      </c>
      <c r="C340" s="4">
        <v>42918</v>
      </c>
      <c r="G340">
        <v>16.100000000000001</v>
      </c>
      <c r="H340">
        <v>12.7</v>
      </c>
      <c r="I340">
        <v>20.6</v>
      </c>
      <c r="J340">
        <f t="shared" si="43"/>
        <v>2981.3999999999996</v>
      </c>
      <c r="K340">
        <f t="shared" si="48"/>
        <v>525.00000000000011</v>
      </c>
      <c r="M340">
        <v>0.8</v>
      </c>
      <c r="N340">
        <v>1.9</v>
      </c>
      <c r="O340">
        <f t="shared" si="40"/>
        <v>-1.0999999999999999</v>
      </c>
      <c r="P340">
        <f t="shared" si="44"/>
        <v>13.000000000000002</v>
      </c>
      <c r="Q340">
        <v>306</v>
      </c>
      <c r="R340">
        <f t="shared" si="47"/>
        <v>0.57499999999999996</v>
      </c>
      <c r="S340" s="18">
        <f t="shared" si="41"/>
        <v>1.0924999999999998</v>
      </c>
      <c r="T340" s="18">
        <f t="shared" si="42"/>
        <v>-0.29249999999999976</v>
      </c>
      <c r="U340" s="18">
        <f t="shared" si="46"/>
        <v>18.61375</v>
      </c>
      <c r="W340">
        <v>925.9</v>
      </c>
      <c r="Y340">
        <f t="shared" si="45"/>
        <v>263217.30000000005</v>
      </c>
      <c r="Z340">
        <f t="shared" si="49"/>
        <v>49054.499999999993</v>
      </c>
      <c r="AA340">
        <v>16.010590522687796</v>
      </c>
    </row>
    <row r="341" spans="1:27" x14ac:dyDescent="0.25">
      <c r="A341">
        <v>6440</v>
      </c>
      <c r="B341">
        <v>25210</v>
      </c>
      <c r="C341" s="4">
        <v>42919</v>
      </c>
      <c r="G341">
        <v>16.100000000000001</v>
      </c>
      <c r="H341">
        <v>10.9</v>
      </c>
      <c r="I341">
        <v>20</v>
      </c>
      <c r="J341">
        <f t="shared" si="43"/>
        <v>2997.4999999999995</v>
      </c>
      <c r="K341">
        <f t="shared" si="48"/>
        <v>541.10000000000014</v>
      </c>
      <c r="M341">
        <v>0.2</v>
      </c>
      <c r="N341">
        <v>2.1</v>
      </c>
      <c r="O341">
        <f t="shared" si="40"/>
        <v>-1.9000000000000001</v>
      </c>
      <c r="P341">
        <f t="shared" si="44"/>
        <v>11.100000000000001</v>
      </c>
      <c r="Q341">
        <v>307</v>
      </c>
      <c r="R341">
        <f t="shared" si="47"/>
        <v>0.5625</v>
      </c>
      <c r="S341" s="18">
        <f t="shared" si="41"/>
        <v>1.1812500000000001</v>
      </c>
      <c r="T341" s="18">
        <f t="shared" si="42"/>
        <v>-0.98125000000000018</v>
      </c>
      <c r="U341" s="18">
        <f t="shared" si="46"/>
        <v>17.6325</v>
      </c>
      <c r="W341">
        <v>1124.7</v>
      </c>
      <c r="Y341">
        <f t="shared" si="45"/>
        <v>264342.00000000006</v>
      </c>
      <c r="Z341">
        <f t="shared" si="49"/>
        <v>50179.19999999999</v>
      </c>
      <c r="AA341">
        <v>15.99395791325183</v>
      </c>
    </row>
    <row r="342" spans="1:27" x14ac:dyDescent="0.25">
      <c r="A342">
        <v>6440</v>
      </c>
      <c r="B342">
        <v>25210</v>
      </c>
      <c r="C342" s="4">
        <v>42920</v>
      </c>
      <c r="G342">
        <v>19.2</v>
      </c>
      <c r="H342">
        <v>12.1</v>
      </c>
      <c r="I342">
        <v>25</v>
      </c>
      <c r="J342">
        <f t="shared" si="43"/>
        <v>3016.6999999999994</v>
      </c>
      <c r="K342">
        <f t="shared" si="48"/>
        <v>560.30000000000018</v>
      </c>
      <c r="M342">
        <v>0</v>
      </c>
      <c r="N342">
        <v>4.8</v>
      </c>
      <c r="O342">
        <f t="shared" si="40"/>
        <v>-4.8</v>
      </c>
      <c r="P342">
        <f t="shared" si="44"/>
        <v>6.3000000000000016</v>
      </c>
      <c r="Q342">
        <v>308</v>
      </c>
      <c r="R342">
        <f t="shared" si="47"/>
        <v>0.54999999999999993</v>
      </c>
      <c r="S342" s="18">
        <f t="shared" si="41"/>
        <v>2.6399999999999997</v>
      </c>
      <c r="T342" s="18">
        <f t="shared" si="42"/>
        <v>-2.6399999999999997</v>
      </c>
      <c r="U342" s="18">
        <f t="shared" si="46"/>
        <v>14.9925</v>
      </c>
      <c r="W342">
        <v>2539.6999999999998</v>
      </c>
      <c r="Y342">
        <f t="shared" si="45"/>
        <v>266881.70000000007</v>
      </c>
      <c r="Z342">
        <f t="shared" si="49"/>
        <v>52718.899999999987</v>
      </c>
      <c r="AA342">
        <v>15.975913219602422</v>
      </c>
    </row>
    <row r="343" spans="1:27" x14ac:dyDescent="0.25">
      <c r="A343">
        <v>6440</v>
      </c>
      <c r="B343">
        <v>25210</v>
      </c>
      <c r="C343" s="4">
        <v>42921</v>
      </c>
      <c r="G343">
        <v>22.3</v>
      </c>
      <c r="H343">
        <v>14.8</v>
      </c>
      <c r="I343">
        <v>28.6</v>
      </c>
      <c r="J343">
        <f t="shared" si="43"/>
        <v>3038.9999999999995</v>
      </c>
      <c r="K343">
        <f t="shared" si="48"/>
        <v>582.60000000000014</v>
      </c>
      <c r="M343">
        <v>0</v>
      </c>
      <c r="N343">
        <v>5.6</v>
      </c>
      <c r="O343">
        <f t="shared" si="40"/>
        <v>-5.6</v>
      </c>
      <c r="P343">
        <f t="shared" si="44"/>
        <v>0.70000000000000195</v>
      </c>
      <c r="Q343">
        <v>309</v>
      </c>
      <c r="R343">
        <f t="shared" si="47"/>
        <v>0.53749999999999998</v>
      </c>
      <c r="S343" s="18">
        <f t="shared" si="41"/>
        <v>3.01</v>
      </c>
      <c r="T343" s="18">
        <f t="shared" si="42"/>
        <v>-3.01</v>
      </c>
      <c r="U343" s="18">
        <f t="shared" si="46"/>
        <v>11.9825</v>
      </c>
      <c r="W343">
        <v>2703.2</v>
      </c>
      <c r="Y343">
        <f t="shared" si="45"/>
        <v>269584.90000000008</v>
      </c>
      <c r="Z343">
        <f t="shared" si="49"/>
        <v>55422.099999999984</v>
      </c>
      <c r="AA343">
        <v>15.956472712345207</v>
      </c>
    </row>
    <row r="344" spans="1:27" x14ac:dyDescent="0.25">
      <c r="A344">
        <v>6440</v>
      </c>
      <c r="B344">
        <v>25210</v>
      </c>
      <c r="C344" s="4">
        <v>42922</v>
      </c>
      <c r="G344">
        <v>21.6</v>
      </c>
      <c r="H344">
        <v>19.3</v>
      </c>
      <c r="I344">
        <v>27.8</v>
      </c>
      <c r="J344">
        <f t="shared" si="43"/>
        <v>3060.5999999999995</v>
      </c>
      <c r="K344">
        <f t="shared" si="48"/>
        <v>604.20000000000016</v>
      </c>
      <c r="M344">
        <v>3.6</v>
      </c>
      <c r="N344">
        <v>4.0999999999999996</v>
      </c>
      <c r="O344">
        <f t="shared" si="40"/>
        <v>-0.49999999999999956</v>
      </c>
      <c r="P344">
        <f t="shared" si="44"/>
        <v>0.2000000000000024</v>
      </c>
      <c r="Q344">
        <v>310</v>
      </c>
      <c r="R344">
        <f t="shared" si="47"/>
        <v>0.52499999999999991</v>
      </c>
      <c r="S344" s="18">
        <f t="shared" si="41"/>
        <v>2.1524999999999994</v>
      </c>
      <c r="T344" s="18">
        <f t="shared" si="42"/>
        <v>1.4475000000000007</v>
      </c>
      <c r="U344" s="18">
        <f t="shared" si="46"/>
        <v>13.43</v>
      </c>
      <c r="W344">
        <v>1638.7</v>
      </c>
      <c r="Y344">
        <f t="shared" si="45"/>
        <v>271223.60000000009</v>
      </c>
      <c r="Z344">
        <f t="shared" si="49"/>
        <v>57060.799999999981</v>
      </c>
      <c r="AA344">
        <v>15.935653726546491</v>
      </c>
    </row>
    <row r="345" spans="1:27" x14ac:dyDescent="0.25">
      <c r="A345">
        <v>6440</v>
      </c>
      <c r="B345">
        <v>25210</v>
      </c>
      <c r="C345" s="4">
        <v>42923</v>
      </c>
      <c r="G345">
        <v>22.6</v>
      </c>
      <c r="H345">
        <v>17.600000000000001</v>
      </c>
      <c r="I345">
        <v>28.6</v>
      </c>
      <c r="J345">
        <f t="shared" si="43"/>
        <v>3083.1999999999994</v>
      </c>
      <c r="K345">
        <f t="shared" si="48"/>
        <v>626.80000000000018</v>
      </c>
      <c r="M345">
        <v>0</v>
      </c>
      <c r="N345">
        <v>6.1</v>
      </c>
      <c r="O345">
        <f t="shared" si="40"/>
        <v>-6.1</v>
      </c>
      <c r="P345">
        <v>0</v>
      </c>
      <c r="Q345">
        <v>311</v>
      </c>
      <c r="R345">
        <f t="shared" si="47"/>
        <v>0.51249999999999996</v>
      </c>
      <c r="S345" s="18">
        <f t="shared" si="41"/>
        <v>3.1262499999999998</v>
      </c>
      <c r="T345" s="18">
        <f t="shared" si="42"/>
        <v>-3.1262499999999998</v>
      </c>
      <c r="U345" s="18">
        <f t="shared" si="46"/>
        <v>10.303750000000001</v>
      </c>
      <c r="W345">
        <v>2637.4</v>
      </c>
      <c r="Y345">
        <f t="shared" si="45"/>
        <v>273861.00000000012</v>
      </c>
      <c r="Z345">
        <f t="shared" si="49"/>
        <v>59698.199999999983</v>
      </c>
      <c r="AA345">
        <v>15.913474605803408</v>
      </c>
    </row>
    <row r="346" spans="1:27" x14ac:dyDescent="0.25">
      <c r="A346">
        <v>6440</v>
      </c>
      <c r="B346">
        <v>25210</v>
      </c>
      <c r="C346" s="4">
        <v>42924</v>
      </c>
      <c r="G346">
        <v>21</v>
      </c>
      <c r="H346">
        <v>14.5</v>
      </c>
      <c r="I346">
        <v>25.4</v>
      </c>
      <c r="J346">
        <f t="shared" si="43"/>
        <v>3104.1999999999994</v>
      </c>
      <c r="K346">
        <f t="shared" si="48"/>
        <v>647.80000000000018</v>
      </c>
      <c r="M346">
        <v>0</v>
      </c>
      <c r="N346">
        <v>4.4000000000000004</v>
      </c>
      <c r="O346">
        <f t="shared" si="40"/>
        <v>-4.4000000000000004</v>
      </c>
      <c r="P346">
        <v>0</v>
      </c>
      <c r="Q346">
        <v>312</v>
      </c>
      <c r="R346">
        <f t="shared" si="47"/>
        <v>0.5</v>
      </c>
      <c r="S346" s="18">
        <f t="shared" si="41"/>
        <v>2.2000000000000002</v>
      </c>
      <c r="T346" s="18">
        <f t="shared" si="42"/>
        <v>-2.2000000000000002</v>
      </c>
      <c r="U346" s="18">
        <f t="shared" si="46"/>
        <v>8.1037500000000016</v>
      </c>
      <c r="W346">
        <v>2312</v>
      </c>
      <c r="Y346">
        <f t="shared" si="45"/>
        <v>276173.00000000012</v>
      </c>
      <c r="Z346">
        <f t="shared" si="49"/>
        <v>62010.199999999983</v>
      </c>
      <c r="AA346">
        <v>15.889954644208601</v>
      </c>
    </row>
    <row r="347" spans="1:27" x14ac:dyDescent="0.25">
      <c r="A347">
        <v>6440</v>
      </c>
      <c r="B347">
        <v>25210</v>
      </c>
      <c r="C347" s="4">
        <v>42925</v>
      </c>
      <c r="G347">
        <v>22</v>
      </c>
      <c r="H347">
        <v>16.5</v>
      </c>
      <c r="I347">
        <v>26.8</v>
      </c>
      <c r="J347">
        <f t="shared" si="43"/>
        <v>3126.1999999999994</v>
      </c>
      <c r="K347">
        <f t="shared" si="48"/>
        <v>669.80000000000018</v>
      </c>
      <c r="M347">
        <v>3.1</v>
      </c>
      <c r="N347">
        <v>4.9000000000000004</v>
      </c>
      <c r="O347">
        <f t="shared" si="40"/>
        <v>-1.8000000000000003</v>
      </c>
      <c r="P347">
        <v>0</v>
      </c>
      <c r="Q347">
        <v>313</v>
      </c>
      <c r="R347">
        <f t="shared" si="47"/>
        <v>0.48749999999999993</v>
      </c>
      <c r="S347" s="18">
        <f t="shared" si="41"/>
        <v>2.3887499999999999</v>
      </c>
      <c r="T347" s="18">
        <f t="shared" si="42"/>
        <v>0.71125000000000016</v>
      </c>
      <c r="U347" s="18">
        <f t="shared" si="46"/>
        <v>8.8150000000000013</v>
      </c>
      <c r="W347">
        <v>2350.4</v>
      </c>
      <c r="Y347">
        <f t="shared" si="45"/>
        <v>278523.40000000014</v>
      </c>
      <c r="Z347">
        <f t="shared" si="49"/>
        <v>64360.599999999984</v>
      </c>
      <c r="AA347">
        <v>15.865114026579162</v>
      </c>
    </row>
    <row r="348" spans="1:27" x14ac:dyDescent="0.25">
      <c r="A348">
        <v>6440</v>
      </c>
      <c r="B348">
        <v>25210</v>
      </c>
      <c r="C348" s="4">
        <v>42926</v>
      </c>
      <c r="G348">
        <v>18.100000000000001</v>
      </c>
      <c r="H348">
        <v>16.600000000000001</v>
      </c>
      <c r="I348">
        <v>21</v>
      </c>
      <c r="J348">
        <f t="shared" si="43"/>
        <v>3144.2999999999993</v>
      </c>
      <c r="K348">
        <f t="shared" si="48"/>
        <v>687.9000000000002</v>
      </c>
      <c r="M348">
        <v>12.9</v>
      </c>
      <c r="N348">
        <v>2.1</v>
      </c>
      <c r="O348">
        <f t="shared" si="40"/>
        <v>10.8</v>
      </c>
      <c r="P348">
        <f t="shared" si="44"/>
        <v>10.8</v>
      </c>
      <c r="Q348">
        <v>314</v>
      </c>
      <c r="R348">
        <f t="shared" si="47"/>
        <v>0.47499999999999998</v>
      </c>
      <c r="S348" s="18">
        <f t="shared" si="41"/>
        <v>0.99749999999999994</v>
      </c>
      <c r="T348" s="18">
        <f t="shared" si="42"/>
        <v>11.9025</v>
      </c>
      <c r="U348" s="18">
        <f t="shared" si="46"/>
        <v>20.717500000000001</v>
      </c>
      <c r="W348">
        <v>912.7</v>
      </c>
      <c r="Y348">
        <f t="shared" si="45"/>
        <v>279436.10000000015</v>
      </c>
      <c r="Z348">
        <f t="shared" si="49"/>
        <v>65273.299999999981</v>
      </c>
      <c r="AA348">
        <v>15.838973767318015</v>
      </c>
    </row>
    <row r="349" spans="1:27" x14ac:dyDescent="0.25">
      <c r="A349">
        <v>6440</v>
      </c>
      <c r="B349">
        <v>25210</v>
      </c>
      <c r="C349" s="4">
        <v>42927</v>
      </c>
      <c r="G349">
        <v>18.399999999999999</v>
      </c>
      <c r="H349">
        <v>13.5</v>
      </c>
      <c r="I349">
        <v>21.4</v>
      </c>
      <c r="J349">
        <f t="shared" si="43"/>
        <v>3162.6999999999994</v>
      </c>
      <c r="K349">
        <f t="shared" si="48"/>
        <v>706.30000000000018</v>
      </c>
      <c r="M349">
        <v>0.8</v>
      </c>
      <c r="N349">
        <v>2.7</v>
      </c>
      <c r="O349">
        <f t="shared" si="40"/>
        <v>-1.9000000000000001</v>
      </c>
      <c r="P349">
        <f t="shared" si="44"/>
        <v>8.9</v>
      </c>
      <c r="Q349">
        <v>315</v>
      </c>
      <c r="R349">
        <f t="shared" si="47"/>
        <v>0.46250000000000002</v>
      </c>
      <c r="S349" s="18">
        <f t="shared" si="41"/>
        <v>1.2487500000000002</v>
      </c>
      <c r="T349" s="18">
        <f t="shared" si="42"/>
        <v>-0.4487500000000002</v>
      </c>
      <c r="U349" s="18">
        <f t="shared" si="46"/>
        <v>20.268750000000001</v>
      </c>
      <c r="W349">
        <v>1149.8</v>
      </c>
      <c r="Y349">
        <f t="shared" si="45"/>
        <v>280585.90000000014</v>
      </c>
      <c r="Z349">
        <f t="shared" si="49"/>
        <v>66423.099999999977</v>
      </c>
      <c r="AA349">
        <v>15.811555648271012</v>
      </c>
    </row>
    <row r="350" spans="1:27" x14ac:dyDescent="0.25">
      <c r="A350">
        <v>6440</v>
      </c>
      <c r="B350">
        <v>25210</v>
      </c>
      <c r="C350" s="4">
        <v>42928</v>
      </c>
      <c r="G350">
        <v>17.3</v>
      </c>
      <c r="H350">
        <v>17.100000000000001</v>
      </c>
      <c r="I350">
        <v>19.8</v>
      </c>
      <c r="J350">
        <f t="shared" si="43"/>
        <v>3179.9999999999995</v>
      </c>
      <c r="K350">
        <f t="shared" si="48"/>
        <v>723.60000000000014</v>
      </c>
      <c r="M350">
        <v>0.6</v>
      </c>
      <c r="N350">
        <v>2.6</v>
      </c>
      <c r="O350">
        <f t="shared" si="40"/>
        <v>-2</v>
      </c>
      <c r="P350">
        <f t="shared" si="44"/>
        <v>6.9</v>
      </c>
      <c r="Q350">
        <v>316</v>
      </c>
      <c r="R350">
        <f t="shared" si="47"/>
        <v>0.44999999999999996</v>
      </c>
      <c r="S350" s="18">
        <f t="shared" si="41"/>
        <v>1.17</v>
      </c>
      <c r="T350" s="18">
        <f t="shared" si="42"/>
        <v>-0.56999999999999995</v>
      </c>
      <c r="U350" s="18">
        <f t="shared" si="46"/>
        <v>19.69875</v>
      </c>
      <c r="W350">
        <v>862.5</v>
      </c>
      <c r="Y350">
        <f t="shared" si="45"/>
        <v>281448.40000000014</v>
      </c>
      <c r="Z350">
        <f t="shared" si="49"/>
        <v>67285.599999999977</v>
      </c>
      <c r="AA350">
        <v>15.782882155934777</v>
      </c>
    </row>
    <row r="351" spans="1:27" x14ac:dyDescent="0.25">
      <c r="A351">
        <v>6440</v>
      </c>
      <c r="B351">
        <v>25210</v>
      </c>
      <c r="C351" s="4">
        <v>42929</v>
      </c>
      <c r="G351">
        <v>17.5</v>
      </c>
      <c r="H351">
        <v>10.4</v>
      </c>
      <c r="I351">
        <v>22.6</v>
      </c>
      <c r="J351">
        <f t="shared" si="43"/>
        <v>3197.4999999999995</v>
      </c>
      <c r="K351">
        <f t="shared" si="48"/>
        <v>741.10000000000014</v>
      </c>
      <c r="M351">
        <v>0</v>
      </c>
      <c r="N351">
        <v>4.0999999999999996</v>
      </c>
      <c r="O351">
        <f t="shared" si="40"/>
        <v>-4.0999999999999996</v>
      </c>
      <c r="P351">
        <f t="shared" si="44"/>
        <v>2.8000000000000007</v>
      </c>
      <c r="Q351">
        <v>317</v>
      </c>
      <c r="R351">
        <f t="shared" si="47"/>
        <v>0.4375</v>
      </c>
      <c r="S351" s="18">
        <f t="shared" si="41"/>
        <v>1.7937499999999997</v>
      </c>
      <c r="T351" s="18">
        <f t="shared" si="42"/>
        <v>-1.7937499999999997</v>
      </c>
      <c r="U351" s="18">
        <f t="shared" si="46"/>
        <v>17.905000000000001</v>
      </c>
      <c r="W351">
        <v>2256.6</v>
      </c>
      <c r="Y351">
        <f t="shared" si="45"/>
        <v>283705.00000000012</v>
      </c>
      <c r="Z351">
        <f t="shared" si="49"/>
        <v>69542.199999999983</v>
      </c>
      <c r="AA351">
        <v>15.752976418358898</v>
      </c>
    </row>
    <row r="352" spans="1:27" x14ac:dyDescent="0.25">
      <c r="A352">
        <v>6440</v>
      </c>
      <c r="B352">
        <v>25210</v>
      </c>
      <c r="C352" s="4">
        <v>42930</v>
      </c>
      <c r="G352">
        <v>16.7</v>
      </c>
      <c r="H352">
        <v>13.7</v>
      </c>
      <c r="I352">
        <v>21.1</v>
      </c>
      <c r="J352">
        <f t="shared" si="43"/>
        <v>3214.1999999999994</v>
      </c>
      <c r="K352">
        <f t="shared" si="48"/>
        <v>757.80000000000018</v>
      </c>
      <c r="M352">
        <v>0</v>
      </c>
      <c r="N352">
        <v>4.2</v>
      </c>
      <c r="O352">
        <f t="shared" si="40"/>
        <v>-4.2</v>
      </c>
      <c r="P352">
        <v>0</v>
      </c>
      <c r="Q352">
        <v>318</v>
      </c>
      <c r="R352">
        <f t="shared" si="47"/>
        <v>0.42499999999999993</v>
      </c>
      <c r="S352" s="18">
        <f t="shared" si="41"/>
        <v>1.7849999999999997</v>
      </c>
      <c r="T352" s="18">
        <f t="shared" si="42"/>
        <v>-1.7849999999999997</v>
      </c>
      <c r="U352" s="18">
        <f t="shared" si="46"/>
        <v>16.12</v>
      </c>
      <c r="W352">
        <v>2108.1999999999998</v>
      </c>
      <c r="Y352">
        <f t="shared" si="45"/>
        <v>285813.20000000013</v>
      </c>
      <c r="Z352">
        <f t="shared" si="49"/>
        <v>71650.39999999998</v>
      </c>
      <c r="AA352">
        <v>15.721862142072323</v>
      </c>
    </row>
    <row r="353" spans="1:27" x14ac:dyDescent="0.25">
      <c r="A353">
        <v>6440</v>
      </c>
      <c r="B353">
        <v>25210</v>
      </c>
      <c r="C353" s="4">
        <v>42931</v>
      </c>
      <c r="G353">
        <v>17.899999999999999</v>
      </c>
      <c r="H353">
        <v>11.4</v>
      </c>
      <c r="I353">
        <v>23.1</v>
      </c>
      <c r="J353">
        <f t="shared" si="43"/>
        <v>3232.0999999999995</v>
      </c>
      <c r="K353">
        <f t="shared" si="48"/>
        <v>775.70000000000016</v>
      </c>
      <c r="M353">
        <v>0</v>
      </c>
      <c r="N353">
        <v>2.6</v>
      </c>
      <c r="O353">
        <f t="shared" si="40"/>
        <v>-2.6</v>
      </c>
      <c r="P353">
        <v>0</v>
      </c>
      <c r="Q353">
        <v>319</v>
      </c>
      <c r="R353">
        <f t="shared" si="47"/>
        <v>0.41249999999999998</v>
      </c>
      <c r="S353" s="18">
        <f t="shared" si="41"/>
        <v>1.0725</v>
      </c>
      <c r="T353" s="18">
        <f t="shared" si="42"/>
        <v>-1.0725</v>
      </c>
      <c r="U353" s="18">
        <f t="shared" si="46"/>
        <v>15.047500000000001</v>
      </c>
      <c r="W353">
        <v>1166.4000000000001</v>
      </c>
      <c r="Y353">
        <f t="shared" si="45"/>
        <v>286979.60000000015</v>
      </c>
      <c r="Z353">
        <f t="shared" si="49"/>
        <v>72816.799999999974</v>
      </c>
      <c r="AA353">
        <v>15.689563549347412</v>
      </c>
    </row>
    <row r="354" spans="1:27" x14ac:dyDescent="0.25">
      <c r="A354">
        <v>6440</v>
      </c>
      <c r="B354">
        <v>25210</v>
      </c>
      <c r="C354" s="4">
        <v>42932</v>
      </c>
      <c r="G354">
        <v>20.3</v>
      </c>
      <c r="H354">
        <v>17.3</v>
      </c>
      <c r="I354">
        <v>24.6</v>
      </c>
      <c r="J354">
        <f t="shared" si="43"/>
        <v>3252.3999999999996</v>
      </c>
      <c r="K354">
        <f t="shared" si="48"/>
        <v>796.00000000000011</v>
      </c>
      <c r="M354">
        <v>0</v>
      </c>
      <c r="N354">
        <v>3.8</v>
      </c>
      <c r="O354">
        <f t="shared" si="40"/>
        <v>-3.8</v>
      </c>
      <c r="P354">
        <v>0</v>
      </c>
      <c r="Q354">
        <v>320</v>
      </c>
      <c r="R354">
        <f t="shared" si="47"/>
        <v>0.4</v>
      </c>
      <c r="S354" s="18">
        <f t="shared" si="41"/>
        <v>1.52</v>
      </c>
      <c r="T354" s="18">
        <f t="shared" si="42"/>
        <v>-1.52</v>
      </c>
      <c r="U354" s="18">
        <f t="shared" si="46"/>
        <v>13.527500000000002</v>
      </c>
      <c r="W354">
        <v>1719.1</v>
      </c>
      <c r="Y354">
        <f t="shared" si="45"/>
        <v>288698.70000000013</v>
      </c>
      <c r="Z354">
        <f t="shared" si="49"/>
        <v>74535.89999999998</v>
      </c>
      <c r="AA354">
        <v>15.656105316096825</v>
      </c>
    </row>
    <row r="355" spans="1:27" x14ac:dyDescent="0.25">
      <c r="A355">
        <v>6440</v>
      </c>
      <c r="B355">
        <v>25210</v>
      </c>
      <c r="C355" s="4">
        <v>42933</v>
      </c>
      <c r="G355">
        <v>20.5</v>
      </c>
      <c r="H355">
        <v>14.7</v>
      </c>
      <c r="I355">
        <v>25.2</v>
      </c>
      <c r="J355">
        <f t="shared" si="43"/>
        <v>3272.8999999999996</v>
      </c>
      <c r="K355">
        <f t="shared" si="48"/>
        <v>816.50000000000011</v>
      </c>
      <c r="M355">
        <v>0</v>
      </c>
      <c r="N355">
        <v>3</v>
      </c>
      <c r="O355">
        <f t="shared" si="40"/>
        <v>-3</v>
      </c>
      <c r="P355">
        <v>0</v>
      </c>
      <c r="Q355">
        <v>321</v>
      </c>
      <c r="R355">
        <f t="shared" si="47"/>
        <v>0.38749999999999996</v>
      </c>
      <c r="S355" s="18">
        <f t="shared" si="41"/>
        <v>1.1624999999999999</v>
      </c>
      <c r="T355" s="18">
        <f t="shared" si="42"/>
        <v>-1.1624999999999999</v>
      </c>
      <c r="U355" s="18">
        <f t="shared" si="46"/>
        <v>12.365000000000002</v>
      </c>
      <c r="W355">
        <v>1538.2</v>
      </c>
      <c r="Y355">
        <f t="shared" si="45"/>
        <v>290236.90000000014</v>
      </c>
      <c r="Z355">
        <f t="shared" si="49"/>
        <v>76074.099999999977</v>
      </c>
      <c r="AA355">
        <v>15.621512510678734</v>
      </c>
    </row>
    <row r="356" spans="1:27" x14ac:dyDescent="0.25">
      <c r="A356">
        <v>6440</v>
      </c>
      <c r="B356">
        <v>25210</v>
      </c>
      <c r="C356" s="4">
        <v>42934</v>
      </c>
      <c r="G356">
        <v>24.6</v>
      </c>
      <c r="H356">
        <v>17.899999999999999</v>
      </c>
      <c r="I356">
        <v>30.5</v>
      </c>
      <c r="J356">
        <f t="shared" si="43"/>
        <v>3297.4999999999995</v>
      </c>
      <c r="K356">
        <f t="shared" si="48"/>
        <v>841.10000000000014</v>
      </c>
      <c r="M356">
        <v>0</v>
      </c>
      <c r="N356">
        <v>6.2</v>
      </c>
      <c r="O356">
        <f t="shared" ref="O356:O358" si="50">M356-N356</f>
        <v>-6.2</v>
      </c>
      <c r="P356">
        <v>0</v>
      </c>
      <c r="Q356">
        <v>322</v>
      </c>
      <c r="R356">
        <f t="shared" si="47"/>
        <v>0.375</v>
      </c>
      <c r="S356" s="18">
        <f t="shared" ref="S356:S358" si="51">R356*N356</f>
        <v>2.3250000000000002</v>
      </c>
      <c r="T356" s="18">
        <f t="shared" ref="T356:T358" si="52">M356-S356</f>
        <v>-2.3250000000000002</v>
      </c>
      <c r="U356" s="18">
        <f t="shared" si="46"/>
        <v>10.040000000000003</v>
      </c>
      <c r="W356">
        <v>2430.4</v>
      </c>
      <c r="Y356">
        <f t="shared" si="45"/>
        <v>292667.30000000016</v>
      </c>
      <c r="Z356">
        <f t="shared" si="49"/>
        <v>78504.499999999971</v>
      </c>
      <c r="AA356">
        <v>15.585810533864501</v>
      </c>
    </row>
    <row r="357" spans="1:27" x14ac:dyDescent="0.25">
      <c r="A357">
        <v>6440</v>
      </c>
      <c r="B357">
        <v>25210</v>
      </c>
      <c r="C357" s="4">
        <v>42935</v>
      </c>
      <c r="G357">
        <v>24.5</v>
      </c>
      <c r="H357">
        <v>20.6</v>
      </c>
      <c r="I357">
        <v>27.1</v>
      </c>
      <c r="J357">
        <f t="shared" ref="J357:J358" si="53">J356+G357</f>
        <v>3321.9999999999995</v>
      </c>
      <c r="K357">
        <f t="shared" si="48"/>
        <v>865.60000000000014</v>
      </c>
      <c r="M357">
        <v>1.1000000000000001</v>
      </c>
      <c r="N357">
        <v>3.8</v>
      </c>
      <c r="O357">
        <f t="shared" si="50"/>
        <v>-2.6999999999999997</v>
      </c>
      <c r="P357">
        <v>0</v>
      </c>
      <c r="Q357">
        <v>323</v>
      </c>
      <c r="R357">
        <f t="shared" si="47"/>
        <v>0.36249999999999993</v>
      </c>
      <c r="S357" s="18">
        <f t="shared" si="51"/>
        <v>1.3774999999999997</v>
      </c>
      <c r="T357" s="18">
        <f t="shared" si="52"/>
        <v>-0.27749999999999964</v>
      </c>
      <c r="U357" s="18">
        <f t="shared" si="46"/>
        <v>9.7625000000000028</v>
      </c>
      <c r="W357">
        <v>1209.9000000000001</v>
      </c>
      <c r="Y357">
        <f t="shared" ref="Y357:Y358" si="54">Y356+W357</f>
        <v>293877.20000000019</v>
      </c>
      <c r="Z357">
        <f t="shared" si="49"/>
        <v>79714.399999999965</v>
      </c>
      <c r="AA357">
        <v>15.549025060201229</v>
      </c>
    </row>
    <row r="358" spans="1:27" x14ac:dyDescent="0.25">
      <c r="A358">
        <v>6440</v>
      </c>
      <c r="B358">
        <v>25210</v>
      </c>
      <c r="C358" s="4">
        <v>42936</v>
      </c>
      <c r="G358">
        <v>18.3</v>
      </c>
      <c r="H358">
        <v>18.7</v>
      </c>
      <c r="I358">
        <v>20.3</v>
      </c>
      <c r="J358">
        <f t="shared" si="53"/>
        <v>3340.2999999999997</v>
      </c>
      <c r="K358">
        <f t="shared" si="48"/>
        <v>883.90000000000009</v>
      </c>
      <c r="M358">
        <v>0.5</v>
      </c>
      <c r="N358">
        <v>3.3</v>
      </c>
      <c r="O358">
        <f t="shared" si="50"/>
        <v>-2.8</v>
      </c>
      <c r="P358">
        <v>0</v>
      </c>
      <c r="Q358">
        <v>324</v>
      </c>
      <c r="R358">
        <f t="shared" si="47"/>
        <v>0.35</v>
      </c>
      <c r="S358" s="18">
        <f t="shared" si="51"/>
        <v>1.1549999999999998</v>
      </c>
      <c r="T358" s="18">
        <f t="shared" si="52"/>
        <v>-0.6549999999999998</v>
      </c>
      <c r="U358" s="18">
        <f t="shared" si="46"/>
        <v>9.1075000000000035</v>
      </c>
      <c r="W358">
        <v>1425.2</v>
      </c>
      <c r="Y358">
        <f t="shared" si="54"/>
        <v>295302.4000000002</v>
      </c>
      <c r="Z358">
        <f t="shared" si="49"/>
        <v>81139.599999999962</v>
      </c>
      <c r="AA358">
        <v>15.5111819809787</v>
      </c>
    </row>
    <row r="359" spans="1:27" s="5" customFormat="1" x14ac:dyDescent="0.25">
      <c r="A359" s="38" t="s">
        <v>34</v>
      </c>
      <c r="B359" s="38"/>
      <c r="C359" s="38"/>
      <c r="D359" s="38"/>
      <c r="E359" s="38"/>
      <c r="F359" s="38"/>
    </row>
    <row r="360" spans="1:27" x14ac:dyDescent="0.25">
      <c r="A360">
        <v>6440</v>
      </c>
      <c r="B360">
        <v>25210</v>
      </c>
      <c r="C360" s="4">
        <v>42937</v>
      </c>
      <c r="G360">
        <v>18.600000000000001</v>
      </c>
      <c r="H360">
        <v>10.6</v>
      </c>
      <c r="I360">
        <v>24.3</v>
      </c>
      <c r="M360">
        <v>0</v>
      </c>
      <c r="N360">
        <v>4.5</v>
      </c>
      <c r="W360">
        <v>2283.4</v>
      </c>
    </row>
    <row r="361" spans="1:27" x14ac:dyDescent="0.25">
      <c r="A361">
        <v>6440</v>
      </c>
      <c r="B361">
        <v>25210</v>
      </c>
      <c r="C361" s="4">
        <v>42938</v>
      </c>
      <c r="G361">
        <v>16.899999999999999</v>
      </c>
      <c r="H361">
        <v>13.5</v>
      </c>
      <c r="I361">
        <v>20.100000000000001</v>
      </c>
      <c r="M361">
        <v>2.6</v>
      </c>
      <c r="N361">
        <v>3.4</v>
      </c>
      <c r="W361">
        <v>1937.9</v>
      </c>
    </row>
    <row r="362" spans="1:27" x14ac:dyDescent="0.25">
      <c r="A362">
        <v>6440</v>
      </c>
      <c r="B362">
        <v>25210</v>
      </c>
      <c r="C362" s="4">
        <v>42939</v>
      </c>
      <c r="G362">
        <v>15.2</v>
      </c>
      <c r="H362">
        <v>12.2</v>
      </c>
      <c r="I362">
        <v>17.600000000000001</v>
      </c>
      <c r="M362">
        <v>3.9</v>
      </c>
      <c r="N362">
        <v>2.2000000000000002</v>
      </c>
      <c r="W362">
        <v>1449.4</v>
      </c>
    </row>
    <row r="363" spans="1:27" x14ac:dyDescent="0.25">
      <c r="A363">
        <v>6440</v>
      </c>
      <c r="B363">
        <v>25210</v>
      </c>
      <c r="C363" s="4">
        <v>42940</v>
      </c>
      <c r="G363">
        <v>15.9</v>
      </c>
      <c r="H363">
        <v>13.8</v>
      </c>
      <c r="I363">
        <v>17.7</v>
      </c>
      <c r="M363">
        <v>4.5</v>
      </c>
      <c r="N363">
        <v>1.4</v>
      </c>
      <c r="W363">
        <v>790</v>
      </c>
    </row>
    <row r="364" spans="1:27" x14ac:dyDescent="0.25">
      <c r="A364">
        <v>6440</v>
      </c>
      <c r="B364">
        <v>25210</v>
      </c>
      <c r="C364" s="4">
        <v>42941</v>
      </c>
      <c r="G364">
        <v>16.899999999999999</v>
      </c>
      <c r="H364">
        <v>15.1</v>
      </c>
      <c r="I364">
        <v>19.3</v>
      </c>
      <c r="M364">
        <v>0.5</v>
      </c>
      <c r="N364">
        <v>2.9</v>
      </c>
      <c r="W364">
        <v>1587.2</v>
      </c>
    </row>
    <row r="365" spans="1:27" x14ac:dyDescent="0.25">
      <c r="A365">
        <v>6440</v>
      </c>
      <c r="B365">
        <v>25210</v>
      </c>
      <c r="C365" s="4">
        <v>42942</v>
      </c>
      <c r="G365">
        <v>17.899999999999999</v>
      </c>
      <c r="H365">
        <v>12.2</v>
      </c>
      <c r="I365">
        <v>23.8</v>
      </c>
      <c r="M365">
        <v>1.3</v>
      </c>
      <c r="N365">
        <v>2.8</v>
      </c>
      <c r="W365">
        <v>1261</v>
      </c>
    </row>
    <row r="366" spans="1:27" x14ac:dyDescent="0.25">
      <c r="A366">
        <v>6440</v>
      </c>
      <c r="B366">
        <v>25210</v>
      </c>
      <c r="C366" s="4">
        <v>42943</v>
      </c>
      <c r="G366">
        <v>17.5</v>
      </c>
      <c r="H366">
        <v>15.6</v>
      </c>
      <c r="I366">
        <v>20.100000000000001</v>
      </c>
      <c r="M366">
        <v>0</v>
      </c>
      <c r="N366">
        <v>3.5</v>
      </c>
      <c r="W366">
        <v>1888.8</v>
      </c>
    </row>
    <row r="367" spans="1:27" x14ac:dyDescent="0.25">
      <c r="A367">
        <v>6440</v>
      </c>
      <c r="B367">
        <v>25210</v>
      </c>
      <c r="C367" s="4">
        <v>42944</v>
      </c>
      <c r="G367">
        <v>18.2</v>
      </c>
      <c r="H367">
        <v>11.4</v>
      </c>
      <c r="I367">
        <v>22.3</v>
      </c>
      <c r="M367">
        <v>0</v>
      </c>
      <c r="N367">
        <v>3.4</v>
      </c>
      <c r="W367">
        <v>1532.9</v>
      </c>
    </row>
    <row r="368" spans="1:27" x14ac:dyDescent="0.25">
      <c r="A368">
        <v>6440</v>
      </c>
      <c r="B368">
        <v>25210</v>
      </c>
      <c r="C368" s="4">
        <v>42945</v>
      </c>
      <c r="G368">
        <v>22.3</v>
      </c>
      <c r="H368">
        <v>18.2</v>
      </c>
      <c r="I368">
        <v>26.3</v>
      </c>
      <c r="M368">
        <v>0</v>
      </c>
      <c r="N368">
        <v>4.2</v>
      </c>
      <c r="W368">
        <v>1293.4000000000001</v>
      </c>
    </row>
    <row r="369" spans="1:23" x14ac:dyDescent="0.25">
      <c r="A369">
        <v>6440</v>
      </c>
      <c r="B369">
        <v>25210</v>
      </c>
      <c r="C369" s="4">
        <v>42946</v>
      </c>
      <c r="G369">
        <v>20.8</v>
      </c>
      <c r="H369">
        <v>20.5</v>
      </c>
      <c r="I369">
        <v>23</v>
      </c>
      <c r="M369">
        <v>0</v>
      </c>
      <c r="N369">
        <v>5.2</v>
      </c>
      <c r="W369">
        <v>1808.7</v>
      </c>
    </row>
    <row r="370" spans="1:23" x14ac:dyDescent="0.25">
      <c r="A370">
        <v>6440</v>
      </c>
      <c r="B370">
        <v>25210</v>
      </c>
      <c r="C370" s="4">
        <v>42947</v>
      </c>
      <c r="G370">
        <v>18.5</v>
      </c>
      <c r="H370">
        <v>15.1</v>
      </c>
      <c r="I370">
        <v>22.2</v>
      </c>
      <c r="M370">
        <v>0</v>
      </c>
      <c r="N370">
        <v>3.2</v>
      </c>
      <c r="W370">
        <v>1592.3</v>
      </c>
    </row>
    <row r="371" spans="1:23" x14ac:dyDescent="0.25">
      <c r="A371">
        <v>6440</v>
      </c>
      <c r="B371">
        <v>25210</v>
      </c>
      <c r="C371" s="4">
        <v>42948</v>
      </c>
      <c r="G371">
        <v>18.3</v>
      </c>
      <c r="H371">
        <v>13.1</v>
      </c>
      <c r="I371">
        <v>23.4</v>
      </c>
      <c r="M371">
        <v>0</v>
      </c>
      <c r="N371">
        <v>2.2000000000000002</v>
      </c>
      <c r="W371">
        <v>1066.7</v>
      </c>
    </row>
    <row r="372" spans="1:23" x14ac:dyDescent="0.25">
      <c r="A372">
        <v>6440</v>
      </c>
      <c r="B372">
        <v>25210</v>
      </c>
      <c r="C372" s="4">
        <v>42949</v>
      </c>
      <c r="G372">
        <v>18.899999999999999</v>
      </c>
      <c r="H372">
        <v>13.9</v>
      </c>
      <c r="I372">
        <v>22.6</v>
      </c>
      <c r="M372">
        <v>2.7</v>
      </c>
      <c r="N372">
        <v>2.5</v>
      </c>
      <c r="W372">
        <v>1151.0999999999999</v>
      </c>
    </row>
    <row r="373" spans="1:23" x14ac:dyDescent="0.25">
      <c r="A373">
        <v>6440</v>
      </c>
      <c r="B373">
        <v>25210</v>
      </c>
      <c r="C373" s="4">
        <v>42950</v>
      </c>
      <c r="G373">
        <v>20.2</v>
      </c>
      <c r="H373">
        <v>17.100000000000001</v>
      </c>
      <c r="I373">
        <v>23.5</v>
      </c>
      <c r="M373">
        <v>0.3</v>
      </c>
      <c r="N373">
        <v>3.3</v>
      </c>
      <c r="W373">
        <v>873.3</v>
      </c>
    </row>
    <row r="374" spans="1:23" x14ac:dyDescent="0.25">
      <c r="A374">
        <v>6440</v>
      </c>
      <c r="B374">
        <v>25210</v>
      </c>
      <c r="C374" s="4">
        <v>42951</v>
      </c>
      <c r="G374">
        <v>19.2</v>
      </c>
      <c r="H374">
        <v>16.600000000000001</v>
      </c>
      <c r="I374">
        <v>22.1</v>
      </c>
      <c r="M374">
        <v>8.6999999999999993</v>
      </c>
      <c r="N374">
        <v>3.4</v>
      </c>
      <c r="W374">
        <v>1430.9</v>
      </c>
    </row>
    <row r="375" spans="1:23" x14ac:dyDescent="0.25">
      <c r="A375">
        <v>6440</v>
      </c>
      <c r="B375">
        <v>25210</v>
      </c>
      <c r="C375" s="4">
        <v>42952</v>
      </c>
      <c r="G375">
        <v>16.8</v>
      </c>
      <c r="H375">
        <v>15</v>
      </c>
      <c r="I375">
        <v>20</v>
      </c>
      <c r="M375">
        <v>0</v>
      </c>
      <c r="N375">
        <v>3</v>
      </c>
      <c r="W375">
        <v>1386</v>
      </c>
    </row>
    <row r="376" spans="1:23" x14ac:dyDescent="0.25">
      <c r="A376">
        <v>6440</v>
      </c>
      <c r="B376">
        <v>25210</v>
      </c>
      <c r="C376" s="4">
        <v>42953</v>
      </c>
      <c r="G376">
        <v>15.7</v>
      </c>
      <c r="H376">
        <v>11.3</v>
      </c>
      <c r="I376">
        <v>21.4</v>
      </c>
      <c r="M376">
        <v>0</v>
      </c>
      <c r="N376">
        <v>4</v>
      </c>
      <c r="W376">
        <v>2079.1</v>
      </c>
    </row>
    <row r="377" spans="1:23" x14ac:dyDescent="0.25">
      <c r="A377">
        <v>6440</v>
      </c>
      <c r="B377">
        <v>25210</v>
      </c>
      <c r="C377" s="4">
        <v>42954</v>
      </c>
      <c r="G377">
        <v>17</v>
      </c>
      <c r="H377">
        <v>9.1999999999999993</v>
      </c>
      <c r="I377">
        <v>23.2</v>
      </c>
      <c r="M377">
        <v>0</v>
      </c>
      <c r="N377">
        <v>3.5</v>
      </c>
      <c r="W377">
        <v>1961.9</v>
      </c>
    </row>
    <row r="378" spans="1:23" x14ac:dyDescent="0.25">
      <c r="A378">
        <v>6440</v>
      </c>
      <c r="B378">
        <v>25210</v>
      </c>
      <c r="C378" s="4">
        <v>42955</v>
      </c>
      <c r="G378">
        <v>15.2</v>
      </c>
      <c r="H378">
        <v>14</v>
      </c>
      <c r="I378">
        <v>19.100000000000001</v>
      </c>
      <c r="M378">
        <v>4.4000000000000004</v>
      </c>
      <c r="N378">
        <v>2.6</v>
      </c>
      <c r="W378">
        <v>1301.4000000000001</v>
      </c>
    </row>
    <row r="379" spans="1:23" x14ac:dyDescent="0.25">
      <c r="A379">
        <v>6440</v>
      </c>
      <c r="B379">
        <v>25210</v>
      </c>
      <c r="C379" s="4">
        <v>42956</v>
      </c>
      <c r="G379">
        <v>14.6</v>
      </c>
      <c r="H379">
        <v>10.9</v>
      </c>
      <c r="I379">
        <v>19.399999999999999</v>
      </c>
      <c r="M379">
        <v>0.5</v>
      </c>
      <c r="N379">
        <v>2.8</v>
      </c>
      <c r="W379">
        <v>1547.2</v>
      </c>
    </row>
    <row r="380" spans="1:23" x14ac:dyDescent="0.25">
      <c r="A380">
        <v>6440</v>
      </c>
      <c r="B380">
        <v>25210</v>
      </c>
      <c r="C380" s="4">
        <v>42957</v>
      </c>
      <c r="G380">
        <v>14.5</v>
      </c>
      <c r="H380">
        <v>11.4</v>
      </c>
      <c r="I380">
        <v>18.3</v>
      </c>
      <c r="M380">
        <v>2.2000000000000002</v>
      </c>
      <c r="N380">
        <v>2.5</v>
      </c>
      <c r="W380">
        <v>1556.8</v>
      </c>
    </row>
    <row r="381" spans="1:23" x14ac:dyDescent="0.25">
      <c r="A381">
        <v>6440</v>
      </c>
      <c r="B381">
        <v>25210</v>
      </c>
      <c r="C381" s="4">
        <v>42958</v>
      </c>
      <c r="G381">
        <v>16.5</v>
      </c>
      <c r="H381">
        <v>13.8</v>
      </c>
      <c r="I381">
        <v>19.899999999999999</v>
      </c>
      <c r="M381">
        <v>1.2</v>
      </c>
      <c r="N381">
        <v>2.9</v>
      </c>
      <c r="W381">
        <v>1519</v>
      </c>
    </row>
    <row r="382" spans="1:23" x14ac:dyDescent="0.25">
      <c r="A382">
        <v>6440</v>
      </c>
      <c r="B382">
        <v>25210</v>
      </c>
      <c r="C382" s="4">
        <v>42959</v>
      </c>
      <c r="G382">
        <v>15.8</v>
      </c>
      <c r="H382">
        <v>14.3</v>
      </c>
      <c r="I382">
        <v>17.899999999999999</v>
      </c>
      <c r="M382">
        <v>4.3</v>
      </c>
      <c r="N382">
        <v>1.2</v>
      </c>
      <c r="W382">
        <v>524.20000000000005</v>
      </c>
    </row>
    <row r="383" spans="1:23" x14ac:dyDescent="0.25">
      <c r="A383">
        <v>6440</v>
      </c>
      <c r="B383">
        <v>25210</v>
      </c>
      <c r="C383" s="4">
        <v>42960</v>
      </c>
      <c r="G383">
        <v>17.399999999999999</v>
      </c>
      <c r="H383">
        <v>12.4</v>
      </c>
      <c r="I383">
        <v>21.8</v>
      </c>
      <c r="M383">
        <v>0</v>
      </c>
      <c r="N383">
        <v>2.2999999999999998</v>
      </c>
      <c r="W383">
        <v>1117.9000000000001</v>
      </c>
    </row>
    <row r="384" spans="1:23" x14ac:dyDescent="0.25">
      <c r="A384">
        <v>6440</v>
      </c>
      <c r="B384">
        <v>25210</v>
      </c>
      <c r="C384" s="4">
        <v>42961</v>
      </c>
      <c r="G384">
        <v>18.5</v>
      </c>
      <c r="H384">
        <v>13</v>
      </c>
      <c r="I384">
        <v>23.1</v>
      </c>
      <c r="M384">
        <v>8</v>
      </c>
      <c r="N384">
        <v>2.6</v>
      </c>
      <c r="W384">
        <v>1281.3</v>
      </c>
    </row>
    <row r="385" spans="1:23" x14ac:dyDescent="0.25">
      <c r="A385">
        <v>6440</v>
      </c>
      <c r="B385">
        <v>25210</v>
      </c>
      <c r="C385" s="4">
        <v>42962</v>
      </c>
      <c r="G385">
        <v>18.7</v>
      </c>
      <c r="H385">
        <v>16.100000000000001</v>
      </c>
      <c r="I385">
        <v>23.1</v>
      </c>
      <c r="M385">
        <v>0</v>
      </c>
      <c r="N385">
        <v>3.1</v>
      </c>
      <c r="W385">
        <v>1560.8</v>
      </c>
    </row>
    <row r="386" spans="1:23" x14ac:dyDescent="0.25">
      <c r="A386">
        <v>6440</v>
      </c>
      <c r="B386">
        <v>25210</v>
      </c>
      <c r="C386" s="4">
        <v>42963</v>
      </c>
      <c r="G386">
        <v>18</v>
      </c>
      <c r="H386">
        <v>12.3</v>
      </c>
      <c r="I386">
        <v>22.6</v>
      </c>
      <c r="M386">
        <v>0</v>
      </c>
      <c r="N386">
        <v>2.6</v>
      </c>
      <c r="W386">
        <v>1379.1</v>
      </c>
    </row>
    <row r="387" spans="1:23" x14ac:dyDescent="0.25">
      <c r="A387">
        <v>6440</v>
      </c>
      <c r="B387">
        <v>25210</v>
      </c>
      <c r="C387" s="4">
        <v>42964</v>
      </c>
      <c r="G387">
        <v>19.100000000000001</v>
      </c>
      <c r="H387">
        <v>17</v>
      </c>
      <c r="I387">
        <v>20.9</v>
      </c>
      <c r="M387">
        <v>11.2</v>
      </c>
      <c r="N387">
        <v>1.4</v>
      </c>
      <c r="W387">
        <v>773.3</v>
      </c>
    </row>
    <row r="388" spans="1:23" x14ac:dyDescent="0.25">
      <c r="A388">
        <v>6440</v>
      </c>
      <c r="B388">
        <v>25210</v>
      </c>
      <c r="C388" s="4">
        <v>42965</v>
      </c>
      <c r="G388">
        <v>17.100000000000001</v>
      </c>
      <c r="H388">
        <v>16.899999999999999</v>
      </c>
      <c r="I388">
        <v>19.399999999999999</v>
      </c>
      <c r="M388">
        <v>2.1</v>
      </c>
      <c r="N388">
        <v>1.7</v>
      </c>
      <c r="W388">
        <v>611.4</v>
      </c>
    </row>
    <row r="389" spans="1:23" x14ac:dyDescent="0.25">
      <c r="A389">
        <v>6440</v>
      </c>
      <c r="B389">
        <v>25210</v>
      </c>
      <c r="C389" s="4">
        <v>42966</v>
      </c>
      <c r="G389">
        <v>15.3</v>
      </c>
      <c r="H389">
        <v>11.6</v>
      </c>
      <c r="I389">
        <v>18.8</v>
      </c>
      <c r="M389">
        <v>1.5</v>
      </c>
      <c r="N389">
        <v>2.8</v>
      </c>
      <c r="W389">
        <v>1633</v>
      </c>
    </row>
    <row r="390" spans="1:23" x14ac:dyDescent="0.25">
      <c r="A390">
        <v>6440</v>
      </c>
      <c r="B390">
        <v>25210</v>
      </c>
      <c r="C390" s="4">
        <v>42967</v>
      </c>
      <c r="G390">
        <v>15.6</v>
      </c>
      <c r="H390">
        <v>10.8</v>
      </c>
      <c r="I390">
        <v>19.7</v>
      </c>
      <c r="M390">
        <v>0.2</v>
      </c>
      <c r="N390">
        <v>2.7</v>
      </c>
      <c r="W390">
        <v>1425.8</v>
      </c>
    </row>
    <row r="391" spans="1:23" x14ac:dyDescent="0.25">
      <c r="A391">
        <v>6440</v>
      </c>
      <c r="B391">
        <v>25210</v>
      </c>
      <c r="C391" s="4">
        <v>42968</v>
      </c>
      <c r="G391">
        <v>16</v>
      </c>
      <c r="H391">
        <v>14</v>
      </c>
      <c r="I391">
        <v>17.8</v>
      </c>
      <c r="M391">
        <v>3.6</v>
      </c>
      <c r="N391">
        <v>1.1000000000000001</v>
      </c>
      <c r="W391">
        <v>598.70000000000005</v>
      </c>
    </row>
    <row r="392" spans="1:23" x14ac:dyDescent="0.25">
      <c r="A392">
        <v>6440</v>
      </c>
      <c r="B392">
        <v>25210</v>
      </c>
      <c r="C392" s="4">
        <v>42969</v>
      </c>
      <c r="G392">
        <v>18.899999999999999</v>
      </c>
      <c r="H392">
        <v>16.7</v>
      </c>
      <c r="I392">
        <v>21.6</v>
      </c>
      <c r="M392">
        <v>0</v>
      </c>
      <c r="N392">
        <v>1.2</v>
      </c>
      <c r="W392">
        <v>686.1</v>
      </c>
    </row>
    <row r="393" spans="1:23" x14ac:dyDescent="0.25">
      <c r="A393">
        <v>6440</v>
      </c>
      <c r="B393">
        <v>25210</v>
      </c>
      <c r="C393" s="4">
        <v>42970</v>
      </c>
      <c r="G393">
        <v>18.899999999999999</v>
      </c>
      <c r="H393">
        <v>15.4</v>
      </c>
      <c r="I393">
        <v>26.9</v>
      </c>
      <c r="M393">
        <v>0</v>
      </c>
      <c r="N393">
        <v>4.4000000000000004</v>
      </c>
      <c r="W393">
        <v>1831.9</v>
      </c>
    </row>
    <row r="394" spans="1:23" x14ac:dyDescent="0.25">
      <c r="A394">
        <v>6440</v>
      </c>
      <c r="B394">
        <v>25210</v>
      </c>
      <c r="C394" s="4">
        <v>42971</v>
      </c>
      <c r="G394">
        <v>17.5</v>
      </c>
      <c r="H394">
        <v>12.5</v>
      </c>
      <c r="I394">
        <v>21.8</v>
      </c>
      <c r="M394">
        <v>0</v>
      </c>
      <c r="N394">
        <v>1.9</v>
      </c>
      <c r="W394">
        <v>994.6</v>
      </c>
    </row>
    <row r="395" spans="1:23" x14ac:dyDescent="0.25">
      <c r="A395">
        <v>6440</v>
      </c>
      <c r="B395">
        <v>25210</v>
      </c>
      <c r="C395" s="4">
        <v>42972</v>
      </c>
      <c r="G395">
        <v>18.899999999999999</v>
      </c>
      <c r="H395">
        <v>14.4</v>
      </c>
      <c r="I395">
        <v>23.2</v>
      </c>
      <c r="M395">
        <v>0</v>
      </c>
      <c r="N395">
        <v>2.2999999999999998</v>
      </c>
      <c r="W395">
        <v>1130.5</v>
      </c>
    </row>
    <row r="396" spans="1:23" x14ac:dyDescent="0.25">
      <c r="A396">
        <v>6440</v>
      </c>
      <c r="B396">
        <v>25210</v>
      </c>
      <c r="C396" s="4">
        <v>42973</v>
      </c>
      <c r="G396">
        <v>21</v>
      </c>
      <c r="H396">
        <v>16.899999999999999</v>
      </c>
      <c r="I396">
        <v>25.7</v>
      </c>
      <c r="M396">
        <v>0</v>
      </c>
      <c r="N396">
        <v>3.8</v>
      </c>
      <c r="W396">
        <v>1956.7</v>
      </c>
    </row>
    <row r="397" spans="1:23" x14ac:dyDescent="0.25">
      <c r="A397">
        <v>6440</v>
      </c>
      <c r="B397">
        <v>25210</v>
      </c>
      <c r="C397" s="4">
        <v>42974</v>
      </c>
      <c r="G397">
        <v>20.399999999999999</v>
      </c>
      <c r="H397">
        <v>16.100000000000001</v>
      </c>
      <c r="I397">
        <v>24.9</v>
      </c>
      <c r="M397">
        <v>0</v>
      </c>
      <c r="N397">
        <v>3.1</v>
      </c>
      <c r="W397">
        <v>1556.3</v>
      </c>
    </row>
    <row r="398" spans="1:23" x14ac:dyDescent="0.25">
      <c r="A398">
        <v>6440</v>
      </c>
      <c r="B398">
        <v>25210</v>
      </c>
      <c r="C398" s="4">
        <v>42975</v>
      </c>
      <c r="G398">
        <v>21.6</v>
      </c>
      <c r="H398">
        <v>15</v>
      </c>
      <c r="I398">
        <v>27.8</v>
      </c>
      <c r="M398">
        <v>0</v>
      </c>
      <c r="N398">
        <v>4.2</v>
      </c>
      <c r="W398">
        <v>1932.5</v>
      </c>
    </row>
    <row r="399" spans="1:23" x14ac:dyDescent="0.25">
      <c r="A399">
        <v>6440</v>
      </c>
      <c r="B399">
        <v>25210</v>
      </c>
      <c r="C399" s="4">
        <v>42976</v>
      </c>
      <c r="G399">
        <v>23.3</v>
      </c>
      <c r="H399">
        <v>16.2</v>
      </c>
      <c r="I399">
        <v>30.7</v>
      </c>
      <c r="M399">
        <v>0</v>
      </c>
      <c r="N399">
        <v>4.4000000000000004</v>
      </c>
      <c r="W399">
        <v>1809.2</v>
      </c>
    </row>
    <row r="400" spans="1:23" x14ac:dyDescent="0.25">
      <c r="A400">
        <v>6440</v>
      </c>
      <c r="B400">
        <v>25210</v>
      </c>
      <c r="C400" s="4">
        <v>42977</v>
      </c>
      <c r="G400">
        <v>18</v>
      </c>
      <c r="H400">
        <v>14.9</v>
      </c>
      <c r="I400">
        <v>21.5</v>
      </c>
      <c r="M400">
        <v>5.7</v>
      </c>
      <c r="N400">
        <v>1.1000000000000001</v>
      </c>
      <c r="W400">
        <v>569.20000000000005</v>
      </c>
    </row>
    <row r="401" spans="1:23" x14ac:dyDescent="0.25">
      <c r="A401">
        <v>6440</v>
      </c>
      <c r="B401">
        <v>25210</v>
      </c>
      <c r="C401" s="4">
        <v>42978</v>
      </c>
      <c r="G401">
        <v>14.2</v>
      </c>
      <c r="H401">
        <v>10.9</v>
      </c>
      <c r="I401">
        <v>17.7</v>
      </c>
      <c r="M401">
        <v>0.6</v>
      </c>
      <c r="N401">
        <v>2.1</v>
      </c>
      <c r="W401">
        <v>1304.8</v>
      </c>
    </row>
  </sheetData>
  <mergeCells count="13">
    <mergeCell ref="Q1:U1"/>
    <mergeCell ref="W1:AB1"/>
    <mergeCell ref="A34:F34"/>
    <mergeCell ref="A359:F359"/>
    <mergeCell ref="F35:F122"/>
    <mergeCell ref="F123:F186"/>
    <mergeCell ref="G1:L1"/>
    <mergeCell ref="M1:P1"/>
    <mergeCell ref="F187:F246"/>
    <mergeCell ref="F247:F267"/>
    <mergeCell ref="F268:F294"/>
    <mergeCell ref="F295:F312"/>
    <mergeCell ref="F313:F333"/>
  </mergeCells>
  <conditionalFormatting sqref="O2">
    <cfRule type="cellIs" dxfId="47" priority="24" operator="lessThan">
      <formula>0</formula>
    </cfRule>
  </conditionalFormatting>
  <conditionalFormatting sqref="G35:I358">
    <cfRule type="cellIs" dxfId="46" priority="21" operator="greaterThanOrEqual">
      <formula>25</formula>
    </cfRule>
    <cfRule type="cellIs" dxfId="45" priority="22" operator="between">
      <formula>0</formula>
      <formula>5</formula>
    </cfRule>
    <cfRule type="cellIs" dxfId="44" priority="23" operator="lessThan">
      <formula>0</formula>
    </cfRule>
  </conditionalFormatting>
  <conditionalFormatting sqref="L36 L44 L48 L46">
    <cfRule type="cellIs" dxfId="43" priority="19" operator="lessThanOrEqual">
      <formula>0</formula>
    </cfRule>
    <cfRule type="cellIs" dxfId="42" priority="20" operator="lessThanOrEqual">
      <formula>5</formula>
    </cfRule>
  </conditionalFormatting>
  <conditionalFormatting sqref="L124 L132 L136 L134">
    <cfRule type="cellIs" dxfId="41" priority="17" operator="lessThanOrEqual">
      <formula>0</formula>
    </cfRule>
    <cfRule type="cellIs" dxfId="40" priority="18" operator="lessThanOrEqual">
      <formula>5</formula>
    </cfRule>
  </conditionalFormatting>
  <conditionalFormatting sqref="L188 L196 L200 L198">
    <cfRule type="cellIs" dxfId="39" priority="15" operator="lessThanOrEqual">
      <formula>0</formula>
    </cfRule>
    <cfRule type="cellIs" dxfId="38" priority="16" operator="lessThanOrEqual">
      <formula>5</formula>
    </cfRule>
  </conditionalFormatting>
  <conditionalFormatting sqref="L248 L260 L258 L256">
    <cfRule type="cellIs" dxfId="37" priority="13" operator="lessThanOrEqual">
      <formula>0</formula>
    </cfRule>
    <cfRule type="cellIs" dxfId="36" priority="14" operator="lessThanOrEqual">
      <formula>5</formula>
    </cfRule>
  </conditionalFormatting>
  <conditionalFormatting sqref="L269 L277 L279 L281">
    <cfRule type="cellIs" dxfId="35" priority="11" operator="lessThanOrEqual">
      <formula>0</formula>
    </cfRule>
    <cfRule type="cellIs" dxfId="34" priority="12" operator="lessThanOrEqual">
      <formula>5</formula>
    </cfRule>
  </conditionalFormatting>
  <conditionalFormatting sqref="L296 L306">
    <cfRule type="cellIs" dxfId="33" priority="9" operator="lessThanOrEqual">
      <formula>0</formula>
    </cfRule>
    <cfRule type="cellIs" dxfId="32" priority="10" operator="lessThanOrEqual">
      <formula>5</formula>
    </cfRule>
  </conditionalFormatting>
  <conditionalFormatting sqref="L314 L324">
    <cfRule type="cellIs" dxfId="31" priority="7" operator="lessThanOrEqual">
      <formula>0</formula>
    </cfRule>
    <cfRule type="cellIs" dxfId="30" priority="8" operator="lessThanOrEqual">
      <formula>5</formula>
    </cfRule>
  </conditionalFormatting>
  <conditionalFormatting sqref="O35:O358">
    <cfRule type="cellIs" dxfId="29" priority="6" operator="lessThan">
      <formula>0</formula>
    </cfRule>
  </conditionalFormatting>
  <conditionalFormatting sqref="O3:O33">
    <cfRule type="cellIs" dxfId="28" priority="5" operator="lessThan">
      <formula>0</formula>
    </cfRule>
  </conditionalFormatting>
  <conditionalFormatting sqref="T35:T358">
    <cfRule type="cellIs" dxfId="27" priority="4" operator="lessThan">
      <formula>0</formula>
    </cfRule>
  </conditionalFormatting>
  <conditionalFormatting sqref="V36 U35:U358">
    <cfRule type="cellIs" dxfId="26" priority="2" operator="equal">
      <formula>0</formula>
    </cfRule>
    <cfRule type="cellIs" dxfId="25" priority="3" operator="lessThanOrEqual">
      <formula>63.2</formula>
    </cfRule>
  </conditionalFormatting>
  <conditionalFormatting sqref="W35:W358">
    <cfRule type="cellIs" dxfId="24" priority="1" operator="lessThan">
      <formula>900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zoomScale="70" zoomScaleNormal="70" workbookViewId="0">
      <pane xSplit="6" ySplit="2" topLeftCell="G189" activePane="bottomRight" state="frozen"/>
      <selection pane="topRight" activeCell="G1" sqref="G1"/>
      <selection pane="bottomLeft" activeCell="A3" sqref="A3"/>
      <selection pane="bottomRight" activeCell="AE228" sqref="AE228"/>
    </sheetView>
  </sheetViews>
  <sheetFormatPr baseColWidth="10" defaultRowHeight="15" x14ac:dyDescent="0.25"/>
  <sheetData>
    <row r="1" spans="1:28" x14ac:dyDescent="0.25">
      <c r="G1" s="41" t="s">
        <v>9</v>
      </c>
      <c r="H1" s="41"/>
      <c r="I1" s="41"/>
      <c r="J1" s="41"/>
      <c r="K1" s="41"/>
      <c r="L1" s="41"/>
      <c r="M1" s="41" t="s">
        <v>10</v>
      </c>
      <c r="N1" s="41"/>
      <c r="O1" s="41"/>
      <c r="P1" s="41"/>
      <c r="Q1" s="41" t="s">
        <v>11</v>
      </c>
      <c r="R1" s="41"/>
      <c r="S1" s="41"/>
      <c r="T1" s="41"/>
      <c r="U1" s="41"/>
      <c r="W1" s="41" t="s">
        <v>12</v>
      </c>
      <c r="X1" s="41"/>
      <c r="Y1" s="41"/>
      <c r="Z1" s="41"/>
      <c r="AA1" s="41"/>
      <c r="AB1" s="41"/>
    </row>
    <row r="2" spans="1:28" x14ac:dyDescent="0.25">
      <c r="A2" t="s">
        <v>0</v>
      </c>
      <c r="B2" t="s">
        <v>1</v>
      </c>
      <c r="C2" t="s">
        <v>2</v>
      </c>
      <c r="D2" t="s">
        <v>13</v>
      </c>
      <c r="E2" t="s">
        <v>14</v>
      </c>
      <c r="F2" t="s">
        <v>15</v>
      </c>
      <c r="G2" s="1" t="s">
        <v>4</v>
      </c>
      <c r="H2" s="1" t="s">
        <v>7</v>
      </c>
      <c r="I2" s="1" t="s">
        <v>8</v>
      </c>
      <c r="J2" s="1" t="s">
        <v>16</v>
      </c>
      <c r="K2" s="1" t="s">
        <v>17</v>
      </c>
      <c r="L2" s="2" t="s">
        <v>18</v>
      </c>
      <c r="M2" s="1" t="s">
        <v>3</v>
      </c>
      <c r="N2" s="1" t="s">
        <v>6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1" t="s">
        <v>5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26</v>
      </c>
    </row>
    <row r="3" spans="1:28" x14ac:dyDescent="0.25">
      <c r="A3">
        <v>6440</v>
      </c>
      <c r="B3">
        <v>25210</v>
      </c>
      <c r="C3" s="4">
        <v>42582</v>
      </c>
      <c r="G3">
        <v>16.600000000000001</v>
      </c>
      <c r="H3">
        <v>12.8</v>
      </c>
      <c r="I3">
        <v>21.5</v>
      </c>
      <c r="M3">
        <v>2.4</v>
      </c>
      <c r="N3">
        <v>2.5</v>
      </c>
      <c r="O3">
        <f>M3-N3</f>
        <v>-0.10000000000000009</v>
      </c>
      <c r="P3">
        <v>0</v>
      </c>
      <c r="W3">
        <v>1258.4000000000001</v>
      </c>
    </row>
    <row r="4" spans="1:28" x14ac:dyDescent="0.25">
      <c r="A4">
        <v>6440</v>
      </c>
      <c r="B4">
        <v>25210</v>
      </c>
      <c r="C4" s="4">
        <v>42583</v>
      </c>
      <c r="G4">
        <v>16.2</v>
      </c>
      <c r="H4">
        <v>10.199999999999999</v>
      </c>
      <c r="I4">
        <v>21.6</v>
      </c>
      <c r="M4">
        <v>2.8</v>
      </c>
      <c r="N4">
        <v>2.8</v>
      </c>
      <c r="O4">
        <f t="shared" ref="O4:O33" si="0">M4-N4</f>
        <v>0</v>
      </c>
      <c r="P4">
        <f>P3+O4</f>
        <v>0</v>
      </c>
      <c r="W4">
        <v>1550.5</v>
      </c>
    </row>
    <row r="5" spans="1:28" x14ac:dyDescent="0.25">
      <c r="A5">
        <v>6440</v>
      </c>
      <c r="B5">
        <v>25210</v>
      </c>
      <c r="C5" s="4">
        <v>42584</v>
      </c>
      <c r="G5">
        <v>17.2</v>
      </c>
      <c r="H5">
        <v>14.1</v>
      </c>
      <c r="I5">
        <v>18.7</v>
      </c>
      <c r="M5">
        <v>10.8</v>
      </c>
      <c r="N5">
        <v>1</v>
      </c>
      <c r="O5">
        <f t="shared" si="0"/>
        <v>9.8000000000000007</v>
      </c>
      <c r="P5">
        <f t="shared" ref="P5:P32" si="1">P4+O5</f>
        <v>9.8000000000000007</v>
      </c>
      <c r="W5">
        <v>598.5</v>
      </c>
    </row>
    <row r="6" spans="1:28" x14ac:dyDescent="0.25">
      <c r="A6">
        <v>6440</v>
      </c>
      <c r="B6">
        <v>25210</v>
      </c>
      <c r="C6" s="4">
        <v>42585</v>
      </c>
      <c r="G6">
        <v>18.100000000000001</v>
      </c>
      <c r="H6">
        <v>16.7</v>
      </c>
      <c r="I6">
        <v>19.399999999999999</v>
      </c>
      <c r="M6">
        <v>15.9</v>
      </c>
      <c r="N6">
        <v>1.2</v>
      </c>
      <c r="O6">
        <f t="shared" si="0"/>
        <v>14.700000000000001</v>
      </c>
      <c r="P6">
        <f t="shared" si="1"/>
        <v>24.5</v>
      </c>
      <c r="W6">
        <v>552.29999999999995</v>
      </c>
    </row>
    <row r="7" spans="1:28" x14ac:dyDescent="0.25">
      <c r="A7">
        <v>6440</v>
      </c>
      <c r="B7">
        <v>25210</v>
      </c>
      <c r="C7" s="4">
        <v>42586</v>
      </c>
      <c r="G7">
        <v>16.899999999999999</v>
      </c>
      <c r="H7">
        <v>14.5</v>
      </c>
      <c r="I7">
        <v>19.399999999999999</v>
      </c>
      <c r="M7">
        <v>0.3</v>
      </c>
      <c r="N7">
        <v>3</v>
      </c>
      <c r="O7">
        <f t="shared" si="0"/>
        <v>-2.7</v>
      </c>
      <c r="P7">
        <f t="shared" si="1"/>
        <v>21.8</v>
      </c>
      <c r="W7">
        <v>1817.7</v>
      </c>
    </row>
    <row r="8" spans="1:28" x14ac:dyDescent="0.25">
      <c r="A8">
        <v>6440</v>
      </c>
      <c r="B8">
        <v>25210</v>
      </c>
      <c r="C8" s="4">
        <v>42587</v>
      </c>
      <c r="G8">
        <v>16.600000000000001</v>
      </c>
      <c r="H8">
        <v>13.3</v>
      </c>
      <c r="I8">
        <v>21.1</v>
      </c>
      <c r="M8">
        <v>0</v>
      </c>
      <c r="N8">
        <v>3.6</v>
      </c>
      <c r="O8">
        <f t="shared" si="0"/>
        <v>-3.6</v>
      </c>
      <c r="P8">
        <f t="shared" si="1"/>
        <v>18.2</v>
      </c>
      <c r="W8">
        <v>1793.1</v>
      </c>
    </row>
    <row r="9" spans="1:28" x14ac:dyDescent="0.25">
      <c r="A9">
        <v>6440</v>
      </c>
      <c r="B9">
        <v>25210</v>
      </c>
      <c r="C9" s="4">
        <v>42588</v>
      </c>
      <c r="G9">
        <v>17.7</v>
      </c>
      <c r="H9">
        <v>11.4</v>
      </c>
      <c r="I9">
        <v>22.9</v>
      </c>
      <c r="M9">
        <v>0</v>
      </c>
      <c r="N9">
        <v>3.6</v>
      </c>
      <c r="O9">
        <f t="shared" si="0"/>
        <v>-3.6</v>
      </c>
      <c r="P9">
        <f t="shared" si="1"/>
        <v>14.6</v>
      </c>
      <c r="W9">
        <v>1680.9</v>
      </c>
    </row>
    <row r="10" spans="1:28" x14ac:dyDescent="0.25">
      <c r="A10">
        <v>6440</v>
      </c>
      <c r="B10">
        <v>25210</v>
      </c>
      <c r="C10" s="4">
        <v>42589</v>
      </c>
      <c r="G10">
        <v>19.899999999999999</v>
      </c>
      <c r="H10">
        <v>12.2</v>
      </c>
      <c r="I10">
        <v>26</v>
      </c>
      <c r="M10">
        <v>0</v>
      </c>
      <c r="N10">
        <v>3.1</v>
      </c>
      <c r="O10">
        <f t="shared" si="0"/>
        <v>-3.1</v>
      </c>
      <c r="P10">
        <f t="shared" si="1"/>
        <v>11.5</v>
      </c>
      <c r="W10">
        <v>1267</v>
      </c>
    </row>
    <row r="11" spans="1:28" x14ac:dyDescent="0.25">
      <c r="A11">
        <v>6440</v>
      </c>
      <c r="B11">
        <v>25210</v>
      </c>
      <c r="C11" s="4">
        <v>42590</v>
      </c>
      <c r="G11">
        <v>16.8</v>
      </c>
      <c r="H11">
        <v>14.6</v>
      </c>
      <c r="I11">
        <v>20.100000000000001</v>
      </c>
      <c r="M11">
        <v>0</v>
      </c>
      <c r="N11">
        <v>2.6</v>
      </c>
      <c r="O11">
        <f t="shared" si="0"/>
        <v>-2.6</v>
      </c>
      <c r="P11">
        <f t="shared" si="1"/>
        <v>8.9</v>
      </c>
      <c r="W11">
        <v>1029.7</v>
      </c>
    </row>
    <row r="12" spans="1:28" x14ac:dyDescent="0.25">
      <c r="A12">
        <v>6440</v>
      </c>
      <c r="B12">
        <v>25210</v>
      </c>
      <c r="C12" s="4">
        <v>42591</v>
      </c>
      <c r="G12">
        <v>15</v>
      </c>
      <c r="H12">
        <v>11.7</v>
      </c>
      <c r="I12">
        <v>19.399999999999999</v>
      </c>
      <c r="M12">
        <v>0.1</v>
      </c>
      <c r="N12">
        <v>3.9</v>
      </c>
      <c r="O12">
        <f t="shared" si="0"/>
        <v>-3.8</v>
      </c>
      <c r="P12">
        <f t="shared" si="1"/>
        <v>5.1000000000000005</v>
      </c>
      <c r="W12">
        <v>1844.2</v>
      </c>
    </row>
    <row r="13" spans="1:28" x14ac:dyDescent="0.25">
      <c r="A13">
        <v>6440</v>
      </c>
      <c r="B13">
        <v>25210</v>
      </c>
      <c r="C13" s="4">
        <v>42592</v>
      </c>
      <c r="G13">
        <v>12.3</v>
      </c>
      <c r="H13">
        <v>9.4</v>
      </c>
      <c r="I13">
        <v>16.100000000000001</v>
      </c>
      <c r="M13">
        <v>0.9</v>
      </c>
      <c r="N13">
        <v>2.5</v>
      </c>
      <c r="O13">
        <f t="shared" si="0"/>
        <v>-1.6</v>
      </c>
      <c r="P13">
        <f t="shared" si="1"/>
        <v>3.5000000000000004</v>
      </c>
      <c r="W13">
        <v>1391</v>
      </c>
    </row>
    <row r="14" spans="1:28" x14ac:dyDescent="0.25">
      <c r="A14">
        <v>6440</v>
      </c>
      <c r="B14">
        <v>25210</v>
      </c>
      <c r="C14" s="4">
        <v>42593</v>
      </c>
      <c r="G14">
        <v>13.6</v>
      </c>
      <c r="H14">
        <v>7.8</v>
      </c>
      <c r="I14">
        <v>18.5</v>
      </c>
      <c r="M14">
        <v>1.8</v>
      </c>
      <c r="N14">
        <v>0.7</v>
      </c>
      <c r="O14">
        <f t="shared" si="0"/>
        <v>1.1000000000000001</v>
      </c>
      <c r="P14">
        <f t="shared" si="1"/>
        <v>4.6000000000000005</v>
      </c>
      <c r="W14">
        <v>430.1</v>
      </c>
    </row>
    <row r="15" spans="1:28" x14ac:dyDescent="0.25">
      <c r="A15">
        <v>6440</v>
      </c>
      <c r="B15">
        <v>25210</v>
      </c>
      <c r="C15" s="4">
        <v>42594</v>
      </c>
      <c r="G15">
        <v>18.2</v>
      </c>
      <c r="H15">
        <v>13.2</v>
      </c>
      <c r="I15">
        <v>23.8</v>
      </c>
      <c r="M15">
        <v>0</v>
      </c>
      <c r="N15">
        <v>2.8</v>
      </c>
      <c r="O15">
        <f t="shared" si="0"/>
        <v>-2.8</v>
      </c>
      <c r="P15">
        <f t="shared" si="1"/>
        <v>1.8000000000000007</v>
      </c>
      <c r="W15">
        <v>1239</v>
      </c>
    </row>
    <row r="16" spans="1:28" x14ac:dyDescent="0.25">
      <c r="A16">
        <v>6440</v>
      </c>
      <c r="B16">
        <v>25210</v>
      </c>
      <c r="C16" s="4">
        <v>42595</v>
      </c>
      <c r="G16">
        <v>18.600000000000001</v>
      </c>
      <c r="H16">
        <v>11.6</v>
      </c>
      <c r="I16">
        <v>23.8</v>
      </c>
      <c r="M16">
        <v>0</v>
      </c>
      <c r="N16">
        <v>3.7</v>
      </c>
      <c r="O16">
        <f t="shared" si="0"/>
        <v>-3.7</v>
      </c>
      <c r="P16">
        <v>0</v>
      </c>
      <c r="W16">
        <v>2008.2</v>
      </c>
    </row>
    <row r="17" spans="1:23" x14ac:dyDescent="0.25">
      <c r="A17">
        <v>6440</v>
      </c>
      <c r="B17">
        <v>25210</v>
      </c>
      <c r="C17" s="4">
        <v>42596</v>
      </c>
      <c r="G17">
        <v>18</v>
      </c>
      <c r="H17">
        <v>14.3</v>
      </c>
      <c r="I17">
        <v>22.3</v>
      </c>
      <c r="M17">
        <v>0</v>
      </c>
      <c r="N17">
        <v>2.9</v>
      </c>
      <c r="O17">
        <f t="shared" si="0"/>
        <v>-2.9</v>
      </c>
      <c r="P17">
        <v>0</v>
      </c>
      <c r="W17">
        <v>1517.5</v>
      </c>
    </row>
    <row r="18" spans="1:23" x14ac:dyDescent="0.25">
      <c r="A18">
        <v>6440</v>
      </c>
      <c r="B18">
        <v>25210</v>
      </c>
      <c r="C18" s="4">
        <v>42597</v>
      </c>
      <c r="G18">
        <v>18.5</v>
      </c>
      <c r="H18">
        <v>13.5</v>
      </c>
      <c r="I18">
        <v>23.8</v>
      </c>
      <c r="M18">
        <v>0</v>
      </c>
      <c r="N18">
        <v>4.7</v>
      </c>
      <c r="O18">
        <f t="shared" si="0"/>
        <v>-4.7</v>
      </c>
      <c r="P18">
        <v>0</v>
      </c>
      <c r="W18">
        <v>2356.4</v>
      </c>
    </row>
    <row r="19" spans="1:23" x14ac:dyDescent="0.25">
      <c r="A19">
        <v>6440</v>
      </c>
      <c r="B19">
        <v>25210</v>
      </c>
      <c r="C19" s="4">
        <v>42598</v>
      </c>
      <c r="G19">
        <v>19.600000000000001</v>
      </c>
      <c r="H19">
        <v>13.3</v>
      </c>
      <c r="I19">
        <v>25.8</v>
      </c>
      <c r="M19">
        <v>0</v>
      </c>
      <c r="N19">
        <v>4.8</v>
      </c>
      <c r="O19">
        <f t="shared" si="0"/>
        <v>-4.8</v>
      </c>
      <c r="P19">
        <v>0</v>
      </c>
      <c r="W19">
        <v>2308.1999999999998</v>
      </c>
    </row>
    <row r="20" spans="1:23" x14ac:dyDescent="0.25">
      <c r="A20">
        <v>6440</v>
      </c>
      <c r="B20">
        <v>25210</v>
      </c>
      <c r="C20" s="4">
        <v>42599</v>
      </c>
      <c r="G20">
        <v>20.5</v>
      </c>
      <c r="H20">
        <v>14.4</v>
      </c>
      <c r="I20">
        <v>26.4</v>
      </c>
      <c r="M20">
        <v>0.5</v>
      </c>
      <c r="N20">
        <v>4.3</v>
      </c>
      <c r="O20">
        <f t="shared" si="0"/>
        <v>-3.8</v>
      </c>
      <c r="P20">
        <v>0</v>
      </c>
      <c r="W20">
        <v>2046.3</v>
      </c>
    </row>
    <row r="21" spans="1:23" x14ac:dyDescent="0.25">
      <c r="A21">
        <v>6440</v>
      </c>
      <c r="B21">
        <v>25210</v>
      </c>
      <c r="C21" s="4">
        <v>42600</v>
      </c>
      <c r="G21">
        <v>19.2</v>
      </c>
      <c r="H21">
        <v>15</v>
      </c>
      <c r="I21">
        <v>22.3</v>
      </c>
      <c r="M21">
        <v>0.9</v>
      </c>
      <c r="N21">
        <v>2.1</v>
      </c>
      <c r="O21">
        <f t="shared" si="0"/>
        <v>-1.2000000000000002</v>
      </c>
      <c r="P21">
        <v>0</v>
      </c>
      <c r="W21">
        <v>1093.0999999999999</v>
      </c>
    </row>
    <row r="22" spans="1:23" x14ac:dyDescent="0.25">
      <c r="A22">
        <v>6440</v>
      </c>
      <c r="B22">
        <v>25210</v>
      </c>
      <c r="C22" s="4">
        <v>42601</v>
      </c>
      <c r="G22">
        <v>17.3</v>
      </c>
      <c r="H22">
        <v>15</v>
      </c>
      <c r="I22">
        <v>22.6</v>
      </c>
      <c r="M22">
        <v>2</v>
      </c>
      <c r="N22">
        <v>2.4</v>
      </c>
      <c r="O22">
        <f t="shared" si="0"/>
        <v>-0.39999999999999991</v>
      </c>
      <c r="P22">
        <v>0</v>
      </c>
      <c r="W22">
        <v>948</v>
      </c>
    </row>
    <row r="23" spans="1:23" x14ac:dyDescent="0.25">
      <c r="A23">
        <v>6440</v>
      </c>
      <c r="B23">
        <v>25210</v>
      </c>
      <c r="C23" s="4">
        <v>42602</v>
      </c>
      <c r="G23">
        <v>17.2</v>
      </c>
      <c r="H23">
        <v>14.3</v>
      </c>
      <c r="I23">
        <v>22.5</v>
      </c>
      <c r="M23">
        <v>3</v>
      </c>
      <c r="N23">
        <v>3.8</v>
      </c>
      <c r="O23">
        <f t="shared" si="0"/>
        <v>-0.79999999999999982</v>
      </c>
      <c r="P23">
        <v>0</v>
      </c>
      <c r="W23">
        <v>1503.7</v>
      </c>
    </row>
    <row r="24" spans="1:23" x14ac:dyDescent="0.25">
      <c r="A24">
        <v>6440</v>
      </c>
      <c r="B24">
        <v>25210</v>
      </c>
      <c r="C24" s="4">
        <v>42603</v>
      </c>
      <c r="G24">
        <v>15.9</v>
      </c>
      <c r="H24">
        <v>13.7</v>
      </c>
      <c r="I24">
        <v>17.5</v>
      </c>
      <c r="M24">
        <v>0.2</v>
      </c>
      <c r="N24">
        <v>1.6</v>
      </c>
      <c r="O24">
        <f t="shared" si="0"/>
        <v>-1.4000000000000001</v>
      </c>
      <c r="P24">
        <v>0</v>
      </c>
      <c r="W24">
        <v>585.20000000000005</v>
      </c>
    </row>
    <row r="25" spans="1:23" x14ac:dyDescent="0.25">
      <c r="A25">
        <v>6440</v>
      </c>
      <c r="B25">
        <v>25210</v>
      </c>
      <c r="C25" s="4">
        <v>42604</v>
      </c>
      <c r="G25">
        <v>20.100000000000001</v>
      </c>
      <c r="H25">
        <v>15.3</v>
      </c>
      <c r="I25">
        <v>25.1</v>
      </c>
      <c r="M25">
        <v>0</v>
      </c>
      <c r="N25">
        <v>4.0999999999999996</v>
      </c>
      <c r="O25">
        <f t="shared" si="0"/>
        <v>-4.0999999999999996</v>
      </c>
      <c r="P25">
        <v>0</v>
      </c>
      <c r="W25">
        <v>1694.3</v>
      </c>
    </row>
    <row r="26" spans="1:23" x14ac:dyDescent="0.25">
      <c r="A26">
        <v>6440</v>
      </c>
      <c r="B26">
        <v>25210</v>
      </c>
      <c r="C26" s="4">
        <v>42605</v>
      </c>
      <c r="G26">
        <v>22.1</v>
      </c>
      <c r="H26">
        <v>15.1</v>
      </c>
      <c r="I26">
        <v>28.3</v>
      </c>
      <c r="M26">
        <v>0</v>
      </c>
      <c r="N26">
        <v>5.6</v>
      </c>
      <c r="O26">
        <f t="shared" si="0"/>
        <v>-5.6</v>
      </c>
      <c r="P26">
        <v>0</v>
      </c>
      <c r="W26">
        <v>2333.5</v>
      </c>
    </row>
    <row r="27" spans="1:23" x14ac:dyDescent="0.25">
      <c r="A27">
        <v>6440</v>
      </c>
      <c r="B27">
        <v>25210</v>
      </c>
      <c r="C27" s="4">
        <v>42606</v>
      </c>
      <c r="G27">
        <v>24.8</v>
      </c>
      <c r="H27">
        <v>18.2</v>
      </c>
      <c r="I27">
        <v>31.6</v>
      </c>
      <c r="M27">
        <v>0</v>
      </c>
      <c r="N27">
        <v>6.4</v>
      </c>
      <c r="O27">
        <f t="shared" si="0"/>
        <v>-6.4</v>
      </c>
      <c r="P27">
        <v>0</v>
      </c>
      <c r="W27">
        <v>2419.9</v>
      </c>
    </row>
    <row r="28" spans="1:23" x14ac:dyDescent="0.25">
      <c r="A28">
        <v>6440</v>
      </c>
      <c r="B28">
        <v>25210</v>
      </c>
      <c r="C28" s="4">
        <v>42607</v>
      </c>
      <c r="G28">
        <v>25.5</v>
      </c>
      <c r="H28">
        <v>18.100000000000001</v>
      </c>
      <c r="I28">
        <v>32.9</v>
      </c>
      <c r="M28">
        <v>0</v>
      </c>
      <c r="N28">
        <v>5.9</v>
      </c>
      <c r="O28">
        <f t="shared" si="0"/>
        <v>-5.9</v>
      </c>
      <c r="P28">
        <v>0</v>
      </c>
      <c r="W28">
        <v>2277.4</v>
      </c>
    </row>
    <row r="29" spans="1:23" x14ac:dyDescent="0.25">
      <c r="A29">
        <v>6440</v>
      </c>
      <c r="B29">
        <v>25210</v>
      </c>
      <c r="C29" s="4">
        <v>42608</v>
      </c>
      <c r="G29">
        <v>23.9</v>
      </c>
      <c r="H29">
        <v>17.7</v>
      </c>
      <c r="I29">
        <v>30.4</v>
      </c>
      <c r="M29">
        <v>0</v>
      </c>
      <c r="N29">
        <v>5.3</v>
      </c>
      <c r="O29">
        <f t="shared" si="0"/>
        <v>-5.3</v>
      </c>
      <c r="P29">
        <v>0</v>
      </c>
      <c r="W29">
        <v>2206.4</v>
      </c>
    </row>
    <row r="30" spans="1:23" x14ac:dyDescent="0.25">
      <c r="A30">
        <v>6440</v>
      </c>
      <c r="B30">
        <v>25210</v>
      </c>
      <c r="C30" s="4">
        <v>42609</v>
      </c>
      <c r="G30">
        <v>24.6</v>
      </c>
      <c r="H30">
        <v>18.899999999999999</v>
      </c>
      <c r="I30">
        <v>30.6</v>
      </c>
      <c r="M30">
        <v>0</v>
      </c>
      <c r="N30">
        <v>4.8</v>
      </c>
      <c r="O30">
        <f t="shared" si="0"/>
        <v>-4.8</v>
      </c>
      <c r="P30">
        <v>0</v>
      </c>
      <c r="W30">
        <v>2022.7</v>
      </c>
    </row>
    <row r="31" spans="1:23" x14ac:dyDescent="0.25">
      <c r="A31">
        <v>6440</v>
      </c>
      <c r="B31">
        <v>25210</v>
      </c>
      <c r="C31" s="4">
        <v>42610</v>
      </c>
      <c r="G31">
        <v>20.7</v>
      </c>
      <c r="H31">
        <v>18.399999999999999</v>
      </c>
      <c r="I31">
        <v>25.5</v>
      </c>
      <c r="M31">
        <v>0.7</v>
      </c>
      <c r="N31">
        <v>4.0999999999999996</v>
      </c>
      <c r="O31">
        <f t="shared" si="0"/>
        <v>-3.3999999999999995</v>
      </c>
      <c r="P31">
        <v>0</v>
      </c>
      <c r="W31">
        <v>1571.5</v>
      </c>
    </row>
    <row r="32" spans="1:23" x14ac:dyDescent="0.25">
      <c r="A32">
        <v>6440</v>
      </c>
      <c r="B32">
        <v>25210</v>
      </c>
      <c r="C32" s="4">
        <v>42611</v>
      </c>
      <c r="G32">
        <v>17.600000000000001</v>
      </c>
      <c r="H32">
        <v>16.3</v>
      </c>
      <c r="I32">
        <v>20.100000000000001</v>
      </c>
      <c r="M32">
        <v>2.6</v>
      </c>
      <c r="N32">
        <v>2</v>
      </c>
      <c r="O32">
        <f t="shared" si="0"/>
        <v>0.60000000000000009</v>
      </c>
      <c r="P32">
        <f t="shared" si="1"/>
        <v>0.60000000000000009</v>
      </c>
      <c r="V32">
        <v>189.6</v>
      </c>
      <c r="W32">
        <v>857.4</v>
      </c>
    </row>
    <row r="33" spans="1:28" x14ac:dyDescent="0.25">
      <c r="A33">
        <v>6440</v>
      </c>
      <c r="B33">
        <v>25210</v>
      </c>
      <c r="C33" s="4">
        <v>42612</v>
      </c>
      <c r="G33">
        <v>17.399999999999999</v>
      </c>
      <c r="H33">
        <v>11.5</v>
      </c>
      <c r="I33">
        <v>23.4</v>
      </c>
      <c r="M33">
        <v>0</v>
      </c>
      <c r="N33">
        <v>3.6</v>
      </c>
      <c r="O33">
        <f t="shared" si="0"/>
        <v>-3.6</v>
      </c>
      <c r="P33">
        <v>0</v>
      </c>
      <c r="W33">
        <v>1797.1</v>
      </c>
    </row>
    <row r="34" spans="1:28" s="6" customFormat="1" x14ac:dyDescent="0.25">
      <c r="A34" s="49" t="s">
        <v>31</v>
      </c>
      <c r="B34" s="49"/>
      <c r="C34" s="49"/>
      <c r="D34" s="49"/>
      <c r="E34" s="49"/>
      <c r="F34" s="49"/>
    </row>
    <row r="35" spans="1:28" x14ac:dyDescent="0.25">
      <c r="A35">
        <v>6440</v>
      </c>
      <c r="B35">
        <v>25210</v>
      </c>
      <c r="C35" s="4">
        <v>42613</v>
      </c>
      <c r="F35" s="39" t="s">
        <v>45</v>
      </c>
      <c r="G35">
        <v>17.5</v>
      </c>
      <c r="H35">
        <v>11.9</v>
      </c>
      <c r="I35">
        <v>24.8</v>
      </c>
      <c r="J35">
        <f>G35</f>
        <v>17.5</v>
      </c>
      <c r="L35" s="7" t="s">
        <v>38</v>
      </c>
      <c r="M35">
        <v>0</v>
      </c>
      <c r="N35">
        <v>4</v>
      </c>
      <c r="O35">
        <f>M35-N35</f>
        <v>-4</v>
      </c>
      <c r="P35">
        <v>0</v>
      </c>
      <c r="Q35">
        <v>1</v>
      </c>
      <c r="R35">
        <v>0.35</v>
      </c>
      <c r="S35" s="18">
        <f>R35*N35</f>
        <v>1.4</v>
      </c>
      <c r="T35" s="18">
        <f>M35-S35</f>
        <v>-1.4</v>
      </c>
      <c r="U35">
        <v>0</v>
      </c>
      <c r="V35" s="19" t="s">
        <v>51</v>
      </c>
      <c r="W35">
        <v>1732.1</v>
      </c>
      <c r="Y35">
        <f>W35</f>
        <v>1732.1</v>
      </c>
      <c r="AA35">
        <v>13.287517282481462</v>
      </c>
      <c r="AB35" s="19" t="s">
        <v>56</v>
      </c>
    </row>
    <row r="36" spans="1:28" x14ac:dyDescent="0.25">
      <c r="A36">
        <v>6440</v>
      </c>
      <c r="B36">
        <v>25210</v>
      </c>
      <c r="C36" s="4">
        <v>42614</v>
      </c>
      <c r="F36" s="39"/>
      <c r="G36">
        <v>17.5</v>
      </c>
      <c r="H36">
        <v>11.9</v>
      </c>
      <c r="I36">
        <v>22.9</v>
      </c>
      <c r="J36">
        <f>J35+G36</f>
        <v>35</v>
      </c>
      <c r="L36" s="8">
        <v>1021.2</v>
      </c>
      <c r="M36">
        <v>0</v>
      </c>
      <c r="N36">
        <v>3.1</v>
      </c>
      <c r="O36">
        <f t="shared" ref="O36:O99" si="2">M36-N36</f>
        <v>-3.1</v>
      </c>
      <c r="P36">
        <v>0</v>
      </c>
      <c r="Q36">
        <v>2</v>
      </c>
      <c r="R36">
        <v>0.35</v>
      </c>
      <c r="S36" s="18">
        <f t="shared" ref="S36:S99" si="3">R36*N36</f>
        <v>1.085</v>
      </c>
      <c r="T36" s="18">
        <f t="shared" ref="T36:T99" si="4">M36-S36</f>
        <v>-1.085</v>
      </c>
      <c r="U36">
        <v>0</v>
      </c>
      <c r="V36">
        <v>6</v>
      </c>
      <c r="W36">
        <v>1642</v>
      </c>
      <c r="Y36">
        <f>Y35+W36</f>
        <v>3374.1</v>
      </c>
      <c r="AA36">
        <v>13.225853154442362</v>
      </c>
      <c r="AB36">
        <v>63447.6</v>
      </c>
    </row>
    <row r="37" spans="1:28" x14ac:dyDescent="0.25">
      <c r="A37">
        <v>6440</v>
      </c>
      <c r="B37">
        <v>25210</v>
      </c>
      <c r="C37" s="4">
        <v>42615</v>
      </c>
      <c r="F37" s="39"/>
      <c r="G37">
        <v>16.8</v>
      </c>
      <c r="H37">
        <v>11.1</v>
      </c>
      <c r="I37">
        <v>24.2</v>
      </c>
      <c r="J37">
        <f t="shared" ref="J37:J100" si="5">J36+G37</f>
        <v>51.8</v>
      </c>
      <c r="L37" s="7" t="s">
        <v>39</v>
      </c>
      <c r="M37">
        <v>0</v>
      </c>
      <c r="N37">
        <v>3.1</v>
      </c>
      <c r="O37">
        <f t="shared" si="2"/>
        <v>-3.1</v>
      </c>
      <c r="P37">
        <v>0</v>
      </c>
      <c r="Q37">
        <v>3</v>
      </c>
      <c r="R37">
        <v>0.35</v>
      </c>
      <c r="S37" s="18">
        <f t="shared" si="3"/>
        <v>1.085</v>
      </c>
      <c r="T37" s="18">
        <f t="shared" si="4"/>
        <v>-1.085</v>
      </c>
      <c r="U37">
        <v>0</v>
      </c>
      <c r="V37" s="19" t="s">
        <v>52</v>
      </c>
      <c r="W37">
        <v>1294.3</v>
      </c>
      <c r="Y37">
        <f t="shared" ref="Y37:Y100" si="6">Y36+W37</f>
        <v>4668.3999999999996</v>
      </c>
      <c r="AA37">
        <v>13.164010364103177</v>
      </c>
      <c r="AB37" s="19" t="s">
        <v>57</v>
      </c>
    </row>
    <row r="38" spans="1:28" x14ac:dyDescent="0.25">
      <c r="A38">
        <v>6440</v>
      </c>
      <c r="B38">
        <v>25210</v>
      </c>
      <c r="C38" s="4">
        <v>42616</v>
      </c>
      <c r="F38" s="39"/>
      <c r="G38">
        <v>19.600000000000001</v>
      </c>
      <c r="H38">
        <v>14.2</v>
      </c>
      <c r="I38">
        <v>23</v>
      </c>
      <c r="J38">
        <f t="shared" si="5"/>
        <v>71.400000000000006</v>
      </c>
      <c r="L38" s="8">
        <f>AVERAGE(G35:G122)</f>
        <v>11.60454545454545</v>
      </c>
      <c r="M38">
        <v>5.0999999999999996</v>
      </c>
      <c r="N38">
        <v>3.1</v>
      </c>
      <c r="O38">
        <f t="shared" si="2"/>
        <v>1.9999999999999996</v>
      </c>
      <c r="P38">
        <f t="shared" ref="P38:P101" si="7">P37+O38</f>
        <v>1.9999999999999996</v>
      </c>
      <c r="Q38">
        <v>4</v>
      </c>
      <c r="R38">
        <v>0.35</v>
      </c>
      <c r="S38" s="18">
        <f t="shared" si="3"/>
        <v>1.085</v>
      </c>
      <c r="T38" s="18">
        <f t="shared" si="4"/>
        <v>4.0149999999999997</v>
      </c>
      <c r="U38" s="18">
        <f>U37+T38</f>
        <v>4.0149999999999997</v>
      </c>
      <c r="V38">
        <v>82</v>
      </c>
      <c r="W38">
        <v>1528.9</v>
      </c>
      <c r="Y38">
        <f t="shared" si="6"/>
        <v>6197.2999999999993</v>
      </c>
      <c r="AA38">
        <v>13.101999966629547</v>
      </c>
      <c r="AB38">
        <f>(AB36/100)/L36</f>
        <v>0.6213043478260869</v>
      </c>
    </row>
    <row r="39" spans="1:28" x14ac:dyDescent="0.25">
      <c r="A39">
        <v>6440</v>
      </c>
      <c r="B39">
        <v>25210</v>
      </c>
      <c r="C39" s="4">
        <v>42617</v>
      </c>
      <c r="D39" t="s">
        <v>32</v>
      </c>
      <c r="F39" s="39"/>
      <c r="G39">
        <v>17.7</v>
      </c>
      <c r="H39">
        <v>17.399999999999999</v>
      </c>
      <c r="I39">
        <v>18.8</v>
      </c>
      <c r="J39">
        <f t="shared" si="5"/>
        <v>89.100000000000009</v>
      </c>
      <c r="L39" s="7" t="s">
        <v>40</v>
      </c>
      <c r="M39">
        <v>1.4</v>
      </c>
      <c r="N39">
        <v>2.2000000000000002</v>
      </c>
      <c r="O39">
        <f t="shared" si="2"/>
        <v>-0.80000000000000027</v>
      </c>
      <c r="P39">
        <f t="shared" si="7"/>
        <v>1.1999999999999993</v>
      </c>
      <c r="Q39">
        <v>5</v>
      </c>
      <c r="R39">
        <v>0.35</v>
      </c>
      <c r="S39" s="18">
        <f t="shared" si="3"/>
        <v>0.77</v>
      </c>
      <c r="T39" s="18">
        <f t="shared" si="4"/>
        <v>0.62999999999999989</v>
      </c>
      <c r="U39" s="18">
        <f t="shared" ref="U39:U102" si="8">U38+T39</f>
        <v>4.6449999999999996</v>
      </c>
      <c r="V39" s="19" t="s">
        <v>53</v>
      </c>
      <c r="W39">
        <v>992.1</v>
      </c>
      <c r="Y39">
        <f t="shared" si="6"/>
        <v>7189.4</v>
      </c>
      <c r="AA39">
        <v>13.039832722349741</v>
      </c>
      <c r="AB39" s="19" t="s">
        <v>58</v>
      </c>
    </row>
    <row r="40" spans="1:28" x14ac:dyDescent="0.25">
      <c r="A40">
        <v>6440</v>
      </c>
      <c r="B40">
        <v>25210</v>
      </c>
      <c r="C40" s="4">
        <v>42618</v>
      </c>
      <c r="F40" s="39"/>
      <c r="G40">
        <v>17.2</v>
      </c>
      <c r="H40">
        <v>15.7</v>
      </c>
      <c r="I40">
        <v>18.7</v>
      </c>
      <c r="J40">
        <f t="shared" si="5"/>
        <v>106.30000000000001</v>
      </c>
      <c r="L40" s="9">
        <f>MIN(H35:H122)</f>
        <v>-0.9</v>
      </c>
      <c r="M40">
        <v>2.8</v>
      </c>
      <c r="N40">
        <v>1.2</v>
      </c>
      <c r="O40">
        <f t="shared" si="2"/>
        <v>1.5999999999999999</v>
      </c>
      <c r="P40">
        <f t="shared" si="7"/>
        <v>2.7999999999999989</v>
      </c>
      <c r="Q40">
        <v>6</v>
      </c>
      <c r="R40">
        <f>0.35+((Q40-5)/83)*(1-0.35)</f>
        <v>0.35783132530120482</v>
      </c>
      <c r="S40" s="18">
        <f t="shared" si="3"/>
        <v>0.42939759036144576</v>
      </c>
      <c r="T40" s="18">
        <f t="shared" si="4"/>
        <v>2.3706024096385541</v>
      </c>
      <c r="U40" s="18">
        <f t="shared" si="8"/>
        <v>7.0156024096385536</v>
      </c>
      <c r="V40">
        <v>0</v>
      </c>
      <c r="W40">
        <v>569.29999999999995</v>
      </c>
      <c r="Y40">
        <f t="shared" si="6"/>
        <v>7758.7</v>
      </c>
      <c r="AA40">
        <v>12.977519111490034</v>
      </c>
      <c r="AB40">
        <v>62</v>
      </c>
    </row>
    <row r="41" spans="1:28" x14ac:dyDescent="0.25">
      <c r="A41">
        <v>6440</v>
      </c>
      <c r="B41">
        <v>25210</v>
      </c>
      <c r="C41" s="4">
        <v>42619</v>
      </c>
      <c r="F41" s="39"/>
      <c r="G41">
        <v>19.899999999999999</v>
      </c>
      <c r="H41">
        <v>18.100000000000001</v>
      </c>
      <c r="I41">
        <v>22.5</v>
      </c>
      <c r="J41">
        <f t="shared" si="5"/>
        <v>126.20000000000002</v>
      </c>
      <c r="L41" s="7" t="s">
        <v>41</v>
      </c>
      <c r="M41">
        <v>0.4</v>
      </c>
      <c r="N41">
        <v>1.5</v>
      </c>
      <c r="O41">
        <f t="shared" si="2"/>
        <v>-1.1000000000000001</v>
      </c>
      <c r="P41">
        <f t="shared" si="7"/>
        <v>1.6999999999999988</v>
      </c>
      <c r="Q41">
        <v>7</v>
      </c>
      <c r="R41">
        <f t="shared" ref="R41:R104" si="9">0.35+((Q41-5)/83)*(1-0.35)</f>
        <v>0.3656626506024096</v>
      </c>
      <c r="S41" s="18">
        <f t="shared" si="3"/>
        <v>0.54849397590361437</v>
      </c>
      <c r="T41" s="18">
        <f t="shared" si="4"/>
        <v>-0.14849397590361435</v>
      </c>
      <c r="U41" s="18">
        <f t="shared" si="8"/>
        <v>6.8671084337349395</v>
      </c>
      <c r="V41" s="19" t="s">
        <v>54</v>
      </c>
      <c r="W41">
        <v>627.6</v>
      </c>
      <c r="Y41">
        <f t="shared" si="6"/>
        <v>8386.2999999999993</v>
      </c>
      <c r="AA41">
        <v>12.915069349151452</v>
      </c>
    </row>
    <row r="42" spans="1:28" x14ac:dyDescent="0.25">
      <c r="A42">
        <v>6440</v>
      </c>
      <c r="B42">
        <v>25210</v>
      </c>
      <c r="C42" s="4">
        <v>42620</v>
      </c>
      <c r="F42" s="39"/>
      <c r="G42">
        <v>19.5</v>
      </c>
      <c r="H42">
        <v>13.7</v>
      </c>
      <c r="I42">
        <v>25.5</v>
      </c>
      <c r="J42">
        <f t="shared" si="5"/>
        <v>145.70000000000002</v>
      </c>
      <c r="L42" s="8">
        <f>MAX(I35:I122)</f>
        <v>28.2</v>
      </c>
      <c r="M42">
        <v>0</v>
      </c>
      <c r="N42">
        <v>4.5</v>
      </c>
      <c r="O42">
        <f t="shared" si="2"/>
        <v>-4.5</v>
      </c>
      <c r="P42">
        <v>0</v>
      </c>
      <c r="Q42">
        <v>8</v>
      </c>
      <c r="R42">
        <f t="shared" si="9"/>
        <v>0.37349397590361444</v>
      </c>
      <c r="S42" s="18">
        <f t="shared" si="3"/>
        <v>1.6807228915662651</v>
      </c>
      <c r="T42" s="18">
        <f t="shared" si="4"/>
        <v>-1.6807228915662651</v>
      </c>
      <c r="U42" s="18">
        <f t="shared" si="8"/>
        <v>5.186385542168674</v>
      </c>
      <c r="V42">
        <f>MAX(U35:U122)</f>
        <v>50.368192771084345</v>
      </c>
      <c r="W42">
        <v>1963.9</v>
      </c>
      <c r="Y42">
        <f t="shared" si="6"/>
        <v>10350.199999999999</v>
      </c>
      <c r="AA42">
        <v>12.852493400502283</v>
      </c>
    </row>
    <row r="43" spans="1:28" x14ac:dyDescent="0.25">
      <c r="A43">
        <v>6440</v>
      </c>
      <c r="B43">
        <v>25210</v>
      </c>
      <c r="C43" s="4">
        <v>42621</v>
      </c>
      <c r="F43" s="39"/>
      <c r="G43">
        <v>16.5</v>
      </c>
      <c r="H43">
        <v>13.2</v>
      </c>
      <c r="I43">
        <v>21.9</v>
      </c>
      <c r="J43">
        <f t="shared" si="5"/>
        <v>162.20000000000002</v>
      </c>
      <c r="L43" s="7" t="s">
        <v>42</v>
      </c>
      <c r="M43">
        <v>0</v>
      </c>
      <c r="N43">
        <v>2.7</v>
      </c>
      <c r="O43">
        <f t="shared" si="2"/>
        <v>-2.7</v>
      </c>
      <c r="P43">
        <v>0</v>
      </c>
      <c r="Q43">
        <v>9</v>
      </c>
      <c r="R43">
        <f t="shared" si="9"/>
        <v>0.38132530120481928</v>
      </c>
      <c r="S43" s="18">
        <f t="shared" si="3"/>
        <v>1.0295783132530121</v>
      </c>
      <c r="T43" s="18">
        <f t="shared" si="4"/>
        <v>-1.0295783132530121</v>
      </c>
      <c r="U43" s="18">
        <f t="shared" si="8"/>
        <v>4.1568072289156621</v>
      </c>
      <c r="V43" s="19" t="s">
        <v>55</v>
      </c>
      <c r="W43">
        <v>1015.4</v>
      </c>
      <c r="Y43">
        <f t="shared" si="6"/>
        <v>11365.599999999999</v>
      </c>
      <c r="AA43">
        <v>12.789800996162933</v>
      </c>
    </row>
    <row r="44" spans="1:28" x14ac:dyDescent="0.25">
      <c r="A44">
        <v>6440</v>
      </c>
      <c r="B44">
        <v>25210</v>
      </c>
      <c r="C44" s="4">
        <v>42622</v>
      </c>
      <c r="F44" s="39"/>
      <c r="G44">
        <v>16.5</v>
      </c>
      <c r="H44">
        <v>10.1</v>
      </c>
      <c r="I44">
        <v>23.2</v>
      </c>
      <c r="J44">
        <f t="shared" si="5"/>
        <v>178.70000000000002</v>
      </c>
      <c r="L44" s="8">
        <v>4</v>
      </c>
      <c r="M44">
        <v>0</v>
      </c>
      <c r="N44">
        <v>3.6</v>
      </c>
      <c r="O44">
        <f t="shared" si="2"/>
        <v>-3.6</v>
      </c>
      <c r="P44">
        <v>0</v>
      </c>
      <c r="Q44">
        <v>10</v>
      </c>
      <c r="R44">
        <f t="shared" si="9"/>
        <v>0.38915662650602406</v>
      </c>
      <c r="S44" s="18">
        <f t="shared" si="3"/>
        <v>1.4009638554216866</v>
      </c>
      <c r="T44" s="18">
        <f t="shared" si="4"/>
        <v>-1.4009638554216866</v>
      </c>
      <c r="U44" s="18">
        <f t="shared" si="8"/>
        <v>2.7558433734939758</v>
      </c>
      <c r="V44">
        <f>AVERAGE(U35:U122)</f>
        <v>15.966128833515887</v>
      </c>
      <c r="W44">
        <v>1700.7</v>
      </c>
      <c r="Y44">
        <f t="shared" si="6"/>
        <v>13066.3</v>
      </c>
      <c r="AA44">
        <v>12.727001647761561</v>
      </c>
    </row>
    <row r="45" spans="1:28" x14ac:dyDescent="0.25">
      <c r="A45">
        <v>6440</v>
      </c>
      <c r="B45">
        <v>25210</v>
      </c>
      <c r="C45" s="4">
        <v>42623</v>
      </c>
      <c r="F45" s="39"/>
      <c r="G45">
        <v>18.8</v>
      </c>
      <c r="H45">
        <v>11.7</v>
      </c>
      <c r="I45">
        <v>24.7</v>
      </c>
      <c r="J45">
        <f t="shared" si="5"/>
        <v>197.50000000000003</v>
      </c>
      <c r="L45" s="7" t="s">
        <v>43</v>
      </c>
      <c r="M45">
        <v>0.4</v>
      </c>
      <c r="N45">
        <v>3.6</v>
      </c>
      <c r="O45">
        <f t="shared" si="2"/>
        <v>-3.2</v>
      </c>
      <c r="P45">
        <v>0</v>
      </c>
      <c r="Q45">
        <v>11</v>
      </c>
      <c r="R45">
        <f t="shared" si="9"/>
        <v>0.3969879518072289</v>
      </c>
      <c r="S45" s="18">
        <f t="shared" si="3"/>
        <v>1.429156626506024</v>
      </c>
      <c r="T45" s="18">
        <f t="shared" si="4"/>
        <v>-1.0291566265060239</v>
      </c>
      <c r="U45" s="18">
        <f t="shared" si="8"/>
        <v>1.7266867469879519</v>
      </c>
      <c r="W45">
        <v>1569.3</v>
      </c>
      <c r="Y45">
        <f t="shared" si="6"/>
        <v>14635.599999999999</v>
      </c>
      <c r="AA45">
        <v>12.664104663640874</v>
      </c>
    </row>
    <row r="46" spans="1:28" x14ac:dyDescent="0.25">
      <c r="A46">
        <v>6440</v>
      </c>
      <c r="B46">
        <v>25210</v>
      </c>
      <c r="C46" s="4">
        <v>42624</v>
      </c>
      <c r="F46" s="39"/>
      <c r="G46">
        <v>18.7</v>
      </c>
      <c r="H46">
        <v>17.100000000000001</v>
      </c>
      <c r="I46">
        <v>19.600000000000001</v>
      </c>
      <c r="J46">
        <f t="shared" si="5"/>
        <v>216.20000000000002</v>
      </c>
      <c r="L46" s="8">
        <v>21</v>
      </c>
      <c r="M46">
        <v>0</v>
      </c>
      <c r="N46">
        <v>1.1000000000000001</v>
      </c>
      <c r="O46">
        <f t="shared" si="2"/>
        <v>-1.1000000000000001</v>
      </c>
      <c r="P46">
        <v>0</v>
      </c>
      <c r="Q46">
        <v>12</v>
      </c>
      <c r="R46">
        <f t="shared" si="9"/>
        <v>0.40481927710843368</v>
      </c>
      <c r="S46" s="18">
        <f t="shared" si="3"/>
        <v>0.4453012048192771</v>
      </c>
      <c r="T46" s="18">
        <f t="shared" si="4"/>
        <v>-0.4453012048192771</v>
      </c>
      <c r="U46" s="18">
        <f t="shared" si="8"/>
        <v>1.2813855421686748</v>
      </c>
      <c r="V46">
        <f>(V44*100)/189.6</f>
        <v>8.4209540261159734</v>
      </c>
      <c r="W46">
        <v>500.7</v>
      </c>
      <c r="Y46">
        <f t="shared" si="6"/>
        <v>15136.3</v>
      </c>
      <c r="AA46">
        <v>12.601119164698032</v>
      </c>
    </row>
    <row r="47" spans="1:28" x14ac:dyDescent="0.25">
      <c r="A47">
        <v>6440</v>
      </c>
      <c r="B47">
        <v>25210</v>
      </c>
      <c r="C47" s="4">
        <v>42625</v>
      </c>
      <c r="F47" s="39"/>
      <c r="G47">
        <v>21.9</v>
      </c>
      <c r="H47">
        <v>15.8</v>
      </c>
      <c r="I47">
        <v>28.2</v>
      </c>
      <c r="J47">
        <f t="shared" si="5"/>
        <v>238.10000000000002</v>
      </c>
      <c r="L47" s="7" t="s">
        <v>44</v>
      </c>
      <c r="M47">
        <v>0</v>
      </c>
      <c r="N47">
        <v>3.8</v>
      </c>
      <c r="O47">
        <f t="shared" si="2"/>
        <v>-3.8</v>
      </c>
      <c r="P47">
        <v>0</v>
      </c>
      <c r="Q47">
        <v>13</v>
      </c>
      <c r="R47">
        <f t="shared" si="9"/>
        <v>0.41265060240963852</v>
      </c>
      <c r="S47" s="18">
        <f t="shared" si="3"/>
        <v>1.5680722891566263</v>
      </c>
      <c r="T47" s="18">
        <f t="shared" si="4"/>
        <v>-1.5680722891566263</v>
      </c>
      <c r="U47" s="18">
        <v>0</v>
      </c>
      <c r="W47">
        <v>1495.4</v>
      </c>
      <c r="Y47">
        <f t="shared" si="6"/>
        <v>16631.7</v>
      </c>
      <c r="AA47">
        <v>12.538054100341343</v>
      </c>
    </row>
    <row r="48" spans="1:28" x14ac:dyDescent="0.25">
      <c r="A48">
        <v>6440</v>
      </c>
      <c r="B48">
        <v>25210</v>
      </c>
      <c r="C48" s="4">
        <v>42626</v>
      </c>
      <c r="F48" s="39"/>
      <c r="G48">
        <v>22.4</v>
      </c>
      <c r="H48">
        <v>19.399999999999999</v>
      </c>
      <c r="I48">
        <v>26</v>
      </c>
      <c r="J48">
        <f t="shared" si="5"/>
        <v>260.5</v>
      </c>
      <c r="L48" s="8">
        <v>2</v>
      </c>
      <c r="M48">
        <v>0</v>
      </c>
      <c r="N48">
        <v>2.7</v>
      </c>
      <c r="O48">
        <f t="shared" si="2"/>
        <v>-2.7</v>
      </c>
      <c r="P48">
        <v>0</v>
      </c>
      <c r="Q48">
        <v>14</v>
      </c>
      <c r="R48">
        <f t="shared" si="9"/>
        <v>0.42048192771084336</v>
      </c>
      <c r="S48" s="18">
        <f t="shared" si="3"/>
        <v>1.1353012048192772</v>
      </c>
      <c r="T48" s="18">
        <f t="shared" si="4"/>
        <v>-1.1353012048192772</v>
      </c>
      <c r="U48" s="18">
        <v>0</v>
      </c>
      <c r="W48">
        <v>875.9</v>
      </c>
      <c r="Y48">
        <f t="shared" si="6"/>
        <v>17507.600000000002</v>
      </c>
      <c r="AA48">
        <v>12.474918264548734</v>
      </c>
    </row>
    <row r="49" spans="1:27" x14ac:dyDescent="0.25">
      <c r="A49">
        <v>6440</v>
      </c>
      <c r="B49">
        <v>25210</v>
      </c>
      <c r="C49" s="4">
        <v>42627</v>
      </c>
      <c r="F49" s="39"/>
      <c r="G49">
        <v>22.2</v>
      </c>
      <c r="H49">
        <v>18.899999999999999</v>
      </c>
      <c r="I49">
        <v>26.1</v>
      </c>
      <c r="J49">
        <f t="shared" si="5"/>
        <v>282.7</v>
      </c>
      <c r="M49">
        <v>0.1</v>
      </c>
      <c r="N49">
        <v>4</v>
      </c>
      <c r="O49">
        <f t="shared" si="2"/>
        <v>-3.9</v>
      </c>
      <c r="P49">
        <v>0</v>
      </c>
      <c r="Q49">
        <v>15</v>
      </c>
      <c r="R49">
        <f t="shared" si="9"/>
        <v>0.42831325301204815</v>
      </c>
      <c r="S49" s="18">
        <f t="shared" si="3"/>
        <v>1.7132530120481926</v>
      </c>
      <c r="T49" s="18">
        <f t="shared" si="4"/>
        <v>-1.6132530120481925</v>
      </c>
      <c r="U49" s="18">
        <v>0</v>
      </c>
      <c r="W49">
        <v>1606.8</v>
      </c>
      <c r="Y49">
        <f t="shared" si="6"/>
        <v>19114.400000000001</v>
      </c>
      <c r="AA49">
        <v>12.411720312014376</v>
      </c>
    </row>
    <row r="50" spans="1:27" x14ac:dyDescent="0.25">
      <c r="A50">
        <v>6440</v>
      </c>
      <c r="B50">
        <v>25210</v>
      </c>
      <c r="C50" s="4">
        <v>42628</v>
      </c>
      <c r="F50" s="39"/>
      <c r="G50">
        <v>16.899999999999999</v>
      </c>
      <c r="H50">
        <v>15.7</v>
      </c>
      <c r="I50">
        <v>18.399999999999999</v>
      </c>
      <c r="J50">
        <f t="shared" si="5"/>
        <v>299.59999999999997</v>
      </c>
      <c r="M50">
        <v>3.9</v>
      </c>
      <c r="N50">
        <v>1.5</v>
      </c>
      <c r="O50">
        <f t="shared" si="2"/>
        <v>2.4</v>
      </c>
      <c r="P50">
        <f t="shared" si="7"/>
        <v>2.4</v>
      </c>
      <c r="Q50">
        <v>16</v>
      </c>
      <c r="R50">
        <f t="shared" si="9"/>
        <v>0.43614457831325298</v>
      </c>
      <c r="S50" s="18">
        <f t="shared" si="3"/>
        <v>0.6542168674698795</v>
      </c>
      <c r="T50" s="18">
        <f t="shared" si="4"/>
        <v>3.2457831325301205</v>
      </c>
      <c r="U50" s="18">
        <f t="shared" si="8"/>
        <v>3.2457831325301205</v>
      </c>
      <c r="W50">
        <v>681</v>
      </c>
      <c r="Y50">
        <f t="shared" si="6"/>
        <v>19795.400000000001</v>
      </c>
      <c r="AA50">
        <v>12.348468774371014</v>
      </c>
    </row>
    <row r="51" spans="1:27" x14ac:dyDescent="0.25">
      <c r="A51">
        <v>6440</v>
      </c>
      <c r="B51">
        <v>25210</v>
      </c>
      <c r="C51" s="4">
        <v>42629</v>
      </c>
      <c r="F51" s="39"/>
      <c r="G51">
        <v>16.2</v>
      </c>
      <c r="H51">
        <v>14.2</v>
      </c>
      <c r="I51">
        <v>19.8</v>
      </c>
      <c r="J51">
        <f t="shared" si="5"/>
        <v>315.79999999999995</v>
      </c>
      <c r="M51">
        <v>16.899999999999999</v>
      </c>
      <c r="N51">
        <v>1.8</v>
      </c>
      <c r="O51">
        <f t="shared" si="2"/>
        <v>15.099999999999998</v>
      </c>
      <c r="P51">
        <f t="shared" si="7"/>
        <v>17.499999999999996</v>
      </c>
      <c r="Q51">
        <v>17</v>
      </c>
      <c r="R51">
        <f t="shared" si="9"/>
        <v>0.44397590361445782</v>
      </c>
      <c r="S51" s="18">
        <f t="shared" si="3"/>
        <v>0.79915662650602415</v>
      </c>
      <c r="T51" s="18">
        <f t="shared" si="4"/>
        <v>16.100843373493973</v>
      </c>
      <c r="U51" s="18">
        <f t="shared" si="8"/>
        <v>19.346626506024094</v>
      </c>
      <c r="W51">
        <v>568.70000000000005</v>
      </c>
      <c r="Y51">
        <f t="shared" si="6"/>
        <v>20364.100000000002</v>
      </c>
      <c r="AA51">
        <v>12.285172076476623</v>
      </c>
    </row>
    <row r="52" spans="1:27" x14ac:dyDescent="0.25">
      <c r="A52">
        <v>6440</v>
      </c>
      <c r="B52">
        <v>25210</v>
      </c>
      <c r="C52" s="4">
        <v>42630</v>
      </c>
      <c r="F52" s="39"/>
      <c r="G52">
        <v>14.1</v>
      </c>
      <c r="H52">
        <v>13.4</v>
      </c>
      <c r="I52">
        <v>15.4</v>
      </c>
      <c r="J52">
        <f t="shared" si="5"/>
        <v>329.9</v>
      </c>
      <c r="M52">
        <v>0</v>
      </c>
      <c r="N52">
        <v>1.1000000000000001</v>
      </c>
      <c r="O52">
        <f t="shared" si="2"/>
        <v>-1.1000000000000001</v>
      </c>
      <c r="P52">
        <f t="shared" si="7"/>
        <v>16.399999999999995</v>
      </c>
      <c r="Q52">
        <v>18</v>
      </c>
      <c r="R52">
        <f t="shared" si="9"/>
        <v>0.45180722891566261</v>
      </c>
      <c r="S52" s="18">
        <f t="shared" si="3"/>
        <v>0.49698795180722893</v>
      </c>
      <c r="T52" s="18">
        <f t="shared" si="4"/>
        <v>-0.49698795180722893</v>
      </c>
      <c r="U52" s="18">
        <f t="shared" si="8"/>
        <v>18.849638554216867</v>
      </c>
      <c r="W52">
        <v>559.79999999999995</v>
      </c>
      <c r="Y52">
        <f t="shared" si="6"/>
        <v>20923.900000000001</v>
      </c>
      <c r="AA52">
        <v>12.221838552754912</v>
      </c>
    </row>
    <row r="53" spans="1:27" x14ac:dyDescent="0.25">
      <c r="A53">
        <v>6440</v>
      </c>
      <c r="B53">
        <v>25210</v>
      </c>
      <c r="C53" s="4">
        <v>42631</v>
      </c>
      <c r="F53" s="39"/>
      <c r="G53">
        <v>16.399999999999999</v>
      </c>
      <c r="H53">
        <v>11.1</v>
      </c>
      <c r="I53">
        <v>20.2</v>
      </c>
      <c r="J53">
        <f t="shared" si="5"/>
        <v>346.29999999999995</v>
      </c>
      <c r="M53">
        <v>0.2</v>
      </c>
      <c r="N53">
        <v>1.5</v>
      </c>
      <c r="O53">
        <f t="shared" si="2"/>
        <v>-1.3</v>
      </c>
      <c r="P53">
        <f t="shared" si="7"/>
        <v>15.099999999999994</v>
      </c>
      <c r="Q53">
        <v>19</v>
      </c>
      <c r="R53">
        <f t="shared" si="9"/>
        <v>0.45963855421686745</v>
      </c>
      <c r="S53" s="18">
        <f t="shared" si="3"/>
        <v>0.68945783132530114</v>
      </c>
      <c r="T53" s="18">
        <f t="shared" si="4"/>
        <v>-0.48945783132530113</v>
      </c>
      <c r="U53" s="18">
        <f t="shared" si="8"/>
        <v>18.360180722891567</v>
      </c>
      <c r="W53">
        <v>1022.8</v>
      </c>
      <c r="Y53">
        <f t="shared" si="6"/>
        <v>21946.7</v>
      </c>
      <c r="AA53">
        <v>12.158476463580033</v>
      </c>
    </row>
    <row r="54" spans="1:27" x14ac:dyDescent="0.25">
      <c r="A54">
        <v>6440</v>
      </c>
      <c r="B54">
        <v>25210</v>
      </c>
      <c r="C54" s="4">
        <v>42632</v>
      </c>
      <c r="F54" s="39"/>
      <c r="G54">
        <v>16.8</v>
      </c>
      <c r="H54">
        <v>14.7</v>
      </c>
      <c r="I54">
        <v>20</v>
      </c>
      <c r="J54">
        <f t="shared" si="5"/>
        <v>363.09999999999997</v>
      </c>
      <c r="M54">
        <v>0.2</v>
      </c>
      <c r="N54">
        <v>2.4</v>
      </c>
      <c r="O54">
        <f t="shared" si="2"/>
        <v>-2.1999999999999997</v>
      </c>
      <c r="P54">
        <f t="shared" si="7"/>
        <v>12.899999999999995</v>
      </c>
      <c r="Q54">
        <v>20</v>
      </c>
      <c r="R54">
        <f t="shared" si="9"/>
        <v>0.46746987951807228</v>
      </c>
      <c r="S54" s="18">
        <f t="shared" si="3"/>
        <v>1.1219277108433734</v>
      </c>
      <c r="T54" s="18">
        <f t="shared" si="4"/>
        <v>-0.92192771084337344</v>
      </c>
      <c r="U54" s="18">
        <f t="shared" si="8"/>
        <v>17.438253012048193</v>
      </c>
      <c r="W54">
        <v>1301.8</v>
      </c>
      <c r="Y54">
        <f t="shared" si="6"/>
        <v>23248.5</v>
      </c>
      <c r="AA54">
        <v>12.095094011696553</v>
      </c>
    </row>
    <row r="55" spans="1:27" x14ac:dyDescent="0.25">
      <c r="A55">
        <v>6440</v>
      </c>
      <c r="B55">
        <v>25210</v>
      </c>
      <c r="C55" s="4">
        <v>42633</v>
      </c>
      <c r="F55" s="39"/>
      <c r="G55">
        <v>15.3</v>
      </c>
      <c r="H55">
        <v>13.1</v>
      </c>
      <c r="I55">
        <v>19</v>
      </c>
      <c r="J55">
        <f t="shared" si="5"/>
        <v>378.4</v>
      </c>
      <c r="M55">
        <v>0</v>
      </c>
      <c r="N55">
        <v>2.1</v>
      </c>
      <c r="O55">
        <f t="shared" si="2"/>
        <v>-2.1</v>
      </c>
      <c r="P55">
        <f t="shared" si="7"/>
        <v>10.799999999999995</v>
      </c>
      <c r="Q55">
        <v>21</v>
      </c>
      <c r="R55">
        <f t="shared" si="9"/>
        <v>0.47530120481927707</v>
      </c>
      <c r="S55" s="18">
        <f t="shared" si="3"/>
        <v>0.99813253012048186</v>
      </c>
      <c r="T55" s="18">
        <f t="shared" si="4"/>
        <v>-0.99813253012048186</v>
      </c>
      <c r="U55" s="18">
        <f t="shared" si="8"/>
        <v>16.44012048192771</v>
      </c>
      <c r="W55">
        <v>1073.2</v>
      </c>
      <c r="Y55">
        <f t="shared" si="6"/>
        <v>24321.7</v>
      </c>
      <c r="AA55">
        <v>12.031699358666245</v>
      </c>
    </row>
    <row r="56" spans="1:27" x14ac:dyDescent="0.25">
      <c r="A56">
        <v>6440</v>
      </c>
      <c r="B56">
        <v>25210</v>
      </c>
      <c r="C56" s="4">
        <v>42634</v>
      </c>
      <c r="F56" s="39"/>
      <c r="G56">
        <v>14.4</v>
      </c>
      <c r="H56">
        <v>9.5</v>
      </c>
      <c r="I56">
        <v>19.899999999999999</v>
      </c>
      <c r="J56">
        <f t="shared" si="5"/>
        <v>392.79999999999995</v>
      </c>
      <c r="M56">
        <v>0</v>
      </c>
      <c r="N56">
        <v>2.6</v>
      </c>
      <c r="O56">
        <f t="shared" si="2"/>
        <v>-2.6</v>
      </c>
      <c r="P56">
        <f t="shared" si="7"/>
        <v>8.1999999999999957</v>
      </c>
      <c r="Q56">
        <v>22</v>
      </c>
      <c r="R56">
        <f t="shared" si="9"/>
        <v>0.48313253012048191</v>
      </c>
      <c r="S56" s="18">
        <f t="shared" si="3"/>
        <v>1.256144578313253</v>
      </c>
      <c r="T56" s="18">
        <f t="shared" si="4"/>
        <v>-1.256144578313253</v>
      </c>
      <c r="U56" s="18">
        <f t="shared" si="8"/>
        <v>15.183975903614458</v>
      </c>
      <c r="W56">
        <v>1443.9</v>
      </c>
      <c r="Y56">
        <f t="shared" si="6"/>
        <v>25765.600000000002</v>
      </c>
      <c r="AA56">
        <v>11.968300641333757</v>
      </c>
    </row>
    <row r="57" spans="1:27" x14ac:dyDescent="0.25">
      <c r="A57">
        <v>6440</v>
      </c>
      <c r="B57">
        <v>25210</v>
      </c>
      <c r="C57" s="4">
        <v>42635</v>
      </c>
      <c r="F57" s="39"/>
      <c r="G57">
        <v>15.3</v>
      </c>
      <c r="H57">
        <v>10.1</v>
      </c>
      <c r="I57">
        <v>20.7</v>
      </c>
      <c r="J57">
        <f t="shared" si="5"/>
        <v>408.09999999999997</v>
      </c>
      <c r="M57">
        <v>1.2</v>
      </c>
      <c r="N57">
        <v>1.7</v>
      </c>
      <c r="O57">
        <f t="shared" si="2"/>
        <v>-0.5</v>
      </c>
      <c r="P57">
        <f t="shared" si="7"/>
        <v>7.6999999999999957</v>
      </c>
      <c r="Q57">
        <v>23</v>
      </c>
      <c r="R57">
        <f t="shared" si="9"/>
        <v>0.49096385542168675</v>
      </c>
      <c r="S57" s="18">
        <f t="shared" si="3"/>
        <v>0.8346385542168675</v>
      </c>
      <c r="T57" s="18">
        <f t="shared" si="4"/>
        <v>0.36536144578313245</v>
      </c>
      <c r="U57" s="18">
        <f t="shared" si="8"/>
        <v>15.549337349397591</v>
      </c>
      <c r="W57">
        <v>952.2</v>
      </c>
      <c r="Y57">
        <f t="shared" si="6"/>
        <v>26717.800000000003</v>
      </c>
      <c r="AA57">
        <v>11.904905988303447</v>
      </c>
    </row>
    <row r="58" spans="1:27" x14ac:dyDescent="0.25">
      <c r="A58">
        <v>6440</v>
      </c>
      <c r="B58">
        <v>25210</v>
      </c>
      <c r="C58" s="4">
        <v>42636</v>
      </c>
      <c r="F58" s="39"/>
      <c r="G58">
        <v>15.4</v>
      </c>
      <c r="H58">
        <v>12.3</v>
      </c>
      <c r="I58">
        <v>20</v>
      </c>
      <c r="J58">
        <f t="shared" si="5"/>
        <v>423.49999999999994</v>
      </c>
      <c r="M58">
        <v>0</v>
      </c>
      <c r="N58">
        <v>1.9</v>
      </c>
      <c r="O58">
        <f t="shared" si="2"/>
        <v>-1.9</v>
      </c>
      <c r="P58">
        <f t="shared" si="7"/>
        <v>5.7999999999999954</v>
      </c>
      <c r="Q58">
        <v>24</v>
      </c>
      <c r="R58">
        <f t="shared" si="9"/>
        <v>0.49879518072289153</v>
      </c>
      <c r="S58" s="18">
        <f t="shared" si="3"/>
        <v>0.94771084337349387</v>
      </c>
      <c r="T58" s="18">
        <f t="shared" si="4"/>
        <v>-0.94771084337349387</v>
      </c>
      <c r="U58" s="18">
        <f t="shared" si="8"/>
        <v>14.601626506024097</v>
      </c>
      <c r="W58">
        <v>867.2</v>
      </c>
      <c r="Y58">
        <f t="shared" si="6"/>
        <v>27585.000000000004</v>
      </c>
      <c r="AA58">
        <v>11.841523536419967</v>
      </c>
    </row>
    <row r="59" spans="1:27" x14ac:dyDescent="0.25">
      <c r="A59">
        <v>6440</v>
      </c>
      <c r="B59">
        <v>25210</v>
      </c>
      <c r="C59" s="4">
        <v>42637</v>
      </c>
      <c r="F59" s="39"/>
      <c r="G59">
        <v>15.7</v>
      </c>
      <c r="H59">
        <v>10.1</v>
      </c>
      <c r="I59">
        <v>23.2</v>
      </c>
      <c r="J59">
        <f t="shared" si="5"/>
        <v>439.19999999999993</v>
      </c>
      <c r="M59">
        <v>0</v>
      </c>
      <c r="N59">
        <v>3.6</v>
      </c>
      <c r="O59">
        <f t="shared" si="2"/>
        <v>-3.6</v>
      </c>
      <c r="P59">
        <f t="shared" si="7"/>
        <v>2.1999999999999953</v>
      </c>
      <c r="Q59">
        <v>25</v>
      </c>
      <c r="R59">
        <f t="shared" si="9"/>
        <v>0.50662650602409642</v>
      </c>
      <c r="S59" s="18">
        <f t="shared" si="3"/>
        <v>1.8238554216867471</v>
      </c>
      <c r="T59" s="18">
        <f t="shared" si="4"/>
        <v>-1.8238554216867471</v>
      </c>
      <c r="U59" s="18">
        <f t="shared" si="8"/>
        <v>12.777771084337349</v>
      </c>
      <c r="W59">
        <v>1548.9</v>
      </c>
      <c r="Y59">
        <f t="shared" si="6"/>
        <v>29133.900000000005</v>
      </c>
      <c r="AA59">
        <v>11.778161447245086</v>
      </c>
    </row>
    <row r="60" spans="1:27" x14ac:dyDescent="0.25">
      <c r="A60">
        <v>6440</v>
      </c>
      <c r="B60">
        <v>25210</v>
      </c>
      <c r="C60" s="4">
        <v>42638</v>
      </c>
      <c r="F60" s="39"/>
      <c r="G60">
        <v>14.3</v>
      </c>
      <c r="H60">
        <v>13.6</v>
      </c>
      <c r="I60">
        <v>18.2</v>
      </c>
      <c r="J60">
        <f t="shared" si="5"/>
        <v>453.49999999999994</v>
      </c>
      <c r="M60">
        <v>0.3</v>
      </c>
      <c r="N60">
        <v>1.8</v>
      </c>
      <c r="O60">
        <f t="shared" si="2"/>
        <v>-1.5</v>
      </c>
      <c r="P60">
        <f t="shared" si="7"/>
        <v>0.69999999999999529</v>
      </c>
      <c r="Q60">
        <v>26</v>
      </c>
      <c r="R60">
        <f t="shared" si="9"/>
        <v>0.51445783132530121</v>
      </c>
      <c r="S60" s="18">
        <f t="shared" si="3"/>
        <v>0.92602409638554217</v>
      </c>
      <c r="T60" s="18">
        <f t="shared" si="4"/>
        <v>-0.62602409638554213</v>
      </c>
      <c r="U60" s="18">
        <f t="shared" si="8"/>
        <v>12.151746987951807</v>
      </c>
      <c r="W60">
        <v>578.70000000000005</v>
      </c>
      <c r="Y60">
        <f t="shared" si="6"/>
        <v>29712.600000000006</v>
      </c>
      <c r="AA60">
        <v>11.714827923523375</v>
      </c>
    </row>
    <row r="61" spans="1:27" x14ac:dyDescent="0.25">
      <c r="A61">
        <v>6440</v>
      </c>
      <c r="B61">
        <v>25210</v>
      </c>
      <c r="C61" s="4">
        <v>42639</v>
      </c>
      <c r="F61" s="39"/>
      <c r="G61">
        <v>11.7</v>
      </c>
      <c r="H61">
        <v>7.7</v>
      </c>
      <c r="I61">
        <v>17</v>
      </c>
      <c r="J61">
        <f t="shared" si="5"/>
        <v>465.19999999999993</v>
      </c>
      <c r="M61">
        <v>0</v>
      </c>
      <c r="N61">
        <v>1.7</v>
      </c>
      <c r="O61">
        <f t="shared" si="2"/>
        <v>-1.7</v>
      </c>
      <c r="P61">
        <v>0</v>
      </c>
      <c r="Q61">
        <v>27</v>
      </c>
      <c r="R61">
        <f t="shared" si="9"/>
        <v>0.52228915662650599</v>
      </c>
      <c r="S61" s="18">
        <f t="shared" si="3"/>
        <v>0.88789156626506016</v>
      </c>
      <c r="T61" s="18">
        <f t="shared" si="4"/>
        <v>-0.88789156626506016</v>
      </c>
      <c r="U61" s="18">
        <f t="shared" si="8"/>
        <v>11.263855421686747</v>
      </c>
      <c r="W61">
        <v>902</v>
      </c>
      <c r="Y61">
        <f t="shared" si="6"/>
        <v>30614.600000000006</v>
      </c>
      <c r="AA61">
        <v>11.651531225628984</v>
      </c>
    </row>
    <row r="62" spans="1:27" x14ac:dyDescent="0.25">
      <c r="A62">
        <v>6440</v>
      </c>
      <c r="B62">
        <v>25210</v>
      </c>
      <c r="C62" s="4">
        <v>42640</v>
      </c>
      <c r="F62" s="39"/>
      <c r="G62">
        <v>14.4</v>
      </c>
      <c r="H62">
        <v>6.5</v>
      </c>
      <c r="I62">
        <v>21.2</v>
      </c>
      <c r="J62">
        <f t="shared" si="5"/>
        <v>479.59999999999991</v>
      </c>
      <c r="M62">
        <v>0</v>
      </c>
      <c r="N62">
        <v>2.6</v>
      </c>
      <c r="O62">
        <f t="shared" si="2"/>
        <v>-2.6</v>
      </c>
      <c r="P62">
        <v>0</v>
      </c>
      <c r="Q62">
        <v>28</v>
      </c>
      <c r="R62">
        <f t="shared" si="9"/>
        <v>0.53012048192771077</v>
      </c>
      <c r="S62" s="18">
        <f t="shared" si="3"/>
        <v>1.3783132530120481</v>
      </c>
      <c r="T62" s="18">
        <f t="shared" si="4"/>
        <v>-1.3783132530120481</v>
      </c>
      <c r="U62" s="18">
        <f t="shared" si="8"/>
        <v>9.8855421686747</v>
      </c>
      <c r="W62">
        <v>1239.2</v>
      </c>
      <c r="Y62">
        <f t="shared" si="6"/>
        <v>31853.800000000007</v>
      </c>
      <c r="AA62">
        <v>11.588279687985626</v>
      </c>
    </row>
    <row r="63" spans="1:27" x14ac:dyDescent="0.25">
      <c r="A63">
        <v>6440</v>
      </c>
      <c r="B63">
        <v>25210</v>
      </c>
      <c r="C63" s="4">
        <v>42641</v>
      </c>
      <c r="F63" s="39"/>
      <c r="G63">
        <v>16.7</v>
      </c>
      <c r="H63">
        <v>14.6</v>
      </c>
      <c r="I63">
        <v>21.3</v>
      </c>
      <c r="J63">
        <f t="shared" si="5"/>
        <v>496.2999999999999</v>
      </c>
      <c r="M63">
        <v>0</v>
      </c>
      <c r="N63">
        <v>3.1</v>
      </c>
      <c r="O63">
        <f t="shared" si="2"/>
        <v>-3.1</v>
      </c>
      <c r="P63">
        <v>0</v>
      </c>
      <c r="Q63">
        <v>29</v>
      </c>
      <c r="R63">
        <f t="shared" si="9"/>
        <v>0.53795180722891567</v>
      </c>
      <c r="S63" s="18">
        <f t="shared" si="3"/>
        <v>1.6676506024096387</v>
      </c>
      <c r="T63" s="18">
        <f t="shared" si="4"/>
        <v>-1.6676506024096387</v>
      </c>
      <c r="U63" s="18">
        <f t="shared" si="8"/>
        <v>8.2178915662650613</v>
      </c>
      <c r="W63">
        <v>1270.4000000000001</v>
      </c>
      <c r="Y63">
        <f t="shared" si="6"/>
        <v>33124.200000000004</v>
      </c>
      <c r="AA63">
        <v>11.525081735451264</v>
      </c>
    </row>
    <row r="64" spans="1:27" x14ac:dyDescent="0.25">
      <c r="A64">
        <v>6440</v>
      </c>
      <c r="B64">
        <v>25210</v>
      </c>
      <c r="C64" s="4">
        <v>42642</v>
      </c>
      <c r="F64" s="39"/>
      <c r="G64">
        <v>16.5</v>
      </c>
      <c r="H64">
        <v>13.3</v>
      </c>
      <c r="I64">
        <v>19.100000000000001</v>
      </c>
      <c r="J64">
        <f t="shared" si="5"/>
        <v>512.79999999999995</v>
      </c>
      <c r="M64">
        <v>0.6</v>
      </c>
      <c r="N64">
        <v>1.6</v>
      </c>
      <c r="O64">
        <f t="shared" si="2"/>
        <v>-1</v>
      </c>
      <c r="P64">
        <v>0</v>
      </c>
      <c r="Q64">
        <v>30</v>
      </c>
      <c r="R64">
        <f t="shared" si="9"/>
        <v>0.54578313253012045</v>
      </c>
      <c r="S64" s="18">
        <f t="shared" si="3"/>
        <v>0.87325301204819272</v>
      </c>
      <c r="T64" s="18">
        <f t="shared" si="4"/>
        <v>-0.27325301204819274</v>
      </c>
      <c r="U64" s="18">
        <f t="shared" si="8"/>
        <v>7.9446385542168683</v>
      </c>
      <c r="W64">
        <v>560.5</v>
      </c>
      <c r="Y64">
        <f t="shared" si="6"/>
        <v>33684.700000000004</v>
      </c>
      <c r="AA64">
        <v>11.461945899658655</v>
      </c>
    </row>
    <row r="65" spans="1:27" x14ac:dyDescent="0.25">
      <c r="A65">
        <v>6440</v>
      </c>
      <c r="B65">
        <v>25210</v>
      </c>
      <c r="C65" s="4">
        <v>42643</v>
      </c>
      <c r="F65" s="39"/>
      <c r="G65">
        <v>14.7</v>
      </c>
      <c r="H65">
        <v>12.2</v>
      </c>
      <c r="I65">
        <v>18.2</v>
      </c>
      <c r="J65">
        <f t="shared" si="5"/>
        <v>527.5</v>
      </c>
      <c r="M65">
        <v>1.9</v>
      </c>
      <c r="N65">
        <v>1.8</v>
      </c>
      <c r="O65">
        <f t="shared" si="2"/>
        <v>9.9999999999999867E-2</v>
      </c>
      <c r="P65">
        <f t="shared" si="7"/>
        <v>9.9999999999999867E-2</v>
      </c>
      <c r="Q65">
        <v>31</v>
      </c>
      <c r="R65">
        <f t="shared" si="9"/>
        <v>0.55361445783132535</v>
      </c>
      <c r="S65" s="18">
        <f t="shared" si="3"/>
        <v>0.99650602409638567</v>
      </c>
      <c r="T65" s="18">
        <f t="shared" si="4"/>
        <v>0.90349397590361424</v>
      </c>
      <c r="U65" s="18">
        <f t="shared" si="8"/>
        <v>8.8481325301204823</v>
      </c>
      <c r="W65">
        <v>721.5</v>
      </c>
      <c r="Y65">
        <f t="shared" si="6"/>
        <v>34406.200000000004</v>
      </c>
      <c r="AA65">
        <v>11.39888083530197</v>
      </c>
    </row>
    <row r="66" spans="1:27" x14ac:dyDescent="0.25">
      <c r="A66">
        <v>6440</v>
      </c>
      <c r="B66">
        <v>25210</v>
      </c>
      <c r="C66" s="4">
        <v>42644</v>
      </c>
      <c r="F66" s="39"/>
      <c r="G66">
        <v>12.3</v>
      </c>
      <c r="H66">
        <v>10.7</v>
      </c>
      <c r="I66">
        <v>16.3</v>
      </c>
      <c r="J66">
        <f t="shared" si="5"/>
        <v>539.79999999999995</v>
      </c>
      <c r="M66">
        <v>1.7</v>
      </c>
      <c r="N66">
        <v>1.7</v>
      </c>
      <c r="O66">
        <f t="shared" si="2"/>
        <v>0</v>
      </c>
      <c r="P66">
        <f t="shared" si="7"/>
        <v>9.9999999999999867E-2</v>
      </c>
      <c r="Q66">
        <v>32</v>
      </c>
      <c r="R66">
        <f t="shared" si="9"/>
        <v>0.56144578313253013</v>
      </c>
      <c r="S66" s="18">
        <f t="shared" si="3"/>
        <v>0.95445783132530115</v>
      </c>
      <c r="T66" s="18">
        <f t="shared" si="4"/>
        <v>0.7455421686746988</v>
      </c>
      <c r="U66" s="18">
        <f t="shared" si="8"/>
        <v>9.5936746987951818</v>
      </c>
      <c r="W66">
        <v>784.5</v>
      </c>
      <c r="Y66">
        <f t="shared" si="6"/>
        <v>35190.700000000004</v>
      </c>
      <c r="AA66">
        <v>11.335895336359124</v>
      </c>
    </row>
    <row r="67" spans="1:27" x14ac:dyDescent="0.25">
      <c r="A67">
        <v>6440</v>
      </c>
      <c r="B67">
        <v>25210</v>
      </c>
      <c r="C67" s="4">
        <v>42645</v>
      </c>
      <c r="F67" s="39"/>
      <c r="G67">
        <v>11.6</v>
      </c>
      <c r="H67">
        <v>9.6</v>
      </c>
      <c r="I67">
        <v>15.4</v>
      </c>
      <c r="J67">
        <f t="shared" si="5"/>
        <v>551.4</v>
      </c>
      <c r="M67">
        <v>1</v>
      </c>
      <c r="N67">
        <v>1.6</v>
      </c>
      <c r="O67">
        <f t="shared" si="2"/>
        <v>-0.60000000000000009</v>
      </c>
      <c r="P67">
        <v>0</v>
      </c>
      <c r="Q67">
        <v>33</v>
      </c>
      <c r="R67">
        <f t="shared" si="9"/>
        <v>0.56927710843373491</v>
      </c>
      <c r="S67" s="18">
        <f t="shared" si="3"/>
        <v>0.91084337349397593</v>
      </c>
      <c r="T67" s="18">
        <f t="shared" si="4"/>
        <v>8.9156626506024073E-2</v>
      </c>
      <c r="U67" s="18">
        <f t="shared" si="8"/>
        <v>9.6828313253012066</v>
      </c>
      <c r="W67">
        <v>677.7</v>
      </c>
      <c r="Y67">
        <f t="shared" si="6"/>
        <v>35868.400000000001</v>
      </c>
      <c r="AA67">
        <v>11.272998352238435</v>
      </c>
    </row>
    <row r="68" spans="1:27" x14ac:dyDescent="0.25">
      <c r="A68">
        <v>6440</v>
      </c>
      <c r="B68">
        <v>25210</v>
      </c>
      <c r="C68" s="4">
        <v>42646</v>
      </c>
      <c r="F68" s="39"/>
      <c r="G68">
        <v>10.6</v>
      </c>
      <c r="H68">
        <v>5</v>
      </c>
      <c r="I68">
        <v>16.600000000000001</v>
      </c>
      <c r="J68">
        <f t="shared" si="5"/>
        <v>562</v>
      </c>
      <c r="M68">
        <v>0.3</v>
      </c>
      <c r="N68">
        <v>2.2999999999999998</v>
      </c>
      <c r="O68">
        <f t="shared" si="2"/>
        <v>-1.9999999999999998</v>
      </c>
      <c r="P68">
        <v>0</v>
      </c>
      <c r="Q68">
        <v>34</v>
      </c>
      <c r="R68">
        <f t="shared" si="9"/>
        <v>0.5771084337349397</v>
      </c>
      <c r="S68" s="18">
        <f t="shared" si="3"/>
        <v>1.3273493975903612</v>
      </c>
      <c r="T68" s="18">
        <f t="shared" si="4"/>
        <v>-1.0273493975903611</v>
      </c>
      <c r="U68" s="18">
        <f t="shared" si="8"/>
        <v>8.655481927710845</v>
      </c>
      <c r="W68">
        <v>1322.9</v>
      </c>
      <c r="Y68">
        <f t="shared" si="6"/>
        <v>37191.300000000003</v>
      </c>
      <c r="AA68">
        <v>11.210199003837069</v>
      </c>
    </row>
    <row r="69" spans="1:27" x14ac:dyDescent="0.25">
      <c r="A69">
        <v>6440</v>
      </c>
      <c r="B69">
        <v>25210</v>
      </c>
      <c r="C69" s="4">
        <v>42647</v>
      </c>
      <c r="F69" s="39"/>
      <c r="G69">
        <v>12.3</v>
      </c>
      <c r="H69">
        <v>7.9</v>
      </c>
      <c r="I69">
        <v>17.8</v>
      </c>
      <c r="J69">
        <f t="shared" si="5"/>
        <v>574.29999999999995</v>
      </c>
      <c r="M69">
        <v>0</v>
      </c>
      <c r="N69">
        <v>2.6</v>
      </c>
      <c r="O69">
        <f t="shared" si="2"/>
        <v>-2.6</v>
      </c>
      <c r="P69">
        <v>0</v>
      </c>
      <c r="Q69">
        <v>35</v>
      </c>
      <c r="R69">
        <f t="shared" si="9"/>
        <v>0.58493975903614459</v>
      </c>
      <c r="S69" s="18">
        <f t="shared" si="3"/>
        <v>1.5208433734939759</v>
      </c>
      <c r="T69" s="18">
        <f t="shared" si="4"/>
        <v>-1.5208433734939759</v>
      </c>
      <c r="U69" s="18">
        <f t="shared" si="8"/>
        <v>7.1346385542168687</v>
      </c>
      <c r="W69">
        <v>1341.7</v>
      </c>
      <c r="Y69">
        <f t="shared" si="6"/>
        <v>38533</v>
      </c>
      <c r="AA69">
        <v>11.147506599497721</v>
      </c>
    </row>
    <row r="70" spans="1:27" x14ac:dyDescent="0.25">
      <c r="A70">
        <v>6440</v>
      </c>
      <c r="B70">
        <v>25210</v>
      </c>
      <c r="C70" s="4">
        <v>42648</v>
      </c>
      <c r="F70" s="39"/>
      <c r="G70">
        <v>10.6</v>
      </c>
      <c r="H70">
        <v>7</v>
      </c>
      <c r="I70">
        <v>15.5</v>
      </c>
      <c r="J70">
        <f t="shared" si="5"/>
        <v>584.9</v>
      </c>
      <c r="M70">
        <v>0</v>
      </c>
      <c r="N70">
        <v>2.9</v>
      </c>
      <c r="O70">
        <f t="shared" si="2"/>
        <v>-2.9</v>
      </c>
      <c r="P70">
        <v>0</v>
      </c>
      <c r="Q70">
        <v>36</v>
      </c>
      <c r="R70">
        <f t="shared" si="9"/>
        <v>0.59277108433734937</v>
      </c>
      <c r="S70" s="18">
        <f t="shared" si="3"/>
        <v>1.7190361445783131</v>
      </c>
      <c r="T70" s="18">
        <f t="shared" si="4"/>
        <v>-1.7190361445783131</v>
      </c>
      <c r="U70" s="18">
        <f t="shared" si="8"/>
        <v>5.4156024096385558</v>
      </c>
      <c r="W70">
        <v>1423.4</v>
      </c>
      <c r="Y70">
        <f t="shared" si="6"/>
        <v>39956.400000000001</v>
      </c>
      <c r="AA70">
        <v>11.08493065084855</v>
      </c>
    </row>
    <row r="71" spans="1:27" x14ac:dyDescent="0.25">
      <c r="A71">
        <v>6440</v>
      </c>
      <c r="B71">
        <v>25210</v>
      </c>
      <c r="C71" s="4">
        <v>42649</v>
      </c>
      <c r="F71" s="39"/>
      <c r="G71">
        <v>8.9</v>
      </c>
      <c r="H71">
        <v>4.0999999999999996</v>
      </c>
      <c r="I71">
        <v>13.1</v>
      </c>
      <c r="J71">
        <f t="shared" si="5"/>
        <v>593.79999999999995</v>
      </c>
      <c r="M71">
        <v>0</v>
      </c>
      <c r="N71">
        <v>2</v>
      </c>
      <c r="O71">
        <f t="shared" si="2"/>
        <v>-2</v>
      </c>
      <c r="P71">
        <v>0</v>
      </c>
      <c r="Q71">
        <v>37</v>
      </c>
      <c r="R71">
        <f t="shared" si="9"/>
        <v>0.60060240963855427</v>
      </c>
      <c r="S71" s="18">
        <f t="shared" si="3"/>
        <v>1.2012048192771085</v>
      </c>
      <c r="T71" s="18">
        <f t="shared" si="4"/>
        <v>-1.2012048192771085</v>
      </c>
      <c r="U71" s="18">
        <f t="shared" si="8"/>
        <v>4.2143975903614468</v>
      </c>
      <c r="W71">
        <v>1157.7</v>
      </c>
      <c r="Y71">
        <f t="shared" si="6"/>
        <v>41114.1</v>
      </c>
      <c r="AA71">
        <v>11.022480888509966</v>
      </c>
    </row>
    <row r="72" spans="1:27" x14ac:dyDescent="0.25">
      <c r="A72">
        <v>6440</v>
      </c>
      <c r="B72">
        <v>25210</v>
      </c>
      <c r="C72" s="4">
        <v>42650</v>
      </c>
      <c r="F72" s="39"/>
      <c r="G72">
        <v>11.2</v>
      </c>
      <c r="H72">
        <v>8.8000000000000007</v>
      </c>
      <c r="I72">
        <v>13.8</v>
      </c>
      <c r="J72">
        <f t="shared" si="5"/>
        <v>605</v>
      </c>
      <c r="M72">
        <v>0</v>
      </c>
      <c r="N72">
        <v>1.1000000000000001</v>
      </c>
      <c r="O72">
        <f t="shared" si="2"/>
        <v>-1.1000000000000001</v>
      </c>
      <c r="P72">
        <v>0</v>
      </c>
      <c r="Q72">
        <v>38</v>
      </c>
      <c r="R72">
        <f t="shared" si="9"/>
        <v>0.60843373493975905</v>
      </c>
      <c r="S72" s="18">
        <f t="shared" si="3"/>
        <v>0.669277108433735</v>
      </c>
      <c r="T72" s="18">
        <f t="shared" si="4"/>
        <v>-0.669277108433735</v>
      </c>
      <c r="U72" s="18">
        <f t="shared" si="8"/>
        <v>3.5451204819277118</v>
      </c>
      <c r="W72">
        <v>369.4</v>
      </c>
      <c r="Y72">
        <f t="shared" si="6"/>
        <v>41483.5</v>
      </c>
      <c r="AA72">
        <v>10.960167277650259</v>
      </c>
    </row>
    <row r="73" spans="1:27" x14ac:dyDescent="0.25">
      <c r="A73">
        <v>6440</v>
      </c>
      <c r="B73">
        <v>25210</v>
      </c>
      <c r="C73" s="4">
        <v>42651</v>
      </c>
      <c r="F73" s="39"/>
      <c r="G73">
        <v>10</v>
      </c>
      <c r="H73">
        <v>9.1999999999999993</v>
      </c>
      <c r="I73">
        <v>14</v>
      </c>
      <c r="J73">
        <f t="shared" si="5"/>
        <v>615</v>
      </c>
      <c r="M73">
        <v>0</v>
      </c>
      <c r="N73">
        <v>1.4</v>
      </c>
      <c r="O73">
        <f t="shared" si="2"/>
        <v>-1.4</v>
      </c>
      <c r="P73">
        <v>0</v>
      </c>
      <c r="Q73">
        <v>39</v>
      </c>
      <c r="R73">
        <f t="shared" si="9"/>
        <v>0.61626506024096384</v>
      </c>
      <c r="S73" s="18">
        <f t="shared" si="3"/>
        <v>0.86277108433734928</v>
      </c>
      <c r="T73" s="18">
        <f t="shared" si="4"/>
        <v>-0.86277108433734928</v>
      </c>
      <c r="U73" s="18">
        <f t="shared" si="8"/>
        <v>2.6823493975903627</v>
      </c>
      <c r="W73">
        <v>564.6</v>
      </c>
      <c r="Y73">
        <f t="shared" si="6"/>
        <v>42048.1</v>
      </c>
      <c r="AA73">
        <v>10.898000033370455</v>
      </c>
    </row>
    <row r="74" spans="1:27" x14ac:dyDescent="0.25">
      <c r="A74">
        <v>6440</v>
      </c>
      <c r="B74">
        <v>25210</v>
      </c>
      <c r="C74" s="4">
        <v>42652</v>
      </c>
      <c r="F74" s="39"/>
      <c r="G74">
        <v>7.5</v>
      </c>
      <c r="H74">
        <v>2.7</v>
      </c>
      <c r="I74">
        <v>14.3</v>
      </c>
      <c r="J74">
        <f t="shared" si="5"/>
        <v>622.5</v>
      </c>
      <c r="M74">
        <v>0</v>
      </c>
      <c r="N74">
        <v>2</v>
      </c>
      <c r="O74">
        <f t="shared" si="2"/>
        <v>-2</v>
      </c>
      <c r="P74">
        <v>0</v>
      </c>
      <c r="Q74">
        <v>40</v>
      </c>
      <c r="R74">
        <f t="shared" si="9"/>
        <v>0.62409638554216862</v>
      </c>
      <c r="S74" s="18">
        <f t="shared" si="3"/>
        <v>1.2481927710843372</v>
      </c>
      <c r="T74" s="18">
        <f t="shared" si="4"/>
        <v>-1.2481927710843372</v>
      </c>
      <c r="U74" s="18">
        <f t="shared" si="8"/>
        <v>1.4341566265060255</v>
      </c>
      <c r="W74">
        <v>1224.4000000000001</v>
      </c>
      <c r="Y74">
        <f t="shared" si="6"/>
        <v>43272.5</v>
      </c>
      <c r="AA74">
        <v>10.835989635896825</v>
      </c>
    </row>
    <row r="75" spans="1:27" x14ac:dyDescent="0.25">
      <c r="A75">
        <v>6440</v>
      </c>
      <c r="B75">
        <v>25210</v>
      </c>
      <c r="C75" s="4">
        <v>42653</v>
      </c>
      <c r="F75" s="39"/>
      <c r="G75">
        <v>7.7</v>
      </c>
      <c r="H75">
        <v>2.7</v>
      </c>
      <c r="I75">
        <v>13.8</v>
      </c>
      <c r="J75">
        <f t="shared" si="5"/>
        <v>630.20000000000005</v>
      </c>
      <c r="M75">
        <v>2.9</v>
      </c>
      <c r="N75">
        <v>1.2</v>
      </c>
      <c r="O75">
        <f t="shared" si="2"/>
        <v>1.7</v>
      </c>
      <c r="P75">
        <f t="shared" si="7"/>
        <v>1.7</v>
      </c>
      <c r="Q75">
        <v>41</v>
      </c>
      <c r="R75">
        <f t="shared" si="9"/>
        <v>0.63192771084337351</v>
      </c>
      <c r="S75" s="18">
        <f t="shared" si="3"/>
        <v>0.75831325301204822</v>
      </c>
      <c r="T75" s="18">
        <f t="shared" si="4"/>
        <v>2.1416867469879515</v>
      </c>
      <c r="U75" s="18">
        <f t="shared" si="8"/>
        <v>3.575843373493977</v>
      </c>
      <c r="W75">
        <v>737.9</v>
      </c>
      <c r="Y75">
        <f t="shared" si="6"/>
        <v>44010.400000000001</v>
      </c>
      <c r="AA75">
        <v>10.774146845557638</v>
      </c>
    </row>
    <row r="76" spans="1:27" x14ac:dyDescent="0.25">
      <c r="A76">
        <v>6440</v>
      </c>
      <c r="B76">
        <v>25210</v>
      </c>
      <c r="C76" s="4">
        <v>42654</v>
      </c>
      <c r="F76" s="39"/>
      <c r="G76">
        <v>6.5</v>
      </c>
      <c r="H76">
        <v>3</v>
      </c>
      <c r="I76">
        <v>12.2</v>
      </c>
      <c r="J76">
        <f t="shared" si="5"/>
        <v>636.70000000000005</v>
      </c>
      <c r="M76">
        <v>0.1</v>
      </c>
      <c r="N76">
        <v>1.4</v>
      </c>
      <c r="O76">
        <f t="shared" si="2"/>
        <v>-1.2999999999999998</v>
      </c>
      <c r="P76">
        <f t="shared" si="7"/>
        <v>0.40000000000000013</v>
      </c>
      <c r="Q76">
        <v>42</v>
      </c>
      <c r="R76">
        <f t="shared" si="9"/>
        <v>0.6397590361445783</v>
      </c>
      <c r="S76" s="18">
        <f t="shared" si="3"/>
        <v>0.89566265060240957</v>
      </c>
      <c r="T76" s="18">
        <f t="shared" si="4"/>
        <v>-0.79566265060240959</v>
      </c>
      <c r="U76" s="18">
        <f t="shared" si="8"/>
        <v>2.7801807228915676</v>
      </c>
      <c r="W76">
        <v>884.7</v>
      </c>
      <c r="Y76">
        <f t="shared" si="6"/>
        <v>44895.1</v>
      </c>
      <c r="AA76">
        <v>10.712482717518538</v>
      </c>
    </row>
    <row r="77" spans="1:27" x14ac:dyDescent="0.25">
      <c r="A77">
        <v>6440</v>
      </c>
      <c r="B77">
        <v>25210</v>
      </c>
      <c r="C77" s="4">
        <v>42655</v>
      </c>
      <c r="F77" s="39"/>
      <c r="G77">
        <v>7.1</v>
      </c>
      <c r="H77">
        <v>1.2</v>
      </c>
      <c r="I77">
        <v>11.2</v>
      </c>
      <c r="J77">
        <f t="shared" si="5"/>
        <v>643.80000000000007</v>
      </c>
      <c r="M77">
        <v>0</v>
      </c>
      <c r="N77">
        <v>0.8</v>
      </c>
      <c r="O77">
        <f t="shared" si="2"/>
        <v>-0.8</v>
      </c>
      <c r="P77">
        <v>0</v>
      </c>
      <c r="Q77">
        <v>43</v>
      </c>
      <c r="R77">
        <f t="shared" si="9"/>
        <v>0.64759036144578308</v>
      </c>
      <c r="S77" s="18">
        <f t="shared" si="3"/>
        <v>0.51807228915662651</v>
      </c>
      <c r="T77" s="18">
        <f t="shared" si="4"/>
        <v>-0.51807228915662651</v>
      </c>
      <c r="U77" s="18">
        <f t="shared" si="8"/>
        <v>2.2621084337349409</v>
      </c>
      <c r="W77">
        <v>609.29999999999995</v>
      </c>
      <c r="Y77">
        <f t="shared" si="6"/>
        <v>45504.4</v>
      </c>
      <c r="AA77">
        <v>10.651008616248818</v>
      </c>
    </row>
    <row r="78" spans="1:27" x14ac:dyDescent="0.25">
      <c r="A78">
        <v>6440</v>
      </c>
      <c r="B78">
        <v>25210</v>
      </c>
      <c r="C78" s="4">
        <v>42656</v>
      </c>
      <c r="F78" s="39"/>
      <c r="G78">
        <v>8.9</v>
      </c>
      <c r="H78">
        <v>5.6</v>
      </c>
      <c r="I78">
        <v>11.6</v>
      </c>
      <c r="J78">
        <f t="shared" si="5"/>
        <v>652.70000000000005</v>
      </c>
      <c r="M78">
        <v>0.2</v>
      </c>
      <c r="N78">
        <v>1</v>
      </c>
      <c r="O78">
        <f t="shared" si="2"/>
        <v>-0.8</v>
      </c>
      <c r="P78">
        <v>0</v>
      </c>
      <c r="Q78">
        <v>44</v>
      </c>
      <c r="R78">
        <f t="shared" si="9"/>
        <v>0.65542168674698797</v>
      </c>
      <c r="S78" s="18">
        <f t="shared" si="3"/>
        <v>0.65542168674698797</v>
      </c>
      <c r="T78" s="18">
        <f t="shared" si="4"/>
        <v>-0.45542168674698796</v>
      </c>
      <c r="U78" s="18">
        <f t="shared" si="8"/>
        <v>1.8066867469879528</v>
      </c>
      <c r="W78">
        <v>556.20000000000005</v>
      </c>
      <c r="Y78">
        <f t="shared" si="6"/>
        <v>46060.6</v>
      </c>
      <c r="AA78">
        <v>10.589736229688469</v>
      </c>
    </row>
    <row r="79" spans="1:27" x14ac:dyDescent="0.25">
      <c r="A79">
        <v>6440</v>
      </c>
      <c r="B79">
        <v>25210</v>
      </c>
      <c r="C79" s="4">
        <v>42657</v>
      </c>
      <c r="F79" s="39"/>
      <c r="G79">
        <v>10.3</v>
      </c>
      <c r="H79">
        <v>8.6</v>
      </c>
      <c r="I79">
        <v>12.6</v>
      </c>
      <c r="J79">
        <f t="shared" si="5"/>
        <v>663</v>
      </c>
      <c r="M79">
        <v>8</v>
      </c>
      <c r="N79">
        <v>1</v>
      </c>
      <c r="O79">
        <f t="shared" si="2"/>
        <v>7</v>
      </c>
      <c r="P79">
        <f t="shared" si="7"/>
        <v>7</v>
      </c>
      <c r="Q79">
        <v>45</v>
      </c>
      <c r="R79">
        <f t="shared" si="9"/>
        <v>0.66325301204819276</v>
      </c>
      <c r="S79" s="18">
        <f t="shared" si="3"/>
        <v>0.66325301204819276</v>
      </c>
      <c r="T79" s="18">
        <f t="shared" si="4"/>
        <v>7.3367469879518072</v>
      </c>
      <c r="U79" s="18">
        <f t="shared" si="8"/>
        <v>9.1434337349397605</v>
      </c>
      <c r="W79">
        <v>328.5</v>
      </c>
      <c r="Y79">
        <f t="shared" si="6"/>
        <v>46389.1</v>
      </c>
      <c r="AA79">
        <v>10.528677583083477</v>
      </c>
    </row>
    <row r="80" spans="1:27" x14ac:dyDescent="0.25">
      <c r="A80">
        <v>6440</v>
      </c>
      <c r="B80">
        <v>25210</v>
      </c>
      <c r="C80" s="4">
        <v>42658</v>
      </c>
      <c r="F80" s="39"/>
      <c r="G80">
        <v>12.3</v>
      </c>
      <c r="H80">
        <v>9.6</v>
      </c>
      <c r="I80">
        <v>14.8</v>
      </c>
      <c r="J80">
        <f t="shared" si="5"/>
        <v>675.3</v>
      </c>
      <c r="M80">
        <v>0</v>
      </c>
      <c r="N80">
        <v>1.2</v>
      </c>
      <c r="O80">
        <f t="shared" si="2"/>
        <v>-1.2</v>
      </c>
      <c r="P80">
        <f t="shared" si="7"/>
        <v>5.8</v>
      </c>
      <c r="Q80">
        <v>46</v>
      </c>
      <c r="R80">
        <f t="shared" si="9"/>
        <v>0.67108433734939754</v>
      </c>
      <c r="S80" s="18">
        <f t="shared" si="3"/>
        <v>0.80530120481927703</v>
      </c>
      <c r="T80" s="18">
        <f t="shared" si="4"/>
        <v>-0.80530120481927703</v>
      </c>
      <c r="U80" s="18">
        <f t="shared" si="8"/>
        <v>8.3381325301204843</v>
      </c>
      <c r="W80">
        <v>548.29999999999995</v>
      </c>
      <c r="Y80">
        <f t="shared" si="6"/>
        <v>46937.4</v>
      </c>
      <c r="AA80">
        <v>10.46784505245421</v>
      </c>
    </row>
    <row r="81" spans="1:27" x14ac:dyDescent="0.25">
      <c r="A81">
        <v>6440</v>
      </c>
      <c r="B81">
        <v>25210</v>
      </c>
      <c r="C81" s="4">
        <v>42659</v>
      </c>
      <c r="F81" s="39"/>
      <c r="G81">
        <v>13.5</v>
      </c>
      <c r="H81">
        <v>8.1999999999999993</v>
      </c>
      <c r="I81">
        <v>19.5</v>
      </c>
      <c r="J81">
        <f t="shared" si="5"/>
        <v>688.8</v>
      </c>
      <c r="M81">
        <v>9.4</v>
      </c>
      <c r="N81">
        <v>2.2000000000000002</v>
      </c>
      <c r="O81">
        <f t="shared" si="2"/>
        <v>7.2</v>
      </c>
      <c r="P81">
        <f t="shared" si="7"/>
        <v>13</v>
      </c>
      <c r="Q81">
        <v>47</v>
      </c>
      <c r="R81">
        <f t="shared" si="9"/>
        <v>0.67891566265060233</v>
      </c>
      <c r="S81" s="18">
        <f t="shared" si="3"/>
        <v>1.4936144578313253</v>
      </c>
      <c r="T81" s="18">
        <f t="shared" si="4"/>
        <v>7.9063855421686746</v>
      </c>
      <c r="U81" s="18">
        <f t="shared" si="8"/>
        <v>16.244518072289161</v>
      </c>
      <c r="W81">
        <v>999.9</v>
      </c>
      <c r="Y81">
        <f t="shared" si="6"/>
        <v>47937.3</v>
      </c>
      <c r="AA81">
        <v>10.407251377659135</v>
      </c>
    </row>
    <row r="82" spans="1:27" x14ac:dyDescent="0.25">
      <c r="A82">
        <v>6440</v>
      </c>
      <c r="B82">
        <v>25210</v>
      </c>
      <c r="C82" s="4">
        <v>42660</v>
      </c>
      <c r="F82" s="39"/>
      <c r="G82">
        <v>12</v>
      </c>
      <c r="H82">
        <v>11.3</v>
      </c>
      <c r="I82">
        <v>14.8</v>
      </c>
      <c r="J82">
        <f t="shared" si="5"/>
        <v>700.8</v>
      </c>
      <c r="M82">
        <v>0.3</v>
      </c>
      <c r="N82">
        <v>1.5</v>
      </c>
      <c r="O82">
        <f t="shared" si="2"/>
        <v>-1.2</v>
      </c>
      <c r="P82">
        <f t="shared" si="7"/>
        <v>11.8</v>
      </c>
      <c r="Q82">
        <v>48</v>
      </c>
      <c r="R82">
        <f t="shared" si="9"/>
        <v>0.68674698795180722</v>
      </c>
      <c r="S82" s="18">
        <f t="shared" si="3"/>
        <v>1.0301204819277108</v>
      </c>
      <c r="T82" s="18">
        <f t="shared" si="4"/>
        <v>-0.73012048192771073</v>
      </c>
      <c r="U82" s="18">
        <f t="shared" si="8"/>
        <v>15.514397590361449</v>
      </c>
      <c r="W82">
        <v>711.1</v>
      </c>
      <c r="Y82">
        <f t="shared" si="6"/>
        <v>48648.4</v>
      </c>
      <c r="AA82">
        <v>10.346909675013272</v>
      </c>
    </row>
    <row r="83" spans="1:27" x14ac:dyDescent="0.25">
      <c r="A83">
        <v>6440</v>
      </c>
      <c r="B83">
        <v>25210</v>
      </c>
      <c r="C83" s="4">
        <v>42661</v>
      </c>
      <c r="F83" s="39"/>
      <c r="G83">
        <v>9.4</v>
      </c>
      <c r="H83">
        <v>7</v>
      </c>
      <c r="I83">
        <v>13.5</v>
      </c>
      <c r="J83">
        <f t="shared" si="5"/>
        <v>710.19999999999993</v>
      </c>
      <c r="M83">
        <v>2.2000000000000002</v>
      </c>
      <c r="N83">
        <v>1.1000000000000001</v>
      </c>
      <c r="O83">
        <f t="shared" si="2"/>
        <v>1.1000000000000001</v>
      </c>
      <c r="P83">
        <f t="shared" si="7"/>
        <v>12.9</v>
      </c>
      <c r="Q83">
        <v>49</v>
      </c>
      <c r="R83">
        <f t="shared" si="9"/>
        <v>0.69457831325301211</v>
      </c>
      <c r="S83" s="18">
        <f t="shared" si="3"/>
        <v>0.76403614457831337</v>
      </c>
      <c r="T83" s="18">
        <f t="shared" si="4"/>
        <v>1.4359638554216869</v>
      </c>
      <c r="U83" s="18">
        <f t="shared" si="8"/>
        <v>16.950361445783138</v>
      </c>
      <c r="W83">
        <v>459.2</v>
      </c>
      <c r="Y83">
        <f t="shared" si="6"/>
        <v>49107.6</v>
      </c>
      <c r="AA83">
        <v>10.286833449417998</v>
      </c>
    </row>
    <row r="84" spans="1:27" x14ac:dyDescent="0.25">
      <c r="A84">
        <v>6440</v>
      </c>
      <c r="B84">
        <v>25210</v>
      </c>
      <c r="C84" s="4">
        <v>42662</v>
      </c>
      <c r="F84" s="39"/>
      <c r="G84">
        <v>9.5</v>
      </c>
      <c r="H84">
        <v>6.7</v>
      </c>
      <c r="I84">
        <v>13.1</v>
      </c>
      <c r="J84">
        <f t="shared" si="5"/>
        <v>719.69999999999993</v>
      </c>
      <c r="M84">
        <v>0.8</v>
      </c>
      <c r="N84">
        <v>1.3</v>
      </c>
      <c r="O84">
        <f t="shared" si="2"/>
        <v>-0.5</v>
      </c>
      <c r="P84">
        <f t="shared" si="7"/>
        <v>12.4</v>
      </c>
      <c r="Q84">
        <v>50</v>
      </c>
      <c r="R84">
        <f t="shared" si="9"/>
        <v>0.7024096385542169</v>
      </c>
      <c r="S84" s="18">
        <f t="shared" si="3"/>
        <v>0.91313253012048201</v>
      </c>
      <c r="T84" s="18">
        <f t="shared" si="4"/>
        <v>-0.11313253012048197</v>
      </c>
      <c r="U84" s="18">
        <f t="shared" si="8"/>
        <v>16.837228915662656</v>
      </c>
      <c r="W84">
        <v>551.9</v>
      </c>
      <c r="Y84">
        <f t="shared" si="6"/>
        <v>49659.5</v>
      </c>
      <c r="AA84">
        <v>10.227036605955739</v>
      </c>
    </row>
    <row r="85" spans="1:27" x14ac:dyDescent="0.25">
      <c r="A85">
        <v>6440</v>
      </c>
      <c r="B85">
        <v>25210</v>
      </c>
      <c r="C85" s="4">
        <v>42663</v>
      </c>
      <c r="F85" s="39"/>
      <c r="G85">
        <v>10.6</v>
      </c>
      <c r="H85">
        <v>9</v>
      </c>
      <c r="I85">
        <v>13.9</v>
      </c>
      <c r="J85">
        <f t="shared" si="5"/>
        <v>730.3</v>
      </c>
      <c r="M85">
        <v>2</v>
      </c>
      <c r="N85">
        <v>1.1000000000000001</v>
      </c>
      <c r="O85">
        <f t="shared" si="2"/>
        <v>0.89999999999999991</v>
      </c>
      <c r="P85">
        <f t="shared" si="7"/>
        <v>13.3</v>
      </c>
      <c r="Q85">
        <v>51</v>
      </c>
      <c r="R85">
        <f t="shared" si="9"/>
        <v>0.71024096385542168</v>
      </c>
      <c r="S85" s="18">
        <f t="shared" si="3"/>
        <v>0.78126506024096387</v>
      </c>
      <c r="T85" s="18">
        <f t="shared" si="4"/>
        <v>1.2187349397590361</v>
      </c>
      <c r="U85" s="18">
        <f t="shared" si="8"/>
        <v>18.055963855421691</v>
      </c>
      <c r="W85">
        <v>476.8</v>
      </c>
      <c r="Y85">
        <f t="shared" si="6"/>
        <v>50136.3</v>
      </c>
      <c r="AA85">
        <v>10.167533460900229</v>
      </c>
    </row>
    <row r="86" spans="1:27" x14ac:dyDescent="0.25">
      <c r="A86">
        <v>6440</v>
      </c>
      <c r="B86">
        <v>25210</v>
      </c>
      <c r="C86" s="4">
        <v>42664</v>
      </c>
      <c r="F86" s="39"/>
      <c r="G86">
        <v>9.3000000000000007</v>
      </c>
      <c r="H86">
        <v>8.3000000000000007</v>
      </c>
      <c r="I86">
        <v>12.3</v>
      </c>
      <c r="J86">
        <f t="shared" si="5"/>
        <v>739.59999999999991</v>
      </c>
      <c r="M86">
        <v>1</v>
      </c>
      <c r="N86">
        <v>0.9</v>
      </c>
      <c r="O86">
        <f t="shared" si="2"/>
        <v>9.9999999999999978E-2</v>
      </c>
      <c r="P86">
        <f t="shared" si="7"/>
        <v>13.4</v>
      </c>
      <c r="Q86">
        <v>52</v>
      </c>
      <c r="R86">
        <f t="shared" si="9"/>
        <v>0.71807228915662646</v>
      </c>
      <c r="S86" s="18">
        <f t="shared" si="3"/>
        <v>0.64626506024096386</v>
      </c>
      <c r="T86" s="18">
        <f t="shared" si="4"/>
        <v>0.35373493975903614</v>
      </c>
      <c r="U86" s="18">
        <f t="shared" si="8"/>
        <v>18.409698795180727</v>
      </c>
      <c r="W86">
        <v>423.1</v>
      </c>
      <c r="Y86">
        <f t="shared" si="6"/>
        <v>50559.4</v>
      </c>
      <c r="AA86">
        <v>10.108338752089793</v>
      </c>
    </row>
    <row r="87" spans="1:27" x14ac:dyDescent="0.25">
      <c r="A87">
        <v>6440</v>
      </c>
      <c r="B87">
        <v>25210</v>
      </c>
      <c r="C87" s="4">
        <v>42665</v>
      </c>
      <c r="F87" s="39"/>
      <c r="G87">
        <v>7.2</v>
      </c>
      <c r="H87">
        <v>3.7</v>
      </c>
      <c r="I87">
        <v>10.7</v>
      </c>
      <c r="J87">
        <f t="shared" si="5"/>
        <v>746.8</v>
      </c>
      <c r="M87">
        <v>0.2</v>
      </c>
      <c r="N87">
        <v>0.9</v>
      </c>
      <c r="O87">
        <f t="shared" si="2"/>
        <v>-0.7</v>
      </c>
      <c r="P87">
        <f t="shared" si="7"/>
        <v>12.700000000000001</v>
      </c>
      <c r="Q87">
        <v>53</v>
      </c>
      <c r="R87">
        <f t="shared" si="9"/>
        <v>0.72590361445783125</v>
      </c>
      <c r="S87" s="18">
        <f t="shared" si="3"/>
        <v>0.65331325301204812</v>
      </c>
      <c r="T87" s="18">
        <f t="shared" si="4"/>
        <v>-0.45331325301204811</v>
      </c>
      <c r="U87" s="18">
        <f t="shared" si="8"/>
        <v>17.956385542168679</v>
      </c>
      <c r="W87">
        <v>619.4</v>
      </c>
      <c r="Y87">
        <f t="shared" si="6"/>
        <v>51178.8</v>
      </c>
      <c r="AA87">
        <v>10.04946764860812</v>
      </c>
    </row>
    <row r="88" spans="1:27" x14ac:dyDescent="0.25">
      <c r="A88">
        <v>6440</v>
      </c>
      <c r="B88">
        <v>25210</v>
      </c>
      <c r="C88" s="4">
        <v>42666</v>
      </c>
      <c r="F88" s="39"/>
      <c r="G88">
        <v>7.5</v>
      </c>
      <c r="H88">
        <v>5.2</v>
      </c>
      <c r="I88">
        <v>9</v>
      </c>
      <c r="J88">
        <f t="shared" si="5"/>
        <v>754.3</v>
      </c>
      <c r="M88">
        <v>1.3</v>
      </c>
      <c r="N88">
        <v>0.4</v>
      </c>
      <c r="O88">
        <f t="shared" si="2"/>
        <v>0.9</v>
      </c>
      <c r="P88">
        <f t="shared" si="7"/>
        <v>13.600000000000001</v>
      </c>
      <c r="Q88">
        <v>54</v>
      </c>
      <c r="R88">
        <f t="shared" si="9"/>
        <v>0.73373493975903614</v>
      </c>
      <c r="S88" s="18">
        <f t="shared" si="3"/>
        <v>0.29349397590361448</v>
      </c>
      <c r="T88" s="18">
        <f t="shared" si="4"/>
        <v>1.0065060240963857</v>
      </c>
      <c r="U88" s="18">
        <f t="shared" si="8"/>
        <v>18.962891566265064</v>
      </c>
      <c r="W88">
        <v>233.7</v>
      </c>
      <c r="Y88">
        <f t="shared" si="6"/>
        <v>51412.5</v>
      </c>
      <c r="AA88">
        <v>9.990935759713734</v>
      </c>
    </row>
    <row r="89" spans="1:27" x14ac:dyDescent="0.25">
      <c r="A89">
        <v>6440</v>
      </c>
      <c r="B89">
        <v>25210</v>
      </c>
      <c r="C89" s="4">
        <v>42667</v>
      </c>
      <c r="F89" s="39"/>
      <c r="G89">
        <v>9.9</v>
      </c>
      <c r="H89">
        <v>8.6999999999999993</v>
      </c>
      <c r="I89">
        <v>11.1</v>
      </c>
      <c r="J89">
        <f t="shared" si="5"/>
        <v>764.19999999999993</v>
      </c>
      <c r="M89">
        <v>0.2</v>
      </c>
      <c r="N89">
        <v>0.5</v>
      </c>
      <c r="O89">
        <f t="shared" si="2"/>
        <v>-0.3</v>
      </c>
      <c r="P89">
        <f t="shared" si="7"/>
        <v>13.3</v>
      </c>
      <c r="Q89">
        <v>55</v>
      </c>
      <c r="R89">
        <f t="shared" si="9"/>
        <v>0.74156626506024104</v>
      </c>
      <c r="S89" s="18">
        <f t="shared" si="3"/>
        <v>0.37078313253012052</v>
      </c>
      <c r="T89" s="18">
        <f t="shared" si="4"/>
        <v>-0.17078313253012051</v>
      </c>
      <c r="U89" s="18">
        <f t="shared" si="8"/>
        <v>18.792108433734942</v>
      </c>
      <c r="W89">
        <v>188.8</v>
      </c>
      <c r="Y89">
        <f t="shared" si="6"/>
        <v>51601.3</v>
      </c>
      <c r="AA89">
        <v>9.9327591429563498</v>
      </c>
    </row>
    <row r="90" spans="1:27" x14ac:dyDescent="0.25">
      <c r="A90">
        <v>6440</v>
      </c>
      <c r="B90">
        <v>25210</v>
      </c>
      <c r="C90" s="4">
        <v>42668</v>
      </c>
      <c r="F90" s="39"/>
      <c r="G90">
        <v>9.1</v>
      </c>
      <c r="H90">
        <v>8.3000000000000007</v>
      </c>
      <c r="I90">
        <v>9.9</v>
      </c>
      <c r="J90">
        <f t="shared" si="5"/>
        <v>773.3</v>
      </c>
      <c r="M90">
        <v>0</v>
      </c>
      <c r="N90">
        <v>0.5</v>
      </c>
      <c r="O90">
        <f t="shared" si="2"/>
        <v>-0.5</v>
      </c>
      <c r="P90">
        <f t="shared" si="7"/>
        <v>12.8</v>
      </c>
      <c r="Q90">
        <v>56</v>
      </c>
      <c r="R90">
        <f t="shared" si="9"/>
        <v>0.74939759036144582</v>
      </c>
      <c r="S90" s="18">
        <f t="shared" si="3"/>
        <v>0.37469879518072291</v>
      </c>
      <c r="T90" s="18">
        <f t="shared" si="4"/>
        <v>-0.37469879518072291</v>
      </c>
      <c r="U90" s="18">
        <f t="shared" si="8"/>
        <v>18.417409638554219</v>
      </c>
      <c r="W90">
        <v>261.39999999999998</v>
      </c>
      <c r="Y90">
        <f t="shared" si="6"/>
        <v>51862.700000000004</v>
      </c>
      <c r="AA90">
        <v>9.8749543114151486</v>
      </c>
    </row>
    <row r="91" spans="1:27" x14ac:dyDescent="0.25">
      <c r="A91">
        <v>6440</v>
      </c>
      <c r="B91">
        <v>25210</v>
      </c>
      <c r="C91" s="4">
        <v>42669</v>
      </c>
      <c r="F91" s="39"/>
      <c r="G91">
        <v>7.8</v>
      </c>
      <c r="H91">
        <v>7.3</v>
      </c>
      <c r="I91">
        <v>8.8000000000000007</v>
      </c>
      <c r="J91">
        <f t="shared" si="5"/>
        <v>781.09999999999991</v>
      </c>
      <c r="M91">
        <v>0.1</v>
      </c>
      <c r="N91">
        <v>0.7</v>
      </c>
      <c r="O91">
        <f t="shared" si="2"/>
        <v>-0.6</v>
      </c>
      <c r="P91">
        <f t="shared" si="7"/>
        <v>12.200000000000001</v>
      </c>
      <c r="Q91">
        <v>57</v>
      </c>
      <c r="R91">
        <f t="shared" si="9"/>
        <v>0.7572289156626506</v>
      </c>
      <c r="S91" s="18">
        <f t="shared" si="3"/>
        <v>0.5300602409638554</v>
      </c>
      <c r="T91" s="18">
        <f t="shared" si="4"/>
        <v>-0.43006024096385542</v>
      </c>
      <c r="U91" s="18">
        <f t="shared" si="8"/>
        <v>17.987349397590364</v>
      </c>
      <c r="W91">
        <v>375.5</v>
      </c>
      <c r="Y91">
        <f t="shared" si="6"/>
        <v>52238.200000000004</v>
      </c>
      <c r="AA91">
        <v>9.8175382399909239</v>
      </c>
    </row>
    <row r="92" spans="1:27" x14ac:dyDescent="0.25">
      <c r="A92">
        <v>6440</v>
      </c>
      <c r="B92">
        <v>25210</v>
      </c>
      <c r="C92" s="4">
        <v>42670</v>
      </c>
      <c r="F92" s="39"/>
      <c r="G92">
        <v>10.3</v>
      </c>
      <c r="H92">
        <v>7.2</v>
      </c>
      <c r="I92">
        <v>14.6</v>
      </c>
      <c r="J92">
        <f t="shared" si="5"/>
        <v>791.39999999999986</v>
      </c>
      <c r="M92">
        <v>0</v>
      </c>
      <c r="N92">
        <v>1.1000000000000001</v>
      </c>
      <c r="O92">
        <f t="shared" si="2"/>
        <v>-1.1000000000000001</v>
      </c>
      <c r="P92">
        <f t="shared" si="7"/>
        <v>11.100000000000001</v>
      </c>
      <c r="Q92">
        <v>58</v>
      </c>
      <c r="R92">
        <f t="shared" si="9"/>
        <v>0.76506024096385539</v>
      </c>
      <c r="S92" s="18">
        <f t="shared" si="3"/>
        <v>0.84156626506024101</v>
      </c>
      <c r="T92" s="18">
        <f t="shared" si="4"/>
        <v>-0.84156626506024101</v>
      </c>
      <c r="U92" s="18">
        <f t="shared" si="8"/>
        <v>17.145783132530124</v>
      </c>
      <c r="W92">
        <v>438.5</v>
      </c>
      <c r="Y92">
        <f t="shared" si="6"/>
        <v>52676.700000000004</v>
      </c>
      <c r="AA92">
        <v>9.7605283706811399</v>
      </c>
    </row>
    <row r="93" spans="1:27" x14ac:dyDescent="0.25">
      <c r="A93">
        <v>6440</v>
      </c>
      <c r="B93">
        <v>25210</v>
      </c>
      <c r="C93" s="4">
        <v>42671</v>
      </c>
      <c r="F93" s="39"/>
      <c r="G93">
        <v>11.3</v>
      </c>
      <c r="H93">
        <v>7.6</v>
      </c>
      <c r="I93">
        <v>14.1</v>
      </c>
      <c r="J93">
        <f t="shared" si="5"/>
        <v>802.69999999999982</v>
      </c>
      <c r="M93">
        <v>0</v>
      </c>
      <c r="N93">
        <v>0.8</v>
      </c>
      <c r="O93">
        <f t="shared" si="2"/>
        <v>-0.8</v>
      </c>
      <c r="P93">
        <f t="shared" si="7"/>
        <v>10.3</v>
      </c>
      <c r="Q93">
        <v>59</v>
      </c>
      <c r="R93">
        <f t="shared" si="9"/>
        <v>0.77289156626506017</v>
      </c>
      <c r="S93" s="18">
        <f t="shared" si="3"/>
        <v>0.6183132530120482</v>
      </c>
      <c r="T93" s="18">
        <f t="shared" si="4"/>
        <v>-0.6183132530120482</v>
      </c>
      <c r="U93" s="18">
        <f t="shared" si="8"/>
        <v>16.527469879518076</v>
      </c>
      <c r="W93">
        <v>367.9</v>
      </c>
      <c r="Y93">
        <f t="shared" si="6"/>
        <v>53044.600000000006</v>
      </c>
      <c r="AA93">
        <v>9.7039426167640617</v>
      </c>
    </row>
    <row r="94" spans="1:27" x14ac:dyDescent="0.25">
      <c r="A94">
        <v>6440</v>
      </c>
      <c r="B94">
        <v>25210</v>
      </c>
      <c r="C94" s="4">
        <v>42672</v>
      </c>
      <c r="F94" s="39"/>
      <c r="G94">
        <v>11.4</v>
      </c>
      <c r="H94">
        <v>11</v>
      </c>
      <c r="I94">
        <v>14.9</v>
      </c>
      <c r="J94">
        <f t="shared" si="5"/>
        <v>814.0999999999998</v>
      </c>
      <c r="M94">
        <v>0.1</v>
      </c>
      <c r="N94">
        <v>1.3</v>
      </c>
      <c r="O94">
        <f t="shared" si="2"/>
        <v>-1.2</v>
      </c>
      <c r="P94">
        <f t="shared" si="7"/>
        <v>9.1000000000000014</v>
      </c>
      <c r="Q94">
        <v>60</v>
      </c>
      <c r="R94">
        <f t="shared" si="9"/>
        <v>0.78072289156626506</v>
      </c>
      <c r="S94" s="18">
        <f t="shared" si="3"/>
        <v>1.0149397590361446</v>
      </c>
      <c r="T94" s="18">
        <f t="shared" si="4"/>
        <v>-0.91493975903614466</v>
      </c>
      <c r="U94" s="18">
        <f t="shared" si="8"/>
        <v>15.612530120481932</v>
      </c>
      <c r="W94">
        <v>535.6</v>
      </c>
      <c r="Y94">
        <f t="shared" si="6"/>
        <v>53580.200000000004</v>
      </c>
      <c r="AA94">
        <v>9.6477993658154819</v>
      </c>
    </row>
    <row r="95" spans="1:27" x14ac:dyDescent="0.25">
      <c r="A95">
        <v>6440</v>
      </c>
      <c r="B95">
        <v>25210</v>
      </c>
      <c r="C95" s="4">
        <v>42673</v>
      </c>
      <c r="F95" s="39"/>
      <c r="G95">
        <v>9.1999999999999993</v>
      </c>
      <c r="H95">
        <v>4.7</v>
      </c>
      <c r="I95">
        <v>14.4</v>
      </c>
      <c r="J95">
        <f t="shared" si="5"/>
        <v>823.29999999999984</v>
      </c>
      <c r="M95">
        <v>0</v>
      </c>
      <c r="N95">
        <v>1.4</v>
      </c>
      <c r="O95">
        <f t="shared" si="2"/>
        <v>-1.4</v>
      </c>
      <c r="P95">
        <f t="shared" si="7"/>
        <v>7.7000000000000011</v>
      </c>
      <c r="Q95">
        <v>61</v>
      </c>
      <c r="R95">
        <f t="shared" si="9"/>
        <v>0.78855421686746985</v>
      </c>
      <c r="S95" s="18">
        <f t="shared" si="3"/>
        <v>1.1039759036144576</v>
      </c>
      <c r="T95" s="18">
        <f t="shared" si="4"/>
        <v>-1.1039759036144576</v>
      </c>
      <c r="U95" s="18">
        <f t="shared" si="8"/>
        <v>14.508554216867473</v>
      </c>
      <c r="W95">
        <v>872.9</v>
      </c>
      <c r="Y95">
        <f t="shared" si="6"/>
        <v>54453.100000000006</v>
      </c>
      <c r="AA95">
        <v>9.5921174814790024</v>
      </c>
    </row>
    <row r="96" spans="1:27" x14ac:dyDescent="0.25">
      <c r="A96">
        <v>6440</v>
      </c>
      <c r="B96">
        <v>25210</v>
      </c>
      <c r="C96" s="4">
        <v>42674</v>
      </c>
      <c r="F96" s="39"/>
      <c r="G96">
        <v>9.9</v>
      </c>
      <c r="H96">
        <v>7.5</v>
      </c>
      <c r="I96">
        <v>15.5</v>
      </c>
      <c r="J96">
        <f t="shared" si="5"/>
        <v>833.19999999999982</v>
      </c>
      <c r="M96">
        <v>0.1</v>
      </c>
      <c r="N96">
        <v>1.7</v>
      </c>
      <c r="O96">
        <f t="shared" si="2"/>
        <v>-1.5999999999999999</v>
      </c>
      <c r="P96">
        <f t="shared" si="7"/>
        <v>6.1000000000000014</v>
      </c>
      <c r="Q96">
        <v>62</v>
      </c>
      <c r="R96">
        <f t="shared" si="9"/>
        <v>0.79638554216867474</v>
      </c>
      <c r="S96" s="18">
        <f t="shared" si="3"/>
        <v>1.3538554216867471</v>
      </c>
      <c r="T96" s="18">
        <f t="shared" si="4"/>
        <v>-1.253855421686747</v>
      </c>
      <c r="U96" s="18">
        <f t="shared" si="8"/>
        <v>13.254698795180726</v>
      </c>
      <c r="W96">
        <v>877.2</v>
      </c>
      <c r="Y96">
        <f t="shared" si="6"/>
        <v>55330.3</v>
      </c>
      <c r="AA96">
        <v>9.5369163039086651</v>
      </c>
    </row>
    <row r="97" spans="1:27" x14ac:dyDescent="0.25">
      <c r="A97">
        <v>6440</v>
      </c>
      <c r="B97">
        <v>25210</v>
      </c>
      <c r="C97" s="4">
        <v>42675</v>
      </c>
      <c r="F97" s="39"/>
      <c r="G97">
        <v>9.1999999999999993</v>
      </c>
      <c r="H97">
        <v>3.4</v>
      </c>
      <c r="I97">
        <v>13.4</v>
      </c>
      <c r="J97">
        <f t="shared" si="5"/>
        <v>842.39999999999986</v>
      </c>
      <c r="M97">
        <v>0.2</v>
      </c>
      <c r="N97">
        <v>0.8</v>
      </c>
      <c r="O97">
        <f t="shared" si="2"/>
        <v>-0.60000000000000009</v>
      </c>
      <c r="P97">
        <f t="shared" si="7"/>
        <v>5.5000000000000018</v>
      </c>
      <c r="Q97">
        <v>63</v>
      </c>
      <c r="R97">
        <f t="shared" si="9"/>
        <v>0.80421686746987953</v>
      </c>
      <c r="S97" s="18">
        <f t="shared" si="3"/>
        <v>0.64337349397590371</v>
      </c>
      <c r="T97" s="18">
        <f t="shared" si="4"/>
        <v>-0.4433734939759037</v>
      </c>
      <c r="U97" s="18">
        <f t="shared" si="8"/>
        <v>12.811325301204823</v>
      </c>
      <c r="W97">
        <v>610.9</v>
      </c>
      <c r="Y97">
        <f t="shared" si="6"/>
        <v>55941.200000000004</v>
      </c>
      <c r="AA97">
        <v>9.4822156488008051</v>
      </c>
    </row>
    <row r="98" spans="1:27" x14ac:dyDescent="0.25">
      <c r="A98">
        <v>6440</v>
      </c>
      <c r="B98">
        <v>25210</v>
      </c>
      <c r="C98" s="4">
        <v>42676</v>
      </c>
      <c r="F98" s="39"/>
      <c r="G98">
        <v>7.1</v>
      </c>
      <c r="H98">
        <v>4.0999999999999996</v>
      </c>
      <c r="I98">
        <v>10.3</v>
      </c>
      <c r="J98">
        <f t="shared" si="5"/>
        <v>849.49999999999989</v>
      </c>
      <c r="M98">
        <v>0</v>
      </c>
      <c r="N98">
        <v>0.8</v>
      </c>
      <c r="O98">
        <f t="shared" si="2"/>
        <v>-0.8</v>
      </c>
      <c r="P98">
        <f t="shared" si="7"/>
        <v>4.700000000000002</v>
      </c>
      <c r="Q98">
        <v>64</v>
      </c>
      <c r="R98">
        <f t="shared" si="9"/>
        <v>0.81204819277108431</v>
      </c>
      <c r="S98" s="18">
        <f t="shared" si="3"/>
        <v>0.64963855421686745</v>
      </c>
      <c r="T98" s="18">
        <f t="shared" si="4"/>
        <v>-0.64963855421686745</v>
      </c>
      <c r="U98" s="18">
        <f t="shared" si="8"/>
        <v>12.161686746987955</v>
      </c>
      <c r="W98">
        <v>434.9</v>
      </c>
      <c r="Y98">
        <f t="shared" si="6"/>
        <v>56376.100000000006</v>
      </c>
      <c r="AA98">
        <v>9.4280358049303388</v>
      </c>
    </row>
    <row r="99" spans="1:27" x14ac:dyDescent="0.25">
      <c r="A99">
        <v>6440</v>
      </c>
      <c r="B99">
        <v>25210</v>
      </c>
      <c r="C99" s="4">
        <v>42677</v>
      </c>
      <c r="F99" s="39"/>
      <c r="G99">
        <v>4.0999999999999996</v>
      </c>
      <c r="H99">
        <v>-0.7</v>
      </c>
      <c r="I99">
        <v>9.9</v>
      </c>
      <c r="J99">
        <f t="shared" si="5"/>
        <v>853.59999999999991</v>
      </c>
      <c r="M99">
        <v>0</v>
      </c>
      <c r="N99">
        <v>0.8</v>
      </c>
      <c r="O99">
        <f t="shared" si="2"/>
        <v>-0.8</v>
      </c>
      <c r="P99">
        <f t="shared" si="7"/>
        <v>3.9000000000000021</v>
      </c>
      <c r="Q99">
        <v>65</v>
      </c>
      <c r="R99">
        <f t="shared" si="9"/>
        <v>0.81987951807228909</v>
      </c>
      <c r="S99" s="18">
        <f t="shared" si="3"/>
        <v>0.6559036144578313</v>
      </c>
      <c r="T99" s="18">
        <f t="shared" si="4"/>
        <v>-0.6559036144578313</v>
      </c>
      <c r="U99" s="18">
        <f t="shared" si="8"/>
        <v>11.505783132530125</v>
      </c>
      <c r="W99">
        <v>467.1</v>
      </c>
      <c r="Y99">
        <f t="shared" si="6"/>
        <v>56843.200000000004</v>
      </c>
      <c r="AA99">
        <v>9.3743975301056288</v>
      </c>
    </row>
    <row r="100" spans="1:27" x14ac:dyDescent="0.25">
      <c r="A100">
        <v>6440</v>
      </c>
      <c r="B100">
        <v>25210</v>
      </c>
      <c r="C100" s="4">
        <v>42678</v>
      </c>
      <c r="F100" s="39"/>
      <c r="G100">
        <v>6.3</v>
      </c>
      <c r="H100">
        <v>3.9</v>
      </c>
      <c r="I100">
        <v>8</v>
      </c>
      <c r="J100">
        <f t="shared" si="5"/>
        <v>859.89999999999986</v>
      </c>
      <c r="M100">
        <v>2.9</v>
      </c>
      <c r="N100">
        <v>0.6</v>
      </c>
      <c r="O100">
        <f t="shared" ref="O100:O163" si="10">M100-N100</f>
        <v>2.2999999999999998</v>
      </c>
      <c r="P100">
        <f t="shared" si="7"/>
        <v>6.200000000000002</v>
      </c>
      <c r="Q100">
        <v>66</v>
      </c>
      <c r="R100">
        <f t="shared" si="9"/>
        <v>0.82771084337349399</v>
      </c>
      <c r="S100" s="18">
        <f t="shared" ref="S100:S163" si="11">R100*N100</f>
        <v>0.49662650602409636</v>
      </c>
      <c r="T100" s="18">
        <f t="shared" ref="T100:T163" si="12">M100-S100</f>
        <v>2.4033734939759035</v>
      </c>
      <c r="U100" s="18">
        <f t="shared" si="8"/>
        <v>13.909156626506029</v>
      </c>
      <c r="W100">
        <v>381.3</v>
      </c>
      <c r="Y100">
        <f t="shared" si="6"/>
        <v>57224.500000000007</v>
      </c>
      <c r="AA100">
        <v>9.3213220454552896</v>
      </c>
    </row>
    <row r="101" spans="1:27" x14ac:dyDescent="0.25">
      <c r="A101">
        <v>6440</v>
      </c>
      <c r="B101">
        <v>25210</v>
      </c>
      <c r="C101" s="4">
        <v>42679</v>
      </c>
      <c r="F101" s="39"/>
      <c r="G101">
        <v>6.7</v>
      </c>
      <c r="H101">
        <v>6</v>
      </c>
      <c r="I101">
        <v>10</v>
      </c>
      <c r="J101">
        <f t="shared" ref="J101:J162" si="13">J100+G101</f>
        <v>866.59999999999991</v>
      </c>
      <c r="M101">
        <v>0.1</v>
      </c>
      <c r="N101">
        <v>1.1000000000000001</v>
      </c>
      <c r="O101">
        <f t="shared" si="10"/>
        <v>-1</v>
      </c>
      <c r="P101">
        <f t="shared" si="7"/>
        <v>5.200000000000002</v>
      </c>
      <c r="Q101">
        <v>67</v>
      </c>
      <c r="R101">
        <f t="shared" si="9"/>
        <v>0.83554216867469877</v>
      </c>
      <c r="S101" s="18">
        <f t="shared" si="11"/>
        <v>0.91909638554216877</v>
      </c>
      <c r="T101" s="18">
        <f t="shared" si="12"/>
        <v>-0.81909638554216879</v>
      </c>
      <c r="U101" s="18">
        <f t="shared" si="8"/>
        <v>13.09006024096386</v>
      </c>
      <c r="W101">
        <v>586.29999999999995</v>
      </c>
      <c r="Y101">
        <f t="shared" ref="Y101:Y164" si="14">Y100+W101</f>
        <v>57810.80000000001</v>
      </c>
      <c r="AA101">
        <v>9.268831027960271</v>
      </c>
    </row>
    <row r="102" spans="1:27" x14ac:dyDescent="0.25">
      <c r="A102">
        <v>6440</v>
      </c>
      <c r="B102">
        <v>25210</v>
      </c>
      <c r="C102" s="4">
        <v>42680</v>
      </c>
      <c r="F102" s="39"/>
      <c r="G102">
        <v>3.3</v>
      </c>
      <c r="H102">
        <v>1.3</v>
      </c>
      <c r="I102">
        <v>6.6</v>
      </c>
      <c r="J102">
        <f t="shared" si="13"/>
        <v>869.89999999999986</v>
      </c>
      <c r="M102">
        <v>1.7</v>
      </c>
      <c r="N102">
        <v>0.9</v>
      </c>
      <c r="O102">
        <f t="shared" si="10"/>
        <v>0.79999999999999993</v>
      </c>
      <c r="P102">
        <f t="shared" ref="P102:P165" si="15">P101+O102</f>
        <v>6.0000000000000018</v>
      </c>
      <c r="Q102">
        <v>68</v>
      </c>
      <c r="R102">
        <f t="shared" si="9"/>
        <v>0.84337349397590367</v>
      </c>
      <c r="S102" s="18">
        <f t="shared" si="11"/>
        <v>0.75903614457831337</v>
      </c>
      <c r="T102" s="18">
        <f t="shared" si="12"/>
        <v>0.94096385542168659</v>
      </c>
      <c r="U102" s="18">
        <f t="shared" si="8"/>
        <v>14.031024096385547</v>
      </c>
      <c r="W102">
        <v>632.70000000000005</v>
      </c>
      <c r="Y102">
        <f t="shared" si="14"/>
        <v>58443.500000000007</v>
      </c>
      <c r="AA102">
        <v>9.2169466011448247</v>
      </c>
    </row>
    <row r="103" spans="1:27" x14ac:dyDescent="0.25">
      <c r="A103">
        <v>6440</v>
      </c>
      <c r="B103">
        <v>25210</v>
      </c>
      <c r="C103" s="4">
        <v>42681</v>
      </c>
      <c r="F103" s="39"/>
      <c r="G103">
        <v>3.4</v>
      </c>
      <c r="H103">
        <v>2.6</v>
      </c>
      <c r="I103">
        <v>3.8</v>
      </c>
      <c r="J103">
        <f t="shared" si="13"/>
        <v>873.29999999999984</v>
      </c>
      <c r="M103">
        <v>0.1</v>
      </c>
      <c r="N103">
        <v>0.3</v>
      </c>
      <c r="O103">
        <f t="shared" si="10"/>
        <v>-0.19999999999999998</v>
      </c>
      <c r="P103">
        <f t="shared" si="15"/>
        <v>5.8000000000000016</v>
      </c>
      <c r="Q103">
        <v>69</v>
      </c>
      <c r="R103">
        <f t="shared" si="9"/>
        <v>0.85120481927710845</v>
      </c>
      <c r="S103" s="18">
        <f t="shared" si="11"/>
        <v>0.25536144578313252</v>
      </c>
      <c r="T103" s="18">
        <f t="shared" si="12"/>
        <v>-0.15536144578313252</v>
      </c>
      <c r="U103" s="18">
        <f t="shared" ref="U103:U166" si="16">U102+T103</f>
        <v>13.875662650602415</v>
      </c>
      <c r="W103">
        <v>131.6</v>
      </c>
      <c r="Y103">
        <f t="shared" si="14"/>
        <v>58575.100000000006</v>
      </c>
      <c r="AA103">
        <v>9.165691323841326</v>
      </c>
    </row>
    <row r="104" spans="1:27" x14ac:dyDescent="0.25">
      <c r="A104">
        <v>6440</v>
      </c>
      <c r="B104">
        <v>25210</v>
      </c>
      <c r="C104" s="4">
        <v>42682</v>
      </c>
      <c r="F104" s="39"/>
      <c r="G104">
        <v>3.7</v>
      </c>
      <c r="H104">
        <v>0.5</v>
      </c>
      <c r="I104">
        <v>6.5</v>
      </c>
      <c r="J104">
        <f t="shared" si="13"/>
        <v>876.99999999999989</v>
      </c>
      <c r="M104">
        <v>3.5</v>
      </c>
      <c r="N104">
        <v>0.4</v>
      </c>
      <c r="O104">
        <f t="shared" si="10"/>
        <v>3.1</v>
      </c>
      <c r="P104">
        <f t="shared" si="15"/>
        <v>8.9000000000000021</v>
      </c>
      <c r="Q104">
        <v>70</v>
      </c>
      <c r="R104">
        <f t="shared" si="9"/>
        <v>0.85903614457831323</v>
      </c>
      <c r="S104" s="18">
        <f t="shared" si="11"/>
        <v>0.34361445783132533</v>
      </c>
      <c r="T104" s="18">
        <f t="shared" si="12"/>
        <v>3.1563855421686746</v>
      </c>
      <c r="U104" s="18">
        <f t="shared" si="16"/>
        <v>17.032048192771089</v>
      </c>
      <c r="W104">
        <v>257.60000000000002</v>
      </c>
      <c r="Y104">
        <f t="shared" si="14"/>
        <v>58832.700000000004</v>
      </c>
      <c r="AA104">
        <v>9.115088176945644</v>
      </c>
    </row>
    <row r="105" spans="1:27" x14ac:dyDescent="0.25">
      <c r="A105">
        <v>6440</v>
      </c>
      <c r="B105">
        <v>25210</v>
      </c>
      <c r="C105" s="4">
        <v>42683</v>
      </c>
      <c r="F105" s="39"/>
      <c r="G105">
        <v>6.3</v>
      </c>
      <c r="H105">
        <v>4.0999999999999996</v>
      </c>
      <c r="I105">
        <v>7.6</v>
      </c>
      <c r="J105">
        <f t="shared" si="13"/>
        <v>883.29999999999984</v>
      </c>
      <c r="M105">
        <v>6.6</v>
      </c>
      <c r="N105">
        <v>0.3</v>
      </c>
      <c r="O105">
        <f t="shared" si="10"/>
        <v>6.3</v>
      </c>
      <c r="P105">
        <f t="shared" si="15"/>
        <v>15.200000000000003</v>
      </c>
      <c r="Q105">
        <v>71</v>
      </c>
      <c r="R105">
        <f t="shared" ref="R105:R122" si="17">0.35+((Q105-5)/83)*(1-0.35)</f>
        <v>0.86686746987951813</v>
      </c>
      <c r="S105" s="18">
        <f t="shared" si="11"/>
        <v>0.26006024096385544</v>
      </c>
      <c r="T105" s="18">
        <f t="shared" si="12"/>
        <v>6.3399397590361444</v>
      </c>
      <c r="U105" s="18">
        <f t="shared" si="16"/>
        <v>23.371987951807235</v>
      </c>
      <c r="W105">
        <v>152.4</v>
      </c>
      <c r="Y105">
        <f t="shared" si="14"/>
        <v>58985.100000000006</v>
      </c>
      <c r="AA105">
        <v>9.0651605480825808</v>
      </c>
    </row>
    <row r="106" spans="1:27" x14ac:dyDescent="0.25">
      <c r="A106">
        <v>6440</v>
      </c>
      <c r="B106">
        <v>25210</v>
      </c>
      <c r="C106" s="4">
        <v>42684</v>
      </c>
      <c r="F106" s="39"/>
      <c r="G106">
        <v>6.8</v>
      </c>
      <c r="H106">
        <v>4.9000000000000004</v>
      </c>
      <c r="I106">
        <v>9.1</v>
      </c>
      <c r="J106">
        <f t="shared" si="13"/>
        <v>890.0999999999998</v>
      </c>
      <c r="M106">
        <v>4.9000000000000004</v>
      </c>
      <c r="N106">
        <v>0.5</v>
      </c>
      <c r="O106">
        <f t="shared" si="10"/>
        <v>4.4000000000000004</v>
      </c>
      <c r="P106">
        <f t="shared" si="15"/>
        <v>19.600000000000001</v>
      </c>
      <c r="Q106">
        <v>72</v>
      </c>
      <c r="R106">
        <f t="shared" si="17"/>
        <v>0.87469879518072291</v>
      </c>
      <c r="S106" s="18">
        <f t="shared" si="11"/>
        <v>0.43734939759036146</v>
      </c>
      <c r="T106" s="18">
        <f t="shared" si="12"/>
        <v>4.4626506024096386</v>
      </c>
      <c r="U106" s="18">
        <f t="shared" si="16"/>
        <v>27.834638554216873</v>
      </c>
      <c r="W106">
        <v>105.7</v>
      </c>
      <c r="Y106">
        <f t="shared" si="14"/>
        <v>59090.8</v>
      </c>
      <c r="AA106">
        <v>9.0159322141044704</v>
      </c>
    </row>
    <row r="107" spans="1:27" x14ac:dyDescent="0.25">
      <c r="A107">
        <v>6440</v>
      </c>
      <c r="B107">
        <v>25210</v>
      </c>
      <c r="C107" s="4">
        <v>42685</v>
      </c>
      <c r="E107" s="29">
        <v>1</v>
      </c>
      <c r="F107" s="39"/>
      <c r="G107">
        <v>3.9</v>
      </c>
      <c r="H107">
        <v>1.7</v>
      </c>
      <c r="I107">
        <v>7.2</v>
      </c>
      <c r="J107">
        <f t="shared" si="13"/>
        <v>893.99999999999977</v>
      </c>
      <c r="M107">
        <v>0</v>
      </c>
      <c r="N107">
        <v>1</v>
      </c>
      <c r="O107">
        <f t="shared" si="10"/>
        <v>-1</v>
      </c>
      <c r="P107">
        <f t="shared" si="15"/>
        <v>18.600000000000001</v>
      </c>
      <c r="Q107">
        <v>73</v>
      </c>
      <c r="R107">
        <f t="shared" si="17"/>
        <v>0.88253012048192769</v>
      </c>
      <c r="S107" s="18">
        <f t="shared" si="11"/>
        <v>0.88253012048192769</v>
      </c>
      <c r="T107" s="18">
        <f t="shared" si="12"/>
        <v>-0.88253012048192769</v>
      </c>
      <c r="U107" s="18">
        <f t="shared" si="16"/>
        <v>26.952108433734946</v>
      </c>
      <c r="W107">
        <v>671.2</v>
      </c>
      <c r="Y107">
        <f t="shared" si="14"/>
        <v>59762</v>
      </c>
      <c r="AA107" s="29">
        <v>8.9674273213507067</v>
      </c>
    </row>
    <row r="108" spans="1:27" x14ac:dyDescent="0.25">
      <c r="A108">
        <v>6440</v>
      </c>
      <c r="B108">
        <v>25210</v>
      </c>
      <c r="C108" s="4">
        <v>42686</v>
      </c>
      <c r="E108" s="29">
        <v>2</v>
      </c>
      <c r="F108" s="39"/>
      <c r="G108">
        <v>2.5</v>
      </c>
      <c r="H108">
        <v>-0.9</v>
      </c>
      <c r="I108">
        <v>5.0999999999999996</v>
      </c>
      <c r="J108">
        <f t="shared" si="13"/>
        <v>896.49999999999977</v>
      </c>
      <c r="M108">
        <v>3.2</v>
      </c>
      <c r="N108">
        <v>0.4</v>
      </c>
      <c r="O108">
        <f t="shared" si="10"/>
        <v>2.8000000000000003</v>
      </c>
      <c r="P108">
        <f t="shared" si="15"/>
        <v>21.400000000000002</v>
      </c>
      <c r="Q108">
        <v>74</v>
      </c>
      <c r="R108">
        <f t="shared" si="17"/>
        <v>0.89036144578313259</v>
      </c>
      <c r="S108" s="18">
        <f t="shared" si="11"/>
        <v>0.35614457831325308</v>
      </c>
      <c r="T108" s="18">
        <f t="shared" si="12"/>
        <v>2.8438554216867473</v>
      </c>
      <c r="U108" s="18">
        <f t="shared" si="16"/>
        <v>29.795963855421693</v>
      </c>
      <c r="W108">
        <v>416.9</v>
      </c>
      <c r="Y108">
        <f t="shared" si="14"/>
        <v>60178.9</v>
      </c>
      <c r="AA108" s="29">
        <v>8.9196703636015364</v>
      </c>
    </row>
    <row r="109" spans="1:27" x14ac:dyDescent="0.25">
      <c r="A109">
        <v>6440</v>
      </c>
      <c r="B109">
        <v>25210</v>
      </c>
      <c r="C109" s="4">
        <v>42687</v>
      </c>
      <c r="F109" s="39"/>
      <c r="G109">
        <v>6.8</v>
      </c>
      <c r="H109">
        <v>4.5</v>
      </c>
      <c r="I109">
        <v>8.6</v>
      </c>
      <c r="J109">
        <f t="shared" si="13"/>
        <v>903.29999999999973</v>
      </c>
      <c r="M109">
        <v>1.3</v>
      </c>
      <c r="N109">
        <v>0.3</v>
      </c>
      <c r="O109">
        <f t="shared" si="10"/>
        <v>1</v>
      </c>
      <c r="P109">
        <f t="shared" si="15"/>
        <v>22.400000000000002</v>
      </c>
      <c r="Q109">
        <v>75</v>
      </c>
      <c r="R109">
        <f t="shared" si="17"/>
        <v>0.89819277108433737</v>
      </c>
      <c r="S109" s="18">
        <f t="shared" si="11"/>
        <v>0.26945783132530121</v>
      </c>
      <c r="T109" s="18">
        <f t="shared" si="12"/>
        <v>1.0305421686746987</v>
      </c>
      <c r="U109" s="18">
        <f t="shared" si="16"/>
        <v>30.826506024096393</v>
      </c>
      <c r="W109">
        <v>219.6</v>
      </c>
      <c r="Y109">
        <f t="shared" si="14"/>
        <v>60398.5</v>
      </c>
      <c r="AA109" s="29">
        <v>8.8726861576663332</v>
      </c>
    </row>
    <row r="110" spans="1:27" x14ac:dyDescent="0.25">
      <c r="A110">
        <v>6440</v>
      </c>
      <c r="B110">
        <v>25210</v>
      </c>
      <c r="C110" s="4">
        <v>42688</v>
      </c>
      <c r="F110" s="39"/>
      <c r="G110">
        <v>6.4</v>
      </c>
      <c r="H110">
        <v>5</v>
      </c>
      <c r="I110">
        <v>9.5</v>
      </c>
      <c r="J110">
        <f t="shared" si="13"/>
        <v>909.6999999999997</v>
      </c>
      <c r="M110">
        <v>1.7</v>
      </c>
      <c r="N110">
        <v>0.5</v>
      </c>
      <c r="O110">
        <f t="shared" si="10"/>
        <v>1.2</v>
      </c>
      <c r="P110">
        <f t="shared" si="15"/>
        <v>23.6</v>
      </c>
      <c r="Q110">
        <v>76</v>
      </c>
      <c r="R110">
        <f t="shared" si="17"/>
        <v>0.90602409638554215</v>
      </c>
      <c r="S110" s="18">
        <f t="shared" si="11"/>
        <v>0.45301204819277108</v>
      </c>
      <c r="T110" s="18">
        <f t="shared" si="12"/>
        <v>1.2469879518072289</v>
      </c>
      <c r="U110" s="18">
        <f t="shared" si="16"/>
        <v>32.073493975903624</v>
      </c>
      <c r="W110">
        <v>104.7</v>
      </c>
      <c r="Y110">
        <f t="shared" si="14"/>
        <v>60503.199999999997</v>
      </c>
      <c r="AA110" s="29">
        <v>8.8264998165544668</v>
      </c>
    </row>
    <row r="111" spans="1:27" x14ac:dyDescent="0.25">
      <c r="A111">
        <v>6440</v>
      </c>
      <c r="B111">
        <v>25210</v>
      </c>
      <c r="C111" s="4">
        <v>42689</v>
      </c>
      <c r="F111" s="39"/>
      <c r="G111">
        <v>11.4</v>
      </c>
      <c r="H111">
        <v>6.9</v>
      </c>
      <c r="I111">
        <v>13</v>
      </c>
      <c r="J111">
        <f t="shared" si="13"/>
        <v>921.09999999999968</v>
      </c>
      <c r="M111">
        <v>0.9</v>
      </c>
      <c r="N111">
        <v>0.3</v>
      </c>
      <c r="O111">
        <f t="shared" si="10"/>
        <v>0.60000000000000009</v>
      </c>
      <c r="P111">
        <f t="shared" si="15"/>
        <v>24.200000000000003</v>
      </c>
      <c r="Q111">
        <v>77</v>
      </c>
      <c r="R111">
        <f t="shared" si="17"/>
        <v>0.91385542168674705</v>
      </c>
      <c r="S111" s="18">
        <f t="shared" si="11"/>
        <v>0.27415662650602413</v>
      </c>
      <c r="T111" s="18">
        <f t="shared" si="12"/>
        <v>0.6258433734939759</v>
      </c>
      <c r="U111" s="18">
        <f t="shared" si="16"/>
        <v>32.699337349397602</v>
      </c>
      <c r="W111">
        <v>124.6</v>
      </c>
      <c r="Y111">
        <f t="shared" si="14"/>
        <v>60627.799999999996</v>
      </c>
      <c r="AA111" s="29">
        <v>8.7811367201860158</v>
      </c>
    </row>
    <row r="112" spans="1:27" x14ac:dyDescent="0.25">
      <c r="A112">
        <v>6440</v>
      </c>
      <c r="B112">
        <v>25210</v>
      </c>
      <c r="C112" s="4">
        <v>42690</v>
      </c>
      <c r="F112" s="39"/>
      <c r="G112">
        <v>12.1</v>
      </c>
      <c r="H112">
        <v>11.1</v>
      </c>
      <c r="I112">
        <v>12.6</v>
      </c>
      <c r="J112">
        <f t="shared" si="13"/>
        <v>933.1999999999997</v>
      </c>
      <c r="M112">
        <v>1.4</v>
      </c>
      <c r="N112">
        <v>0.6</v>
      </c>
      <c r="O112">
        <f t="shared" si="10"/>
        <v>0.79999999999999993</v>
      </c>
      <c r="P112">
        <f t="shared" si="15"/>
        <v>25.000000000000004</v>
      </c>
      <c r="Q112">
        <v>78</v>
      </c>
      <c r="R112">
        <f t="shared" si="17"/>
        <v>0.92168674698795172</v>
      </c>
      <c r="S112" s="18">
        <f t="shared" si="11"/>
        <v>0.55301204819277106</v>
      </c>
      <c r="T112" s="18">
        <f t="shared" si="12"/>
        <v>0.84698795180722886</v>
      </c>
      <c r="U112" s="18">
        <f t="shared" si="16"/>
        <v>33.546325301204831</v>
      </c>
      <c r="W112">
        <v>289.8</v>
      </c>
      <c r="Y112">
        <f t="shared" si="14"/>
        <v>60917.599999999999</v>
      </c>
      <c r="AA112" s="29">
        <v>8.7366224836102155</v>
      </c>
    </row>
    <row r="113" spans="1:28" x14ac:dyDescent="0.25">
      <c r="A113">
        <v>6440</v>
      </c>
      <c r="B113">
        <v>25210</v>
      </c>
      <c r="C113" s="4">
        <v>42691</v>
      </c>
      <c r="F113" s="39"/>
      <c r="G113">
        <v>10.9</v>
      </c>
      <c r="H113">
        <v>10.3</v>
      </c>
      <c r="I113">
        <v>11.3</v>
      </c>
      <c r="J113">
        <f t="shared" si="13"/>
        <v>944.09999999999968</v>
      </c>
      <c r="M113">
        <v>8.4</v>
      </c>
      <c r="N113">
        <v>0.8</v>
      </c>
      <c r="O113">
        <f t="shared" si="10"/>
        <v>7.6000000000000005</v>
      </c>
      <c r="P113">
        <f t="shared" si="15"/>
        <v>32.6</v>
      </c>
      <c r="Q113">
        <v>79</v>
      </c>
      <c r="R113">
        <f t="shared" si="17"/>
        <v>0.92951807228915662</v>
      </c>
      <c r="S113" s="18">
        <f t="shared" si="11"/>
        <v>0.74361445783132529</v>
      </c>
      <c r="T113" s="18">
        <f t="shared" si="12"/>
        <v>7.6563855421686746</v>
      </c>
      <c r="U113" s="18">
        <f t="shared" si="16"/>
        <v>41.202710843373509</v>
      </c>
      <c r="W113">
        <v>187.6</v>
      </c>
      <c r="Y113">
        <f t="shared" si="14"/>
        <v>61105.2</v>
      </c>
      <c r="AA113" s="29">
        <v>8.6929829227111259</v>
      </c>
    </row>
    <row r="114" spans="1:28" x14ac:dyDescent="0.25">
      <c r="A114">
        <v>6440</v>
      </c>
      <c r="B114">
        <v>25210</v>
      </c>
      <c r="C114" s="4">
        <v>42692</v>
      </c>
      <c r="F114" s="39"/>
      <c r="G114">
        <v>7.5</v>
      </c>
      <c r="H114">
        <v>6.7</v>
      </c>
      <c r="I114">
        <v>9.1999999999999993</v>
      </c>
      <c r="J114">
        <f t="shared" si="13"/>
        <v>951.59999999999968</v>
      </c>
      <c r="M114">
        <v>0.2</v>
      </c>
      <c r="N114">
        <v>1.2</v>
      </c>
      <c r="O114">
        <f t="shared" si="10"/>
        <v>-1</v>
      </c>
      <c r="P114">
        <f t="shared" si="15"/>
        <v>31.6</v>
      </c>
      <c r="Q114">
        <v>80</v>
      </c>
      <c r="R114">
        <f t="shared" si="17"/>
        <v>0.93734939759036151</v>
      </c>
      <c r="S114" s="18">
        <f t="shared" si="11"/>
        <v>1.1248192771084338</v>
      </c>
      <c r="T114" s="18">
        <f t="shared" si="12"/>
        <v>-0.92481927710843381</v>
      </c>
      <c r="U114" s="18">
        <f t="shared" si="16"/>
        <v>40.277891566265076</v>
      </c>
      <c r="W114">
        <v>188.8</v>
      </c>
      <c r="Y114">
        <f t="shared" si="14"/>
        <v>61294</v>
      </c>
      <c r="AA114" s="29">
        <v>8.6502440173932094</v>
      </c>
    </row>
    <row r="115" spans="1:28" x14ac:dyDescent="0.25">
      <c r="A115">
        <v>6440</v>
      </c>
      <c r="B115">
        <v>25210</v>
      </c>
      <c r="C115" s="4">
        <v>42693</v>
      </c>
      <c r="F115" s="39"/>
      <c r="G115">
        <v>5.7</v>
      </c>
      <c r="H115">
        <v>3.4</v>
      </c>
      <c r="I115">
        <v>9.5</v>
      </c>
      <c r="J115">
        <f t="shared" si="13"/>
        <v>957.29999999999973</v>
      </c>
      <c r="M115">
        <v>0.6</v>
      </c>
      <c r="N115">
        <v>1.1000000000000001</v>
      </c>
      <c r="O115">
        <f t="shared" si="10"/>
        <v>-0.50000000000000011</v>
      </c>
      <c r="P115">
        <f t="shared" si="15"/>
        <v>31.1</v>
      </c>
      <c r="Q115">
        <v>81</v>
      </c>
      <c r="R115">
        <f t="shared" si="17"/>
        <v>0.94518072289156618</v>
      </c>
      <c r="S115" s="18">
        <f t="shared" si="11"/>
        <v>1.0396987951807228</v>
      </c>
      <c r="T115" s="18">
        <f t="shared" si="12"/>
        <v>-0.43969879518072286</v>
      </c>
      <c r="U115" s="18">
        <f t="shared" si="16"/>
        <v>39.838192771084351</v>
      </c>
      <c r="W115">
        <v>282.5</v>
      </c>
      <c r="Y115">
        <f t="shared" si="14"/>
        <v>61576.5</v>
      </c>
      <c r="AA115" s="29">
        <v>8.6084318722539752</v>
      </c>
    </row>
    <row r="116" spans="1:28" x14ac:dyDescent="0.25">
      <c r="A116">
        <v>6440</v>
      </c>
      <c r="B116">
        <v>25210</v>
      </c>
      <c r="C116" s="4">
        <v>42694</v>
      </c>
      <c r="F116" s="39"/>
      <c r="G116">
        <v>10.4</v>
      </c>
      <c r="H116">
        <v>6.3</v>
      </c>
      <c r="I116">
        <v>11.9</v>
      </c>
      <c r="J116">
        <f t="shared" si="13"/>
        <v>967.6999999999997</v>
      </c>
      <c r="M116">
        <v>7.6</v>
      </c>
      <c r="N116">
        <v>0.8</v>
      </c>
      <c r="O116">
        <f t="shared" si="10"/>
        <v>6.8</v>
      </c>
      <c r="P116">
        <f t="shared" si="15"/>
        <v>37.9</v>
      </c>
      <c r="Q116">
        <v>82</v>
      </c>
      <c r="R116">
        <f t="shared" si="17"/>
        <v>0.95301204819277108</v>
      </c>
      <c r="S116" s="18">
        <f t="shared" si="11"/>
        <v>0.76240963855421695</v>
      </c>
      <c r="T116" s="18">
        <f t="shared" si="12"/>
        <v>6.8375903614457822</v>
      </c>
      <c r="U116" s="18">
        <f t="shared" si="16"/>
        <v>46.675783132530135</v>
      </c>
      <c r="W116">
        <v>206.4</v>
      </c>
      <c r="Y116">
        <f t="shared" si="14"/>
        <v>61782.9</v>
      </c>
      <c r="AA116" s="29">
        <v>8.5675726747665824</v>
      </c>
    </row>
    <row r="117" spans="1:28" x14ac:dyDescent="0.25">
      <c r="A117">
        <v>6440</v>
      </c>
      <c r="B117">
        <v>25210</v>
      </c>
      <c r="C117" s="4">
        <v>42695</v>
      </c>
      <c r="F117" s="39"/>
      <c r="G117">
        <v>12</v>
      </c>
      <c r="H117">
        <v>10.6</v>
      </c>
      <c r="I117">
        <v>14.2</v>
      </c>
      <c r="J117">
        <f t="shared" si="13"/>
        <v>979.6999999999997</v>
      </c>
      <c r="M117">
        <v>0.7</v>
      </c>
      <c r="N117">
        <v>1.3</v>
      </c>
      <c r="O117">
        <f t="shared" si="10"/>
        <v>-0.60000000000000009</v>
      </c>
      <c r="P117">
        <f t="shared" si="15"/>
        <v>37.299999999999997</v>
      </c>
      <c r="Q117">
        <v>83</v>
      </c>
      <c r="R117">
        <f t="shared" si="17"/>
        <v>0.96084337349397597</v>
      </c>
      <c r="S117" s="18">
        <f t="shared" si="11"/>
        <v>1.2490963855421688</v>
      </c>
      <c r="T117" s="18">
        <f t="shared" si="12"/>
        <v>-0.54909638554216889</v>
      </c>
      <c r="U117" s="18">
        <f t="shared" si="16"/>
        <v>46.126686746987964</v>
      </c>
      <c r="W117">
        <v>110.6</v>
      </c>
      <c r="Y117">
        <f t="shared" si="14"/>
        <v>61893.5</v>
      </c>
      <c r="AA117" s="29">
        <v>8.5276926510123285</v>
      </c>
    </row>
    <row r="118" spans="1:28" x14ac:dyDescent="0.25">
      <c r="A118">
        <v>6440</v>
      </c>
      <c r="B118">
        <v>25210</v>
      </c>
      <c r="C118" s="4">
        <v>42696</v>
      </c>
      <c r="F118" s="39"/>
      <c r="G118">
        <v>9.4</v>
      </c>
      <c r="H118">
        <v>9</v>
      </c>
      <c r="I118">
        <v>11</v>
      </c>
      <c r="J118">
        <f t="shared" si="13"/>
        <v>989.09999999999968</v>
      </c>
      <c r="M118">
        <v>3.7</v>
      </c>
      <c r="N118">
        <v>1.1000000000000001</v>
      </c>
      <c r="O118">
        <f t="shared" si="10"/>
        <v>2.6</v>
      </c>
      <c r="P118">
        <f t="shared" si="15"/>
        <v>39.9</v>
      </c>
      <c r="Q118">
        <v>84</v>
      </c>
      <c r="R118">
        <f t="shared" si="17"/>
        <v>0.96867469879518064</v>
      </c>
      <c r="S118" s="18">
        <f t="shared" si="11"/>
        <v>1.0655421686746989</v>
      </c>
      <c r="T118" s="18">
        <f t="shared" si="12"/>
        <v>2.6344578313253013</v>
      </c>
      <c r="U118" s="18">
        <f t="shared" si="16"/>
        <v>48.761144578313264</v>
      </c>
      <c r="W118">
        <v>500</v>
      </c>
      <c r="Y118">
        <f t="shared" si="14"/>
        <v>62393.5</v>
      </c>
      <c r="AA118" s="29">
        <v>8.4888180190213003</v>
      </c>
    </row>
    <row r="119" spans="1:28" x14ac:dyDescent="0.25">
      <c r="A119">
        <v>6440</v>
      </c>
      <c r="B119">
        <v>25210</v>
      </c>
      <c r="C119" s="4">
        <v>42697</v>
      </c>
      <c r="F119" s="39"/>
      <c r="G119">
        <v>9.4</v>
      </c>
      <c r="H119">
        <v>7</v>
      </c>
      <c r="I119">
        <v>11</v>
      </c>
      <c r="J119">
        <f t="shared" si="13"/>
        <v>998.49999999999966</v>
      </c>
      <c r="M119">
        <v>1.9</v>
      </c>
      <c r="N119">
        <v>0.3</v>
      </c>
      <c r="O119">
        <f t="shared" si="10"/>
        <v>1.5999999999999999</v>
      </c>
      <c r="P119">
        <f t="shared" si="15"/>
        <v>41.5</v>
      </c>
      <c r="Q119">
        <v>85</v>
      </c>
      <c r="R119">
        <f t="shared" si="17"/>
        <v>0.97650602409638554</v>
      </c>
      <c r="S119" s="18">
        <f t="shared" si="11"/>
        <v>0.29295180722891567</v>
      </c>
      <c r="T119" s="18">
        <f t="shared" si="12"/>
        <v>1.6070481927710842</v>
      </c>
      <c r="U119" s="18">
        <f t="shared" si="16"/>
        <v>50.368192771084345</v>
      </c>
      <c r="W119">
        <v>197.5</v>
      </c>
      <c r="Y119">
        <f t="shared" si="14"/>
        <v>62591</v>
      </c>
      <c r="AA119" s="29">
        <v>8.4509749397987708</v>
      </c>
    </row>
    <row r="120" spans="1:28" x14ac:dyDescent="0.25">
      <c r="A120">
        <v>6440</v>
      </c>
      <c r="B120">
        <v>25210</v>
      </c>
      <c r="C120" s="4">
        <v>42698</v>
      </c>
      <c r="F120" s="39"/>
      <c r="G120">
        <v>9.5</v>
      </c>
      <c r="H120">
        <v>9</v>
      </c>
      <c r="I120">
        <v>11.4</v>
      </c>
      <c r="J120">
        <f t="shared" si="13"/>
        <v>1007.9999999999997</v>
      </c>
      <c r="M120">
        <v>0</v>
      </c>
      <c r="N120">
        <v>0.9</v>
      </c>
      <c r="O120">
        <f t="shared" si="10"/>
        <v>-0.9</v>
      </c>
      <c r="P120">
        <f t="shared" si="15"/>
        <v>40.6</v>
      </c>
      <c r="Q120">
        <v>86</v>
      </c>
      <c r="R120">
        <f t="shared" si="17"/>
        <v>0.98433734939759043</v>
      </c>
      <c r="S120" s="18">
        <f t="shared" si="11"/>
        <v>0.88590361445783139</v>
      </c>
      <c r="T120" s="18">
        <f t="shared" si="12"/>
        <v>-0.88590361445783139</v>
      </c>
      <c r="U120" s="18">
        <f t="shared" si="16"/>
        <v>49.482289156626514</v>
      </c>
      <c r="W120">
        <v>393.6</v>
      </c>
      <c r="Y120">
        <f t="shared" si="14"/>
        <v>62984.6</v>
      </c>
      <c r="AA120" s="29">
        <v>8.414189466135495</v>
      </c>
    </row>
    <row r="121" spans="1:28" x14ac:dyDescent="0.25">
      <c r="A121">
        <v>6440</v>
      </c>
      <c r="B121">
        <v>25210</v>
      </c>
      <c r="C121" s="4">
        <v>42699</v>
      </c>
      <c r="F121" s="39"/>
      <c r="G121">
        <v>6.4</v>
      </c>
      <c r="H121">
        <v>4.8</v>
      </c>
      <c r="I121">
        <v>7.3</v>
      </c>
      <c r="J121">
        <f t="shared" si="13"/>
        <v>1014.3999999999996</v>
      </c>
      <c r="M121">
        <v>0</v>
      </c>
      <c r="N121">
        <v>0.5</v>
      </c>
      <c r="O121">
        <f t="shared" si="10"/>
        <v>-0.5</v>
      </c>
      <c r="P121">
        <f t="shared" si="15"/>
        <v>40.1</v>
      </c>
      <c r="Q121">
        <v>87</v>
      </c>
      <c r="R121">
        <f t="shared" si="17"/>
        <v>0.99216867469879511</v>
      </c>
      <c r="S121" s="18">
        <f t="shared" si="11"/>
        <v>0.49608433734939755</v>
      </c>
      <c r="T121" s="18">
        <f t="shared" si="12"/>
        <v>-0.49608433734939755</v>
      </c>
      <c r="U121" s="18">
        <f t="shared" si="16"/>
        <v>48.98620481927712</v>
      </c>
      <c r="W121">
        <v>305.60000000000002</v>
      </c>
      <c r="Y121">
        <f t="shared" si="14"/>
        <v>63290.2</v>
      </c>
      <c r="AA121" s="29">
        <v>8.3784874893212677</v>
      </c>
    </row>
    <row r="122" spans="1:28" s="26" customFormat="1" ht="15.75" thickBot="1" x14ac:dyDescent="0.3">
      <c r="A122" s="26">
        <v>6440</v>
      </c>
      <c r="B122" s="26">
        <v>25210</v>
      </c>
      <c r="C122" s="27">
        <v>42700</v>
      </c>
      <c r="F122" s="39"/>
      <c r="G122" s="26">
        <v>6.8</v>
      </c>
      <c r="H122" s="26">
        <v>6.6</v>
      </c>
      <c r="I122" s="26">
        <v>7.2</v>
      </c>
      <c r="J122" s="26">
        <f t="shared" si="13"/>
        <v>1021.1999999999996</v>
      </c>
      <c r="M122" s="26">
        <v>0</v>
      </c>
      <c r="N122" s="26">
        <v>0.4</v>
      </c>
      <c r="O122" s="26">
        <f t="shared" si="10"/>
        <v>-0.4</v>
      </c>
      <c r="P122" s="26">
        <f t="shared" si="15"/>
        <v>39.700000000000003</v>
      </c>
      <c r="Q122" s="26">
        <v>88</v>
      </c>
      <c r="R122" s="26">
        <f t="shared" si="17"/>
        <v>1</v>
      </c>
      <c r="S122" s="28">
        <f t="shared" si="11"/>
        <v>0.4</v>
      </c>
      <c r="T122" s="28">
        <f t="shared" si="12"/>
        <v>-0.4</v>
      </c>
      <c r="U122" s="28">
        <f t="shared" si="16"/>
        <v>48.586204819277121</v>
      </c>
      <c r="W122" s="26">
        <v>157.4</v>
      </c>
      <c r="Y122" s="26">
        <f t="shared" si="14"/>
        <v>63447.6</v>
      </c>
      <c r="AA122" s="30">
        <v>8.3438946839031729</v>
      </c>
    </row>
    <row r="123" spans="1:28" x14ac:dyDescent="0.25">
      <c r="A123">
        <v>6440</v>
      </c>
      <c r="B123">
        <v>25210</v>
      </c>
      <c r="C123" s="4">
        <v>42701</v>
      </c>
      <c r="D123" t="s">
        <v>37</v>
      </c>
      <c r="E123" s="29">
        <v>3</v>
      </c>
      <c r="F123" s="40" t="s">
        <v>46</v>
      </c>
      <c r="G123">
        <v>4.9000000000000004</v>
      </c>
      <c r="H123">
        <v>2.4</v>
      </c>
      <c r="I123">
        <v>6.3</v>
      </c>
      <c r="J123">
        <f t="shared" si="13"/>
        <v>1026.0999999999997</v>
      </c>
      <c r="K123">
        <f>G123</f>
        <v>4.9000000000000004</v>
      </c>
      <c r="L123" s="10" t="s">
        <v>38</v>
      </c>
      <c r="M123">
        <v>0</v>
      </c>
      <c r="N123">
        <v>0.2</v>
      </c>
      <c r="O123">
        <f t="shared" si="10"/>
        <v>-0.2</v>
      </c>
      <c r="P123">
        <f t="shared" si="15"/>
        <v>39.5</v>
      </c>
      <c r="Q123">
        <v>89</v>
      </c>
      <c r="R123">
        <v>1</v>
      </c>
      <c r="S123" s="18">
        <f t="shared" si="11"/>
        <v>0.2</v>
      </c>
      <c r="T123" s="18">
        <f t="shared" si="12"/>
        <v>-0.2</v>
      </c>
      <c r="U123" s="18">
        <f t="shared" si="16"/>
        <v>48.386204819277118</v>
      </c>
      <c r="V123" s="20" t="s">
        <v>51</v>
      </c>
      <c r="W123">
        <v>191.6</v>
      </c>
      <c r="Y123">
        <f t="shared" si="14"/>
        <v>63639.199999999997</v>
      </c>
      <c r="Z123">
        <f>W123</f>
        <v>191.6</v>
      </c>
      <c r="AA123" s="29">
        <v>8.3104364506525883</v>
      </c>
      <c r="AB123" s="20" t="s">
        <v>56</v>
      </c>
    </row>
    <row r="124" spans="1:28" x14ac:dyDescent="0.25">
      <c r="A124">
        <v>6440</v>
      </c>
      <c r="B124">
        <v>25210</v>
      </c>
      <c r="C124" s="4">
        <v>42702</v>
      </c>
      <c r="E124" s="29">
        <v>4</v>
      </c>
      <c r="F124" s="40"/>
      <c r="G124">
        <v>2.8</v>
      </c>
      <c r="H124">
        <v>1.7</v>
      </c>
      <c r="I124">
        <v>5.5</v>
      </c>
      <c r="J124">
        <f t="shared" si="13"/>
        <v>1028.8999999999996</v>
      </c>
      <c r="K124">
        <f>K123+G124</f>
        <v>7.7</v>
      </c>
      <c r="L124" s="8">
        <v>169.2</v>
      </c>
      <c r="M124">
        <v>0</v>
      </c>
      <c r="N124">
        <v>1</v>
      </c>
      <c r="O124">
        <f t="shared" si="10"/>
        <v>-1</v>
      </c>
      <c r="P124">
        <f t="shared" si="15"/>
        <v>38.5</v>
      </c>
      <c r="Q124">
        <v>90</v>
      </c>
      <c r="R124">
        <v>1</v>
      </c>
      <c r="S124" s="18">
        <f t="shared" si="11"/>
        <v>1</v>
      </c>
      <c r="T124" s="18">
        <f t="shared" si="12"/>
        <v>-1</v>
      </c>
      <c r="U124" s="18">
        <f t="shared" si="16"/>
        <v>47.386204819277118</v>
      </c>
      <c r="V124">
        <v>0</v>
      </c>
      <c r="W124">
        <v>654.70000000000005</v>
      </c>
      <c r="Y124">
        <f t="shared" si="14"/>
        <v>64293.899999999994</v>
      </c>
      <c r="Z124">
        <f>Z123+W124</f>
        <v>846.30000000000007</v>
      </c>
      <c r="AA124" s="29">
        <v>8.2781378579276765</v>
      </c>
      <c r="AB124">
        <v>20556.3</v>
      </c>
    </row>
    <row r="125" spans="1:28" x14ac:dyDescent="0.25">
      <c r="A125">
        <v>6440</v>
      </c>
      <c r="B125">
        <v>25210</v>
      </c>
      <c r="C125" s="4">
        <v>42703</v>
      </c>
      <c r="E125" s="29">
        <v>5</v>
      </c>
      <c r="F125" s="40"/>
      <c r="G125">
        <v>-0.6</v>
      </c>
      <c r="H125">
        <v>-2.2999999999999998</v>
      </c>
      <c r="I125">
        <v>2.2000000000000002</v>
      </c>
      <c r="J125">
        <v>1028.9000000000001</v>
      </c>
      <c r="K125">
        <v>7.7</v>
      </c>
      <c r="L125" s="10" t="s">
        <v>39</v>
      </c>
      <c r="M125">
        <v>0</v>
      </c>
      <c r="N125">
        <v>0.8</v>
      </c>
      <c r="O125">
        <f t="shared" si="10"/>
        <v>-0.8</v>
      </c>
      <c r="P125">
        <f t="shared" si="15"/>
        <v>37.700000000000003</v>
      </c>
      <c r="Q125">
        <v>91</v>
      </c>
      <c r="R125">
        <v>1</v>
      </c>
      <c r="S125" s="18">
        <f t="shared" si="11"/>
        <v>0.8</v>
      </c>
      <c r="T125" s="18">
        <f t="shared" si="12"/>
        <v>-0.8</v>
      </c>
      <c r="U125" s="18">
        <f t="shared" si="16"/>
        <v>46.586204819277121</v>
      </c>
      <c r="V125" s="20" t="s">
        <v>52</v>
      </c>
      <c r="W125">
        <v>683.5</v>
      </c>
      <c r="Y125">
        <f t="shared" si="14"/>
        <v>64977.399999999994</v>
      </c>
      <c r="Z125">
        <f t="shared" ref="Z125:Z188" si="18">Z124+W125</f>
        <v>1529.8000000000002</v>
      </c>
      <c r="AA125" s="29">
        <v>8.2470235816411037</v>
      </c>
      <c r="AB125" s="20" t="s">
        <v>57</v>
      </c>
    </row>
    <row r="126" spans="1:28" x14ac:dyDescent="0.25">
      <c r="A126">
        <v>6440</v>
      </c>
      <c r="B126">
        <v>25210</v>
      </c>
      <c r="C126" s="4">
        <v>42704</v>
      </c>
      <c r="E126" s="29">
        <v>6</v>
      </c>
      <c r="F126" s="40"/>
      <c r="G126">
        <v>-1.3</v>
      </c>
      <c r="H126">
        <v>-4.5</v>
      </c>
      <c r="I126">
        <v>2.9</v>
      </c>
      <c r="J126">
        <v>1028.9000000000001</v>
      </c>
      <c r="K126">
        <v>7.7</v>
      </c>
      <c r="L126" s="8">
        <f>AVERAGE(G123:G186)</f>
        <v>2.0906250000000011</v>
      </c>
      <c r="M126">
        <v>0</v>
      </c>
      <c r="N126">
        <v>0.6</v>
      </c>
      <c r="O126">
        <f t="shared" si="10"/>
        <v>-0.6</v>
      </c>
      <c r="P126">
        <f t="shared" si="15"/>
        <v>37.1</v>
      </c>
      <c r="Q126">
        <v>92</v>
      </c>
      <c r="R126">
        <v>1</v>
      </c>
      <c r="S126" s="18">
        <f t="shared" si="11"/>
        <v>0.6</v>
      </c>
      <c r="T126" s="18">
        <f t="shared" si="12"/>
        <v>-0.6</v>
      </c>
      <c r="U126" s="18">
        <f t="shared" si="16"/>
        <v>45.98620481927712</v>
      </c>
      <c r="V126">
        <v>46</v>
      </c>
      <c r="W126">
        <v>602.5</v>
      </c>
      <c r="Y126">
        <f t="shared" si="14"/>
        <v>65579.899999999994</v>
      </c>
      <c r="Z126">
        <f t="shared" si="18"/>
        <v>2132.3000000000002</v>
      </c>
      <c r="AA126" s="29">
        <v>8.2171178440652195</v>
      </c>
      <c r="AB126">
        <f>(AB124/100)/L124</f>
        <v>1.2149113475177304</v>
      </c>
    </row>
    <row r="127" spans="1:28" x14ac:dyDescent="0.25">
      <c r="A127">
        <v>6440</v>
      </c>
      <c r="B127">
        <v>25210</v>
      </c>
      <c r="C127" s="4">
        <v>42705</v>
      </c>
      <c r="E127" s="29">
        <v>7</v>
      </c>
      <c r="F127" s="40"/>
      <c r="G127">
        <v>0.4</v>
      </c>
      <c r="H127">
        <v>-3.6</v>
      </c>
      <c r="I127">
        <v>5.0999999999999996</v>
      </c>
      <c r="J127">
        <f t="shared" si="13"/>
        <v>1029.3000000000002</v>
      </c>
      <c r="K127">
        <f t="shared" ref="K127:K190" si="19">K126+G127</f>
        <v>8.1</v>
      </c>
      <c r="L127" s="10" t="s">
        <v>40</v>
      </c>
      <c r="M127">
        <v>0</v>
      </c>
      <c r="N127">
        <v>0.7</v>
      </c>
      <c r="O127">
        <f t="shared" si="10"/>
        <v>-0.7</v>
      </c>
      <c r="P127">
        <f t="shared" si="15"/>
        <v>36.4</v>
      </c>
      <c r="Q127">
        <v>93</v>
      </c>
      <c r="R127">
        <v>1</v>
      </c>
      <c r="S127" s="18">
        <f t="shared" si="11"/>
        <v>0.7</v>
      </c>
      <c r="T127" s="18">
        <f t="shared" si="12"/>
        <v>-0.7</v>
      </c>
      <c r="U127" s="18">
        <f t="shared" si="16"/>
        <v>45.286204819277117</v>
      </c>
      <c r="V127" s="20" t="s">
        <v>53</v>
      </c>
      <c r="W127">
        <v>533.79999999999995</v>
      </c>
      <c r="Y127">
        <f t="shared" si="14"/>
        <v>66113.7</v>
      </c>
      <c r="Z127">
        <f t="shared" si="18"/>
        <v>2666.1000000000004</v>
      </c>
      <c r="AA127" s="29">
        <v>8.1884443517289878</v>
      </c>
      <c r="AB127" s="20" t="s">
        <v>58</v>
      </c>
    </row>
    <row r="128" spans="1:28" x14ac:dyDescent="0.25">
      <c r="A128">
        <v>6440</v>
      </c>
      <c r="B128">
        <v>25210</v>
      </c>
      <c r="C128" s="4">
        <v>42706</v>
      </c>
      <c r="E128" s="29">
        <v>8</v>
      </c>
      <c r="F128" s="40"/>
      <c r="G128">
        <v>3.3</v>
      </c>
      <c r="H128">
        <v>0.7</v>
      </c>
      <c r="I128">
        <v>5.3</v>
      </c>
      <c r="J128">
        <f t="shared" si="13"/>
        <v>1032.6000000000001</v>
      </c>
      <c r="K128">
        <f t="shared" si="19"/>
        <v>11.399999999999999</v>
      </c>
      <c r="L128" s="9">
        <f>MIN(H123:H186)</f>
        <v>-6.6</v>
      </c>
      <c r="M128">
        <v>0</v>
      </c>
      <c r="N128">
        <v>0.4</v>
      </c>
      <c r="O128">
        <f t="shared" si="10"/>
        <v>-0.4</v>
      </c>
      <c r="P128">
        <f t="shared" si="15"/>
        <v>36</v>
      </c>
      <c r="Q128">
        <v>94</v>
      </c>
      <c r="R128">
        <v>1</v>
      </c>
      <c r="S128" s="18">
        <f t="shared" si="11"/>
        <v>0.4</v>
      </c>
      <c r="T128" s="18">
        <f t="shared" si="12"/>
        <v>-0.4</v>
      </c>
      <c r="U128" s="18">
        <f t="shared" si="16"/>
        <v>44.886204819277118</v>
      </c>
      <c r="V128" s="18">
        <f>MIN(U123:U186)</f>
        <v>39.486204819277113</v>
      </c>
      <c r="W128">
        <v>230</v>
      </c>
      <c r="Y128">
        <f t="shared" si="14"/>
        <v>66343.7</v>
      </c>
      <c r="Z128">
        <f t="shared" si="18"/>
        <v>2896.1000000000004</v>
      </c>
      <c r="AA128" s="29">
        <v>8.1610262326819853</v>
      </c>
      <c r="AB128">
        <v>64</v>
      </c>
    </row>
    <row r="129" spans="1:28" x14ac:dyDescent="0.25">
      <c r="A129">
        <v>6440</v>
      </c>
      <c r="B129">
        <v>25210</v>
      </c>
      <c r="C129" s="4">
        <v>42707</v>
      </c>
      <c r="E129" s="29">
        <v>9</v>
      </c>
      <c r="F129" s="40"/>
      <c r="G129">
        <v>3.2</v>
      </c>
      <c r="H129">
        <v>1.9</v>
      </c>
      <c r="I129">
        <v>5.3</v>
      </c>
      <c r="J129">
        <f t="shared" si="13"/>
        <v>1035.8000000000002</v>
      </c>
      <c r="K129">
        <f t="shared" si="19"/>
        <v>14.599999999999998</v>
      </c>
      <c r="L129" s="10" t="s">
        <v>41</v>
      </c>
      <c r="M129">
        <v>0</v>
      </c>
      <c r="N129">
        <v>0.6</v>
      </c>
      <c r="O129">
        <f t="shared" si="10"/>
        <v>-0.6</v>
      </c>
      <c r="P129">
        <f t="shared" si="15"/>
        <v>35.4</v>
      </c>
      <c r="Q129">
        <v>95</v>
      </c>
      <c r="R129">
        <v>1</v>
      </c>
      <c r="S129" s="18">
        <f t="shared" si="11"/>
        <v>0.6</v>
      </c>
      <c r="T129" s="18">
        <f t="shared" si="12"/>
        <v>-0.6</v>
      </c>
      <c r="U129" s="18">
        <f t="shared" si="16"/>
        <v>44.286204819277117</v>
      </c>
      <c r="V129" s="20" t="s">
        <v>54</v>
      </c>
      <c r="W129">
        <v>561.5</v>
      </c>
      <c r="Y129">
        <f t="shared" si="14"/>
        <v>66905.2</v>
      </c>
      <c r="Z129">
        <f t="shared" si="18"/>
        <v>3457.6000000000004</v>
      </c>
      <c r="AA129" s="29">
        <v>8.1348859734208379</v>
      </c>
      <c r="AB129" t="s">
        <v>60</v>
      </c>
    </row>
    <row r="130" spans="1:28" x14ac:dyDescent="0.25">
      <c r="A130">
        <v>6440</v>
      </c>
      <c r="B130">
        <v>25210</v>
      </c>
      <c r="C130" s="4">
        <v>42708</v>
      </c>
      <c r="E130" s="29">
        <v>10</v>
      </c>
      <c r="F130" s="40"/>
      <c r="G130">
        <v>0.3</v>
      </c>
      <c r="H130">
        <v>-1.8</v>
      </c>
      <c r="I130">
        <v>3.1</v>
      </c>
      <c r="J130">
        <f t="shared" si="13"/>
        <v>1036.1000000000001</v>
      </c>
      <c r="K130">
        <f t="shared" si="19"/>
        <v>14.899999999999999</v>
      </c>
      <c r="L130" s="8">
        <f>MAX(I123:I186)</f>
        <v>10.199999999999999</v>
      </c>
      <c r="M130">
        <v>0</v>
      </c>
      <c r="N130">
        <v>0.7</v>
      </c>
      <c r="O130">
        <f t="shared" si="10"/>
        <v>-0.7</v>
      </c>
      <c r="P130">
        <f t="shared" si="15"/>
        <v>34.699999999999996</v>
      </c>
      <c r="Q130">
        <v>96</v>
      </c>
      <c r="R130">
        <v>1</v>
      </c>
      <c r="S130" s="18">
        <f t="shared" si="11"/>
        <v>0.7</v>
      </c>
      <c r="T130" s="18">
        <f t="shared" si="12"/>
        <v>-0.7</v>
      </c>
      <c r="U130" s="18">
        <f t="shared" si="16"/>
        <v>43.586204819277114</v>
      </c>
      <c r="V130" s="18">
        <f>MAX(U123:U186)</f>
        <v>83.286204819277117</v>
      </c>
      <c r="W130">
        <v>645.6</v>
      </c>
      <c r="Y130">
        <f t="shared" si="14"/>
        <v>67550.8</v>
      </c>
      <c r="Z130">
        <f t="shared" si="18"/>
        <v>4103.2000000000007</v>
      </c>
      <c r="AA130" s="29">
        <v>8.1100453557913976</v>
      </c>
      <c r="AB130">
        <v>53</v>
      </c>
    </row>
    <row r="131" spans="1:28" x14ac:dyDescent="0.25">
      <c r="A131">
        <v>6440</v>
      </c>
      <c r="B131">
        <v>25210</v>
      </c>
      <c r="C131" s="4">
        <v>42709</v>
      </c>
      <c r="E131" s="29">
        <v>11</v>
      </c>
      <c r="F131" s="40"/>
      <c r="G131">
        <v>0.1</v>
      </c>
      <c r="H131">
        <v>-2.7</v>
      </c>
      <c r="I131">
        <v>3.2</v>
      </c>
      <c r="J131">
        <f t="shared" si="13"/>
        <v>1036.2</v>
      </c>
      <c r="K131">
        <f t="shared" si="19"/>
        <v>14.999999999999998</v>
      </c>
      <c r="L131" s="10" t="s">
        <v>42</v>
      </c>
      <c r="M131">
        <v>0</v>
      </c>
      <c r="N131">
        <v>0.7</v>
      </c>
      <c r="O131">
        <f t="shared" si="10"/>
        <v>-0.7</v>
      </c>
      <c r="P131">
        <f t="shared" si="15"/>
        <v>33.999999999999993</v>
      </c>
      <c r="Q131">
        <v>97</v>
      </c>
      <c r="R131">
        <v>1</v>
      </c>
      <c r="S131" s="18">
        <f t="shared" si="11"/>
        <v>0.7</v>
      </c>
      <c r="T131" s="18">
        <f t="shared" si="12"/>
        <v>-0.7</v>
      </c>
      <c r="U131" s="18">
        <f t="shared" si="16"/>
        <v>42.886204819277111</v>
      </c>
      <c r="V131" s="20" t="s">
        <v>55</v>
      </c>
      <c r="W131">
        <v>550.6</v>
      </c>
      <c r="Y131">
        <f t="shared" si="14"/>
        <v>68101.400000000009</v>
      </c>
      <c r="Z131">
        <f t="shared" si="18"/>
        <v>4653.8000000000011</v>
      </c>
      <c r="AA131" s="29">
        <v>8.0865253941965918</v>
      </c>
    </row>
    <row r="132" spans="1:28" x14ac:dyDescent="0.25">
      <c r="A132">
        <v>6440</v>
      </c>
      <c r="B132">
        <v>25210</v>
      </c>
      <c r="C132" s="4">
        <v>42710</v>
      </c>
      <c r="E132" s="29">
        <v>12</v>
      </c>
      <c r="F132" s="40"/>
      <c r="G132">
        <v>1.1000000000000001</v>
      </c>
      <c r="H132">
        <v>-2</v>
      </c>
      <c r="I132">
        <v>4.8</v>
      </c>
      <c r="J132">
        <f t="shared" si="13"/>
        <v>1037.3</v>
      </c>
      <c r="K132">
        <f t="shared" si="19"/>
        <v>16.099999999999998</v>
      </c>
      <c r="L132" s="8">
        <v>0</v>
      </c>
      <c r="M132">
        <v>0</v>
      </c>
      <c r="N132">
        <v>0.7</v>
      </c>
      <c r="O132">
        <f t="shared" si="10"/>
        <v>-0.7</v>
      </c>
      <c r="P132">
        <f t="shared" si="15"/>
        <v>33.29999999999999</v>
      </c>
      <c r="Q132">
        <v>98</v>
      </c>
      <c r="R132">
        <v>1</v>
      </c>
      <c r="S132" s="18">
        <f t="shared" si="11"/>
        <v>0.7</v>
      </c>
      <c r="T132" s="18">
        <f t="shared" si="12"/>
        <v>-0.7</v>
      </c>
      <c r="U132" s="18">
        <f t="shared" si="16"/>
        <v>42.186204819277108</v>
      </c>
      <c r="V132" s="18">
        <f>AVERAGE(U123:U186)</f>
        <v>54.223704819277103</v>
      </c>
      <c r="W132">
        <v>457.2</v>
      </c>
      <c r="Y132">
        <f t="shared" si="14"/>
        <v>68558.600000000006</v>
      </c>
      <c r="Z132">
        <f t="shared" si="18"/>
        <v>5111.0000000000009</v>
      </c>
      <c r="AA132" s="29">
        <v>8.0643462734535074</v>
      </c>
    </row>
    <row r="133" spans="1:28" x14ac:dyDescent="0.25">
      <c r="A133">
        <v>6440</v>
      </c>
      <c r="B133">
        <v>25210</v>
      </c>
      <c r="C133" s="4">
        <v>42711</v>
      </c>
      <c r="E133" s="29">
        <v>13</v>
      </c>
      <c r="F133" s="40"/>
      <c r="G133">
        <v>3.9</v>
      </c>
      <c r="H133">
        <v>0.8</v>
      </c>
      <c r="I133">
        <v>7.3</v>
      </c>
      <c r="J133">
        <f t="shared" si="13"/>
        <v>1041.2</v>
      </c>
      <c r="K133">
        <f t="shared" si="19"/>
        <v>19.999999999999996</v>
      </c>
      <c r="L133" s="10" t="s">
        <v>43</v>
      </c>
      <c r="M133">
        <v>0</v>
      </c>
      <c r="N133">
        <v>0.6</v>
      </c>
      <c r="O133">
        <f t="shared" si="10"/>
        <v>-0.6</v>
      </c>
      <c r="P133">
        <f t="shared" si="15"/>
        <v>32.699999999999989</v>
      </c>
      <c r="Q133">
        <v>99</v>
      </c>
      <c r="R133">
        <v>1</v>
      </c>
      <c r="S133" s="18">
        <f t="shared" si="11"/>
        <v>0.6</v>
      </c>
      <c r="T133" s="18">
        <f t="shared" si="12"/>
        <v>-0.6</v>
      </c>
      <c r="U133" s="18">
        <f t="shared" si="16"/>
        <v>41.586204819277107</v>
      </c>
      <c r="W133">
        <v>312.2</v>
      </c>
      <c r="Y133">
        <f t="shared" si="14"/>
        <v>68870.8</v>
      </c>
      <c r="Z133">
        <f t="shared" si="18"/>
        <v>5423.2000000000007</v>
      </c>
      <c r="AA133" s="29">
        <v>8.0435272876547916</v>
      </c>
    </row>
    <row r="134" spans="1:28" x14ac:dyDescent="0.25">
      <c r="A134">
        <v>6440</v>
      </c>
      <c r="B134">
        <v>25210</v>
      </c>
      <c r="C134" s="4">
        <v>42712</v>
      </c>
      <c r="E134" s="29">
        <v>14</v>
      </c>
      <c r="F134" s="40"/>
      <c r="G134">
        <v>4.3</v>
      </c>
      <c r="H134">
        <v>1.2</v>
      </c>
      <c r="I134">
        <v>6.3</v>
      </c>
      <c r="J134">
        <f t="shared" si="13"/>
        <v>1045.5</v>
      </c>
      <c r="K134">
        <f t="shared" si="19"/>
        <v>24.299999999999997</v>
      </c>
      <c r="L134" s="8">
        <v>31</v>
      </c>
      <c r="M134">
        <v>0</v>
      </c>
      <c r="N134">
        <v>0.5</v>
      </c>
      <c r="O134">
        <f t="shared" si="10"/>
        <v>-0.5</v>
      </c>
      <c r="P134">
        <f t="shared" si="15"/>
        <v>32.199999999999989</v>
      </c>
      <c r="Q134">
        <v>100</v>
      </c>
      <c r="R134">
        <v>1</v>
      </c>
      <c r="S134" s="18">
        <f t="shared" si="11"/>
        <v>0.5</v>
      </c>
      <c r="T134" s="18">
        <f t="shared" si="12"/>
        <v>-0.5</v>
      </c>
      <c r="U134" s="18">
        <f t="shared" si="16"/>
        <v>41.086204819277107</v>
      </c>
      <c r="V134">
        <f>(V132*100)/189.6</f>
        <v>28.599000432108177</v>
      </c>
      <c r="W134">
        <v>304.8</v>
      </c>
      <c r="Y134">
        <f t="shared" si="14"/>
        <v>69175.600000000006</v>
      </c>
      <c r="Z134">
        <f t="shared" si="18"/>
        <v>5728.0000000000009</v>
      </c>
      <c r="AA134" s="29">
        <v>8.0240867803975746</v>
      </c>
    </row>
    <row r="135" spans="1:28" x14ac:dyDescent="0.25">
      <c r="A135">
        <v>6440</v>
      </c>
      <c r="B135">
        <v>25210</v>
      </c>
      <c r="C135" s="4">
        <v>42713</v>
      </c>
      <c r="F135" s="40"/>
      <c r="G135">
        <v>6.3</v>
      </c>
      <c r="H135">
        <v>5.3</v>
      </c>
      <c r="I135">
        <v>8.6999999999999993</v>
      </c>
      <c r="J135">
        <f t="shared" si="13"/>
        <v>1051.8</v>
      </c>
      <c r="K135">
        <f t="shared" si="19"/>
        <v>30.599999999999998</v>
      </c>
      <c r="L135" s="10" t="s">
        <v>44</v>
      </c>
      <c r="M135">
        <v>0.1</v>
      </c>
      <c r="N135">
        <v>0.7</v>
      </c>
      <c r="O135">
        <f t="shared" si="10"/>
        <v>-0.6</v>
      </c>
      <c r="P135">
        <f t="shared" si="15"/>
        <v>31.599999999999987</v>
      </c>
      <c r="Q135">
        <v>101</v>
      </c>
      <c r="R135">
        <v>1</v>
      </c>
      <c r="S135" s="18">
        <f t="shared" si="11"/>
        <v>0.7</v>
      </c>
      <c r="T135" s="18">
        <f t="shared" si="12"/>
        <v>-0.6</v>
      </c>
      <c r="U135" s="18">
        <f t="shared" si="16"/>
        <v>40.486204819277106</v>
      </c>
      <c r="W135">
        <v>246.2</v>
      </c>
      <c r="Y135">
        <f t="shared" si="14"/>
        <v>69421.8</v>
      </c>
      <c r="Z135">
        <f t="shared" si="18"/>
        <v>5974.2000000000007</v>
      </c>
      <c r="AA135" s="29">
        <v>8.0060420867481685</v>
      </c>
    </row>
    <row r="136" spans="1:28" x14ac:dyDescent="0.25">
      <c r="A136">
        <v>6440</v>
      </c>
      <c r="B136">
        <v>25210</v>
      </c>
      <c r="C136" s="4">
        <v>42714</v>
      </c>
      <c r="F136" s="40"/>
      <c r="G136">
        <v>5.0999999999999996</v>
      </c>
      <c r="H136">
        <v>2.2999999999999998</v>
      </c>
      <c r="I136">
        <v>7.4</v>
      </c>
      <c r="J136">
        <f t="shared" si="13"/>
        <v>1056.8999999999999</v>
      </c>
      <c r="K136">
        <f t="shared" si="19"/>
        <v>35.699999999999996</v>
      </c>
      <c r="L136" s="8">
        <v>28</v>
      </c>
      <c r="M136">
        <v>0</v>
      </c>
      <c r="N136">
        <v>0.4</v>
      </c>
      <c r="O136">
        <f t="shared" si="10"/>
        <v>-0.4</v>
      </c>
      <c r="P136">
        <f t="shared" si="15"/>
        <v>31.199999999999989</v>
      </c>
      <c r="Q136">
        <v>102</v>
      </c>
      <c r="R136">
        <v>1</v>
      </c>
      <c r="S136" s="18">
        <f t="shared" si="11"/>
        <v>0.4</v>
      </c>
      <c r="T136" s="18">
        <f t="shared" si="12"/>
        <v>-0.4</v>
      </c>
      <c r="U136" s="18">
        <f t="shared" si="16"/>
        <v>40.086204819277107</v>
      </c>
      <c r="W136">
        <v>276.5</v>
      </c>
      <c r="Y136">
        <f t="shared" si="14"/>
        <v>69698.3</v>
      </c>
      <c r="Z136">
        <f t="shared" si="18"/>
        <v>6250.7000000000007</v>
      </c>
      <c r="AA136" s="29">
        <v>7.9894094773122006</v>
      </c>
    </row>
    <row r="137" spans="1:28" x14ac:dyDescent="0.25">
      <c r="A137">
        <v>6440</v>
      </c>
      <c r="B137">
        <v>25210</v>
      </c>
      <c r="C137" s="4">
        <v>42715</v>
      </c>
      <c r="F137" s="40"/>
      <c r="G137">
        <v>6.2</v>
      </c>
      <c r="H137">
        <v>4.5</v>
      </c>
      <c r="I137">
        <v>9.5</v>
      </c>
      <c r="J137">
        <f t="shared" si="13"/>
        <v>1063.0999999999999</v>
      </c>
      <c r="K137">
        <f t="shared" si="19"/>
        <v>41.9</v>
      </c>
      <c r="M137">
        <v>0.3</v>
      </c>
      <c r="N137">
        <v>0.7</v>
      </c>
      <c r="O137">
        <f t="shared" si="10"/>
        <v>-0.39999999999999997</v>
      </c>
      <c r="P137">
        <f t="shared" si="15"/>
        <v>30.79999999999999</v>
      </c>
      <c r="Q137">
        <v>103</v>
      </c>
      <c r="R137">
        <v>1</v>
      </c>
      <c r="S137" s="18">
        <f t="shared" si="11"/>
        <v>0.7</v>
      </c>
      <c r="T137" s="18">
        <f t="shared" si="12"/>
        <v>-0.39999999999999997</v>
      </c>
      <c r="U137" s="18">
        <f t="shared" si="16"/>
        <v>39.686204819277108</v>
      </c>
      <c r="W137">
        <v>254.7</v>
      </c>
      <c r="Y137">
        <f t="shared" si="14"/>
        <v>69953</v>
      </c>
      <c r="Z137">
        <f t="shared" si="18"/>
        <v>6505.4000000000005</v>
      </c>
      <c r="AA137" s="29">
        <v>7.9742041047775016</v>
      </c>
    </row>
    <row r="138" spans="1:28" x14ac:dyDescent="0.25">
      <c r="A138">
        <v>6440</v>
      </c>
      <c r="B138">
        <v>25210</v>
      </c>
      <c r="C138" s="4">
        <v>42716</v>
      </c>
      <c r="E138" s="29">
        <v>15</v>
      </c>
      <c r="F138" s="40"/>
      <c r="G138">
        <v>4.2</v>
      </c>
      <c r="H138">
        <v>3.6</v>
      </c>
      <c r="I138">
        <v>5.5</v>
      </c>
      <c r="J138">
        <f t="shared" si="13"/>
        <v>1067.3</v>
      </c>
      <c r="K138">
        <f t="shared" si="19"/>
        <v>46.1</v>
      </c>
      <c r="M138">
        <v>2.2999999999999998</v>
      </c>
      <c r="N138">
        <v>0.3</v>
      </c>
      <c r="O138">
        <f t="shared" si="10"/>
        <v>1.9999999999999998</v>
      </c>
      <c r="P138">
        <f t="shared" si="15"/>
        <v>32.79999999999999</v>
      </c>
      <c r="Q138">
        <v>104</v>
      </c>
      <c r="R138">
        <v>1</v>
      </c>
      <c r="S138" s="18">
        <f t="shared" si="11"/>
        <v>0.3</v>
      </c>
      <c r="T138" s="18">
        <f t="shared" si="12"/>
        <v>1.9999999999999998</v>
      </c>
      <c r="U138" s="18">
        <f t="shared" si="16"/>
        <v>41.686204819277108</v>
      </c>
      <c r="W138">
        <v>157.6</v>
      </c>
      <c r="Y138">
        <f t="shared" si="14"/>
        <v>70110.600000000006</v>
      </c>
      <c r="Z138">
        <f t="shared" si="18"/>
        <v>6663.0000000000009</v>
      </c>
      <c r="AA138" s="29">
        <v>7.9604399532907228</v>
      </c>
    </row>
    <row r="139" spans="1:28" x14ac:dyDescent="0.25">
      <c r="A139">
        <v>6440</v>
      </c>
      <c r="B139">
        <v>25210</v>
      </c>
      <c r="C139" s="4">
        <v>42717</v>
      </c>
      <c r="F139" s="40"/>
      <c r="G139">
        <v>6</v>
      </c>
      <c r="H139">
        <v>4.5999999999999996</v>
      </c>
      <c r="I139">
        <v>7.3</v>
      </c>
      <c r="J139">
        <f t="shared" si="13"/>
        <v>1073.3</v>
      </c>
      <c r="K139">
        <f t="shared" si="19"/>
        <v>52.1</v>
      </c>
      <c r="M139">
        <v>0.2</v>
      </c>
      <c r="N139">
        <v>0.3</v>
      </c>
      <c r="O139">
        <f t="shared" si="10"/>
        <v>-9.9999999999999978E-2</v>
      </c>
      <c r="P139">
        <f t="shared" si="15"/>
        <v>32.699999999999989</v>
      </c>
      <c r="Q139">
        <v>105</v>
      </c>
      <c r="R139">
        <v>1</v>
      </c>
      <c r="S139" s="18">
        <f t="shared" si="11"/>
        <v>0.3</v>
      </c>
      <c r="T139" s="18">
        <f t="shared" si="12"/>
        <v>-9.9999999999999978E-2</v>
      </c>
      <c r="U139" s="18">
        <f t="shared" si="16"/>
        <v>41.586204819277107</v>
      </c>
      <c r="W139">
        <v>148.6</v>
      </c>
      <c r="Y139">
        <f t="shared" si="14"/>
        <v>70259.200000000012</v>
      </c>
      <c r="Z139">
        <f t="shared" si="18"/>
        <v>6811.6000000000013</v>
      </c>
      <c r="AA139" s="29">
        <v>7.9481297910184185</v>
      </c>
    </row>
    <row r="140" spans="1:28" x14ac:dyDescent="0.25">
      <c r="A140">
        <v>6440</v>
      </c>
      <c r="B140">
        <v>25210</v>
      </c>
      <c r="C140" s="4">
        <v>42718</v>
      </c>
      <c r="E140" s="29">
        <v>16</v>
      </c>
      <c r="F140" s="40"/>
      <c r="G140">
        <v>4.3</v>
      </c>
      <c r="H140">
        <v>1.5</v>
      </c>
      <c r="I140">
        <v>8.4</v>
      </c>
      <c r="J140">
        <f t="shared" si="13"/>
        <v>1077.5999999999999</v>
      </c>
      <c r="K140">
        <f t="shared" si="19"/>
        <v>56.4</v>
      </c>
      <c r="M140">
        <v>0.2</v>
      </c>
      <c r="N140">
        <v>0.6</v>
      </c>
      <c r="O140">
        <f t="shared" si="10"/>
        <v>-0.39999999999999997</v>
      </c>
      <c r="P140">
        <f t="shared" si="15"/>
        <v>32.29999999999999</v>
      </c>
      <c r="Q140">
        <v>106</v>
      </c>
      <c r="R140">
        <v>1</v>
      </c>
      <c r="S140" s="18">
        <f t="shared" si="11"/>
        <v>0.6</v>
      </c>
      <c r="T140" s="18">
        <f t="shared" si="12"/>
        <v>-0.39999999999999997</v>
      </c>
      <c r="U140" s="18">
        <f t="shared" si="16"/>
        <v>41.186204819277108</v>
      </c>
      <c r="W140">
        <v>367.1</v>
      </c>
      <c r="Y140">
        <f t="shared" si="14"/>
        <v>70626.300000000017</v>
      </c>
      <c r="Z140">
        <f t="shared" si="18"/>
        <v>7178.7000000000016</v>
      </c>
      <c r="AA140" s="29">
        <v>7.9372851262288115</v>
      </c>
    </row>
    <row r="141" spans="1:28" x14ac:dyDescent="0.25">
      <c r="A141">
        <v>6440</v>
      </c>
      <c r="B141">
        <v>25210</v>
      </c>
      <c r="C141" s="4">
        <v>42719</v>
      </c>
      <c r="E141" s="29">
        <v>17</v>
      </c>
      <c r="F141" s="40"/>
      <c r="G141">
        <v>3.8</v>
      </c>
      <c r="H141">
        <v>1.5</v>
      </c>
      <c r="I141">
        <v>6.6</v>
      </c>
      <c r="J141">
        <f t="shared" si="13"/>
        <v>1081.3999999999999</v>
      </c>
      <c r="K141">
        <f t="shared" si="19"/>
        <v>60.199999999999996</v>
      </c>
      <c r="M141">
        <v>0.1</v>
      </c>
      <c r="N141">
        <v>0.5</v>
      </c>
      <c r="O141">
        <f t="shared" si="10"/>
        <v>-0.4</v>
      </c>
      <c r="P141">
        <f t="shared" si="15"/>
        <v>31.899999999999991</v>
      </c>
      <c r="Q141">
        <v>107</v>
      </c>
      <c r="R141">
        <v>1</v>
      </c>
      <c r="S141" s="18">
        <f t="shared" si="11"/>
        <v>0.5</v>
      </c>
      <c r="T141" s="18">
        <f t="shared" si="12"/>
        <v>-0.4</v>
      </c>
      <c r="U141" s="18">
        <f t="shared" si="16"/>
        <v>40.78620481927711</v>
      </c>
      <c r="W141">
        <v>353.9</v>
      </c>
      <c r="Y141">
        <f t="shared" si="14"/>
        <v>70980.200000000012</v>
      </c>
      <c r="Z141">
        <f t="shared" si="18"/>
        <v>7532.6000000000013</v>
      </c>
      <c r="AA141" s="29">
        <v>7.9279161672120857</v>
      </c>
    </row>
    <row r="142" spans="1:28" x14ac:dyDescent="0.25">
      <c r="A142">
        <v>6440</v>
      </c>
      <c r="B142">
        <v>25210</v>
      </c>
      <c r="C142" s="4">
        <v>42720</v>
      </c>
      <c r="E142" s="29">
        <v>18</v>
      </c>
      <c r="F142" s="40"/>
      <c r="G142">
        <v>4.5</v>
      </c>
      <c r="H142">
        <v>2.6</v>
      </c>
      <c r="I142">
        <v>7.8</v>
      </c>
      <c r="J142">
        <f t="shared" si="13"/>
        <v>1085.8999999999999</v>
      </c>
      <c r="K142">
        <f t="shared" si="19"/>
        <v>64.699999999999989</v>
      </c>
      <c r="M142">
        <v>0</v>
      </c>
      <c r="N142">
        <v>0.7</v>
      </c>
      <c r="O142">
        <f t="shared" si="10"/>
        <v>-0.7</v>
      </c>
      <c r="P142">
        <f t="shared" si="15"/>
        <v>31.199999999999992</v>
      </c>
      <c r="Q142">
        <v>108</v>
      </c>
      <c r="R142">
        <v>1</v>
      </c>
      <c r="S142" s="18">
        <f t="shared" si="11"/>
        <v>0.7</v>
      </c>
      <c r="T142" s="18">
        <f t="shared" si="12"/>
        <v>-0.7</v>
      </c>
      <c r="U142" s="18">
        <f t="shared" si="16"/>
        <v>40.086204819277107</v>
      </c>
      <c r="W142">
        <v>398</v>
      </c>
      <c r="Y142">
        <f t="shared" si="14"/>
        <v>71378.200000000012</v>
      </c>
      <c r="Z142">
        <f t="shared" si="18"/>
        <v>7930.6000000000013</v>
      </c>
      <c r="AA142" s="29">
        <v>7.9200317863346195</v>
      </c>
    </row>
    <row r="143" spans="1:28" x14ac:dyDescent="0.25">
      <c r="A143">
        <v>6440</v>
      </c>
      <c r="B143">
        <v>25210</v>
      </c>
      <c r="C143" s="4">
        <v>42721</v>
      </c>
      <c r="E143" s="29">
        <v>19</v>
      </c>
      <c r="F143" s="40"/>
      <c r="G143">
        <v>2.2000000000000002</v>
      </c>
      <c r="H143">
        <v>-0.7</v>
      </c>
      <c r="I143">
        <v>5</v>
      </c>
      <c r="J143">
        <f t="shared" si="13"/>
        <v>1088.0999999999999</v>
      </c>
      <c r="K143">
        <f t="shared" si="19"/>
        <v>66.899999999999991</v>
      </c>
      <c r="M143">
        <v>0.3</v>
      </c>
      <c r="N143">
        <v>0.3</v>
      </c>
      <c r="O143">
        <f t="shared" si="10"/>
        <v>0</v>
      </c>
      <c r="P143">
        <f t="shared" si="15"/>
        <v>31.199999999999992</v>
      </c>
      <c r="Q143">
        <v>109</v>
      </c>
      <c r="R143">
        <v>1</v>
      </c>
      <c r="S143" s="18">
        <f t="shared" si="11"/>
        <v>0.3</v>
      </c>
      <c r="T143" s="18">
        <f t="shared" si="12"/>
        <v>0</v>
      </c>
      <c r="U143" s="18">
        <f t="shared" si="16"/>
        <v>40.086204819277107</v>
      </c>
      <c r="W143">
        <v>170.4</v>
      </c>
      <c r="Y143">
        <f t="shared" si="14"/>
        <v>71548.600000000006</v>
      </c>
      <c r="Z143">
        <f t="shared" si="18"/>
        <v>8101.0000000000009</v>
      </c>
      <c r="AA143" s="29">
        <v>7.9136394884964218</v>
      </c>
    </row>
    <row r="144" spans="1:28" x14ac:dyDescent="0.25">
      <c r="A144">
        <v>6440</v>
      </c>
      <c r="B144">
        <v>25210</v>
      </c>
      <c r="C144" s="4">
        <v>42722</v>
      </c>
      <c r="E144" s="29">
        <v>20</v>
      </c>
      <c r="F144" s="40"/>
      <c r="G144">
        <v>4.8</v>
      </c>
      <c r="H144">
        <v>4.3</v>
      </c>
      <c r="I144">
        <v>5.4</v>
      </c>
      <c r="J144">
        <f t="shared" si="13"/>
        <v>1092.8999999999999</v>
      </c>
      <c r="K144">
        <f t="shared" si="19"/>
        <v>71.699999999999989</v>
      </c>
      <c r="M144">
        <v>0.3</v>
      </c>
      <c r="N144">
        <v>0.2</v>
      </c>
      <c r="O144">
        <f t="shared" si="10"/>
        <v>9.9999999999999978E-2</v>
      </c>
      <c r="P144">
        <f t="shared" si="15"/>
        <v>31.299999999999994</v>
      </c>
      <c r="Q144">
        <v>110</v>
      </c>
      <c r="R144">
        <v>1</v>
      </c>
      <c r="S144" s="18">
        <f t="shared" si="11"/>
        <v>0.2</v>
      </c>
      <c r="T144" s="18">
        <f t="shared" si="12"/>
        <v>9.9999999999999978E-2</v>
      </c>
      <c r="U144" s="18">
        <f t="shared" si="16"/>
        <v>40.186204819277108</v>
      </c>
      <c r="W144">
        <v>162.80000000000001</v>
      </c>
      <c r="Y144">
        <f t="shared" si="14"/>
        <v>71711.400000000009</v>
      </c>
      <c r="Z144">
        <f t="shared" si="18"/>
        <v>8263.8000000000011</v>
      </c>
      <c r="AA144" s="29">
        <v>7.9087453842314073</v>
      </c>
    </row>
    <row r="145" spans="1:27" x14ac:dyDescent="0.25">
      <c r="A145">
        <v>6440</v>
      </c>
      <c r="B145">
        <v>25210</v>
      </c>
      <c r="C145" s="4">
        <v>42723</v>
      </c>
      <c r="F145" s="40"/>
      <c r="G145">
        <v>5.2</v>
      </c>
      <c r="H145">
        <v>4.0999999999999996</v>
      </c>
      <c r="I145">
        <v>7.1</v>
      </c>
      <c r="J145">
        <f t="shared" si="13"/>
        <v>1098.0999999999999</v>
      </c>
      <c r="K145">
        <f t="shared" si="19"/>
        <v>76.899999999999991</v>
      </c>
      <c r="M145">
        <v>0.1</v>
      </c>
      <c r="N145">
        <v>0.4</v>
      </c>
      <c r="O145">
        <f t="shared" si="10"/>
        <v>-0.30000000000000004</v>
      </c>
      <c r="P145">
        <f t="shared" si="15"/>
        <v>30.999999999999993</v>
      </c>
      <c r="Q145">
        <v>111</v>
      </c>
      <c r="R145">
        <v>1</v>
      </c>
      <c r="S145" s="18">
        <f t="shared" si="11"/>
        <v>0.4</v>
      </c>
      <c r="T145" s="18">
        <f t="shared" si="12"/>
        <v>-0.30000000000000004</v>
      </c>
      <c r="U145" s="18">
        <f t="shared" si="16"/>
        <v>39.886204819277111</v>
      </c>
      <c r="W145">
        <v>159.6</v>
      </c>
      <c r="Y145">
        <f t="shared" si="14"/>
        <v>71871.000000000015</v>
      </c>
      <c r="Z145">
        <f t="shared" si="18"/>
        <v>8423.4000000000015</v>
      </c>
      <c r="AA145" s="29">
        <v>7.9053541676572632</v>
      </c>
    </row>
    <row r="146" spans="1:27" x14ac:dyDescent="0.25">
      <c r="A146">
        <v>6440</v>
      </c>
      <c r="B146">
        <v>25210</v>
      </c>
      <c r="C146" s="4">
        <v>42724</v>
      </c>
      <c r="E146" s="29">
        <v>21</v>
      </c>
      <c r="F146" s="40"/>
      <c r="G146">
        <v>3.2</v>
      </c>
      <c r="H146">
        <v>2</v>
      </c>
      <c r="I146">
        <v>4.4000000000000004</v>
      </c>
      <c r="J146">
        <f t="shared" si="13"/>
        <v>1101.3</v>
      </c>
      <c r="K146">
        <f t="shared" si="19"/>
        <v>80.099999999999994</v>
      </c>
      <c r="M146">
        <v>0</v>
      </c>
      <c r="N146">
        <v>0.4</v>
      </c>
      <c r="O146">
        <f t="shared" si="10"/>
        <v>-0.4</v>
      </c>
      <c r="P146">
        <f t="shared" si="15"/>
        <v>30.599999999999994</v>
      </c>
      <c r="Q146">
        <v>112</v>
      </c>
      <c r="R146">
        <v>1</v>
      </c>
      <c r="S146" s="18">
        <f t="shared" si="11"/>
        <v>0.4</v>
      </c>
      <c r="T146" s="18">
        <f t="shared" si="12"/>
        <v>-0.4</v>
      </c>
      <c r="U146" s="18">
        <f t="shared" si="16"/>
        <v>39.486204819277113</v>
      </c>
      <c r="W146">
        <v>122.2</v>
      </c>
      <c r="Y146">
        <f t="shared" si="14"/>
        <v>71993.200000000012</v>
      </c>
      <c r="Z146">
        <f t="shared" si="18"/>
        <v>8545.6000000000022</v>
      </c>
      <c r="AA146" s="29">
        <v>7.903469099446105</v>
      </c>
    </row>
    <row r="147" spans="1:27" x14ac:dyDescent="0.25">
      <c r="A147">
        <v>6440</v>
      </c>
      <c r="B147">
        <v>25210</v>
      </c>
      <c r="C147" s="4">
        <v>42725</v>
      </c>
      <c r="E147" s="29">
        <v>22</v>
      </c>
      <c r="F147" s="40"/>
      <c r="G147">
        <v>4</v>
      </c>
      <c r="H147">
        <v>1.2</v>
      </c>
      <c r="I147">
        <v>6.2</v>
      </c>
      <c r="J147">
        <f t="shared" si="13"/>
        <v>1105.3</v>
      </c>
      <c r="K147">
        <f t="shared" si="19"/>
        <v>84.1</v>
      </c>
      <c r="M147">
        <v>14</v>
      </c>
      <c r="N147">
        <v>0.6</v>
      </c>
      <c r="O147">
        <f t="shared" si="10"/>
        <v>13.4</v>
      </c>
      <c r="P147">
        <f t="shared" si="15"/>
        <v>43.999999999999993</v>
      </c>
      <c r="Q147">
        <v>113</v>
      </c>
      <c r="R147">
        <v>1</v>
      </c>
      <c r="S147" s="18">
        <f t="shared" si="11"/>
        <v>0.6</v>
      </c>
      <c r="T147" s="18">
        <f t="shared" si="12"/>
        <v>13.4</v>
      </c>
      <c r="U147" s="18">
        <f t="shared" si="16"/>
        <v>52.886204819277111</v>
      </c>
      <c r="W147">
        <v>317.10000000000002</v>
      </c>
      <c r="Y147">
        <f t="shared" si="14"/>
        <v>72310.300000000017</v>
      </c>
      <c r="Z147">
        <f t="shared" si="18"/>
        <v>8862.7000000000025</v>
      </c>
      <c r="AA147" s="29">
        <v>7.9030919949491389</v>
      </c>
    </row>
    <row r="148" spans="1:27" x14ac:dyDescent="0.25">
      <c r="A148">
        <v>6440</v>
      </c>
      <c r="B148">
        <v>25210</v>
      </c>
      <c r="C148" s="4">
        <v>42726</v>
      </c>
      <c r="F148" s="40"/>
      <c r="G148">
        <v>5.9</v>
      </c>
      <c r="H148">
        <v>5.5</v>
      </c>
      <c r="I148">
        <v>7.2</v>
      </c>
      <c r="J148">
        <f t="shared" si="13"/>
        <v>1111.2</v>
      </c>
      <c r="K148">
        <f t="shared" si="19"/>
        <v>90</v>
      </c>
      <c r="M148">
        <v>0.4</v>
      </c>
      <c r="N148">
        <v>0.3</v>
      </c>
      <c r="O148">
        <f t="shared" si="10"/>
        <v>0.10000000000000003</v>
      </c>
      <c r="P148">
        <f t="shared" si="15"/>
        <v>44.099999999999994</v>
      </c>
      <c r="Q148">
        <v>114</v>
      </c>
      <c r="R148">
        <v>1</v>
      </c>
      <c r="S148" s="18">
        <f t="shared" si="11"/>
        <v>0.3</v>
      </c>
      <c r="T148" s="18">
        <f t="shared" si="12"/>
        <v>0.10000000000000003</v>
      </c>
      <c r="U148" s="18">
        <f t="shared" si="16"/>
        <v>52.986204819277113</v>
      </c>
      <c r="W148">
        <v>86.5</v>
      </c>
      <c r="Y148">
        <f t="shared" si="14"/>
        <v>72396.800000000017</v>
      </c>
      <c r="Z148">
        <f t="shared" si="18"/>
        <v>8949.2000000000025</v>
      </c>
      <c r="AA148" s="29">
        <v>7.9042232175686857</v>
      </c>
    </row>
    <row r="149" spans="1:27" x14ac:dyDescent="0.25">
      <c r="A149">
        <v>6440</v>
      </c>
      <c r="B149">
        <v>25210</v>
      </c>
      <c r="C149" s="4">
        <v>42727</v>
      </c>
      <c r="E149" s="29">
        <v>23</v>
      </c>
      <c r="F149" s="40"/>
      <c r="G149">
        <v>3.9</v>
      </c>
      <c r="H149">
        <v>1.4</v>
      </c>
      <c r="I149">
        <v>6.7</v>
      </c>
      <c r="J149">
        <f t="shared" si="13"/>
        <v>1115.1000000000001</v>
      </c>
      <c r="K149">
        <f t="shared" si="19"/>
        <v>93.9</v>
      </c>
      <c r="M149">
        <v>0.8</v>
      </c>
      <c r="N149">
        <v>0.3</v>
      </c>
      <c r="O149">
        <f t="shared" si="10"/>
        <v>0.5</v>
      </c>
      <c r="P149">
        <f t="shared" si="15"/>
        <v>44.599999999999994</v>
      </c>
      <c r="Q149">
        <v>115</v>
      </c>
      <c r="R149">
        <v>1</v>
      </c>
      <c r="S149" s="18">
        <f t="shared" si="11"/>
        <v>0.3</v>
      </c>
      <c r="T149" s="18">
        <f t="shared" si="12"/>
        <v>0.5</v>
      </c>
      <c r="U149" s="18">
        <f t="shared" si="16"/>
        <v>53.486204819277113</v>
      </c>
      <c r="W149">
        <v>62.5</v>
      </c>
      <c r="Y149">
        <f t="shared" si="14"/>
        <v>72459.300000000017</v>
      </c>
      <c r="Z149">
        <f t="shared" si="18"/>
        <v>9011.7000000000025</v>
      </c>
      <c r="AA149" s="29">
        <v>7.9068616774299851</v>
      </c>
    </row>
    <row r="150" spans="1:27" x14ac:dyDescent="0.25">
      <c r="A150">
        <v>6440</v>
      </c>
      <c r="B150">
        <v>25210</v>
      </c>
      <c r="C150" s="4">
        <v>42728</v>
      </c>
      <c r="F150" s="40"/>
      <c r="G150">
        <v>7.4</v>
      </c>
      <c r="H150">
        <v>5.8</v>
      </c>
      <c r="I150">
        <v>8.6</v>
      </c>
      <c r="J150">
        <f t="shared" si="13"/>
        <v>1122.5000000000002</v>
      </c>
      <c r="K150">
        <f t="shared" si="19"/>
        <v>101.30000000000001</v>
      </c>
      <c r="M150">
        <v>0.2</v>
      </c>
      <c r="N150">
        <v>0.4</v>
      </c>
      <c r="O150">
        <f t="shared" si="10"/>
        <v>-0.2</v>
      </c>
      <c r="P150">
        <f t="shared" si="15"/>
        <v>44.399999999999991</v>
      </c>
      <c r="Q150">
        <v>116</v>
      </c>
      <c r="R150">
        <v>1</v>
      </c>
      <c r="S150" s="18">
        <f t="shared" si="11"/>
        <v>0.4</v>
      </c>
      <c r="T150" s="18">
        <f t="shared" si="12"/>
        <v>-0.2</v>
      </c>
      <c r="U150" s="18">
        <f t="shared" si="16"/>
        <v>53.28620481927711</v>
      </c>
      <c r="W150">
        <v>132.4</v>
      </c>
      <c r="Y150">
        <f t="shared" si="14"/>
        <v>72591.700000000012</v>
      </c>
      <c r="Z150">
        <f t="shared" si="18"/>
        <v>9144.1000000000022</v>
      </c>
      <c r="AA150" s="29">
        <v>7.9110048353632116</v>
      </c>
    </row>
    <row r="151" spans="1:27" x14ac:dyDescent="0.25">
      <c r="A151">
        <v>6440</v>
      </c>
      <c r="B151">
        <v>25210</v>
      </c>
      <c r="C151" s="4">
        <v>42729</v>
      </c>
      <c r="F151" s="40"/>
      <c r="G151">
        <v>8.9</v>
      </c>
      <c r="H151">
        <v>7.1</v>
      </c>
      <c r="I151">
        <v>10.1</v>
      </c>
      <c r="J151">
        <f t="shared" si="13"/>
        <v>1131.4000000000003</v>
      </c>
      <c r="K151">
        <f t="shared" si="19"/>
        <v>110.20000000000002</v>
      </c>
      <c r="M151">
        <v>0.8</v>
      </c>
      <c r="N151">
        <v>0.6</v>
      </c>
      <c r="O151">
        <f t="shared" si="10"/>
        <v>0.20000000000000007</v>
      </c>
      <c r="P151">
        <f t="shared" si="15"/>
        <v>44.599999999999994</v>
      </c>
      <c r="Q151">
        <v>117</v>
      </c>
      <c r="R151">
        <v>1</v>
      </c>
      <c r="S151" s="18">
        <f t="shared" si="11"/>
        <v>0.6</v>
      </c>
      <c r="T151" s="18">
        <f t="shared" si="12"/>
        <v>0.20000000000000007</v>
      </c>
      <c r="U151" s="18">
        <f t="shared" si="16"/>
        <v>53.486204819277113</v>
      </c>
      <c r="W151">
        <v>133</v>
      </c>
      <c r="Y151">
        <f t="shared" si="14"/>
        <v>72724.700000000012</v>
      </c>
      <c r="Z151">
        <f t="shared" si="18"/>
        <v>9277.1000000000022</v>
      </c>
      <c r="AA151" s="29">
        <v>7.9166487121642515</v>
      </c>
    </row>
    <row r="152" spans="1:27" x14ac:dyDescent="0.25">
      <c r="A152">
        <v>6440</v>
      </c>
      <c r="B152">
        <v>25210</v>
      </c>
      <c r="C152" s="4">
        <v>42730</v>
      </c>
      <c r="F152" s="40"/>
      <c r="G152">
        <v>7.4</v>
      </c>
      <c r="H152">
        <v>4.7</v>
      </c>
      <c r="I152">
        <v>10.199999999999999</v>
      </c>
      <c r="J152">
        <f t="shared" si="13"/>
        <v>1138.8000000000004</v>
      </c>
      <c r="K152">
        <f t="shared" si="19"/>
        <v>117.60000000000002</v>
      </c>
      <c r="M152">
        <v>0.8</v>
      </c>
      <c r="N152">
        <v>0.4</v>
      </c>
      <c r="O152">
        <f t="shared" si="10"/>
        <v>0.4</v>
      </c>
      <c r="P152">
        <f t="shared" si="15"/>
        <v>44.999999999999993</v>
      </c>
      <c r="Q152">
        <v>118</v>
      </c>
      <c r="R152">
        <v>1</v>
      </c>
      <c r="S152" s="18">
        <f t="shared" si="11"/>
        <v>0.4</v>
      </c>
      <c r="T152" s="18">
        <f t="shared" si="12"/>
        <v>0.4</v>
      </c>
      <c r="U152" s="18">
        <f t="shared" si="16"/>
        <v>53.886204819277111</v>
      </c>
      <c r="W152">
        <v>307.89999999999998</v>
      </c>
      <c r="Y152">
        <f t="shared" si="14"/>
        <v>73032.600000000006</v>
      </c>
      <c r="Z152">
        <f t="shared" si="18"/>
        <v>9585.0000000000018</v>
      </c>
      <c r="AA152" s="29">
        <v>7.9237879030612586</v>
      </c>
    </row>
    <row r="153" spans="1:27" x14ac:dyDescent="0.25">
      <c r="A153">
        <v>6440</v>
      </c>
      <c r="B153">
        <v>25210</v>
      </c>
      <c r="C153" s="4">
        <v>42731</v>
      </c>
      <c r="E153" s="29">
        <v>24</v>
      </c>
      <c r="F153" s="40"/>
      <c r="G153">
        <v>1.7</v>
      </c>
      <c r="H153">
        <v>-0.4</v>
      </c>
      <c r="I153">
        <v>6.4</v>
      </c>
      <c r="J153">
        <f t="shared" si="13"/>
        <v>1140.5000000000005</v>
      </c>
      <c r="K153">
        <f t="shared" si="19"/>
        <v>119.30000000000003</v>
      </c>
      <c r="M153">
        <v>0.1</v>
      </c>
      <c r="N153">
        <v>0.8</v>
      </c>
      <c r="O153">
        <f t="shared" si="10"/>
        <v>-0.70000000000000007</v>
      </c>
      <c r="P153">
        <f t="shared" si="15"/>
        <v>44.29999999999999</v>
      </c>
      <c r="Q153">
        <v>119</v>
      </c>
      <c r="R153">
        <v>1</v>
      </c>
      <c r="S153" s="18">
        <f t="shared" si="11"/>
        <v>0.8</v>
      </c>
      <c r="T153" s="18">
        <f t="shared" si="12"/>
        <v>-0.70000000000000007</v>
      </c>
      <c r="U153" s="18">
        <f t="shared" si="16"/>
        <v>53.186204819277108</v>
      </c>
      <c r="W153">
        <v>509</v>
      </c>
      <c r="Y153">
        <f t="shared" si="14"/>
        <v>73541.600000000006</v>
      </c>
      <c r="Z153">
        <f t="shared" si="18"/>
        <v>10094.000000000002</v>
      </c>
      <c r="AA153" s="29">
        <v>7.9324155972734669</v>
      </c>
    </row>
    <row r="154" spans="1:27" x14ac:dyDescent="0.25">
      <c r="A154">
        <v>6440</v>
      </c>
      <c r="B154">
        <v>25210</v>
      </c>
      <c r="C154" s="4">
        <v>42732</v>
      </c>
      <c r="E154" s="29">
        <v>25</v>
      </c>
      <c r="F154" s="40"/>
      <c r="G154">
        <v>0.7</v>
      </c>
      <c r="H154">
        <v>-1</v>
      </c>
      <c r="I154">
        <v>3.7</v>
      </c>
      <c r="J154">
        <f t="shared" si="13"/>
        <v>1141.2000000000005</v>
      </c>
      <c r="K154">
        <f t="shared" si="19"/>
        <v>120.00000000000003</v>
      </c>
      <c r="M154">
        <v>0.1</v>
      </c>
      <c r="N154">
        <v>0.6</v>
      </c>
      <c r="O154">
        <f t="shared" si="10"/>
        <v>-0.5</v>
      </c>
      <c r="P154">
        <f t="shared" si="15"/>
        <v>43.79999999999999</v>
      </c>
      <c r="Q154">
        <v>120</v>
      </c>
      <c r="R154">
        <v>1</v>
      </c>
      <c r="S154" s="18">
        <f t="shared" si="11"/>
        <v>0.6</v>
      </c>
      <c r="T154" s="18">
        <f t="shared" si="12"/>
        <v>-0.5</v>
      </c>
      <c r="U154" s="18">
        <f t="shared" si="16"/>
        <v>52.686204819277108</v>
      </c>
      <c r="W154">
        <v>379.6</v>
      </c>
      <c r="Y154">
        <f t="shared" si="14"/>
        <v>73921.200000000012</v>
      </c>
      <c r="Z154">
        <f t="shared" si="18"/>
        <v>10473.600000000002</v>
      </c>
      <c r="AA154" s="29">
        <v>7.9425236025097936</v>
      </c>
    </row>
    <row r="155" spans="1:27" x14ac:dyDescent="0.25">
      <c r="A155">
        <v>6440</v>
      </c>
      <c r="B155">
        <v>25210</v>
      </c>
      <c r="C155" s="4">
        <v>42733</v>
      </c>
      <c r="E155" s="29">
        <v>26</v>
      </c>
      <c r="F155" s="40"/>
      <c r="G155">
        <v>-1.9</v>
      </c>
      <c r="H155">
        <v>-2.6</v>
      </c>
      <c r="I155">
        <v>-0.9</v>
      </c>
      <c r="J155">
        <v>1141.2</v>
      </c>
      <c r="K155">
        <v>120</v>
      </c>
      <c r="M155">
        <v>0</v>
      </c>
      <c r="N155">
        <v>0.3</v>
      </c>
      <c r="O155">
        <f t="shared" si="10"/>
        <v>-0.3</v>
      </c>
      <c r="P155">
        <f t="shared" si="15"/>
        <v>43.499999999999993</v>
      </c>
      <c r="Q155">
        <v>121</v>
      </c>
      <c r="R155">
        <v>1</v>
      </c>
      <c r="S155" s="18">
        <f t="shared" si="11"/>
        <v>0.3</v>
      </c>
      <c r="T155" s="18">
        <f t="shared" si="12"/>
        <v>-0.3</v>
      </c>
      <c r="U155" s="18">
        <f t="shared" si="16"/>
        <v>52.386204819277111</v>
      </c>
      <c r="W155">
        <v>215.2</v>
      </c>
      <c r="Y155">
        <f t="shared" si="14"/>
        <v>74136.400000000009</v>
      </c>
      <c r="Z155">
        <f t="shared" si="18"/>
        <v>10688.800000000003</v>
      </c>
      <c r="AA155" s="29">
        <v>7.9541023742179533</v>
      </c>
    </row>
    <row r="156" spans="1:27" x14ac:dyDescent="0.25">
      <c r="A156">
        <v>6440</v>
      </c>
      <c r="B156">
        <v>25210</v>
      </c>
      <c r="C156" s="4">
        <v>42734</v>
      </c>
      <c r="E156" s="29">
        <v>27</v>
      </c>
      <c r="F156" s="40"/>
      <c r="G156">
        <v>-3.4</v>
      </c>
      <c r="H156">
        <v>-4.5999999999999996</v>
      </c>
      <c r="I156">
        <v>-2.2000000000000002</v>
      </c>
      <c r="J156">
        <v>1141.2</v>
      </c>
      <c r="K156">
        <v>120</v>
      </c>
      <c r="M156">
        <v>0</v>
      </c>
      <c r="N156">
        <v>0.3</v>
      </c>
      <c r="O156">
        <f t="shared" si="10"/>
        <v>-0.3</v>
      </c>
      <c r="P156">
        <f t="shared" si="15"/>
        <v>43.199999999999996</v>
      </c>
      <c r="Q156">
        <v>122</v>
      </c>
      <c r="R156">
        <v>1</v>
      </c>
      <c r="S156" s="18">
        <f t="shared" si="11"/>
        <v>0.3</v>
      </c>
      <c r="T156" s="18">
        <f t="shared" si="12"/>
        <v>-0.3</v>
      </c>
      <c r="U156" s="18">
        <f t="shared" si="16"/>
        <v>52.086204819277114</v>
      </c>
      <c r="W156">
        <v>196.9</v>
      </c>
      <c r="Y156">
        <f t="shared" si="14"/>
        <v>74333.3</v>
      </c>
      <c r="Z156">
        <f t="shared" si="18"/>
        <v>10885.700000000003</v>
      </c>
      <c r="AA156" s="29">
        <v>7.9671410493605217</v>
      </c>
    </row>
    <row r="157" spans="1:27" x14ac:dyDescent="0.25">
      <c r="A157">
        <v>6440</v>
      </c>
      <c r="B157">
        <v>25210</v>
      </c>
      <c r="C157" s="4">
        <v>42735</v>
      </c>
      <c r="E157" s="29">
        <v>28</v>
      </c>
      <c r="F157" s="40"/>
      <c r="G157">
        <v>-3.8</v>
      </c>
      <c r="H157">
        <v>-4.3</v>
      </c>
      <c r="I157">
        <v>-3.2</v>
      </c>
      <c r="J157">
        <v>1141.2</v>
      </c>
      <c r="K157">
        <v>120</v>
      </c>
      <c r="M157">
        <v>0</v>
      </c>
      <c r="N157">
        <v>0.2</v>
      </c>
      <c r="O157">
        <f t="shared" si="10"/>
        <v>-0.2</v>
      </c>
      <c r="P157">
        <f t="shared" si="15"/>
        <v>42.999999999999993</v>
      </c>
      <c r="Q157">
        <v>123</v>
      </c>
      <c r="R157">
        <v>1</v>
      </c>
      <c r="S157" s="18">
        <f t="shared" si="11"/>
        <v>0.2</v>
      </c>
      <c r="T157" s="18">
        <f t="shared" si="12"/>
        <v>-0.2</v>
      </c>
      <c r="U157" s="18">
        <f t="shared" si="16"/>
        <v>51.886204819277111</v>
      </c>
      <c r="W157">
        <v>222</v>
      </c>
      <c r="Y157">
        <f t="shared" si="14"/>
        <v>74555.3</v>
      </c>
      <c r="Z157">
        <f t="shared" si="18"/>
        <v>11107.700000000003</v>
      </c>
      <c r="AA157" s="29">
        <v>7.9816274844630302</v>
      </c>
    </row>
    <row r="158" spans="1:27" x14ac:dyDescent="0.25">
      <c r="A158">
        <v>6440</v>
      </c>
      <c r="B158">
        <v>25210</v>
      </c>
      <c r="C158" s="4">
        <v>42736</v>
      </c>
      <c r="E158" s="29">
        <v>29</v>
      </c>
      <c r="F158" s="40"/>
      <c r="G158">
        <v>-1.8</v>
      </c>
      <c r="H158">
        <v>-3.8</v>
      </c>
      <c r="I158">
        <v>0.3</v>
      </c>
      <c r="J158">
        <v>1141.2</v>
      </c>
      <c r="K158">
        <v>120</v>
      </c>
      <c r="M158">
        <v>0.4</v>
      </c>
      <c r="N158">
        <v>0.2</v>
      </c>
      <c r="O158">
        <f t="shared" si="10"/>
        <v>0.2</v>
      </c>
      <c r="P158">
        <f t="shared" si="15"/>
        <v>43.199999999999996</v>
      </c>
      <c r="Q158">
        <v>124</v>
      </c>
      <c r="R158">
        <v>1</v>
      </c>
      <c r="S158" s="18">
        <f t="shared" si="11"/>
        <v>0.2</v>
      </c>
      <c r="T158" s="18">
        <f t="shared" si="12"/>
        <v>0.2</v>
      </c>
      <c r="U158" s="18">
        <f t="shared" si="16"/>
        <v>52.086204819277114</v>
      </c>
      <c r="W158">
        <v>170</v>
      </c>
      <c r="Y158">
        <f t="shared" si="14"/>
        <v>74725.3</v>
      </c>
      <c r="Z158">
        <f t="shared" si="18"/>
        <v>11277.700000000003</v>
      </c>
      <c r="AA158" s="29">
        <v>7.9975482976513685</v>
      </c>
    </row>
    <row r="159" spans="1:27" x14ac:dyDescent="0.25">
      <c r="A159">
        <v>6440</v>
      </c>
      <c r="B159">
        <v>25210</v>
      </c>
      <c r="C159" s="4">
        <v>42737</v>
      </c>
      <c r="E159" s="29">
        <v>30</v>
      </c>
      <c r="F159" s="40"/>
      <c r="G159">
        <v>0.5</v>
      </c>
      <c r="H159">
        <v>-0.5</v>
      </c>
      <c r="I159">
        <v>1.8</v>
      </c>
      <c r="J159">
        <f t="shared" si="13"/>
        <v>1141.7</v>
      </c>
      <c r="K159">
        <f t="shared" si="19"/>
        <v>120.5</v>
      </c>
      <c r="M159">
        <v>0.4</v>
      </c>
      <c r="N159">
        <v>0.2</v>
      </c>
      <c r="O159">
        <f t="shared" si="10"/>
        <v>0.2</v>
      </c>
      <c r="P159">
        <f t="shared" si="15"/>
        <v>43.4</v>
      </c>
      <c r="Q159">
        <v>125</v>
      </c>
      <c r="R159">
        <v>1</v>
      </c>
      <c r="S159" s="18">
        <f t="shared" si="11"/>
        <v>0.2</v>
      </c>
      <c r="T159" s="18">
        <f t="shared" si="12"/>
        <v>0.2</v>
      </c>
      <c r="U159" s="18">
        <f t="shared" si="16"/>
        <v>52.286204819277117</v>
      </c>
      <c r="W159">
        <v>163.4</v>
      </c>
      <c r="Y159">
        <f t="shared" si="14"/>
        <v>74888.7</v>
      </c>
      <c r="Z159">
        <f t="shared" si="18"/>
        <v>11441.100000000002</v>
      </c>
      <c r="AA159" s="29">
        <v>8.0148889143713333</v>
      </c>
    </row>
    <row r="160" spans="1:27" x14ac:dyDescent="0.25">
      <c r="A160">
        <v>6440</v>
      </c>
      <c r="B160">
        <v>25210</v>
      </c>
      <c r="C160" s="4">
        <v>42738</v>
      </c>
      <c r="E160" s="29">
        <v>31</v>
      </c>
      <c r="F160" s="40"/>
      <c r="G160">
        <v>-0.4</v>
      </c>
      <c r="H160">
        <v>-3.2</v>
      </c>
      <c r="I160">
        <v>3.1</v>
      </c>
      <c r="J160">
        <v>1141.7</v>
      </c>
      <c r="K160">
        <v>120.5</v>
      </c>
      <c r="M160">
        <v>1</v>
      </c>
      <c r="N160">
        <v>0.3</v>
      </c>
      <c r="O160">
        <f t="shared" si="10"/>
        <v>0.7</v>
      </c>
      <c r="P160">
        <f t="shared" si="15"/>
        <v>44.1</v>
      </c>
      <c r="Q160">
        <v>126</v>
      </c>
      <c r="R160">
        <v>1</v>
      </c>
      <c r="S160" s="18">
        <f t="shared" si="11"/>
        <v>0.3</v>
      </c>
      <c r="T160" s="18">
        <f t="shared" si="12"/>
        <v>0.7</v>
      </c>
      <c r="U160" s="18">
        <f t="shared" si="16"/>
        <v>52.98620481927712</v>
      </c>
      <c r="W160">
        <v>219.9</v>
      </c>
      <c r="Y160">
        <f t="shared" si="14"/>
        <v>75108.599999999991</v>
      </c>
      <c r="Z160">
        <f t="shared" si="18"/>
        <v>11661.000000000002</v>
      </c>
      <c r="AA160" s="29">
        <v>8.0336336164628026</v>
      </c>
    </row>
    <row r="161" spans="1:27" x14ac:dyDescent="0.25">
      <c r="A161">
        <v>6440</v>
      </c>
      <c r="B161">
        <v>25210</v>
      </c>
      <c r="C161" s="4">
        <v>42739</v>
      </c>
      <c r="E161" s="29">
        <v>32</v>
      </c>
      <c r="F161" s="40"/>
      <c r="G161">
        <v>3.4</v>
      </c>
      <c r="H161">
        <v>1.1000000000000001</v>
      </c>
      <c r="I161">
        <v>5.3</v>
      </c>
      <c r="J161">
        <f t="shared" si="13"/>
        <v>1145.1000000000001</v>
      </c>
      <c r="K161">
        <f t="shared" si="19"/>
        <v>123.9</v>
      </c>
      <c r="M161">
        <v>1</v>
      </c>
      <c r="N161">
        <v>0.2</v>
      </c>
      <c r="O161">
        <f t="shared" si="10"/>
        <v>0.8</v>
      </c>
      <c r="P161">
        <f t="shared" si="15"/>
        <v>44.9</v>
      </c>
      <c r="Q161">
        <v>127</v>
      </c>
      <c r="R161">
        <v>1</v>
      </c>
      <c r="S161" s="18">
        <f t="shared" si="11"/>
        <v>0.2</v>
      </c>
      <c r="T161" s="18">
        <f t="shared" si="12"/>
        <v>0.8</v>
      </c>
      <c r="U161" s="18">
        <f t="shared" si="16"/>
        <v>53.786204819277117</v>
      </c>
      <c r="W161">
        <v>144.1</v>
      </c>
      <c r="Y161">
        <f t="shared" si="14"/>
        <v>75252.7</v>
      </c>
      <c r="Z161">
        <f t="shared" si="18"/>
        <v>11805.100000000002</v>
      </c>
      <c r="AA161" s="29">
        <v>8.0537655942445632</v>
      </c>
    </row>
    <row r="162" spans="1:27" x14ac:dyDescent="0.25">
      <c r="A162">
        <v>6440</v>
      </c>
      <c r="B162">
        <v>25210</v>
      </c>
      <c r="C162" s="4">
        <v>42740</v>
      </c>
      <c r="E162" s="29">
        <v>33</v>
      </c>
      <c r="F162" s="40"/>
      <c r="G162">
        <v>2</v>
      </c>
      <c r="H162">
        <v>1</v>
      </c>
      <c r="I162">
        <v>4.7</v>
      </c>
      <c r="J162">
        <f t="shared" si="13"/>
        <v>1147.1000000000001</v>
      </c>
      <c r="K162">
        <f t="shared" si="19"/>
        <v>125.9</v>
      </c>
      <c r="M162">
        <v>0.1</v>
      </c>
      <c r="N162">
        <v>0.6</v>
      </c>
      <c r="O162">
        <f t="shared" si="10"/>
        <v>-0.5</v>
      </c>
      <c r="P162">
        <f t="shared" si="15"/>
        <v>44.4</v>
      </c>
      <c r="Q162">
        <v>128</v>
      </c>
      <c r="R162">
        <v>1</v>
      </c>
      <c r="S162" s="18">
        <f t="shared" si="11"/>
        <v>0.6</v>
      </c>
      <c r="T162" s="18">
        <f t="shared" si="12"/>
        <v>-0.5</v>
      </c>
      <c r="U162" s="18">
        <f t="shared" si="16"/>
        <v>53.286204819277117</v>
      </c>
      <c r="W162">
        <v>382.1</v>
      </c>
      <c r="Y162">
        <f t="shared" si="14"/>
        <v>75634.8</v>
      </c>
      <c r="Z162">
        <f t="shared" si="18"/>
        <v>12187.200000000003</v>
      </c>
      <c r="AA162" s="29">
        <v>8.0752670012534242</v>
      </c>
    </row>
    <row r="163" spans="1:27" x14ac:dyDescent="0.25">
      <c r="A163">
        <v>6440</v>
      </c>
      <c r="B163">
        <v>25210</v>
      </c>
      <c r="C163" s="4">
        <v>42741</v>
      </c>
      <c r="E163" s="29">
        <v>34</v>
      </c>
      <c r="F163" s="40"/>
      <c r="G163">
        <v>-2</v>
      </c>
      <c r="H163">
        <v>-3</v>
      </c>
      <c r="I163">
        <v>0</v>
      </c>
      <c r="J163">
        <v>1147.0999999999999</v>
      </c>
      <c r="K163">
        <v>125.9</v>
      </c>
      <c r="M163">
        <v>0</v>
      </c>
      <c r="N163">
        <v>0.4</v>
      </c>
      <c r="O163">
        <f t="shared" si="10"/>
        <v>-0.4</v>
      </c>
      <c r="P163">
        <f t="shared" si="15"/>
        <v>44</v>
      </c>
      <c r="Q163">
        <v>129</v>
      </c>
      <c r="R163">
        <v>1</v>
      </c>
      <c r="S163" s="18">
        <f t="shared" si="11"/>
        <v>0.4</v>
      </c>
      <c r="T163" s="18">
        <f t="shared" si="12"/>
        <v>-0.4</v>
      </c>
      <c r="U163" s="18">
        <f t="shared" si="16"/>
        <v>52.886204819277118</v>
      </c>
      <c r="W163">
        <v>423.9</v>
      </c>
      <c r="Y163">
        <f t="shared" si="14"/>
        <v>76058.7</v>
      </c>
      <c r="Z163">
        <f t="shared" si="18"/>
        <v>12611.100000000002</v>
      </c>
      <c r="AA163" s="29">
        <v>8.0981190112729262</v>
      </c>
    </row>
    <row r="164" spans="1:27" x14ac:dyDescent="0.25">
      <c r="A164">
        <v>6440</v>
      </c>
      <c r="B164">
        <v>25210</v>
      </c>
      <c r="C164" s="4">
        <v>42742</v>
      </c>
      <c r="E164" s="29">
        <v>35</v>
      </c>
      <c r="F164" s="40"/>
      <c r="G164">
        <v>-0.7</v>
      </c>
      <c r="H164">
        <v>-3.3</v>
      </c>
      <c r="I164">
        <v>2.2999999999999998</v>
      </c>
      <c r="J164">
        <v>1147.0999999999999</v>
      </c>
      <c r="K164">
        <v>125.9</v>
      </c>
      <c r="M164">
        <v>1.2</v>
      </c>
      <c r="N164">
        <v>0.4</v>
      </c>
      <c r="O164">
        <f t="shared" ref="O164:O227" si="20">M164-N164</f>
        <v>0.79999999999999993</v>
      </c>
      <c r="P164">
        <f t="shared" si="15"/>
        <v>44.8</v>
      </c>
      <c r="Q164">
        <v>130</v>
      </c>
      <c r="R164">
        <v>1</v>
      </c>
      <c r="S164" s="18">
        <f t="shared" ref="S164:S227" si="21">R164*N164</f>
        <v>0.4</v>
      </c>
      <c r="T164" s="18">
        <f t="shared" ref="T164:T227" si="22">M164-S164</f>
        <v>0.79999999999999993</v>
      </c>
      <c r="U164" s="18">
        <f t="shared" si="16"/>
        <v>53.686204819277116</v>
      </c>
      <c r="W164">
        <v>115.6</v>
      </c>
      <c r="Y164">
        <f t="shared" si="14"/>
        <v>76174.3</v>
      </c>
      <c r="Z164">
        <f t="shared" si="18"/>
        <v>12726.700000000003</v>
      </c>
      <c r="AA164" s="29">
        <v>8.122301877282764</v>
      </c>
    </row>
    <row r="165" spans="1:27" x14ac:dyDescent="0.25">
      <c r="A165">
        <v>6440</v>
      </c>
      <c r="B165">
        <v>25210</v>
      </c>
      <c r="C165" s="4">
        <v>42743</v>
      </c>
      <c r="E165" s="29">
        <v>36</v>
      </c>
      <c r="F165" s="40"/>
      <c r="G165">
        <v>3.5</v>
      </c>
      <c r="H165">
        <v>0.7</v>
      </c>
      <c r="I165">
        <v>5.5</v>
      </c>
      <c r="J165">
        <f t="shared" ref="J165:J228" si="23">J164+G165</f>
        <v>1150.5999999999999</v>
      </c>
      <c r="K165">
        <f t="shared" si="19"/>
        <v>129.4</v>
      </c>
      <c r="M165">
        <v>0.9</v>
      </c>
      <c r="N165">
        <v>0.2</v>
      </c>
      <c r="O165">
        <f t="shared" si="20"/>
        <v>0.7</v>
      </c>
      <c r="P165">
        <f t="shared" si="15"/>
        <v>45.5</v>
      </c>
      <c r="Q165">
        <v>131</v>
      </c>
      <c r="R165">
        <v>1</v>
      </c>
      <c r="S165" s="18">
        <f t="shared" si="21"/>
        <v>0.2</v>
      </c>
      <c r="T165" s="18">
        <f t="shared" si="22"/>
        <v>0.7</v>
      </c>
      <c r="U165" s="18">
        <f t="shared" si="16"/>
        <v>54.386204819277118</v>
      </c>
      <c r="W165">
        <v>133.9</v>
      </c>
      <c r="Y165">
        <f t="shared" ref="Y165:Y228" si="24">Y164+W165</f>
        <v>76308.2</v>
      </c>
      <c r="Z165">
        <f t="shared" si="18"/>
        <v>12860.600000000002</v>
      </c>
      <c r="AA165" s="29">
        <v>8.1477949919593993</v>
      </c>
    </row>
    <row r="166" spans="1:27" x14ac:dyDescent="0.25">
      <c r="A166">
        <v>6440</v>
      </c>
      <c r="B166">
        <v>25210</v>
      </c>
      <c r="C166" s="4">
        <v>42744</v>
      </c>
      <c r="F166" s="40"/>
      <c r="G166">
        <v>5.6</v>
      </c>
      <c r="H166">
        <v>3.2</v>
      </c>
      <c r="I166">
        <v>6.9</v>
      </c>
      <c r="J166">
        <f t="shared" si="23"/>
        <v>1156.1999999999998</v>
      </c>
      <c r="K166">
        <f t="shared" si="19"/>
        <v>135</v>
      </c>
      <c r="M166">
        <v>6.4</v>
      </c>
      <c r="N166">
        <v>0.2</v>
      </c>
      <c r="O166">
        <f t="shared" si="20"/>
        <v>6.2</v>
      </c>
      <c r="P166">
        <f t="shared" ref="P166:P229" si="25">P165+O166</f>
        <v>51.7</v>
      </c>
      <c r="Q166">
        <v>132</v>
      </c>
      <c r="R166">
        <v>1</v>
      </c>
      <c r="S166" s="18">
        <f t="shared" si="21"/>
        <v>0.2</v>
      </c>
      <c r="T166" s="18">
        <f t="shared" si="22"/>
        <v>6.2</v>
      </c>
      <c r="U166" s="18">
        <f t="shared" si="16"/>
        <v>60.586204819277121</v>
      </c>
      <c r="W166">
        <v>168.8</v>
      </c>
      <c r="Y166">
        <f t="shared" si="24"/>
        <v>76477</v>
      </c>
      <c r="Z166">
        <f t="shared" si="18"/>
        <v>13029.400000000001</v>
      </c>
      <c r="AA166" s="29">
        <v>8.1745769493617964</v>
      </c>
    </row>
    <row r="167" spans="1:27" x14ac:dyDescent="0.25">
      <c r="A167">
        <v>6440</v>
      </c>
      <c r="B167">
        <v>25210</v>
      </c>
      <c r="C167" s="4">
        <v>42745</v>
      </c>
      <c r="E167" s="29">
        <v>37</v>
      </c>
      <c r="F167" s="40"/>
      <c r="G167">
        <v>4.9000000000000004</v>
      </c>
      <c r="H167">
        <v>2.8</v>
      </c>
      <c r="I167">
        <v>6.1</v>
      </c>
      <c r="J167">
        <f t="shared" si="23"/>
        <v>1161.0999999999999</v>
      </c>
      <c r="K167">
        <f t="shared" si="19"/>
        <v>139.9</v>
      </c>
      <c r="M167">
        <v>0.4</v>
      </c>
      <c r="N167">
        <v>0.2</v>
      </c>
      <c r="O167">
        <f t="shared" si="20"/>
        <v>0.2</v>
      </c>
      <c r="P167">
        <f t="shared" si="25"/>
        <v>51.900000000000006</v>
      </c>
      <c r="Q167">
        <v>133</v>
      </c>
      <c r="R167">
        <v>1</v>
      </c>
      <c r="S167" s="18">
        <f t="shared" si="21"/>
        <v>0.2</v>
      </c>
      <c r="T167" s="18">
        <f t="shared" si="22"/>
        <v>0.2</v>
      </c>
      <c r="U167" s="18">
        <f t="shared" ref="U167:U230" si="26">U166+T167</f>
        <v>60.786204819277124</v>
      </c>
      <c r="W167">
        <v>79.400000000000006</v>
      </c>
      <c r="Y167">
        <f t="shared" si="24"/>
        <v>76556.399999999994</v>
      </c>
      <c r="Z167">
        <f t="shared" si="18"/>
        <v>13108.800000000001</v>
      </c>
      <c r="AA167" s="29">
        <v>8.2026256074426964</v>
      </c>
    </row>
    <row r="168" spans="1:27" x14ac:dyDescent="0.25">
      <c r="A168">
        <v>6440</v>
      </c>
      <c r="B168">
        <v>25210</v>
      </c>
      <c r="C168" s="4">
        <v>42746</v>
      </c>
      <c r="F168" s="40"/>
      <c r="G168">
        <v>7.1</v>
      </c>
      <c r="H168">
        <v>4.9000000000000004</v>
      </c>
      <c r="I168">
        <v>9.1</v>
      </c>
      <c r="J168">
        <f t="shared" si="23"/>
        <v>1168.1999999999998</v>
      </c>
      <c r="K168">
        <f t="shared" si="19"/>
        <v>147</v>
      </c>
      <c r="M168">
        <v>0.6</v>
      </c>
      <c r="N168">
        <v>0.3</v>
      </c>
      <c r="O168">
        <f t="shared" si="20"/>
        <v>0.3</v>
      </c>
      <c r="P168">
        <f t="shared" si="25"/>
        <v>52.2</v>
      </c>
      <c r="Q168">
        <v>134</v>
      </c>
      <c r="R168">
        <v>1</v>
      </c>
      <c r="S168" s="18">
        <f t="shared" si="21"/>
        <v>0.3</v>
      </c>
      <c r="T168" s="18">
        <f t="shared" si="22"/>
        <v>0.3</v>
      </c>
      <c r="U168" s="18">
        <f t="shared" si="26"/>
        <v>61.086204819277121</v>
      </c>
      <c r="W168">
        <v>86.8</v>
      </c>
      <c r="Y168">
        <f t="shared" si="24"/>
        <v>76643.199999999997</v>
      </c>
      <c r="Z168">
        <f t="shared" si="18"/>
        <v>13195.6</v>
      </c>
      <c r="AA168" s="29">
        <v>8.2319181510357335</v>
      </c>
    </row>
    <row r="169" spans="1:27" x14ac:dyDescent="0.25">
      <c r="A169">
        <v>6440</v>
      </c>
      <c r="B169">
        <v>25210</v>
      </c>
      <c r="C169" s="4">
        <v>42747</v>
      </c>
      <c r="F169" s="40"/>
      <c r="G169">
        <v>5.2</v>
      </c>
      <c r="H169">
        <v>5.0999999999999996</v>
      </c>
      <c r="I169">
        <v>6.3</v>
      </c>
      <c r="J169">
        <f t="shared" si="23"/>
        <v>1173.3999999999999</v>
      </c>
      <c r="K169">
        <f t="shared" si="19"/>
        <v>152.19999999999999</v>
      </c>
      <c r="M169">
        <v>9.4</v>
      </c>
      <c r="N169">
        <v>0.7</v>
      </c>
      <c r="O169">
        <f t="shared" si="20"/>
        <v>8.7000000000000011</v>
      </c>
      <c r="P169">
        <f t="shared" si="25"/>
        <v>60.900000000000006</v>
      </c>
      <c r="Q169">
        <v>135</v>
      </c>
      <c r="R169">
        <v>1</v>
      </c>
      <c r="S169" s="18">
        <f t="shared" si="21"/>
        <v>0.7</v>
      </c>
      <c r="T169" s="18">
        <f t="shared" si="22"/>
        <v>8.7000000000000011</v>
      </c>
      <c r="U169" s="18">
        <f t="shared" si="26"/>
        <v>69.786204819277117</v>
      </c>
      <c r="W169">
        <v>75.7</v>
      </c>
      <c r="Y169">
        <f t="shared" si="24"/>
        <v>76718.899999999994</v>
      </c>
      <c r="Z169">
        <f t="shared" si="18"/>
        <v>13271.300000000001</v>
      </c>
      <c r="AA169" s="29">
        <v>8.2624311549813942</v>
      </c>
    </row>
    <row r="170" spans="1:27" x14ac:dyDescent="0.25">
      <c r="A170">
        <v>6440</v>
      </c>
      <c r="B170">
        <v>25210</v>
      </c>
      <c r="C170" s="4">
        <v>42748</v>
      </c>
      <c r="E170" s="29">
        <v>38</v>
      </c>
      <c r="F170" s="40"/>
      <c r="G170">
        <v>2.9</v>
      </c>
      <c r="H170">
        <v>0.9</v>
      </c>
      <c r="I170">
        <v>4.2</v>
      </c>
      <c r="J170">
        <f t="shared" si="23"/>
        <v>1176.3</v>
      </c>
      <c r="K170">
        <f t="shared" si="19"/>
        <v>155.1</v>
      </c>
      <c r="M170">
        <v>1.9</v>
      </c>
      <c r="N170">
        <v>0.8</v>
      </c>
      <c r="O170">
        <f t="shared" si="20"/>
        <v>1.0999999999999999</v>
      </c>
      <c r="P170">
        <f t="shared" si="25"/>
        <v>62.000000000000007</v>
      </c>
      <c r="Q170">
        <v>136</v>
      </c>
      <c r="R170">
        <v>1</v>
      </c>
      <c r="S170" s="18">
        <f t="shared" si="21"/>
        <v>0.8</v>
      </c>
      <c r="T170" s="18">
        <f t="shared" si="22"/>
        <v>1.0999999999999999</v>
      </c>
      <c r="U170" s="18">
        <f t="shared" si="26"/>
        <v>70.886204819277111</v>
      </c>
      <c r="W170">
        <v>271.60000000000002</v>
      </c>
      <c r="Y170">
        <f t="shared" si="24"/>
        <v>76990.5</v>
      </c>
      <c r="Z170">
        <f t="shared" si="18"/>
        <v>13542.900000000001</v>
      </c>
      <c r="AA170" s="29">
        <v>8.2941406470698915</v>
      </c>
    </row>
    <row r="171" spans="1:27" x14ac:dyDescent="0.25">
      <c r="A171">
        <v>6440</v>
      </c>
      <c r="B171">
        <v>25210</v>
      </c>
      <c r="C171" s="4">
        <v>42749</v>
      </c>
      <c r="E171" s="29">
        <v>39</v>
      </c>
      <c r="F171" s="40"/>
      <c r="G171">
        <v>1.3</v>
      </c>
      <c r="H171">
        <v>0.8</v>
      </c>
      <c r="I171">
        <v>1.6</v>
      </c>
      <c r="J171">
        <f t="shared" si="23"/>
        <v>1177.5999999999999</v>
      </c>
      <c r="K171">
        <f t="shared" si="19"/>
        <v>156.4</v>
      </c>
      <c r="M171">
        <v>0.2</v>
      </c>
      <c r="N171">
        <v>0.4</v>
      </c>
      <c r="O171">
        <f t="shared" si="20"/>
        <v>-0.2</v>
      </c>
      <c r="P171">
        <f t="shared" si="25"/>
        <v>61.800000000000004</v>
      </c>
      <c r="Q171">
        <v>137</v>
      </c>
      <c r="R171">
        <v>1</v>
      </c>
      <c r="S171" s="18">
        <f t="shared" si="21"/>
        <v>0.4</v>
      </c>
      <c r="T171" s="18">
        <f t="shared" si="22"/>
        <v>-0.2</v>
      </c>
      <c r="U171" s="18">
        <f t="shared" si="26"/>
        <v>70.686204819277108</v>
      </c>
      <c r="W171">
        <v>222.8</v>
      </c>
      <c r="Y171">
        <f t="shared" si="24"/>
        <v>77213.3</v>
      </c>
      <c r="Z171">
        <f t="shared" si="18"/>
        <v>13765.7</v>
      </c>
      <c r="AA171" s="29">
        <v>8.327022170496388</v>
      </c>
    </row>
    <row r="172" spans="1:27" x14ac:dyDescent="0.25">
      <c r="A172">
        <v>6440</v>
      </c>
      <c r="B172">
        <v>25210</v>
      </c>
      <c r="C172" s="4">
        <v>42750</v>
      </c>
      <c r="E172" s="29">
        <v>40</v>
      </c>
      <c r="F172" s="40"/>
      <c r="G172">
        <v>0.9</v>
      </c>
      <c r="H172">
        <v>0.2</v>
      </c>
      <c r="I172">
        <v>2.2000000000000002</v>
      </c>
      <c r="J172">
        <f t="shared" si="23"/>
        <v>1178.5</v>
      </c>
      <c r="K172">
        <f t="shared" si="19"/>
        <v>157.30000000000001</v>
      </c>
      <c r="M172">
        <v>1.5</v>
      </c>
      <c r="N172">
        <v>0.2</v>
      </c>
      <c r="O172">
        <f t="shared" si="20"/>
        <v>1.3</v>
      </c>
      <c r="P172">
        <f t="shared" si="25"/>
        <v>63.1</v>
      </c>
      <c r="Q172">
        <v>138</v>
      </c>
      <c r="R172">
        <v>1</v>
      </c>
      <c r="S172" s="18">
        <f t="shared" si="21"/>
        <v>0.2</v>
      </c>
      <c r="T172" s="18">
        <f t="shared" si="22"/>
        <v>1.3</v>
      </c>
      <c r="U172" s="18">
        <f t="shared" si="26"/>
        <v>71.986204819277106</v>
      </c>
      <c r="W172">
        <v>100.8</v>
      </c>
      <c r="Y172">
        <f t="shared" si="24"/>
        <v>77314.100000000006</v>
      </c>
      <c r="Z172">
        <f t="shared" si="18"/>
        <v>13866.5</v>
      </c>
      <c r="AA172" s="29">
        <v>8.3610508455430637</v>
      </c>
    </row>
    <row r="173" spans="1:27" x14ac:dyDescent="0.25">
      <c r="A173">
        <v>6440</v>
      </c>
      <c r="B173">
        <v>25210</v>
      </c>
      <c r="C173" s="4">
        <v>42751</v>
      </c>
      <c r="E173" s="29">
        <v>41</v>
      </c>
      <c r="F173" s="40"/>
      <c r="G173">
        <v>0.5</v>
      </c>
      <c r="H173">
        <v>0.1</v>
      </c>
      <c r="I173">
        <v>1.5</v>
      </c>
      <c r="J173">
        <f t="shared" si="23"/>
        <v>1179</v>
      </c>
      <c r="K173">
        <f t="shared" si="19"/>
        <v>157.80000000000001</v>
      </c>
      <c r="M173">
        <v>0</v>
      </c>
      <c r="N173">
        <v>0.2</v>
      </c>
      <c r="O173">
        <f t="shared" si="20"/>
        <v>-0.2</v>
      </c>
      <c r="P173">
        <f t="shared" si="25"/>
        <v>62.9</v>
      </c>
      <c r="Q173">
        <v>139</v>
      </c>
      <c r="R173">
        <v>1</v>
      </c>
      <c r="S173" s="18">
        <f t="shared" si="21"/>
        <v>0.2</v>
      </c>
      <c r="T173" s="18">
        <f t="shared" si="22"/>
        <v>-0.2</v>
      </c>
      <c r="U173" s="18">
        <f t="shared" si="26"/>
        <v>71.786204819277103</v>
      </c>
      <c r="W173">
        <v>112.1</v>
      </c>
      <c r="Y173">
        <f t="shared" si="24"/>
        <v>77426.200000000012</v>
      </c>
      <c r="Z173">
        <f t="shared" si="18"/>
        <v>13978.6</v>
      </c>
      <c r="AA173" s="29">
        <v>8.3962014302231101</v>
      </c>
    </row>
    <row r="174" spans="1:27" x14ac:dyDescent="0.25">
      <c r="A174">
        <v>6440</v>
      </c>
      <c r="B174">
        <v>25210</v>
      </c>
      <c r="C174" s="4">
        <v>42752</v>
      </c>
      <c r="E174" s="29">
        <v>42</v>
      </c>
      <c r="F174" s="40"/>
      <c r="G174">
        <v>-2.2000000000000002</v>
      </c>
      <c r="H174">
        <v>-3.3</v>
      </c>
      <c r="I174">
        <v>-1.6</v>
      </c>
      <c r="J174">
        <v>1179</v>
      </c>
      <c r="K174">
        <v>157.80000000000001</v>
      </c>
      <c r="M174">
        <v>0</v>
      </c>
      <c r="N174">
        <v>0.3</v>
      </c>
      <c r="O174">
        <f t="shared" si="20"/>
        <v>-0.3</v>
      </c>
      <c r="P174">
        <f t="shared" si="25"/>
        <v>62.6</v>
      </c>
      <c r="Q174">
        <v>140</v>
      </c>
      <c r="R174">
        <v>1</v>
      </c>
      <c r="S174" s="18">
        <f t="shared" si="21"/>
        <v>0.3</v>
      </c>
      <c r="T174" s="18">
        <f t="shared" si="22"/>
        <v>-0.3</v>
      </c>
      <c r="U174" s="18">
        <f t="shared" si="26"/>
        <v>71.486204819277106</v>
      </c>
      <c r="W174">
        <v>482</v>
      </c>
      <c r="Y174">
        <f t="shared" si="24"/>
        <v>77908.200000000012</v>
      </c>
      <c r="Z174">
        <f t="shared" si="18"/>
        <v>14460.6</v>
      </c>
      <c r="AA174" s="29">
        <v>8.4324483796432439</v>
      </c>
    </row>
    <row r="175" spans="1:27" x14ac:dyDescent="0.25">
      <c r="A175">
        <v>6440</v>
      </c>
      <c r="B175">
        <v>25210</v>
      </c>
      <c r="C175" s="4">
        <v>42753</v>
      </c>
      <c r="E175" s="29">
        <v>43</v>
      </c>
      <c r="F175" s="40"/>
      <c r="G175">
        <v>-2.5</v>
      </c>
      <c r="H175">
        <v>-4.4000000000000004</v>
      </c>
      <c r="I175">
        <v>-0.9</v>
      </c>
      <c r="J175">
        <v>1179</v>
      </c>
      <c r="K175">
        <v>157.80000000000001</v>
      </c>
      <c r="M175">
        <v>0</v>
      </c>
      <c r="N175">
        <v>0.5</v>
      </c>
      <c r="O175">
        <f t="shared" si="20"/>
        <v>-0.5</v>
      </c>
      <c r="P175">
        <f t="shared" si="25"/>
        <v>62.1</v>
      </c>
      <c r="Q175">
        <v>141</v>
      </c>
      <c r="R175">
        <v>1</v>
      </c>
      <c r="S175" s="18">
        <f t="shared" si="21"/>
        <v>0.5</v>
      </c>
      <c r="T175" s="18">
        <f t="shared" si="22"/>
        <v>-0.5</v>
      </c>
      <c r="U175" s="18">
        <f t="shared" si="26"/>
        <v>70.986204819277106</v>
      </c>
      <c r="W175">
        <v>593.20000000000005</v>
      </c>
      <c r="Y175">
        <f t="shared" si="24"/>
        <v>78501.400000000009</v>
      </c>
      <c r="Z175">
        <f t="shared" si="18"/>
        <v>15053.800000000001</v>
      </c>
      <c r="AA175" s="29">
        <v>8.4697659038637401</v>
      </c>
    </row>
    <row r="176" spans="1:27" x14ac:dyDescent="0.25">
      <c r="A176">
        <v>6440</v>
      </c>
      <c r="B176">
        <v>25210</v>
      </c>
      <c r="C176" s="4">
        <v>42754</v>
      </c>
      <c r="E176" s="29">
        <v>44</v>
      </c>
      <c r="F176" s="40"/>
      <c r="G176">
        <v>-1.7</v>
      </c>
      <c r="H176">
        <v>-4.3</v>
      </c>
      <c r="I176">
        <v>0.6</v>
      </c>
      <c r="J176">
        <v>1179</v>
      </c>
      <c r="K176">
        <v>157.80000000000001</v>
      </c>
      <c r="M176">
        <v>0</v>
      </c>
      <c r="N176">
        <v>0.6</v>
      </c>
      <c r="O176">
        <f t="shared" si="20"/>
        <v>-0.6</v>
      </c>
      <c r="P176">
        <f t="shared" si="25"/>
        <v>61.5</v>
      </c>
      <c r="Q176">
        <v>142</v>
      </c>
      <c r="R176">
        <v>1</v>
      </c>
      <c r="S176" s="18">
        <f t="shared" si="21"/>
        <v>0.6</v>
      </c>
      <c r="T176" s="18">
        <f t="shared" si="22"/>
        <v>-0.6</v>
      </c>
      <c r="U176" s="18">
        <f t="shared" si="26"/>
        <v>70.386204819277111</v>
      </c>
      <c r="W176">
        <v>701</v>
      </c>
      <c r="Y176">
        <f t="shared" si="24"/>
        <v>79202.400000000009</v>
      </c>
      <c r="Z176">
        <f t="shared" si="18"/>
        <v>15754.800000000001</v>
      </c>
      <c r="AA176" s="29">
        <v>8.5081280240577364</v>
      </c>
    </row>
    <row r="177" spans="1:28" x14ac:dyDescent="0.25">
      <c r="A177">
        <v>6440</v>
      </c>
      <c r="B177">
        <v>25210</v>
      </c>
      <c r="C177" s="4">
        <v>42755</v>
      </c>
      <c r="E177" s="29">
        <v>45</v>
      </c>
      <c r="F177" s="40"/>
      <c r="G177">
        <v>-1.6</v>
      </c>
      <c r="H177">
        <v>-4</v>
      </c>
      <c r="I177">
        <v>1.1000000000000001</v>
      </c>
      <c r="J177">
        <v>1179</v>
      </c>
      <c r="K177">
        <v>157.80000000000001</v>
      </c>
      <c r="M177">
        <v>0</v>
      </c>
      <c r="N177">
        <v>0.7</v>
      </c>
      <c r="O177">
        <f t="shared" si="20"/>
        <v>-0.7</v>
      </c>
      <c r="P177">
        <f t="shared" si="25"/>
        <v>60.8</v>
      </c>
      <c r="Q177">
        <v>143</v>
      </c>
      <c r="R177">
        <v>1</v>
      </c>
      <c r="S177" s="18">
        <f t="shared" si="21"/>
        <v>0.7</v>
      </c>
      <c r="T177" s="18">
        <f t="shared" si="22"/>
        <v>-0.7</v>
      </c>
      <c r="U177" s="18">
        <f t="shared" si="26"/>
        <v>69.686204819277108</v>
      </c>
      <c r="W177">
        <v>711</v>
      </c>
      <c r="Y177">
        <f t="shared" si="24"/>
        <v>79913.400000000009</v>
      </c>
      <c r="Z177">
        <f t="shared" si="18"/>
        <v>16465.800000000003</v>
      </c>
      <c r="AA177" s="29">
        <v>8.5475086267944071</v>
      </c>
    </row>
    <row r="178" spans="1:28" x14ac:dyDescent="0.25">
      <c r="A178">
        <v>6440</v>
      </c>
      <c r="B178">
        <v>25210</v>
      </c>
      <c r="C178" s="4">
        <v>42756</v>
      </c>
      <c r="E178" s="29">
        <v>46</v>
      </c>
      <c r="F178" s="40"/>
      <c r="G178">
        <v>-3</v>
      </c>
      <c r="H178">
        <v>-5.7</v>
      </c>
      <c r="I178">
        <v>-0.5</v>
      </c>
      <c r="J178">
        <v>1179</v>
      </c>
      <c r="K178">
        <v>157.80000000000001</v>
      </c>
      <c r="M178">
        <v>0</v>
      </c>
      <c r="N178">
        <v>0.6</v>
      </c>
      <c r="O178">
        <f t="shared" si="20"/>
        <v>-0.6</v>
      </c>
      <c r="P178">
        <f t="shared" si="25"/>
        <v>60.199999999999996</v>
      </c>
      <c r="Q178">
        <v>144</v>
      </c>
      <c r="R178">
        <v>1</v>
      </c>
      <c r="S178" s="18">
        <f t="shared" si="21"/>
        <v>0.6</v>
      </c>
      <c r="T178" s="18">
        <f t="shared" si="22"/>
        <v>-0.6</v>
      </c>
      <c r="U178" s="18">
        <f t="shared" si="26"/>
        <v>69.086204819277114</v>
      </c>
      <c r="W178">
        <v>772.5</v>
      </c>
      <c r="Y178">
        <f t="shared" si="24"/>
        <v>80685.900000000009</v>
      </c>
      <c r="Z178">
        <f t="shared" si="18"/>
        <v>17238.300000000003</v>
      </c>
      <c r="AA178" s="29">
        <v>8.5878815162933151</v>
      </c>
    </row>
    <row r="179" spans="1:28" x14ac:dyDescent="0.25">
      <c r="A179">
        <v>6440</v>
      </c>
      <c r="B179">
        <v>25210</v>
      </c>
      <c r="C179" s="4">
        <v>42757</v>
      </c>
      <c r="E179" s="29">
        <v>47</v>
      </c>
      <c r="F179" s="40"/>
      <c r="G179">
        <v>-2.6</v>
      </c>
      <c r="H179">
        <v>-6.6</v>
      </c>
      <c r="I179">
        <v>0.5</v>
      </c>
      <c r="J179">
        <v>1179</v>
      </c>
      <c r="K179">
        <v>157.80000000000001</v>
      </c>
      <c r="M179">
        <v>0</v>
      </c>
      <c r="N179">
        <v>0.5</v>
      </c>
      <c r="O179">
        <f t="shared" si="20"/>
        <v>-0.5</v>
      </c>
      <c r="P179">
        <f t="shared" si="25"/>
        <v>59.699999999999996</v>
      </c>
      <c r="Q179">
        <v>145</v>
      </c>
      <c r="R179">
        <v>1</v>
      </c>
      <c r="S179" s="18">
        <f t="shared" si="21"/>
        <v>0.5</v>
      </c>
      <c r="T179" s="18">
        <f t="shared" si="22"/>
        <v>-0.5</v>
      </c>
      <c r="U179" s="18">
        <f t="shared" si="26"/>
        <v>68.586204819277114</v>
      </c>
      <c r="W179">
        <v>615.9</v>
      </c>
      <c r="Y179">
        <f t="shared" si="24"/>
        <v>81301.8</v>
      </c>
      <c r="Z179">
        <f t="shared" si="18"/>
        <v>17854.200000000004</v>
      </c>
      <c r="AA179" s="29">
        <v>8.6292204645196637</v>
      </c>
    </row>
    <row r="180" spans="1:28" x14ac:dyDescent="0.25">
      <c r="A180">
        <v>6440</v>
      </c>
      <c r="B180">
        <v>25210</v>
      </c>
      <c r="C180" s="4">
        <v>42758</v>
      </c>
      <c r="E180" s="29">
        <v>48</v>
      </c>
      <c r="F180" s="40"/>
      <c r="G180">
        <v>-1.7</v>
      </c>
      <c r="H180">
        <v>-3.2</v>
      </c>
      <c r="I180">
        <v>-0.6</v>
      </c>
      <c r="J180">
        <v>1179</v>
      </c>
      <c r="K180">
        <v>157.80000000000001</v>
      </c>
      <c r="M180">
        <v>0</v>
      </c>
      <c r="N180">
        <v>0.3</v>
      </c>
      <c r="O180">
        <f t="shared" si="20"/>
        <v>-0.3</v>
      </c>
      <c r="P180">
        <f t="shared" si="25"/>
        <v>59.4</v>
      </c>
      <c r="Q180">
        <v>146</v>
      </c>
      <c r="R180">
        <v>1</v>
      </c>
      <c r="S180" s="18">
        <f t="shared" si="21"/>
        <v>0.3</v>
      </c>
      <c r="T180" s="18">
        <f t="shared" si="22"/>
        <v>-0.3</v>
      </c>
      <c r="U180" s="18">
        <f t="shared" si="26"/>
        <v>68.286204819277117</v>
      </c>
      <c r="W180">
        <v>249.4</v>
      </c>
      <c r="Y180">
        <f t="shared" si="24"/>
        <v>81551.199999999997</v>
      </c>
      <c r="Z180">
        <f t="shared" si="18"/>
        <v>18103.600000000006</v>
      </c>
      <c r="AA180" s="29">
        <v>8.6714992590116999</v>
      </c>
    </row>
    <row r="181" spans="1:28" x14ac:dyDescent="0.25">
      <c r="A181">
        <v>6440</v>
      </c>
      <c r="B181">
        <v>25210</v>
      </c>
      <c r="C181" s="4">
        <v>42759</v>
      </c>
      <c r="E181" s="29">
        <v>49</v>
      </c>
      <c r="F181" s="40"/>
      <c r="G181">
        <v>-0.8</v>
      </c>
      <c r="H181">
        <v>-2.2999999999999998</v>
      </c>
      <c r="I181">
        <v>0.2</v>
      </c>
      <c r="J181">
        <v>1179</v>
      </c>
      <c r="K181">
        <v>157.80000000000001</v>
      </c>
      <c r="M181">
        <v>0</v>
      </c>
      <c r="N181">
        <v>0.3</v>
      </c>
      <c r="O181">
        <f t="shared" si="20"/>
        <v>-0.3</v>
      </c>
      <c r="P181">
        <f t="shared" si="25"/>
        <v>59.1</v>
      </c>
      <c r="Q181">
        <v>147</v>
      </c>
      <c r="R181">
        <v>1</v>
      </c>
      <c r="S181" s="18">
        <f t="shared" si="21"/>
        <v>0.3</v>
      </c>
      <c r="T181" s="18">
        <f t="shared" si="22"/>
        <v>-0.3</v>
      </c>
      <c r="U181" s="18">
        <f t="shared" si="26"/>
        <v>67.98620481927712</v>
      </c>
      <c r="W181">
        <v>272.3</v>
      </c>
      <c r="Y181">
        <f t="shared" si="24"/>
        <v>81823.5</v>
      </c>
      <c r="Z181">
        <f t="shared" si="18"/>
        <v>18375.900000000005</v>
      </c>
      <c r="AA181" s="29">
        <v>8.7146917483526458</v>
      </c>
    </row>
    <row r="182" spans="1:28" x14ac:dyDescent="0.25">
      <c r="A182">
        <v>6440</v>
      </c>
      <c r="B182">
        <v>25210</v>
      </c>
      <c r="C182" s="4">
        <v>42760</v>
      </c>
      <c r="E182" s="29">
        <v>50</v>
      </c>
      <c r="F182" s="40"/>
      <c r="G182">
        <v>-1.2</v>
      </c>
      <c r="H182">
        <v>-1.4</v>
      </c>
      <c r="I182">
        <v>-0.6</v>
      </c>
      <c r="J182">
        <v>1179</v>
      </c>
      <c r="K182">
        <v>157.80000000000001</v>
      </c>
      <c r="M182">
        <v>0</v>
      </c>
      <c r="N182">
        <v>0.5</v>
      </c>
      <c r="O182">
        <f t="shared" si="20"/>
        <v>-0.5</v>
      </c>
      <c r="P182">
        <f t="shared" si="25"/>
        <v>58.6</v>
      </c>
      <c r="Q182">
        <v>148</v>
      </c>
      <c r="R182">
        <v>1</v>
      </c>
      <c r="S182" s="18">
        <f t="shared" si="21"/>
        <v>0.5</v>
      </c>
      <c r="T182" s="18">
        <f t="shared" si="22"/>
        <v>-0.5</v>
      </c>
      <c r="U182" s="18">
        <f t="shared" si="26"/>
        <v>67.48620481927712</v>
      </c>
      <c r="W182">
        <v>317.89999999999998</v>
      </c>
      <c r="Y182">
        <f t="shared" si="24"/>
        <v>82141.399999999994</v>
      </c>
      <c r="Z182">
        <f t="shared" si="18"/>
        <v>18693.800000000007</v>
      </c>
      <c r="AA182" s="29">
        <v>8.7587718852192307</v>
      </c>
    </row>
    <row r="183" spans="1:28" x14ac:dyDescent="0.25">
      <c r="A183">
        <v>6440</v>
      </c>
      <c r="B183">
        <v>25210</v>
      </c>
      <c r="C183" s="4">
        <v>42761</v>
      </c>
      <c r="E183" s="29">
        <v>51</v>
      </c>
      <c r="F183" s="40"/>
      <c r="G183">
        <v>-2.2000000000000002</v>
      </c>
      <c r="H183">
        <v>-4.0999999999999996</v>
      </c>
      <c r="I183">
        <v>-0.3</v>
      </c>
      <c r="J183">
        <v>1179</v>
      </c>
      <c r="K183">
        <v>157.80000000000001</v>
      </c>
      <c r="M183">
        <v>0</v>
      </c>
      <c r="N183">
        <v>0.8</v>
      </c>
      <c r="O183">
        <f t="shared" si="20"/>
        <v>-0.8</v>
      </c>
      <c r="P183">
        <f t="shared" si="25"/>
        <v>57.800000000000004</v>
      </c>
      <c r="Q183">
        <v>149</v>
      </c>
      <c r="R183">
        <v>1</v>
      </c>
      <c r="S183" s="18">
        <f t="shared" si="21"/>
        <v>0.8</v>
      </c>
      <c r="T183" s="18">
        <f t="shared" si="22"/>
        <v>-0.8</v>
      </c>
      <c r="U183" s="18">
        <f t="shared" si="26"/>
        <v>66.686204819277123</v>
      </c>
      <c r="W183">
        <v>714.7</v>
      </c>
      <c r="Y183">
        <f t="shared" si="24"/>
        <v>82856.099999999991</v>
      </c>
      <c r="Z183">
        <f t="shared" si="18"/>
        <v>19408.500000000007</v>
      </c>
      <c r="AA183" s="29">
        <v>8.8037137669579906</v>
      </c>
    </row>
    <row r="184" spans="1:28" x14ac:dyDescent="0.25">
      <c r="A184">
        <v>6440</v>
      </c>
      <c r="B184">
        <v>25210</v>
      </c>
      <c r="C184" s="4">
        <v>42762</v>
      </c>
      <c r="E184" s="29">
        <v>52</v>
      </c>
      <c r="F184" s="40"/>
      <c r="G184">
        <v>2</v>
      </c>
      <c r="H184">
        <v>-3.1</v>
      </c>
      <c r="I184">
        <v>6</v>
      </c>
      <c r="J184">
        <f t="shared" si="23"/>
        <v>1181</v>
      </c>
      <c r="K184">
        <f t="shared" si="19"/>
        <v>159.80000000000001</v>
      </c>
      <c r="M184">
        <v>0</v>
      </c>
      <c r="N184">
        <v>0.6</v>
      </c>
      <c r="O184">
        <f t="shared" si="20"/>
        <v>-0.6</v>
      </c>
      <c r="P184">
        <f t="shared" si="25"/>
        <v>57.2</v>
      </c>
      <c r="Q184">
        <v>150</v>
      </c>
      <c r="R184">
        <v>1</v>
      </c>
      <c r="S184" s="18">
        <f t="shared" si="21"/>
        <v>0.6</v>
      </c>
      <c r="T184" s="18">
        <f t="shared" si="22"/>
        <v>-0.6</v>
      </c>
      <c r="U184" s="18">
        <f t="shared" si="26"/>
        <v>66.086204819277128</v>
      </c>
      <c r="W184">
        <v>574</v>
      </c>
      <c r="Y184">
        <f t="shared" si="24"/>
        <v>83430.099999999991</v>
      </c>
      <c r="Z184">
        <f t="shared" si="18"/>
        <v>19982.500000000007</v>
      </c>
      <c r="AA184" s="29">
        <v>8.8494916736579938</v>
      </c>
    </row>
    <row r="185" spans="1:28" x14ac:dyDescent="0.25">
      <c r="A185">
        <v>6440</v>
      </c>
      <c r="B185">
        <v>25210</v>
      </c>
      <c r="C185" s="4">
        <v>42763</v>
      </c>
      <c r="F185" s="40"/>
      <c r="G185">
        <v>5.3</v>
      </c>
      <c r="H185">
        <v>3.5</v>
      </c>
      <c r="I185">
        <v>8.1999999999999993</v>
      </c>
      <c r="J185">
        <f t="shared" si="23"/>
        <v>1186.3</v>
      </c>
      <c r="K185">
        <f t="shared" si="19"/>
        <v>165.10000000000002</v>
      </c>
      <c r="M185">
        <v>0.5</v>
      </c>
      <c r="N185">
        <v>0.9</v>
      </c>
      <c r="O185">
        <f t="shared" si="20"/>
        <v>-0.4</v>
      </c>
      <c r="P185">
        <f t="shared" si="25"/>
        <v>56.800000000000004</v>
      </c>
      <c r="Q185">
        <v>151</v>
      </c>
      <c r="R185">
        <v>1</v>
      </c>
      <c r="S185" s="18">
        <f t="shared" si="21"/>
        <v>0.9</v>
      </c>
      <c r="T185" s="18">
        <f t="shared" si="22"/>
        <v>-0.4</v>
      </c>
      <c r="U185" s="18">
        <f t="shared" si="26"/>
        <v>65.686204819277123</v>
      </c>
      <c r="W185">
        <v>421.9</v>
      </c>
      <c r="Y185">
        <f t="shared" si="24"/>
        <v>83851.999999999985</v>
      </c>
      <c r="Z185">
        <f t="shared" si="18"/>
        <v>20404.400000000009</v>
      </c>
      <c r="AA185" s="29">
        <v>8.8960801037051613</v>
      </c>
    </row>
    <row r="186" spans="1:28" s="26" customFormat="1" ht="15.75" thickBot="1" x14ac:dyDescent="0.3">
      <c r="A186" s="26">
        <v>6440</v>
      </c>
      <c r="B186" s="26">
        <v>25210</v>
      </c>
      <c r="C186" s="27">
        <v>42764</v>
      </c>
      <c r="D186" s="26" t="s">
        <v>36</v>
      </c>
      <c r="E186" s="30">
        <v>53</v>
      </c>
      <c r="F186" s="40"/>
      <c r="G186" s="26">
        <v>4.0999999999999996</v>
      </c>
      <c r="H186" s="26">
        <v>2</v>
      </c>
      <c r="I186" s="26">
        <v>6.1</v>
      </c>
      <c r="J186" s="26">
        <f t="shared" si="23"/>
        <v>1190.3999999999999</v>
      </c>
      <c r="K186" s="26">
        <f t="shared" si="19"/>
        <v>169.20000000000002</v>
      </c>
      <c r="M186" s="26">
        <v>18</v>
      </c>
      <c r="N186" s="26">
        <v>0.4</v>
      </c>
      <c r="O186" s="26">
        <f t="shared" si="20"/>
        <v>17.600000000000001</v>
      </c>
      <c r="P186" s="26">
        <f t="shared" si="25"/>
        <v>74.400000000000006</v>
      </c>
      <c r="Q186" s="26">
        <v>152</v>
      </c>
      <c r="R186" s="26">
        <v>1</v>
      </c>
      <c r="S186" s="28">
        <f t="shared" si="21"/>
        <v>0.4</v>
      </c>
      <c r="T186" s="28">
        <f t="shared" si="22"/>
        <v>17.600000000000001</v>
      </c>
      <c r="U186" s="28">
        <f t="shared" si="26"/>
        <v>83.286204819277117</v>
      </c>
      <c r="W186" s="26">
        <v>151.9</v>
      </c>
      <c r="Y186" s="26">
        <f t="shared" si="24"/>
        <v>84003.89999999998</v>
      </c>
      <c r="Z186" s="26">
        <f t="shared" si="18"/>
        <v>20556.30000000001</v>
      </c>
      <c r="AA186" s="30">
        <v>8.9434538068184715</v>
      </c>
    </row>
    <row r="187" spans="1:28" ht="15" customHeight="1" x14ac:dyDescent="0.25">
      <c r="A187">
        <v>6440</v>
      </c>
      <c r="B187">
        <v>25210</v>
      </c>
      <c r="C187" s="4">
        <v>42765</v>
      </c>
      <c r="E187" t="s">
        <v>59</v>
      </c>
      <c r="F187" s="42" t="s">
        <v>47</v>
      </c>
      <c r="G187">
        <v>7.3</v>
      </c>
      <c r="H187">
        <v>5.3</v>
      </c>
      <c r="I187">
        <v>9.6999999999999993</v>
      </c>
      <c r="J187">
        <f t="shared" si="23"/>
        <v>1197.6999999999998</v>
      </c>
      <c r="K187">
        <v>7.3</v>
      </c>
      <c r="L187" s="11" t="s">
        <v>38</v>
      </c>
      <c r="M187">
        <v>2.5</v>
      </c>
      <c r="N187">
        <v>0.4</v>
      </c>
      <c r="O187">
        <f t="shared" si="20"/>
        <v>2.1</v>
      </c>
      <c r="P187">
        <f t="shared" si="25"/>
        <v>76.5</v>
      </c>
      <c r="Q187">
        <v>153</v>
      </c>
      <c r="R187">
        <f>1+((Q187-152)/59)*(1.15-1)</f>
        <v>1.0025423728813558</v>
      </c>
      <c r="S187" s="18">
        <f t="shared" si="21"/>
        <v>0.40101694915254238</v>
      </c>
      <c r="T187" s="18">
        <f t="shared" si="22"/>
        <v>2.0989830508474574</v>
      </c>
      <c r="U187" s="18">
        <f t="shared" si="26"/>
        <v>85.385187870124568</v>
      </c>
      <c r="V187" s="21" t="s">
        <v>51</v>
      </c>
      <c r="W187">
        <v>203.2</v>
      </c>
      <c r="Y187">
        <f t="shared" si="24"/>
        <v>84207.099999999977</v>
      </c>
      <c r="Z187">
        <f>W187</f>
        <v>203.2</v>
      </c>
      <c r="AA187" s="29">
        <v>8.9915878145820383</v>
      </c>
      <c r="AB187" s="21" t="s">
        <v>56</v>
      </c>
    </row>
    <row r="188" spans="1:28" x14ac:dyDescent="0.25">
      <c r="A188">
        <v>6440</v>
      </c>
      <c r="B188">
        <v>25210</v>
      </c>
      <c r="C188" s="4">
        <v>42766</v>
      </c>
      <c r="F188" s="42"/>
      <c r="G188">
        <v>6.4</v>
      </c>
      <c r="H188">
        <v>5.3</v>
      </c>
      <c r="I188">
        <v>7.3</v>
      </c>
      <c r="J188">
        <f t="shared" si="23"/>
        <v>1204.0999999999999</v>
      </c>
      <c r="K188">
        <f t="shared" si="19"/>
        <v>13.7</v>
      </c>
      <c r="L188" s="8">
        <v>440.9</v>
      </c>
      <c r="M188">
        <v>0.4</v>
      </c>
      <c r="N188">
        <v>0.2</v>
      </c>
      <c r="O188">
        <f t="shared" si="20"/>
        <v>0.2</v>
      </c>
      <c r="P188">
        <f t="shared" si="25"/>
        <v>76.7</v>
      </c>
      <c r="Q188">
        <v>154</v>
      </c>
      <c r="R188">
        <f t="shared" ref="R188:R245" si="27">1+((Q188-152)/59)*(1.15-1)</f>
        <v>1.0050847457627119</v>
      </c>
      <c r="S188" s="18">
        <f t="shared" si="21"/>
        <v>0.2010169491525424</v>
      </c>
      <c r="T188" s="18">
        <f t="shared" si="22"/>
        <v>0.19898305084745763</v>
      </c>
      <c r="U188" s="18">
        <f t="shared" si="26"/>
        <v>85.584170920972028</v>
      </c>
      <c r="V188">
        <v>0</v>
      </c>
      <c r="W188">
        <v>161.80000000000001</v>
      </c>
      <c r="Y188">
        <f t="shared" si="24"/>
        <v>84368.89999999998</v>
      </c>
      <c r="Z188">
        <f t="shared" si="18"/>
        <v>365</v>
      </c>
      <c r="AA188">
        <v>9.0404574684996071</v>
      </c>
      <c r="AB188">
        <v>31948.9</v>
      </c>
    </row>
    <row r="189" spans="1:28" x14ac:dyDescent="0.25">
      <c r="A189">
        <v>6440</v>
      </c>
      <c r="B189">
        <v>25210</v>
      </c>
      <c r="C189" s="4">
        <v>42767</v>
      </c>
      <c r="F189" s="42"/>
      <c r="G189">
        <v>8.6</v>
      </c>
      <c r="H189">
        <v>6.9</v>
      </c>
      <c r="I189">
        <v>9.6999999999999993</v>
      </c>
      <c r="J189">
        <f t="shared" si="23"/>
        <v>1212.6999999999998</v>
      </c>
      <c r="K189">
        <f t="shared" si="19"/>
        <v>22.299999999999997</v>
      </c>
      <c r="L189" s="11" t="s">
        <v>39</v>
      </c>
      <c r="M189">
        <v>0.4</v>
      </c>
      <c r="N189">
        <v>0.3</v>
      </c>
      <c r="O189">
        <f t="shared" si="20"/>
        <v>0.10000000000000003</v>
      </c>
      <c r="P189">
        <f t="shared" si="25"/>
        <v>76.8</v>
      </c>
      <c r="Q189">
        <v>155</v>
      </c>
      <c r="R189">
        <f t="shared" si="27"/>
        <v>1.0076271186440677</v>
      </c>
      <c r="S189" s="18">
        <f t="shared" si="21"/>
        <v>0.30228813559322032</v>
      </c>
      <c r="T189" s="18">
        <f t="shared" si="22"/>
        <v>9.7711864406779703E-2</v>
      </c>
      <c r="U189" s="18">
        <f t="shared" si="26"/>
        <v>85.681882785378804</v>
      </c>
      <c r="V189" s="21" t="s">
        <v>52</v>
      </c>
      <c r="W189">
        <v>172</v>
      </c>
      <c r="Y189">
        <f t="shared" si="24"/>
        <v>84540.89999999998</v>
      </c>
      <c r="Z189">
        <f t="shared" ref="Z189:Z252" si="28">Z188+W189</f>
        <v>537</v>
      </c>
      <c r="AA189">
        <v>9.0900384456090517</v>
      </c>
      <c r="AB189" s="21" t="s">
        <v>57</v>
      </c>
    </row>
    <row r="190" spans="1:28" x14ac:dyDescent="0.25">
      <c r="A190">
        <v>6440</v>
      </c>
      <c r="B190">
        <v>25210</v>
      </c>
      <c r="C190" s="4">
        <v>42768</v>
      </c>
      <c r="F190" s="42"/>
      <c r="G190">
        <v>9.8000000000000007</v>
      </c>
      <c r="H190">
        <v>7.3</v>
      </c>
      <c r="I190">
        <v>12</v>
      </c>
      <c r="J190">
        <f t="shared" si="23"/>
        <v>1222.4999999999998</v>
      </c>
      <c r="K190">
        <f t="shared" si="19"/>
        <v>32.099999999999994</v>
      </c>
      <c r="L190" s="8">
        <f>AVERAGE(G187:G245)</f>
        <v>7.4728813559322038</v>
      </c>
      <c r="M190">
        <v>0.2</v>
      </c>
      <c r="N190">
        <v>0.9</v>
      </c>
      <c r="O190">
        <f t="shared" si="20"/>
        <v>-0.7</v>
      </c>
      <c r="P190">
        <f t="shared" si="25"/>
        <v>76.099999999999994</v>
      </c>
      <c r="Q190">
        <v>156</v>
      </c>
      <c r="R190">
        <f t="shared" si="27"/>
        <v>1.0101694915254238</v>
      </c>
      <c r="S190" s="18">
        <f t="shared" si="21"/>
        <v>0.90915254237288146</v>
      </c>
      <c r="T190" s="18">
        <f t="shared" si="22"/>
        <v>-0.7091525423728815</v>
      </c>
      <c r="U190" s="18">
        <f t="shared" si="26"/>
        <v>84.972730243005927</v>
      </c>
      <c r="V190">
        <v>0</v>
      </c>
      <c r="W190">
        <v>426.3</v>
      </c>
      <c r="Y190">
        <f t="shared" si="24"/>
        <v>84967.199999999983</v>
      </c>
      <c r="Z190">
        <f t="shared" si="28"/>
        <v>963.3</v>
      </c>
      <c r="AA190">
        <v>9.140306781704334</v>
      </c>
      <c r="AB190">
        <f>(AB188/100)/L188</f>
        <v>0.72462916761170348</v>
      </c>
    </row>
    <row r="191" spans="1:28" x14ac:dyDescent="0.25">
      <c r="A191">
        <v>6440</v>
      </c>
      <c r="B191">
        <v>25210</v>
      </c>
      <c r="C191" s="4">
        <v>42769</v>
      </c>
      <c r="F191" s="42"/>
      <c r="G191">
        <v>8</v>
      </c>
      <c r="H191">
        <v>7.3</v>
      </c>
      <c r="I191">
        <v>9.9</v>
      </c>
      <c r="J191">
        <f t="shared" si="23"/>
        <v>1230.4999999999998</v>
      </c>
      <c r="K191">
        <f t="shared" ref="K191:K254" si="29">K190+G191</f>
        <v>40.099999999999994</v>
      </c>
      <c r="L191" s="11" t="s">
        <v>40</v>
      </c>
      <c r="M191">
        <v>0.9</v>
      </c>
      <c r="N191">
        <v>1</v>
      </c>
      <c r="O191">
        <f t="shared" si="20"/>
        <v>-9.9999999999999978E-2</v>
      </c>
      <c r="P191">
        <f t="shared" si="25"/>
        <v>76</v>
      </c>
      <c r="Q191">
        <v>157</v>
      </c>
      <c r="R191">
        <f t="shared" si="27"/>
        <v>1.0127118644067796</v>
      </c>
      <c r="S191" s="18">
        <f t="shared" si="21"/>
        <v>1.0127118644067796</v>
      </c>
      <c r="T191" s="18">
        <f t="shared" si="22"/>
        <v>-0.1127118644067796</v>
      </c>
      <c r="U191" s="18">
        <f t="shared" si="26"/>
        <v>84.86001837859915</v>
      </c>
      <c r="V191" s="21" t="s">
        <v>53</v>
      </c>
      <c r="W191">
        <v>324</v>
      </c>
      <c r="Y191">
        <f t="shared" si="24"/>
        <v>85291.199999999983</v>
      </c>
      <c r="Z191">
        <f t="shared" si="28"/>
        <v>1287.3</v>
      </c>
      <c r="AA191">
        <v>9.1912388922208965</v>
      </c>
      <c r="AB191" s="21" t="s">
        <v>58</v>
      </c>
    </row>
    <row r="192" spans="1:28" x14ac:dyDescent="0.25">
      <c r="A192">
        <v>6440</v>
      </c>
      <c r="B192">
        <v>25210</v>
      </c>
      <c r="C192" s="4">
        <v>42770</v>
      </c>
      <c r="F192" s="42"/>
      <c r="G192">
        <v>5.0999999999999996</v>
      </c>
      <c r="H192">
        <v>4.9000000000000004</v>
      </c>
      <c r="I192">
        <v>5.6</v>
      </c>
      <c r="J192">
        <f t="shared" si="23"/>
        <v>1235.5999999999997</v>
      </c>
      <c r="K192">
        <f t="shared" si="29"/>
        <v>45.199999999999996</v>
      </c>
      <c r="L192" s="9">
        <f>MIN(H187:H245)</f>
        <v>-0.5</v>
      </c>
      <c r="M192">
        <v>11</v>
      </c>
      <c r="N192">
        <v>0.4</v>
      </c>
      <c r="O192">
        <f t="shared" si="20"/>
        <v>10.6</v>
      </c>
      <c r="P192">
        <f t="shared" si="25"/>
        <v>86.6</v>
      </c>
      <c r="Q192">
        <v>158</v>
      </c>
      <c r="R192">
        <f t="shared" si="27"/>
        <v>1.0152542372881357</v>
      </c>
      <c r="S192" s="18">
        <f t="shared" si="21"/>
        <v>0.40610169491525427</v>
      </c>
      <c r="T192" s="18">
        <f t="shared" si="22"/>
        <v>10.593898305084746</v>
      </c>
      <c r="U192" s="18">
        <f t="shared" si="26"/>
        <v>95.4539166836839</v>
      </c>
      <c r="V192" s="18">
        <f>MIN(U187:U245)</f>
        <v>84.86001837859915</v>
      </c>
      <c r="W192">
        <v>126</v>
      </c>
      <c r="Y192">
        <f t="shared" si="24"/>
        <v>85417.199999999983</v>
      </c>
      <c r="Z192">
        <f t="shared" si="28"/>
        <v>1413.3</v>
      </c>
      <c r="AA192">
        <v>9.2428115908479125</v>
      </c>
      <c r="AB192">
        <v>46</v>
      </c>
    </row>
    <row r="193" spans="1:29" x14ac:dyDescent="0.25">
      <c r="A193">
        <v>6440</v>
      </c>
      <c r="B193">
        <v>25210</v>
      </c>
      <c r="C193" s="4">
        <v>42771</v>
      </c>
      <c r="F193" s="42"/>
      <c r="G193">
        <v>5.2</v>
      </c>
      <c r="H193">
        <v>3.9</v>
      </c>
      <c r="I193">
        <v>6.3</v>
      </c>
      <c r="J193">
        <f t="shared" si="23"/>
        <v>1240.7999999999997</v>
      </c>
      <c r="K193">
        <f t="shared" si="29"/>
        <v>50.4</v>
      </c>
      <c r="L193" s="11" t="s">
        <v>41</v>
      </c>
      <c r="M193">
        <v>4.3</v>
      </c>
      <c r="N193">
        <v>0.3</v>
      </c>
      <c r="O193">
        <f t="shared" si="20"/>
        <v>4</v>
      </c>
      <c r="P193">
        <f t="shared" si="25"/>
        <v>90.6</v>
      </c>
      <c r="Q193">
        <v>159</v>
      </c>
      <c r="R193">
        <f t="shared" si="27"/>
        <v>1.0177966101694915</v>
      </c>
      <c r="S193" s="18">
        <f t="shared" si="21"/>
        <v>0.30533898305084745</v>
      </c>
      <c r="T193" s="18">
        <f t="shared" si="22"/>
        <v>3.9946610169491525</v>
      </c>
      <c r="U193" s="18">
        <f t="shared" si="26"/>
        <v>99.448577700633052</v>
      </c>
      <c r="V193" s="21" t="s">
        <v>54</v>
      </c>
      <c r="W193">
        <v>105.1</v>
      </c>
      <c r="Y193">
        <f t="shared" si="24"/>
        <v>85522.299999999988</v>
      </c>
      <c r="Z193">
        <f t="shared" si="28"/>
        <v>1518.3999999999999</v>
      </c>
      <c r="AA193">
        <v>9.2950021059369075</v>
      </c>
    </row>
    <row r="194" spans="1:29" x14ac:dyDescent="0.25">
      <c r="A194">
        <v>6440</v>
      </c>
      <c r="B194">
        <v>25210</v>
      </c>
      <c r="C194" s="4">
        <v>42772</v>
      </c>
      <c r="F194" s="42"/>
      <c r="G194">
        <v>5.9</v>
      </c>
      <c r="H194">
        <v>4.5</v>
      </c>
      <c r="I194">
        <v>7.1</v>
      </c>
      <c r="J194">
        <f t="shared" si="23"/>
        <v>1246.6999999999998</v>
      </c>
      <c r="K194">
        <f t="shared" si="29"/>
        <v>56.3</v>
      </c>
      <c r="L194" s="8">
        <f>MAX(I187:I245)</f>
        <v>16.600000000000001</v>
      </c>
      <c r="M194">
        <v>5.5</v>
      </c>
      <c r="N194">
        <v>0.8</v>
      </c>
      <c r="O194">
        <f t="shared" si="20"/>
        <v>4.7</v>
      </c>
      <c r="P194">
        <f t="shared" si="25"/>
        <v>95.3</v>
      </c>
      <c r="Q194">
        <v>160</v>
      </c>
      <c r="R194">
        <f t="shared" si="27"/>
        <v>1.0203389830508474</v>
      </c>
      <c r="S194" s="18">
        <f t="shared" si="21"/>
        <v>0.81627118644067798</v>
      </c>
      <c r="T194" s="18">
        <f t="shared" si="22"/>
        <v>4.6837288135593216</v>
      </c>
      <c r="U194" s="18">
        <f t="shared" si="26"/>
        <v>104.13230651419238</v>
      </c>
      <c r="V194" s="18">
        <f>MAX(U187:U245)</f>
        <v>138.15188278537883</v>
      </c>
      <c r="W194">
        <v>485.6</v>
      </c>
      <c r="Y194">
        <f t="shared" si="24"/>
        <v>86007.9</v>
      </c>
      <c r="Z194">
        <f t="shared" si="28"/>
        <v>2004</v>
      </c>
      <c r="AA194">
        <v>9.3477880947814995</v>
      </c>
    </row>
    <row r="195" spans="1:29" x14ac:dyDescent="0.25">
      <c r="A195">
        <v>6440</v>
      </c>
      <c r="B195">
        <v>25210</v>
      </c>
      <c r="C195" s="4">
        <v>42773</v>
      </c>
      <c r="F195" s="42"/>
      <c r="G195">
        <v>5.5</v>
      </c>
      <c r="H195">
        <v>4.8</v>
      </c>
      <c r="I195">
        <v>6.6</v>
      </c>
      <c r="J195">
        <f t="shared" si="23"/>
        <v>1252.1999999999998</v>
      </c>
      <c r="K195">
        <f t="shared" si="29"/>
        <v>61.8</v>
      </c>
      <c r="L195" s="11" t="s">
        <v>42</v>
      </c>
      <c r="M195" s="54">
        <v>0.7</v>
      </c>
      <c r="N195">
        <v>0.3</v>
      </c>
      <c r="O195">
        <f t="shared" si="20"/>
        <v>0.39999999999999997</v>
      </c>
      <c r="P195">
        <f t="shared" si="25"/>
        <v>95.7</v>
      </c>
      <c r="Q195">
        <v>161</v>
      </c>
      <c r="R195">
        <f t="shared" si="27"/>
        <v>1.0228813559322034</v>
      </c>
      <c r="S195" s="18">
        <f t="shared" si="21"/>
        <v>0.30686440677966104</v>
      </c>
      <c r="T195" s="18">
        <f t="shared" si="22"/>
        <v>0.39313559322033892</v>
      </c>
      <c r="U195" s="18">
        <f t="shared" si="26"/>
        <v>104.52544210741272</v>
      </c>
      <c r="V195" s="21" t="s">
        <v>55</v>
      </c>
      <c r="W195">
        <v>125</v>
      </c>
      <c r="Y195">
        <f t="shared" si="24"/>
        <v>86132.9</v>
      </c>
      <c r="Z195">
        <f t="shared" si="28"/>
        <v>2129</v>
      </c>
      <c r="AA195">
        <v>9.4011476558470584</v>
      </c>
      <c r="AC195" s="53" t="s">
        <v>63</v>
      </c>
    </row>
    <row r="196" spans="1:29" x14ac:dyDescent="0.25">
      <c r="A196">
        <v>6440</v>
      </c>
      <c r="B196">
        <v>25210</v>
      </c>
      <c r="C196" s="4">
        <v>42774</v>
      </c>
      <c r="F196" s="42"/>
      <c r="G196">
        <v>4.0999999999999996</v>
      </c>
      <c r="H196">
        <v>3.5</v>
      </c>
      <c r="I196">
        <v>5.2</v>
      </c>
      <c r="J196">
        <f t="shared" si="23"/>
        <v>1256.2999999999997</v>
      </c>
      <c r="K196">
        <f t="shared" si="29"/>
        <v>65.899999999999991</v>
      </c>
      <c r="L196" s="8">
        <v>0</v>
      </c>
      <c r="M196" s="54">
        <v>0</v>
      </c>
      <c r="N196">
        <v>0.5</v>
      </c>
      <c r="O196">
        <f t="shared" si="20"/>
        <v>-0.5</v>
      </c>
      <c r="P196">
        <f t="shared" si="25"/>
        <v>95.2</v>
      </c>
      <c r="Q196">
        <v>162</v>
      </c>
      <c r="R196">
        <f t="shared" si="27"/>
        <v>1.0254237288135593</v>
      </c>
      <c r="S196" s="18">
        <f t="shared" si="21"/>
        <v>0.51271186440677963</v>
      </c>
      <c r="T196" s="18">
        <f t="shared" si="22"/>
        <v>-0.51271186440677963</v>
      </c>
      <c r="U196" s="18">
        <f t="shared" si="26"/>
        <v>104.01273024300593</v>
      </c>
      <c r="V196" s="18">
        <f>AVERAGE(U187:U245)</f>
        <v>112.22671903932884</v>
      </c>
      <c r="W196">
        <v>280.39999999999998</v>
      </c>
      <c r="Y196">
        <f t="shared" si="24"/>
        <v>86413.299999999988</v>
      </c>
      <c r="Z196">
        <f t="shared" si="28"/>
        <v>2409.4</v>
      </c>
      <c r="AA196">
        <v>9.4550593390322515</v>
      </c>
      <c r="AC196" s="56">
        <f>AVERAGE(U202:U215)</f>
        <v>99.218153971819476</v>
      </c>
    </row>
    <row r="197" spans="1:29" x14ac:dyDescent="0.25">
      <c r="A197">
        <v>6440</v>
      </c>
      <c r="B197">
        <v>25210</v>
      </c>
      <c r="C197" s="4">
        <v>42775</v>
      </c>
      <c r="F197" s="42"/>
      <c r="G197">
        <v>2.5</v>
      </c>
      <c r="H197">
        <v>2</v>
      </c>
      <c r="I197">
        <v>3.3</v>
      </c>
      <c r="J197">
        <f t="shared" si="23"/>
        <v>1258.7999999999997</v>
      </c>
      <c r="K197">
        <f t="shared" si="29"/>
        <v>68.399999999999991</v>
      </c>
      <c r="L197" s="11" t="s">
        <v>43</v>
      </c>
      <c r="M197" s="54">
        <v>0</v>
      </c>
      <c r="N197">
        <v>0.3</v>
      </c>
      <c r="O197">
        <f t="shared" si="20"/>
        <v>-0.3</v>
      </c>
      <c r="P197">
        <f t="shared" si="25"/>
        <v>94.9</v>
      </c>
      <c r="Q197">
        <v>163</v>
      </c>
      <c r="R197">
        <f t="shared" si="27"/>
        <v>1.0279661016949153</v>
      </c>
      <c r="S197" s="18">
        <f t="shared" si="21"/>
        <v>0.30838983050847457</v>
      </c>
      <c r="T197" s="18">
        <f t="shared" si="22"/>
        <v>-0.30838983050847457</v>
      </c>
      <c r="U197" s="18">
        <f t="shared" si="26"/>
        <v>103.70434041249746</v>
      </c>
      <c r="W197">
        <v>232.2</v>
      </c>
      <c r="Y197">
        <f t="shared" si="24"/>
        <v>86645.499999999985</v>
      </c>
      <c r="Z197">
        <f t="shared" si="28"/>
        <v>2641.6</v>
      </c>
      <c r="AA197">
        <v>9.5095021540468014</v>
      </c>
      <c r="AC197" s="53" t="s">
        <v>64</v>
      </c>
    </row>
    <row r="198" spans="1:29" x14ac:dyDescent="0.25">
      <c r="A198">
        <v>6440</v>
      </c>
      <c r="B198">
        <v>25210</v>
      </c>
      <c r="C198" s="4">
        <v>42776</v>
      </c>
      <c r="F198" s="42"/>
      <c r="G198">
        <v>0.1</v>
      </c>
      <c r="H198">
        <v>-0.4</v>
      </c>
      <c r="I198">
        <v>0.5</v>
      </c>
      <c r="J198">
        <f t="shared" si="23"/>
        <v>1258.8999999999996</v>
      </c>
      <c r="K198">
        <f t="shared" si="29"/>
        <v>68.499999999999986</v>
      </c>
      <c r="L198" s="8">
        <v>31</v>
      </c>
      <c r="M198" s="54">
        <v>0</v>
      </c>
      <c r="N198">
        <v>0.3</v>
      </c>
      <c r="O198">
        <f t="shared" si="20"/>
        <v>-0.3</v>
      </c>
      <c r="P198">
        <f t="shared" si="25"/>
        <v>94.600000000000009</v>
      </c>
      <c r="Q198">
        <v>164</v>
      </c>
      <c r="R198">
        <f t="shared" si="27"/>
        <v>1.0305084745762711</v>
      </c>
      <c r="S198" s="18">
        <f t="shared" si="21"/>
        <v>0.30915254237288131</v>
      </c>
      <c r="T198" s="18">
        <f t="shared" si="22"/>
        <v>-0.30915254237288131</v>
      </c>
      <c r="U198" s="18">
        <f t="shared" si="26"/>
        <v>103.39518787012457</v>
      </c>
      <c r="V198" s="37">
        <f>(V196*100)/189.6</f>
        <v>59.191307510194534</v>
      </c>
      <c r="W198">
        <v>273.5</v>
      </c>
      <c r="Y198">
        <f t="shared" si="24"/>
        <v>86918.999999999985</v>
      </c>
      <c r="Z198">
        <f t="shared" si="28"/>
        <v>2915.1</v>
      </c>
      <c r="AA198">
        <v>9.5644555769912056</v>
      </c>
      <c r="AC198" s="53">
        <v>4</v>
      </c>
    </row>
    <row r="199" spans="1:29" x14ac:dyDescent="0.25">
      <c r="A199">
        <v>6440</v>
      </c>
      <c r="B199">
        <v>25210</v>
      </c>
      <c r="C199" s="4">
        <v>42777</v>
      </c>
      <c r="F199" s="42"/>
      <c r="G199">
        <v>0.1</v>
      </c>
      <c r="H199">
        <v>-0.4</v>
      </c>
      <c r="I199">
        <v>0.7</v>
      </c>
      <c r="J199">
        <f t="shared" si="23"/>
        <v>1258.9999999999995</v>
      </c>
      <c r="K199">
        <f t="shared" si="29"/>
        <v>68.59999999999998</v>
      </c>
      <c r="L199" s="11" t="s">
        <v>44</v>
      </c>
      <c r="M199" s="54">
        <v>1</v>
      </c>
      <c r="N199">
        <v>0.2</v>
      </c>
      <c r="O199">
        <f t="shared" si="20"/>
        <v>0.8</v>
      </c>
      <c r="P199">
        <f t="shared" si="25"/>
        <v>95.4</v>
      </c>
      <c r="Q199">
        <v>165</v>
      </c>
      <c r="R199">
        <f t="shared" si="27"/>
        <v>1.033050847457627</v>
      </c>
      <c r="S199" s="18">
        <f t="shared" si="21"/>
        <v>0.20661016949152541</v>
      </c>
      <c r="T199" s="18">
        <f t="shared" si="22"/>
        <v>0.79338983050847456</v>
      </c>
      <c r="U199" s="18">
        <f t="shared" si="26"/>
        <v>104.18857770063305</v>
      </c>
      <c r="W199">
        <v>109.3</v>
      </c>
      <c r="Y199">
        <f t="shared" si="24"/>
        <v>87028.299999999988</v>
      </c>
      <c r="Z199">
        <f t="shared" si="28"/>
        <v>3024.4</v>
      </c>
      <c r="AA199">
        <v>9.6198995552250626</v>
      </c>
      <c r="AC199" s="53" t="s">
        <v>65</v>
      </c>
    </row>
    <row r="200" spans="1:29" x14ac:dyDescent="0.25">
      <c r="A200">
        <v>6440</v>
      </c>
      <c r="B200">
        <v>25210</v>
      </c>
      <c r="C200" s="4">
        <v>42778</v>
      </c>
      <c r="F200" s="42"/>
      <c r="G200">
        <v>3.1</v>
      </c>
      <c r="H200">
        <v>0.3</v>
      </c>
      <c r="I200">
        <v>6.5</v>
      </c>
      <c r="J200">
        <f t="shared" si="23"/>
        <v>1262.0999999999995</v>
      </c>
      <c r="K200">
        <f t="shared" si="29"/>
        <v>71.699999999999974</v>
      </c>
      <c r="L200" s="8">
        <v>3</v>
      </c>
      <c r="M200" s="54">
        <v>0</v>
      </c>
      <c r="N200">
        <v>0.4</v>
      </c>
      <c r="O200">
        <f t="shared" si="20"/>
        <v>-0.4</v>
      </c>
      <c r="P200">
        <f t="shared" si="25"/>
        <v>95</v>
      </c>
      <c r="Q200">
        <v>166</v>
      </c>
      <c r="R200">
        <f t="shared" si="27"/>
        <v>1.035593220338983</v>
      </c>
      <c r="S200" s="18">
        <f t="shared" si="21"/>
        <v>0.41423728813559324</v>
      </c>
      <c r="T200" s="18">
        <f t="shared" si="22"/>
        <v>-0.41423728813559324</v>
      </c>
      <c r="U200" s="18">
        <f t="shared" si="26"/>
        <v>103.77434041249745</v>
      </c>
      <c r="W200">
        <v>270.60000000000002</v>
      </c>
      <c r="Y200">
        <f t="shared" si="24"/>
        <v>87298.9</v>
      </c>
      <c r="Z200">
        <f t="shared" si="28"/>
        <v>3295</v>
      </c>
      <c r="AA200">
        <v>9.6758145106106941</v>
      </c>
      <c r="AC200" s="53">
        <v>2</v>
      </c>
    </row>
    <row r="201" spans="1:29" x14ac:dyDescent="0.25">
      <c r="A201">
        <v>6440</v>
      </c>
      <c r="B201">
        <v>25210</v>
      </c>
      <c r="C201" s="4">
        <v>42779</v>
      </c>
      <c r="F201" s="42"/>
      <c r="G201">
        <v>4.5999999999999996</v>
      </c>
      <c r="H201">
        <v>2.1</v>
      </c>
      <c r="I201">
        <v>6.7</v>
      </c>
      <c r="J201">
        <f t="shared" si="23"/>
        <v>1266.6999999999994</v>
      </c>
      <c r="K201">
        <f t="shared" si="29"/>
        <v>76.299999999999969</v>
      </c>
      <c r="M201" s="54">
        <v>0</v>
      </c>
      <c r="N201">
        <v>1.1000000000000001</v>
      </c>
      <c r="O201">
        <f t="shared" si="20"/>
        <v>-1.1000000000000001</v>
      </c>
      <c r="P201">
        <f t="shared" si="25"/>
        <v>93.9</v>
      </c>
      <c r="Q201">
        <v>167</v>
      </c>
      <c r="R201">
        <f t="shared" si="27"/>
        <v>1.0381355932203389</v>
      </c>
      <c r="S201" s="18">
        <f t="shared" si="21"/>
        <v>1.1419491525423728</v>
      </c>
      <c r="T201" s="18">
        <f t="shared" si="22"/>
        <v>-1.1419491525423728</v>
      </c>
      <c r="U201" s="18">
        <f t="shared" si="26"/>
        <v>102.63239125995509</v>
      </c>
      <c r="W201">
        <v>1004.1</v>
      </c>
      <c r="Y201">
        <f t="shared" si="24"/>
        <v>88303</v>
      </c>
      <c r="Z201">
        <f t="shared" si="28"/>
        <v>4299.1000000000004</v>
      </c>
      <c r="AA201">
        <v>9.7321813412184017</v>
      </c>
      <c r="AC201" s="53" t="s">
        <v>66</v>
      </c>
    </row>
    <row r="202" spans="1:29" x14ac:dyDescent="0.25">
      <c r="A202">
        <v>6440</v>
      </c>
      <c r="B202">
        <v>25210</v>
      </c>
      <c r="C202" s="4">
        <v>42780</v>
      </c>
      <c r="F202" s="42"/>
      <c r="G202">
        <v>6.3</v>
      </c>
      <c r="H202">
        <v>1.9</v>
      </c>
      <c r="I202">
        <v>9.9</v>
      </c>
      <c r="J202">
        <f t="shared" si="23"/>
        <v>1272.9999999999993</v>
      </c>
      <c r="K202">
        <f t="shared" si="29"/>
        <v>82.599999999999966</v>
      </c>
      <c r="M202" s="54">
        <v>0</v>
      </c>
      <c r="N202">
        <v>1</v>
      </c>
      <c r="O202">
        <f t="shared" si="20"/>
        <v>-1</v>
      </c>
      <c r="P202">
        <f t="shared" si="25"/>
        <v>92.9</v>
      </c>
      <c r="Q202">
        <v>168</v>
      </c>
      <c r="R202">
        <f t="shared" si="27"/>
        <v>1.0406779661016949</v>
      </c>
      <c r="S202" s="18">
        <f t="shared" si="21"/>
        <v>1.0406779661016949</v>
      </c>
      <c r="T202" s="18">
        <f t="shared" si="22"/>
        <v>-1.0406779661016949</v>
      </c>
      <c r="U202" s="55">
        <f t="shared" si="26"/>
        <v>101.59171329385339</v>
      </c>
      <c r="W202">
        <v>587.5</v>
      </c>
      <c r="Y202">
        <f t="shared" si="24"/>
        <v>88890.5</v>
      </c>
      <c r="Z202">
        <f t="shared" si="28"/>
        <v>4886.6000000000004</v>
      </c>
      <c r="AA202">
        <v>9.7889814215787219</v>
      </c>
      <c r="AC202" s="53">
        <v>0</v>
      </c>
    </row>
    <row r="203" spans="1:29" x14ac:dyDescent="0.25">
      <c r="A203">
        <v>6440</v>
      </c>
      <c r="B203">
        <v>25210</v>
      </c>
      <c r="C203" s="4">
        <v>42781</v>
      </c>
      <c r="F203" s="42"/>
      <c r="G203">
        <v>8</v>
      </c>
      <c r="H203">
        <v>2.8</v>
      </c>
      <c r="I203">
        <v>13.4</v>
      </c>
      <c r="J203">
        <f t="shared" si="23"/>
        <v>1280.9999999999993</v>
      </c>
      <c r="K203">
        <f t="shared" si="29"/>
        <v>90.599999999999966</v>
      </c>
      <c r="M203" s="54">
        <v>0</v>
      </c>
      <c r="N203">
        <v>1.4</v>
      </c>
      <c r="O203">
        <f t="shared" si="20"/>
        <v>-1.4</v>
      </c>
      <c r="P203">
        <f t="shared" si="25"/>
        <v>91.5</v>
      </c>
      <c r="Q203">
        <v>169</v>
      </c>
      <c r="R203">
        <f t="shared" si="27"/>
        <v>1.0432203389830508</v>
      </c>
      <c r="S203" s="18">
        <f t="shared" si="21"/>
        <v>1.4605084745762711</v>
      </c>
      <c r="T203" s="18">
        <f t="shared" si="22"/>
        <v>-1.4605084745762711</v>
      </c>
      <c r="U203" s="55">
        <f t="shared" si="26"/>
        <v>100.13120481927712</v>
      </c>
      <c r="W203">
        <v>938.3</v>
      </c>
      <c r="Y203">
        <f t="shared" si="24"/>
        <v>89828.800000000003</v>
      </c>
      <c r="Z203">
        <f t="shared" si="28"/>
        <v>5824.9000000000005</v>
      </c>
      <c r="AA203">
        <v>9.8461966015656941</v>
      </c>
      <c r="AC203" s="53" t="s">
        <v>67</v>
      </c>
    </row>
    <row r="204" spans="1:29" x14ac:dyDescent="0.25">
      <c r="A204">
        <v>6440</v>
      </c>
      <c r="B204">
        <v>25210</v>
      </c>
      <c r="C204" s="4">
        <v>42782</v>
      </c>
      <c r="F204" s="42"/>
      <c r="G204">
        <v>6.5</v>
      </c>
      <c r="H204">
        <v>2.8</v>
      </c>
      <c r="I204">
        <v>10.7</v>
      </c>
      <c r="J204">
        <f t="shared" si="23"/>
        <v>1287.4999999999993</v>
      </c>
      <c r="K204">
        <f t="shared" si="29"/>
        <v>97.099999999999966</v>
      </c>
      <c r="M204" s="54">
        <v>0.2</v>
      </c>
      <c r="N204">
        <v>0.8</v>
      </c>
      <c r="O204">
        <f t="shared" si="20"/>
        <v>-0.60000000000000009</v>
      </c>
      <c r="P204">
        <f t="shared" si="25"/>
        <v>90.9</v>
      </c>
      <c r="Q204">
        <v>170</v>
      </c>
      <c r="R204">
        <f t="shared" si="27"/>
        <v>1.0457627118644068</v>
      </c>
      <c r="S204" s="18">
        <f t="shared" si="21"/>
        <v>0.83661016949152556</v>
      </c>
      <c r="T204" s="18">
        <f t="shared" si="22"/>
        <v>-0.6366101694915256</v>
      </c>
      <c r="U204" s="55">
        <f t="shared" si="26"/>
        <v>99.494594649785597</v>
      </c>
      <c r="W204">
        <v>426.2</v>
      </c>
      <c r="Y204">
        <f t="shared" si="24"/>
        <v>90255</v>
      </c>
      <c r="Z204">
        <f t="shared" si="28"/>
        <v>6251.1</v>
      </c>
      <c r="AA204">
        <v>9.9038092039933314</v>
      </c>
      <c r="AC204">
        <f>SUM(M206:M215)</f>
        <v>15.599999999999998</v>
      </c>
    </row>
    <row r="205" spans="1:29" s="50" customFormat="1" x14ac:dyDescent="0.25">
      <c r="A205" s="50">
        <v>6440</v>
      </c>
      <c r="B205" s="50">
        <v>25210</v>
      </c>
      <c r="C205" s="51">
        <v>42783</v>
      </c>
      <c r="D205" s="50" t="s">
        <v>61</v>
      </c>
      <c r="F205" s="42"/>
      <c r="G205" s="50">
        <v>6.3</v>
      </c>
      <c r="H205" s="50">
        <v>5.0999999999999996</v>
      </c>
      <c r="I205" s="50">
        <v>9.1</v>
      </c>
      <c r="J205" s="50">
        <f t="shared" si="23"/>
        <v>1293.7999999999993</v>
      </c>
      <c r="K205" s="50">
        <f t="shared" si="29"/>
        <v>103.39999999999996</v>
      </c>
      <c r="M205" s="50">
        <v>0.2</v>
      </c>
      <c r="N205" s="50">
        <v>0.8</v>
      </c>
      <c r="O205" s="50">
        <f t="shared" si="20"/>
        <v>-0.60000000000000009</v>
      </c>
      <c r="P205" s="50">
        <f t="shared" si="25"/>
        <v>90.300000000000011</v>
      </c>
      <c r="Q205" s="50">
        <v>171</v>
      </c>
      <c r="R205" s="50">
        <f t="shared" si="27"/>
        <v>1.0483050847457627</v>
      </c>
      <c r="S205" s="52">
        <f t="shared" si="21"/>
        <v>0.83864406779661016</v>
      </c>
      <c r="T205" s="52">
        <f t="shared" si="22"/>
        <v>-0.63864406779661009</v>
      </c>
      <c r="U205" s="52">
        <f t="shared" si="26"/>
        <v>98.855950581988992</v>
      </c>
      <c r="W205" s="50">
        <v>395.2</v>
      </c>
      <c r="Y205" s="50">
        <f t="shared" si="24"/>
        <v>90650.2</v>
      </c>
      <c r="Z205" s="50">
        <f t="shared" si="28"/>
        <v>6646.3</v>
      </c>
      <c r="AA205" s="50">
        <v>9.9618020210054645</v>
      </c>
    </row>
    <row r="206" spans="1:29" x14ac:dyDescent="0.25">
      <c r="A206">
        <v>6440</v>
      </c>
      <c r="B206">
        <v>25210</v>
      </c>
      <c r="C206" s="4">
        <v>42784</v>
      </c>
      <c r="F206" s="42"/>
      <c r="G206">
        <v>3</v>
      </c>
      <c r="H206">
        <v>0</v>
      </c>
      <c r="I206">
        <v>5.0999999999999996</v>
      </c>
      <c r="J206">
        <f t="shared" si="23"/>
        <v>1296.7999999999993</v>
      </c>
      <c r="K206">
        <f t="shared" si="29"/>
        <v>106.39999999999996</v>
      </c>
      <c r="M206" s="54">
        <v>0.2</v>
      </c>
      <c r="N206">
        <v>0.5</v>
      </c>
      <c r="O206">
        <f t="shared" si="20"/>
        <v>-0.3</v>
      </c>
      <c r="P206">
        <f t="shared" si="25"/>
        <v>90.000000000000014</v>
      </c>
      <c r="Q206">
        <v>172</v>
      </c>
      <c r="R206">
        <f t="shared" si="27"/>
        <v>1.0508474576271185</v>
      </c>
      <c r="S206" s="18">
        <f t="shared" si="21"/>
        <v>0.52542372881355925</v>
      </c>
      <c r="T206" s="18">
        <f t="shared" si="22"/>
        <v>-0.32542372881355924</v>
      </c>
      <c r="U206" s="55">
        <f t="shared" si="26"/>
        <v>98.530526853175431</v>
      </c>
      <c r="W206">
        <v>351.5</v>
      </c>
      <c r="Y206">
        <f t="shared" si="24"/>
        <v>91001.7</v>
      </c>
      <c r="Z206">
        <f t="shared" si="28"/>
        <v>6997.8</v>
      </c>
      <c r="AA206">
        <v>10.020158309336756</v>
      </c>
    </row>
    <row r="207" spans="1:29" x14ac:dyDescent="0.25">
      <c r="A207">
        <v>6440</v>
      </c>
      <c r="B207">
        <v>25210</v>
      </c>
      <c r="C207" s="4">
        <v>42785</v>
      </c>
      <c r="F207" s="42"/>
      <c r="G207">
        <v>5.6</v>
      </c>
      <c r="H207">
        <v>-0.5</v>
      </c>
      <c r="I207">
        <v>9.1999999999999993</v>
      </c>
      <c r="J207">
        <f t="shared" si="23"/>
        <v>1302.3999999999992</v>
      </c>
      <c r="K207">
        <f t="shared" si="29"/>
        <v>111.99999999999996</v>
      </c>
      <c r="M207" s="54">
        <v>0.2</v>
      </c>
      <c r="N207">
        <v>0.4</v>
      </c>
      <c r="O207">
        <f t="shared" si="20"/>
        <v>-0.2</v>
      </c>
      <c r="P207">
        <f t="shared" si="25"/>
        <v>89.800000000000011</v>
      </c>
      <c r="Q207">
        <v>173</v>
      </c>
      <c r="R207">
        <f t="shared" si="27"/>
        <v>1.0533898305084746</v>
      </c>
      <c r="S207" s="18">
        <f t="shared" si="21"/>
        <v>0.42135593220338985</v>
      </c>
      <c r="T207" s="18">
        <f t="shared" si="22"/>
        <v>-0.22135593220338984</v>
      </c>
      <c r="U207" s="55">
        <f t="shared" si="26"/>
        <v>98.309170920972036</v>
      </c>
      <c r="W207">
        <v>387.6</v>
      </c>
      <c r="Y207">
        <f t="shared" si="24"/>
        <v>91389.3</v>
      </c>
      <c r="Z207">
        <f t="shared" si="28"/>
        <v>7385.4000000000005</v>
      </c>
      <c r="AA207">
        <v>10.07886178452004</v>
      </c>
    </row>
    <row r="208" spans="1:29" x14ac:dyDescent="0.25">
      <c r="A208">
        <v>6440</v>
      </c>
      <c r="B208">
        <v>25210</v>
      </c>
      <c r="C208" s="4">
        <v>42786</v>
      </c>
      <c r="F208" s="42"/>
      <c r="G208">
        <v>9.6</v>
      </c>
      <c r="H208">
        <v>7.9</v>
      </c>
      <c r="I208">
        <v>11.1</v>
      </c>
      <c r="J208">
        <f t="shared" si="23"/>
        <v>1311.9999999999991</v>
      </c>
      <c r="K208">
        <f t="shared" si="29"/>
        <v>121.59999999999995</v>
      </c>
      <c r="M208" s="54">
        <v>0.4</v>
      </c>
      <c r="N208">
        <v>0.3</v>
      </c>
      <c r="O208">
        <f t="shared" si="20"/>
        <v>0.10000000000000003</v>
      </c>
      <c r="P208">
        <f t="shared" si="25"/>
        <v>89.9</v>
      </c>
      <c r="Q208">
        <v>174</v>
      </c>
      <c r="R208">
        <f t="shared" si="27"/>
        <v>1.0559322033898304</v>
      </c>
      <c r="S208" s="18">
        <f t="shared" si="21"/>
        <v>0.3167796610169491</v>
      </c>
      <c r="T208" s="18">
        <f t="shared" si="22"/>
        <v>8.3220338983050923E-2</v>
      </c>
      <c r="U208" s="55">
        <f t="shared" si="26"/>
        <v>98.39239125995509</v>
      </c>
      <c r="W208">
        <v>134.80000000000001</v>
      </c>
      <c r="Y208">
        <f t="shared" si="24"/>
        <v>91524.1</v>
      </c>
      <c r="Z208">
        <f t="shared" si="28"/>
        <v>7520.2000000000007</v>
      </c>
      <c r="AA208">
        <v>10.137896614112416</v>
      </c>
    </row>
    <row r="209" spans="1:30" x14ac:dyDescent="0.25">
      <c r="A209">
        <v>6440</v>
      </c>
      <c r="B209">
        <v>25210</v>
      </c>
      <c r="C209" s="4">
        <v>42787</v>
      </c>
      <c r="F209" s="42"/>
      <c r="G209">
        <v>10.5</v>
      </c>
      <c r="H209">
        <v>9.6999999999999993</v>
      </c>
      <c r="I209">
        <v>11.1</v>
      </c>
      <c r="J209">
        <f t="shared" si="23"/>
        <v>1322.4999999999991</v>
      </c>
      <c r="K209">
        <f t="shared" si="29"/>
        <v>132.09999999999997</v>
      </c>
      <c r="M209" s="54">
        <v>0.6</v>
      </c>
      <c r="N209">
        <v>0.4</v>
      </c>
      <c r="O209">
        <f t="shared" si="20"/>
        <v>0.19999999999999996</v>
      </c>
      <c r="P209">
        <f t="shared" si="25"/>
        <v>90.100000000000009</v>
      </c>
      <c r="Q209">
        <v>175</v>
      </c>
      <c r="R209">
        <f t="shared" si="27"/>
        <v>1.0584745762711865</v>
      </c>
      <c r="S209" s="18">
        <f t="shared" si="21"/>
        <v>0.42338983050847462</v>
      </c>
      <c r="T209" s="18">
        <f t="shared" si="22"/>
        <v>0.17661016949152536</v>
      </c>
      <c r="U209" s="55">
        <f t="shared" si="26"/>
        <v>98.569001429446615</v>
      </c>
      <c r="W209">
        <v>199.7</v>
      </c>
      <c r="Y209">
        <f t="shared" si="24"/>
        <v>91723.8</v>
      </c>
      <c r="Z209">
        <f t="shared" si="28"/>
        <v>7719.9000000000005</v>
      </c>
      <c r="AA209">
        <v>10.197247410009632</v>
      </c>
    </row>
    <row r="210" spans="1:30" x14ac:dyDescent="0.25">
      <c r="A210">
        <v>6440</v>
      </c>
      <c r="B210">
        <v>25210</v>
      </c>
      <c r="C210" s="4">
        <v>42788</v>
      </c>
      <c r="F210" s="42"/>
      <c r="G210">
        <v>10.3</v>
      </c>
      <c r="H210">
        <v>10</v>
      </c>
      <c r="I210">
        <v>10.6</v>
      </c>
      <c r="J210">
        <f t="shared" si="23"/>
        <v>1332.799999999999</v>
      </c>
      <c r="K210">
        <f t="shared" si="29"/>
        <v>142.39999999999998</v>
      </c>
      <c r="M210" s="54">
        <v>1.3</v>
      </c>
      <c r="N210">
        <v>0.9</v>
      </c>
      <c r="O210">
        <f t="shared" si="20"/>
        <v>0.4</v>
      </c>
      <c r="P210">
        <f t="shared" si="25"/>
        <v>90.500000000000014</v>
      </c>
      <c r="Q210">
        <v>176</v>
      </c>
      <c r="R210">
        <f t="shared" si="27"/>
        <v>1.0610169491525423</v>
      </c>
      <c r="S210" s="18">
        <f t="shared" si="21"/>
        <v>0.95491525423728807</v>
      </c>
      <c r="T210" s="18">
        <f t="shared" si="22"/>
        <v>0.34508474576271198</v>
      </c>
      <c r="U210" s="55">
        <f t="shared" si="26"/>
        <v>98.91408617520932</v>
      </c>
      <c r="W210">
        <v>185.9</v>
      </c>
      <c r="Y210">
        <f t="shared" si="24"/>
        <v>91909.7</v>
      </c>
      <c r="Z210">
        <f t="shared" si="28"/>
        <v>7905.8</v>
      </c>
      <c r="AA210">
        <v>10.256899219915233</v>
      </c>
    </row>
    <row r="211" spans="1:30" x14ac:dyDescent="0.25">
      <c r="A211">
        <v>6440</v>
      </c>
      <c r="B211">
        <v>25210</v>
      </c>
      <c r="C211" s="4">
        <v>42789</v>
      </c>
      <c r="F211" s="42"/>
      <c r="G211">
        <v>8.9</v>
      </c>
      <c r="H211">
        <v>8.4</v>
      </c>
      <c r="I211">
        <v>10.199999999999999</v>
      </c>
      <c r="J211">
        <f t="shared" si="23"/>
        <v>1341.6999999999991</v>
      </c>
      <c r="K211">
        <f t="shared" si="29"/>
        <v>151.29999999999998</v>
      </c>
      <c r="M211" s="54">
        <v>1.4</v>
      </c>
      <c r="N211">
        <v>1.4</v>
      </c>
      <c r="O211">
        <f t="shared" si="20"/>
        <v>0</v>
      </c>
      <c r="P211">
        <f t="shared" si="25"/>
        <v>90.500000000000014</v>
      </c>
      <c r="Q211">
        <v>177</v>
      </c>
      <c r="R211">
        <f t="shared" si="27"/>
        <v>1.0635593220338984</v>
      </c>
      <c r="S211" s="18">
        <f t="shared" si="21"/>
        <v>1.4889830508474575</v>
      </c>
      <c r="T211" s="18">
        <f t="shared" si="22"/>
        <v>-8.8983050847457612E-2</v>
      </c>
      <c r="U211" s="55">
        <f t="shared" si="26"/>
        <v>98.82510312436186</v>
      </c>
      <c r="W211">
        <v>202.6</v>
      </c>
      <c r="Y211">
        <f t="shared" si="24"/>
        <v>92112.3</v>
      </c>
      <c r="Z211">
        <f t="shared" si="28"/>
        <v>8108.4000000000005</v>
      </c>
      <c r="AA211">
        <v>10.316837518027908</v>
      </c>
      <c r="AD211" s="53" t="s">
        <v>63</v>
      </c>
    </row>
    <row r="212" spans="1:30" x14ac:dyDescent="0.25">
      <c r="A212">
        <v>6440</v>
      </c>
      <c r="B212">
        <v>25210</v>
      </c>
      <c r="C212" s="4">
        <v>42790</v>
      </c>
      <c r="F212" s="42"/>
      <c r="G212">
        <v>4.7</v>
      </c>
      <c r="H212">
        <v>4.5</v>
      </c>
      <c r="I212">
        <v>7.1</v>
      </c>
      <c r="J212">
        <f t="shared" si="23"/>
        <v>1346.3999999999992</v>
      </c>
      <c r="K212">
        <f t="shared" si="29"/>
        <v>155.99999999999997</v>
      </c>
      <c r="M212" s="54">
        <v>0.3</v>
      </c>
      <c r="N212">
        <v>1</v>
      </c>
      <c r="O212">
        <f t="shared" si="20"/>
        <v>-0.7</v>
      </c>
      <c r="P212">
        <f t="shared" si="25"/>
        <v>89.800000000000011</v>
      </c>
      <c r="Q212">
        <v>178</v>
      </c>
      <c r="R212">
        <f t="shared" si="27"/>
        <v>1.0661016949152542</v>
      </c>
      <c r="S212" s="18">
        <f t="shared" si="21"/>
        <v>1.0661016949152542</v>
      </c>
      <c r="T212" s="18">
        <f t="shared" si="22"/>
        <v>-0.76610169491525415</v>
      </c>
      <c r="U212" s="55">
        <f t="shared" si="26"/>
        <v>98.05900142944661</v>
      </c>
      <c r="W212">
        <v>418.9</v>
      </c>
      <c r="Y212">
        <f t="shared" si="24"/>
        <v>92531.199999999997</v>
      </c>
      <c r="Z212">
        <f t="shared" si="28"/>
        <v>8527.3000000000011</v>
      </c>
      <c r="AA212">
        <v>10.377048195007312</v>
      </c>
      <c r="AD212" s="56">
        <f>(AC196*(40/80))+(AC224*(40/80))</f>
        <v>113.20852624784857</v>
      </c>
    </row>
    <row r="213" spans="1:30" x14ac:dyDescent="0.25">
      <c r="A213">
        <v>6440</v>
      </c>
      <c r="B213">
        <v>25210</v>
      </c>
      <c r="C213" s="4">
        <v>42791</v>
      </c>
      <c r="F213" s="42"/>
      <c r="G213">
        <v>5.3</v>
      </c>
      <c r="H213">
        <v>0.1</v>
      </c>
      <c r="I213">
        <v>9</v>
      </c>
      <c r="J213">
        <f t="shared" si="23"/>
        <v>1351.6999999999991</v>
      </c>
      <c r="K213">
        <f t="shared" si="29"/>
        <v>161.29999999999998</v>
      </c>
      <c r="M213" s="54">
        <v>0</v>
      </c>
      <c r="N213">
        <v>0.8</v>
      </c>
      <c r="O213">
        <f t="shared" si="20"/>
        <v>-0.8</v>
      </c>
      <c r="P213">
        <f t="shared" si="25"/>
        <v>89.000000000000014</v>
      </c>
      <c r="Q213">
        <v>179</v>
      </c>
      <c r="R213">
        <f t="shared" si="27"/>
        <v>1.06864406779661</v>
      </c>
      <c r="S213" s="18">
        <f t="shared" si="21"/>
        <v>0.85491525423728809</v>
      </c>
      <c r="T213" s="18">
        <f t="shared" si="22"/>
        <v>-0.85491525423728809</v>
      </c>
      <c r="U213" s="55">
        <f t="shared" si="26"/>
        <v>97.204086175209326</v>
      </c>
      <c r="W213">
        <v>365.9</v>
      </c>
      <c r="Y213">
        <f t="shared" si="24"/>
        <v>92897.099999999991</v>
      </c>
      <c r="Z213">
        <f t="shared" si="28"/>
        <v>8893.2000000000007</v>
      </c>
      <c r="AA213">
        <v>10.437517547275551</v>
      </c>
      <c r="AD213" s="53" t="s">
        <v>64</v>
      </c>
    </row>
    <row r="214" spans="1:30" x14ac:dyDescent="0.25">
      <c r="A214">
        <v>6440</v>
      </c>
      <c r="B214">
        <v>25210</v>
      </c>
      <c r="C214" s="4">
        <v>42792</v>
      </c>
      <c r="F214" s="42"/>
      <c r="G214">
        <v>9.1999999999999993</v>
      </c>
      <c r="H214">
        <v>6.4</v>
      </c>
      <c r="I214">
        <v>10.8</v>
      </c>
      <c r="J214">
        <f t="shared" si="23"/>
        <v>1360.8999999999992</v>
      </c>
      <c r="K214">
        <f t="shared" si="29"/>
        <v>170.49999999999997</v>
      </c>
      <c r="M214" s="54">
        <v>0</v>
      </c>
      <c r="N214">
        <v>1</v>
      </c>
      <c r="O214">
        <f t="shared" si="20"/>
        <v>-1</v>
      </c>
      <c r="P214">
        <f t="shared" si="25"/>
        <v>88.000000000000014</v>
      </c>
      <c r="Q214">
        <v>180</v>
      </c>
      <c r="R214">
        <f t="shared" si="27"/>
        <v>1.0711864406779661</v>
      </c>
      <c r="S214" s="18">
        <f t="shared" si="21"/>
        <v>1.0711864406779661</v>
      </c>
      <c r="T214" s="18">
        <f t="shared" si="22"/>
        <v>-1.0711864406779661</v>
      </c>
      <c r="U214" s="55">
        <f t="shared" si="26"/>
        <v>96.132899734531364</v>
      </c>
      <c r="W214">
        <v>262.2</v>
      </c>
      <c r="Y214">
        <f t="shared" si="24"/>
        <v>93159.299999999988</v>
      </c>
      <c r="Z214">
        <f t="shared" si="28"/>
        <v>9155.4000000000015</v>
      </c>
      <c r="AA214">
        <v>10.49823226570833</v>
      </c>
      <c r="AD214" s="53">
        <f>(AC198*(40/80))+(AC226*(40/80))</f>
        <v>4</v>
      </c>
    </row>
    <row r="215" spans="1:30" x14ac:dyDescent="0.25">
      <c r="A215">
        <v>6440</v>
      </c>
      <c r="B215">
        <v>25210</v>
      </c>
      <c r="C215" s="4">
        <v>42793</v>
      </c>
      <c r="F215" s="42"/>
      <c r="G215">
        <v>8.3000000000000007</v>
      </c>
      <c r="H215">
        <v>6.7</v>
      </c>
      <c r="I215">
        <v>9.8000000000000007</v>
      </c>
      <c r="J215">
        <f t="shared" si="23"/>
        <v>1369.1999999999991</v>
      </c>
      <c r="K215">
        <f t="shared" si="29"/>
        <v>178.79999999999998</v>
      </c>
      <c r="M215" s="54">
        <v>11.2</v>
      </c>
      <c r="N215">
        <v>1.2</v>
      </c>
      <c r="O215">
        <f t="shared" si="20"/>
        <v>10</v>
      </c>
      <c r="P215">
        <f t="shared" si="25"/>
        <v>98.000000000000014</v>
      </c>
      <c r="Q215">
        <v>181</v>
      </c>
      <c r="R215">
        <f t="shared" si="27"/>
        <v>1.0737288135593219</v>
      </c>
      <c r="S215" s="18">
        <f t="shared" si="21"/>
        <v>1.2884745762711862</v>
      </c>
      <c r="T215" s="18">
        <f t="shared" si="22"/>
        <v>9.9115254237288131</v>
      </c>
      <c r="U215" s="55">
        <f t="shared" si="26"/>
        <v>106.04442515826018</v>
      </c>
      <c r="W215">
        <v>226.5</v>
      </c>
      <c r="Y215">
        <f t="shared" si="24"/>
        <v>93385.799999999988</v>
      </c>
      <c r="Z215">
        <f t="shared" si="28"/>
        <v>9381.9000000000015</v>
      </c>
      <c r="AA215">
        <v>10.559179423766718</v>
      </c>
      <c r="AD215" s="53" t="s">
        <v>65</v>
      </c>
    </row>
    <row r="216" spans="1:30" x14ac:dyDescent="0.25">
      <c r="A216">
        <v>6440</v>
      </c>
      <c r="B216">
        <v>25210</v>
      </c>
      <c r="C216" s="4">
        <v>42794</v>
      </c>
      <c r="F216" s="42"/>
      <c r="G216">
        <v>4.5999999999999996</v>
      </c>
      <c r="H216">
        <v>3.5</v>
      </c>
      <c r="I216">
        <v>5.7</v>
      </c>
      <c r="J216">
        <f t="shared" si="23"/>
        <v>1373.799999999999</v>
      </c>
      <c r="K216">
        <f t="shared" si="29"/>
        <v>183.39999999999998</v>
      </c>
      <c r="M216">
        <v>3.3</v>
      </c>
      <c r="N216">
        <v>0.7</v>
      </c>
      <c r="O216">
        <f t="shared" si="20"/>
        <v>2.5999999999999996</v>
      </c>
      <c r="P216">
        <f t="shared" si="25"/>
        <v>100.60000000000001</v>
      </c>
      <c r="Q216">
        <v>182</v>
      </c>
      <c r="R216">
        <f t="shared" si="27"/>
        <v>1.076271186440678</v>
      </c>
      <c r="S216" s="18">
        <f t="shared" si="21"/>
        <v>0.75338983050847452</v>
      </c>
      <c r="T216" s="18">
        <f t="shared" si="22"/>
        <v>2.5466101694915251</v>
      </c>
      <c r="U216" s="18">
        <f t="shared" si="26"/>
        <v>108.59103532775171</v>
      </c>
      <c r="W216">
        <v>229.9</v>
      </c>
      <c r="Y216">
        <f t="shared" si="24"/>
        <v>93615.699999999983</v>
      </c>
      <c r="Z216">
        <f t="shared" si="28"/>
        <v>9611.8000000000011</v>
      </c>
      <c r="AA216">
        <v>10.62034646511742</v>
      </c>
      <c r="AD216" s="53">
        <f>(AC200*(40/80))+(AC228*(40/80))</f>
        <v>4</v>
      </c>
    </row>
    <row r="217" spans="1:30" x14ac:dyDescent="0.25">
      <c r="A217">
        <v>6440</v>
      </c>
      <c r="B217">
        <v>25210</v>
      </c>
      <c r="C217" s="4">
        <v>42795</v>
      </c>
      <c r="F217" s="42"/>
      <c r="G217">
        <v>7.2</v>
      </c>
      <c r="H217">
        <v>5</v>
      </c>
      <c r="I217">
        <v>9.4</v>
      </c>
      <c r="J217">
        <f t="shared" si="23"/>
        <v>1380.9999999999991</v>
      </c>
      <c r="K217">
        <f t="shared" si="29"/>
        <v>190.59999999999997</v>
      </c>
      <c r="M217">
        <v>3.9</v>
      </c>
      <c r="N217">
        <v>0.8</v>
      </c>
      <c r="O217">
        <f t="shared" si="20"/>
        <v>3.0999999999999996</v>
      </c>
      <c r="P217">
        <f t="shared" si="25"/>
        <v>103.7</v>
      </c>
      <c r="Q217">
        <v>183</v>
      </c>
      <c r="R217">
        <f t="shared" si="27"/>
        <v>1.0788135593220338</v>
      </c>
      <c r="S217" s="18">
        <f t="shared" si="21"/>
        <v>0.86305084745762706</v>
      </c>
      <c r="T217" s="18">
        <f t="shared" si="22"/>
        <v>3.0369491525423729</v>
      </c>
      <c r="U217" s="18">
        <f t="shared" si="26"/>
        <v>111.62798448029409</v>
      </c>
      <c r="W217">
        <v>248</v>
      </c>
      <c r="Y217">
        <f t="shared" si="24"/>
        <v>93863.699999999983</v>
      </c>
      <c r="Z217">
        <f t="shared" si="28"/>
        <v>9859.8000000000011</v>
      </c>
      <c r="AA217">
        <v>10.681721190786435</v>
      </c>
      <c r="AD217" s="53" t="s">
        <v>66</v>
      </c>
    </row>
    <row r="218" spans="1:30" x14ac:dyDescent="0.25">
      <c r="A218">
        <v>6440</v>
      </c>
      <c r="B218">
        <v>25210</v>
      </c>
      <c r="C218" s="4">
        <v>42796</v>
      </c>
      <c r="F218" s="42"/>
      <c r="G218">
        <v>6.8</v>
      </c>
      <c r="H218">
        <v>5.3</v>
      </c>
      <c r="I218">
        <v>10</v>
      </c>
      <c r="J218">
        <f t="shared" si="23"/>
        <v>1387.799999999999</v>
      </c>
      <c r="K218">
        <f t="shared" si="29"/>
        <v>197.39999999999998</v>
      </c>
      <c r="M218">
        <v>0.2</v>
      </c>
      <c r="N218">
        <v>1.9</v>
      </c>
      <c r="O218">
        <f t="shared" si="20"/>
        <v>-1.7</v>
      </c>
      <c r="P218">
        <f t="shared" si="25"/>
        <v>102</v>
      </c>
      <c r="Q218">
        <v>184</v>
      </c>
      <c r="R218">
        <f t="shared" si="27"/>
        <v>1.0813559322033899</v>
      </c>
      <c r="S218" s="18">
        <f t="shared" si="21"/>
        <v>2.0545762711864408</v>
      </c>
      <c r="T218" s="18">
        <f t="shared" si="22"/>
        <v>-1.8545762711864409</v>
      </c>
      <c r="U218" s="18">
        <f t="shared" si="26"/>
        <v>109.77340820910764</v>
      </c>
      <c r="W218">
        <v>785.8</v>
      </c>
      <c r="Y218">
        <f t="shared" si="24"/>
        <v>94649.499999999985</v>
      </c>
      <c r="Z218">
        <f t="shared" si="28"/>
        <v>10645.6</v>
      </c>
      <c r="AA218">
        <v>10.74329174588811</v>
      </c>
      <c r="AD218" s="53">
        <f>(AC202*(40/80))+(AC230*(40/80))</f>
        <v>0</v>
      </c>
    </row>
    <row r="219" spans="1:30" x14ac:dyDescent="0.25">
      <c r="A219">
        <v>6440</v>
      </c>
      <c r="B219">
        <v>25210</v>
      </c>
      <c r="C219" s="4">
        <v>42797</v>
      </c>
      <c r="F219" s="42"/>
      <c r="G219">
        <v>8.6999999999999993</v>
      </c>
      <c r="H219">
        <v>4.0999999999999996</v>
      </c>
      <c r="I219">
        <v>10.8</v>
      </c>
      <c r="J219">
        <f t="shared" si="23"/>
        <v>1396.4999999999991</v>
      </c>
      <c r="K219">
        <f t="shared" si="29"/>
        <v>206.09999999999997</v>
      </c>
      <c r="M219">
        <v>5</v>
      </c>
      <c r="N219">
        <v>0.7</v>
      </c>
      <c r="O219">
        <f t="shared" si="20"/>
        <v>4.3</v>
      </c>
      <c r="P219">
        <f t="shared" si="25"/>
        <v>106.3</v>
      </c>
      <c r="Q219">
        <v>185</v>
      </c>
      <c r="R219">
        <f t="shared" si="27"/>
        <v>1.0838983050847457</v>
      </c>
      <c r="S219" s="18">
        <f t="shared" si="21"/>
        <v>0.75872881355932198</v>
      </c>
      <c r="T219" s="18">
        <f t="shared" si="22"/>
        <v>4.2412711864406782</v>
      </c>
      <c r="U219" s="18">
        <f t="shared" si="26"/>
        <v>114.01467939554833</v>
      </c>
      <c r="W219">
        <v>409.2</v>
      </c>
      <c r="Y219">
        <f t="shared" si="24"/>
        <v>95058.699999999983</v>
      </c>
      <c r="Z219">
        <f t="shared" si="28"/>
        <v>11054.800000000001</v>
      </c>
      <c r="AA219">
        <v>10.805046605968734</v>
      </c>
      <c r="AD219" s="53" t="s">
        <v>67</v>
      </c>
    </row>
    <row r="220" spans="1:30" x14ac:dyDescent="0.25">
      <c r="A220">
        <v>6440</v>
      </c>
      <c r="B220">
        <v>25210</v>
      </c>
      <c r="C220" s="4">
        <v>42798</v>
      </c>
      <c r="F220" s="42"/>
      <c r="G220">
        <v>8</v>
      </c>
      <c r="H220">
        <v>6.9</v>
      </c>
      <c r="I220">
        <v>8.8000000000000007</v>
      </c>
      <c r="J220">
        <f t="shared" si="23"/>
        <v>1404.4999999999991</v>
      </c>
      <c r="K220">
        <f t="shared" si="29"/>
        <v>214.09999999999997</v>
      </c>
      <c r="M220">
        <v>8.1</v>
      </c>
      <c r="N220">
        <v>0.4</v>
      </c>
      <c r="O220">
        <f t="shared" si="20"/>
        <v>7.6999999999999993</v>
      </c>
      <c r="P220">
        <f t="shared" si="25"/>
        <v>114</v>
      </c>
      <c r="Q220">
        <v>186</v>
      </c>
      <c r="R220">
        <f t="shared" si="27"/>
        <v>1.0864406779661016</v>
      </c>
      <c r="S220" s="18">
        <f t="shared" si="21"/>
        <v>0.43457627118644065</v>
      </c>
      <c r="T220" s="18">
        <f t="shared" si="22"/>
        <v>7.6654237288135594</v>
      </c>
      <c r="U220" s="18">
        <f t="shared" si="26"/>
        <v>121.68010312436189</v>
      </c>
      <c r="W220">
        <v>199.9</v>
      </c>
      <c r="Y220">
        <f t="shared" si="24"/>
        <v>95258.599999999977</v>
      </c>
      <c r="Z220">
        <f t="shared" si="28"/>
        <v>11254.7</v>
      </c>
      <c r="AA220">
        <v>10.866974563001163</v>
      </c>
      <c r="AD220" s="53">
        <f>(AC204*(40/80))+(AC232*(40/80))</f>
        <v>11.599999999999998</v>
      </c>
    </row>
    <row r="221" spans="1:30" x14ac:dyDescent="0.25">
      <c r="A221">
        <v>6440</v>
      </c>
      <c r="B221">
        <v>25210</v>
      </c>
      <c r="C221" s="4">
        <v>42799</v>
      </c>
      <c r="F221" s="42"/>
      <c r="G221">
        <v>5.4</v>
      </c>
      <c r="H221">
        <v>4</v>
      </c>
      <c r="I221">
        <v>6.5</v>
      </c>
      <c r="J221">
        <f t="shared" si="23"/>
        <v>1409.8999999999992</v>
      </c>
      <c r="K221">
        <f t="shared" si="29"/>
        <v>219.49999999999997</v>
      </c>
      <c r="M221">
        <v>10.1</v>
      </c>
      <c r="N221">
        <v>0.6</v>
      </c>
      <c r="O221">
        <f t="shared" si="20"/>
        <v>9.5</v>
      </c>
      <c r="P221">
        <f t="shared" si="25"/>
        <v>123.5</v>
      </c>
      <c r="Q221">
        <v>187</v>
      </c>
      <c r="R221">
        <f t="shared" si="27"/>
        <v>1.0889830508474576</v>
      </c>
      <c r="S221" s="18">
        <f t="shared" si="21"/>
        <v>0.65338983050847455</v>
      </c>
      <c r="T221" s="18">
        <f t="shared" si="22"/>
        <v>9.4466101694915245</v>
      </c>
      <c r="U221" s="18">
        <f t="shared" si="26"/>
        <v>131.12671329385341</v>
      </c>
      <c r="W221">
        <v>233.9</v>
      </c>
      <c r="Y221">
        <f t="shared" si="24"/>
        <v>95492.499999999971</v>
      </c>
      <c r="Z221">
        <f t="shared" si="28"/>
        <v>11488.6</v>
      </c>
      <c r="AA221">
        <v>10.929064711064221</v>
      </c>
    </row>
    <row r="222" spans="1:30" x14ac:dyDescent="0.25">
      <c r="A222">
        <v>6440</v>
      </c>
      <c r="B222">
        <v>25210</v>
      </c>
      <c r="C222" s="4">
        <v>42800</v>
      </c>
      <c r="F222" s="42"/>
      <c r="G222">
        <v>6.7</v>
      </c>
      <c r="H222">
        <v>5.7</v>
      </c>
      <c r="I222">
        <v>8.3000000000000007</v>
      </c>
      <c r="J222">
        <f t="shared" si="23"/>
        <v>1416.5999999999992</v>
      </c>
      <c r="K222">
        <f t="shared" si="29"/>
        <v>226.19999999999996</v>
      </c>
      <c r="M222">
        <v>0.5</v>
      </c>
      <c r="N222">
        <v>0.9</v>
      </c>
      <c r="O222">
        <f t="shared" si="20"/>
        <v>-0.4</v>
      </c>
      <c r="P222">
        <f t="shared" si="25"/>
        <v>123.1</v>
      </c>
      <c r="Q222">
        <v>188</v>
      </c>
      <c r="R222">
        <f t="shared" si="27"/>
        <v>1.0915254237288134</v>
      </c>
      <c r="S222" s="18">
        <f t="shared" si="21"/>
        <v>0.98237288135593215</v>
      </c>
      <c r="T222" s="18">
        <f t="shared" si="22"/>
        <v>-0.48237288135593215</v>
      </c>
      <c r="U222" s="18">
        <f t="shared" si="26"/>
        <v>130.64434041249748</v>
      </c>
      <c r="W222">
        <v>656</v>
      </c>
      <c r="Y222">
        <f t="shared" si="24"/>
        <v>96148.499999999971</v>
      </c>
      <c r="Z222">
        <f t="shared" si="28"/>
        <v>12144.6</v>
      </c>
      <c r="AA222">
        <v>10.991306431738268</v>
      </c>
    </row>
    <row r="223" spans="1:30" x14ac:dyDescent="0.25">
      <c r="A223">
        <v>6440</v>
      </c>
      <c r="B223">
        <v>25210</v>
      </c>
      <c r="C223" s="4">
        <v>42801</v>
      </c>
      <c r="F223" s="42"/>
      <c r="G223">
        <v>5.8</v>
      </c>
      <c r="H223">
        <v>4.2</v>
      </c>
      <c r="I223">
        <v>8.6999999999999993</v>
      </c>
      <c r="J223">
        <f t="shared" si="23"/>
        <v>1422.3999999999992</v>
      </c>
      <c r="K223">
        <f t="shared" si="29"/>
        <v>231.99999999999997</v>
      </c>
      <c r="M223" s="54">
        <v>2.5</v>
      </c>
      <c r="N223">
        <v>1</v>
      </c>
      <c r="O223">
        <f t="shared" si="20"/>
        <v>1.5</v>
      </c>
      <c r="P223">
        <f t="shared" si="25"/>
        <v>124.6</v>
      </c>
      <c r="Q223">
        <v>189</v>
      </c>
      <c r="R223">
        <f t="shared" si="27"/>
        <v>1.0940677966101695</v>
      </c>
      <c r="S223" s="18">
        <f t="shared" si="21"/>
        <v>1.0940677966101695</v>
      </c>
      <c r="T223" s="18">
        <f t="shared" si="22"/>
        <v>1.4059322033898305</v>
      </c>
      <c r="U223" s="18">
        <f t="shared" si="26"/>
        <v>132.05027261588731</v>
      </c>
      <c r="W223">
        <v>631.20000000000005</v>
      </c>
      <c r="Y223">
        <f t="shared" si="24"/>
        <v>96779.699999999968</v>
      </c>
      <c r="Z223">
        <f t="shared" si="28"/>
        <v>12775.800000000001</v>
      </c>
      <c r="AA223">
        <v>11.053689379245807</v>
      </c>
      <c r="AC223" s="53" t="s">
        <v>63</v>
      </c>
    </row>
    <row r="224" spans="1:30" x14ac:dyDescent="0.25">
      <c r="A224">
        <v>6440</v>
      </c>
      <c r="B224">
        <v>25210</v>
      </c>
      <c r="C224" s="4">
        <v>42802</v>
      </c>
      <c r="F224" s="42"/>
      <c r="G224">
        <v>9.5</v>
      </c>
      <c r="H224">
        <v>3.6</v>
      </c>
      <c r="I224">
        <v>11.9</v>
      </c>
      <c r="J224">
        <f t="shared" si="23"/>
        <v>1431.8999999999992</v>
      </c>
      <c r="K224">
        <f t="shared" si="29"/>
        <v>241.49999999999997</v>
      </c>
      <c r="M224" s="54">
        <v>6</v>
      </c>
      <c r="N224">
        <v>0.3</v>
      </c>
      <c r="O224">
        <f t="shared" si="20"/>
        <v>5.7</v>
      </c>
      <c r="P224">
        <f t="shared" si="25"/>
        <v>130.29999999999998</v>
      </c>
      <c r="Q224">
        <v>190</v>
      </c>
      <c r="R224">
        <f t="shared" si="27"/>
        <v>1.0966101694915253</v>
      </c>
      <c r="S224" s="18">
        <f t="shared" si="21"/>
        <v>0.3289830508474576</v>
      </c>
      <c r="T224" s="18">
        <f t="shared" si="22"/>
        <v>5.6710169491525422</v>
      </c>
      <c r="U224" s="18">
        <f t="shared" si="26"/>
        <v>137.72128956503985</v>
      </c>
      <c r="W224">
        <v>205.2</v>
      </c>
      <c r="Y224">
        <f t="shared" si="24"/>
        <v>96984.899999999965</v>
      </c>
      <c r="Z224">
        <f t="shared" si="28"/>
        <v>12981.000000000002</v>
      </c>
      <c r="AA224">
        <v>11.116203465363792</v>
      </c>
      <c r="AC224" s="56">
        <f>AVERAGE(U230:U243)</f>
        <v>127.19889852387765</v>
      </c>
    </row>
    <row r="225" spans="1:29" x14ac:dyDescent="0.25">
      <c r="A225">
        <v>6440</v>
      </c>
      <c r="B225">
        <v>25210</v>
      </c>
      <c r="C225" s="4">
        <v>42803</v>
      </c>
      <c r="F225" s="42"/>
      <c r="G225">
        <v>11.3</v>
      </c>
      <c r="H225">
        <v>11</v>
      </c>
      <c r="I225">
        <v>12.6</v>
      </c>
      <c r="J225">
        <f t="shared" si="23"/>
        <v>1443.1999999999991</v>
      </c>
      <c r="K225">
        <f t="shared" si="29"/>
        <v>252.79999999999998</v>
      </c>
      <c r="M225" s="54">
        <v>1.2</v>
      </c>
      <c r="N225">
        <v>0.7</v>
      </c>
      <c r="O225">
        <f t="shared" si="20"/>
        <v>0.5</v>
      </c>
      <c r="P225">
        <f t="shared" si="25"/>
        <v>130.79999999999998</v>
      </c>
      <c r="Q225">
        <v>191</v>
      </c>
      <c r="R225">
        <f t="shared" si="27"/>
        <v>1.0991525423728814</v>
      </c>
      <c r="S225" s="18">
        <f t="shared" si="21"/>
        <v>0.76940677966101689</v>
      </c>
      <c r="T225" s="18">
        <f t="shared" si="22"/>
        <v>0.43059322033898306</v>
      </c>
      <c r="U225" s="18">
        <f t="shared" si="26"/>
        <v>138.15188278537883</v>
      </c>
      <c r="W225">
        <v>270.5</v>
      </c>
      <c r="Y225">
        <f t="shared" si="24"/>
        <v>97255.399999999965</v>
      </c>
      <c r="Z225">
        <f t="shared" si="28"/>
        <v>13251.500000000002</v>
      </c>
      <c r="AA225">
        <v>11.178838844132139</v>
      </c>
      <c r="AC225" s="53" t="s">
        <v>64</v>
      </c>
    </row>
    <row r="226" spans="1:29" x14ac:dyDescent="0.25">
      <c r="A226">
        <v>6440</v>
      </c>
      <c r="B226">
        <v>25210</v>
      </c>
      <c r="C226" s="4">
        <v>42804</v>
      </c>
      <c r="F226" s="42"/>
      <c r="G226">
        <v>7.9</v>
      </c>
      <c r="H226">
        <v>4.0999999999999996</v>
      </c>
      <c r="I226">
        <v>11.4</v>
      </c>
      <c r="J226">
        <f t="shared" si="23"/>
        <v>1451.0999999999992</v>
      </c>
      <c r="K226">
        <f t="shared" si="29"/>
        <v>260.7</v>
      </c>
      <c r="M226" s="54">
        <v>0.2</v>
      </c>
      <c r="N226">
        <v>1.3</v>
      </c>
      <c r="O226">
        <f t="shared" si="20"/>
        <v>-1.1000000000000001</v>
      </c>
      <c r="P226">
        <f t="shared" si="25"/>
        <v>129.69999999999999</v>
      </c>
      <c r="Q226">
        <v>192</v>
      </c>
      <c r="R226">
        <f t="shared" si="27"/>
        <v>1.1016949152542372</v>
      </c>
      <c r="S226" s="18">
        <f t="shared" si="21"/>
        <v>1.4322033898305084</v>
      </c>
      <c r="T226" s="18">
        <f t="shared" si="22"/>
        <v>-1.2322033898305085</v>
      </c>
      <c r="U226" s="18">
        <f t="shared" si="26"/>
        <v>136.91967939554831</v>
      </c>
      <c r="W226">
        <v>1061.8</v>
      </c>
      <c r="Y226">
        <f t="shared" si="24"/>
        <v>98317.199999999968</v>
      </c>
      <c r="Z226">
        <f t="shared" si="28"/>
        <v>14313.300000000001</v>
      </c>
      <c r="AA226">
        <v>11.241585896380904</v>
      </c>
      <c r="AC226" s="53">
        <v>4</v>
      </c>
    </row>
    <row r="227" spans="1:29" x14ac:dyDescent="0.25">
      <c r="A227">
        <v>6440</v>
      </c>
      <c r="B227">
        <v>25210</v>
      </c>
      <c r="C227" s="4">
        <v>42805</v>
      </c>
      <c r="F227" s="42"/>
      <c r="G227">
        <v>7.6</v>
      </c>
      <c r="H227">
        <v>2.2999999999999998</v>
      </c>
      <c r="I227">
        <v>12.5</v>
      </c>
      <c r="J227">
        <f t="shared" si="23"/>
        <v>1458.6999999999991</v>
      </c>
      <c r="K227">
        <f t="shared" si="29"/>
        <v>268.3</v>
      </c>
      <c r="M227" s="54">
        <v>0</v>
      </c>
      <c r="N227">
        <v>1.5</v>
      </c>
      <c r="O227">
        <f t="shared" si="20"/>
        <v>-1.5</v>
      </c>
      <c r="P227">
        <f t="shared" si="25"/>
        <v>128.19999999999999</v>
      </c>
      <c r="Q227">
        <v>193</v>
      </c>
      <c r="R227">
        <f t="shared" si="27"/>
        <v>1.1042372881355931</v>
      </c>
      <c r="S227" s="18">
        <f t="shared" si="21"/>
        <v>1.6563559322033896</v>
      </c>
      <c r="T227" s="18">
        <f t="shared" si="22"/>
        <v>-1.6563559322033896</v>
      </c>
      <c r="U227" s="18">
        <f t="shared" si="26"/>
        <v>135.26332346334493</v>
      </c>
      <c r="W227">
        <v>1110.7</v>
      </c>
      <c r="Y227">
        <f t="shared" si="24"/>
        <v>99427.899999999965</v>
      </c>
      <c r="Z227">
        <f t="shared" si="28"/>
        <v>15424.000000000002</v>
      </c>
      <c r="AA227">
        <v>11.304435214096731</v>
      </c>
      <c r="AC227" s="53" t="s">
        <v>65</v>
      </c>
    </row>
    <row r="228" spans="1:29" x14ac:dyDescent="0.25">
      <c r="A228">
        <v>6440</v>
      </c>
      <c r="B228">
        <v>25210</v>
      </c>
      <c r="C228" s="4">
        <v>42806</v>
      </c>
      <c r="F228" s="42"/>
      <c r="G228">
        <v>8.6999999999999993</v>
      </c>
      <c r="H228">
        <v>3.7</v>
      </c>
      <c r="I228">
        <v>13</v>
      </c>
      <c r="J228">
        <f t="shared" si="23"/>
        <v>1467.3999999999992</v>
      </c>
      <c r="K228">
        <f t="shared" si="29"/>
        <v>277</v>
      </c>
      <c r="M228" s="54">
        <v>0.1</v>
      </c>
      <c r="N228">
        <v>1.5</v>
      </c>
      <c r="O228">
        <f t="shared" ref="O228:O291" si="30">M228-N228</f>
        <v>-1.4</v>
      </c>
      <c r="P228">
        <f t="shared" si="25"/>
        <v>126.79999999999998</v>
      </c>
      <c r="Q228">
        <v>194</v>
      </c>
      <c r="R228">
        <f t="shared" si="27"/>
        <v>1.1067796610169491</v>
      </c>
      <c r="S228" s="18">
        <f t="shared" ref="S228:S291" si="31">R228*N228</f>
        <v>1.6601694915254237</v>
      </c>
      <c r="T228" s="18">
        <f t="shared" ref="T228:T291" si="32">M228-S228</f>
        <v>-1.5601694915254236</v>
      </c>
      <c r="U228" s="18">
        <f t="shared" si="26"/>
        <v>133.70315397181952</v>
      </c>
      <c r="W228">
        <v>1100.0999999999999</v>
      </c>
      <c r="Y228">
        <f t="shared" si="24"/>
        <v>100527.99999999997</v>
      </c>
      <c r="Z228">
        <f t="shared" si="28"/>
        <v>16524.100000000002</v>
      </c>
      <c r="AA228">
        <v>11.367377584647341</v>
      </c>
      <c r="AC228" s="53">
        <v>6</v>
      </c>
    </row>
    <row r="229" spans="1:29" x14ac:dyDescent="0.25">
      <c r="A229">
        <v>6440</v>
      </c>
      <c r="B229">
        <v>25210</v>
      </c>
      <c r="C229" s="4">
        <v>42807</v>
      </c>
      <c r="F229" s="42"/>
      <c r="G229">
        <v>8.1</v>
      </c>
      <c r="H229">
        <v>4.5999999999999996</v>
      </c>
      <c r="I229">
        <v>11.9</v>
      </c>
      <c r="J229">
        <f t="shared" ref="J229:J292" si="33">J228+G229</f>
        <v>1475.4999999999991</v>
      </c>
      <c r="K229">
        <f t="shared" si="29"/>
        <v>285.10000000000002</v>
      </c>
      <c r="M229" s="54">
        <v>0</v>
      </c>
      <c r="N229">
        <v>0.9</v>
      </c>
      <c r="O229">
        <f t="shared" si="30"/>
        <v>-0.9</v>
      </c>
      <c r="P229">
        <f t="shared" si="25"/>
        <v>125.89999999999998</v>
      </c>
      <c r="Q229">
        <v>195</v>
      </c>
      <c r="R229">
        <f t="shared" si="27"/>
        <v>1.109322033898305</v>
      </c>
      <c r="S229" s="18">
        <f t="shared" si="31"/>
        <v>0.99838983050847452</v>
      </c>
      <c r="T229" s="18">
        <f t="shared" si="32"/>
        <v>-0.99838983050847452</v>
      </c>
      <c r="U229" s="18">
        <f t="shared" si="26"/>
        <v>132.70476414131105</v>
      </c>
      <c r="W229">
        <v>600.1</v>
      </c>
      <c r="Y229">
        <f t="shared" ref="Y229:Y292" si="34">Y228+W229</f>
        <v>101128.09999999998</v>
      </c>
      <c r="Z229">
        <f t="shared" si="28"/>
        <v>17124.2</v>
      </c>
      <c r="AA229">
        <v>11.430403974881282</v>
      </c>
      <c r="AC229" s="53" t="s">
        <v>66</v>
      </c>
    </row>
    <row r="230" spans="1:29" x14ac:dyDescent="0.25">
      <c r="A230">
        <v>6440</v>
      </c>
      <c r="B230">
        <v>25210</v>
      </c>
      <c r="C230" s="4">
        <v>42808</v>
      </c>
      <c r="F230" s="42"/>
      <c r="G230">
        <v>7.8</v>
      </c>
      <c r="H230">
        <v>1.6</v>
      </c>
      <c r="I230">
        <v>12.3</v>
      </c>
      <c r="J230">
        <f t="shared" si="33"/>
        <v>1483.299999999999</v>
      </c>
      <c r="K230">
        <f t="shared" si="29"/>
        <v>292.90000000000003</v>
      </c>
      <c r="M230" s="54">
        <v>0</v>
      </c>
      <c r="N230">
        <v>0.5</v>
      </c>
      <c r="O230">
        <f t="shared" si="30"/>
        <v>-0.5</v>
      </c>
      <c r="P230">
        <f t="shared" ref="P230:P293" si="35">P229+O230</f>
        <v>125.39999999999998</v>
      </c>
      <c r="Q230">
        <v>196</v>
      </c>
      <c r="R230">
        <f t="shared" si="27"/>
        <v>1.111864406779661</v>
      </c>
      <c r="S230" s="18">
        <f t="shared" si="31"/>
        <v>0.55593220338983051</v>
      </c>
      <c r="T230" s="18">
        <f t="shared" si="32"/>
        <v>-0.55593220338983051</v>
      </c>
      <c r="U230" s="55">
        <f t="shared" si="26"/>
        <v>132.14883193792122</v>
      </c>
      <c r="W230">
        <v>473.6</v>
      </c>
      <c r="Y230">
        <f t="shared" si="34"/>
        <v>101601.69999999998</v>
      </c>
      <c r="Z230">
        <f t="shared" si="28"/>
        <v>17597.8</v>
      </c>
      <c r="AA230">
        <v>11.493505515118555</v>
      </c>
      <c r="AC230" s="53">
        <v>0</v>
      </c>
    </row>
    <row r="231" spans="1:29" x14ac:dyDescent="0.25">
      <c r="A231">
        <v>6440</v>
      </c>
      <c r="B231">
        <v>25210</v>
      </c>
      <c r="C231" s="4">
        <v>42809</v>
      </c>
      <c r="F231" s="42"/>
      <c r="G231">
        <v>11.3</v>
      </c>
      <c r="H231">
        <v>8.9</v>
      </c>
      <c r="I231">
        <v>15.2</v>
      </c>
      <c r="J231">
        <f t="shared" si="33"/>
        <v>1494.599999999999</v>
      </c>
      <c r="K231">
        <f t="shared" si="29"/>
        <v>304.20000000000005</v>
      </c>
      <c r="M231" s="54">
        <v>0</v>
      </c>
      <c r="N231">
        <v>1.5</v>
      </c>
      <c r="O231">
        <f t="shared" si="30"/>
        <v>-1.5</v>
      </c>
      <c r="P231">
        <f t="shared" si="35"/>
        <v>123.89999999999998</v>
      </c>
      <c r="Q231">
        <v>197</v>
      </c>
      <c r="R231">
        <f t="shared" si="27"/>
        <v>1.1144067796610169</v>
      </c>
      <c r="S231" s="18">
        <f t="shared" si="31"/>
        <v>1.6716101694915253</v>
      </c>
      <c r="T231" s="18">
        <f t="shared" si="32"/>
        <v>-1.6716101694915253</v>
      </c>
      <c r="U231" s="55">
        <f t="shared" ref="U231:U294" si="36">U230+T231</f>
        <v>130.4772217684297</v>
      </c>
      <c r="W231">
        <v>952.9</v>
      </c>
      <c r="Y231">
        <f t="shared" si="34"/>
        <v>102554.59999999998</v>
      </c>
      <c r="Z231">
        <f t="shared" si="28"/>
        <v>18550.7</v>
      </c>
      <c r="AA231">
        <v>11.556673483046453</v>
      </c>
      <c r="AC231" s="53" t="s">
        <v>67</v>
      </c>
    </row>
    <row r="232" spans="1:29" x14ac:dyDescent="0.25">
      <c r="A232">
        <v>6440</v>
      </c>
      <c r="B232">
        <v>25210</v>
      </c>
      <c r="C232" s="4">
        <v>42810</v>
      </c>
      <c r="F232" s="42"/>
      <c r="G232">
        <v>10.5</v>
      </c>
      <c r="H232">
        <v>3.6</v>
      </c>
      <c r="I232">
        <v>16.600000000000001</v>
      </c>
      <c r="J232">
        <f t="shared" si="33"/>
        <v>1505.099999999999</v>
      </c>
      <c r="K232">
        <f t="shared" si="29"/>
        <v>314.70000000000005</v>
      </c>
      <c r="M232" s="54">
        <v>0</v>
      </c>
      <c r="N232">
        <v>2.4</v>
      </c>
      <c r="O232">
        <f t="shared" si="30"/>
        <v>-2.4</v>
      </c>
      <c r="P232">
        <f t="shared" si="35"/>
        <v>121.49999999999997</v>
      </c>
      <c r="Q232">
        <v>198</v>
      </c>
      <c r="R232">
        <f t="shared" si="27"/>
        <v>1.1169491525423729</v>
      </c>
      <c r="S232" s="18">
        <f t="shared" si="31"/>
        <v>2.6806779661016948</v>
      </c>
      <c r="T232" s="18">
        <f t="shared" si="32"/>
        <v>-2.6806779661016948</v>
      </c>
      <c r="U232" s="55">
        <f t="shared" si="36"/>
        <v>127.796543802328</v>
      </c>
      <c r="W232">
        <v>1578.8</v>
      </c>
      <c r="Y232">
        <f t="shared" si="34"/>
        <v>104133.39999999998</v>
      </c>
      <c r="Z232">
        <f t="shared" si="28"/>
        <v>20129.5</v>
      </c>
      <c r="AA232">
        <v>11.619899287533585</v>
      </c>
      <c r="AC232">
        <f>SUM(M234:M243)</f>
        <v>7.6</v>
      </c>
    </row>
    <row r="233" spans="1:29" s="50" customFormat="1" x14ac:dyDescent="0.25">
      <c r="A233" s="50">
        <v>6440</v>
      </c>
      <c r="B233" s="50">
        <v>25210</v>
      </c>
      <c r="C233" s="51">
        <v>42811</v>
      </c>
      <c r="D233" s="50" t="s">
        <v>61</v>
      </c>
      <c r="F233" s="42"/>
      <c r="G233" s="50">
        <v>8.8000000000000007</v>
      </c>
      <c r="H233" s="50">
        <v>7.9</v>
      </c>
      <c r="I233" s="50">
        <v>11.3</v>
      </c>
      <c r="J233" s="50">
        <f t="shared" si="33"/>
        <v>1513.899999999999</v>
      </c>
      <c r="K233" s="50">
        <f t="shared" si="29"/>
        <v>323.50000000000006</v>
      </c>
      <c r="M233" s="50">
        <v>1.5</v>
      </c>
      <c r="N233" s="50">
        <v>1.6</v>
      </c>
      <c r="O233" s="50">
        <f t="shared" si="30"/>
        <v>-0.10000000000000009</v>
      </c>
      <c r="P233" s="50">
        <f t="shared" si="35"/>
        <v>121.39999999999998</v>
      </c>
      <c r="Q233" s="50">
        <v>199</v>
      </c>
      <c r="R233" s="50">
        <f t="shared" si="27"/>
        <v>1.1194915254237288</v>
      </c>
      <c r="S233" s="52">
        <f t="shared" si="31"/>
        <v>1.7911864406779661</v>
      </c>
      <c r="T233" s="52">
        <f t="shared" si="32"/>
        <v>-0.29118644067796606</v>
      </c>
      <c r="U233" s="52">
        <f t="shared" si="36"/>
        <v>127.50535736165004</v>
      </c>
      <c r="W233" s="50">
        <v>595</v>
      </c>
      <c r="Y233" s="50">
        <f t="shared" si="34"/>
        <v>104728.39999999998</v>
      </c>
      <c r="Z233" s="50">
        <f t="shared" si="28"/>
        <v>20724.5</v>
      </c>
      <c r="AA233" s="50">
        <v>11.68317445237402</v>
      </c>
    </row>
    <row r="234" spans="1:29" x14ac:dyDescent="0.25">
      <c r="A234">
        <v>6440</v>
      </c>
      <c r="B234">
        <v>25210</v>
      </c>
      <c r="C234" s="4">
        <v>42812</v>
      </c>
      <c r="F234" s="42"/>
      <c r="G234">
        <v>10.4</v>
      </c>
      <c r="H234">
        <v>7.2</v>
      </c>
      <c r="I234">
        <v>11.9</v>
      </c>
      <c r="J234">
        <f t="shared" si="33"/>
        <v>1524.299999999999</v>
      </c>
      <c r="K234">
        <f t="shared" si="29"/>
        <v>333.90000000000003</v>
      </c>
      <c r="M234" s="54">
        <v>5.3</v>
      </c>
      <c r="N234">
        <v>0.4</v>
      </c>
      <c r="O234">
        <f t="shared" si="30"/>
        <v>4.8999999999999995</v>
      </c>
      <c r="P234">
        <f t="shared" si="35"/>
        <v>126.29999999999998</v>
      </c>
      <c r="Q234">
        <v>200</v>
      </c>
      <c r="R234">
        <f t="shared" si="27"/>
        <v>1.1220338983050846</v>
      </c>
      <c r="S234" s="18">
        <f t="shared" si="31"/>
        <v>0.44881355932203387</v>
      </c>
      <c r="T234" s="18">
        <f t="shared" si="32"/>
        <v>4.8511864406779663</v>
      </c>
      <c r="U234" s="55">
        <f t="shared" si="36"/>
        <v>132.35654380232802</v>
      </c>
      <c r="W234">
        <v>272</v>
      </c>
      <c r="Y234">
        <f t="shared" si="34"/>
        <v>105000.39999999998</v>
      </c>
      <c r="Z234">
        <f t="shared" si="28"/>
        <v>20996.5</v>
      </c>
      <c r="AA234">
        <v>11.746490599972464</v>
      </c>
    </row>
    <row r="235" spans="1:29" x14ac:dyDescent="0.25">
      <c r="A235">
        <v>6440</v>
      </c>
      <c r="B235">
        <v>25210</v>
      </c>
      <c r="C235" s="4">
        <v>42813</v>
      </c>
      <c r="F235" s="42"/>
      <c r="G235">
        <v>11.1</v>
      </c>
      <c r="H235">
        <v>10.8</v>
      </c>
      <c r="I235">
        <v>12</v>
      </c>
      <c r="J235">
        <f t="shared" si="33"/>
        <v>1535.399999999999</v>
      </c>
      <c r="K235">
        <f t="shared" si="29"/>
        <v>345.00000000000006</v>
      </c>
      <c r="M235" s="54">
        <v>0</v>
      </c>
      <c r="N235">
        <v>1.2</v>
      </c>
      <c r="O235">
        <f t="shared" si="30"/>
        <v>-1.2</v>
      </c>
      <c r="P235">
        <f t="shared" si="35"/>
        <v>125.09999999999998</v>
      </c>
      <c r="Q235">
        <v>201</v>
      </c>
      <c r="R235">
        <f t="shared" si="27"/>
        <v>1.1245762711864407</v>
      </c>
      <c r="S235" s="18">
        <f t="shared" si="31"/>
        <v>1.3494915254237287</v>
      </c>
      <c r="T235" s="18">
        <f t="shared" si="32"/>
        <v>-1.3494915254237287</v>
      </c>
      <c r="U235" s="55">
        <f t="shared" si="36"/>
        <v>131.00705227690429</v>
      </c>
      <c r="W235">
        <v>337.7</v>
      </c>
      <c r="Y235">
        <f t="shared" si="34"/>
        <v>105338.09999999998</v>
      </c>
      <c r="Z235">
        <f t="shared" si="28"/>
        <v>21334.2</v>
      </c>
      <c r="AA235">
        <v>11.809839434980484</v>
      </c>
    </row>
    <row r="236" spans="1:29" x14ac:dyDescent="0.25">
      <c r="A236">
        <v>6440</v>
      </c>
      <c r="B236">
        <v>25210</v>
      </c>
      <c r="C236" s="4">
        <v>42814</v>
      </c>
      <c r="F236" s="42"/>
      <c r="G236">
        <v>10.4</v>
      </c>
      <c r="H236">
        <v>9.3000000000000007</v>
      </c>
      <c r="I236">
        <v>11.5</v>
      </c>
      <c r="J236">
        <f t="shared" si="33"/>
        <v>1545.799999999999</v>
      </c>
      <c r="K236">
        <f t="shared" si="29"/>
        <v>355.40000000000003</v>
      </c>
      <c r="M236" s="54">
        <v>0.8</v>
      </c>
      <c r="N236">
        <v>1.3</v>
      </c>
      <c r="O236">
        <f t="shared" si="30"/>
        <v>-0.5</v>
      </c>
      <c r="P236">
        <f t="shared" si="35"/>
        <v>124.59999999999998</v>
      </c>
      <c r="Q236">
        <v>202</v>
      </c>
      <c r="R236">
        <f t="shared" si="27"/>
        <v>1.1271186440677965</v>
      </c>
      <c r="S236" s="18">
        <f t="shared" si="31"/>
        <v>1.4652542372881354</v>
      </c>
      <c r="T236" s="18">
        <f t="shared" si="32"/>
        <v>-0.66525423728813537</v>
      </c>
      <c r="U236" s="55">
        <f t="shared" si="36"/>
        <v>130.34179803961615</v>
      </c>
      <c r="W236">
        <v>208.4</v>
      </c>
      <c r="Y236">
        <f t="shared" si="34"/>
        <v>105546.49999999997</v>
      </c>
      <c r="Z236">
        <f t="shared" si="28"/>
        <v>21542.600000000002</v>
      </c>
      <c r="AA236">
        <v>11.873212727893081</v>
      </c>
    </row>
    <row r="237" spans="1:29" x14ac:dyDescent="0.25">
      <c r="A237">
        <v>6440</v>
      </c>
      <c r="B237">
        <v>25210</v>
      </c>
      <c r="C237" s="4">
        <v>42815</v>
      </c>
      <c r="F237" s="42"/>
      <c r="G237">
        <v>7.2</v>
      </c>
      <c r="H237">
        <v>7</v>
      </c>
      <c r="I237">
        <v>8.9</v>
      </c>
      <c r="J237">
        <f t="shared" si="33"/>
        <v>1552.9999999999991</v>
      </c>
      <c r="K237">
        <f t="shared" si="29"/>
        <v>362.6</v>
      </c>
      <c r="M237" s="54">
        <v>0.2</v>
      </c>
      <c r="N237">
        <v>1.1000000000000001</v>
      </c>
      <c r="O237">
        <f t="shared" si="30"/>
        <v>-0.90000000000000013</v>
      </c>
      <c r="P237">
        <f t="shared" si="35"/>
        <v>123.69999999999997</v>
      </c>
      <c r="Q237">
        <v>203</v>
      </c>
      <c r="R237">
        <f t="shared" si="27"/>
        <v>1.1296610169491526</v>
      </c>
      <c r="S237" s="18">
        <f t="shared" si="31"/>
        <v>1.2426271186440678</v>
      </c>
      <c r="T237" s="18">
        <f t="shared" si="32"/>
        <v>-1.0426271186440679</v>
      </c>
      <c r="U237" s="55">
        <f t="shared" si="36"/>
        <v>129.29917092097207</v>
      </c>
      <c r="W237">
        <v>615.79999999999995</v>
      </c>
      <c r="Y237">
        <f t="shared" si="34"/>
        <v>106162.29999999997</v>
      </c>
      <c r="Z237">
        <f t="shared" si="28"/>
        <v>22158.400000000001</v>
      </c>
      <c r="AA237">
        <v>11.936602298614293</v>
      </c>
    </row>
    <row r="238" spans="1:29" x14ac:dyDescent="0.25">
      <c r="A238">
        <v>6440</v>
      </c>
      <c r="B238">
        <v>25210</v>
      </c>
      <c r="C238" s="4">
        <v>42816</v>
      </c>
      <c r="F238" s="42"/>
      <c r="G238">
        <v>6.7</v>
      </c>
      <c r="H238">
        <v>2.1</v>
      </c>
      <c r="I238">
        <v>10.6</v>
      </c>
      <c r="J238">
        <f t="shared" si="33"/>
        <v>1559.6999999999991</v>
      </c>
      <c r="K238">
        <f t="shared" si="29"/>
        <v>369.3</v>
      </c>
      <c r="M238" s="54">
        <v>0</v>
      </c>
      <c r="N238">
        <v>1.1000000000000001</v>
      </c>
      <c r="O238">
        <f t="shared" si="30"/>
        <v>-1.1000000000000001</v>
      </c>
      <c r="P238">
        <f t="shared" si="35"/>
        <v>122.59999999999998</v>
      </c>
      <c r="Q238">
        <v>204</v>
      </c>
      <c r="R238">
        <f t="shared" si="27"/>
        <v>1.1322033898305084</v>
      </c>
      <c r="S238" s="18">
        <f t="shared" si="31"/>
        <v>1.2454237288135592</v>
      </c>
      <c r="T238" s="18">
        <f t="shared" si="32"/>
        <v>-1.2454237288135592</v>
      </c>
      <c r="U238" s="55">
        <f t="shared" si="36"/>
        <v>128.05374719215851</v>
      </c>
      <c r="W238">
        <v>572</v>
      </c>
      <c r="Y238">
        <f t="shared" si="34"/>
        <v>106734.29999999997</v>
      </c>
      <c r="Z238">
        <f t="shared" si="28"/>
        <v>22730.400000000001</v>
      </c>
      <c r="AA238">
        <v>12</v>
      </c>
    </row>
    <row r="239" spans="1:29" x14ac:dyDescent="0.25">
      <c r="A239">
        <v>6440</v>
      </c>
      <c r="B239">
        <v>25210</v>
      </c>
      <c r="C239" s="4">
        <v>42817</v>
      </c>
      <c r="F239" s="42"/>
      <c r="G239">
        <v>9</v>
      </c>
      <c r="H239">
        <v>3.9</v>
      </c>
      <c r="I239">
        <v>12.5</v>
      </c>
      <c r="J239">
        <f t="shared" si="33"/>
        <v>1568.6999999999991</v>
      </c>
      <c r="K239">
        <f t="shared" si="29"/>
        <v>378.3</v>
      </c>
      <c r="M239" s="54">
        <v>1.3</v>
      </c>
      <c r="N239">
        <v>1.4</v>
      </c>
      <c r="O239">
        <f t="shared" si="30"/>
        <v>-9.9999999999999867E-2</v>
      </c>
      <c r="P239">
        <f t="shared" si="35"/>
        <v>122.49999999999999</v>
      </c>
      <c r="Q239">
        <v>205</v>
      </c>
      <c r="R239">
        <f t="shared" si="27"/>
        <v>1.1347457627118644</v>
      </c>
      <c r="S239" s="18">
        <f t="shared" si="31"/>
        <v>1.58864406779661</v>
      </c>
      <c r="T239" s="18">
        <f t="shared" si="32"/>
        <v>-0.28864406779661</v>
      </c>
      <c r="U239" s="55">
        <f t="shared" si="36"/>
        <v>127.7651031243619</v>
      </c>
      <c r="W239">
        <v>1201.8</v>
      </c>
      <c r="Y239">
        <f t="shared" si="34"/>
        <v>107936.09999999998</v>
      </c>
      <c r="Z239">
        <f t="shared" si="28"/>
        <v>23932.2</v>
      </c>
      <c r="AA239">
        <v>12.063397701385705</v>
      </c>
    </row>
    <row r="240" spans="1:29" x14ac:dyDescent="0.25">
      <c r="A240">
        <v>6440</v>
      </c>
      <c r="B240">
        <v>25210</v>
      </c>
      <c r="C240" s="4">
        <v>42818</v>
      </c>
      <c r="F240" s="42"/>
      <c r="G240">
        <v>10.1</v>
      </c>
      <c r="H240">
        <v>7.8</v>
      </c>
      <c r="I240">
        <v>12.8</v>
      </c>
      <c r="J240">
        <f t="shared" si="33"/>
        <v>1578.799999999999</v>
      </c>
      <c r="K240">
        <f t="shared" si="29"/>
        <v>388.40000000000003</v>
      </c>
      <c r="M240" s="54">
        <v>0</v>
      </c>
      <c r="N240">
        <v>1.6</v>
      </c>
      <c r="O240">
        <f t="shared" si="30"/>
        <v>-1.6</v>
      </c>
      <c r="P240">
        <f t="shared" si="35"/>
        <v>120.89999999999999</v>
      </c>
      <c r="Q240">
        <v>206</v>
      </c>
      <c r="R240">
        <f t="shared" si="27"/>
        <v>1.1372881355932203</v>
      </c>
      <c r="S240" s="18">
        <f t="shared" si="31"/>
        <v>1.8196610169491525</v>
      </c>
      <c r="T240" s="18">
        <f t="shared" si="32"/>
        <v>-1.8196610169491525</v>
      </c>
      <c r="U240" s="55">
        <f t="shared" si="36"/>
        <v>125.94544210741275</v>
      </c>
      <c r="W240">
        <v>1062.3</v>
      </c>
      <c r="Y240">
        <f t="shared" si="34"/>
        <v>108998.39999999998</v>
      </c>
      <c r="Z240">
        <f t="shared" si="28"/>
        <v>24994.5</v>
      </c>
      <c r="AA240">
        <v>12.126787272106919</v>
      </c>
    </row>
    <row r="241" spans="1:28" x14ac:dyDescent="0.25">
      <c r="A241">
        <v>6440</v>
      </c>
      <c r="B241">
        <v>25210</v>
      </c>
      <c r="C241" s="4">
        <v>42819</v>
      </c>
      <c r="F241" s="42"/>
      <c r="G241">
        <v>9.9</v>
      </c>
      <c r="H241">
        <v>4.5999999999999996</v>
      </c>
      <c r="I241">
        <v>14</v>
      </c>
      <c r="J241">
        <f t="shared" si="33"/>
        <v>1588.6999999999991</v>
      </c>
      <c r="K241">
        <f t="shared" si="29"/>
        <v>398.3</v>
      </c>
      <c r="M241" s="54">
        <v>0</v>
      </c>
      <c r="N241">
        <v>2.8</v>
      </c>
      <c r="O241">
        <f t="shared" si="30"/>
        <v>-2.8</v>
      </c>
      <c r="P241">
        <f t="shared" si="35"/>
        <v>118.1</v>
      </c>
      <c r="Q241">
        <v>207</v>
      </c>
      <c r="R241">
        <f t="shared" si="27"/>
        <v>1.1398305084745761</v>
      </c>
      <c r="S241" s="18">
        <f t="shared" si="31"/>
        <v>3.1915254237288129</v>
      </c>
      <c r="T241" s="18">
        <f t="shared" si="32"/>
        <v>-3.1915254237288129</v>
      </c>
      <c r="U241" s="55">
        <f t="shared" si="36"/>
        <v>122.75391668368393</v>
      </c>
      <c r="W241">
        <v>1621.5</v>
      </c>
      <c r="Y241">
        <f t="shared" si="34"/>
        <v>110619.89999999998</v>
      </c>
      <c r="Z241">
        <f t="shared" si="28"/>
        <v>26616</v>
      </c>
      <c r="AA241">
        <v>12.190160565019514</v>
      </c>
    </row>
    <row r="242" spans="1:28" x14ac:dyDescent="0.25">
      <c r="A242">
        <v>6440</v>
      </c>
      <c r="B242">
        <v>25210</v>
      </c>
      <c r="C242" s="4">
        <v>42820</v>
      </c>
      <c r="F242" s="42"/>
      <c r="G242">
        <v>10.5</v>
      </c>
      <c r="H242">
        <v>5.4</v>
      </c>
      <c r="I242">
        <v>15.4</v>
      </c>
      <c r="J242">
        <f t="shared" si="33"/>
        <v>1599.1999999999991</v>
      </c>
      <c r="K242">
        <f t="shared" si="29"/>
        <v>408.8</v>
      </c>
      <c r="M242" s="54">
        <v>0</v>
      </c>
      <c r="N242">
        <v>3.1</v>
      </c>
      <c r="O242">
        <f t="shared" si="30"/>
        <v>-3.1</v>
      </c>
      <c r="P242">
        <f t="shared" si="35"/>
        <v>115</v>
      </c>
      <c r="Q242">
        <v>208</v>
      </c>
      <c r="R242">
        <f t="shared" si="27"/>
        <v>1.1423728813559322</v>
      </c>
      <c r="S242" s="18">
        <f t="shared" si="31"/>
        <v>3.5413559322033898</v>
      </c>
      <c r="T242" s="18">
        <f t="shared" si="32"/>
        <v>-3.5413559322033898</v>
      </c>
      <c r="U242" s="55">
        <f t="shared" si="36"/>
        <v>119.21256075148054</v>
      </c>
      <c r="W242">
        <v>1803.8</v>
      </c>
      <c r="Y242">
        <f t="shared" si="34"/>
        <v>112423.69999999998</v>
      </c>
      <c r="Z242">
        <f t="shared" si="28"/>
        <v>28419.8</v>
      </c>
      <c r="AA242">
        <v>12.253509400027534</v>
      </c>
    </row>
    <row r="243" spans="1:28" x14ac:dyDescent="0.25">
      <c r="A243">
        <v>6440</v>
      </c>
      <c r="B243">
        <v>25210</v>
      </c>
      <c r="C243" s="4">
        <v>42821</v>
      </c>
      <c r="F243" s="42"/>
      <c r="G243">
        <v>9.6</v>
      </c>
      <c r="H243">
        <v>3.2</v>
      </c>
      <c r="I243">
        <v>16.100000000000001</v>
      </c>
      <c r="J243">
        <f t="shared" si="33"/>
        <v>1608.799999999999</v>
      </c>
      <c r="K243">
        <f t="shared" si="29"/>
        <v>418.40000000000003</v>
      </c>
      <c r="M243" s="54">
        <v>0</v>
      </c>
      <c r="N243">
        <v>2.7</v>
      </c>
      <c r="O243">
        <f t="shared" si="30"/>
        <v>-2.7</v>
      </c>
      <c r="P243">
        <f t="shared" si="35"/>
        <v>112.3</v>
      </c>
      <c r="Q243">
        <v>209</v>
      </c>
      <c r="R243">
        <f t="shared" si="27"/>
        <v>1.144915254237288</v>
      </c>
      <c r="S243" s="18">
        <f t="shared" si="31"/>
        <v>3.0912711864406779</v>
      </c>
      <c r="T243" s="18">
        <f t="shared" si="32"/>
        <v>-3.0912711864406779</v>
      </c>
      <c r="U243" s="55">
        <f t="shared" si="36"/>
        <v>116.12128956503986</v>
      </c>
      <c r="W243">
        <v>1775.5</v>
      </c>
      <c r="Y243">
        <f t="shared" si="34"/>
        <v>114199.19999999998</v>
      </c>
      <c r="Z243">
        <f t="shared" si="28"/>
        <v>30195.3</v>
      </c>
      <c r="AA243">
        <v>12.316825547625978</v>
      </c>
    </row>
    <row r="244" spans="1:28" x14ac:dyDescent="0.25">
      <c r="A244">
        <v>6440</v>
      </c>
      <c r="B244">
        <v>25210</v>
      </c>
      <c r="C244" s="4">
        <v>42822</v>
      </c>
      <c r="F244" s="42"/>
      <c r="G244">
        <v>10.199999999999999</v>
      </c>
      <c r="H244">
        <v>4.4000000000000004</v>
      </c>
      <c r="I244">
        <v>16.100000000000001</v>
      </c>
      <c r="J244">
        <f t="shared" si="33"/>
        <v>1618.9999999999991</v>
      </c>
      <c r="K244">
        <f t="shared" si="29"/>
        <v>428.6</v>
      </c>
      <c r="M244">
        <v>0</v>
      </c>
      <c r="N244">
        <v>2.1</v>
      </c>
      <c r="O244">
        <f t="shared" si="30"/>
        <v>-2.1</v>
      </c>
      <c r="P244">
        <f t="shared" si="35"/>
        <v>110.2</v>
      </c>
      <c r="Q244">
        <v>210</v>
      </c>
      <c r="R244">
        <f t="shared" si="27"/>
        <v>1.1474576271186441</v>
      </c>
      <c r="S244" s="18">
        <f t="shared" si="31"/>
        <v>2.4096610169491526</v>
      </c>
      <c r="T244" s="18">
        <f t="shared" si="32"/>
        <v>-2.4096610169491526</v>
      </c>
      <c r="U244" s="18">
        <f t="shared" si="36"/>
        <v>113.7116285480907</v>
      </c>
      <c r="W244">
        <v>1230.4000000000001</v>
      </c>
      <c r="Y244">
        <f t="shared" si="34"/>
        <v>115429.59999999998</v>
      </c>
      <c r="Z244">
        <f t="shared" si="28"/>
        <v>31425.7</v>
      </c>
      <c r="AA244">
        <v>12.380100712466414</v>
      </c>
    </row>
    <row r="245" spans="1:28" s="26" customFormat="1" ht="15.75" thickBot="1" x14ac:dyDescent="0.3">
      <c r="A245" s="26">
        <v>6440</v>
      </c>
      <c r="B245" s="26">
        <v>25210</v>
      </c>
      <c r="C245" s="27">
        <v>42823</v>
      </c>
      <c r="F245" s="42"/>
      <c r="G245" s="26">
        <v>12.3</v>
      </c>
      <c r="H245" s="26">
        <v>7.8</v>
      </c>
      <c r="I245" s="26">
        <v>16.399999999999999</v>
      </c>
      <c r="J245" s="26">
        <f t="shared" si="33"/>
        <v>1631.299999999999</v>
      </c>
      <c r="K245" s="26">
        <f t="shared" si="29"/>
        <v>440.90000000000003</v>
      </c>
      <c r="M245" s="26">
        <v>0</v>
      </c>
      <c r="N245" s="26">
        <v>1.4</v>
      </c>
      <c r="O245" s="26">
        <f t="shared" si="30"/>
        <v>-1.4</v>
      </c>
      <c r="P245" s="26">
        <f t="shared" si="35"/>
        <v>108.8</v>
      </c>
      <c r="Q245" s="26">
        <v>211</v>
      </c>
      <c r="R245">
        <f t="shared" si="27"/>
        <v>1.1499999999999999</v>
      </c>
      <c r="S245" s="28">
        <f t="shared" si="31"/>
        <v>1.6099999999999999</v>
      </c>
      <c r="T245" s="28">
        <f t="shared" si="32"/>
        <v>-1.6099999999999999</v>
      </c>
      <c r="U245" s="18">
        <f t="shared" si="36"/>
        <v>112.1016285480907</v>
      </c>
      <c r="W245" s="26">
        <v>523.20000000000005</v>
      </c>
      <c r="Y245" s="26">
        <f t="shared" si="34"/>
        <v>115952.79999999997</v>
      </c>
      <c r="Z245" s="26">
        <f t="shared" si="28"/>
        <v>31948.9</v>
      </c>
      <c r="AA245" s="26">
        <v>12.443326516953547</v>
      </c>
    </row>
    <row r="246" spans="1:28" x14ac:dyDescent="0.25">
      <c r="A246">
        <v>6440</v>
      </c>
      <c r="B246">
        <v>25210</v>
      </c>
      <c r="C246" s="4">
        <v>42824</v>
      </c>
      <c r="D246" t="s">
        <v>13</v>
      </c>
      <c r="F246" s="43" t="s">
        <v>35</v>
      </c>
      <c r="G246">
        <v>14.3</v>
      </c>
      <c r="H246">
        <v>8.9</v>
      </c>
      <c r="I246">
        <v>20.9</v>
      </c>
      <c r="J246">
        <f t="shared" si="33"/>
        <v>1645.599999999999</v>
      </c>
      <c r="K246">
        <f>G246</f>
        <v>14.3</v>
      </c>
      <c r="L246" s="12" t="s">
        <v>38</v>
      </c>
      <c r="M246">
        <v>0</v>
      </c>
      <c r="N246">
        <v>3.5</v>
      </c>
      <c r="O246">
        <f t="shared" si="30"/>
        <v>-3.5</v>
      </c>
      <c r="P246">
        <f t="shared" si="35"/>
        <v>105.3</v>
      </c>
      <c r="Q246">
        <v>212</v>
      </c>
      <c r="R246">
        <v>1.1499999999999999</v>
      </c>
      <c r="S246" s="18">
        <f t="shared" si="31"/>
        <v>4.0249999999999995</v>
      </c>
      <c r="T246" s="18">
        <f t="shared" si="32"/>
        <v>-4.0249999999999995</v>
      </c>
      <c r="U246" s="18">
        <f t="shared" si="36"/>
        <v>108.0766285480907</v>
      </c>
      <c r="V246" s="22" t="s">
        <v>51</v>
      </c>
      <c r="W246">
        <v>1762.7</v>
      </c>
      <c r="Y246">
        <f t="shared" si="34"/>
        <v>117715.49999999997</v>
      </c>
      <c r="Z246">
        <f>W246</f>
        <v>1762.7</v>
      </c>
      <c r="AA246">
        <v>12.506494484881445</v>
      </c>
      <c r="AB246" s="22" t="s">
        <v>56</v>
      </c>
    </row>
    <row r="247" spans="1:28" s="31" customFormat="1" x14ac:dyDescent="0.25">
      <c r="A247" s="31">
        <v>6440</v>
      </c>
      <c r="B247" s="31">
        <v>25210</v>
      </c>
      <c r="C247" s="32">
        <v>42825</v>
      </c>
      <c r="F247" s="43"/>
      <c r="G247" s="31">
        <v>13</v>
      </c>
      <c r="H247" s="31">
        <v>10.7</v>
      </c>
      <c r="I247" s="31">
        <v>15.6</v>
      </c>
      <c r="J247" s="31">
        <f t="shared" si="33"/>
        <v>1658.599999999999</v>
      </c>
      <c r="K247" s="31">
        <f t="shared" si="29"/>
        <v>27.3</v>
      </c>
      <c r="L247" s="8">
        <v>204</v>
      </c>
      <c r="M247" s="31">
        <v>0.9</v>
      </c>
      <c r="N247" s="31">
        <v>1.5</v>
      </c>
      <c r="O247" s="31">
        <f t="shared" si="30"/>
        <v>-0.6</v>
      </c>
      <c r="P247" s="31">
        <f t="shared" si="35"/>
        <v>104.7</v>
      </c>
      <c r="Q247" s="31">
        <v>213</v>
      </c>
      <c r="R247" s="31">
        <v>1.1499999999999999</v>
      </c>
      <c r="S247" s="33">
        <f t="shared" si="31"/>
        <v>1.7249999999999999</v>
      </c>
      <c r="T247" s="33">
        <f t="shared" si="32"/>
        <v>-0.82499999999999984</v>
      </c>
      <c r="U247" s="18">
        <f t="shared" si="36"/>
        <v>107.25162854809069</v>
      </c>
      <c r="V247">
        <v>0</v>
      </c>
      <c r="W247" s="31">
        <v>652.1</v>
      </c>
      <c r="Y247" s="31">
        <f t="shared" si="34"/>
        <v>118367.59999999998</v>
      </c>
      <c r="Z247" s="31">
        <f t="shared" si="28"/>
        <v>2414.8000000000002</v>
      </c>
      <c r="AA247" s="31">
        <v>12.569596025118718</v>
      </c>
      <c r="AB247">
        <v>26508.1</v>
      </c>
    </row>
    <row r="248" spans="1:28" ht="15" customHeight="1" x14ac:dyDescent="0.25">
      <c r="A248">
        <v>6440</v>
      </c>
      <c r="B248">
        <v>25210</v>
      </c>
      <c r="C248" s="4">
        <v>42826</v>
      </c>
      <c r="F248" s="43"/>
      <c r="G248">
        <v>10.6</v>
      </c>
      <c r="H248">
        <v>8.6999999999999993</v>
      </c>
      <c r="I248">
        <v>13.4</v>
      </c>
      <c r="J248">
        <f t="shared" si="33"/>
        <v>1669.1999999999989</v>
      </c>
      <c r="K248" s="31">
        <f t="shared" si="29"/>
        <v>37.9</v>
      </c>
      <c r="L248" s="12" t="s">
        <v>39</v>
      </c>
      <c r="M248">
        <v>0</v>
      </c>
      <c r="N248">
        <v>1.2</v>
      </c>
      <c r="O248">
        <f t="shared" si="30"/>
        <v>-1.2</v>
      </c>
      <c r="P248">
        <f t="shared" si="35"/>
        <v>103.5</v>
      </c>
      <c r="Q248">
        <v>214</v>
      </c>
      <c r="R248">
        <v>1.1499999999999999</v>
      </c>
      <c r="S248" s="18">
        <f t="shared" si="31"/>
        <v>1.38</v>
      </c>
      <c r="T248" s="18">
        <f t="shared" si="32"/>
        <v>-1.38</v>
      </c>
      <c r="U248" s="18">
        <f t="shared" si="36"/>
        <v>105.8716285480907</v>
      </c>
      <c r="V248" s="22" t="s">
        <v>52</v>
      </c>
      <c r="W248">
        <v>720</v>
      </c>
      <c r="Y248">
        <f t="shared" si="34"/>
        <v>119087.59999999998</v>
      </c>
      <c r="Z248" s="31">
        <f t="shared" si="28"/>
        <v>3134.8</v>
      </c>
      <c r="AA248">
        <v>12.632622415352657</v>
      </c>
      <c r="AB248" s="22" t="s">
        <v>57</v>
      </c>
    </row>
    <row r="249" spans="1:28" x14ac:dyDescent="0.25">
      <c r="A249">
        <v>6440</v>
      </c>
      <c r="B249">
        <v>25210</v>
      </c>
      <c r="C249" s="4">
        <v>42827</v>
      </c>
      <c r="F249" s="43"/>
      <c r="G249">
        <v>10.199999999999999</v>
      </c>
      <c r="H249">
        <v>4.5</v>
      </c>
      <c r="I249">
        <v>15.1</v>
      </c>
      <c r="J249">
        <f t="shared" si="33"/>
        <v>1679.399999999999</v>
      </c>
      <c r="K249" s="31">
        <f t="shared" si="29"/>
        <v>48.099999999999994</v>
      </c>
      <c r="L249" s="8">
        <f>AVERAGE(G246:G266)</f>
        <v>9.7142857142857135</v>
      </c>
      <c r="M249">
        <v>0</v>
      </c>
      <c r="N249">
        <v>2.1</v>
      </c>
      <c r="O249">
        <f t="shared" si="30"/>
        <v>-2.1</v>
      </c>
      <c r="P249">
        <f t="shared" si="35"/>
        <v>101.4</v>
      </c>
      <c r="Q249">
        <v>215</v>
      </c>
      <c r="R249">
        <v>1.1499999999999999</v>
      </c>
      <c r="S249" s="18">
        <f t="shared" si="31"/>
        <v>2.415</v>
      </c>
      <c r="T249" s="18">
        <f t="shared" si="32"/>
        <v>-2.415</v>
      </c>
      <c r="U249" s="18">
        <f t="shared" si="36"/>
        <v>103.45662854809069</v>
      </c>
      <c r="V249">
        <v>0</v>
      </c>
      <c r="W249">
        <v>1426.9</v>
      </c>
      <c r="Y249">
        <f t="shared" si="34"/>
        <v>120514.49999999997</v>
      </c>
      <c r="Z249" s="31">
        <f t="shared" si="28"/>
        <v>4561.7000000000007</v>
      </c>
      <c r="AA249">
        <v>12.695564785903267</v>
      </c>
      <c r="AB249" s="18">
        <f>(AB247/100)/L247</f>
        <v>1.2994166666666664</v>
      </c>
    </row>
    <row r="250" spans="1:28" x14ac:dyDescent="0.25">
      <c r="A250">
        <v>6440</v>
      </c>
      <c r="B250">
        <v>25210</v>
      </c>
      <c r="C250" s="4">
        <v>42828</v>
      </c>
      <c r="F250" s="43"/>
      <c r="G250">
        <v>10.5</v>
      </c>
      <c r="H250">
        <v>3.1</v>
      </c>
      <c r="I250">
        <v>16.399999999999999</v>
      </c>
      <c r="J250">
        <f t="shared" si="33"/>
        <v>1689.899999999999</v>
      </c>
      <c r="K250" s="31">
        <f t="shared" si="29"/>
        <v>58.599999999999994</v>
      </c>
      <c r="L250" s="12" t="s">
        <v>40</v>
      </c>
      <c r="M250">
        <v>0</v>
      </c>
      <c r="N250">
        <v>2.4</v>
      </c>
      <c r="O250">
        <f t="shared" si="30"/>
        <v>-2.4</v>
      </c>
      <c r="P250">
        <f t="shared" si="35"/>
        <v>99</v>
      </c>
      <c r="Q250">
        <v>216</v>
      </c>
      <c r="R250">
        <v>1.1499999999999999</v>
      </c>
      <c r="S250" s="18">
        <f t="shared" si="31"/>
        <v>2.76</v>
      </c>
      <c r="T250" s="18">
        <f t="shared" si="32"/>
        <v>-2.76</v>
      </c>
      <c r="U250" s="18">
        <f t="shared" si="36"/>
        <v>100.69662854809069</v>
      </c>
      <c r="V250" s="22" t="s">
        <v>53</v>
      </c>
      <c r="W250">
        <v>1594.3</v>
      </c>
      <c r="Y250">
        <f t="shared" si="34"/>
        <v>122108.79999999997</v>
      </c>
      <c r="Z250" s="31">
        <f t="shared" si="28"/>
        <v>6156.0000000000009</v>
      </c>
      <c r="AA250">
        <v>12.758414103619094</v>
      </c>
      <c r="AB250" s="22" t="s">
        <v>58</v>
      </c>
    </row>
    <row r="251" spans="1:28" x14ac:dyDescent="0.25">
      <c r="A251">
        <v>6440</v>
      </c>
      <c r="B251">
        <v>25210</v>
      </c>
      <c r="C251" s="4">
        <v>42829</v>
      </c>
      <c r="F251" s="43"/>
      <c r="G251">
        <v>10.1</v>
      </c>
      <c r="H251">
        <v>6</v>
      </c>
      <c r="I251">
        <v>14.5</v>
      </c>
      <c r="J251">
        <f t="shared" si="33"/>
        <v>1699.9999999999989</v>
      </c>
      <c r="K251" s="31">
        <f t="shared" si="29"/>
        <v>68.699999999999989</v>
      </c>
      <c r="L251" s="9">
        <f>MIN(H246:H266)</f>
        <v>0.8</v>
      </c>
      <c r="M251">
        <v>0</v>
      </c>
      <c r="N251">
        <v>1.8</v>
      </c>
      <c r="O251">
        <f t="shared" si="30"/>
        <v>-1.8</v>
      </c>
      <c r="P251">
        <f t="shared" si="35"/>
        <v>97.2</v>
      </c>
      <c r="Q251">
        <v>217</v>
      </c>
      <c r="R251">
        <v>1.1499999999999999</v>
      </c>
      <c r="S251" s="18">
        <f t="shared" si="31"/>
        <v>2.0699999999999998</v>
      </c>
      <c r="T251" s="18">
        <f t="shared" si="32"/>
        <v>-2.0699999999999998</v>
      </c>
      <c r="U251" s="18">
        <f t="shared" si="36"/>
        <v>98.626628548090693</v>
      </c>
      <c r="V251" s="18">
        <f>MIN(U246:U266)</f>
        <v>64.586628548090687</v>
      </c>
      <c r="W251">
        <v>995</v>
      </c>
      <c r="Y251">
        <f t="shared" si="34"/>
        <v>123103.79999999997</v>
      </c>
      <c r="Z251" s="31">
        <f t="shared" si="28"/>
        <v>7151.0000000000009</v>
      </c>
      <c r="AA251">
        <v>12.821161155867861</v>
      </c>
      <c r="AB251">
        <v>7</v>
      </c>
    </row>
    <row r="252" spans="1:28" x14ac:dyDescent="0.25">
      <c r="A252">
        <v>6440</v>
      </c>
      <c r="B252">
        <v>25210</v>
      </c>
      <c r="C252" s="4">
        <v>42830</v>
      </c>
      <c r="F252" s="43"/>
      <c r="G252">
        <v>9.8000000000000007</v>
      </c>
      <c r="H252">
        <v>7.8</v>
      </c>
      <c r="I252">
        <v>13.5</v>
      </c>
      <c r="J252">
        <f t="shared" si="33"/>
        <v>1709.7999999999988</v>
      </c>
      <c r="K252" s="31">
        <f t="shared" si="29"/>
        <v>78.499999999999986</v>
      </c>
      <c r="L252" s="12" t="s">
        <v>41</v>
      </c>
      <c r="M252">
        <v>0</v>
      </c>
      <c r="N252">
        <v>1.9</v>
      </c>
      <c r="O252">
        <f t="shared" si="30"/>
        <v>-1.9</v>
      </c>
      <c r="P252">
        <f t="shared" si="35"/>
        <v>95.3</v>
      </c>
      <c r="Q252">
        <v>218</v>
      </c>
      <c r="R252">
        <v>1.1499999999999999</v>
      </c>
      <c r="S252" s="18">
        <f t="shared" si="31"/>
        <v>2.1849999999999996</v>
      </c>
      <c r="T252" s="18">
        <f t="shared" si="32"/>
        <v>-2.1849999999999996</v>
      </c>
      <c r="U252" s="18">
        <f t="shared" si="36"/>
        <v>96.441628548090691</v>
      </c>
      <c r="V252" s="22" t="s">
        <v>54</v>
      </c>
      <c r="W252">
        <v>891</v>
      </c>
      <c r="Y252">
        <f t="shared" si="34"/>
        <v>123994.79999999997</v>
      </c>
      <c r="Z252" s="31">
        <f t="shared" si="28"/>
        <v>8042.0000000000009</v>
      </c>
      <c r="AA252">
        <v>12.883796534636208</v>
      </c>
    </row>
    <row r="253" spans="1:28" x14ac:dyDescent="0.25">
      <c r="A253">
        <v>6440</v>
      </c>
      <c r="B253">
        <v>25210</v>
      </c>
      <c r="C253" s="4">
        <v>42831</v>
      </c>
      <c r="F253" s="43"/>
      <c r="G253">
        <v>7.7</v>
      </c>
      <c r="H253">
        <v>3.1</v>
      </c>
      <c r="I253">
        <v>12.2</v>
      </c>
      <c r="J253">
        <f t="shared" si="33"/>
        <v>1717.4999999999989</v>
      </c>
      <c r="K253" s="31">
        <f t="shared" si="29"/>
        <v>86.199999999999989</v>
      </c>
      <c r="L253" s="8">
        <f>MAX(I246:I266)</f>
        <v>21</v>
      </c>
      <c r="M253">
        <v>0</v>
      </c>
      <c r="N253">
        <v>1.9</v>
      </c>
      <c r="O253">
        <f t="shared" si="30"/>
        <v>-1.9</v>
      </c>
      <c r="P253">
        <f t="shared" si="35"/>
        <v>93.399999999999991</v>
      </c>
      <c r="Q253">
        <v>219</v>
      </c>
      <c r="R253">
        <v>1.1499999999999999</v>
      </c>
      <c r="S253" s="18">
        <f t="shared" si="31"/>
        <v>2.1849999999999996</v>
      </c>
      <c r="T253" s="18">
        <f t="shared" si="32"/>
        <v>-2.1849999999999996</v>
      </c>
      <c r="U253" s="18">
        <f t="shared" si="36"/>
        <v>94.256628548090688</v>
      </c>
      <c r="V253" s="18">
        <f>MAX(U246:U266)</f>
        <v>108.0766285480907</v>
      </c>
      <c r="W253">
        <v>1149.2</v>
      </c>
      <c r="Y253">
        <f t="shared" si="34"/>
        <v>125143.99999999997</v>
      </c>
      <c r="Z253" s="31">
        <f t="shared" ref="Z253:Z316" si="37">Z252+W253</f>
        <v>9191.2000000000007</v>
      </c>
      <c r="AA253">
        <v>12.946310620754192</v>
      </c>
    </row>
    <row r="254" spans="1:28" x14ac:dyDescent="0.25">
      <c r="A254">
        <v>6440</v>
      </c>
      <c r="B254">
        <v>25210</v>
      </c>
      <c r="C254" s="4">
        <v>42832</v>
      </c>
      <c r="F254" s="43"/>
      <c r="G254">
        <v>9</v>
      </c>
      <c r="H254">
        <v>1.5</v>
      </c>
      <c r="I254">
        <v>15.4</v>
      </c>
      <c r="J254">
        <f t="shared" si="33"/>
        <v>1726.4999999999989</v>
      </c>
      <c r="K254" s="31">
        <f t="shared" si="29"/>
        <v>95.199999999999989</v>
      </c>
      <c r="L254" s="12" t="s">
        <v>42</v>
      </c>
      <c r="M254">
        <v>0</v>
      </c>
      <c r="N254">
        <v>2</v>
      </c>
      <c r="O254">
        <f t="shared" si="30"/>
        <v>-2</v>
      </c>
      <c r="P254">
        <f t="shared" si="35"/>
        <v>91.399999999999991</v>
      </c>
      <c r="Q254">
        <v>220</v>
      </c>
      <c r="R254">
        <v>1.1499999999999999</v>
      </c>
      <c r="S254" s="18">
        <f t="shared" si="31"/>
        <v>2.2999999999999998</v>
      </c>
      <c r="T254" s="18">
        <f t="shared" si="32"/>
        <v>-2.2999999999999998</v>
      </c>
      <c r="U254" s="18">
        <f t="shared" si="36"/>
        <v>91.956628548090691</v>
      </c>
      <c r="V254" s="22" t="s">
        <v>55</v>
      </c>
      <c r="W254">
        <v>1457.5</v>
      </c>
      <c r="Y254">
        <f t="shared" si="34"/>
        <v>126601.49999999997</v>
      </c>
      <c r="Z254" s="31">
        <f t="shared" si="37"/>
        <v>10648.7</v>
      </c>
      <c r="AA254">
        <v>13.00869356826173</v>
      </c>
    </row>
    <row r="255" spans="1:28" x14ac:dyDescent="0.25">
      <c r="A255">
        <v>6440</v>
      </c>
      <c r="B255">
        <v>25210</v>
      </c>
      <c r="C255" s="4">
        <v>42833</v>
      </c>
      <c r="F255" s="43"/>
      <c r="G255">
        <v>9.8000000000000007</v>
      </c>
      <c r="H255">
        <v>2.7</v>
      </c>
      <c r="I255">
        <v>15.9</v>
      </c>
      <c r="J255">
        <f t="shared" si="33"/>
        <v>1736.2999999999988</v>
      </c>
      <c r="K255" s="31">
        <f t="shared" ref="K255:K318" si="38">K254+G255</f>
        <v>104.99999999999999</v>
      </c>
      <c r="L255" s="8">
        <v>0</v>
      </c>
      <c r="M255">
        <v>0</v>
      </c>
      <c r="N255">
        <v>3</v>
      </c>
      <c r="O255">
        <f t="shared" si="30"/>
        <v>-3</v>
      </c>
      <c r="P255">
        <f t="shared" si="35"/>
        <v>88.399999999999991</v>
      </c>
      <c r="Q255">
        <v>221</v>
      </c>
      <c r="R255">
        <v>1.1499999999999999</v>
      </c>
      <c r="S255" s="18">
        <f t="shared" si="31"/>
        <v>3.4499999999999997</v>
      </c>
      <c r="T255" s="18">
        <f t="shared" si="32"/>
        <v>-3.4499999999999997</v>
      </c>
      <c r="U255" s="18">
        <f t="shared" si="36"/>
        <v>88.506628548090688</v>
      </c>
      <c r="V255" s="18">
        <f>AVERAGE(U246:U266)</f>
        <v>86.409247595709729</v>
      </c>
      <c r="W255">
        <v>2086.1</v>
      </c>
      <c r="Y255">
        <f t="shared" si="34"/>
        <v>128687.59999999998</v>
      </c>
      <c r="Z255" s="31">
        <f t="shared" si="37"/>
        <v>12734.800000000001</v>
      </c>
      <c r="AA255">
        <v>13.070935288935779</v>
      </c>
    </row>
    <row r="256" spans="1:28" x14ac:dyDescent="0.25">
      <c r="A256">
        <v>6440</v>
      </c>
      <c r="B256">
        <v>25210</v>
      </c>
      <c r="C256" s="4">
        <v>42834</v>
      </c>
      <c r="F256" s="43"/>
      <c r="G256">
        <v>13.2</v>
      </c>
      <c r="H256">
        <v>3</v>
      </c>
      <c r="I256">
        <v>21</v>
      </c>
      <c r="J256">
        <f t="shared" si="33"/>
        <v>1749.4999999999989</v>
      </c>
      <c r="K256" s="31">
        <f t="shared" si="38"/>
        <v>118.19999999999999</v>
      </c>
      <c r="L256" s="12" t="s">
        <v>43</v>
      </c>
      <c r="M256">
        <v>0</v>
      </c>
      <c r="N256">
        <v>3.6</v>
      </c>
      <c r="O256">
        <f t="shared" si="30"/>
        <v>-3.6</v>
      </c>
      <c r="P256">
        <f t="shared" si="35"/>
        <v>84.8</v>
      </c>
      <c r="Q256">
        <v>222</v>
      </c>
      <c r="R256">
        <v>1.1499999999999999</v>
      </c>
      <c r="S256" s="18">
        <f t="shared" si="31"/>
        <v>4.1399999999999997</v>
      </c>
      <c r="T256" s="18">
        <f t="shared" si="32"/>
        <v>-4.1399999999999997</v>
      </c>
      <c r="U256" s="18">
        <f t="shared" si="36"/>
        <v>84.366628548090688</v>
      </c>
      <c r="W256">
        <v>2123.1</v>
      </c>
      <c r="Y256">
        <f t="shared" si="34"/>
        <v>130810.69999999998</v>
      </c>
      <c r="Z256" s="31">
        <f t="shared" si="37"/>
        <v>14857.900000000001</v>
      </c>
      <c r="AA256">
        <v>13.133025436998837</v>
      </c>
    </row>
    <row r="257" spans="1:28" x14ac:dyDescent="0.25">
      <c r="A257">
        <v>6440</v>
      </c>
      <c r="B257">
        <v>25210</v>
      </c>
      <c r="C257" s="4">
        <v>42835</v>
      </c>
      <c r="F257" s="43"/>
      <c r="G257">
        <v>10.7</v>
      </c>
      <c r="H257">
        <v>9.9</v>
      </c>
      <c r="I257">
        <v>14.1</v>
      </c>
      <c r="J257">
        <f t="shared" si="33"/>
        <v>1760.1999999999989</v>
      </c>
      <c r="K257" s="31">
        <f t="shared" si="38"/>
        <v>128.89999999999998</v>
      </c>
      <c r="L257" s="8">
        <v>10</v>
      </c>
      <c r="M257">
        <v>0</v>
      </c>
      <c r="N257">
        <v>2</v>
      </c>
      <c r="O257">
        <f t="shared" si="30"/>
        <v>-2</v>
      </c>
      <c r="P257">
        <f t="shared" si="35"/>
        <v>82.8</v>
      </c>
      <c r="Q257">
        <v>223</v>
      </c>
      <c r="R257">
        <v>1.1499999999999999</v>
      </c>
      <c r="S257" s="18">
        <f t="shared" si="31"/>
        <v>2.2999999999999998</v>
      </c>
      <c r="T257" s="18">
        <f t="shared" si="32"/>
        <v>-2.2999999999999998</v>
      </c>
      <c r="U257" s="18">
        <f t="shared" si="36"/>
        <v>82.066628548090691</v>
      </c>
      <c r="V257" s="37">
        <f>(V255*100)/189.6</f>
        <v>45.574497677062098</v>
      </c>
      <c r="W257">
        <v>863.9</v>
      </c>
      <c r="Y257">
        <f t="shared" si="34"/>
        <v>131674.59999999998</v>
      </c>
      <c r="Z257" s="31">
        <f t="shared" si="37"/>
        <v>15721.800000000001</v>
      </c>
      <c r="AA257">
        <v>13.194953394031264</v>
      </c>
    </row>
    <row r="258" spans="1:28" x14ac:dyDescent="0.25">
      <c r="A258">
        <v>6440</v>
      </c>
      <c r="B258">
        <v>25210</v>
      </c>
      <c r="C258" s="4">
        <v>42836</v>
      </c>
      <c r="F258" s="43"/>
      <c r="G258">
        <v>8.6999999999999993</v>
      </c>
      <c r="H258">
        <v>3.6</v>
      </c>
      <c r="I258">
        <v>14.1</v>
      </c>
      <c r="J258">
        <f t="shared" si="33"/>
        <v>1768.899999999999</v>
      </c>
      <c r="K258" s="31">
        <f t="shared" si="38"/>
        <v>137.59999999999997</v>
      </c>
      <c r="L258" s="12" t="s">
        <v>44</v>
      </c>
      <c r="M258">
        <v>0</v>
      </c>
      <c r="N258">
        <v>2.1</v>
      </c>
      <c r="O258">
        <f t="shared" si="30"/>
        <v>-2.1</v>
      </c>
      <c r="P258">
        <f t="shared" si="35"/>
        <v>80.7</v>
      </c>
      <c r="Q258">
        <v>224</v>
      </c>
      <c r="R258">
        <v>1.1499999999999999</v>
      </c>
      <c r="S258" s="18">
        <f t="shared" si="31"/>
        <v>2.415</v>
      </c>
      <c r="T258" s="18">
        <f t="shared" si="32"/>
        <v>-2.415</v>
      </c>
      <c r="U258" s="18">
        <f t="shared" si="36"/>
        <v>79.651628548090684</v>
      </c>
      <c r="W258">
        <v>1209</v>
      </c>
      <c r="Y258">
        <f t="shared" si="34"/>
        <v>132883.59999999998</v>
      </c>
      <c r="Z258" s="31">
        <f t="shared" si="37"/>
        <v>16930.800000000003</v>
      </c>
      <c r="AA258">
        <v>13.25670825411189</v>
      </c>
    </row>
    <row r="259" spans="1:28" x14ac:dyDescent="0.25">
      <c r="A259">
        <v>6440</v>
      </c>
      <c r="B259">
        <v>25210</v>
      </c>
      <c r="C259" s="4">
        <v>42837</v>
      </c>
      <c r="F259" s="43"/>
      <c r="G259">
        <v>8.9</v>
      </c>
      <c r="H259">
        <v>3.9</v>
      </c>
      <c r="I259">
        <v>15.7</v>
      </c>
      <c r="J259">
        <f t="shared" si="33"/>
        <v>1777.799999999999</v>
      </c>
      <c r="K259" s="31">
        <f t="shared" si="38"/>
        <v>146.49999999999997</v>
      </c>
      <c r="L259" s="13">
        <v>0</v>
      </c>
      <c r="M259">
        <v>0</v>
      </c>
      <c r="N259">
        <v>2.2999999999999998</v>
      </c>
      <c r="O259">
        <f t="shared" si="30"/>
        <v>-2.2999999999999998</v>
      </c>
      <c r="P259">
        <f t="shared" si="35"/>
        <v>78.400000000000006</v>
      </c>
      <c r="Q259">
        <v>225</v>
      </c>
      <c r="R259">
        <v>1.1499999999999999</v>
      </c>
      <c r="S259" s="18">
        <f t="shared" si="31"/>
        <v>2.6449999999999996</v>
      </c>
      <c r="T259" s="18">
        <f t="shared" si="32"/>
        <v>-2.6449999999999996</v>
      </c>
      <c r="U259" s="18">
        <f t="shared" si="36"/>
        <v>77.006628548090688</v>
      </c>
      <c r="W259">
        <v>1385</v>
      </c>
      <c r="Y259">
        <f t="shared" si="34"/>
        <v>134268.59999999998</v>
      </c>
      <c r="Z259" s="31">
        <f t="shared" si="37"/>
        <v>18315.800000000003</v>
      </c>
      <c r="AA259">
        <v>13.318278809213565</v>
      </c>
    </row>
    <row r="260" spans="1:28" x14ac:dyDescent="0.25">
      <c r="A260">
        <v>6440</v>
      </c>
      <c r="B260">
        <v>25210</v>
      </c>
      <c r="C260" s="4">
        <v>42838</v>
      </c>
      <c r="F260" s="43"/>
      <c r="G260">
        <v>10.199999999999999</v>
      </c>
      <c r="H260">
        <v>6</v>
      </c>
      <c r="I260">
        <v>13.1</v>
      </c>
      <c r="J260">
        <f t="shared" si="33"/>
        <v>1787.9999999999991</v>
      </c>
      <c r="K260" s="31">
        <f t="shared" si="38"/>
        <v>156.69999999999996</v>
      </c>
      <c r="M260">
        <v>0</v>
      </c>
      <c r="N260">
        <v>1.2</v>
      </c>
      <c r="O260">
        <f t="shared" si="30"/>
        <v>-1.2</v>
      </c>
      <c r="P260">
        <f t="shared" si="35"/>
        <v>77.2</v>
      </c>
      <c r="Q260">
        <v>226</v>
      </c>
      <c r="R260">
        <v>1.1499999999999999</v>
      </c>
      <c r="S260" s="18">
        <f t="shared" si="31"/>
        <v>1.38</v>
      </c>
      <c r="T260" s="18">
        <f t="shared" si="32"/>
        <v>-1.38</v>
      </c>
      <c r="U260" s="18">
        <f t="shared" si="36"/>
        <v>75.626628548090693</v>
      </c>
      <c r="W260">
        <v>649.20000000000005</v>
      </c>
      <c r="Y260">
        <f t="shared" si="34"/>
        <v>134917.79999999999</v>
      </c>
      <c r="Z260" s="31">
        <f t="shared" si="37"/>
        <v>18965.000000000004</v>
      </c>
      <c r="AA260">
        <v>13.37965353488258</v>
      </c>
    </row>
    <row r="261" spans="1:28" x14ac:dyDescent="0.25">
      <c r="A261">
        <v>6440</v>
      </c>
      <c r="B261">
        <v>25210</v>
      </c>
      <c r="C261" s="4">
        <v>42839</v>
      </c>
      <c r="F261" s="43"/>
      <c r="G261">
        <v>9.6</v>
      </c>
      <c r="H261">
        <v>5.9</v>
      </c>
      <c r="I261">
        <v>12.6</v>
      </c>
      <c r="J261">
        <f t="shared" si="33"/>
        <v>1797.599999999999</v>
      </c>
      <c r="K261" s="31">
        <f t="shared" si="38"/>
        <v>166.29999999999995</v>
      </c>
      <c r="M261">
        <v>0</v>
      </c>
      <c r="N261">
        <v>1.1000000000000001</v>
      </c>
      <c r="O261">
        <f t="shared" si="30"/>
        <v>-1.1000000000000001</v>
      </c>
      <c r="P261">
        <f t="shared" si="35"/>
        <v>76.100000000000009</v>
      </c>
      <c r="Q261">
        <v>227</v>
      </c>
      <c r="R261">
        <v>1.1499999999999999</v>
      </c>
      <c r="S261" s="18">
        <f t="shared" si="31"/>
        <v>1.2649999999999999</v>
      </c>
      <c r="T261" s="18">
        <f t="shared" si="32"/>
        <v>-1.2649999999999999</v>
      </c>
      <c r="U261" s="18">
        <f t="shared" si="36"/>
        <v>74.361628548090692</v>
      </c>
      <c r="W261">
        <v>574.29999999999995</v>
      </c>
      <c r="Y261">
        <f t="shared" si="34"/>
        <v>135492.09999999998</v>
      </c>
      <c r="Z261" s="31">
        <f t="shared" si="37"/>
        <v>19539.300000000003</v>
      </c>
      <c r="AA261">
        <v>13.440820576233282</v>
      </c>
    </row>
    <row r="262" spans="1:28" x14ac:dyDescent="0.25">
      <c r="A262">
        <v>6440</v>
      </c>
      <c r="B262">
        <v>25210</v>
      </c>
      <c r="C262" s="4">
        <v>42840</v>
      </c>
      <c r="F262" s="43"/>
      <c r="G262">
        <v>10</v>
      </c>
      <c r="H262">
        <v>7.5</v>
      </c>
      <c r="I262">
        <v>12.9</v>
      </c>
      <c r="J262">
        <f t="shared" si="33"/>
        <v>1807.599999999999</v>
      </c>
      <c r="K262" s="31">
        <f t="shared" si="38"/>
        <v>176.29999999999995</v>
      </c>
      <c r="M262">
        <v>0.5</v>
      </c>
      <c r="N262">
        <v>1.9</v>
      </c>
      <c r="O262">
        <f t="shared" si="30"/>
        <v>-1.4</v>
      </c>
      <c r="P262">
        <f t="shared" si="35"/>
        <v>74.7</v>
      </c>
      <c r="Q262">
        <v>228</v>
      </c>
      <c r="R262">
        <v>1.1499999999999999</v>
      </c>
      <c r="S262" s="18">
        <f t="shared" si="31"/>
        <v>2.1849999999999996</v>
      </c>
      <c r="T262" s="18">
        <f t="shared" si="32"/>
        <v>-1.6849999999999996</v>
      </c>
      <c r="U262" s="18">
        <f t="shared" si="36"/>
        <v>72.67662854809069</v>
      </c>
      <c r="W262">
        <v>1339.5</v>
      </c>
      <c r="Y262">
        <f t="shared" si="34"/>
        <v>136831.59999999998</v>
      </c>
      <c r="Z262" s="31">
        <f t="shared" si="37"/>
        <v>20878.800000000003</v>
      </c>
      <c r="AA262">
        <v>13.50176773429167</v>
      </c>
    </row>
    <row r="263" spans="1:28" x14ac:dyDescent="0.25">
      <c r="A263">
        <v>6440</v>
      </c>
      <c r="B263">
        <v>25210</v>
      </c>
      <c r="C263" s="4">
        <v>42841</v>
      </c>
      <c r="F263" s="43"/>
      <c r="G263">
        <v>9.1999999999999993</v>
      </c>
      <c r="H263">
        <v>5.3</v>
      </c>
      <c r="I263">
        <v>12.9</v>
      </c>
      <c r="J263">
        <f t="shared" si="33"/>
        <v>1816.799999999999</v>
      </c>
      <c r="K263" s="31">
        <f t="shared" si="38"/>
        <v>185.49999999999994</v>
      </c>
      <c r="M263">
        <v>0.5</v>
      </c>
      <c r="N263">
        <v>1.9</v>
      </c>
      <c r="O263">
        <f t="shared" si="30"/>
        <v>-1.4</v>
      </c>
      <c r="P263">
        <f t="shared" si="35"/>
        <v>73.3</v>
      </c>
      <c r="Q263">
        <v>229</v>
      </c>
      <c r="R263">
        <v>1.1499999999999999</v>
      </c>
      <c r="S263" s="18">
        <f t="shared" si="31"/>
        <v>2.1849999999999996</v>
      </c>
      <c r="T263" s="18">
        <f t="shared" si="32"/>
        <v>-1.6849999999999996</v>
      </c>
      <c r="U263" s="18">
        <f t="shared" si="36"/>
        <v>70.991628548090688</v>
      </c>
      <c r="W263">
        <v>1044.9000000000001</v>
      </c>
      <c r="Y263">
        <f t="shared" si="34"/>
        <v>137876.49999999997</v>
      </c>
      <c r="Z263" s="31">
        <f t="shared" si="37"/>
        <v>21923.700000000004</v>
      </c>
      <c r="AA263">
        <v>13.562482452724447</v>
      </c>
    </row>
    <row r="264" spans="1:28" x14ac:dyDescent="0.25">
      <c r="A264">
        <v>6440</v>
      </c>
      <c r="B264">
        <v>25210</v>
      </c>
      <c r="C264" s="4">
        <v>42842</v>
      </c>
      <c r="F264" s="43"/>
      <c r="G264">
        <v>8.3000000000000007</v>
      </c>
      <c r="H264">
        <v>7.3</v>
      </c>
      <c r="I264">
        <v>10.4</v>
      </c>
      <c r="J264">
        <f t="shared" si="33"/>
        <v>1825.099999999999</v>
      </c>
      <c r="K264" s="31">
        <f t="shared" si="38"/>
        <v>193.79999999999995</v>
      </c>
      <c r="M264">
        <v>0.7</v>
      </c>
      <c r="N264">
        <v>1.6</v>
      </c>
      <c r="O264">
        <f t="shared" si="30"/>
        <v>-0.90000000000000013</v>
      </c>
      <c r="P264">
        <f t="shared" si="35"/>
        <v>72.399999999999991</v>
      </c>
      <c r="Q264">
        <v>230</v>
      </c>
      <c r="R264">
        <v>1.1499999999999999</v>
      </c>
      <c r="S264" s="18">
        <f t="shared" si="31"/>
        <v>1.8399999999999999</v>
      </c>
      <c r="T264" s="18">
        <f t="shared" si="32"/>
        <v>-1.1399999999999999</v>
      </c>
      <c r="U264" s="18">
        <f t="shared" si="36"/>
        <v>69.851628548090687</v>
      </c>
      <c r="W264">
        <v>745.1</v>
      </c>
      <c r="Y264">
        <f t="shared" si="34"/>
        <v>138621.59999999998</v>
      </c>
      <c r="Z264" s="31">
        <f t="shared" si="37"/>
        <v>22668.800000000003</v>
      </c>
      <c r="AA264">
        <v>13.622951804992686</v>
      </c>
    </row>
    <row r="265" spans="1:28" x14ac:dyDescent="0.25">
      <c r="A265">
        <v>6440</v>
      </c>
      <c r="B265">
        <v>25210</v>
      </c>
      <c r="C265" s="4">
        <v>42843</v>
      </c>
      <c r="F265" s="43"/>
      <c r="G265">
        <v>5.3</v>
      </c>
      <c r="H265">
        <v>0.9</v>
      </c>
      <c r="I265">
        <v>9.1999999999999993</v>
      </c>
      <c r="J265">
        <f t="shared" si="33"/>
        <v>1830.399999999999</v>
      </c>
      <c r="K265" s="31">
        <f t="shared" si="38"/>
        <v>199.09999999999997</v>
      </c>
      <c r="M265">
        <v>0.6</v>
      </c>
      <c r="N265">
        <v>1.9</v>
      </c>
      <c r="O265">
        <f t="shared" si="30"/>
        <v>-1.2999999999999998</v>
      </c>
      <c r="P265">
        <f t="shared" si="35"/>
        <v>71.099999999999994</v>
      </c>
      <c r="Q265">
        <v>231</v>
      </c>
      <c r="R265">
        <v>1.1499999999999999</v>
      </c>
      <c r="S265" s="18">
        <f t="shared" si="31"/>
        <v>2.1849999999999996</v>
      </c>
      <c r="T265" s="18">
        <f t="shared" si="32"/>
        <v>-1.5849999999999995</v>
      </c>
      <c r="U265" s="18">
        <f t="shared" si="36"/>
        <v>68.266628548090694</v>
      </c>
      <c r="W265">
        <v>1383.2</v>
      </c>
      <c r="Y265">
        <f t="shared" si="34"/>
        <v>140004.79999999999</v>
      </c>
      <c r="Z265" s="31">
        <f t="shared" si="37"/>
        <v>24052.000000000004</v>
      </c>
      <c r="AA265">
        <v>13.68316248197209</v>
      </c>
    </row>
    <row r="266" spans="1:28" s="26" customFormat="1" ht="15.75" thickBot="1" x14ac:dyDescent="0.3">
      <c r="A266" s="26">
        <v>6440</v>
      </c>
      <c r="B266" s="26">
        <v>25210</v>
      </c>
      <c r="C266" s="27">
        <v>42844</v>
      </c>
      <c r="D266" s="26" t="s">
        <v>33</v>
      </c>
      <c r="F266" s="44"/>
      <c r="G266" s="26">
        <v>4.9000000000000004</v>
      </c>
      <c r="H266" s="26">
        <v>0.8</v>
      </c>
      <c r="I266" s="26">
        <v>9.3000000000000007</v>
      </c>
      <c r="J266" s="26">
        <f t="shared" si="33"/>
        <v>1835.299999999999</v>
      </c>
      <c r="K266" s="26">
        <f t="shared" si="38"/>
        <v>203.99999999999997</v>
      </c>
      <c r="M266" s="26">
        <v>0</v>
      </c>
      <c r="N266" s="26">
        <v>3.2</v>
      </c>
      <c r="O266" s="26">
        <f t="shared" si="30"/>
        <v>-3.2</v>
      </c>
      <c r="P266" s="26">
        <f t="shared" si="35"/>
        <v>67.899999999999991</v>
      </c>
      <c r="Q266" s="26">
        <v>232</v>
      </c>
      <c r="R266" s="26">
        <v>1.1499999999999999</v>
      </c>
      <c r="S266" s="28">
        <f t="shared" si="31"/>
        <v>3.6799999999999997</v>
      </c>
      <c r="T266" s="28">
        <f t="shared" si="32"/>
        <v>-3.6799999999999997</v>
      </c>
      <c r="U266" s="18">
        <f t="shared" si="36"/>
        <v>64.586628548090687</v>
      </c>
      <c r="W266" s="26">
        <v>2456.1</v>
      </c>
      <c r="Y266" s="26">
        <f t="shared" si="34"/>
        <v>142460.9</v>
      </c>
      <c r="Z266" s="26">
        <f t="shared" si="37"/>
        <v>26508.100000000002</v>
      </c>
      <c r="AA266" s="26">
        <v>13.743100780084765</v>
      </c>
    </row>
    <row r="267" spans="1:28" x14ac:dyDescent="0.25">
      <c r="A267">
        <v>6440</v>
      </c>
      <c r="B267">
        <v>25210</v>
      </c>
      <c r="C267" s="4">
        <v>42845</v>
      </c>
      <c r="F267" s="45" t="s">
        <v>48</v>
      </c>
      <c r="G267">
        <v>5.3</v>
      </c>
      <c r="H267">
        <v>-1.1000000000000001</v>
      </c>
      <c r="I267">
        <v>11.3</v>
      </c>
      <c r="J267">
        <f t="shared" si="33"/>
        <v>1840.599999999999</v>
      </c>
      <c r="K267" s="31">
        <f>G267</f>
        <v>5.3</v>
      </c>
      <c r="L267" s="14" t="s">
        <v>38</v>
      </c>
      <c r="M267">
        <v>0</v>
      </c>
      <c r="N267">
        <v>3</v>
      </c>
      <c r="O267">
        <f t="shared" si="30"/>
        <v>-3</v>
      </c>
      <c r="P267">
        <f t="shared" si="35"/>
        <v>64.899999999999991</v>
      </c>
      <c r="Q267">
        <v>233</v>
      </c>
      <c r="R267">
        <v>1.1499999999999999</v>
      </c>
      <c r="S267" s="18">
        <f t="shared" si="31"/>
        <v>3.4499999999999997</v>
      </c>
      <c r="T267" s="18">
        <f t="shared" si="32"/>
        <v>-3.4499999999999997</v>
      </c>
      <c r="U267" s="18">
        <f t="shared" si="36"/>
        <v>61.136628548090684</v>
      </c>
      <c r="V267" s="23" t="s">
        <v>51</v>
      </c>
      <c r="W267">
        <v>2360.4</v>
      </c>
      <c r="Y267">
        <f t="shared" si="34"/>
        <v>144821.29999999999</v>
      </c>
      <c r="Z267" s="31">
        <f>W267</f>
        <v>2360.4</v>
      </c>
      <c r="AA267">
        <v>13.802752589990368</v>
      </c>
      <c r="AB267" s="23" t="s">
        <v>56</v>
      </c>
    </row>
    <row r="268" spans="1:28" s="31" customFormat="1" x14ac:dyDescent="0.25">
      <c r="A268" s="31">
        <v>6440</v>
      </c>
      <c r="B268" s="31">
        <v>25210</v>
      </c>
      <c r="C268" s="32">
        <v>42846</v>
      </c>
      <c r="F268" s="46"/>
      <c r="G268" s="31">
        <v>9</v>
      </c>
      <c r="H268" s="31">
        <v>1.2</v>
      </c>
      <c r="I268" s="31">
        <v>14.2</v>
      </c>
      <c r="J268" s="31">
        <f t="shared" si="33"/>
        <v>1849.599999999999</v>
      </c>
      <c r="K268" s="31">
        <f t="shared" si="38"/>
        <v>14.3</v>
      </c>
      <c r="L268" s="8">
        <v>306.7</v>
      </c>
      <c r="M268" s="31">
        <v>0</v>
      </c>
      <c r="N268" s="31">
        <v>1.7</v>
      </c>
      <c r="O268" s="31">
        <f t="shared" si="30"/>
        <v>-1.7</v>
      </c>
      <c r="P268" s="31">
        <f t="shared" si="35"/>
        <v>63.199999999999989</v>
      </c>
      <c r="Q268" s="31">
        <v>234</v>
      </c>
      <c r="R268" s="31">
        <v>1.1499999999999999</v>
      </c>
      <c r="S268" s="33">
        <f t="shared" si="31"/>
        <v>1.9549999999999998</v>
      </c>
      <c r="T268" s="33">
        <f t="shared" si="32"/>
        <v>-1.9549999999999998</v>
      </c>
      <c r="U268" s="18">
        <f t="shared" si="36"/>
        <v>59.181628548090686</v>
      </c>
      <c r="V268">
        <v>0</v>
      </c>
      <c r="W268" s="31">
        <v>1197.0999999999999</v>
      </c>
      <c r="Y268" s="31">
        <f t="shared" si="34"/>
        <v>146018.4</v>
      </c>
      <c r="Z268" s="31">
        <f t="shared" si="37"/>
        <v>3557.5</v>
      </c>
      <c r="AA268" s="31">
        <v>13.862103385887583</v>
      </c>
      <c r="AB268">
        <v>37750.800000000003</v>
      </c>
    </row>
    <row r="269" spans="1:28" ht="15" customHeight="1" x14ac:dyDescent="0.25">
      <c r="A269">
        <v>6440</v>
      </c>
      <c r="B269">
        <v>25210</v>
      </c>
      <c r="C269" s="4">
        <v>42847</v>
      </c>
      <c r="F269" s="46"/>
      <c r="G269">
        <v>8.9</v>
      </c>
      <c r="H269">
        <v>9.6</v>
      </c>
      <c r="I269">
        <v>10.9</v>
      </c>
      <c r="J269">
        <f t="shared" si="33"/>
        <v>1858.4999999999991</v>
      </c>
      <c r="K269" s="31">
        <f t="shared" si="38"/>
        <v>23.200000000000003</v>
      </c>
      <c r="L269" s="14" t="s">
        <v>39</v>
      </c>
      <c r="M269">
        <v>0</v>
      </c>
      <c r="N269">
        <v>2</v>
      </c>
      <c r="O269">
        <f t="shared" si="30"/>
        <v>-2</v>
      </c>
      <c r="P269">
        <f t="shared" si="35"/>
        <v>61.199999999999989</v>
      </c>
      <c r="Q269">
        <v>235</v>
      </c>
      <c r="R269">
        <v>1.1499999999999999</v>
      </c>
      <c r="S269" s="18">
        <f t="shared" si="31"/>
        <v>2.2999999999999998</v>
      </c>
      <c r="T269" s="18">
        <f t="shared" si="32"/>
        <v>-2.2999999999999998</v>
      </c>
      <c r="U269" s="18">
        <f t="shared" si="36"/>
        <v>56.881628548090688</v>
      </c>
      <c r="V269" s="23" t="s">
        <v>52</v>
      </c>
      <c r="W269">
        <v>1398.2</v>
      </c>
      <c r="Y269">
        <f t="shared" si="34"/>
        <v>147416.6</v>
      </c>
      <c r="Z269" s="31">
        <f t="shared" si="37"/>
        <v>4955.7</v>
      </c>
      <c r="AA269">
        <v>13.921138215479958</v>
      </c>
      <c r="AB269" s="23" t="s">
        <v>57</v>
      </c>
    </row>
    <row r="270" spans="1:28" x14ac:dyDescent="0.25">
      <c r="A270">
        <v>6440</v>
      </c>
      <c r="B270">
        <v>25210</v>
      </c>
      <c r="C270" s="4">
        <v>42848</v>
      </c>
      <c r="F270" s="46"/>
      <c r="G270">
        <v>7.3</v>
      </c>
      <c r="H270">
        <v>1.5</v>
      </c>
      <c r="I270">
        <v>12.6</v>
      </c>
      <c r="J270">
        <f t="shared" si="33"/>
        <v>1865.799999999999</v>
      </c>
      <c r="K270" s="31">
        <f t="shared" si="38"/>
        <v>30.500000000000004</v>
      </c>
      <c r="L270" s="8">
        <f>AVERAGE(G267:G294)</f>
        <v>10.953571428571427</v>
      </c>
      <c r="M270">
        <v>0</v>
      </c>
      <c r="N270">
        <v>1.7</v>
      </c>
      <c r="O270">
        <f t="shared" si="30"/>
        <v>-1.7</v>
      </c>
      <c r="P270">
        <f t="shared" si="35"/>
        <v>59.499999999999986</v>
      </c>
      <c r="Q270">
        <v>236</v>
      </c>
      <c r="R270">
        <v>1.1499999999999999</v>
      </c>
      <c r="S270" s="18">
        <f t="shared" si="31"/>
        <v>1.9549999999999998</v>
      </c>
      <c r="T270" s="18">
        <f t="shared" si="32"/>
        <v>-1.9549999999999998</v>
      </c>
      <c r="U270" s="18">
        <f t="shared" si="36"/>
        <v>54.92662854809069</v>
      </c>
      <c r="V270">
        <v>28</v>
      </c>
      <c r="W270">
        <v>1172.5</v>
      </c>
      <c r="Y270">
        <f t="shared" si="34"/>
        <v>148589.1</v>
      </c>
      <c r="Z270" s="31">
        <f t="shared" si="37"/>
        <v>6128.2</v>
      </c>
      <c r="AA270">
        <v>13.979841690663243</v>
      </c>
      <c r="AB270">
        <f>(AB268/100)/L268</f>
        <v>1.2308705575480927</v>
      </c>
    </row>
    <row r="271" spans="1:28" x14ac:dyDescent="0.25">
      <c r="A271">
        <v>6440</v>
      </c>
      <c r="B271">
        <v>25210</v>
      </c>
      <c r="C271" s="4">
        <v>42849</v>
      </c>
      <c r="F271" s="46"/>
      <c r="G271">
        <v>8.8000000000000007</v>
      </c>
      <c r="H271">
        <v>1.7</v>
      </c>
      <c r="I271">
        <v>15.1</v>
      </c>
      <c r="J271">
        <f t="shared" si="33"/>
        <v>1874.599999999999</v>
      </c>
      <c r="K271" s="31">
        <f t="shared" si="38"/>
        <v>39.300000000000004</v>
      </c>
      <c r="L271" s="14" t="s">
        <v>40</v>
      </c>
      <c r="M271">
        <v>0</v>
      </c>
      <c r="N271">
        <v>2.1</v>
      </c>
      <c r="O271">
        <f t="shared" si="30"/>
        <v>-2.1</v>
      </c>
      <c r="P271">
        <f t="shared" si="35"/>
        <v>57.399999999999984</v>
      </c>
      <c r="Q271">
        <v>237</v>
      </c>
      <c r="R271">
        <v>1.1499999999999999</v>
      </c>
      <c r="S271" s="18">
        <f t="shared" si="31"/>
        <v>2.415</v>
      </c>
      <c r="T271" s="18">
        <f t="shared" si="32"/>
        <v>-2.415</v>
      </c>
      <c r="U271" s="18">
        <f t="shared" si="36"/>
        <v>52.511628548090691</v>
      </c>
      <c r="V271" s="23" t="s">
        <v>53</v>
      </c>
      <c r="W271">
        <v>1394.2</v>
      </c>
      <c r="Y271">
        <f t="shared" si="34"/>
        <v>149983.30000000002</v>
      </c>
      <c r="Z271" s="31">
        <f t="shared" si="37"/>
        <v>7522.4</v>
      </c>
      <c r="AA271">
        <v>14.038197978994535</v>
      </c>
      <c r="AB271" s="23" t="s">
        <v>58</v>
      </c>
    </row>
    <row r="272" spans="1:28" x14ac:dyDescent="0.25">
      <c r="A272">
        <v>6440</v>
      </c>
      <c r="B272">
        <v>25210</v>
      </c>
      <c r="C272" s="4">
        <v>42850</v>
      </c>
      <c r="F272" s="46"/>
      <c r="G272">
        <v>6.8</v>
      </c>
      <c r="H272">
        <v>5.2</v>
      </c>
      <c r="I272">
        <v>9.8000000000000007</v>
      </c>
      <c r="J272">
        <f t="shared" si="33"/>
        <v>1881.399999999999</v>
      </c>
      <c r="K272" s="31">
        <f t="shared" si="38"/>
        <v>46.1</v>
      </c>
      <c r="L272" s="9">
        <f>MIN(H267:H294)</f>
        <v>-1.1000000000000001</v>
      </c>
      <c r="M272">
        <v>0</v>
      </c>
      <c r="N272">
        <v>2.5</v>
      </c>
      <c r="O272">
        <f t="shared" si="30"/>
        <v>-2.5</v>
      </c>
      <c r="P272">
        <f t="shared" si="35"/>
        <v>54.899999999999984</v>
      </c>
      <c r="Q272">
        <v>238</v>
      </c>
      <c r="R272">
        <v>1.1499999999999999</v>
      </c>
      <c r="S272" s="18">
        <f t="shared" si="31"/>
        <v>2.875</v>
      </c>
      <c r="T272" s="18">
        <f t="shared" si="32"/>
        <v>-2.875</v>
      </c>
      <c r="U272" s="18">
        <f t="shared" si="36"/>
        <v>49.636628548090691</v>
      </c>
      <c r="V272" s="18">
        <f>MIN(U267:U294)</f>
        <v>22.106628548090679</v>
      </c>
      <c r="W272">
        <v>1496.9</v>
      </c>
      <c r="Y272">
        <f t="shared" si="34"/>
        <v>151480.20000000001</v>
      </c>
      <c r="Z272" s="31">
        <f t="shared" si="37"/>
        <v>9019.2999999999993</v>
      </c>
      <c r="AA272">
        <v>14.096190796006669</v>
      </c>
      <c r="AB272">
        <v>7</v>
      </c>
    </row>
    <row r="273" spans="1:27" x14ac:dyDescent="0.25">
      <c r="A273">
        <v>6440</v>
      </c>
      <c r="B273">
        <v>25210</v>
      </c>
      <c r="C273" s="4">
        <v>42851</v>
      </c>
      <c r="F273" s="46"/>
      <c r="G273">
        <v>4.5</v>
      </c>
      <c r="H273">
        <v>0.5</v>
      </c>
      <c r="I273">
        <v>9.1999999999999993</v>
      </c>
      <c r="J273">
        <f t="shared" si="33"/>
        <v>1885.899999999999</v>
      </c>
      <c r="K273" s="31">
        <f t="shared" si="38"/>
        <v>50.6</v>
      </c>
      <c r="L273" s="14" t="s">
        <v>41</v>
      </c>
      <c r="M273">
        <v>0.6</v>
      </c>
      <c r="N273">
        <v>2.2999999999999998</v>
      </c>
      <c r="O273">
        <f t="shared" si="30"/>
        <v>-1.6999999999999997</v>
      </c>
      <c r="P273">
        <f t="shared" si="35"/>
        <v>53.199999999999982</v>
      </c>
      <c r="Q273">
        <v>239</v>
      </c>
      <c r="R273">
        <v>1.1499999999999999</v>
      </c>
      <c r="S273" s="18">
        <f t="shared" si="31"/>
        <v>2.6449999999999996</v>
      </c>
      <c r="T273" s="18">
        <f t="shared" si="32"/>
        <v>-2.0449999999999995</v>
      </c>
      <c r="U273" s="18">
        <f t="shared" si="36"/>
        <v>47.591628548090689</v>
      </c>
      <c r="V273" s="23" t="s">
        <v>54</v>
      </c>
      <c r="W273">
        <v>1920.3</v>
      </c>
      <c r="Y273">
        <f t="shared" si="34"/>
        <v>153400.5</v>
      </c>
      <c r="Z273" s="31">
        <f t="shared" si="37"/>
        <v>10939.599999999999</v>
      </c>
      <c r="AA273">
        <v>14.153803398434304</v>
      </c>
    </row>
    <row r="274" spans="1:27" x14ac:dyDescent="0.25">
      <c r="A274">
        <v>6440</v>
      </c>
      <c r="B274">
        <v>25210</v>
      </c>
      <c r="C274" s="4">
        <v>42852</v>
      </c>
      <c r="F274" s="46"/>
      <c r="G274">
        <v>6</v>
      </c>
      <c r="H274">
        <v>1</v>
      </c>
      <c r="I274">
        <v>10</v>
      </c>
      <c r="J274">
        <f t="shared" si="33"/>
        <v>1891.899999999999</v>
      </c>
      <c r="K274" s="31">
        <f t="shared" si="38"/>
        <v>56.6</v>
      </c>
      <c r="L274" s="8">
        <f>MAX(I267:I294)</f>
        <v>27.8</v>
      </c>
      <c r="M274">
        <v>1</v>
      </c>
      <c r="N274">
        <v>1.9</v>
      </c>
      <c r="O274">
        <f t="shared" si="30"/>
        <v>-0.89999999999999991</v>
      </c>
      <c r="P274">
        <f t="shared" si="35"/>
        <v>52.299999999999983</v>
      </c>
      <c r="Q274">
        <v>240</v>
      </c>
      <c r="R274">
        <v>1.1499999999999999</v>
      </c>
      <c r="S274" s="18">
        <f t="shared" si="31"/>
        <v>2.1849999999999996</v>
      </c>
      <c r="T274" s="18">
        <f t="shared" si="32"/>
        <v>-1.1849999999999996</v>
      </c>
      <c r="U274" s="18">
        <f t="shared" si="36"/>
        <v>46.406628548090687</v>
      </c>
      <c r="V274" s="18">
        <f>MAX(U267:U294)</f>
        <v>61.136628548090684</v>
      </c>
      <c r="W274">
        <v>1351.3</v>
      </c>
      <c r="Y274">
        <f t="shared" si="34"/>
        <v>154751.79999999999</v>
      </c>
      <c r="Z274" s="31">
        <f t="shared" si="37"/>
        <v>12290.899999999998</v>
      </c>
      <c r="AA274">
        <v>14.211018578421276</v>
      </c>
    </row>
    <row r="275" spans="1:27" x14ac:dyDescent="0.25">
      <c r="A275">
        <v>6440</v>
      </c>
      <c r="B275">
        <v>25210</v>
      </c>
      <c r="C275" s="4">
        <v>42853</v>
      </c>
      <c r="F275" s="46"/>
      <c r="G275">
        <v>8.1999999999999993</v>
      </c>
      <c r="H275">
        <v>4.5999999999999996</v>
      </c>
      <c r="I275">
        <v>11.4</v>
      </c>
      <c r="J275">
        <f t="shared" si="33"/>
        <v>1900.099999999999</v>
      </c>
      <c r="K275" s="31">
        <f t="shared" si="38"/>
        <v>64.8</v>
      </c>
      <c r="L275" s="14" t="s">
        <v>42</v>
      </c>
      <c r="M275">
        <v>0.7</v>
      </c>
      <c r="N275">
        <v>1.6</v>
      </c>
      <c r="O275">
        <f t="shared" si="30"/>
        <v>-0.90000000000000013</v>
      </c>
      <c r="P275">
        <f t="shared" si="35"/>
        <v>51.399999999999984</v>
      </c>
      <c r="Q275">
        <v>241</v>
      </c>
      <c r="R275">
        <v>1.1499999999999999</v>
      </c>
      <c r="S275" s="18">
        <f t="shared" si="31"/>
        <v>1.8399999999999999</v>
      </c>
      <c r="T275" s="18">
        <f t="shared" si="32"/>
        <v>-1.1399999999999999</v>
      </c>
      <c r="U275" s="18">
        <f t="shared" si="36"/>
        <v>45.266628548090686</v>
      </c>
      <c r="V275" s="23" t="s">
        <v>55</v>
      </c>
      <c r="W275">
        <v>1085.5</v>
      </c>
      <c r="Y275">
        <f t="shared" si="34"/>
        <v>155837.29999999999</v>
      </c>
      <c r="Z275" s="31">
        <f t="shared" si="37"/>
        <v>13376.399999999998</v>
      </c>
      <c r="AA275">
        <v>14.267818658781598</v>
      </c>
    </row>
    <row r="276" spans="1:27" x14ac:dyDescent="0.25">
      <c r="A276">
        <v>6440</v>
      </c>
      <c r="B276">
        <v>25210</v>
      </c>
      <c r="C276" s="4">
        <v>42854</v>
      </c>
      <c r="F276" s="46"/>
      <c r="G276">
        <v>9.6</v>
      </c>
      <c r="H276">
        <v>4.5</v>
      </c>
      <c r="I276">
        <v>14.5</v>
      </c>
      <c r="J276">
        <f t="shared" si="33"/>
        <v>1909.6999999999989</v>
      </c>
      <c r="K276" s="31">
        <f t="shared" si="38"/>
        <v>74.399999999999991</v>
      </c>
      <c r="L276" s="8">
        <v>1</v>
      </c>
      <c r="M276">
        <v>0</v>
      </c>
      <c r="N276">
        <v>2.5</v>
      </c>
      <c r="O276">
        <f t="shared" si="30"/>
        <v>-2.5</v>
      </c>
      <c r="P276">
        <f t="shared" si="35"/>
        <v>48.899999999999984</v>
      </c>
      <c r="Q276">
        <v>242</v>
      </c>
      <c r="R276">
        <v>1.1499999999999999</v>
      </c>
      <c r="S276" s="18">
        <f t="shared" si="31"/>
        <v>2.875</v>
      </c>
      <c r="T276" s="18">
        <f t="shared" si="32"/>
        <v>-2.875</v>
      </c>
      <c r="U276" s="18">
        <f t="shared" si="36"/>
        <v>42.391628548090686</v>
      </c>
      <c r="V276" s="18">
        <f>AVERAGE(U267:U294)</f>
        <v>41.211092833804962</v>
      </c>
      <c r="W276">
        <v>1438</v>
      </c>
      <c r="Y276">
        <f t="shared" si="34"/>
        <v>157275.29999999999</v>
      </c>
      <c r="Z276" s="31">
        <f t="shared" si="37"/>
        <v>14814.399999999998</v>
      </c>
      <c r="AA276">
        <v>14.324185489389306</v>
      </c>
    </row>
    <row r="277" spans="1:27" x14ac:dyDescent="0.25">
      <c r="A277">
        <v>6440</v>
      </c>
      <c r="B277">
        <v>25210</v>
      </c>
      <c r="C277" s="4">
        <v>42855</v>
      </c>
      <c r="F277" s="46"/>
      <c r="G277">
        <v>11.6</v>
      </c>
      <c r="H277">
        <v>5.5</v>
      </c>
      <c r="I277">
        <v>18.100000000000001</v>
      </c>
      <c r="J277">
        <f t="shared" si="33"/>
        <v>1921.2999999999988</v>
      </c>
      <c r="K277" s="31">
        <f t="shared" si="38"/>
        <v>85.999999999999986</v>
      </c>
      <c r="L277" s="14" t="s">
        <v>43</v>
      </c>
      <c r="M277">
        <v>2.7</v>
      </c>
      <c r="N277">
        <v>3.4</v>
      </c>
      <c r="O277">
        <f t="shared" si="30"/>
        <v>-0.69999999999999973</v>
      </c>
      <c r="P277">
        <f t="shared" si="35"/>
        <v>48.199999999999982</v>
      </c>
      <c r="Q277">
        <v>243</v>
      </c>
      <c r="R277">
        <v>1.1499999999999999</v>
      </c>
      <c r="S277" s="18">
        <f t="shared" si="31"/>
        <v>3.9099999999999997</v>
      </c>
      <c r="T277" s="18">
        <f t="shared" si="32"/>
        <v>-1.2099999999999995</v>
      </c>
      <c r="U277" s="18">
        <f t="shared" si="36"/>
        <v>41.181628548090686</v>
      </c>
      <c r="W277">
        <v>1605.4</v>
      </c>
      <c r="Y277">
        <f t="shared" si="34"/>
        <v>158880.69999999998</v>
      </c>
      <c r="Z277" s="31">
        <f t="shared" si="37"/>
        <v>16419.8</v>
      </c>
      <c r="AA277">
        <v>14.380100444774937</v>
      </c>
    </row>
    <row r="278" spans="1:27" x14ac:dyDescent="0.25">
      <c r="A278">
        <v>6440</v>
      </c>
      <c r="B278">
        <v>25210</v>
      </c>
      <c r="C278" s="4">
        <v>42856</v>
      </c>
      <c r="F278" s="46"/>
      <c r="G278">
        <v>9.6999999999999993</v>
      </c>
      <c r="H278">
        <v>7.2</v>
      </c>
      <c r="I278">
        <v>13.3</v>
      </c>
      <c r="J278">
        <f t="shared" si="33"/>
        <v>1930.9999999999989</v>
      </c>
      <c r="K278" s="31">
        <f t="shared" si="38"/>
        <v>95.699999999999989</v>
      </c>
      <c r="L278" s="8">
        <v>8</v>
      </c>
      <c r="M278">
        <v>0</v>
      </c>
      <c r="N278">
        <v>1.6</v>
      </c>
      <c r="O278">
        <f t="shared" si="30"/>
        <v>-1.6</v>
      </c>
      <c r="P278">
        <f t="shared" si="35"/>
        <v>46.59999999999998</v>
      </c>
      <c r="Q278">
        <v>244</v>
      </c>
      <c r="R278">
        <v>1.1499999999999999</v>
      </c>
      <c r="S278" s="18">
        <f t="shared" si="31"/>
        <v>1.8399999999999999</v>
      </c>
      <c r="T278" s="18">
        <f t="shared" si="32"/>
        <v>-1.8399999999999999</v>
      </c>
      <c r="U278" s="18">
        <f t="shared" si="36"/>
        <v>39.341628548090682</v>
      </c>
      <c r="V278" s="37">
        <f>(V276*100)/189.6</f>
        <v>21.735808456648186</v>
      </c>
      <c r="W278">
        <v>779.6</v>
      </c>
      <c r="Y278">
        <f t="shared" si="34"/>
        <v>159660.29999999999</v>
      </c>
      <c r="Z278" s="31">
        <f t="shared" si="37"/>
        <v>17199.399999999998</v>
      </c>
      <c r="AA278">
        <v>14.435544423008793</v>
      </c>
    </row>
    <row r="279" spans="1:27" x14ac:dyDescent="0.25">
      <c r="A279">
        <v>6440</v>
      </c>
      <c r="B279">
        <v>25210</v>
      </c>
      <c r="C279" s="4">
        <v>42857</v>
      </c>
      <c r="F279" s="46"/>
      <c r="G279">
        <v>10.199999999999999</v>
      </c>
      <c r="H279">
        <v>4.2</v>
      </c>
      <c r="I279">
        <v>15.5</v>
      </c>
      <c r="J279">
        <f t="shared" si="33"/>
        <v>1941.1999999999989</v>
      </c>
      <c r="K279" s="31">
        <f t="shared" si="38"/>
        <v>105.89999999999999</v>
      </c>
      <c r="L279" s="14" t="s">
        <v>44</v>
      </c>
      <c r="M279">
        <v>0.8</v>
      </c>
      <c r="N279">
        <v>2.4</v>
      </c>
      <c r="O279">
        <f t="shared" si="30"/>
        <v>-1.5999999999999999</v>
      </c>
      <c r="P279">
        <f t="shared" si="35"/>
        <v>44.999999999999979</v>
      </c>
      <c r="Q279">
        <v>245</v>
      </c>
      <c r="R279">
        <v>1.1499999999999999</v>
      </c>
      <c r="S279" s="18">
        <f t="shared" si="31"/>
        <v>2.76</v>
      </c>
      <c r="T279" s="18">
        <f t="shared" si="32"/>
        <v>-1.9599999999999997</v>
      </c>
      <c r="U279" s="18">
        <f t="shared" si="36"/>
        <v>37.381628548090681</v>
      </c>
      <c r="W279">
        <v>1541.8</v>
      </c>
      <c r="Y279">
        <f t="shared" si="34"/>
        <v>161202.09999999998</v>
      </c>
      <c r="Z279" s="31">
        <f t="shared" si="37"/>
        <v>18741.199999999997</v>
      </c>
      <c r="AA279">
        <v>14.490497845953199</v>
      </c>
    </row>
    <row r="280" spans="1:27" x14ac:dyDescent="0.25">
      <c r="A280">
        <v>6440</v>
      </c>
      <c r="B280">
        <v>25210</v>
      </c>
      <c r="C280" s="4">
        <v>42858</v>
      </c>
      <c r="F280" s="46"/>
      <c r="G280">
        <v>9.9</v>
      </c>
      <c r="H280">
        <v>9.1</v>
      </c>
      <c r="I280">
        <v>11.5</v>
      </c>
      <c r="J280">
        <f t="shared" si="33"/>
        <v>1951.099999999999</v>
      </c>
      <c r="K280" s="31">
        <f t="shared" si="38"/>
        <v>115.8</v>
      </c>
      <c r="L280" s="13">
        <v>1</v>
      </c>
      <c r="M280">
        <v>4.3</v>
      </c>
      <c r="N280">
        <v>0.9</v>
      </c>
      <c r="O280">
        <f t="shared" si="30"/>
        <v>3.4</v>
      </c>
      <c r="P280">
        <f t="shared" si="35"/>
        <v>48.399999999999977</v>
      </c>
      <c r="Q280">
        <v>246</v>
      </c>
      <c r="R280">
        <v>1.1499999999999999</v>
      </c>
      <c r="S280" s="18">
        <f t="shared" si="31"/>
        <v>1.0349999999999999</v>
      </c>
      <c r="T280" s="18">
        <f t="shared" si="32"/>
        <v>3.2649999999999997</v>
      </c>
      <c r="U280" s="18">
        <f t="shared" si="36"/>
        <v>40.646628548090682</v>
      </c>
      <c r="W280">
        <v>555.1</v>
      </c>
      <c r="Y280">
        <f t="shared" si="34"/>
        <v>161757.19999999998</v>
      </c>
      <c r="Z280" s="31">
        <f t="shared" si="37"/>
        <v>19296.299999999996</v>
      </c>
      <c r="AA280">
        <v>14.544940660967747</v>
      </c>
    </row>
    <row r="281" spans="1:27" x14ac:dyDescent="0.25">
      <c r="A281">
        <v>6440</v>
      </c>
      <c r="B281">
        <v>25210</v>
      </c>
      <c r="C281" s="4">
        <v>42859</v>
      </c>
      <c r="F281" s="46"/>
      <c r="G281">
        <v>11.1</v>
      </c>
      <c r="H281">
        <v>7.8</v>
      </c>
      <c r="I281">
        <v>13.7</v>
      </c>
      <c r="J281">
        <f t="shared" si="33"/>
        <v>1962.1999999999989</v>
      </c>
      <c r="K281" s="31">
        <f t="shared" si="38"/>
        <v>126.89999999999999</v>
      </c>
      <c r="M281">
        <v>0.1</v>
      </c>
      <c r="N281">
        <v>1.6</v>
      </c>
      <c r="O281">
        <f t="shared" si="30"/>
        <v>-1.5</v>
      </c>
      <c r="P281">
        <f t="shared" si="35"/>
        <v>46.899999999999977</v>
      </c>
      <c r="Q281">
        <v>247</v>
      </c>
      <c r="R281">
        <v>1.1499999999999999</v>
      </c>
      <c r="S281" s="18">
        <f t="shared" si="31"/>
        <v>1.8399999999999999</v>
      </c>
      <c r="T281" s="18">
        <f t="shared" si="32"/>
        <v>-1.7399999999999998</v>
      </c>
      <c r="U281" s="18">
        <f t="shared" si="36"/>
        <v>38.90662854809068</v>
      </c>
      <c r="W281">
        <v>1069.5999999999999</v>
      </c>
      <c r="Y281">
        <f t="shared" si="34"/>
        <v>162826.79999999999</v>
      </c>
      <c r="Z281" s="31">
        <f t="shared" si="37"/>
        <v>20365.899999999994</v>
      </c>
      <c r="AA281">
        <v>14.598852344152942</v>
      </c>
    </row>
    <row r="282" spans="1:27" x14ac:dyDescent="0.25">
      <c r="A282">
        <v>6440</v>
      </c>
      <c r="B282">
        <v>25210</v>
      </c>
      <c r="C282" s="4">
        <v>42860</v>
      </c>
      <c r="F282" s="46"/>
      <c r="G282">
        <v>11.2</v>
      </c>
      <c r="H282">
        <v>7.8</v>
      </c>
      <c r="I282">
        <v>14.7</v>
      </c>
      <c r="J282">
        <f t="shared" si="33"/>
        <v>1973.399999999999</v>
      </c>
      <c r="K282" s="31">
        <f t="shared" si="38"/>
        <v>138.1</v>
      </c>
      <c r="M282">
        <v>0</v>
      </c>
      <c r="N282">
        <v>1.8</v>
      </c>
      <c r="O282">
        <f t="shared" si="30"/>
        <v>-1.8</v>
      </c>
      <c r="P282">
        <f t="shared" si="35"/>
        <v>45.09999999999998</v>
      </c>
      <c r="Q282">
        <v>248</v>
      </c>
      <c r="R282">
        <v>1.1499999999999999</v>
      </c>
      <c r="S282" s="18">
        <f t="shared" si="31"/>
        <v>2.0699999999999998</v>
      </c>
      <c r="T282" s="18">
        <f t="shared" si="32"/>
        <v>-2.0699999999999998</v>
      </c>
      <c r="U282" s="18">
        <f t="shared" si="36"/>
        <v>36.83662854809068</v>
      </c>
      <c r="W282">
        <v>1141.8</v>
      </c>
      <c r="Y282">
        <f t="shared" si="34"/>
        <v>163968.59999999998</v>
      </c>
      <c r="Z282" s="31">
        <f t="shared" si="37"/>
        <v>21507.699999999993</v>
      </c>
      <c r="AA282">
        <v>14.652211905218499</v>
      </c>
    </row>
    <row r="283" spans="1:27" x14ac:dyDescent="0.25">
      <c r="A283">
        <v>6440</v>
      </c>
      <c r="B283">
        <v>25210</v>
      </c>
      <c r="C283" s="4">
        <v>42861</v>
      </c>
      <c r="F283" s="46"/>
      <c r="G283">
        <v>11.1</v>
      </c>
      <c r="H283">
        <v>8.8000000000000007</v>
      </c>
      <c r="I283">
        <v>13</v>
      </c>
      <c r="J283">
        <f t="shared" si="33"/>
        <v>1984.4999999999989</v>
      </c>
      <c r="K283" s="31">
        <f t="shared" si="38"/>
        <v>149.19999999999999</v>
      </c>
      <c r="M283">
        <v>7.1</v>
      </c>
      <c r="N283">
        <v>1.3</v>
      </c>
      <c r="O283">
        <f t="shared" si="30"/>
        <v>5.8</v>
      </c>
      <c r="P283">
        <f t="shared" si="35"/>
        <v>50.899999999999977</v>
      </c>
      <c r="Q283">
        <v>249</v>
      </c>
      <c r="R283">
        <v>1.1499999999999999</v>
      </c>
      <c r="S283" s="18">
        <f t="shared" si="31"/>
        <v>1.4949999999999999</v>
      </c>
      <c r="T283" s="18">
        <f t="shared" si="32"/>
        <v>5.6049999999999995</v>
      </c>
      <c r="U283" s="18">
        <f t="shared" si="36"/>
        <v>42.441628548090677</v>
      </c>
      <c r="W283">
        <v>762.1</v>
      </c>
      <c r="Y283">
        <f t="shared" si="34"/>
        <v>164730.69999999998</v>
      </c>
      <c r="Z283" s="31">
        <f t="shared" si="37"/>
        <v>22269.799999999992</v>
      </c>
      <c r="AA283">
        <v>14.704997894063093</v>
      </c>
    </row>
    <row r="284" spans="1:27" x14ac:dyDescent="0.25">
      <c r="A284">
        <v>6440</v>
      </c>
      <c r="B284">
        <v>25210</v>
      </c>
      <c r="C284" s="4">
        <v>42862</v>
      </c>
      <c r="F284" s="46"/>
      <c r="G284">
        <v>9.8000000000000007</v>
      </c>
      <c r="H284">
        <v>9.6999999999999993</v>
      </c>
      <c r="I284">
        <v>10.4</v>
      </c>
      <c r="J284">
        <f t="shared" si="33"/>
        <v>1994.2999999999988</v>
      </c>
      <c r="K284" s="31">
        <f t="shared" si="38"/>
        <v>159</v>
      </c>
      <c r="M284">
        <v>2.2000000000000002</v>
      </c>
      <c r="N284">
        <v>0.8</v>
      </c>
      <c r="O284">
        <f t="shared" si="30"/>
        <v>1.4000000000000001</v>
      </c>
      <c r="P284">
        <f t="shared" si="35"/>
        <v>52.299999999999976</v>
      </c>
      <c r="Q284">
        <v>250</v>
      </c>
      <c r="R284">
        <v>1.1499999999999999</v>
      </c>
      <c r="S284" s="18">
        <f t="shared" si="31"/>
        <v>0.91999999999999993</v>
      </c>
      <c r="T284" s="18">
        <f t="shared" si="32"/>
        <v>1.2800000000000002</v>
      </c>
      <c r="U284" s="18">
        <f t="shared" si="36"/>
        <v>43.721628548090678</v>
      </c>
      <c r="W284">
        <v>422.4</v>
      </c>
      <c r="Y284">
        <f t="shared" si="34"/>
        <v>165153.09999999998</v>
      </c>
      <c r="Z284" s="31">
        <f t="shared" si="37"/>
        <v>22692.199999999993</v>
      </c>
      <c r="AA284">
        <v>14.757188409152088</v>
      </c>
    </row>
    <row r="285" spans="1:27" x14ac:dyDescent="0.25">
      <c r="A285">
        <v>6440</v>
      </c>
      <c r="B285">
        <v>25210</v>
      </c>
      <c r="C285" s="4">
        <v>42863</v>
      </c>
      <c r="F285" s="46"/>
      <c r="G285">
        <v>8.5</v>
      </c>
      <c r="H285">
        <v>7.2</v>
      </c>
      <c r="I285">
        <v>10.6</v>
      </c>
      <c r="J285">
        <f t="shared" si="33"/>
        <v>2002.7999999999988</v>
      </c>
      <c r="K285" s="31">
        <f t="shared" si="38"/>
        <v>167.5</v>
      </c>
      <c r="M285">
        <v>0.8</v>
      </c>
      <c r="N285">
        <v>1.1000000000000001</v>
      </c>
      <c r="O285">
        <f t="shared" si="30"/>
        <v>-0.30000000000000004</v>
      </c>
      <c r="P285">
        <f t="shared" si="35"/>
        <v>51.999999999999979</v>
      </c>
      <c r="Q285">
        <v>251</v>
      </c>
      <c r="R285">
        <v>1.1499999999999999</v>
      </c>
      <c r="S285" s="18">
        <f t="shared" si="31"/>
        <v>1.2649999999999999</v>
      </c>
      <c r="T285" s="18">
        <f t="shared" si="32"/>
        <v>-0.46499999999999986</v>
      </c>
      <c r="U285" s="18">
        <f t="shared" si="36"/>
        <v>43.256628548090674</v>
      </c>
      <c r="W285">
        <v>632</v>
      </c>
      <c r="Y285">
        <f t="shared" si="34"/>
        <v>165785.09999999998</v>
      </c>
      <c r="Z285" s="31">
        <f t="shared" si="37"/>
        <v>23324.199999999993</v>
      </c>
      <c r="AA285">
        <v>14.808761107779103</v>
      </c>
    </row>
    <row r="286" spans="1:27" x14ac:dyDescent="0.25">
      <c r="A286">
        <v>6440</v>
      </c>
      <c r="B286">
        <v>25210</v>
      </c>
      <c r="C286" s="4">
        <v>42864</v>
      </c>
      <c r="F286" s="46"/>
      <c r="G286">
        <v>9.9</v>
      </c>
      <c r="H286">
        <v>5.0999999999999996</v>
      </c>
      <c r="I286">
        <v>14</v>
      </c>
      <c r="J286">
        <f t="shared" si="33"/>
        <v>2012.6999999999989</v>
      </c>
      <c r="K286" s="31">
        <f t="shared" si="38"/>
        <v>177.4</v>
      </c>
      <c r="M286">
        <v>0</v>
      </c>
      <c r="N286">
        <v>3.2</v>
      </c>
      <c r="O286">
        <f t="shared" si="30"/>
        <v>-3.2</v>
      </c>
      <c r="P286">
        <f t="shared" si="35"/>
        <v>48.799999999999976</v>
      </c>
      <c r="Q286">
        <v>252</v>
      </c>
      <c r="R286">
        <v>1.1499999999999999</v>
      </c>
      <c r="S286" s="18">
        <f t="shared" si="31"/>
        <v>3.6799999999999997</v>
      </c>
      <c r="T286" s="18">
        <f t="shared" si="32"/>
        <v>-3.6799999999999997</v>
      </c>
      <c r="U286" s="18">
        <f t="shared" si="36"/>
        <v>39.576628548090675</v>
      </c>
      <c r="W286">
        <v>2342.6999999999998</v>
      </c>
      <c r="Y286">
        <f t="shared" si="34"/>
        <v>168127.8</v>
      </c>
      <c r="Z286" s="31">
        <f t="shared" si="37"/>
        <v>25666.899999999994</v>
      </c>
      <c r="AA286">
        <v>14.859693218295664</v>
      </c>
    </row>
    <row r="287" spans="1:27" x14ac:dyDescent="0.25">
      <c r="A287">
        <v>6440</v>
      </c>
      <c r="B287">
        <v>25210</v>
      </c>
      <c r="C287" s="4">
        <v>42865</v>
      </c>
      <c r="F287" s="46"/>
      <c r="G287">
        <v>12.6</v>
      </c>
      <c r="H287">
        <v>6</v>
      </c>
      <c r="I287">
        <v>19.2</v>
      </c>
      <c r="J287">
        <f t="shared" si="33"/>
        <v>2025.2999999999988</v>
      </c>
      <c r="K287" s="31">
        <f t="shared" si="38"/>
        <v>190</v>
      </c>
      <c r="M287">
        <v>0</v>
      </c>
      <c r="N287">
        <v>4.0999999999999996</v>
      </c>
      <c r="O287">
        <f t="shared" si="30"/>
        <v>-4.0999999999999996</v>
      </c>
      <c r="P287">
        <f t="shared" si="35"/>
        <v>44.699999999999974</v>
      </c>
      <c r="Q287">
        <v>253</v>
      </c>
      <c r="R287">
        <v>1.1499999999999999</v>
      </c>
      <c r="S287" s="18">
        <f t="shared" si="31"/>
        <v>4.714999999999999</v>
      </c>
      <c r="T287" s="18">
        <f t="shared" si="32"/>
        <v>-4.714999999999999</v>
      </c>
      <c r="U287" s="18">
        <f t="shared" si="36"/>
        <v>34.861628548090678</v>
      </c>
      <c r="W287">
        <v>2594</v>
      </c>
      <c r="Y287">
        <f t="shared" si="34"/>
        <v>170721.8</v>
      </c>
      <c r="Z287" s="31">
        <f t="shared" si="37"/>
        <v>28260.899999999994</v>
      </c>
      <c r="AA287">
        <v>14.909961554390947</v>
      </c>
    </row>
    <row r="288" spans="1:27" x14ac:dyDescent="0.25">
      <c r="A288">
        <v>6440</v>
      </c>
      <c r="B288">
        <v>25210</v>
      </c>
      <c r="C288" s="4">
        <v>42866</v>
      </c>
      <c r="F288" s="46"/>
      <c r="G288">
        <v>15.2</v>
      </c>
      <c r="H288">
        <v>8.4</v>
      </c>
      <c r="I288">
        <v>22</v>
      </c>
      <c r="J288">
        <f t="shared" si="33"/>
        <v>2040.4999999999989</v>
      </c>
      <c r="K288" s="31">
        <f t="shared" si="38"/>
        <v>205.2</v>
      </c>
      <c r="M288">
        <v>2.9</v>
      </c>
      <c r="N288">
        <v>1.8</v>
      </c>
      <c r="O288">
        <f t="shared" si="30"/>
        <v>1.0999999999999999</v>
      </c>
      <c r="P288">
        <f t="shared" si="35"/>
        <v>45.799999999999976</v>
      </c>
      <c r="Q288">
        <v>254</v>
      </c>
      <c r="R288">
        <v>1.1499999999999999</v>
      </c>
      <c r="S288" s="18">
        <f t="shared" si="31"/>
        <v>2.0699999999999998</v>
      </c>
      <c r="T288" s="18">
        <f t="shared" si="32"/>
        <v>0.83000000000000007</v>
      </c>
      <c r="U288" s="18">
        <f t="shared" si="36"/>
        <v>35.691628548090677</v>
      </c>
      <c r="W288">
        <v>674.3</v>
      </c>
      <c r="Y288">
        <f t="shared" si="34"/>
        <v>171396.09999999998</v>
      </c>
      <c r="Z288" s="31">
        <f t="shared" si="37"/>
        <v>28935.199999999993</v>
      </c>
      <c r="AA288">
        <v>14.959542531500393</v>
      </c>
    </row>
    <row r="289" spans="1:28" x14ac:dyDescent="0.25">
      <c r="A289">
        <v>6440</v>
      </c>
      <c r="B289">
        <v>25210</v>
      </c>
      <c r="C289" s="4">
        <v>42867</v>
      </c>
      <c r="F289" s="46"/>
      <c r="G289">
        <v>15.5</v>
      </c>
      <c r="H289">
        <v>12.8</v>
      </c>
      <c r="I289">
        <v>20.7</v>
      </c>
      <c r="J289">
        <f t="shared" si="33"/>
        <v>2055.9999999999991</v>
      </c>
      <c r="K289" s="31">
        <f t="shared" si="38"/>
        <v>220.7</v>
      </c>
      <c r="M289">
        <v>1.6</v>
      </c>
      <c r="N289">
        <v>2.6</v>
      </c>
      <c r="O289">
        <f t="shared" si="30"/>
        <v>-1</v>
      </c>
      <c r="P289">
        <f t="shared" si="35"/>
        <v>44.799999999999976</v>
      </c>
      <c r="Q289">
        <v>255</v>
      </c>
      <c r="R289">
        <v>1.1499999999999999</v>
      </c>
      <c r="S289" s="18">
        <f t="shared" si="31"/>
        <v>2.9899999999999998</v>
      </c>
      <c r="T289" s="18">
        <f t="shared" si="32"/>
        <v>-1.3899999999999997</v>
      </c>
      <c r="U289" s="18">
        <f t="shared" si="36"/>
        <v>34.301628548090676</v>
      </c>
      <c r="W289">
        <v>1073.7</v>
      </c>
      <c r="Y289">
        <f t="shared" si="34"/>
        <v>172469.8</v>
      </c>
      <c r="Z289" s="31">
        <f t="shared" si="37"/>
        <v>30008.899999999994</v>
      </c>
      <c r="AA289">
        <v>15.008412185417962</v>
      </c>
    </row>
    <row r="290" spans="1:28" x14ac:dyDescent="0.25">
      <c r="A290">
        <v>6440</v>
      </c>
      <c r="B290">
        <v>25210</v>
      </c>
      <c r="C290" s="4">
        <v>42868</v>
      </c>
      <c r="F290" s="46"/>
      <c r="G290">
        <v>14.9</v>
      </c>
      <c r="H290">
        <v>12.8</v>
      </c>
      <c r="I290">
        <v>17.8</v>
      </c>
      <c r="J290">
        <f t="shared" si="33"/>
        <v>2070.8999999999992</v>
      </c>
      <c r="K290" s="31">
        <f t="shared" si="38"/>
        <v>235.6</v>
      </c>
      <c r="M290">
        <v>0</v>
      </c>
      <c r="N290">
        <v>2.8</v>
      </c>
      <c r="O290">
        <f t="shared" si="30"/>
        <v>-2.8</v>
      </c>
      <c r="P290">
        <f t="shared" si="35"/>
        <v>41.999999999999979</v>
      </c>
      <c r="Q290">
        <v>256</v>
      </c>
      <c r="R290">
        <v>1.1499999999999999</v>
      </c>
      <c r="S290" s="18">
        <f t="shared" si="31"/>
        <v>3.2199999999999998</v>
      </c>
      <c r="T290" s="18">
        <f t="shared" si="32"/>
        <v>-3.2199999999999998</v>
      </c>
      <c r="U290" s="18">
        <f t="shared" si="36"/>
        <v>31.081628548090677</v>
      </c>
      <c r="W290">
        <v>1483</v>
      </c>
      <c r="Y290">
        <f t="shared" si="34"/>
        <v>173952.8</v>
      </c>
      <c r="Z290" s="31">
        <f t="shared" si="37"/>
        <v>31491.899999999994</v>
      </c>
      <c r="AA290">
        <v>15.056546193181529</v>
      </c>
    </row>
    <row r="291" spans="1:28" x14ac:dyDescent="0.25">
      <c r="A291">
        <v>6440</v>
      </c>
      <c r="B291">
        <v>25210</v>
      </c>
      <c r="C291" s="4">
        <v>42869</v>
      </c>
      <c r="F291" s="46"/>
      <c r="G291">
        <v>13.5</v>
      </c>
      <c r="H291">
        <v>10.4</v>
      </c>
      <c r="I291">
        <v>17.8</v>
      </c>
      <c r="J291">
        <f t="shared" si="33"/>
        <v>2084.3999999999992</v>
      </c>
      <c r="K291" s="31">
        <f t="shared" si="38"/>
        <v>249.1</v>
      </c>
      <c r="M291">
        <v>0.6</v>
      </c>
      <c r="N291">
        <v>2.7</v>
      </c>
      <c r="O291">
        <f t="shared" si="30"/>
        <v>-2.1</v>
      </c>
      <c r="P291">
        <f t="shared" si="35"/>
        <v>39.899999999999977</v>
      </c>
      <c r="Q291">
        <v>257</v>
      </c>
      <c r="R291">
        <v>1.1499999999999999</v>
      </c>
      <c r="S291" s="18">
        <f t="shared" si="31"/>
        <v>3.105</v>
      </c>
      <c r="T291" s="18">
        <f t="shared" si="32"/>
        <v>-2.5049999999999999</v>
      </c>
      <c r="U291" s="18">
        <f t="shared" si="36"/>
        <v>28.576628548090678</v>
      </c>
      <c r="W291">
        <v>1542.4</v>
      </c>
      <c r="Y291">
        <f t="shared" si="34"/>
        <v>175495.19999999998</v>
      </c>
      <c r="Z291" s="31">
        <f t="shared" si="37"/>
        <v>33034.299999999996</v>
      </c>
      <c r="AA291">
        <v>15.103919896294839</v>
      </c>
    </row>
    <row r="292" spans="1:28" x14ac:dyDescent="0.25">
      <c r="A292">
        <v>6440</v>
      </c>
      <c r="B292">
        <v>25210</v>
      </c>
      <c r="C292" s="4">
        <v>42870</v>
      </c>
      <c r="F292" s="46"/>
      <c r="G292">
        <v>15.9</v>
      </c>
      <c r="H292">
        <v>7.2</v>
      </c>
      <c r="I292">
        <v>21.2</v>
      </c>
      <c r="J292">
        <f t="shared" si="33"/>
        <v>2100.2999999999993</v>
      </c>
      <c r="K292" s="31">
        <f t="shared" si="38"/>
        <v>265</v>
      </c>
      <c r="M292">
        <v>0</v>
      </c>
      <c r="N292">
        <v>2.9</v>
      </c>
      <c r="O292">
        <f t="shared" ref="O292:O355" si="39">M292-N292</f>
        <v>-2.9</v>
      </c>
      <c r="P292">
        <f t="shared" si="35"/>
        <v>36.999999999999979</v>
      </c>
      <c r="Q292">
        <v>258</v>
      </c>
      <c r="R292">
        <v>1.1499999999999999</v>
      </c>
      <c r="S292" s="18">
        <f t="shared" ref="S292:S355" si="40">R292*N292</f>
        <v>3.3349999999999995</v>
      </c>
      <c r="T292" s="18">
        <f t="shared" ref="T292:T355" si="41">M292-S292</f>
        <v>-3.3349999999999995</v>
      </c>
      <c r="U292" s="18">
        <f t="shared" si="36"/>
        <v>25.241628548090677</v>
      </c>
      <c r="W292">
        <v>1920.7</v>
      </c>
      <c r="Y292">
        <f t="shared" si="34"/>
        <v>177415.9</v>
      </c>
      <c r="Z292" s="31">
        <f t="shared" si="37"/>
        <v>34954.999999999993</v>
      </c>
      <c r="AA292">
        <v>15.150508326342006</v>
      </c>
    </row>
    <row r="293" spans="1:28" x14ac:dyDescent="0.25">
      <c r="A293">
        <v>6440</v>
      </c>
      <c r="B293">
        <v>25210</v>
      </c>
      <c r="C293" s="4">
        <v>42871</v>
      </c>
      <c r="F293" s="46"/>
      <c r="G293">
        <v>20.399999999999999</v>
      </c>
      <c r="H293">
        <v>15.4</v>
      </c>
      <c r="I293">
        <v>24.8</v>
      </c>
      <c r="J293">
        <f t="shared" ref="J293:J356" si="42">J292+G293</f>
        <v>2120.6999999999994</v>
      </c>
      <c r="K293" s="31">
        <f t="shared" si="38"/>
        <v>285.39999999999998</v>
      </c>
      <c r="M293">
        <v>0</v>
      </c>
      <c r="N293">
        <v>2.1</v>
      </c>
      <c r="O293">
        <f t="shared" si="39"/>
        <v>-2.1</v>
      </c>
      <c r="P293">
        <f t="shared" si="35"/>
        <v>34.899999999999977</v>
      </c>
      <c r="Q293">
        <v>259</v>
      </c>
      <c r="R293">
        <v>1.1499999999999999</v>
      </c>
      <c r="S293" s="18">
        <f t="shared" si="40"/>
        <v>2.415</v>
      </c>
      <c r="T293" s="18">
        <f t="shared" si="41"/>
        <v>-2.415</v>
      </c>
      <c r="U293" s="18">
        <f t="shared" si="36"/>
        <v>22.826628548090678</v>
      </c>
      <c r="W293">
        <v>777.9</v>
      </c>
      <c r="Y293">
        <f t="shared" ref="Y293:Y356" si="43">Y292+W293</f>
        <v>178193.8</v>
      </c>
      <c r="Z293" s="31">
        <f t="shared" si="37"/>
        <v>35732.899999999994</v>
      </c>
      <c r="AA293">
        <v>15.196286233042008</v>
      </c>
    </row>
    <row r="294" spans="1:28" s="26" customFormat="1" ht="15.75" thickBot="1" x14ac:dyDescent="0.3">
      <c r="A294" s="26">
        <v>6440</v>
      </c>
      <c r="B294" s="26">
        <v>25210</v>
      </c>
      <c r="C294" s="27">
        <v>42872</v>
      </c>
      <c r="F294" s="46"/>
      <c r="G294" s="26">
        <v>21.3</v>
      </c>
      <c r="H294" s="26">
        <v>16.399999999999999</v>
      </c>
      <c r="I294" s="26">
        <v>27.8</v>
      </c>
      <c r="J294" s="26">
        <f t="shared" si="42"/>
        <v>2141.9999999999995</v>
      </c>
      <c r="K294" s="26">
        <f t="shared" si="38"/>
        <v>306.7</v>
      </c>
      <c r="M294" s="26">
        <v>4.8</v>
      </c>
      <c r="N294" s="26">
        <v>4.8</v>
      </c>
      <c r="O294" s="26">
        <f t="shared" si="39"/>
        <v>0</v>
      </c>
      <c r="P294" s="26">
        <f t="shared" ref="P294:P351" si="44">P293+O294</f>
        <v>34.899999999999977</v>
      </c>
      <c r="Q294" s="26">
        <v>260</v>
      </c>
      <c r="R294" s="26">
        <v>1.1499999999999999</v>
      </c>
      <c r="S294" s="28">
        <f t="shared" si="40"/>
        <v>5.52</v>
      </c>
      <c r="T294" s="28">
        <f t="shared" si="41"/>
        <v>-0.71999999999999975</v>
      </c>
      <c r="U294" s="18">
        <f t="shared" si="36"/>
        <v>22.106628548090679</v>
      </c>
      <c r="W294" s="26">
        <v>2017.9</v>
      </c>
      <c r="Y294" s="26">
        <f t="shared" si="43"/>
        <v>180211.69999999998</v>
      </c>
      <c r="Z294" s="26">
        <f t="shared" si="37"/>
        <v>37750.799999999996</v>
      </c>
      <c r="AA294" s="26">
        <v>15.241228114780769</v>
      </c>
    </row>
    <row r="295" spans="1:28" s="31" customFormat="1" x14ac:dyDescent="0.25">
      <c r="A295" s="31">
        <v>6440</v>
      </c>
      <c r="B295" s="31">
        <v>25210</v>
      </c>
      <c r="C295" s="32">
        <v>42873</v>
      </c>
      <c r="D295" s="31">
        <v>300</v>
      </c>
      <c r="F295" s="47" t="s">
        <v>49</v>
      </c>
      <c r="G295" s="31">
        <v>15.7</v>
      </c>
      <c r="H295" s="31">
        <v>14.5</v>
      </c>
      <c r="I295" s="31">
        <v>18.5</v>
      </c>
      <c r="J295" s="31">
        <f t="shared" si="42"/>
        <v>2157.6999999999994</v>
      </c>
      <c r="K295" s="31">
        <f>G295</f>
        <v>15.7</v>
      </c>
      <c r="L295" s="15" t="s">
        <v>38</v>
      </c>
      <c r="M295" s="31">
        <v>13.9</v>
      </c>
      <c r="N295" s="31">
        <v>1.3</v>
      </c>
      <c r="O295" s="31">
        <f t="shared" si="39"/>
        <v>12.6</v>
      </c>
      <c r="P295" s="31">
        <f t="shared" si="44"/>
        <v>47.499999999999979</v>
      </c>
      <c r="Q295" s="31">
        <v>261</v>
      </c>
      <c r="R295">
        <f>1.15+((Q295-260)/64)*(0.35-1.15)</f>
        <v>1.1375</v>
      </c>
      <c r="S295" s="33">
        <f t="shared" si="40"/>
        <v>1.47875</v>
      </c>
      <c r="T295" s="33">
        <f t="shared" si="41"/>
        <v>12.421250000000001</v>
      </c>
      <c r="U295" s="18">
        <f t="shared" ref="U295:U358" si="45">U294+T295</f>
        <v>34.527878548090683</v>
      </c>
      <c r="V295" s="24" t="s">
        <v>51</v>
      </c>
      <c r="W295" s="31">
        <v>607.6</v>
      </c>
      <c r="Y295" s="31">
        <f t="shared" si="43"/>
        <v>180819.3</v>
      </c>
      <c r="Z295" s="31">
        <f>W295</f>
        <v>607.6</v>
      </c>
      <c r="AA295" s="31">
        <v>15.285308251647352</v>
      </c>
      <c r="AB295" s="24" t="s">
        <v>56</v>
      </c>
    </row>
    <row r="296" spans="1:28" ht="15" customHeight="1" x14ac:dyDescent="0.25">
      <c r="A296">
        <v>6440</v>
      </c>
      <c r="B296">
        <v>25210</v>
      </c>
      <c r="C296" s="4">
        <v>42874</v>
      </c>
      <c r="F296" s="47"/>
      <c r="G296">
        <v>11.1</v>
      </c>
      <c r="H296">
        <v>10.199999999999999</v>
      </c>
      <c r="I296">
        <v>13.2</v>
      </c>
      <c r="J296">
        <f t="shared" si="42"/>
        <v>2168.7999999999993</v>
      </c>
      <c r="K296" s="31">
        <f t="shared" si="38"/>
        <v>26.799999999999997</v>
      </c>
      <c r="L296" s="8">
        <v>314.39999999999998</v>
      </c>
      <c r="M296">
        <v>5.3</v>
      </c>
      <c r="N296">
        <v>1.6</v>
      </c>
      <c r="O296">
        <f t="shared" si="39"/>
        <v>3.6999999999999997</v>
      </c>
      <c r="P296">
        <f t="shared" si="44"/>
        <v>51.199999999999982</v>
      </c>
      <c r="Q296">
        <v>262</v>
      </c>
      <c r="R296">
        <f t="shared" ref="R296:R358" si="46">1.15+((Q296-260)/64)*(0.35-1.15)</f>
        <v>1.125</v>
      </c>
      <c r="S296" s="18">
        <f t="shared" si="40"/>
        <v>1.8</v>
      </c>
      <c r="T296" s="18">
        <f t="shared" si="41"/>
        <v>3.5</v>
      </c>
      <c r="U296" s="18">
        <f t="shared" si="45"/>
        <v>38.027878548090683</v>
      </c>
      <c r="V296">
        <v>8</v>
      </c>
      <c r="W296">
        <v>988.5</v>
      </c>
      <c r="Y296">
        <f t="shared" si="43"/>
        <v>181807.8</v>
      </c>
      <c r="Z296" s="31">
        <f t="shared" si="37"/>
        <v>1596.1</v>
      </c>
      <c r="AA296">
        <v>15.328500740988298</v>
      </c>
      <c r="AB296">
        <v>33951.1</v>
      </c>
    </row>
    <row r="297" spans="1:28" x14ac:dyDescent="0.25">
      <c r="A297">
        <v>6440</v>
      </c>
      <c r="B297">
        <v>25210</v>
      </c>
      <c r="C297" s="4">
        <v>42875</v>
      </c>
      <c r="F297" s="47"/>
      <c r="G297">
        <v>12.2</v>
      </c>
      <c r="H297">
        <v>9.3000000000000007</v>
      </c>
      <c r="I297">
        <v>15.2</v>
      </c>
      <c r="J297">
        <f t="shared" si="42"/>
        <v>2180.9999999999991</v>
      </c>
      <c r="K297" s="31">
        <f t="shared" si="38"/>
        <v>39</v>
      </c>
      <c r="L297" s="15" t="s">
        <v>39</v>
      </c>
      <c r="M297">
        <v>0.2</v>
      </c>
      <c r="N297">
        <v>2.2999999999999998</v>
      </c>
      <c r="O297">
        <f t="shared" si="39"/>
        <v>-2.0999999999999996</v>
      </c>
      <c r="P297">
        <f t="shared" si="44"/>
        <v>49.09999999999998</v>
      </c>
      <c r="Q297">
        <v>263</v>
      </c>
      <c r="R297">
        <f t="shared" si="46"/>
        <v>1.1124999999999998</v>
      </c>
      <c r="S297" s="18">
        <f t="shared" si="40"/>
        <v>2.5587499999999994</v>
      </c>
      <c r="T297" s="18">
        <f t="shared" si="41"/>
        <v>-2.3587499999999992</v>
      </c>
      <c r="U297" s="18">
        <f t="shared" si="45"/>
        <v>35.669128548090683</v>
      </c>
      <c r="V297" s="24" t="s">
        <v>52</v>
      </c>
      <c r="W297">
        <v>1518.2</v>
      </c>
      <c r="Y297">
        <f t="shared" si="43"/>
        <v>183326</v>
      </c>
      <c r="Z297" s="31">
        <f t="shared" si="37"/>
        <v>3114.3</v>
      </c>
      <c r="AA297">
        <v>15.370779535480334</v>
      </c>
      <c r="AB297" s="24" t="s">
        <v>57</v>
      </c>
    </row>
    <row r="298" spans="1:28" x14ac:dyDescent="0.25">
      <c r="A298">
        <v>6440</v>
      </c>
      <c r="B298">
        <v>25210</v>
      </c>
      <c r="C298" s="4">
        <v>42876</v>
      </c>
      <c r="F298" s="47"/>
      <c r="G298">
        <v>14.5</v>
      </c>
      <c r="H298">
        <v>9.1999999999999993</v>
      </c>
      <c r="I298">
        <v>19.3</v>
      </c>
      <c r="J298">
        <f t="shared" si="42"/>
        <v>2195.4999999999991</v>
      </c>
      <c r="K298" s="31">
        <f t="shared" si="38"/>
        <v>53.5</v>
      </c>
      <c r="L298" s="8">
        <f>AVERAGE(G295:G312)</f>
        <v>17.466666666666669</v>
      </c>
      <c r="M298">
        <v>0</v>
      </c>
      <c r="N298">
        <v>3.3</v>
      </c>
      <c r="O298">
        <f t="shared" si="39"/>
        <v>-3.3</v>
      </c>
      <c r="P298">
        <f t="shared" si="44"/>
        <v>45.799999999999983</v>
      </c>
      <c r="Q298">
        <v>264</v>
      </c>
      <c r="R298">
        <f t="shared" si="46"/>
        <v>1.0999999999999999</v>
      </c>
      <c r="S298" s="18">
        <f t="shared" si="40"/>
        <v>3.6299999999999994</v>
      </c>
      <c r="T298" s="18">
        <f t="shared" si="41"/>
        <v>-3.6299999999999994</v>
      </c>
      <c r="U298" s="18">
        <f t="shared" si="45"/>
        <v>32.03912854809068</v>
      </c>
      <c r="V298">
        <v>10</v>
      </c>
      <c r="W298">
        <v>2032.1</v>
      </c>
      <c r="Y298">
        <f t="shared" si="43"/>
        <v>185358.1</v>
      </c>
      <c r="Z298" s="31">
        <f t="shared" si="37"/>
        <v>5146.3999999999996</v>
      </c>
      <c r="AA298">
        <v>15.412118483706683</v>
      </c>
      <c r="AB298">
        <f>(AB296/100)/L296</f>
        <v>1.0798695928753181</v>
      </c>
    </row>
    <row r="299" spans="1:28" x14ac:dyDescent="0.25">
      <c r="A299">
        <v>6440</v>
      </c>
      <c r="B299">
        <v>25210</v>
      </c>
      <c r="C299" s="4">
        <v>42877</v>
      </c>
      <c r="F299" s="47"/>
      <c r="G299">
        <v>17.5</v>
      </c>
      <c r="H299">
        <v>10</v>
      </c>
      <c r="I299">
        <v>23.2</v>
      </c>
      <c r="J299">
        <f t="shared" si="42"/>
        <v>2212.9999999999991</v>
      </c>
      <c r="K299" s="31">
        <f t="shared" si="38"/>
        <v>71</v>
      </c>
      <c r="L299" s="15" t="s">
        <v>40</v>
      </c>
      <c r="M299">
        <v>0</v>
      </c>
      <c r="N299">
        <v>3.9</v>
      </c>
      <c r="O299">
        <f t="shared" si="39"/>
        <v>-3.9</v>
      </c>
      <c r="P299">
        <f t="shared" si="44"/>
        <v>41.899999999999984</v>
      </c>
      <c r="Q299">
        <v>265</v>
      </c>
      <c r="R299">
        <f t="shared" si="46"/>
        <v>1.0874999999999999</v>
      </c>
      <c r="S299" s="18">
        <f t="shared" si="40"/>
        <v>4.24125</v>
      </c>
      <c r="T299" s="18">
        <f t="shared" si="41"/>
        <v>-4.24125</v>
      </c>
      <c r="U299" s="18">
        <f t="shared" si="45"/>
        <v>27.797878548090679</v>
      </c>
      <c r="V299" s="24" t="s">
        <v>53</v>
      </c>
      <c r="W299">
        <v>2215.1</v>
      </c>
      <c r="Y299">
        <f t="shared" si="43"/>
        <v>187573.2</v>
      </c>
      <c r="Z299" s="31">
        <f t="shared" si="37"/>
        <v>7361.5</v>
      </c>
      <c r="AA299">
        <v>15.452491373205591</v>
      </c>
      <c r="AB299" s="24" t="s">
        <v>58</v>
      </c>
    </row>
    <row r="300" spans="1:28" x14ac:dyDescent="0.25">
      <c r="A300">
        <v>6440</v>
      </c>
      <c r="B300">
        <v>25210</v>
      </c>
      <c r="C300" s="4">
        <v>42878</v>
      </c>
      <c r="F300" s="47"/>
      <c r="G300">
        <v>17</v>
      </c>
      <c r="H300">
        <v>13.3</v>
      </c>
      <c r="I300">
        <v>19.7</v>
      </c>
      <c r="J300">
        <f t="shared" si="42"/>
        <v>2229.9999999999991</v>
      </c>
      <c r="K300" s="31">
        <f t="shared" si="38"/>
        <v>88</v>
      </c>
      <c r="L300" s="9">
        <f>MIN(H295:H312)</f>
        <v>9.1999999999999993</v>
      </c>
      <c r="M300">
        <v>0</v>
      </c>
      <c r="N300">
        <v>3.1</v>
      </c>
      <c r="O300">
        <f t="shared" si="39"/>
        <v>-3.1</v>
      </c>
      <c r="P300">
        <f t="shared" si="44"/>
        <v>38.799999999999983</v>
      </c>
      <c r="Q300">
        <v>266</v>
      </c>
      <c r="R300">
        <f t="shared" si="46"/>
        <v>1.075</v>
      </c>
      <c r="S300" s="18">
        <f t="shared" si="40"/>
        <v>3.3325</v>
      </c>
      <c r="T300" s="18">
        <f t="shared" si="41"/>
        <v>-3.3325</v>
      </c>
      <c r="U300" s="18">
        <f t="shared" si="45"/>
        <v>24.46537854809068</v>
      </c>
      <c r="V300">
        <v>0</v>
      </c>
      <c r="W300">
        <v>1684.3</v>
      </c>
      <c r="Y300">
        <f t="shared" si="43"/>
        <v>189257.5</v>
      </c>
      <c r="Z300" s="31">
        <f t="shared" si="37"/>
        <v>9045.7999999999993</v>
      </c>
      <c r="AA300">
        <v>15.491871975942264</v>
      </c>
      <c r="AB300">
        <v>1</v>
      </c>
    </row>
    <row r="301" spans="1:28" x14ac:dyDescent="0.25">
      <c r="A301">
        <v>6440</v>
      </c>
      <c r="B301">
        <v>25210</v>
      </c>
      <c r="C301" s="4">
        <v>42879</v>
      </c>
      <c r="F301" s="47"/>
      <c r="G301">
        <v>17.8</v>
      </c>
      <c r="H301">
        <v>14.9</v>
      </c>
      <c r="I301">
        <v>21.8</v>
      </c>
      <c r="J301">
        <f t="shared" si="42"/>
        <v>2247.7999999999993</v>
      </c>
      <c r="K301" s="31">
        <f t="shared" si="38"/>
        <v>105.8</v>
      </c>
      <c r="L301" s="15" t="s">
        <v>41</v>
      </c>
      <c r="M301">
        <v>0</v>
      </c>
      <c r="N301">
        <v>3.5</v>
      </c>
      <c r="O301">
        <f t="shared" si="39"/>
        <v>-3.5</v>
      </c>
      <c r="P301">
        <f t="shared" si="44"/>
        <v>35.299999999999983</v>
      </c>
      <c r="Q301">
        <v>267</v>
      </c>
      <c r="R301">
        <f t="shared" si="46"/>
        <v>1.0625</v>
      </c>
      <c r="S301" s="18">
        <f t="shared" si="40"/>
        <v>3.71875</v>
      </c>
      <c r="T301" s="18">
        <f t="shared" si="41"/>
        <v>-3.71875</v>
      </c>
      <c r="U301" s="18">
        <f t="shared" si="45"/>
        <v>20.74662854809068</v>
      </c>
      <c r="V301" s="24" t="s">
        <v>54</v>
      </c>
      <c r="W301">
        <v>1978.2</v>
      </c>
      <c r="Y301">
        <f t="shared" si="43"/>
        <v>191235.7</v>
      </c>
      <c r="Z301" s="31">
        <f t="shared" si="37"/>
        <v>11024</v>
      </c>
      <c r="AA301">
        <v>15.53023409613626</v>
      </c>
    </row>
    <row r="302" spans="1:28" x14ac:dyDescent="0.25">
      <c r="A302">
        <v>6440</v>
      </c>
      <c r="B302">
        <v>25210</v>
      </c>
      <c r="C302" s="4">
        <v>42880</v>
      </c>
      <c r="F302" s="47"/>
      <c r="G302">
        <v>19.100000000000001</v>
      </c>
      <c r="H302">
        <v>13.3</v>
      </c>
      <c r="I302">
        <v>24</v>
      </c>
      <c r="J302">
        <f t="shared" si="42"/>
        <v>2266.8999999999992</v>
      </c>
      <c r="K302" s="31">
        <f t="shared" si="38"/>
        <v>124.9</v>
      </c>
      <c r="L302" s="8">
        <f>MAX(I295:I312)</f>
        <v>28.1</v>
      </c>
      <c r="M302">
        <v>0</v>
      </c>
      <c r="N302">
        <v>5.7</v>
      </c>
      <c r="O302">
        <f t="shared" si="39"/>
        <v>-5.7</v>
      </c>
      <c r="P302">
        <f t="shared" si="44"/>
        <v>29.599999999999984</v>
      </c>
      <c r="Q302">
        <v>268</v>
      </c>
      <c r="R302">
        <f t="shared" si="46"/>
        <v>1.0499999999999998</v>
      </c>
      <c r="S302" s="18">
        <f t="shared" si="40"/>
        <v>5.9849999999999994</v>
      </c>
      <c r="T302" s="18">
        <f t="shared" si="41"/>
        <v>-5.9849999999999994</v>
      </c>
      <c r="U302" s="18">
        <f t="shared" si="45"/>
        <v>14.76162854809068</v>
      </c>
      <c r="V302" s="18">
        <f>MAX(U295:U312)</f>
        <v>38.027878548090683</v>
      </c>
      <c r="W302">
        <v>2981.5</v>
      </c>
      <c r="Y302">
        <f t="shared" si="43"/>
        <v>194217.2</v>
      </c>
      <c r="Z302" s="31">
        <f t="shared" si="37"/>
        <v>14005.5</v>
      </c>
      <c r="AA302">
        <v>15.567551620356758</v>
      </c>
    </row>
    <row r="303" spans="1:28" x14ac:dyDescent="0.25">
      <c r="A303">
        <v>6440</v>
      </c>
      <c r="B303">
        <v>25210</v>
      </c>
      <c r="C303" s="4">
        <v>42881</v>
      </c>
      <c r="F303" s="47"/>
      <c r="G303">
        <v>20.9</v>
      </c>
      <c r="H303">
        <v>14.7</v>
      </c>
      <c r="I303">
        <v>25.8</v>
      </c>
      <c r="J303">
        <f t="shared" si="42"/>
        <v>2287.7999999999993</v>
      </c>
      <c r="K303" s="31">
        <f t="shared" si="38"/>
        <v>145.80000000000001</v>
      </c>
      <c r="L303" s="15" t="s">
        <v>42</v>
      </c>
      <c r="M303">
        <v>0</v>
      </c>
      <c r="N303">
        <v>6.7</v>
      </c>
      <c r="O303">
        <f t="shared" si="39"/>
        <v>-6.7</v>
      </c>
      <c r="P303">
        <f t="shared" si="44"/>
        <v>22.899999999999984</v>
      </c>
      <c r="Q303">
        <v>269</v>
      </c>
      <c r="R303">
        <f t="shared" si="46"/>
        <v>1.0374999999999999</v>
      </c>
      <c r="S303" s="18">
        <f t="shared" si="40"/>
        <v>6.951249999999999</v>
      </c>
      <c r="T303" s="18">
        <f t="shared" si="41"/>
        <v>-6.951249999999999</v>
      </c>
      <c r="U303" s="18">
        <f t="shared" si="45"/>
        <v>7.8103785480906813</v>
      </c>
      <c r="V303" s="24" t="s">
        <v>55</v>
      </c>
      <c r="W303">
        <v>3176.1</v>
      </c>
      <c r="Y303">
        <f t="shared" si="43"/>
        <v>197393.30000000002</v>
      </c>
      <c r="Z303" s="31">
        <f t="shared" si="37"/>
        <v>17181.599999999999</v>
      </c>
      <c r="AA303">
        <v>15.603798569776888</v>
      </c>
    </row>
    <row r="304" spans="1:28" x14ac:dyDescent="0.25">
      <c r="A304">
        <v>6440</v>
      </c>
      <c r="B304">
        <v>25210</v>
      </c>
      <c r="C304" s="4">
        <v>42882</v>
      </c>
      <c r="F304" s="47"/>
      <c r="G304">
        <v>20.7</v>
      </c>
      <c r="H304">
        <v>15.9</v>
      </c>
      <c r="I304">
        <v>27.2</v>
      </c>
      <c r="J304">
        <f t="shared" si="42"/>
        <v>2308.4999999999991</v>
      </c>
      <c r="K304" s="31">
        <f t="shared" si="38"/>
        <v>166.5</v>
      </c>
      <c r="L304" s="8">
        <v>5</v>
      </c>
      <c r="M304">
        <v>0.2</v>
      </c>
      <c r="N304">
        <v>4.5</v>
      </c>
      <c r="O304">
        <f t="shared" si="39"/>
        <v>-4.3</v>
      </c>
      <c r="P304">
        <f t="shared" si="44"/>
        <v>18.599999999999984</v>
      </c>
      <c r="Q304">
        <v>270</v>
      </c>
      <c r="R304">
        <f t="shared" si="46"/>
        <v>1.0249999999999999</v>
      </c>
      <c r="S304" s="18">
        <f t="shared" si="40"/>
        <v>4.6124999999999998</v>
      </c>
      <c r="T304" s="18">
        <f t="shared" si="41"/>
        <v>-4.4124999999999996</v>
      </c>
      <c r="U304" s="18">
        <f t="shared" si="45"/>
        <v>3.3978785480906817</v>
      </c>
      <c r="V304" s="18">
        <f>AVERAGE(U295:U312)</f>
        <v>13.291321415605934</v>
      </c>
      <c r="W304">
        <v>2055.4</v>
      </c>
      <c r="Y304">
        <f t="shared" si="43"/>
        <v>199448.7</v>
      </c>
      <c r="Z304" s="31">
        <f t="shared" si="37"/>
        <v>19237</v>
      </c>
      <c r="AA304">
        <v>15.638949154456935</v>
      </c>
    </row>
    <row r="305" spans="1:28" x14ac:dyDescent="0.25">
      <c r="A305">
        <v>6440</v>
      </c>
      <c r="B305">
        <v>25210</v>
      </c>
      <c r="C305" s="4">
        <v>42883</v>
      </c>
      <c r="F305" s="47"/>
      <c r="G305">
        <v>22.7</v>
      </c>
      <c r="H305">
        <v>15.8</v>
      </c>
      <c r="I305">
        <v>27.7</v>
      </c>
      <c r="J305">
        <f t="shared" si="42"/>
        <v>2331.1999999999989</v>
      </c>
      <c r="K305" s="31">
        <f t="shared" si="38"/>
        <v>189.2</v>
      </c>
      <c r="L305" s="15" t="s">
        <v>43</v>
      </c>
      <c r="M305">
        <v>0</v>
      </c>
      <c r="N305">
        <v>3.7</v>
      </c>
      <c r="O305">
        <f t="shared" si="39"/>
        <v>-3.7</v>
      </c>
      <c r="P305">
        <f t="shared" si="44"/>
        <v>14.899999999999984</v>
      </c>
      <c r="Q305">
        <v>271</v>
      </c>
      <c r="R305">
        <f t="shared" si="46"/>
        <v>1.0125</v>
      </c>
      <c r="S305" s="18">
        <f t="shared" si="40"/>
        <v>3.7462499999999999</v>
      </c>
      <c r="T305" s="18">
        <f t="shared" si="41"/>
        <v>-3.7462499999999999</v>
      </c>
      <c r="U305" s="18">
        <v>0</v>
      </c>
      <c r="W305">
        <v>2041.3</v>
      </c>
      <c r="Y305">
        <f t="shared" si="43"/>
        <v>201490</v>
      </c>
      <c r="Z305" s="31">
        <f t="shared" si="37"/>
        <v>21278.3</v>
      </c>
      <c r="AA305">
        <v>15.67297782950361</v>
      </c>
    </row>
    <row r="306" spans="1:28" x14ac:dyDescent="0.25">
      <c r="A306">
        <v>6440</v>
      </c>
      <c r="B306">
        <v>25210</v>
      </c>
      <c r="C306" s="4">
        <v>42884</v>
      </c>
      <c r="F306" s="47"/>
      <c r="G306">
        <v>22.9</v>
      </c>
      <c r="H306">
        <v>20.5</v>
      </c>
      <c r="I306">
        <v>28.1</v>
      </c>
      <c r="J306">
        <f t="shared" si="42"/>
        <v>2354.099999999999</v>
      </c>
      <c r="K306" s="31">
        <f t="shared" si="38"/>
        <v>212.1</v>
      </c>
      <c r="L306" s="8">
        <v>0</v>
      </c>
      <c r="M306">
        <v>0.8</v>
      </c>
      <c r="N306">
        <v>4.5999999999999996</v>
      </c>
      <c r="O306">
        <f t="shared" si="39"/>
        <v>-3.8</v>
      </c>
      <c r="P306">
        <f t="shared" si="44"/>
        <v>11.099999999999984</v>
      </c>
      <c r="Q306">
        <v>272</v>
      </c>
      <c r="R306">
        <f t="shared" si="46"/>
        <v>0.99999999999999989</v>
      </c>
      <c r="S306" s="18">
        <f t="shared" si="40"/>
        <v>4.5999999999999988</v>
      </c>
      <c r="T306" s="18">
        <f t="shared" si="41"/>
        <v>-3.7999999999999989</v>
      </c>
      <c r="U306" s="18">
        <v>0</v>
      </c>
      <c r="V306" s="37">
        <f>(V304*100)/189.6</f>
        <v>7.0101906200453232</v>
      </c>
      <c r="W306">
        <v>2081.6999999999998</v>
      </c>
      <c r="Y306">
        <f t="shared" si="43"/>
        <v>203571.7</v>
      </c>
      <c r="Z306" s="31">
        <f t="shared" si="37"/>
        <v>23360</v>
      </c>
      <c r="AA306">
        <v>15.70585935293011</v>
      </c>
    </row>
    <row r="307" spans="1:28" x14ac:dyDescent="0.25">
      <c r="A307">
        <v>6440</v>
      </c>
      <c r="B307">
        <v>25210</v>
      </c>
      <c r="C307" s="4">
        <v>42885</v>
      </c>
      <c r="F307" s="47"/>
      <c r="G307">
        <v>16.600000000000001</v>
      </c>
      <c r="H307">
        <v>15.6</v>
      </c>
      <c r="I307">
        <v>19.399999999999999</v>
      </c>
      <c r="J307">
        <f t="shared" si="42"/>
        <v>2370.6999999999989</v>
      </c>
      <c r="K307" s="31">
        <f t="shared" si="38"/>
        <v>228.7</v>
      </c>
      <c r="L307" s="15" t="s">
        <v>44</v>
      </c>
      <c r="M307">
        <v>0</v>
      </c>
      <c r="N307">
        <v>2.5</v>
      </c>
      <c r="O307">
        <f t="shared" si="39"/>
        <v>-2.5</v>
      </c>
      <c r="P307">
        <f t="shared" si="44"/>
        <v>8.5999999999999837</v>
      </c>
      <c r="Q307">
        <v>273</v>
      </c>
      <c r="R307">
        <f t="shared" si="46"/>
        <v>0.98749999999999993</v>
      </c>
      <c r="S307" s="18">
        <f t="shared" si="40"/>
        <v>2.46875</v>
      </c>
      <c r="T307" s="18">
        <f t="shared" si="41"/>
        <v>-2.46875</v>
      </c>
      <c r="U307" s="18">
        <v>0</v>
      </c>
      <c r="W307">
        <v>969.8</v>
      </c>
      <c r="Y307">
        <f t="shared" si="43"/>
        <v>204541.5</v>
      </c>
      <c r="Z307" s="31">
        <f t="shared" si="37"/>
        <v>24329.8</v>
      </c>
      <c r="AA307">
        <v>15.737568845018604</v>
      </c>
    </row>
    <row r="308" spans="1:28" x14ac:dyDescent="0.25">
      <c r="A308">
        <v>6440</v>
      </c>
      <c r="B308">
        <v>25210</v>
      </c>
      <c r="C308" s="4">
        <v>42886</v>
      </c>
      <c r="F308" s="47"/>
      <c r="G308">
        <v>16.8</v>
      </c>
      <c r="H308">
        <v>10</v>
      </c>
      <c r="I308">
        <v>21.9</v>
      </c>
      <c r="J308">
        <f t="shared" si="42"/>
        <v>2387.4999999999991</v>
      </c>
      <c r="K308" s="31">
        <f t="shared" si="38"/>
        <v>245.5</v>
      </c>
      <c r="L308" s="13">
        <v>0</v>
      </c>
      <c r="M308">
        <v>0</v>
      </c>
      <c r="N308">
        <v>3.7</v>
      </c>
      <c r="O308">
        <f t="shared" si="39"/>
        <v>-3.7</v>
      </c>
      <c r="P308">
        <f t="shared" si="44"/>
        <v>4.8999999999999835</v>
      </c>
      <c r="Q308">
        <v>274</v>
      </c>
      <c r="R308">
        <f t="shared" si="46"/>
        <v>0.97499999999999987</v>
      </c>
      <c r="S308" s="18">
        <f t="shared" si="40"/>
        <v>3.6074999999999995</v>
      </c>
      <c r="T308" s="18">
        <f t="shared" si="41"/>
        <v>-3.6074999999999995</v>
      </c>
      <c r="U308" s="18">
        <v>0</v>
      </c>
      <c r="W308">
        <v>2219.5</v>
      </c>
      <c r="Y308">
        <f t="shared" si="43"/>
        <v>206761</v>
      </c>
      <c r="Z308" s="31">
        <f t="shared" si="37"/>
        <v>26549.3</v>
      </c>
      <c r="AA308">
        <v>15.768081848964266</v>
      </c>
    </row>
    <row r="309" spans="1:28" x14ac:dyDescent="0.25">
      <c r="A309">
        <v>6440</v>
      </c>
      <c r="B309">
        <v>25210</v>
      </c>
      <c r="C309" s="4">
        <v>42887</v>
      </c>
      <c r="F309" s="47"/>
      <c r="G309">
        <v>19.600000000000001</v>
      </c>
      <c r="H309">
        <v>13.4</v>
      </c>
      <c r="I309">
        <v>24.6</v>
      </c>
      <c r="J309">
        <f t="shared" si="42"/>
        <v>2407.099999999999</v>
      </c>
      <c r="K309" s="31">
        <f t="shared" si="38"/>
        <v>265.10000000000002</v>
      </c>
      <c r="M309">
        <v>0</v>
      </c>
      <c r="N309">
        <v>4.4000000000000004</v>
      </c>
      <c r="O309">
        <f t="shared" si="39"/>
        <v>-4.4000000000000004</v>
      </c>
      <c r="P309">
        <f t="shared" si="44"/>
        <v>0.49999999999998312</v>
      </c>
      <c r="Q309">
        <v>275</v>
      </c>
      <c r="R309">
        <f t="shared" si="46"/>
        <v>0.96249999999999991</v>
      </c>
      <c r="S309" s="18">
        <f t="shared" si="40"/>
        <v>4.2350000000000003</v>
      </c>
      <c r="T309" s="18">
        <f t="shared" si="41"/>
        <v>-4.2350000000000003</v>
      </c>
      <c r="U309" s="18">
        <v>0</v>
      </c>
      <c r="W309">
        <v>2415.9</v>
      </c>
      <c r="Y309">
        <f t="shared" si="43"/>
        <v>209176.9</v>
      </c>
      <c r="Z309" s="31">
        <f t="shared" si="37"/>
        <v>28965.200000000001</v>
      </c>
      <c r="AA309">
        <v>15.797374392557302</v>
      </c>
    </row>
    <row r="310" spans="1:28" x14ac:dyDescent="0.25">
      <c r="A310">
        <v>6440</v>
      </c>
      <c r="B310">
        <v>25210</v>
      </c>
      <c r="C310" s="4">
        <v>42888</v>
      </c>
      <c r="F310" s="47"/>
      <c r="G310">
        <v>19.7</v>
      </c>
      <c r="H310">
        <v>14.9</v>
      </c>
      <c r="I310">
        <v>25.9</v>
      </c>
      <c r="J310">
        <f t="shared" si="42"/>
        <v>2426.7999999999988</v>
      </c>
      <c r="K310" s="31">
        <f t="shared" si="38"/>
        <v>284.8</v>
      </c>
      <c r="M310">
        <v>3.8</v>
      </c>
      <c r="N310">
        <v>4.0999999999999996</v>
      </c>
      <c r="O310">
        <f t="shared" si="39"/>
        <v>-0.29999999999999982</v>
      </c>
      <c r="P310">
        <f t="shared" si="44"/>
        <v>0.1999999999999833</v>
      </c>
      <c r="Q310">
        <v>276</v>
      </c>
      <c r="R310">
        <f t="shared" si="46"/>
        <v>0.95</v>
      </c>
      <c r="S310" s="18">
        <f t="shared" si="40"/>
        <v>3.8949999999999996</v>
      </c>
      <c r="T310" s="18">
        <f t="shared" si="41"/>
        <v>-9.4999999999999751E-2</v>
      </c>
      <c r="U310" s="18">
        <v>0</v>
      </c>
      <c r="W310">
        <v>1989</v>
      </c>
      <c r="Y310">
        <f t="shared" si="43"/>
        <v>211165.9</v>
      </c>
      <c r="Z310" s="31">
        <f t="shared" si="37"/>
        <v>30954.2</v>
      </c>
      <c r="AA310">
        <v>15.825423050638202</v>
      </c>
    </row>
    <row r="311" spans="1:28" x14ac:dyDescent="0.25">
      <c r="A311">
        <v>6440</v>
      </c>
      <c r="B311">
        <v>25210</v>
      </c>
      <c r="C311" s="4">
        <v>42889</v>
      </c>
      <c r="F311" s="47"/>
      <c r="G311">
        <v>15</v>
      </c>
      <c r="H311">
        <v>14.7</v>
      </c>
      <c r="I311">
        <v>18.100000000000001</v>
      </c>
      <c r="J311">
        <f t="shared" si="42"/>
        <v>2441.7999999999988</v>
      </c>
      <c r="K311" s="31">
        <f t="shared" si="38"/>
        <v>299.8</v>
      </c>
      <c r="M311">
        <v>0.3</v>
      </c>
      <c r="N311">
        <v>2</v>
      </c>
      <c r="O311">
        <f t="shared" si="39"/>
        <v>-1.7</v>
      </c>
      <c r="P311">
        <v>0</v>
      </c>
      <c r="Q311">
        <v>277</v>
      </c>
      <c r="R311">
        <f t="shared" si="46"/>
        <v>0.93749999999999989</v>
      </c>
      <c r="S311" s="18">
        <f t="shared" si="40"/>
        <v>1.8749999999999998</v>
      </c>
      <c r="T311" s="18">
        <f t="shared" si="41"/>
        <v>-1.5749999999999997</v>
      </c>
      <c r="U311" s="18">
        <v>0</v>
      </c>
      <c r="W311">
        <v>955.8</v>
      </c>
      <c r="Y311">
        <f t="shared" si="43"/>
        <v>212121.69999999998</v>
      </c>
      <c r="Z311" s="31">
        <f t="shared" si="37"/>
        <v>31910</v>
      </c>
      <c r="AA311">
        <v>15.852205008040601</v>
      </c>
    </row>
    <row r="312" spans="1:28" s="26" customFormat="1" ht="15.75" thickBot="1" x14ac:dyDescent="0.3">
      <c r="A312" s="26">
        <v>6440</v>
      </c>
      <c r="B312" s="26">
        <v>25210</v>
      </c>
      <c r="C312" s="27">
        <v>42890</v>
      </c>
      <c r="F312" s="47"/>
      <c r="G312" s="26">
        <v>14.6</v>
      </c>
      <c r="H312" s="26">
        <v>9.5</v>
      </c>
      <c r="I312" s="26">
        <v>18.2</v>
      </c>
      <c r="J312" s="26">
        <f t="shared" si="42"/>
        <v>2456.3999999999987</v>
      </c>
      <c r="K312" s="26">
        <f t="shared" si="38"/>
        <v>314.40000000000003</v>
      </c>
      <c r="M312" s="26">
        <v>0</v>
      </c>
      <c r="N312" s="26">
        <v>3.2</v>
      </c>
      <c r="O312" s="26">
        <f t="shared" si="39"/>
        <v>-3.2</v>
      </c>
      <c r="P312" s="26">
        <v>0</v>
      </c>
      <c r="Q312" s="26">
        <v>278</v>
      </c>
      <c r="R312">
        <f t="shared" si="46"/>
        <v>0.92499999999999993</v>
      </c>
      <c r="S312" s="28">
        <f t="shared" si="40"/>
        <v>2.96</v>
      </c>
      <c r="T312" s="28">
        <f t="shared" si="41"/>
        <v>-2.96</v>
      </c>
      <c r="U312" s="18">
        <v>0</v>
      </c>
      <c r="W312" s="26">
        <v>2041.1</v>
      </c>
      <c r="Y312" s="26">
        <f t="shared" si="43"/>
        <v>214162.8</v>
      </c>
      <c r="Z312" s="26">
        <f t="shared" si="37"/>
        <v>33951.1</v>
      </c>
      <c r="AA312" s="26">
        <v>15.877698122717236</v>
      </c>
    </row>
    <row r="313" spans="1:28" s="31" customFormat="1" x14ac:dyDescent="0.25">
      <c r="A313" s="31">
        <v>6440</v>
      </c>
      <c r="B313" s="31">
        <v>25210</v>
      </c>
      <c r="C313" s="32">
        <v>42891</v>
      </c>
      <c r="D313" s="31">
        <v>600</v>
      </c>
      <c r="F313" s="48" t="s">
        <v>50</v>
      </c>
      <c r="G313" s="31">
        <v>16.899999999999999</v>
      </c>
      <c r="H313" s="31">
        <v>11.7</v>
      </c>
      <c r="I313" s="31">
        <v>21</v>
      </c>
      <c r="J313" s="31">
        <f t="shared" si="42"/>
        <v>2473.2999999999988</v>
      </c>
      <c r="K313" s="31">
        <f>G313</f>
        <v>16.899999999999999</v>
      </c>
      <c r="L313" s="16" t="s">
        <v>38</v>
      </c>
      <c r="M313" s="31">
        <v>7.8</v>
      </c>
      <c r="N313" s="31">
        <v>3.6</v>
      </c>
      <c r="O313" s="31">
        <f t="shared" si="39"/>
        <v>4.1999999999999993</v>
      </c>
      <c r="P313" s="31">
        <f t="shared" si="44"/>
        <v>4.1999999999999993</v>
      </c>
      <c r="Q313" s="31">
        <v>279</v>
      </c>
      <c r="R313">
        <f t="shared" si="46"/>
        <v>0.91249999999999987</v>
      </c>
      <c r="S313" s="33">
        <f t="shared" si="40"/>
        <v>3.2849999999999997</v>
      </c>
      <c r="T313" s="33">
        <f t="shared" si="41"/>
        <v>4.5150000000000006</v>
      </c>
      <c r="U313" s="18">
        <f t="shared" si="45"/>
        <v>4.5150000000000006</v>
      </c>
      <c r="V313" s="25" t="s">
        <v>51</v>
      </c>
      <c r="W313" s="31">
        <v>1832.3</v>
      </c>
      <c r="Y313" s="31">
        <f t="shared" si="43"/>
        <v>215995.09999999998</v>
      </c>
      <c r="Z313" s="31">
        <f>W313</f>
        <v>1832.3</v>
      </c>
      <c r="AA313" s="31">
        <v>15.901880988727074</v>
      </c>
      <c r="AB313" s="25" t="s">
        <v>56</v>
      </c>
    </row>
    <row r="314" spans="1:28" ht="15" customHeight="1" x14ac:dyDescent="0.25">
      <c r="A314">
        <v>6440</v>
      </c>
      <c r="B314">
        <v>25210</v>
      </c>
      <c r="C314" s="4">
        <v>42892</v>
      </c>
      <c r="F314" s="48"/>
      <c r="G314">
        <v>13.2</v>
      </c>
      <c r="H314">
        <v>12</v>
      </c>
      <c r="I314">
        <v>14.7</v>
      </c>
      <c r="J314">
        <f t="shared" si="42"/>
        <v>2486.4999999999986</v>
      </c>
      <c r="K314" s="31">
        <f t="shared" si="38"/>
        <v>30.099999999999998</v>
      </c>
      <c r="L314" s="8">
        <v>401.2</v>
      </c>
      <c r="M314">
        <v>2.2000000000000002</v>
      </c>
      <c r="N314">
        <v>2.7</v>
      </c>
      <c r="O314">
        <f t="shared" si="39"/>
        <v>-0.5</v>
      </c>
      <c r="P314">
        <f t="shared" si="44"/>
        <v>3.6999999999999993</v>
      </c>
      <c r="Q314">
        <v>280</v>
      </c>
      <c r="R314">
        <f t="shared" si="46"/>
        <v>0.89999999999999991</v>
      </c>
      <c r="S314" s="18">
        <f t="shared" si="40"/>
        <v>2.4299999999999997</v>
      </c>
      <c r="T314" s="18">
        <f t="shared" si="41"/>
        <v>-0.22999999999999954</v>
      </c>
      <c r="U314" s="18">
        <f t="shared" si="45"/>
        <v>4.285000000000001</v>
      </c>
      <c r="V314">
        <v>13</v>
      </c>
      <c r="W314">
        <v>1537</v>
      </c>
      <c r="Y314">
        <f t="shared" si="43"/>
        <v>217532.09999999998</v>
      </c>
      <c r="Z314" s="31">
        <f t="shared" si="37"/>
        <v>3369.3</v>
      </c>
      <c r="AA314">
        <v>15.924732998746576</v>
      </c>
      <c r="AB314">
        <v>40491.699999999997</v>
      </c>
    </row>
    <row r="315" spans="1:28" x14ac:dyDescent="0.25">
      <c r="A315">
        <v>6440</v>
      </c>
      <c r="B315">
        <v>25210</v>
      </c>
      <c r="C315" s="4">
        <v>42893</v>
      </c>
      <c r="F315" s="48"/>
      <c r="G315">
        <v>14.3</v>
      </c>
      <c r="H315">
        <v>9.6999999999999993</v>
      </c>
      <c r="I315">
        <v>17.399999999999999</v>
      </c>
      <c r="J315">
        <f t="shared" si="42"/>
        <v>2500.7999999999988</v>
      </c>
      <c r="K315" s="31">
        <f t="shared" si="38"/>
        <v>44.4</v>
      </c>
      <c r="L315" s="16" t="s">
        <v>39</v>
      </c>
      <c r="M315">
        <v>0.2</v>
      </c>
      <c r="N315">
        <v>2.8</v>
      </c>
      <c r="O315">
        <f t="shared" si="39"/>
        <v>-2.5999999999999996</v>
      </c>
      <c r="P315">
        <f t="shared" si="44"/>
        <v>1.0999999999999996</v>
      </c>
      <c r="Q315">
        <v>281</v>
      </c>
      <c r="R315">
        <f t="shared" si="46"/>
        <v>0.88749999999999996</v>
      </c>
      <c r="S315" s="18">
        <f t="shared" si="40"/>
        <v>2.4849999999999999</v>
      </c>
      <c r="T315" s="18">
        <f t="shared" si="41"/>
        <v>-2.2849999999999997</v>
      </c>
      <c r="U315" s="18">
        <f t="shared" si="45"/>
        <v>2.0000000000000013</v>
      </c>
      <c r="V315" s="25" t="s">
        <v>52</v>
      </c>
      <c r="W315">
        <v>1524.7</v>
      </c>
      <c r="Y315">
        <f t="shared" si="43"/>
        <v>219056.8</v>
      </c>
      <c r="Z315" s="31">
        <f t="shared" si="37"/>
        <v>4894</v>
      </c>
      <c r="AA315">
        <v>15.946234405755435</v>
      </c>
      <c r="AB315" s="25" t="s">
        <v>57</v>
      </c>
    </row>
    <row r="316" spans="1:28" x14ac:dyDescent="0.25">
      <c r="A316">
        <v>6440</v>
      </c>
      <c r="B316">
        <v>25210</v>
      </c>
      <c r="C316" s="4">
        <v>42894</v>
      </c>
      <c r="F316" s="48"/>
      <c r="G316">
        <v>18.2</v>
      </c>
      <c r="H316">
        <v>12.4</v>
      </c>
      <c r="I316">
        <v>23.3</v>
      </c>
      <c r="J316">
        <f t="shared" si="42"/>
        <v>2518.9999999999986</v>
      </c>
      <c r="K316" s="31">
        <f t="shared" si="38"/>
        <v>62.599999999999994</v>
      </c>
      <c r="L316" s="8">
        <f>AVERAGE(G313:G333)</f>
        <v>19.104761904761908</v>
      </c>
      <c r="M316">
        <v>14.1</v>
      </c>
      <c r="N316">
        <v>3.5</v>
      </c>
      <c r="O316">
        <f t="shared" si="39"/>
        <v>10.6</v>
      </c>
      <c r="P316">
        <f t="shared" si="44"/>
        <v>11.7</v>
      </c>
      <c r="Q316">
        <v>282</v>
      </c>
      <c r="R316">
        <f t="shared" si="46"/>
        <v>0.875</v>
      </c>
      <c r="S316" s="18">
        <f t="shared" si="40"/>
        <v>3.0625</v>
      </c>
      <c r="T316" s="18">
        <f t="shared" si="41"/>
        <v>11.0375</v>
      </c>
      <c r="U316" s="18">
        <f t="shared" si="45"/>
        <v>13.037500000000001</v>
      </c>
      <c r="V316">
        <v>8</v>
      </c>
      <c r="W316">
        <v>1815.9</v>
      </c>
      <c r="Y316">
        <f t="shared" si="43"/>
        <v>220872.69999999998</v>
      </c>
      <c r="Z316" s="31">
        <f t="shared" si="37"/>
        <v>6709.9</v>
      </c>
      <c r="AA316">
        <v>15.966366383537196</v>
      </c>
      <c r="AB316">
        <f>(AB314/100)/L314</f>
        <v>1.009264705882353</v>
      </c>
    </row>
    <row r="317" spans="1:28" x14ac:dyDescent="0.25">
      <c r="A317">
        <v>6440</v>
      </c>
      <c r="B317">
        <v>25210</v>
      </c>
      <c r="C317" s="4">
        <v>42895</v>
      </c>
      <c r="F317" s="48"/>
      <c r="G317">
        <v>16.8</v>
      </c>
      <c r="H317">
        <v>15</v>
      </c>
      <c r="I317">
        <v>19.899999999999999</v>
      </c>
      <c r="J317">
        <f t="shared" si="42"/>
        <v>2535.7999999999988</v>
      </c>
      <c r="K317" s="31">
        <f t="shared" si="38"/>
        <v>79.399999999999991</v>
      </c>
      <c r="L317" s="16" t="s">
        <v>40</v>
      </c>
      <c r="M317">
        <v>0.2</v>
      </c>
      <c r="N317">
        <v>3.6</v>
      </c>
      <c r="O317">
        <f t="shared" si="39"/>
        <v>-3.4</v>
      </c>
      <c r="P317">
        <f t="shared" si="44"/>
        <v>8.2999999999999989</v>
      </c>
      <c r="Q317">
        <v>283</v>
      </c>
      <c r="R317">
        <f t="shared" si="46"/>
        <v>0.86249999999999993</v>
      </c>
      <c r="S317" s="18">
        <f t="shared" si="40"/>
        <v>3.105</v>
      </c>
      <c r="T317" s="18">
        <f t="shared" si="41"/>
        <v>-2.9049999999999998</v>
      </c>
      <c r="U317" s="18">
        <f t="shared" si="45"/>
        <v>10.132500000000002</v>
      </c>
      <c r="V317" s="25" t="s">
        <v>53</v>
      </c>
      <c r="W317">
        <v>1824.2</v>
      </c>
      <c r="Y317">
        <f t="shared" si="43"/>
        <v>222696.9</v>
      </c>
      <c r="Z317" s="31">
        <f t="shared" ref="Z317:Z358" si="47">Z316+W317</f>
        <v>8534.1</v>
      </c>
      <c r="AA317">
        <v>15.985111085628665</v>
      </c>
      <c r="AB317" s="25" t="s">
        <v>58</v>
      </c>
    </row>
    <row r="318" spans="1:28" x14ac:dyDescent="0.25">
      <c r="A318">
        <v>6440</v>
      </c>
      <c r="B318">
        <v>25210</v>
      </c>
      <c r="C318" s="4">
        <v>42896</v>
      </c>
      <c r="F318" s="48"/>
      <c r="G318">
        <v>19.5</v>
      </c>
      <c r="H318">
        <v>12.1</v>
      </c>
      <c r="I318">
        <v>24.8</v>
      </c>
      <c r="J318">
        <f t="shared" si="42"/>
        <v>2555.2999999999988</v>
      </c>
      <c r="K318" s="31">
        <f t="shared" si="38"/>
        <v>98.899999999999991</v>
      </c>
      <c r="L318" s="9">
        <f>MIN(H313:H333)</f>
        <v>8.6</v>
      </c>
      <c r="M318">
        <v>0</v>
      </c>
      <c r="N318">
        <v>3.9</v>
      </c>
      <c r="O318">
        <f t="shared" si="39"/>
        <v>-3.9</v>
      </c>
      <c r="P318">
        <f t="shared" si="44"/>
        <v>4.3999999999999986</v>
      </c>
      <c r="Q318">
        <v>284</v>
      </c>
      <c r="R318">
        <f t="shared" si="46"/>
        <v>0.84999999999999987</v>
      </c>
      <c r="S318" s="18">
        <f t="shared" si="40"/>
        <v>3.3149999999999995</v>
      </c>
      <c r="T318" s="18">
        <f t="shared" si="41"/>
        <v>-3.3149999999999995</v>
      </c>
      <c r="U318" s="18">
        <f t="shared" si="45"/>
        <v>6.8175000000000026</v>
      </c>
      <c r="V318">
        <v>0</v>
      </c>
      <c r="W318">
        <v>1974</v>
      </c>
      <c r="Y318">
        <f t="shared" si="43"/>
        <v>224670.9</v>
      </c>
      <c r="Z318" s="31">
        <f t="shared" si="47"/>
        <v>10508.1</v>
      </c>
      <c r="AA318">
        <v>16.00245170234863</v>
      </c>
      <c r="AB318">
        <v>1</v>
      </c>
    </row>
    <row r="319" spans="1:28" x14ac:dyDescent="0.25">
      <c r="A319">
        <v>6440</v>
      </c>
      <c r="B319">
        <v>25210</v>
      </c>
      <c r="C319" s="4">
        <v>42897</v>
      </c>
      <c r="F319" s="48"/>
      <c r="G319">
        <v>19.899999999999999</v>
      </c>
      <c r="H319">
        <v>15.7</v>
      </c>
      <c r="I319">
        <v>26.8</v>
      </c>
      <c r="J319">
        <f t="shared" si="42"/>
        <v>2575.1999999999989</v>
      </c>
      <c r="K319" s="31">
        <f t="shared" ref="K319:K358" si="48">K318+G319</f>
        <v>118.79999999999998</v>
      </c>
      <c r="L319" s="16" t="s">
        <v>41</v>
      </c>
      <c r="M319">
        <v>0</v>
      </c>
      <c r="N319">
        <v>3.9</v>
      </c>
      <c r="O319">
        <f t="shared" si="39"/>
        <v>-3.9</v>
      </c>
      <c r="P319">
        <f t="shared" si="44"/>
        <v>0.49999999999999867</v>
      </c>
      <c r="Q319">
        <v>285</v>
      </c>
      <c r="R319">
        <f t="shared" si="46"/>
        <v>0.83749999999999991</v>
      </c>
      <c r="S319" s="18">
        <f t="shared" si="40"/>
        <v>3.2662499999999994</v>
      </c>
      <c r="T319" s="18">
        <f t="shared" si="41"/>
        <v>-3.2662499999999994</v>
      </c>
      <c r="U319" s="18">
        <f t="shared" si="45"/>
        <v>3.5512500000000031</v>
      </c>
      <c r="V319" s="25" t="s">
        <v>54</v>
      </c>
      <c r="W319">
        <v>1468.4</v>
      </c>
      <c r="Y319">
        <f t="shared" si="43"/>
        <v>226139.3</v>
      </c>
      <c r="Z319" s="31">
        <f t="shared" si="47"/>
        <v>11976.5</v>
      </c>
      <c r="AA319">
        <v>16.018372515536971</v>
      </c>
    </row>
    <row r="320" spans="1:28" x14ac:dyDescent="0.25">
      <c r="A320">
        <v>6440</v>
      </c>
      <c r="B320">
        <v>25210</v>
      </c>
      <c r="C320" s="4">
        <v>42898</v>
      </c>
      <c r="F320" s="48"/>
      <c r="G320">
        <v>14.7</v>
      </c>
      <c r="H320">
        <v>13.3</v>
      </c>
      <c r="I320">
        <v>17.399999999999999</v>
      </c>
      <c r="J320">
        <f t="shared" si="42"/>
        <v>2589.8999999999987</v>
      </c>
      <c r="K320" s="31">
        <f t="shared" si="48"/>
        <v>133.49999999999997</v>
      </c>
      <c r="L320" s="8">
        <f>MAX(I313:I333)</f>
        <v>32.9</v>
      </c>
      <c r="M320">
        <v>0</v>
      </c>
      <c r="N320">
        <v>2.9</v>
      </c>
      <c r="O320">
        <f t="shared" si="39"/>
        <v>-2.9</v>
      </c>
      <c r="P320">
        <v>0</v>
      </c>
      <c r="Q320">
        <v>286</v>
      </c>
      <c r="R320">
        <f t="shared" si="46"/>
        <v>0.82499999999999996</v>
      </c>
      <c r="S320" s="18">
        <f t="shared" si="40"/>
        <v>2.3924999999999996</v>
      </c>
      <c r="T320" s="18">
        <f t="shared" si="41"/>
        <v>-2.3924999999999996</v>
      </c>
      <c r="U320" s="18">
        <f t="shared" si="45"/>
        <v>1.1587500000000035</v>
      </c>
      <c r="V320" s="18">
        <f>MAX(U313:U320)</f>
        <v>13.037500000000001</v>
      </c>
      <c r="W320">
        <v>1370.6</v>
      </c>
      <c r="Y320">
        <f t="shared" si="43"/>
        <v>227509.9</v>
      </c>
      <c r="Z320" s="31">
        <f t="shared" si="47"/>
        <v>13347.1</v>
      </c>
      <c r="AA320">
        <v>16.032858950639476</v>
      </c>
    </row>
    <row r="321" spans="1:27" x14ac:dyDescent="0.25">
      <c r="A321">
        <v>6440</v>
      </c>
      <c r="B321">
        <v>25210</v>
      </c>
      <c r="C321" s="4">
        <v>42899</v>
      </c>
      <c r="F321" s="48"/>
      <c r="G321">
        <v>16.399999999999999</v>
      </c>
      <c r="H321">
        <v>8.6</v>
      </c>
      <c r="I321">
        <v>21.8</v>
      </c>
      <c r="J321">
        <f t="shared" si="42"/>
        <v>2606.2999999999988</v>
      </c>
      <c r="K321" s="31">
        <f t="shared" si="48"/>
        <v>149.89999999999998</v>
      </c>
      <c r="L321" s="16" t="s">
        <v>42</v>
      </c>
      <c r="M321">
        <v>0</v>
      </c>
      <c r="N321">
        <v>3.7</v>
      </c>
      <c r="O321">
        <f t="shared" si="39"/>
        <v>-3.7</v>
      </c>
      <c r="P321">
        <v>0</v>
      </c>
      <c r="Q321">
        <v>287</v>
      </c>
      <c r="R321">
        <f t="shared" si="46"/>
        <v>0.8125</v>
      </c>
      <c r="S321" s="18">
        <f t="shared" si="40"/>
        <v>3.0062500000000001</v>
      </c>
      <c r="T321" s="18">
        <f t="shared" si="41"/>
        <v>-3.0062500000000001</v>
      </c>
      <c r="U321" s="18">
        <v>0</v>
      </c>
      <c r="V321" s="25" t="s">
        <v>55</v>
      </c>
      <c r="W321">
        <v>2331.3000000000002</v>
      </c>
      <c r="Y321">
        <f t="shared" si="43"/>
        <v>229841.19999999998</v>
      </c>
      <c r="Z321" s="31">
        <f t="shared" si="47"/>
        <v>15678.400000000001</v>
      </c>
      <c r="AA321">
        <v>16.045897625782047</v>
      </c>
    </row>
    <row r="322" spans="1:27" x14ac:dyDescent="0.25">
      <c r="A322">
        <v>6440</v>
      </c>
      <c r="B322">
        <v>25210</v>
      </c>
      <c r="C322" s="4">
        <v>42900</v>
      </c>
      <c r="F322" s="48"/>
      <c r="G322">
        <v>20.8</v>
      </c>
      <c r="H322">
        <v>13.9</v>
      </c>
      <c r="I322">
        <v>26.3</v>
      </c>
      <c r="J322">
        <f t="shared" si="42"/>
        <v>2627.099999999999</v>
      </c>
      <c r="K322" s="31">
        <f t="shared" si="48"/>
        <v>170.7</v>
      </c>
      <c r="L322" s="8">
        <v>9</v>
      </c>
      <c r="M322">
        <v>0</v>
      </c>
      <c r="N322">
        <v>4.3</v>
      </c>
      <c r="O322">
        <f t="shared" si="39"/>
        <v>-4.3</v>
      </c>
      <c r="P322">
        <v>0</v>
      </c>
      <c r="Q322">
        <v>288</v>
      </c>
      <c r="R322">
        <f t="shared" si="46"/>
        <v>0.79999999999999993</v>
      </c>
      <c r="S322" s="18">
        <f t="shared" si="40"/>
        <v>3.4399999999999995</v>
      </c>
      <c r="T322" s="18">
        <f t="shared" si="41"/>
        <v>-3.4399999999999995</v>
      </c>
      <c r="U322" s="18">
        <v>0</v>
      </c>
      <c r="V322" s="18">
        <f>AVERAGE(U313:U333)</f>
        <v>2.1665476190476198</v>
      </c>
      <c r="W322">
        <v>2233.1</v>
      </c>
      <c r="Y322">
        <f t="shared" si="43"/>
        <v>232074.3</v>
      </c>
      <c r="Z322" s="31">
        <f t="shared" si="47"/>
        <v>17911.5</v>
      </c>
      <c r="AA322">
        <v>16.057476397490205</v>
      </c>
    </row>
    <row r="323" spans="1:27" x14ac:dyDescent="0.25">
      <c r="A323">
        <v>6440</v>
      </c>
      <c r="B323">
        <v>25210</v>
      </c>
      <c r="C323" s="4">
        <v>42901</v>
      </c>
      <c r="F323" s="48"/>
      <c r="G323">
        <v>19.899999999999999</v>
      </c>
      <c r="H323">
        <v>17.399999999999999</v>
      </c>
      <c r="I323">
        <v>25.1</v>
      </c>
      <c r="J323">
        <f t="shared" si="42"/>
        <v>2646.9999999999991</v>
      </c>
      <c r="K323" s="31">
        <f t="shared" si="48"/>
        <v>190.6</v>
      </c>
      <c r="L323" s="16" t="s">
        <v>43</v>
      </c>
      <c r="M323">
        <v>0</v>
      </c>
      <c r="N323">
        <v>5.2</v>
      </c>
      <c r="O323">
        <f t="shared" si="39"/>
        <v>-5.2</v>
      </c>
      <c r="P323">
        <v>0</v>
      </c>
      <c r="Q323">
        <v>289</v>
      </c>
      <c r="R323">
        <f t="shared" si="46"/>
        <v>0.78749999999999987</v>
      </c>
      <c r="S323" s="18">
        <f t="shared" si="40"/>
        <v>4.0949999999999998</v>
      </c>
      <c r="T323" s="18">
        <f t="shared" si="41"/>
        <v>-4.0949999999999998</v>
      </c>
      <c r="U323" s="18">
        <v>0</v>
      </c>
      <c r="W323">
        <v>2473</v>
      </c>
      <c r="Y323">
        <f t="shared" si="43"/>
        <v>234547.3</v>
      </c>
      <c r="Z323" s="31">
        <f t="shared" si="47"/>
        <v>20384.5</v>
      </c>
      <c r="AA323">
        <v>16.067584402726531</v>
      </c>
    </row>
    <row r="324" spans="1:27" x14ac:dyDescent="0.25">
      <c r="A324">
        <v>6440</v>
      </c>
      <c r="B324">
        <v>25210</v>
      </c>
      <c r="C324" s="4">
        <v>42902</v>
      </c>
      <c r="F324" s="48"/>
      <c r="G324">
        <v>16.5</v>
      </c>
      <c r="H324">
        <v>12.3</v>
      </c>
      <c r="I324">
        <v>20.100000000000001</v>
      </c>
      <c r="J324">
        <f t="shared" si="42"/>
        <v>2663.4999999999991</v>
      </c>
      <c r="K324" s="31">
        <f t="shared" si="48"/>
        <v>207.1</v>
      </c>
      <c r="L324" s="8">
        <v>0</v>
      </c>
      <c r="M324">
        <v>0</v>
      </c>
      <c r="N324">
        <v>3.2</v>
      </c>
      <c r="O324">
        <f t="shared" si="39"/>
        <v>-3.2</v>
      </c>
      <c r="P324">
        <v>0</v>
      </c>
      <c r="Q324">
        <v>290</v>
      </c>
      <c r="R324">
        <f t="shared" si="46"/>
        <v>0.77499999999999991</v>
      </c>
      <c r="S324" s="18">
        <f t="shared" si="40"/>
        <v>2.48</v>
      </c>
      <c r="T324" s="18">
        <f t="shared" si="41"/>
        <v>-2.48</v>
      </c>
      <c r="U324" s="18">
        <v>0</v>
      </c>
      <c r="V324" s="37">
        <f>(V322*100)/189.6</f>
        <v>1.1426938919027532</v>
      </c>
      <c r="W324">
        <v>1577.9</v>
      </c>
      <c r="Y324">
        <f t="shared" si="43"/>
        <v>236125.19999999998</v>
      </c>
      <c r="Z324" s="31">
        <f t="shared" si="47"/>
        <v>21962.400000000001</v>
      </c>
      <c r="AA324">
        <v>16.07621209693874</v>
      </c>
    </row>
    <row r="325" spans="1:27" x14ac:dyDescent="0.25">
      <c r="A325">
        <v>6440</v>
      </c>
      <c r="B325">
        <v>25210</v>
      </c>
      <c r="C325" s="4">
        <v>42903</v>
      </c>
      <c r="F325" s="48"/>
      <c r="G325">
        <v>20</v>
      </c>
      <c r="H325">
        <v>11.7</v>
      </c>
      <c r="I325">
        <v>25.6</v>
      </c>
      <c r="J325">
        <f t="shared" si="42"/>
        <v>2683.4999999999991</v>
      </c>
      <c r="K325" s="31">
        <f t="shared" si="48"/>
        <v>227.1</v>
      </c>
      <c r="L325" s="16" t="s">
        <v>44</v>
      </c>
      <c r="M325">
        <v>0</v>
      </c>
      <c r="N325">
        <v>3.6</v>
      </c>
      <c r="O325">
        <f t="shared" si="39"/>
        <v>-3.6</v>
      </c>
      <c r="P325">
        <v>0</v>
      </c>
      <c r="Q325">
        <v>291</v>
      </c>
      <c r="R325">
        <f t="shared" si="46"/>
        <v>0.76249999999999996</v>
      </c>
      <c r="S325" s="18">
        <f t="shared" si="40"/>
        <v>2.7450000000000001</v>
      </c>
      <c r="T325" s="18">
        <f t="shared" si="41"/>
        <v>-2.7450000000000001</v>
      </c>
      <c r="U325" s="18">
        <v>0</v>
      </c>
      <c r="W325">
        <v>1898.2</v>
      </c>
      <c r="Y325">
        <f t="shared" si="43"/>
        <v>238023.4</v>
      </c>
      <c r="Z325" s="31">
        <f t="shared" si="47"/>
        <v>23860.600000000002</v>
      </c>
      <c r="AA325">
        <v>16.083351287835747</v>
      </c>
    </row>
    <row r="326" spans="1:27" x14ac:dyDescent="0.25">
      <c r="A326">
        <v>6440</v>
      </c>
      <c r="B326">
        <v>25210</v>
      </c>
      <c r="C326" s="4">
        <v>42904</v>
      </c>
      <c r="F326" s="48"/>
      <c r="G326">
        <v>22.3</v>
      </c>
      <c r="H326">
        <v>15.9</v>
      </c>
      <c r="I326">
        <v>27.1</v>
      </c>
      <c r="J326">
        <f t="shared" si="42"/>
        <v>2705.7999999999993</v>
      </c>
      <c r="K326" s="31">
        <f t="shared" si="48"/>
        <v>249.4</v>
      </c>
      <c r="L326" s="13">
        <v>0</v>
      </c>
      <c r="M326">
        <v>0</v>
      </c>
      <c r="N326">
        <v>5.6</v>
      </c>
      <c r="O326">
        <f t="shared" si="39"/>
        <v>-5.6</v>
      </c>
      <c r="P326">
        <v>0</v>
      </c>
      <c r="Q326">
        <v>292</v>
      </c>
      <c r="R326">
        <f t="shared" si="46"/>
        <v>0.75</v>
      </c>
      <c r="S326" s="18">
        <f t="shared" si="40"/>
        <v>4.1999999999999993</v>
      </c>
      <c r="T326" s="18">
        <f t="shared" si="41"/>
        <v>-4.1999999999999993</v>
      </c>
      <c r="U326" s="18">
        <v>0</v>
      </c>
      <c r="W326">
        <v>2675.5</v>
      </c>
      <c r="Y326">
        <f t="shared" si="43"/>
        <v>240698.9</v>
      </c>
      <c r="Z326" s="31">
        <f t="shared" si="47"/>
        <v>26536.100000000002</v>
      </c>
      <c r="AA326">
        <v>16.088995164636788</v>
      </c>
    </row>
    <row r="327" spans="1:27" x14ac:dyDescent="0.25">
      <c r="A327">
        <v>6440</v>
      </c>
      <c r="B327">
        <v>25210</v>
      </c>
      <c r="C327" s="4">
        <v>42905</v>
      </c>
      <c r="F327" s="48"/>
      <c r="G327">
        <v>23.9</v>
      </c>
      <c r="H327">
        <v>18.600000000000001</v>
      </c>
      <c r="I327">
        <v>29.3</v>
      </c>
      <c r="J327">
        <f t="shared" si="42"/>
        <v>2729.6999999999994</v>
      </c>
      <c r="K327" s="31">
        <f t="shared" si="48"/>
        <v>273.3</v>
      </c>
      <c r="M327">
        <v>0</v>
      </c>
      <c r="N327">
        <v>6.7</v>
      </c>
      <c r="O327">
        <f t="shared" si="39"/>
        <v>-6.7</v>
      </c>
      <c r="P327">
        <v>0</v>
      </c>
      <c r="Q327">
        <v>293</v>
      </c>
      <c r="R327">
        <f t="shared" si="46"/>
        <v>0.73749999999999993</v>
      </c>
      <c r="S327" s="18">
        <f t="shared" si="40"/>
        <v>4.9412499999999993</v>
      </c>
      <c r="T327" s="18">
        <f t="shared" si="41"/>
        <v>-4.9412499999999993</v>
      </c>
      <c r="U327" s="18">
        <v>0</v>
      </c>
      <c r="W327">
        <v>2930.5</v>
      </c>
      <c r="Y327">
        <f t="shared" si="43"/>
        <v>243629.4</v>
      </c>
      <c r="Z327" s="31">
        <f t="shared" si="47"/>
        <v>29466.600000000002</v>
      </c>
      <c r="AA327">
        <v>16.093138322570013</v>
      </c>
    </row>
    <row r="328" spans="1:27" x14ac:dyDescent="0.25">
      <c r="A328">
        <v>6440</v>
      </c>
      <c r="B328">
        <v>25210</v>
      </c>
      <c r="C328" s="4">
        <v>42906</v>
      </c>
      <c r="F328" s="48"/>
      <c r="G328">
        <v>23.8</v>
      </c>
      <c r="H328">
        <v>16.399999999999999</v>
      </c>
      <c r="I328">
        <v>30.6</v>
      </c>
      <c r="J328">
        <f t="shared" si="42"/>
        <v>2753.4999999999995</v>
      </c>
      <c r="K328" s="31">
        <f t="shared" si="48"/>
        <v>297.10000000000002</v>
      </c>
      <c r="M328">
        <v>0</v>
      </c>
      <c r="N328">
        <v>5.3</v>
      </c>
      <c r="O328">
        <f t="shared" si="39"/>
        <v>-5.3</v>
      </c>
      <c r="P328">
        <v>0</v>
      </c>
      <c r="Q328">
        <v>294</v>
      </c>
      <c r="R328">
        <f t="shared" si="46"/>
        <v>0.72499999999999987</v>
      </c>
      <c r="S328" s="18">
        <f t="shared" si="40"/>
        <v>3.8424999999999994</v>
      </c>
      <c r="T328" s="18">
        <f t="shared" si="41"/>
        <v>-3.8424999999999994</v>
      </c>
      <c r="U328" s="18">
        <v>0</v>
      </c>
      <c r="W328">
        <v>2330.6</v>
      </c>
      <c r="Y328">
        <f t="shared" si="43"/>
        <v>245960</v>
      </c>
      <c r="Z328" s="31">
        <f t="shared" si="47"/>
        <v>31797.200000000001</v>
      </c>
      <c r="AA328">
        <v>16.095776782431315</v>
      </c>
    </row>
    <row r="329" spans="1:27" x14ac:dyDescent="0.25">
      <c r="A329">
        <v>6440</v>
      </c>
      <c r="B329">
        <v>25210</v>
      </c>
      <c r="C329" s="4">
        <v>42907</v>
      </c>
      <c r="F329" s="48"/>
      <c r="G329">
        <v>26.5</v>
      </c>
      <c r="H329">
        <v>17.899999999999999</v>
      </c>
      <c r="I329">
        <v>32.9</v>
      </c>
      <c r="J329">
        <f t="shared" si="42"/>
        <v>2779.9999999999995</v>
      </c>
      <c r="K329" s="31">
        <f t="shared" si="48"/>
        <v>323.60000000000002</v>
      </c>
      <c r="M329">
        <v>0</v>
      </c>
      <c r="N329">
        <v>5.5</v>
      </c>
      <c r="O329">
        <f t="shared" si="39"/>
        <v>-5.5</v>
      </c>
      <c r="P329">
        <v>0</v>
      </c>
      <c r="Q329">
        <v>295</v>
      </c>
      <c r="R329">
        <f t="shared" si="46"/>
        <v>0.71249999999999991</v>
      </c>
      <c r="S329" s="18">
        <f t="shared" si="40"/>
        <v>3.9187499999999993</v>
      </c>
      <c r="T329" s="18">
        <f t="shared" si="41"/>
        <v>-3.9187499999999993</v>
      </c>
      <c r="U329" s="18">
        <v>0</v>
      </c>
      <c r="W329">
        <v>2390.4</v>
      </c>
      <c r="Y329">
        <f t="shared" si="43"/>
        <v>248350.4</v>
      </c>
      <c r="Z329" s="31">
        <f t="shared" si="47"/>
        <v>34187.599999999999</v>
      </c>
      <c r="AA329">
        <v>16.09690800505086</v>
      </c>
    </row>
    <row r="330" spans="1:27" x14ac:dyDescent="0.25">
      <c r="A330">
        <v>6440</v>
      </c>
      <c r="B330">
        <v>25210</v>
      </c>
      <c r="C330" s="4">
        <v>42908</v>
      </c>
      <c r="F330" s="48"/>
      <c r="G330">
        <v>22.6</v>
      </c>
      <c r="H330">
        <v>20.8</v>
      </c>
      <c r="I330">
        <v>30.4</v>
      </c>
      <c r="J330">
        <f t="shared" si="42"/>
        <v>2802.5999999999995</v>
      </c>
      <c r="K330" s="31">
        <f t="shared" si="48"/>
        <v>346.20000000000005</v>
      </c>
      <c r="M330">
        <v>0</v>
      </c>
      <c r="N330">
        <v>7.6</v>
      </c>
      <c r="O330">
        <f t="shared" si="39"/>
        <v>-7.6</v>
      </c>
      <c r="P330">
        <v>0</v>
      </c>
      <c r="Q330">
        <v>296</v>
      </c>
      <c r="R330">
        <f t="shared" si="46"/>
        <v>0.7</v>
      </c>
      <c r="S330" s="18">
        <f t="shared" si="40"/>
        <v>5.3199999999999994</v>
      </c>
      <c r="T330" s="18">
        <f t="shared" si="41"/>
        <v>-5.3199999999999994</v>
      </c>
      <c r="U330" s="18">
        <v>0</v>
      </c>
      <c r="W330">
        <v>3040.6</v>
      </c>
      <c r="Y330">
        <f t="shared" si="43"/>
        <v>251391</v>
      </c>
      <c r="Z330" s="31">
        <f t="shared" si="47"/>
        <v>37228.199999999997</v>
      </c>
      <c r="AA330">
        <v>16.096530900553894</v>
      </c>
    </row>
    <row r="331" spans="1:27" x14ac:dyDescent="0.25">
      <c r="A331">
        <v>6440</v>
      </c>
      <c r="B331">
        <v>25210</v>
      </c>
      <c r="C331" s="4">
        <v>42909</v>
      </c>
      <c r="F331" s="48"/>
      <c r="G331">
        <v>17.100000000000001</v>
      </c>
      <c r="H331">
        <v>13.1</v>
      </c>
      <c r="I331">
        <v>20.9</v>
      </c>
      <c r="J331">
        <f t="shared" si="42"/>
        <v>2819.6999999999994</v>
      </c>
      <c r="K331" s="31">
        <f t="shared" si="48"/>
        <v>363.30000000000007</v>
      </c>
      <c r="M331">
        <v>0</v>
      </c>
      <c r="N331">
        <v>2.7</v>
      </c>
      <c r="O331">
        <f t="shared" si="39"/>
        <v>-2.7</v>
      </c>
      <c r="P331">
        <v>0</v>
      </c>
      <c r="Q331">
        <v>297</v>
      </c>
      <c r="R331">
        <f t="shared" si="46"/>
        <v>0.6875</v>
      </c>
      <c r="S331" s="18">
        <f t="shared" si="40"/>
        <v>1.8562500000000002</v>
      </c>
      <c r="T331" s="18">
        <f t="shared" si="41"/>
        <v>-1.8562500000000002</v>
      </c>
      <c r="U331" s="18">
        <v>0</v>
      </c>
      <c r="W331">
        <v>1017.4</v>
      </c>
      <c r="Y331">
        <f t="shared" si="43"/>
        <v>252408.4</v>
      </c>
      <c r="Z331" s="31">
        <f t="shared" si="47"/>
        <v>38245.599999999999</v>
      </c>
      <c r="AA331">
        <v>16.094645832342735</v>
      </c>
    </row>
    <row r="332" spans="1:27" x14ac:dyDescent="0.25">
      <c r="A332">
        <v>6440</v>
      </c>
      <c r="B332">
        <v>25210</v>
      </c>
      <c r="C332" s="4">
        <v>42910</v>
      </c>
      <c r="F332" s="48"/>
      <c r="G332">
        <v>19</v>
      </c>
      <c r="H332">
        <v>12.7</v>
      </c>
      <c r="I332">
        <v>23.5</v>
      </c>
      <c r="J332">
        <f t="shared" si="42"/>
        <v>2838.6999999999994</v>
      </c>
      <c r="K332" s="31">
        <f t="shared" si="48"/>
        <v>382.30000000000007</v>
      </c>
      <c r="M332">
        <v>0.2</v>
      </c>
      <c r="N332">
        <v>3.4</v>
      </c>
      <c r="O332">
        <f t="shared" si="39"/>
        <v>-3.1999999999999997</v>
      </c>
      <c r="P332">
        <v>0</v>
      </c>
      <c r="Q332">
        <v>298</v>
      </c>
      <c r="R332">
        <f t="shared" si="46"/>
        <v>0.67499999999999993</v>
      </c>
      <c r="S332" s="18">
        <f t="shared" si="40"/>
        <v>2.2949999999999999</v>
      </c>
      <c r="T332" s="18">
        <f t="shared" si="41"/>
        <v>-2.0949999999999998</v>
      </c>
      <c r="U332" s="18">
        <v>0</v>
      </c>
      <c r="W332">
        <v>1355.9</v>
      </c>
      <c r="Y332">
        <f t="shared" si="43"/>
        <v>253764.3</v>
      </c>
      <c r="Z332" s="31">
        <f t="shared" si="47"/>
        <v>39601.5</v>
      </c>
      <c r="AA332">
        <v>16.091254615768591</v>
      </c>
    </row>
    <row r="333" spans="1:27" s="26" customFormat="1" ht="15.75" thickBot="1" x14ac:dyDescent="0.3">
      <c r="A333" s="26">
        <v>6440</v>
      </c>
      <c r="B333" s="26">
        <v>25210</v>
      </c>
      <c r="C333" s="27">
        <v>42911</v>
      </c>
      <c r="F333" s="48"/>
      <c r="G333" s="26">
        <v>18.899999999999999</v>
      </c>
      <c r="H333" s="26">
        <v>16.3</v>
      </c>
      <c r="I333" s="26">
        <v>21.9</v>
      </c>
      <c r="J333" s="26">
        <f t="shared" si="42"/>
        <v>2857.5999999999995</v>
      </c>
      <c r="K333" s="26">
        <f t="shared" si="48"/>
        <v>401.20000000000005</v>
      </c>
      <c r="M333" s="26">
        <v>0</v>
      </c>
      <c r="N333" s="26">
        <v>2.6</v>
      </c>
      <c r="O333" s="26">
        <f t="shared" si="39"/>
        <v>-2.6</v>
      </c>
      <c r="P333" s="26">
        <v>0</v>
      </c>
      <c r="Q333" s="26">
        <v>299</v>
      </c>
      <c r="R333">
        <f t="shared" si="46"/>
        <v>0.66249999999999998</v>
      </c>
      <c r="S333" s="28">
        <f t="shared" si="40"/>
        <v>1.7224999999999999</v>
      </c>
      <c r="T333" s="28">
        <f t="shared" si="41"/>
        <v>-1.7224999999999999</v>
      </c>
      <c r="U333" s="18">
        <v>0</v>
      </c>
      <c r="W333" s="26">
        <v>890.2</v>
      </c>
      <c r="Y333" s="26">
        <f t="shared" si="43"/>
        <v>254654.5</v>
      </c>
      <c r="Z333" s="26">
        <f t="shared" si="47"/>
        <v>40491.699999999997</v>
      </c>
      <c r="AA333" s="26">
        <v>16.086360511503578</v>
      </c>
    </row>
    <row r="334" spans="1:27" s="31" customFormat="1" x14ac:dyDescent="0.25">
      <c r="A334" s="31">
        <v>6440</v>
      </c>
      <c r="B334" s="31">
        <v>25210</v>
      </c>
      <c r="C334" s="32">
        <v>42912</v>
      </c>
      <c r="D334" s="31">
        <v>1000</v>
      </c>
      <c r="G334" s="31">
        <v>20.2</v>
      </c>
      <c r="H334" s="31">
        <v>15.5</v>
      </c>
      <c r="I334" s="31">
        <v>24.4</v>
      </c>
      <c r="J334" s="31">
        <f t="shared" si="42"/>
        <v>2877.7999999999993</v>
      </c>
      <c r="K334" s="31">
        <f t="shared" si="48"/>
        <v>421.40000000000003</v>
      </c>
      <c r="M334" s="31">
        <v>0</v>
      </c>
      <c r="N334" s="31">
        <v>4.4000000000000004</v>
      </c>
      <c r="O334" s="31">
        <f t="shared" si="39"/>
        <v>-4.4000000000000004</v>
      </c>
      <c r="P334" s="31">
        <v>0</v>
      </c>
      <c r="Q334" s="31">
        <v>300</v>
      </c>
      <c r="R334">
        <f t="shared" si="46"/>
        <v>0.64999999999999991</v>
      </c>
      <c r="S334" s="33">
        <f t="shared" si="40"/>
        <v>2.86</v>
      </c>
      <c r="T334" s="33">
        <f t="shared" si="41"/>
        <v>-2.86</v>
      </c>
      <c r="U334" s="18">
        <v>0</v>
      </c>
      <c r="W334" s="31">
        <v>2149.1999999999998</v>
      </c>
      <c r="Y334" s="31">
        <f t="shared" si="43"/>
        <v>256803.7</v>
      </c>
      <c r="Z334" s="31">
        <f t="shared" si="47"/>
        <v>42640.899999999994</v>
      </c>
      <c r="AA334" s="31">
        <v>16.079968213665381</v>
      </c>
    </row>
    <row r="335" spans="1:27" x14ac:dyDescent="0.25">
      <c r="A335">
        <v>6440</v>
      </c>
      <c r="B335">
        <v>25210</v>
      </c>
      <c r="C335" s="4">
        <v>42913</v>
      </c>
      <c r="D335" s="17"/>
      <c r="E335" s="17"/>
      <c r="F335" s="17"/>
      <c r="G335">
        <v>18.8</v>
      </c>
      <c r="H335">
        <v>16</v>
      </c>
      <c r="I335">
        <v>22</v>
      </c>
      <c r="J335">
        <f t="shared" si="42"/>
        <v>2896.5999999999995</v>
      </c>
      <c r="K335" s="31">
        <f t="shared" si="48"/>
        <v>440.20000000000005</v>
      </c>
      <c r="M335">
        <v>6.3</v>
      </c>
      <c r="N335">
        <v>2.2000000000000002</v>
      </c>
      <c r="O335">
        <f t="shared" si="39"/>
        <v>4.0999999999999996</v>
      </c>
      <c r="P335">
        <f t="shared" si="44"/>
        <v>4.0999999999999996</v>
      </c>
      <c r="Q335">
        <v>301</v>
      </c>
      <c r="R335">
        <f t="shared" si="46"/>
        <v>0.63749999999999996</v>
      </c>
      <c r="S335" s="18">
        <f t="shared" si="40"/>
        <v>1.4025000000000001</v>
      </c>
      <c r="T335" s="18">
        <f t="shared" si="41"/>
        <v>4.8975</v>
      </c>
      <c r="U335" s="18">
        <f t="shared" si="45"/>
        <v>4.8975</v>
      </c>
      <c r="W335">
        <v>999.1</v>
      </c>
      <c r="Y335">
        <f t="shared" si="43"/>
        <v>257802.80000000002</v>
      </c>
      <c r="Z335" s="31">
        <f t="shared" si="47"/>
        <v>43639.999999999993</v>
      </c>
      <c r="AA335">
        <v>16.072083832787914</v>
      </c>
    </row>
    <row r="336" spans="1:27" x14ac:dyDescent="0.25">
      <c r="A336">
        <v>6440</v>
      </c>
      <c r="B336">
        <v>25210</v>
      </c>
      <c r="C336" s="4">
        <v>42914</v>
      </c>
      <c r="G336">
        <v>18.3</v>
      </c>
      <c r="H336">
        <v>16.5</v>
      </c>
      <c r="I336">
        <v>22.3</v>
      </c>
      <c r="J336">
        <f t="shared" si="42"/>
        <v>2914.8999999999996</v>
      </c>
      <c r="K336" s="31">
        <f t="shared" si="48"/>
        <v>458.50000000000006</v>
      </c>
      <c r="M336">
        <v>7.8</v>
      </c>
      <c r="N336">
        <v>2.8</v>
      </c>
      <c r="O336">
        <f t="shared" si="39"/>
        <v>5</v>
      </c>
      <c r="P336">
        <f t="shared" si="44"/>
        <v>9.1</v>
      </c>
      <c r="Q336">
        <v>302</v>
      </c>
      <c r="R336">
        <f t="shared" si="46"/>
        <v>0.625</v>
      </c>
      <c r="S336" s="18">
        <f t="shared" si="40"/>
        <v>1.75</v>
      </c>
      <c r="T336" s="18">
        <f t="shared" si="41"/>
        <v>6.05</v>
      </c>
      <c r="U336" s="18">
        <f t="shared" si="45"/>
        <v>10.9475</v>
      </c>
      <c r="W336">
        <v>1153.2</v>
      </c>
      <c r="Y336">
        <f t="shared" si="43"/>
        <v>258956.00000000003</v>
      </c>
      <c r="Z336" s="31">
        <f t="shared" si="47"/>
        <v>44793.19999999999</v>
      </c>
      <c r="AA336">
        <v>16.062714873771188</v>
      </c>
    </row>
    <row r="337" spans="1:27" x14ac:dyDescent="0.25">
      <c r="A337">
        <v>6440</v>
      </c>
      <c r="B337">
        <v>25210</v>
      </c>
      <c r="C337" s="4">
        <v>42915</v>
      </c>
      <c r="G337">
        <v>16.8</v>
      </c>
      <c r="H337">
        <v>13.8</v>
      </c>
      <c r="I337">
        <v>19.899999999999999</v>
      </c>
      <c r="J337">
        <f t="shared" si="42"/>
        <v>2931.7</v>
      </c>
      <c r="K337" s="31">
        <f t="shared" si="48"/>
        <v>475.30000000000007</v>
      </c>
      <c r="M337">
        <v>0</v>
      </c>
      <c r="N337">
        <v>2.8</v>
      </c>
      <c r="O337">
        <f t="shared" si="39"/>
        <v>-2.8</v>
      </c>
      <c r="P337">
        <f t="shared" si="44"/>
        <v>6.3</v>
      </c>
      <c r="Q337">
        <v>303</v>
      </c>
      <c r="R337">
        <f t="shared" si="46"/>
        <v>0.61249999999999993</v>
      </c>
      <c r="S337" s="18">
        <f t="shared" si="40"/>
        <v>1.7149999999999996</v>
      </c>
      <c r="T337" s="18">
        <f t="shared" si="41"/>
        <v>-1.7149999999999996</v>
      </c>
      <c r="U337" s="18">
        <f t="shared" si="45"/>
        <v>9.2324999999999999</v>
      </c>
      <c r="W337">
        <v>1331</v>
      </c>
      <c r="Y337">
        <f t="shared" si="43"/>
        <v>260287.00000000003</v>
      </c>
      <c r="Z337" s="31">
        <f t="shared" si="47"/>
        <v>46124.19999999999</v>
      </c>
      <c r="AA337">
        <v>16.05187020898158</v>
      </c>
    </row>
    <row r="338" spans="1:27" x14ac:dyDescent="0.25">
      <c r="A338">
        <v>6440</v>
      </c>
      <c r="B338">
        <v>25210</v>
      </c>
      <c r="C338" s="4">
        <v>42916</v>
      </c>
      <c r="G338">
        <v>17</v>
      </c>
      <c r="H338">
        <v>14.5</v>
      </c>
      <c r="I338">
        <v>20</v>
      </c>
      <c r="J338">
        <f t="shared" si="42"/>
        <v>2948.7</v>
      </c>
      <c r="K338" s="31">
        <f t="shared" si="48"/>
        <v>492.30000000000007</v>
      </c>
      <c r="M338">
        <v>4.0999999999999996</v>
      </c>
      <c r="N338">
        <v>1.9</v>
      </c>
      <c r="O338">
        <f t="shared" si="39"/>
        <v>2.1999999999999997</v>
      </c>
      <c r="P338">
        <f t="shared" si="44"/>
        <v>8.5</v>
      </c>
      <c r="Q338">
        <v>304</v>
      </c>
      <c r="R338">
        <f t="shared" si="46"/>
        <v>0.6</v>
      </c>
      <c r="S338" s="18">
        <f t="shared" si="40"/>
        <v>1.1399999999999999</v>
      </c>
      <c r="T338" s="18">
        <f t="shared" si="41"/>
        <v>2.96</v>
      </c>
      <c r="U338" s="18">
        <f t="shared" si="45"/>
        <v>12.192499999999999</v>
      </c>
      <c r="W338">
        <v>843.5</v>
      </c>
      <c r="Y338">
        <f t="shared" si="43"/>
        <v>261130.50000000003</v>
      </c>
      <c r="Z338" s="31">
        <f t="shared" si="47"/>
        <v>46967.69999999999</v>
      </c>
      <c r="AA338">
        <v>16.03956004670928</v>
      </c>
    </row>
    <row r="339" spans="1:27" x14ac:dyDescent="0.25">
      <c r="A339">
        <v>6440</v>
      </c>
      <c r="B339">
        <v>25210</v>
      </c>
      <c r="C339" s="4">
        <v>42917</v>
      </c>
      <c r="G339">
        <v>16.600000000000001</v>
      </c>
      <c r="H339">
        <v>14.8</v>
      </c>
      <c r="I339">
        <v>21</v>
      </c>
      <c r="J339">
        <f t="shared" si="42"/>
        <v>2965.2999999999997</v>
      </c>
      <c r="K339" s="31">
        <f t="shared" si="48"/>
        <v>508.90000000000009</v>
      </c>
      <c r="M339">
        <v>8.3000000000000007</v>
      </c>
      <c r="N339">
        <v>2.7</v>
      </c>
      <c r="O339">
        <f t="shared" si="39"/>
        <v>5.6000000000000005</v>
      </c>
      <c r="P339">
        <f t="shared" si="44"/>
        <v>14.100000000000001</v>
      </c>
      <c r="Q339">
        <v>305</v>
      </c>
      <c r="R339">
        <f t="shared" si="46"/>
        <v>0.58749999999999991</v>
      </c>
      <c r="S339" s="18">
        <f t="shared" si="40"/>
        <v>1.5862499999999999</v>
      </c>
      <c r="T339" s="18">
        <f t="shared" si="41"/>
        <v>6.713750000000001</v>
      </c>
      <c r="U339" s="18">
        <f t="shared" si="45"/>
        <v>18.90625</v>
      </c>
      <c r="W339">
        <v>1160.9000000000001</v>
      </c>
      <c r="Y339">
        <f t="shared" si="43"/>
        <v>262291.40000000002</v>
      </c>
      <c r="Z339" s="31">
        <f t="shared" si="47"/>
        <v>48128.599999999991</v>
      </c>
      <c r="AA339">
        <v>16.025795895222497</v>
      </c>
    </row>
    <row r="340" spans="1:27" x14ac:dyDescent="0.25">
      <c r="A340">
        <v>6440</v>
      </c>
      <c r="B340">
        <v>25210</v>
      </c>
      <c r="C340" s="4">
        <v>42918</v>
      </c>
      <c r="G340">
        <v>16.100000000000001</v>
      </c>
      <c r="H340">
        <v>12.7</v>
      </c>
      <c r="I340">
        <v>20.6</v>
      </c>
      <c r="J340">
        <f t="shared" si="42"/>
        <v>2981.3999999999996</v>
      </c>
      <c r="K340" s="31">
        <f t="shared" si="48"/>
        <v>525.00000000000011</v>
      </c>
      <c r="M340">
        <v>0.8</v>
      </c>
      <c r="N340">
        <v>1.9</v>
      </c>
      <c r="O340">
        <f t="shared" si="39"/>
        <v>-1.0999999999999999</v>
      </c>
      <c r="P340">
        <f t="shared" si="44"/>
        <v>13.000000000000002</v>
      </c>
      <c r="Q340">
        <v>306</v>
      </c>
      <c r="R340">
        <f t="shared" si="46"/>
        <v>0.57499999999999996</v>
      </c>
      <c r="S340" s="18">
        <f t="shared" si="40"/>
        <v>1.0924999999999998</v>
      </c>
      <c r="T340" s="18">
        <f t="shared" si="41"/>
        <v>-0.29249999999999976</v>
      </c>
      <c r="U340" s="18">
        <f t="shared" si="45"/>
        <v>18.61375</v>
      </c>
      <c r="W340">
        <v>925.9</v>
      </c>
      <c r="Y340">
        <f t="shared" si="43"/>
        <v>263217.30000000005</v>
      </c>
      <c r="Z340" s="31">
        <f t="shared" si="47"/>
        <v>49054.499999999993</v>
      </c>
      <c r="AA340">
        <v>16.010590522687796</v>
      </c>
    </row>
    <row r="341" spans="1:27" x14ac:dyDescent="0.25">
      <c r="A341">
        <v>6440</v>
      </c>
      <c r="B341">
        <v>25210</v>
      </c>
      <c r="C341" s="4">
        <v>42919</v>
      </c>
      <c r="G341">
        <v>16.100000000000001</v>
      </c>
      <c r="H341">
        <v>10.9</v>
      </c>
      <c r="I341">
        <v>20</v>
      </c>
      <c r="J341">
        <f t="shared" si="42"/>
        <v>2997.4999999999995</v>
      </c>
      <c r="K341" s="31">
        <f t="shared" si="48"/>
        <v>541.10000000000014</v>
      </c>
      <c r="M341">
        <v>0.2</v>
      </c>
      <c r="N341">
        <v>2.1</v>
      </c>
      <c r="O341">
        <f t="shared" si="39"/>
        <v>-1.9000000000000001</v>
      </c>
      <c r="P341">
        <f t="shared" si="44"/>
        <v>11.100000000000001</v>
      </c>
      <c r="Q341">
        <v>307</v>
      </c>
      <c r="R341">
        <f t="shared" si="46"/>
        <v>0.5625</v>
      </c>
      <c r="S341" s="18">
        <f t="shared" si="40"/>
        <v>1.1812500000000001</v>
      </c>
      <c r="T341" s="18">
        <f t="shared" si="41"/>
        <v>-0.98125000000000018</v>
      </c>
      <c r="U341" s="18">
        <f t="shared" si="45"/>
        <v>17.6325</v>
      </c>
      <c r="W341">
        <v>1124.7</v>
      </c>
      <c r="Y341">
        <f t="shared" si="43"/>
        <v>264342.00000000006</v>
      </c>
      <c r="Z341" s="31">
        <f t="shared" si="47"/>
        <v>50179.19999999999</v>
      </c>
      <c r="AA341">
        <v>15.99395791325183</v>
      </c>
    </row>
    <row r="342" spans="1:27" x14ac:dyDescent="0.25">
      <c r="A342">
        <v>6440</v>
      </c>
      <c r="B342">
        <v>25210</v>
      </c>
      <c r="C342" s="4">
        <v>42920</v>
      </c>
      <c r="G342">
        <v>19.2</v>
      </c>
      <c r="H342">
        <v>12.1</v>
      </c>
      <c r="I342">
        <v>25</v>
      </c>
      <c r="J342">
        <f t="shared" si="42"/>
        <v>3016.6999999999994</v>
      </c>
      <c r="K342" s="31">
        <f t="shared" si="48"/>
        <v>560.30000000000018</v>
      </c>
      <c r="M342">
        <v>0</v>
      </c>
      <c r="N342">
        <v>4.8</v>
      </c>
      <c r="O342">
        <f t="shared" si="39"/>
        <v>-4.8</v>
      </c>
      <c r="P342">
        <f t="shared" si="44"/>
        <v>6.3000000000000016</v>
      </c>
      <c r="Q342">
        <v>308</v>
      </c>
      <c r="R342">
        <f t="shared" si="46"/>
        <v>0.54999999999999993</v>
      </c>
      <c r="S342" s="18">
        <f t="shared" si="40"/>
        <v>2.6399999999999997</v>
      </c>
      <c r="T342" s="18">
        <f t="shared" si="41"/>
        <v>-2.6399999999999997</v>
      </c>
      <c r="U342" s="18">
        <f t="shared" si="45"/>
        <v>14.9925</v>
      </c>
      <c r="W342">
        <v>2539.6999999999998</v>
      </c>
      <c r="Y342">
        <f t="shared" si="43"/>
        <v>266881.70000000007</v>
      </c>
      <c r="Z342" s="31">
        <f t="shared" si="47"/>
        <v>52718.899999999987</v>
      </c>
      <c r="AA342">
        <v>15.975913219602422</v>
      </c>
    </row>
    <row r="343" spans="1:27" x14ac:dyDescent="0.25">
      <c r="A343">
        <v>6440</v>
      </c>
      <c r="B343">
        <v>25210</v>
      </c>
      <c r="C343" s="4">
        <v>42921</v>
      </c>
      <c r="G343">
        <v>22.3</v>
      </c>
      <c r="H343">
        <v>14.8</v>
      </c>
      <c r="I343">
        <v>28.6</v>
      </c>
      <c r="J343">
        <f t="shared" si="42"/>
        <v>3038.9999999999995</v>
      </c>
      <c r="K343" s="31">
        <f t="shared" si="48"/>
        <v>582.60000000000014</v>
      </c>
      <c r="M343">
        <v>0</v>
      </c>
      <c r="N343">
        <v>5.6</v>
      </c>
      <c r="O343">
        <f t="shared" si="39"/>
        <v>-5.6</v>
      </c>
      <c r="P343">
        <f t="shared" si="44"/>
        <v>0.70000000000000195</v>
      </c>
      <c r="Q343">
        <v>309</v>
      </c>
      <c r="R343">
        <f t="shared" si="46"/>
        <v>0.53749999999999998</v>
      </c>
      <c r="S343" s="18">
        <f t="shared" si="40"/>
        <v>3.01</v>
      </c>
      <c r="T343" s="18">
        <f t="shared" si="41"/>
        <v>-3.01</v>
      </c>
      <c r="U343" s="18">
        <f t="shared" si="45"/>
        <v>11.9825</v>
      </c>
      <c r="W343">
        <v>2703.2</v>
      </c>
      <c r="Y343">
        <f t="shared" si="43"/>
        <v>269584.90000000008</v>
      </c>
      <c r="Z343" s="31">
        <f t="shared" si="47"/>
        <v>55422.099999999984</v>
      </c>
      <c r="AA343">
        <v>15.956472712345207</v>
      </c>
    </row>
    <row r="344" spans="1:27" x14ac:dyDescent="0.25">
      <c r="A344">
        <v>6440</v>
      </c>
      <c r="B344">
        <v>25210</v>
      </c>
      <c r="C344" s="4">
        <v>42922</v>
      </c>
      <c r="G344">
        <v>21.6</v>
      </c>
      <c r="H344">
        <v>19.3</v>
      </c>
      <c r="I344">
        <v>27.8</v>
      </c>
      <c r="J344">
        <f t="shared" si="42"/>
        <v>3060.5999999999995</v>
      </c>
      <c r="K344" s="31">
        <f t="shared" si="48"/>
        <v>604.20000000000016</v>
      </c>
      <c r="M344">
        <v>3.6</v>
      </c>
      <c r="N344">
        <v>4.0999999999999996</v>
      </c>
      <c r="O344">
        <f t="shared" si="39"/>
        <v>-0.49999999999999956</v>
      </c>
      <c r="P344">
        <f t="shared" si="44"/>
        <v>0.2000000000000024</v>
      </c>
      <c r="Q344">
        <v>310</v>
      </c>
      <c r="R344">
        <f t="shared" si="46"/>
        <v>0.52499999999999991</v>
      </c>
      <c r="S344" s="18">
        <f t="shared" si="40"/>
        <v>2.1524999999999994</v>
      </c>
      <c r="T344" s="18">
        <f t="shared" si="41"/>
        <v>1.4475000000000007</v>
      </c>
      <c r="U344" s="18">
        <f t="shared" si="45"/>
        <v>13.43</v>
      </c>
      <c r="W344">
        <v>1638.7</v>
      </c>
      <c r="Y344">
        <f t="shared" si="43"/>
        <v>271223.60000000009</v>
      </c>
      <c r="Z344" s="31">
        <f t="shared" si="47"/>
        <v>57060.799999999981</v>
      </c>
      <c r="AA344">
        <v>15.935653726546491</v>
      </c>
    </row>
    <row r="345" spans="1:27" x14ac:dyDescent="0.25">
      <c r="A345">
        <v>6440</v>
      </c>
      <c r="B345">
        <v>25210</v>
      </c>
      <c r="C345" s="4">
        <v>42923</v>
      </c>
      <c r="G345">
        <v>22.6</v>
      </c>
      <c r="H345">
        <v>17.600000000000001</v>
      </c>
      <c r="I345">
        <v>28.6</v>
      </c>
      <c r="J345">
        <f t="shared" si="42"/>
        <v>3083.1999999999994</v>
      </c>
      <c r="K345" s="31">
        <f t="shared" si="48"/>
        <v>626.80000000000018</v>
      </c>
      <c r="M345">
        <v>0</v>
      </c>
      <c r="N345">
        <v>6.1</v>
      </c>
      <c r="O345">
        <f t="shared" si="39"/>
        <v>-6.1</v>
      </c>
      <c r="P345">
        <v>0</v>
      </c>
      <c r="Q345">
        <v>311</v>
      </c>
      <c r="R345">
        <f t="shared" si="46"/>
        <v>0.51249999999999996</v>
      </c>
      <c r="S345" s="18">
        <f t="shared" si="40"/>
        <v>3.1262499999999998</v>
      </c>
      <c r="T345" s="18">
        <f t="shared" si="41"/>
        <v>-3.1262499999999998</v>
      </c>
      <c r="U345" s="18">
        <f t="shared" si="45"/>
        <v>10.303750000000001</v>
      </c>
      <c r="W345">
        <v>2637.4</v>
      </c>
      <c r="Y345">
        <f t="shared" si="43"/>
        <v>273861.00000000012</v>
      </c>
      <c r="Z345" s="31">
        <f t="shared" si="47"/>
        <v>59698.199999999983</v>
      </c>
      <c r="AA345">
        <v>15.913474605803408</v>
      </c>
    </row>
    <row r="346" spans="1:27" x14ac:dyDescent="0.25">
      <c r="A346">
        <v>6440</v>
      </c>
      <c r="B346">
        <v>25210</v>
      </c>
      <c r="C346" s="4">
        <v>42924</v>
      </c>
      <c r="G346">
        <v>21</v>
      </c>
      <c r="H346">
        <v>14.5</v>
      </c>
      <c r="I346">
        <v>25.4</v>
      </c>
      <c r="J346">
        <f t="shared" si="42"/>
        <v>3104.1999999999994</v>
      </c>
      <c r="K346" s="31">
        <f t="shared" si="48"/>
        <v>647.80000000000018</v>
      </c>
      <c r="M346">
        <v>0</v>
      </c>
      <c r="N346">
        <v>4.4000000000000004</v>
      </c>
      <c r="O346">
        <f t="shared" si="39"/>
        <v>-4.4000000000000004</v>
      </c>
      <c r="P346">
        <v>0</v>
      </c>
      <c r="Q346">
        <v>312</v>
      </c>
      <c r="R346">
        <f t="shared" si="46"/>
        <v>0.5</v>
      </c>
      <c r="S346" s="18">
        <f t="shared" si="40"/>
        <v>2.2000000000000002</v>
      </c>
      <c r="T346" s="18">
        <f t="shared" si="41"/>
        <v>-2.2000000000000002</v>
      </c>
      <c r="U346" s="18">
        <f t="shared" si="45"/>
        <v>8.1037500000000016</v>
      </c>
      <c r="W346">
        <v>2312</v>
      </c>
      <c r="Y346">
        <f t="shared" si="43"/>
        <v>276173.00000000012</v>
      </c>
      <c r="Z346" s="31">
        <f t="shared" si="47"/>
        <v>62010.199999999983</v>
      </c>
      <c r="AA346">
        <v>15.889954644208601</v>
      </c>
    </row>
    <row r="347" spans="1:27" x14ac:dyDescent="0.25">
      <c r="A347">
        <v>6440</v>
      </c>
      <c r="B347">
        <v>25210</v>
      </c>
      <c r="C347" s="4">
        <v>42925</v>
      </c>
      <c r="G347">
        <v>22</v>
      </c>
      <c r="H347">
        <v>16.5</v>
      </c>
      <c r="I347">
        <v>26.8</v>
      </c>
      <c r="J347">
        <f t="shared" si="42"/>
        <v>3126.1999999999994</v>
      </c>
      <c r="K347" s="31">
        <f t="shared" si="48"/>
        <v>669.80000000000018</v>
      </c>
      <c r="M347">
        <v>3.1</v>
      </c>
      <c r="N347">
        <v>4.9000000000000004</v>
      </c>
      <c r="O347">
        <f t="shared" si="39"/>
        <v>-1.8000000000000003</v>
      </c>
      <c r="P347">
        <v>0</v>
      </c>
      <c r="Q347">
        <v>313</v>
      </c>
      <c r="R347">
        <f t="shared" si="46"/>
        <v>0.48749999999999993</v>
      </c>
      <c r="S347" s="18">
        <f t="shared" si="40"/>
        <v>2.3887499999999999</v>
      </c>
      <c r="T347" s="18">
        <f t="shared" si="41"/>
        <v>0.71125000000000016</v>
      </c>
      <c r="U347" s="18">
        <f t="shared" si="45"/>
        <v>8.8150000000000013</v>
      </c>
      <c r="W347">
        <v>2350.4</v>
      </c>
      <c r="Y347">
        <f t="shared" si="43"/>
        <v>278523.40000000014</v>
      </c>
      <c r="Z347" s="31">
        <f t="shared" si="47"/>
        <v>64360.599999999984</v>
      </c>
      <c r="AA347">
        <v>15.865114026579162</v>
      </c>
    </row>
    <row r="348" spans="1:27" x14ac:dyDescent="0.25">
      <c r="A348">
        <v>6440</v>
      </c>
      <c r="B348">
        <v>25210</v>
      </c>
      <c r="C348" s="4">
        <v>42926</v>
      </c>
      <c r="G348">
        <v>18.100000000000001</v>
      </c>
      <c r="H348">
        <v>16.600000000000001</v>
      </c>
      <c r="I348">
        <v>21</v>
      </c>
      <c r="J348">
        <f t="shared" si="42"/>
        <v>3144.2999999999993</v>
      </c>
      <c r="K348" s="31">
        <f t="shared" si="48"/>
        <v>687.9000000000002</v>
      </c>
      <c r="M348">
        <v>12.9</v>
      </c>
      <c r="N348">
        <v>2.1</v>
      </c>
      <c r="O348">
        <f t="shared" si="39"/>
        <v>10.8</v>
      </c>
      <c r="P348">
        <f t="shared" si="44"/>
        <v>10.8</v>
      </c>
      <c r="Q348">
        <v>314</v>
      </c>
      <c r="R348">
        <f t="shared" si="46"/>
        <v>0.47499999999999998</v>
      </c>
      <c r="S348" s="18">
        <f t="shared" si="40"/>
        <v>0.99749999999999994</v>
      </c>
      <c r="T348" s="18">
        <f t="shared" si="41"/>
        <v>11.9025</v>
      </c>
      <c r="U348" s="18">
        <f t="shared" si="45"/>
        <v>20.717500000000001</v>
      </c>
      <c r="W348">
        <v>912.7</v>
      </c>
      <c r="Y348">
        <f t="shared" si="43"/>
        <v>279436.10000000015</v>
      </c>
      <c r="Z348" s="31">
        <f t="shared" si="47"/>
        <v>65273.299999999981</v>
      </c>
      <c r="AA348">
        <v>15.838973767318015</v>
      </c>
    </row>
    <row r="349" spans="1:27" x14ac:dyDescent="0.25">
      <c r="A349">
        <v>6440</v>
      </c>
      <c r="B349">
        <v>25210</v>
      </c>
      <c r="C349" s="4">
        <v>42927</v>
      </c>
      <c r="G349">
        <v>18.399999999999999</v>
      </c>
      <c r="H349">
        <v>13.5</v>
      </c>
      <c r="I349">
        <v>21.4</v>
      </c>
      <c r="J349">
        <f t="shared" si="42"/>
        <v>3162.6999999999994</v>
      </c>
      <c r="K349" s="31">
        <f t="shared" si="48"/>
        <v>706.30000000000018</v>
      </c>
      <c r="M349">
        <v>0.8</v>
      </c>
      <c r="N349">
        <v>2.7</v>
      </c>
      <c r="O349">
        <f t="shared" si="39"/>
        <v>-1.9000000000000001</v>
      </c>
      <c r="P349">
        <f t="shared" si="44"/>
        <v>8.9</v>
      </c>
      <c r="Q349">
        <v>315</v>
      </c>
      <c r="R349">
        <f t="shared" si="46"/>
        <v>0.46250000000000002</v>
      </c>
      <c r="S349" s="18">
        <f t="shared" si="40"/>
        <v>1.2487500000000002</v>
      </c>
      <c r="T349" s="18">
        <f t="shared" si="41"/>
        <v>-0.4487500000000002</v>
      </c>
      <c r="U349" s="18">
        <f t="shared" si="45"/>
        <v>20.268750000000001</v>
      </c>
      <c r="W349">
        <v>1149.8</v>
      </c>
      <c r="Y349">
        <f t="shared" si="43"/>
        <v>280585.90000000014</v>
      </c>
      <c r="Z349" s="31">
        <f t="shared" si="47"/>
        <v>66423.099999999977</v>
      </c>
      <c r="AA349">
        <v>15.811555648271012</v>
      </c>
    </row>
    <row r="350" spans="1:27" x14ac:dyDescent="0.25">
      <c r="A350">
        <v>6440</v>
      </c>
      <c r="B350">
        <v>25210</v>
      </c>
      <c r="C350" s="4">
        <v>42928</v>
      </c>
      <c r="G350">
        <v>17.3</v>
      </c>
      <c r="H350">
        <v>17.100000000000001</v>
      </c>
      <c r="I350">
        <v>19.8</v>
      </c>
      <c r="J350">
        <f t="shared" si="42"/>
        <v>3179.9999999999995</v>
      </c>
      <c r="K350" s="31">
        <f t="shared" si="48"/>
        <v>723.60000000000014</v>
      </c>
      <c r="M350">
        <v>0.6</v>
      </c>
      <c r="N350">
        <v>2.6</v>
      </c>
      <c r="O350">
        <f t="shared" si="39"/>
        <v>-2</v>
      </c>
      <c r="P350">
        <f t="shared" si="44"/>
        <v>6.9</v>
      </c>
      <c r="Q350">
        <v>316</v>
      </c>
      <c r="R350">
        <f t="shared" si="46"/>
        <v>0.44999999999999996</v>
      </c>
      <c r="S350" s="18">
        <f t="shared" si="40"/>
        <v>1.17</v>
      </c>
      <c r="T350" s="18">
        <f t="shared" si="41"/>
        <v>-0.56999999999999995</v>
      </c>
      <c r="U350" s="18">
        <f t="shared" si="45"/>
        <v>19.69875</v>
      </c>
      <c r="W350">
        <v>862.5</v>
      </c>
      <c r="Y350">
        <f t="shared" si="43"/>
        <v>281448.40000000014</v>
      </c>
      <c r="Z350" s="31">
        <f t="shared" si="47"/>
        <v>67285.599999999977</v>
      </c>
      <c r="AA350">
        <v>15.782882155934777</v>
      </c>
    </row>
    <row r="351" spans="1:27" x14ac:dyDescent="0.25">
      <c r="A351">
        <v>6440</v>
      </c>
      <c r="B351">
        <v>25210</v>
      </c>
      <c r="C351" s="4">
        <v>42929</v>
      </c>
      <c r="G351">
        <v>17.5</v>
      </c>
      <c r="H351">
        <v>10.4</v>
      </c>
      <c r="I351">
        <v>22.6</v>
      </c>
      <c r="J351">
        <f t="shared" si="42"/>
        <v>3197.4999999999995</v>
      </c>
      <c r="K351" s="31">
        <f t="shared" si="48"/>
        <v>741.10000000000014</v>
      </c>
      <c r="M351">
        <v>0</v>
      </c>
      <c r="N351">
        <v>4.0999999999999996</v>
      </c>
      <c r="O351">
        <f t="shared" si="39"/>
        <v>-4.0999999999999996</v>
      </c>
      <c r="P351">
        <f t="shared" si="44"/>
        <v>2.8000000000000007</v>
      </c>
      <c r="Q351">
        <v>317</v>
      </c>
      <c r="R351">
        <f t="shared" si="46"/>
        <v>0.4375</v>
      </c>
      <c r="S351" s="18">
        <f t="shared" si="40"/>
        <v>1.7937499999999997</v>
      </c>
      <c r="T351" s="18">
        <f t="shared" si="41"/>
        <v>-1.7937499999999997</v>
      </c>
      <c r="U351" s="18">
        <f t="shared" si="45"/>
        <v>17.905000000000001</v>
      </c>
      <c r="W351">
        <v>2256.6</v>
      </c>
      <c r="Y351">
        <f t="shared" si="43"/>
        <v>283705.00000000012</v>
      </c>
      <c r="Z351" s="31">
        <f t="shared" si="47"/>
        <v>69542.199999999983</v>
      </c>
      <c r="AA351">
        <v>15.752976418358898</v>
      </c>
    </row>
    <row r="352" spans="1:27" x14ac:dyDescent="0.25">
      <c r="A352">
        <v>6440</v>
      </c>
      <c r="B352">
        <v>25210</v>
      </c>
      <c r="C352" s="4">
        <v>42930</v>
      </c>
      <c r="G352">
        <v>16.7</v>
      </c>
      <c r="H352">
        <v>13.7</v>
      </c>
      <c r="I352">
        <v>21.1</v>
      </c>
      <c r="J352">
        <f t="shared" si="42"/>
        <v>3214.1999999999994</v>
      </c>
      <c r="K352" s="31">
        <f t="shared" si="48"/>
        <v>757.80000000000018</v>
      </c>
      <c r="M352">
        <v>0</v>
      </c>
      <c r="N352">
        <v>4.2</v>
      </c>
      <c r="O352">
        <f t="shared" si="39"/>
        <v>-4.2</v>
      </c>
      <c r="P352">
        <v>0</v>
      </c>
      <c r="Q352">
        <v>318</v>
      </c>
      <c r="R352">
        <f t="shared" si="46"/>
        <v>0.42499999999999993</v>
      </c>
      <c r="S352" s="18">
        <f t="shared" si="40"/>
        <v>1.7849999999999997</v>
      </c>
      <c r="T352" s="18">
        <f t="shared" si="41"/>
        <v>-1.7849999999999997</v>
      </c>
      <c r="U352" s="18">
        <f t="shared" si="45"/>
        <v>16.12</v>
      </c>
      <c r="W352">
        <v>2108.1999999999998</v>
      </c>
      <c r="Y352">
        <f t="shared" si="43"/>
        <v>285813.20000000013</v>
      </c>
      <c r="Z352" s="31">
        <f t="shared" si="47"/>
        <v>71650.39999999998</v>
      </c>
      <c r="AA352">
        <v>15.721862142072323</v>
      </c>
    </row>
    <row r="353" spans="1:27" x14ac:dyDescent="0.25">
      <c r="A353">
        <v>6440</v>
      </c>
      <c r="B353">
        <v>25210</v>
      </c>
      <c r="C353" s="4">
        <v>42931</v>
      </c>
      <c r="G353">
        <v>17.899999999999999</v>
      </c>
      <c r="H353">
        <v>11.4</v>
      </c>
      <c r="I353">
        <v>23.1</v>
      </c>
      <c r="J353">
        <f t="shared" si="42"/>
        <v>3232.0999999999995</v>
      </c>
      <c r="K353" s="31">
        <f t="shared" si="48"/>
        <v>775.70000000000016</v>
      </c>
      <c r="M353">
        <v>0</v>
      </c>
      <c r="N353">
        <v>2.6</v>
      </c>
      <c r="O353">
        <f t="shared" si="39"/>
        <v>-2.6</v>
      </c>
      <c r="P353">
        <v>0</v>
      </c>
      <c r="Q353">
        <v>319</v>
      </c>
      <c r="R353">
        <f t="shared" si="46"/>
        <v>0.41249999999999998</v>
      </c>
      <c r="S353" s="18">
        <f t="shared" si="40"/>
        <v>1.0725</v>
      </c>
      <c r="T353" s="18">
        <f t="shared" si="41"/>
        <v>-1.0725</v>
      </c>
      <c r="U353" s="18">
        <f t="shared" si="45"/>
        <v>15.047500000000001</v>
      </c>
      <c r="W353">
        <v>1166.4000000000001</v>
      </c>
      <c r="Y353">
        <f t="shared" si="43"/>
        <v>286979.60000000015</v>
      </c>
      <c r="Z353" s="31">
        <f t="shared" si="47"/>
        <v>72816.799999999974</v>
      </c>
      <c r="AA353">
        <v>15.689563549347412</v>
      </c>
    </row>
    <row r="354" spans="1:27" x14ac:dyDescent="0.25">
      <c r="A354">
        <v>6440</v>
      </c>
      <c r="B354">
        <v>25210</v>
      </c>
      <c r="C354" s="4">
        <v>42932</v>
      </c>
      <c r="G354">
        <v>20.3</v>
      </c>
      <c r="H354">
        <v>17.3</v>
      </c>
      <c r="I354">
        <v>24.6</v>
      </c>
      <c r="J354">
        <f t="shared" si="42"/>
        <v>3252.3999999999996</v>
      </c>
      <c r="K354" s="31">
        <f t="shared" si="48"/>
        <v>796.00000000000011</v>
      </c>
      <c r="M354">
        <v>0</v>
      </c>
      <c r="N354">
        <v>3.8</v>
      </c>
      <c r="O354">
        <f t="shared" si="39"/>
        <v>-3.8</v>
      </c>
      <c r="P354">
        <v>0</v>
      </c>
      <c r="Q354">
        <v>320</v>
      </c>
      <c r="R354">
        <f t="shared" si="46"/>
        <v>0.4</v>
      </c>
      <c r="S354" s="18">
        <f t="shared" si="40"/>
        <v>1.52</v>
      </c>
      <c r="T354" s="18">
        <f t="shared" si="41"/>
        <v>-1.52</v>
      </c>
      <c r="U354" s="18">
        <f t="shared" si="45"/>
        <v>13.527500000000002</v>
      </c>
      <c r="W354">
        <v>1719.1</v>
      </c>
      <c r="Y354">
        <f t="shared" si="43"/>
        <v>288698.70000000013</v>
      </c>
      <c r="Z354" s="31">
        <f t="shared" si="47"/>
        <v>74535.89999999998</v>
      </c>
      <c r="AA354">
        <v>15.656105316096825</v>
      </c>
    </row>
    <row r="355" spans="1:27" x14ac:dyDescent="0.25">
      <c r="A355">
        <v>6440</v>
      </c>
      <c r="B355">
        <v>25210</v>
      </c>
      <c r="C355" s="4">
        <v>42933</v>
      </c>
      <c r="G355">
        <v>20.5</v>
      </c>
      <c r="H355">
        <v>14.7</v>
      </c>
      <c r="I355">
        <v>25.2</v>
      </c>
      <c r="J355">
        <f t="shared" si="42"/>
        <v>3272.8999999999996</v>
      </c>
      <c r="K355" s="31">
        <f t="shared" si="48"/>
        <v>816.50000000000011</v>
      </c>
      <c r="M355">
        <v>0</v>
      </c>
      <c r="N355">
        <v>3</v>
      </c>
      <c r="O355">
        <f t="shared" si="39"/>
        <v>-3</v>
      </c>
      <c r="P355">
        <v>0</v>
      </c>
      <c r="Q355">
        <v>321</v>
      </c>
      <c r="R355">
        <f t="shared" si="46"/>
        <v>0.38749999999999996</v>
      </c>
      <c r="S355" s="18">
        <f t="shared" si="40"/>
        <v>1.1624999999999999</v>
      </c>
      <c r="T355" s="18">
        <f t="shared" si="41"/>
        <v>-1.1624999999999999</v>
      </c>
      <c r="U355" s="18">
        <f t="shared" si="45"/>
        <v>12.365000000000002</v>
      </c>
      <c r="W355">
        <v>1538.2</v>
      </c>
      <c r="Y355">
        <f t="shared" si="43"/>
        <v>290236.90000000014</v>
      </c>
      <c r="Z355" s="31">
        <f t="shared" si="47"/>
        <v>76074.099999999977</v>
      </c>
      <c r="AA355">
        <v>15.621512510678734</v>
      </c>
    </row>
    <row r="356" spans="1:27" x14ac:dyDescent="0.25">
      <c r="A356">
        <v>6440</v>
      </c>
      <c r="B356">
        <v>25210</v>
      </c>
      <c r="C356" s="4">
        <v>42934</v>
      </c>
      <c r="G356">
        <v>24.6</v>
      </c>
      <c r="H356">
        <v>17.899999999999999</v>
      </c>
      <c r="I356">
        <v>30.5</v>
      </c>
      <c r="J356">
        <f t="shared" si="42"/>
        <v>3297.4999999999995</v>
      </c>
      <c r="K356" s="31">
        <f t="shared" si="48"/>
        <v>841.10000000000014</v>
      </c>
      <c r="M356">
        <v>0</v>
      </c>
      <c r="N356">
        <v>6.2</v>
      </c>
      <c r="O356">
        <f t="shared" ref="O356:O358" si="49">M356-N356</f>
        <v>-6.2</v>
      </c>
      <c r="P356">
        <v>0</v>
      </c>
      <c r="Q356">
        <v>322</v>
      </c>
      <c r="R356">
        <f t="shared" si="46"/>
        <v>0.375</v>
      </c>
      <c r="S356" s="18">
        <f t="shared" ref="S356:S358" si="50">R356*N356</f>
        <v>2.3250000000000002</v>
      </c>
      <c r="T356" s="18">
        <f t="shared" ref="T356:T358" si="51">M356-S356</f>
        <v>-2.3250000000000002</v>
      </c>
      <c r="U356" s="18">
        <f t="shared" si="45"/>
        <v>10.040000000000003</v>
      </c>
      <c r="W356">
        <v>2430.4</v>
      </c>
      <c r="Y356">
        <f t="shared" si="43"/>
        <v>292667.30000000016</v>
      </c>
      <c r="Z356" s="31">
        <f t="shared" si="47"/>
        <v>78504.499999999971</v>
      </c>
      <c r="AA356">
        <v>15.585810533864501</v>
      </c>
    </row>
    <row r="357" spans="1:27" x14ac:dyDescent="0.25">
      <c r="A357">
        <v>6440</v>
      </c>
      <c r="B357">
        <v>25210</v>
      </c>
      <c r="C357" s="4">
        <v>42935</v>
      </c>
      <c r="G357">
        <v>24.5</v>
      </c>
      <c r="H357">
        <v>20.6</v>
      </c>
      <c r="I357">
        <v>27.1</v>
      </c>
      <c r="J357">
        <f t="shared" ref="J357:J358" si="52">J356+G357</f>
        <v>3321.9999999999995</v>
      </c>
      <c r="K357" s="31">
        <f t="shared" si="48"/>
        <v>865.60000000000014</v>
      </c>
      <c r="M357">
        <v>1.1000000000000001</v>
      </c>
      <c r="N357">
        <v>3.8</v>
      </c>
      <c r="O357">
        <f t="shared" si="49"/>
        <v>-2.6999999999999997</v>
      </c>
      <c r="P357">
        <v>0</v>
      </c>
      <c r="Q357">
        <v>323</v>
      </c>
      <c r="R357">
        <f t="shared" si="46"/>
        <v>0.36249999999999993</v>
      </c>
      <c r="S357" s="18">
        <f t="shared" si="50"/>
        <v>1.3774999999999997</v>
      </c>
      <c r="T357" s="18">
        <f t="shared" si="51"/>
        <v>-0.27749999999999964</v>
      </c>
      <c r="U357" s="18">
        <f t="shared" si="45"/>
        <v>9.7625000000000028</v>
      </c>
      <c r="W357">
        <v>1209.9000000000001</v>
      </c>
      <c r="Y357">
        <f t="shared" ref="Y357:Y358" si="53">Y356+W357</f>
        <v>293877.20000000019</v>
      </c>
      <c r="Z357" s="31">
        <f t="shared" si="47"/>
        <v>79714.399999999965</v>
      </c>
      <c r="AA357">
        <v>15.549025060201229</v>
      </c>
    </row>
    <row r="358" spans="1:27" x14ac:dyDescent="0.25">
      <c r="A358">
        <v>6440</v>
      </c>
      <c r="B358">
        <v>25210</v>
      </c>
      <c r="C358" s="4">
        <v>42936</v>
      </c>
      <c r="G358">
        <v>18.3</v>
      </c>
      <c r="H358">
        <v>18.7</v>
      </c>
      <c r="I358">
        <v>20.3</v>
      </c>
      <c r="J358">
        <f t="shared" si="52"/>
        <v>3340.2999999999997</v>
      </c>
      <c r="K358" s="31">
        <f t="shared" si="48"/>
        <v>883.90000000000009</v>
      </c>
      <c r="M358">
        <v>0.5</v>
      </c>
      <c r="N358">
        <v>3.3</v>
      </c>
      <c r="O358">
        <f t="shared" si="49"/>
        <v>-2.8</v>
      </c>
      <c r="P358">
        <v>0</v>
      </c>
      <c r="Q358">
        <v>324</v>
      </c>
      <c r="R358">
        <f t="shared" si="46"/>
        <v>0.35</v>
      </c>
      <c r="S358" s="18">
        <f t="shared" si="50"/>
        <v>1.1549999999999998</v>
      </c>
      <c r="T358" s="18">
        <f t="shared" si="51"/>
        <v>-0.6549999999999998</v>
      </c>
      <c r="U358" s="18">
        <f t="shared" si="45"/>
        <v>9.1075000000000035</v>
      </c>
      <c r="W358">
        <v>1425.2</v>
      </c>
      <c r="Y358">
        <f t="shared" si="53"/>
        <v>295302.4000000002</v>
      </c>
      <c r="Z358" s="31">
        <f t="shared" si="47"/>
        <v>81139.599999999962</v>
      </c>
      <c r="AA358">
        <v>15.5111819809787</v>
      </c>
    </row>
    <row r="359" spans="1:27" s="5" customFormat="1" x14ac:dyDescent="0.25">
      <c r="A359" s="38" t="s">
        <v>34</v>
      </c>
      <c r="B359" s="38"/>
      <c r="C359" s="38"/>
      <c r="D359" s="38"/>
      <c r="E359" s="38"/>
      <c r="F359" s="38"/>
    </row>
    <row r="360" spans="1:27" x14ac:dyDescent="0.25">
      <c r="A360">
        <v>6440</v>
      </c>
      <c r="B360">
        <v>25210</v>
      </c>
      <c r="C360" s="4">
        <v>42937</v>
      </c>
      <c r="G360">
        <v>18.600000000000001</v>
      </c>
      <c r="H360">
        <v>10.6</v>
      </c>
      <c r="I360">
        <v>24.3</v>
      </c>
      <c r="M360">
        <v>0</v>
      </c>
      <c r="N360">
        <v>4.5</v>
      </c>
      <c r="W360">
        <v>2283.4</v>
      </c>
    </row>
    <row r="361" spans="1:27" x14ac:dyDescent="0.25">
      <c r="A361">
        <v>6440</v>
      </c>
      <c r="B361">
        <v>25210</v>
      </c>
      <c r="C361" s="4">
        <v>42938</v>
      </c>
      <c r="G361">
        <v>16.899999999999999</v>
      </c>
      <c r="H361">
        <v>13.5</v>
      </c>
      <c r="I361">
        <v>20.100000000000001</v>
      </c>
      <c r="M361">
        <v>2.6</v>
      </c>
      <c r="N361">
        <v>3.4</v>
      </c>
      <c r="W361">
        <v>1937.9</v>
      </c>
    </row>
    <row r="362" spans="1:27" x14ac:dyDescent="0.25">
      <c r="A362">
        <v>6440</v>
      </c>
      <c r="B362">
        <v>25210</v>
      </c>
      <c r="C362" s="4">
        <v>42939</v>
      </c>
      <c r="G362">
        <v>15.2</v>
      </c>
      <c r="H362">
        <v>12.2</v>
      </c>
      <c r="I362">
        <v>17.600000000000001</v>
      </c>
      <c r="M362">
        <v>3.9</v>
      </c>
      <c r="N362">
        <v>2.2000000000000002</v>
      </c>
      <c r="W362">
        <v>1449.4</v>
      </c>
    </row>
    <row r="363" spans="1:27" x14ac:dyDescent="0.25">
      <c r="A363">
        <v>6440</v>
      </c>
      <c r="B363">
        <v>25210</v>
      </c>
      <c r="C363" s="4">
        <v>42940</v>
      </c>
      <c r="G363">
        <v>15.9</v>
      </c>
      <c r="H363">
        <v>13.8</v>
      </c>
      <c r="I363">
        <v>17.7</v>
      </c>
      <c r="M363">
        <v>4.5</v>
      </c>
      <c r="N363">
        <v>1.4</v>
      </c>
      <c r="W363">
        <v>790</v>
      </c>
    </row>
    <row r="364" spans="1:27" x14ac:dyDescent="0.25">
      <c r="A364">
        <v>6440</v>
      </c>
      <c r="B364">
        <v>25210</v>
      </c>
      <c r="C364" s="4">
        <v>42941</v>
      </c>
      <c r="G364">
        <v>16.899999999999999</v>
      </c>
      <c r="H364">
        <v>15.1</v>
      </c>
      <c r="I364">
        <v>19.3</v>
      </c>
      <c r="M364">
        <v>0.5</v>
      </c>
      <c r="N364">
        <v>2.9</v>
      </c>
      <c r="W364">
        <v>1587.2</v>
      </c>
    </row>
    <row r="365" spans="1:27" x14ac:dyDescent="0.25">
      <c r="A365">
        <v>6440</v>
      </c>
      <c r="B365">
        <v>25210</v>
      </c>
      <c r="C365" s="4">
        <v>42942</v>
      </c>
      <c r="G365">
        <v>17.899999999999999</v>
      </c>
      <c r="H365">
        <v>12.2</v>
      </c>
      <c r="I365">
        <v>23.8</v>
      </c>
      <c r="M365">
        <v>1.3</v>
      </c>
      <c r="N365">
        <v>2.8</v>
      </c>
      <c r="W365">
        <v>1261</v>
      </c>
    </row>
    <row r="366" spans="1:27" x14ac:dyDescent="0.25">
      <c r="A366">
        <v>6440</v>
      </c>
      <c r="B366">
        <v>25210</v>
      </c>
      <c r="C366" s="4">
        <v>42943</v>
      </c>
      <c r="G366">
        <v>17.5</v>
      </c>
      <c r="H366">
        <v>15.6</v>
      </c>
      <c r="I366">
        <v>20.100000000000001</v>
      </c>
      <c r="M366">
        <v>0</v>
      </c>
      <c r="N366">
        <v>3.5</v>
      </c>
      <c r="W366">
        <v>1888.8</v>
      </c>
    </row>
    <row r="367" spans="1:27" x14ac:dyDescent="0.25">
      <c r="A367">
        <v>6440</v>
      </c>
      <c r="B367">
        <v>25210</v>
      </c>
      <c r="C367" s="4">
        <v>42944</v>
      </c>
      <c r="G367">
        <v>18.2</v>
      </c>
      <c r="H367">
        <v>11.4</v>
      </c>
      <c r="I367">
        <v>22.3</v>
      </c>
      <c r="M367">
        <v>0</v>
      </c>
      <c r="N367">
        <v>3.4</v>
      </c>
      <c r="W367">
        <v>1532.9</v>
      </c>
    </row>
    <row r="368" spans="1:27" x14ac:dyDescent="0.25">
      <c r="A368">
        <v>6440</v>
      </c>
      <c r="B368">
        <v>25210</v>
      </c>
      <c r="C368" s="4">
        <v>42945</v>
      </c>
      <c r="G368">
        <v>22.3</v>
      </c>
      <c r="H368">
        <v>18.2</v>
      </c>
      <c r="I368">
        <v>26.3</v>
      </c>
      <c r="M368">
        <v>0</v>
      </c>
      <c r="N368">
        <v>4.2</v>
      </c>
      <c r="W368">
        <v>1293.4000000000001</v>
      </c>
    </row>
    <row r="369" spans="1:23" x14ac:dyDescent="0.25">
      <c r="A369">
        <v>6440</v>
      </c>
      <c r="B369">
        <v>25210</v>
      </c>
      <c r="C369" s="4">
        <v>42946</v>
      </c>
      <c r="G369">
        <v>20.8</v>
      </c>
      <c r="H369">
        <v>20.5</v>
      </c>
      <c r="I369">
        <v>23</v>
      </c>
      <c r="M369">
        <v>0</v>
      </c>
      <c r="N369">
        <v>5.2</v>
      </c>
      <c r="W369">
        <v>1808.7</v>
      </c>
    </row>
    <row r="370" spans="1:23" x14ac:dyDescent="0.25">
      <c r="A370">
        <v>6440</v>
      </c>
      <c r="B370">
        <v>25210</v>
      </c>
      <c r="C370" s="4">
        <v>42947</v>
      </c>
      <c r="G370">
        <v>18.5</v>
      </c>
      <c r="H370">
        <v>15.1</v>
      </c>
      <c r="I370">
        <v>22.2</v>
      </c>
      <c r="M370">
        <v>0</v>
      </c>
      <c r="N370">
        <v>3.2</v>
      </c>
      <c r="W370">
        <v>1592.3</v>
      </c>
    </row>
    <row r="371" spans="1:23" x14ac:dyDescent="0.25">
      <c r="A371">
        <v>6440</v>
      </c>
      <c r="B371">
        <v>25210</v>
      </c>
      <c r="C371" s="4">
        <v>42948</v>
      </c>
      <c r="G371">
        <v>18.3</v>
      </c>
      <c r="H371">
        <v>13.1</v>
      </c>
      <c r="I371">
        <v>23.4</v>
      </c>
      <c r="M371">
        <v>0</v>
      </c>
      <c r="N371">
        <v>2.2000000000000002</v>
      </c>
      <c r="W371">
        <v>1066.7</v>
      </c>
    </row>
    <row r="372" spans="1:23" x14ac:dyDescent="0.25">
      <c r="A372">
        <v>6440</v>
      </c>
      <c r="B372">
        <v>25210</v>
      </c>
      <c r="C372" s="4">
        <v>42949</v>
      </c>
      <c r="G372">
        <v>18.899999999999999</v>
      </c>
      <c r="H372">
        <v>13.9</v>
      </c>
      <c r="I372">
        <v>22.6</v>
      </c>
      <c r="M372">
        <v>2.7</v>
      </c>
      <c r="N372">
        <v>2.5</v>
      </c>
      <c r="W372">
        <v>1151.0999999999999</v>
      </c>
    </row>
    <row r="373" spans="1:23" x14ac:dyDescent="0.25">
      <c r="A373">
        <v>6440</v>
      </c>
      <c r="B373">
        <v>25210</v>
      </c>
      <c r="C373" s="4">
        <v>42950</v>
      </c>
      <c r="G373">
        <v>20.2</v>
      </c>
      <c r="H373">
        <v>17.100000000000001</v>
      </c>
      <c r="I373">
        <v>23.5</v>
      </c>
      <c r="M373">
        <v>0.3</v>
      </c>
      <c r="N373">
        <v>3.3</v>
      </c>
      <c r="W373">
        <v>873.3</v>
      </c>
    </row>
    <row r="374" spans="1:23" x14ac:dyDescent="0.25">
      <c r="A374">
        <v>6440</v>
      </c>
      <c r="B374">
        <v>25210</v>
      </c>
      <c r="C374" s="4">
        <v>42951</v>
      </c>
      <c r="G374">
        <v>19.2</v>
      </c>
      <c r="H374">
        <v>16.600000000000001</v>
      </c>
      <c r="I374">
        <v>22.1</v>
      </c>
      <c r="M374">
        <v>8.6999999999999993</v>
      </c>
      <c r="N374">
        <v>3.4</v>
      </c>
      <c r="W374">
        <v>1430.9</v>
      </c>
    </row>
    <row r="375" spans="1:23" x14ac:dyDescent="0.25">
      <c r="A375">
        <v>6440</v>
      </c>
      <c r="B375">
        <v>25210</v>
      </c>
      <c r="C375" s="4">
        <v>42952</v>
      </c>
      <c r="G375">
        <v>16.8</v>
      </c>
      <c r="H375">
        <v>15</v>
      </c>
      <c r="I375">
        <v>20</v>
      </c>
      <c r="M375">
        <v>0</v>
      </c>
      <c r="N375">
        <v>3</v>
      </c>
      <c r="W375">
        <v>1386</v>
      </c>
    </row>
    <row r="376" spans="1:23" x14ac:dyDescent="0.25">
      <c r="A376">
        <v>6440</v>
      </c>
      <c r="B376">
        <v>25210</v>
      </c>
      <c r="C376" s="4">
        <v>42953</v>
      </c>
      <c r="G376">
        <v>15.7</v>
      </c>
      <c r="H376">
        <v>11.3</v>
      </c>
      <c r="I376">
        <v>21.4</v>
      </c>
      <c r="M376">
        <v>0</v>
      </c>
      <c r="N376">
        <v>4</v>
      </c>
      <c r="W376">
        <v>2079.1</v>
      </c>
    </row>
    <row r="377" spans="1:23" x14ac:dyDescent="0.25">
      <c r="A377">
        <v>6440</v>
      </c>
      <c r="B377">
        <v>25210</v>
      </c>
      <c r="C377" s="4">
        <v>42954</v>
      </c>
      <c r="G377">
        <v>17</v>
      </c>
      <c r="H377">
        <v>9.1999999999999993</v>
      </c>
      <c r="I377">
        <v>23.2</v>
      </c>
      <c r="M377">
        <v>0</v>
      </c>
      <c r="N377">
        <v>3.5</v>
      </c>
      <c r="W377">
        <v>1961.9</v>
      </c>
    </row>
    <row r="378" spans="1:23" x14ac:dyDescent="0.25">
      <c r="A378">
        <v>6440</v>
      </c>
      <c r="B378">
        <v>25210</v>
      </c>
      <c r="C378" s="4">
        <v>42955</v>
      </c>
      <c r="G378">
        <v>15.2</v>
      </c>
      <c r="H378">
        <v>14</v>
      </c>
      <c r="I378">
        <v>19.100000000000001</v>
      </c>
      <c r="M378">
        <v>4.4000000000000004</v>
      </c>
      <c r="N378">
        <v>2.6</v>
      </c>
      <c r="W378">
        <v>1301.4000000000001</v>
      </c>
    </row>
    <row r="379" spans="1:23" x14ac:dyDescent="0.25">
      <c r="A379">
        <v>6440</v>
      </c>
      <c r="B379">
        <v>25210</v>
      </c>
      <c r="C379" s="4">
        <v>42956</v>
      </c>
      <c r="G379">
        <v>14.6</v>
      </c>
      <c r="H379">
        <v>10.9</v>
      </c>
      <c r="I379">
        <v>19.399999999999999</v>
      </c>
      <c r="M379">
        <v>0.5</v>
      </c>
      <c r="N379">
        <v>2.8</v>
      </c>
      <c r="W379">
        <v>1547.2</v>
      </c>
    </row>
    <row r="380" spans="1:23" x14ac:dyDescent="0.25">
      <c r="A380">
        <v>6440</v>
      </c>
      <c r="B380">
        <v>25210</v>
      </c>
      <c r="C380" s="4">
        <v>42957</v>
      </c>
      <c r="G380">
        <v>14.5</v>
      </c>
      <c r="H380">
        <v>11.4</v>
      </c>
      <c r="I380">
        <v>18.3</v>
      </c>
      <c r="M380">
        <v>2.2000000000000002</v>
      </c>
      <c r="N380">
        <v>2.5</v>
      </c>
      <c r="W380">
        <v>1556.8</v>
      </c>
    </row>
    <row r="381" spans="1:23" x14ac:dyDescent="0.25">
      <c r="A381">
        <v>6440</v>
      </c>
      <c r="B381">
        <v>25210</v>
      </c>
      <c r="C381" s="4">
        <v>42958</v>
      </c>
      <c r="G381">
        <v>16.5</v>
      </c>
      <c r="H381">
        <v>13.8</v>
      </c>
      <c r="I381">
        <v>19.899999999999999</v>
      </c>
      <c r="M381">
        <v>1.2</v>
      </c>
      <c r="N381">
        <v>2.9</v>
      </c>
      <c r="W381">
        <v>1519</v>
      </c>
    </row>
    <row r="382" spans="1:23" x14ac:dyDescent="0.25">
      <c r="A382">
        <v>6440</v>
      </c>
      <c r="B382">
        <v>25210</v>
      </c>
      <c r="C382" s="4">
        <v>42959</v>
      </c>
      <c r="G382">
        <v>15.8</v>
      </c>
      <c r="H382">
        <v>14.3</v>
      </c>
      <c r="I382">
        <v>17.899999999999999</v>
      </c>
      <c r="M382">
        <v>4.3</v>
      </c>
      <c r="N382">
        <v>1.2</v>
      </c>
      <c r="W382">
        <v>524.20000000000005</v>
      </c>
    </row>
    <row r="383" spans="1:23" x14ac:dyDescent="0.25">
      <c r="A383">
        <v>6440</v>
      </c>
      <c r="B383">
        <v>25210</v>
      </c>
      <c r="C383" s="4">
        <v>42960</v>
      </c>
      <c r="G383">
        <v>17.399999999999999</v>
      </c>
      <c r="H383">
        <v>12.4</v>
      </c>
      <c r="I383">
        <v>21.8</v>
      </c>
      <c r="M383">
        <v>0</v>
      </c>
      <c r="N383">
        <v>2.2999999999999998</v>
      </c>
      <c r="W383">
        <v>1117.9000000000001</v>
      </c>
    </row>
    <row r="384" spans="1:23" x14ac:dyDescent="0.25">
      <c r="A384">
        <v>6440</v>
      </c>
      <c r="B384">
        <v>25210</v>
      </c>
      <c r="C384" s="4">
        <v>42961</v>
      </c>
      <c r="G384">
        <v>18.5</v>
      </c>
      <c r="H384">
        <v>13</v>
      </c>
      <c r="I384">
        <v>23.1</v>
      </c>
      <c r="M384">
        <v>8</v>
      </c>
      <c r="N384">
        <v>2.6</v>
      </c>
      <c r="W384">
        <v>1281.3</v>
      </c>
    </row>
    <row r="385" spans="1:23" x14ac:dyDescent="0.25">
      <c r="A385">
        <v>6440</v>
      </c>
      <c r="B385">
        <v>25210</v>
      </c>
      <c r="C385" s="4">
        <v>42962</v>
      </c>
      <c r="G385">
        <v>18.7</v>
      </c>
      <c r="H385">
        <v>16.100000000000001</v>
      </c>
      <c r="I385">
        <v>23.1</v>
      </c>
      <c r="M385">
        <v>0</v>
      </c>
      <c r="N385">
        <v>3.1</v>
      </c>
      <c r="W385">
        <v>1560.8</v>
      </c>
    </row>
    <row r="386" spans="1:23" x14ac:dyDescent="0.25">
      <c r="A386">
        <v>6440</v>
      </c>
      <c r="B386">
        <v>25210</v>
      </c>
      <c r="C386" s="4">
        <v>42963</v>
      </c>
      <c r="G386">
        <v>18</v>
      </c>
      <c r="H386">
        <v>12.3</v>
      </c>
      <c r="I386">
        <v>22.6</v>
      </c>
      <c r="M386">
        <v>0</v>
      </c>
      <c r="N386">
        <v>2.6</v>
      </c>
      <c r="W386">
        <v>1379.1</v>
      </c>
    </row>
    <row r="387" spans="1:23" x14ac:dyDescent="0.25">
      <c r="A387">
        <v>6440</v>
      </c>
      <c r="B387">
        <v>25210</v>
      </c>
      <c r="C387" s="4">
        <v>42964</v>
      </c>
      <c r="G387">
        <v>19.100000000000001</v>
      </c>
      <c r="H387">
        <v>17</v>
      </c>
      <c r="I387">
        <v>20.9</v>
      </c>
      <c r="M387">
        <v>11.2</v>
      </c>
      <c r="N387">
        <v>1.4</v>
      </c>
      <c r="W387">
        <v>773.3</v>
      </c>
    </row>
    <row r="388" spans="1:23" x14ac:dyDescent="0.25">
      <c r="A388">
        <v>6440</v>
      </c>
      <c r="B388">
        <v>25210</v>
      </c>
      <c r="C388" s="4">
        <v>42965</v>
      </c>
      <c r="G388">
        <v>17.100000000000001</v>
      </c>
      <c r="H388">
        <v>16.899999999999999</v>
      </c>
      <c r="I388">
        <v>19.399999999999999</v>
      </c>
      <c r="M388">
        <v>2.1</v>
      </c>
      <c r="N388">
        <v>1.7</v>
      </c>
      <c r="W388">
        <v>611.4</v>
      </c>
    </row>
    <row r="389" spans="1:23" x14ac:dyDescent="0.25">
      <c r="A389">
        <v>6440</v>
      </c>
      <c r="B389">
        <v>25210</v>
      </c>
      <c r="C389" s="4">
        <v>42966</v>
      </c>
      <c r="G389">
        <v>15.3</v>
      </c>
      <c r="H389">
        <v>11.6</v>
      </c>
      <c r="I389">
        <v>18.8</v>
      </c>
      <c r="M389">
        <v>1.5</v>
      </c>
      <c r="N389">
        <v>2.8</v>
      </c>
      <c r="W389">
        <v>1633</v>
      </c>
    </row>
    <row r="390" spans="1:23" x14ac:dyDescent="0.25">
      <c r="A390">
        <v>6440</v>
      </c>
      <c r="B390">
        <v>25210</v>
      </c>
      <c r="C390" s="4">
        <v>42967</v>
      </c>
      <c r="G390">
        <v>15.6</v>
      </c>
      <c r="H390">
        <v>10.8</v>
      </c>
      <c r="I390">
        <v>19.7</v>
      </c>
      <c r="M390">
        <v>0.2</v>
      </c>
      <c r="N390">
        <v>2.7</v>
      </c>
      <c r="W390">
        <v>1425.8</v>
      </c>
    </row>
    <row r="391" spans="1:23" x14ac:dyDescent="0.25">
      <c r="A391">
        <v>6440</v>
      </c>
      <c r="B391">
        <v>25210</v>
      </c>
      <c r="C391" s="4">
        <v>42968</v>
      </c>
      <c r="G391">
        <v>16</v>
      </c>
      <c r="H391">
        <v>14</v>
      </c>
      <c r="I391">
        <v>17.8</v>
      </c>
      <c r="M391">
        <v>3.6</v>
      </c>
      <c r="N391">
        <v>1.1000000000000001</v>
      </c>
      <c r="W391">
        <v>598.70000000000005</v>
      </c>
    </row>
    <row r="392" spans="1:23" x14ac:dyDescent="0.25">
      <c r="A392">
        <v>6440</v>
      </c>
      <c r="B392">
        <v>25210</v>
      </c>
      <c r="C392" s="4">
        <v>42969</v>
      </c>
      <c r="G392">
        <v>18.899999999999999</v>
      </c>
      <c r="H392">
        <v>16.7</v>
      </c>
      <c r="I392">
        <v>21.6</v>
      </c>
      <c r="M392">
        <v>0</v>
      </c>
      <c r="N392">
        <v>1.2</v>
      </c>
      <c r="W392">
        <v>686.1</v>
      </c>
    </row>
    <row r="393" spans="1:23" x14ac:dyDescent="0.25">
      <c r="A393">
        <v>6440</v>
      </c>
      <c r="B393">
        <v>25210</v>
      </c>
      <c r="C393" s="4">
        <v>42970</v>
      </c>
      <c r="G393">
        <v>18.899999999999999</v>
      </c>
      <c r="H393">
        <v>15.4</v>
      </c>
      <c r="I393">
        <v>26.9</v>
      </c>
      <c r="M393">
        <v>0</v>
      </c>
      <c r="N393">
        <v>4.4000000000000004</v>
      </c>
      <c r="W393">
        <v>1831.9</v>
      </c>
    </row>
    <row r="394" spans="1:23" x14ac:dyDescent="0.25">
      <c r="A394">
        <v>6440</v>
      </c>
      <c r="B394">
        <v>25210</v>
      </c>
      <c r="C394" s="4">
        <v>42971</v>
      </c>
      <c r="G394">
        <v>17.5</v>
      </c>
      <c r="H394">
        <v>12.5</v>
      </c>
      <c r="I394">
        <v>21.8</v>
      </c>
      <c r="M394">
        <v>0</v>
      </c>
      <c r="N394">
        <v>1.9</v>
      </c>
      <c r="W394">
        <v>994.6</v>
      </c>
    </row>
    <row r="395" spans="1:23" x14ac:dyDescent="0.25">
      <c r="A395">
        <v>6440</v>
      </c>
      <c r="B395">
        <v>25210</v>
      </c>
      <c r="C395" s="4">
        <v>42972</v>
      </c>
      <c r="G395">
        <v>18.899999999999999</v>
      </c>
      <c r="H395">
        <v>14.4</v>
      </c>
      <c r="I395">
        <v>23.2</v>
      </c>
      <c r="M395">
        <v>0</v>
      </c>
      <c r="N395">
        <v>2.2999999999999998</v>
      </c>
      <c r="W395">
        <v>1130.5</v>
      </c>
    </row>
    <row r="396" spans="1:23" x14ac:dyDescent="0.25">
      <c r="A396">
        <v>6440</v>
      </c>
      <c r="B396">
        <v>25210</v>
      </c>
      <c r="C396" s="4">
        <v>42973</v>
      </c>
      <c r="G396">
        <v>21</v>
      </c>
      <c r="H396">
        <v>16.899999999999999</v>
      </c>
      <c r="I396">
        <v>25.7</v>
      </c>
      <c r="M396">
        <v>0</v>
      </c>
      <c r="N396">
        <v>3.8</v>
      </c>
      <c r="W396">
        <v>1956.7</v>
      </c>
    </row>
    <row r="397" spans="1:23" x14ac:dyDescent="0.25">
      <c r="A397">
        <v>6440</v>
      </c>
      <c r="B397">
        <v>25210</v>
      </c>
      <c r="C397" s="4">
        <v>42974</v>
      </c>
      <c r="G397">
        <v>20.399999999999999</v>
      </c>
      <c r="H397">
        <v>16.100000000000001</v>
      </c>
      <c r="I397">
        <v>24.9</v>
      </c>
      <c r="M397">
        <v>0</v>
      </c>
      <c r="N397">
        <v>3.1</v>
      </c>
      <c r="W397">
        <v>1556.3</v>
      </c>
    </row>
    <row r="398" spans="1:23" x14ac:dyDescent="0.25">
      <c r="A398">
        <v>6440</v>
      </c>
      <c r="B398">
        <v>25210</v>
      </c>
      <c r="C398" s="4">
        <v>42975</v>
      </c>
      <c r="G398">
        <v>21.6</v>
      </c>
      <c r="H398">
        <v>15</v>
      </c>
      <c r="I398">
        <v>27.8</v>
      </c>
      <c r="M398">
        <v>0</v>
      </c>
      <c r="N398">
        <v>4.2</v>
      </c>
      <c r="W398">
        <v>1932.5</v>
      </c>
    </row>
    <row r="399" spans="1:23" x14ac:dyDescent="0.25">
      <c r="A399">
        <v>6440</v>
      </c>
      <c r="B399">
        <v>25210</v>
      </c>
      <c r="C399" s="4">
        <v>42976</v>
      </c>
      <c r="G399">
        <v>23.3</v>
      </c>
      <c r="H399">
        <v>16.2</v>
      </c>
      <c r="I399">
        <v>30.7</v>
      </c>
      <c r="M399">
        <v>0</v>
      </c>
      <c r="N399">
        <v>4.4000000000000004</v>
      </c>
      <c r="W399">
        <v>1809.2</v>
      </c>
    </row>
    <row r="400" spans="1:23" x14ac:dyDescent="0.25">
      <c r="A400">
        <v>6440</v>
      </c>
      <c r="B400">
        <v>25210</v>
      </c>
      <c r="C400" s="4">
        <v>42977</v>
      </c>
      <c r="G400">
        <v>18</v>
      </c>
      <c r="H400">
        <v>14.9</v>
      </c>
      <c r="I400">
        <v>21.5</v>
      </c>
      <c r="M400">
        <v>5.7</v>
      </c>
      <c r="N400">
        <v>1.1000000000000001</v>
      </c>
      <c r="W400">
        <v>569.20000000000005</v>
      </c>
    </row>
    <row r="401" spans="1:23" x14ac:dyDescent="0.25">
      <c r="A401">
        <v>6440</v>
      </c>
      <c r="B401">
        <v>25210</v>
      </c>
      <c r="C401" s="4">
        <v>42978</v>
      </c>
      <c r="G401">
        <v>14.2</v>
      </c>
      <c r="H401">
        <v>10.9</v>
      </c>
      <c r="I401">
        <v>17.7</v>
      </c>
      <c r="M401">
        <v>0.6</v>
      </c>
      <c r="N401">
        <v>2.1</v>
      </c>
      <c r="W401">
        <v>1304.8</v>
      </c>
    </row>
  </sheetData>
  <mergeCells count="13">
    <mergeCell ref="A359:F359"/>
    <mergeCell ref="F187:F245"/>
    <mergeCell ref="F246:F266"/>
    <mergeCell ref="F267:F294"/>
    <mergeCell ref="F295:F312"/>
    <mergeCell ref="F313:F333"/>
    <mergeCell ref="F123:F186"/>
    <mergeCell ref="G1:L1"/>
    <mergeCell ref="M1:P1"/>
    <mergeCell ref="Q1:U1"/>
    <mergeCell ref="W1:AB1"/>
    <mergeCell ref="A34:F34"/>
    <mergeCell ref="F35:F122"/>
  </mergeCells>
  <conditionalFormatting sqref="O2">
    <cfRule type="cellIs" dxfId="23" priority="24" operator="lessThan">
      <formula>0</formula>
    </cfRule>
  </conditionalFormatting>
  <conditionalFormatting sqref="G35:I358">
    <cfRule type="cellIs" dxfId="22" priority="21" operator="greaterThanOrEqual">
      <formula>25</formula>
    </cfRule>
    <cfRule type="cellIs" dxfId="21" priority="22" operator="between">
      <formula>0</formula>
      <formula>5</formula>
    </cfRule>
    <cfRule type="cellIs" dxfId="20" priority="23" operator="lessThan">
      <formula>0</formula>
    </cfRule>
  </conditionalFormatting>
  <conditionalFormatting sqref="L36 L44 L48 L46">
    <cfRule type="cellIs" dxfId="19" priority="19" operator="lessThanOrEqual">
      <formula>0</formula>
    </cfRule>
    <cfRule type="cellIs" dxfId="18" priority="20" operator="lessThanOrEqual">
      <formula>5</formula>
    </cfRule>
  </conditionalFormatting>
  <conditionalFormatting sqref="L124 L132 L136 L134">
    <cfRule type="cellIs" dxfId="17" priority="17" operator="lessThanOrEqual">
      <formula>0</formula>
    </cfRule>
    <cfRule type="cellIs" dxfId="16" priority="18" operator="lessThanOrEqual">
      <formula>5</formula>
    </cfRule>
  </conditionalFormatting>
  <conditionalFormatting sqref="L188 L196 L200 L198">
    <cfRule type="cellIs" dxfId="15" priority="15" operator="lessThanOrEqual">
      <formula>0</formula>
    </cfRule>
    <cfRule type="cellIs" dxfId="14" priority="16" operator="lessThanOrEqual">
      <formula>5</formula>
    </cfRule>
  </conditionalFormatting>
  <conditionalFormatting sqref="L247 L259 L257 L255">
    <cfRule type="cellIs" dxfId="13" priority="13" operator="lessThanOrEqual">
      <formula>0</formula>
    </cfRule>
    <cfRule type="cellIs" dxfId="12" priority="14" operator="lessThanOrEqual">
      <formula>5</formula>
    </cfRule>
  </conditionalFormatting>
  <conditionalFormatting sqref="L268 L276 L278 L280">
    <cfRule type="cellIs" dxfId="11" priority="11" operator="lessThanOrEqual">
      <formula>0</formula>
    </cfRule>
    <cfRule type="cellIs" dxfId="10" priority="12" operator="lessThanOrEqual">
      <formula>5</formula>
    </cfRule>
  </conditionalFormatting>
  <conditionalFormatting sqref="L296 L306">
    <cfRule type="cellIs" dxfId="9" priority="9" operator="lessThanOrEqual">
      <formula>0</formula>
    </cfRule>
    <cfRule type="cellIs" dxfId="8" priority="10" operator="lessThanOrEqual">
      <formula>5</formula>
    </cfRule>
  </conditionalFormatting>
  <conditionalFormatting sqref="L314 L324">
    <cfRule type="cellIs" dxfId="7" priority="7" operator="lessThanOrEqual">
      <formula>0</formula>
    </cfRule>
    <cfRule type="cellIs" dxfId="6" priority="8" operator="lessThanOrEqual">
      <formula>5</formula>
    </cfRule>
  </conditionalFormatting>
  <conditionalFormatting sqref="O35:O358">
    <cfRule type="cellIs" dxfId="5" priority="6" operator="lessThan">
      <formula>0</formula>
    </cfRule>
  </conditionalFormatting>
  <conditionalFormatting sqref="O3:O33">
    <cfRule type="cellIs" dxfId="4" priority="5" operator="lessThan">
      <formula>0</formula>
    </cfRule>
  </conditionalFormatting>
  <conditionalFormatting sqref="T35:T358">
    <cfRule type="cellIs" dxfId="3" priority="4" operator="lessThan">
      <formula>0</formula>
    </cfRule>
  </conditionalFormatting>
  <conditionalFormatting sqref="V36 U35:U358">
    <cfRule type="cellIs" dxfId="2" priority="2" operator="equal">
      <formula>0</formula>
    </cfRule>
    <cfRule type="cellIs" dxfId="1" priority="3" operator="lessThanOrEqual">
      <formula>63.2</formula>
    </cfRule>
  </conditionalFormatting>
  <conditionalFormatting sqref="W35:W358">
    <cfRule type="cellIs" dxfId="0" priority="1" operator="lessThan">
      <formula>900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N+</vt:lpstr>
      <vt:lpstr>N-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2018-11-15T10:38:39Z</dcterms:created>
  <dcterms:modified xsi:type="dcterms:W3CDTF">2019-11-27T14:45:02Z</dcterms:modified>
</cp:coreProperties>
</file>