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corlouer\Documents\AA_FICHIERS_ELABORATION_IPC\Actualisation_2019_N\R2017\"/>
    </mc:Choice>
  </mc:AlternateContent>
  <bookViews>
    <workbookView xWindow="0" yWindow="0" windowWidth="19200" windowHeight="10860"/>
  </bookViews>
  <sheets>
    <sheet name="N+" sheetId="1" r:id="rId1"/>
    <sheet name="N-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38" i="1" l="1"/>
  <c r="AD230" i="1"/>
  <c r="AD207" i="1"/>
  <c r="AD199" i="1"/>
  <c r="AE224" i="1"/>
  <c r="AE222" i="1"/>
  <c r="AE220" i="1"/>
  <c r="AE218" i="1"/>
  <c r="AE216" i="1" l="1"/>
  <c r="U202" i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U218" i="1" s="1"/>
  <c r="U219" i="1" s="1"/>
  <c r="U220" i="1" s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U249" i="1" s="1"/>
  <c r="U250" i="1" s="1"/>
  <c r="U251" i="1" s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65" i="1" s="1"/>
  <c r="U266" i="1" s="1"/>
  <c r="U267" i="1" s="1"/>
  <c r="U268" i="1" s="1"/>
  <c r="U269" i="1" s="1"/>
  <c r="U270" i="1" s="1"/>
  <c r="U271" i="1" s="1"/>
  <c r="U272" i="1" s="1"/>
  <c r="U273" i="1" s="1"/>
  <c r="U274" i="1" s="1"/>
  <c r="U275" i="1" s="1"/>
  <c r="U276" i="1" s="1"/>
  <c r="U277" i="1" s="1"/>
  <c r="U278" i="1" s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s="1"/>
  <c r="U293" i="1" s="1"/>
  <c r="U294" i="1" s="1"/>
  <c r="U295" i="1" s="1"/>
  <c r="U296" i="1" s="1"/>
  <c r="U297" i="1" s="1"/>
  <c r="U298" i="1" s="1"/>
  <c r="U299" i="1" s="1"/>
  <c r="U300" i="1" s="1"/>
  <c r="U301" i="1" s="1"/>
  <c r="U302" i="1" s="1"/>
  <c r="U303" i="1" s="1"/>
  <c r="U313" i="1" s="1"/>
  <c r="U314" i="1" s="1"/>
  <c r="U316" i="1" s="1"/>
  <c r="U317" i="1" s="1"/>
  <c r="U335" i="1" s="1"/>
  <c r="U336" i="1" s="1"/>
  <c r="U338" i="1" s="1"/>
  <c r="U339" i="1" s="1"/>
  <c r="U340" i="1" s="1"/>
  <c r="U341" i="1" s="1"/>
  <c r="U342" i="1" s="1"/>
  <c r="U343" i="1" s="1"/>
  <c r="U344" i="1" s="1"/>
  <c r="U345" i="1" s="1"/>
  <c r="U348" i="1" s="1"/>
  <c r="U349" i="1" s="1"/>
  <c r="U350" i="1" s="1"/>
  <c r="U351" i="1" s="1"/>
  <c r="U352" i="1" s="1"/>
  <c r="U353" i="1" s="1"/>
  <c r="U354" i="1" s="1"/>
  <c r="U355" i="1" s="1"/>
  <c r="U358" i="1" s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295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01" i="1"/>
  <c r="V210" i="2"/>
  <c r="V212" i="2"/>
  <c r="U202" i="2"/>
  <c r="U203" i="2"/>
  <c r="U204" i="2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13" i="2" s="1"/>
  <c r="U314" i="2" s="1"/>
  <c r="U316" i="2" s="1"/>
  <c r="U317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295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01" i="2"/>
  <c r="V135" i="1" l="1"/>
  <c r="V53" i="1"/>
  <c r="V135" i="2"/>
  <c r="V53" i="2"/>
  <c r="L319" i="2"/>
  <c r="L317" i="2"/>
  <c r="L315" i="2"/>
  <c r="L302" i="2"/>
  <c r="L300" i="2"/>
  <c r="L298" i="2"/>
  <c r="L276" i="2"/>
  <c r="L274" i="2"/>
  <c r="L272" i="2"/>
  <c r="L255" i="2"/>
  <c r="L253" i="2"/>
  <c r="L251" i="2"/>
  <c r="L208" i="2"/>
  <c r="L206" i="2"/>
  <c r="L204" i="2"/>
  <c r="Z312" i="2"/>
  <c r="Z295" i="2"/>
  <c r="K312" i="2"/>
  <c r="K295" i="2"/>
  <c r="K269" i="2"/>
  <c r="Z269" i="2"/>
  <c r="Z250" i="2"/>
  <c r="Z251" i="2" s="1"/>
  <c r="Z252" i="2" s="1"/>
  <c r="Z253" i="2" s="1"/>
  <c r="Z254" i="2" s="1"/>
  <c r="Z255" i="2" s="1"/>
  <c r="Z256" i="2" s="1"/>
  <c r="Z257" i="2" s="1"/>
  <c r="Z258" i="2" s="1"/>
  <c r="Z259" i="2" s="1"/>
  <c r="Z260" i="2" s="1"/>
  <c r="Z261" i="2" s="1"/>
  <c r="Z262" i="2" s="1"/>
  <c r="Z263" i="2" s="1"/>
  <c r="Z264" i="2" s="1"/>
  <c r="Z265" i="2" s="1"/>
  <c r="Z266" i="2" s="1"/>
  <c r="Z267" i="2" s="1"/>
  <c r="Z268" i="2" s="1"/>
  <c r="Z248" i="2"/>
  <c r="K250" i="2"/>
  <c r="K251" i="2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48" i="2"/>
  <c r="L319" i="1"/>
  <c r="L317" i="1"/>
  <c r="L315" i="1"/>
  <c r="Z312" i="1"/>
  <c r="Z295" i="1"/>
  <c r="L302" i="1"/>
  <c r="L300" i="1"/>
  <c r="L298" i="1"/>
  <c r="L279" i="1"/>
  <c r="L277" i="1"/>
  <c r="L275" i="1"/>
  <c r="Z270" i="1"/>
  <c r="L256" i="1"/>
  <c r="L254" i="1"/>
  <c r="L252" i="1"/>
  <c r="L208" i="1"/>
  <c r="L206" i="1"/>
  <c r="L204" i="1"/>
  <c r="K312" i="1"/>
  <c r="K295" i="1"/>
  <c r="K270" i="1"/>
  <c r="Z251" i="1"/>
  <c r="Z252" i="1"/>
  <c r="Z253" i="1" s="1"/>
  <c r="Z254" i="1" s="1"/>
  <c r="Z255" i="1" s="1"/>
  <c r="Z256" i="1" s="1"/>
  <c r="Z257" i="1" s="1"/>
  <c r="Z258" i="1" s="1"/>
  <c r="Z259" i="1" s="1"/>
  <c r="Z260" i="1" s="1"/>
  <c r="Z261" i="1" s="1"/>
  <c r="Z262" i="1" s="1"/>
  <c r="Z263" i="1" s="1"/>
  <c r="Z264" i="1" s="1"/>
  <c r="Z265" i="1" s="1"/>
  <c r="Z266" i="1" s="1"/>
  <c r="Z267" i="1" s="1"/>
  <c r="Z268" i="1" s="1"/>
  <c r="Z269" i="1" s="1"/>
  <c r="Z249" i="1"/>
  <c r="K251" i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49" i="1"/>
  <c r="S358" i="2"/>
  <c r="T358" i="2" s="1"/>
  <c r="O358" i="2"/>
  <c r="S357" i="2"/>
  <c r="T357" i="2" s="1"/>
  <c r="O357" i="2"/>
  <c r="S356" i="2"/>
  <c r="T356" i="2" s="1"/>
  <c r="O356" i="2"/>
  <c r="S355" i="2"/>
  <c r="T355" i="2" s="1"/>
  <c r="O355" i="2"/>
  <c r="S354" i="2"/>
  <c r="T354" i="2" s="1"/>
  <c r="O354" i="2"/>
  <c r="S353" i="2"/>
  <c r="T353" i="2" s="1"/>
  <c r="O353" i="2"/>
  <c r="S352" i="2"/>
  <c r="T352" i="2" s="1"/>
  <c r="O352" i="2"/>
  <c r="T351" i="2"/>
  <c r="S351" i="2"/>
  <c r="O351" i="2"/>
  <c r="S350" i="2"/>
  <c r="T350" i="2" s="1"/>
  <c r="O350" i="2"/>
  <c r="S349" i="2"/>
  <c r="T349" i="2" s="1"/>
  <c r="O349" i="2"/>
  <c r="S348" i="2"/>
  <c r="T348" i="2" s="1"/>
  <c r="O348" i="2"/>
  <c r="S347" i="2"/>
  <c r="T347" i="2" s="1"/>
  <c r="O347" i="2"/>
  <c r="S346" i="2"/>
  <c r="T346" i="2" s="1"/>
  <c r="O346" i="2"/>
  <c r="S345" i="2"/>
  <c r="T345" i="2" s="1"/>
  <c r="O345" i="2"/>
  <c r="S344" i="2"/>
  <c r="T344" i="2" s="1"/>
  <c r="O344" i="2"/>
  <c r="S343" i="2"/>
  <c r="T343" i="2" s="1"/>
  <c r="O343" i="2"/>
  <c r="S342" i="2"/>
  <c r="T342" i="2" s="1"/>
  <c r="O342" i="2"/>
  <c r="T341" i="2"/>
  <c r="S341" i="2"/>
  <c r="O341" i="2"/>
  <c r="S340" i="2"/>
  <c r="T340" i="2" s="1"/>
  <c r="O340" i="2"/>
  <c r="S339" i="2"/>
  <c r="T339" i="2" s="1"/>
  <c r="O339" i="2"/>
  <c r="S338" i="2"/>
  <c r="T338" i="2" s="1"/>
  <c r="O338" i="2"/>
  <c r="S337" i="2"/>
  <c r="T337" i="2" s="1"/>
  <c r="O337" i="2"/>
  <c r="S336" i="2"/>
  <c r="T336" i="2" s="1"/>
  <c r="O336" i="2"/>
  <c r="S335" i="2"/>
  <c r="T335" i="2" s="1"/>
  <c r="O335" i="2"/>
  <c r="S334" i="2"/>
  <c r="T334" i="2" s="1"/>
  <c r="O334" i="2"/>
  <c r="S333" i="2"/>
  <c r="T333" i="2" s="1"/>
  <c r="O333" i="2"/>
  <c r="S332" i="2"/>
  <c r="T332" i="2" s="1"/>
  <c r="O332" i="2"/>
  <c r="S331" i="2"/>
  <c r="T331" i="2" s="1"/>
  <c r="O331" i="2"/>
  <c r="T330" i="2"/>
  <c r="S330" i="2"/>
  <c r="O330" i="2"/>
  <c r="S329" i="2"/>
  <c r="T329" i="2" s="1"/>
  <c r="O329" i="2"/>
  <c r="S328" i="2"/>
  <c r="T328" i="2" s="1"/>
  <c r="O328" i="2"/>
  <c r="S327" i="2"/>
  <c r="T327" i="2" s="1"/>
  <c r="O327" i="2"/>
  <c r="S326" i="2"/>
  <c r="T326" i="2" s="1"/>
  <c r="O326" i="2"/>
  <c r="S325" i="2"/>
  <c r="T325" i="2" s="1"/>
  <c r="O325" i="2"/>
  <c r="S324" i="2"/>
  <c r="T324" i="2" s="1"/>
  <c r="O324" i="2"/>
  <c r="S323" i="2"/>
  <c r="T323" i="2" s="1"/>
  <c r="O323" i="2"/>
  <c r="S322" i="2"/>
  <c r="T322" i="2" s="1"/>
  <c r="O322" i="2"/>
  <c r="S321" i="2"/>
  <c r="T321" i="2" s="1"/>
  <c r="O321" i="2"/>
  <c r="S320" i="2"/>
  <c r="T320" i="2" s="1"/>
  <c r="O320" i="2"/>
  <c r="S319" i="2"/>
  <c r="T319" i="2" s="1"/>
  <c r="O319" i="2"/>
  <c r="S318" i="2"/>
  <c r="T318" i="2" s="1"/>
  <c r="O318" i="2"/>
  <c r="S317" i="2"/>
  <c r="T317" i="2" s="1"/>
  <c r="O317" i="2"/>
  <c r="AB315" i="2"/>
  <c r="S316" i="2"/>
  <c r="T316" i="2" s="1"/>
  <c r="O316" i="2"/>
  <c r="S315" i="2"/>
  <c r="T315" i="2" s="1"/>
  <c r="O315" i="2"/>
  <c r="T314" i="2"/>
  <c r="S314" i="2"/>
  <c r="O314" i="2"/>
  <c r="S313" i="2"/>
  <c r="T313" i="2" s="1"/>
  <c r="O313" i="2"/>
  <c r="S312" i="2"/>
  <c r="T312" i="2" s="1"/>
  <c r="O312" i="2"/>
  <c r="S311" i="2"/>
  <c r="T311" i="2" s="1"/>
  <c r="O311" i="2"/>
  <c r="S310" i="2"/>
  <c r="T310" i="2" s="1"/>
  <c r="O310" i="2"/>
  <c r="S309" i="2"/>
  <c r="T309" i="2" s="1"/>
  <c r="O309" i="2"/>
  <c r="S308" i="2"/>
  <c r="T308" i="2" s="1"/>
  <c r="O308" i="2"/>
  <c r="S307" i="2"/>
  <c r="T307" i="2" s="1"/>
  <c r="O307" i="2"/>
  <c r="S306" i="2"/>
  <c r="T306" i="2" s="1"/>
  <c r="O306" i="2"/>
  <c r="S305" i="2"/>
  <c r="T305" i="2" s="1"/>
  <c r="O305" i="2"/>
  <c r="S304" i="2"/>
  <c r="T304" i="2" s="1"/>
  <c r="O304" i="2"/>
  <c r="S303" i="2"/>
  <c r="T303" i="2" s="1"/>
  <c r="O303" i="2"/>
  <c r="S302" i="2"/>
  <c r="T302" i="2" s="1"/>
  <c r="O302" i="2"/>
  <c r="S301" i="2"/>
  <c r="T301" i="2" s="1"/>
  <c r="O301" i="2"/>
  <c r="AB298" i="2"/>
  <c r="S300" i="2"/>
  <c r="T300" i="2" s="1"/>
  <c r="O300" i="2"/>
  <c r="S299" i="2"/>
  <c r="T299" i="2" s="1"/>
  <c r="O299" i="2"/>
  <c r="T298" i="2"/>
  <c r="S298" i="2"/>
  <c r="O298" i="2"/>
  <c r="S297" i="2"/>
  <c r="T297" i="2" s="1"/>
  <c r="O297" i="2"/>
  <c r="S296" i="2"/>
  <c r="T296" i="2" s="1"/>
  <c r="O296" i="2"/>
  <c r="S295" i="2"/>
  <c r="T295" i="2" s="1"/>
  <c r="O295" i="2"/>
  <c r="S294" i="2"/>
  <c r="T294" i="2" s="1"/>
  <c r="O294" i="2"/>
  <c r="S293" i="2"/>
  <c r="T293" i="2" s="1"/>
  <c r="O293" i="2"/>
  <c r="T292" i="2"/>
  <c r="S292" i="2"/>
  <c r="O292" i="2"/>
  <c r="T291" i="2"/>
  <c r="S291" i="2"/>
  <c r="O291" i="2"/>
  <c r="T290" i="2"/>
  <c r="S290" i="2"/>
  <c r="O290" i="2"/>
  <c r="S289" i="2"/>
  <c r="T289" i="2" s="1"/>
  <c r="O289" i="2"/>
  <c r="S288" i="2"/>
  <c r="T288" i="2" s="1"/>
  <c r="O288" i="2"/>
  <c r="T287" i="2"/>
  <c r="S287" i="2"/>
  <c r="O287" i="2"/>
  <c r="S286" i="2"/>
  <c r="T286" i="2" s="1"/>
  <c r="O286" i="2"/>
  <c r="T285" i="2"/>
  <c r="S285" i="2"/>
  <c r="O285" i="2"/>
  <c r="T284" i="2"/>
  <c r="S284" i="2"/>
  <c r="O284" i="2"/>
  <c r="T283" i="2"/>
  <c r="S283" i="2"/>
  <c r="O283" i="2"/>
  <c r="S282" i="2"/>
  <c r="T282" i="2" s="1"/>
  <c r="O282" i="2"/>
  <c r="T281" i="2"/>
  <c r="S281" i="2"/>
  <c r="O281" i="2"/>
  <c r="S280" i="2"/>
  <c r="T280" i="2" s="1"/>
  <c r="O280" i="2"/>
  <c r="S279" i="2"/>
  <c r="T279" i="2" s="1"/>
  <c r="O279" i="2"/>
  <c r="T278" i="2"/>
  <c r="S278" i="2"/>
  <c r="O278" i="2"/>
  <c r="S277" i="2"/>
  <c r="T277" i="2" s="1"/>
  <c r="O277" i="2"/>
  <c r="S276" i="2"/>
  <c r="T276" i="2" s="1"/>
  <c r="O276" i="2"/>
  <c r="AB272" i="2"/>
  <c r="S275" i="2"/>
  <c r="T275" i="2" s="1"/>
  <c r="O275" i="2"/>
  <c r="T274" i="2"/>
  <c r="S274" i="2"/>
  <c r="O274" i="2"/>
  <c r="S273" i="2"/>
  <c r="T273" i="2" s="1"/>
  <c r="O273" i="2"/>
  <c r="T272" i="2"/>
  <c r="S272" i="2"/>
  <c r="O272" i="2"/>
  <c r="T271" i="2"/>
  <c r="S271" i="2"/>
  <c r="O271" i="2"/>
  <c r="S270" i="2"/>
  <c r="T270" i="2" s="1"/>
  <c r="O270" i="2"/>
  <c r="S269" i="2"/>
  <c r="T269" i="2" s="1"/>
  <c r="O269" i="2"/>
  <c r="S268" i="2"/>
  <c r="T268" i="2" s="1"/>
  <c r="O268" i="2"/>
  <c r="S267" i="2"/>
  <c r="T267" i="2" s="1"/>
  <c r="O267" i="2"/>
  <c r="S266" i="2"/>
  <c r="T266" i="2" s="1"/>
  <c r="O266" i="2"/>
  <c r="S265" i="2"/>
  <c r="T265" i="2" s="1"/>
  <c r="O265" i="2"/>
  <c r="S264" i="2"/>
  <c r="T264" i="2" s="1"/>
  <c r="O264" i="2"/>
  <c r="S263" i="2"/>
  <c r="T263" i="2" s="1"/>
  <c r="O263" i="2"/>
  <c r="S262" i="2"/>
  <c r="T262" i="2" s="1"/>
  <c r="O262" i="2"/>
  <c r="S261" i="2"/>
  <c r="T261" i="2" s="1"/>
  <c r="O261" i="2"/>
  <c r="S260" i="2"/>
  <c r="T260" i="2" s="1"/>
  <c r="O260" i="2"/>
  <c r="S259" i="2"/>
  <c r="T259" i="2" s="1"/>
  <c r="O259" i="2"/>
  <c r="T258" i="2"/>
  <c r="S258" i="2"/>
  <c r="O258" i="2"/>
  <c r="S257" i="2"/>
  <c r="T257" i="2" s="1"/>
  <c r="O257" i="2"/>
  <c r="T256" i="2"/>
  <c r="S256" i="2"/>
  <c r="O256" i="2"/>
  <c r="S255" i="2"/>
  <c r="T255" i="2" s="1"/>
  <c r="O255" i="2"/>
  <c r="AB251" i="2"/>
  <c r="S254" i="2"/>
  <c r="T254" i="2" s="1"/>
  <c r="O254" i="2"/>
  <c r="S253" i="2"/>
  <c r="T253" i="2" s="1"/>
  <c r="O253" i="2"/>
  <c r="S252" i="2"/>
  <c r="T252" i="2" s="1"/>
  <c r="O252" i="2"/>
  <c r="T251" i="2"/>
  <c r="S251" i="2"/>
  <c r="O251" i="2"/>
  <c r="S250" i="2"/>
  <c r="T250" i="2" s="1"/>
  <c r="O250" i="2"/>
  <c r="S249" i="2"/>
  <c r="T249" i="2" s="1"/>
  <c r="O249" i="2"/>
  <c r="S248" i="2"/>
  <c r="T248" i="2" s="1"/>
  <c r="O248" i="2"/>
  <c r="S247" i="2"/>
  <c r="T247" i="2" s="1"/>
  <c r="O247" i="2"/>
  <c r="S246" i="2"/>
  <c r="T246" i="2" s="1"/>
  <c r="O246" i="2"/>
  <c r="S245" i="2"/>
  <c r="T245" i="2" s="1"/>
  <c r="O245" i="2"/>
  <c r="S244" i="2"/>
  <c r="T244" i="2" s="1"/>
  <c r="O244" i="2"/>
  <c r="S243" i="2"/>
  <c r="T243" i="2" s="1"/>
  <c r="O243" i="2"/>
  <c r="S242" i="2"/>
  <c r="T242" i="2" s="1"/>
  <c r="O242" i="2"/>
  <c r="S241" i="2"/>
  <c r="T241" i="2" s="1"/>
  <c r="O241" i="2"/>
  <c r="S240" i="2"/>
  <c r="T240" i="2" s="1"/>
  <c r="O240" i="2"/>
  <c r="S239" i="2"/>
  <c r="T239" i="2" s="1"/>
  <c r="O239" i="2"/>
  <c r="S238" i="2"/>
  <c r="T238" i="2" s="1"/>
  <c r="O238" i="2"/>
  <c r="S237" i="2"/>
  <c r="T237" i="2" s="1"/>
  <c r="O237" i="2"/>
  <c r="S236" i="2"/>
  <c r="T236" i="2" s="1"/>
  <c r="O236" i="2"/>
  <c r="S235" i="2"/>
  <c r="T235" i="2" s="1"/>
  <c r="O235" i="2"/>
  <c r="S234" i="2"/>
  <c r="T234" i="2" s="1"/>
  <c r="O234" i="2"/>
  <c r="S233" i="2"/>
  <c r="T233" i="2" s="1"/>
  <c r="O233" i="2"/>
  <c r="S232" i="2"/>
  <c r="T232" i="2" s="1"/>
  <c r="O232" i="2"/>
  <c r="S231" i="2"/>
  <c r="T231" i="2" s="1"/>
  <c r="O231" i="2"/>
  <c r="S230" i="2"/>
  <c r="T230" i="2" s="1"/>
  <c r="O230" i="2"/>
  <c r="S229" i="2"/>
  <c r="T229" i="2" s="1"/>
  <c r="O229" i="2"/>
  <c r="S228" i="2"/>
  <c r="T228" i="2" s="1"/>
  <c r="O228" i="2"/>
  <c r="S227" i="2"/>
  <c r="T227" i="2" s="1"/>
  <c r="O227" i="2"/>
  <c r="S226" i="2"/>
  <c r="T226" i="2" s="1"/>
  <c r="O226" i="2"/>
  <c r="S225" i="2"/>
  <c r="T225" i="2" s="1"/>
  <c r="O225" i="2"/>
  <c r="S224" i="2"/>
  <c r="T224" i="2" s="1"/>
  <c r="O224" i="2"/>
  <c r="S223" i="2"/>
  <c r="T223" i="2" s="1"/>
  <c r="O223" i="2"/>
  <c r="S222" i="2"/>
  <c r="T222" i="2" s="1"/>
  <c r="O222" i="2"/>
  <c r="T221" i="2"/>
  <c r="S221" i="2"/>
  <c r="O221" i="2"/>
  <c r="S220" i="2"/>
  <c r="T220" i="2" s="1"/>
  <c r="O220" i="2"/>
  <c r="S219" i="2"/>
  <c r="T219" i="2" s="1"/>
  <c r="O219" i="2"/>
  <c r="S218" i="2"/>
  <c r="T218" i="2" s="1"/>
  <c r="O218" i="2"/>
  <c r="T217" i="2"/>
  <c r="S217" i="2"/>
  <c r="O217" i="2"/>
  <c r="S216" i="2"/>
  <c r="T216" i="2" s="1"/>
  <c r="O216" i="2"/>
  <c r="S215" i="2"/>
  <c r="T215" i="2" s="1"/>
  <c r="O215" i="2"/>
  <c r="S214" i="2"/>
  <c r="T214" i="2" s="1"/>
  <c r="O214" i="2"/>
  <c r="S213" i="2"/>
  <c r="T213" i="2" s="1"/>
  <c r="O213" i="2"/>
  <c r="Z212" i="2"/>
  <c r="Z213" i="2" s="1"/>
  <c r="Z214" i="2" s="1"/>
  <c r="Z215" i="2" s="1"/>
  <c r="Z216" i="2" s="1"/>
  <c r="Z217" i="2" s="1"/>
  <c r="Z218" i="2" s="1"/>
  <c r="Z219" i="2" s="1"/>
  <c r="Z220" i="2" s="1"/>
  <c r="Z221" i="2" s="1"/>
  <c r="Z222" i="2" s="1"/>
  <c r="Z223" i="2" s="1"/>
  <c r="Z224" i="2" s="1"/>
  <c r="Z225" i="2" s="1"/>
  <c r="Z226" i="2" s="1"/>
  <c r="Z227" i="2" s="1"/>
  <c r="Z228" i="2" s="1"/>
  <c r="Z229" i="2" s="1"/>
  <c r="Z230" i="2" s="1"/>
  <c r="Z231" i="2" s="1"/>
  <c r="Z232" i="2" s="1"/>
  <c r="Z233" i="2" s="1"/>
  <c r="Z234" i="2" s="1"/>
  <c r="Z235" i="2" s="1"/>
  <c r="Z236" i="2" s="1"/>
  <c r="Z237" i="2" s="1"/>
  <c r="Z238" i="2" s="1"/>
  <c r="Z239" i="2" s="1"/>
  <c r="Z240" i="2" s="1"/>
  <c r="Z241" i="2" s="1"/>
  <c r="Z242" i="2" s="1"/>
  <c r="Z243" i="2" s="1"/>
  <c r="Z244" i="2" s="1"/>
  <c r="Z245" i="2" s="1"/>
  <c r="Z246" i="2" s="1"/>
  <c r="Z247" i="2" s="1"/>
  <c r="Z249" i="2" s="1"/>
  <c r="S212" i="2"/>
  <c r="T212" i="2" s="1"/>
  <c r="O212" i="2"/>
  <c r="S211" i="2"/>
  <c r="T211" i="2" s="1"/>
  <c r="O211" i="2"/>
  <c r="S210" i="2"/>
  <c r="T210" i="2" s="1"/>
  <c r="O210" i="2"/>
  <c r="S209" i="2"/>
  <c r="T209" i="2" s="1"/>
  <c r="O209" i="2"/>
  <c r="S208" i="2"/>
  <c r="T208" i="2" s="1"/>
  <c r="O208" i="2"/>
  <c r="S207" i="2"/>
  <c r="T207" i="2" s="1"/>
  <c r="O207" i="2"/>
  <c r="S206" i="2"/>
  <c r="T206" i="2" s="1"/>
  <c r="O206" i="2"/>
  <c r="S205" i="2"/>
  <c r="T205" i="2" s="1"/>
  <c r="O205" i="2"/>
  <c r="AB204" i="2"/>
  <c r="S204" i="2"/>
  <c r="T204" i="2" s="1"/>
  <c r="O204" i="2"/>
  <c r="J204" i="2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S203" i="2"/>
  <c r="T203" i="2" s="1"/>
  <c r="O203" i="2"/>
  <c r="S202" i="2"/>
  <c r="T202" i="2" s="1"/>
  <c r="O202" i="2"/>
  <c r="K202" i="2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9" i="2" s="1"/>
  <c r="Z201" i="2"/>
  <c r="Z202" i="2" s="1"/>
  <c r="Z203" i="2" s="1"/>
  <c r="Z204" i="2" s="1"/>
  <c r="Z205" i="2" s="1"/>
  <c r="Z206" i="2" s="1"/>
  <c r="Z207" i="2" s="1"/>
  <c r="Z208" i="2" s="1"/>
  <c r="Z209" i="2" s="1"/>
  <c r="Z210" i="2" s="1"/>
  <c r="Z211" i="2" s="1"/>
  <c r="S201" i="2"/>
  <c r="T201" i="2" s="1"/>
  <c r="O201" i="2"/>
  <c r="S200" i="2"/>
  <c r="T200" i="2" s="1"/>
  <c r="O200" i="2"/>
  <c r="J200" i="2"/>
  <c r="J201" i="2" s="1"/>
  <c r="J202" i="2" s="1"/>
  <c r="J203" i="2" s="1"/>
  <c r="S199" i="2"/>
  <c r="T199" i="2" s="1"/>
  <c r="O199" i="2"/>
  <c r="K199" i="2"/>
  <c r="K200" i="2" s="1"/>
  <c r="J199" i="2"/>
  <c r="S198" i="2"/>
  <c r="T198" i="2" s="1"/>
  <c r="O198" i="2"/>
  <c r="S197" i="2"/>
  <c r="T197" i="2" s="1"/>
  <c r="O197" i="2"/>
  <c r="S196" i="2"/>
  <c r="T196" i="2" s="1"/>
  <c r="O196" i="2"/>
  <c r="S195" i="2"/>
  <c r="T195" i="2" s="1"/>
  <c r="O195" i="2"/>
  <c r="S194" i="2"/>
  <c r="T194" i="2" s="1"/>
  <c r="O194" i="2"/>
  <c r="T193" i="2"/>
  <c r="S193" i="2"/>
  <c r="O193" i="2"/>
  <c r="S192" i="2"/>
  <c r="T192" i="2" s="1"/>
  <c r="O192" i="2"/>
  <c r="T191" i="2"/>
  <c r="S191" i="2"/>
  <c r="O191" i="2"/>
  <c r="S190" i="2"/>
  <c r="T190" i="2" s="1"/>
  <c r="O190" i="2"/>
  <c r="T189" i="2"/>
  <c r="S189" i="2"/>
  <c r="O189" i="2"/>
  <c r="T188" i="2"/>
  <c r="S188" i="2"/>
  <c r="O188" i="2"/>
  <c r="S187" i="2"/>
  <c r="T187" i="2" s="1"/>
  <c r="O187" i="2"/>
  <c r="K187" i="2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S186" i="2"/>
  <c r="T186" i="2" s="1"/>
  <c r="O186" i="2"/>
  <c r="S185" i="2"/>
  <c r="T185" i="2" s="1"/>
  <c r="O185" i="2"/>
  <c r="S184" i="2"/>
  <c r="T184" i="2" s="1"/>
  <c r="O184" i="2"/>
  <c r="K184" i="2"/>
  <c r="K185" i="2" s="1"/>
  <c r="K186" i="2" s="1"/>
  <c r="J184" i="2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T183" i="2"/>
  <c r="S183" i="2"/>
  <c r="O183" i="2"/>
  <c r="S182" i="2"/>
  <c r="T182" i="2" s="1"/>
  <c r="O182" i="2"/>
  <c r="S181" i="2"/>
  <c r="T181" i="2" s="1"/>
  <c r="O181" i="2"/>
  <c r="S180" i="2"/>
  <c r="T180" i="2" s="1"/>
  <c r="O180" i="2"/>
  <c r="K180" i="2"/>
  <c r="K181" i="2" s="1"/>
  <c r="J180" i="2"/>
  <c r="J181" i="2" s="1"/>
  <c r="T179" i="2"/>
  <c r="S179" i="2"/>
  <c r="O179" i="2"/>
  <c r="S178" i="2"/>
  <c r="T178" i="2" s="1"/>
  <c r="O178" i="2"/>
  <c r="S177" i="2"/>
  <c r="T177" i="2" s="1"/>
  <c r="O177" i="2"/>
  <c r="S176" i="2"/>
  <c r="T176" i="2" s="1"/>
  <c r="O176" i="2"/>
  <c r="S175" i="2"/>
  <c r="T175" i="2" s="1"/>
  <c r="O175" i="2"/>
  <c r="S174" i="2"/>
  <c r="T174" i="2" s="1"/>
  <c r="O174" i="2"/>
  <c r="S173" i="2"/>
  <c r="T173" i="2" s="1"/>
  <c r="O173" i="2"/>
  <c r="S172" i="2"/>
  <c r="T172" i="2" s="1"/>
  <c r="O172" i="2"/>
  <c r="T171" i="2"/>
  <c r="S171" i="2"/>
  <c r="O171" i="2"/>
  <c r="K171" i="2"/>
  <c r="K172" i="2" s="1"/>
  <c r="K173" i="2" s="1"/>
  <c r="S170" i="2"/>
  <c r="T170" i="2" s="1"/>
  <c r="O170" i="2"/>
  <c r="S169" i="2"/>
  <c r="T169" i="2" s="1"/>
  <c r="O169" i="2"/>
  <c r="S168" i="2"/>
  <c r="T168" i="2" s="1"/>
  <c r="O168" i="2"/>
  <c r="T167" i="2"/>
  <c r="S167" i="2"/>
  <c r="O167" i="2"/>
  <c r="T166" i="2"/>
  <c r="S166" i="2"/>
  <c r="O166" i="2"/>
  <c r="S165" i="2"/>
  <c r="T165" i="2" s="1"/>
  <c r="O165" i="2"/>
  <c r="T164" i="2"/>
  <c r="S164" i="2"/>
  <c r="O164" i="2"/>
  <c r="K164" i="2"/>
  <c r="K165" i="2" s="1"/>
  <c r="K166" i="2" s="1"/>
  <c r="K167" i="2" s="1"/>
  <c r="K168" i="2" s="1"/>
  <c r="K169" i="2" s="1"/>
  <c r="K170" i="2" s="1"/>
  <c r="J164" i="2"/>
  <c r="J165" i="2" s="1"/>
  <c r="J166" i="2" s="1"/>
  <c r="J167" i="2" s="1"/>
  <c r="J168" i="2" s="1"/>
  <c r="J169" i="2" s="1"/>
  <c r="J170" i="2" s="1"/>
  <c r="J171" i="2" s="1"/>
  <c r="J172" i="2" s="1"/>
  <c r="J173" i="2" s="1"/>
  <c r="S163" i="2"/>
  <c r="T163" i="2" s="1"/>
  <c r="O163" i="2"/>
  <c r="T162" i="2"/>
  <c r="S162" i="2"/>
  <c r="O162" i="2"/>
  <c r="S161" i="2"/>
  <c r="T161" i="2" s="1"/>
  <c r="O161" i="2"/>
  <c r="S160" i="2"/>
  <c r="T160" i="2" s="1"/>
  <c r="O160" i="2"/>
  <c r="T159" i="2"/>
  <c r="S159" i="2"/>
  <c r="O159" i="2"/>
  <c r="K159" i="2"/>
  <c r="K160" i="2" s="1"/>
  <c r="K161" i="2" s="1"/>
  <c r="K162" i="2" s="1"/>
  <c r="J159" i="2"/>
  <c r="J160" i="2" s="1"/>
  <c r="J161" i="2" s="1"/>
  <c r="J162" i="2" s="1"/>
  <c r="S158" i="2"/>
  <c r="T158" i="2" s="1"/>
  <c r="O158" i="2"/>
  <c r="S157" i="2"/>
  <c r="T157" i="2" s="1"/>
  <c r="O157" i="2"/>
  <c r="S156" i="2"/>
  <c r="T156" i="2" s="1"/>
  <c r="O156" i="2"/>
  <c r="S155" i="2"/>
  <c r="T155" i="2" s="1"/>
  <c r="O155" i="2"/>
  <c r="S154" i="2"/>
  <c r="T154" i="2" s="1"/>
  <c r="O154" i="2"/>
  <c r="T153" i="2"/>
  <c r="S153" i="2"/>
  <c r="O153" i="2"/>
  <c r="S152" i="2"/>
  <c r="T152" i="2" s="1"/>
  <c r="O152" i="2"/>
  <c r="T151" i="2"/>
  <c r="S151" i="2"/>
  <c r="O151" i="2"/>
  <c r="S150" i="2"/>
  <c r="T150" i="2" s="1"/>
  <c r="O150" i="2"/>
  <c r="S149" i="2"/>
  <c r="T149" i="2" s="1"/>
  <c r="O149" i="2"/>
  <c r="S148" i="2"/>
  <c r="T148" i="2" s="1"/>
  <c r="O148" i="2"/>
  <c r="T147" i="2"/>
  <c r="S147" i="2"/>
  <c r="O147" i="2"/>
  <c r="S146" i="2"/>
  <c r="T146" i="2" s="1"/>
  <c r="O146" i="2"/>
  <c r="S145" i="2"/>
  <c r="T145" i="2" s="1"/>
  <c r="O145" i="2"/>
  <c r="S144" i="2"/>
  <c r="T144" i="2" s="1"/>
  <c r="O144" i="2"/>
  <c r="T143" i="2"/>
  <c r="S143" i="2"/>
  <c r="O143" i="2"/>
  <c r="S142" i="2"/>
  <c r="T142" i="2" s="1"/>
  <c r="O142" i="2"/>
  <c r="S141" i="2"/>
  <c r="T141" i="2" s="1"/>
  <c r="O141" i="2"/>
  <c r="S140" i="2"/>
  <c r="T140" i="2" s="1"/>
  <c r="O140" i="2"/>
  <c r="T139" i="2"/>
  <c r="S139" i="2"/>
  <c r="O139" i="2"/>
  <c r="S138" i="2"/>
  <c r="T138" i="2" s="1"/>
  <c r="O138" i="2"/>
  <c r="T137" i="2"/>
  <c r="S137" i="2"/>
  <c r="O137" i="2"/>
  <c r="S136" i="2"/>
  <c r="T136" i="2" s="1"/>
  <c r="O136" i="2"/>
  <c r="S135" i="2"/>
  <c r="T135" i="2" s="1"/>
  <c r="O135" i="2"/>
  <c r="S134" i="2"/>
  <c r="T134" i="2" s="1"/>
  <c r="O134" i="2"/>
  <c r="T133" i="2"/>
  <c r="S133" i="2"/>
  <c r="O133" i="2"/>
  <c r="S132" i="2"/>
  <c r="T132" i="2" s="1"/>
  <c r="O132" i="2"/>
  <c r="S131" i="2"/>
  <c r="T131" i="2" s="1"/>
  <c r="O131" i="2"/>
  <c r="L131" i="2"/>
  <c r="S130" i="2"/>
  <c r="T130" i="2" s="1"/>
  <c r="O130" i="2"/>
  <c r="T129" i="2"/>
  <c r="S129" i="2"/>
  <c r="O129" i="2"/>
  <c r="L129" i="2"/>
  <c r="T128" i="2"/>
  <c r="S128" i="2"/>
  <c r="O128" i="2"/>
  <c r="J128" i="2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AB127" i="2"/>
  <c r="T127" i="2"/>
  <c r="S127" i="2"/>
  <c r="O127" i="2"/>
  <c r="L127" i="2"/>
  <c r="K127" i="2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J127" i="2"/>
  <c r="S126" i="2"/>
  <c r="T126" i="2" s="1"/>
  <c r="O126" i="2"/>
  <c r="S125" i="2"/>
  <c r="T125" i="2" s="1"/>
  <c r="O125" i="2"/>
  <c r="Z124" i="2"/>
  <c r="Z125" i="2" s="1"/>
  <c r="Z126" i="2" s="1"/>
  <c r="Z127" i="2" s="1"/>
  <c r="Z128" i="2" s="1"/>
  <c r="Z129" i="2" s="1"/>
  <c r="Z130" i="2" s="1"/>
  <c r="Z131" i="2" s="1"/>
  <c r="Z132" i="2" s="1"/>
  <c r="Z133" i="2" s="1"/>
  <c r="Z134" i="2" s="1"/>
  <c r="Z135" i="2" s="1"/>
  <c r="Z136" i="2" s="1"/>
  <c r="Z137" i="2" s="1"/>
  <c r="Z138" i="2" s="1"/>
  <c r="Z139" i="2" s="1"/>
  <c r="Z140" i="2" s="1"/>
  <c r="Z141" i="2" s="1"/>
  <c r="Z142" i="2" s="1"/>
  <c r="Z143" i="2" s="1"/>
  <c r="Z144" i="2" s="1"/>
  <c r="Z145" i="2" s="1"/>
  <c r="Z146" i="2" s="1"/>
  <c r="Z147" i="2" s="1"/>
  <c r="Z148" i="2" s="1"/>
  <c r="Z149" i="2" s="1"/>
  <c r="Z150" i="2" s="1"/>
  <c r="Z151" i="2" s="1"/>
  <c r="Z152" i="2" s="1"/>
  <c r="Z153" i="2" s="1"/>
  <c r="Z154" i="2" s="1"/>
  <c r="Z155" i="2" s="1"/>
  <c r="Z156" i="2" s="1"/>
  <c r="Z157" i="2" s="1"/>
  <c r="Z158" i="2" s="1"/>
  <c r="Z159" i="2" s="1"/>
  <c r="Z160" i="2" s="1"/>
  <c r="Z161" i="2" s="1"/>
  <c r="Z162" i="2" s="1"/>
  <c r="Z163" i="2" s="1"/>
  <c r="Z164" i="2" s="1"/>
  <c r="Z165" i="2" s="1"/>
  <c r="Z166" i="2" s="1"/>
  <c r="Z167" i="2" s="1"/>
  <c r="Z168" i="2" s="1"/>
  <c r="Z169" i="2" s="1"/>
  <c r="Z170" i="2" s="1"/>
  <c r="Z171" i="2" s="1"/>
  <c r="Z172" i="2" s="1"/>
  <c r="Z173" i="2" s="1"/>
  <c r="Z174" i="2" s="1"/>
  <c r="Z175" i="2" s="1"/>
  <c r="Z176" i="2" s="1"/>
  <c r="Z177" i="2" s="1"/>
  <c r="Z178" i="2" s="1"/>
  <c r="Z179" i="2" s="1"/>
  <c r="Z180" i="2" s="1"/>
  <c r="Z181" i="2" s="1"/>
  <c r="Z182" i="2" s="1"/>
  <c r="Z183" i="2" s="1"/>
  <c r="Z184" i="2" s="1"/>
  <c r="Z185" i="2" s="1"/>
  <c r="Z186" i="2" s="1"/>
  <c r="Z187" i="2" s="1"/>
  <c r="Z188" i="2" s="1"/>
  <c r="Z189" i="2" s="1"/>
  <c r="Z190" i="2" s="1"/>
  <c r="Z191" i="2" s="1"/>
  <c r="Z192" i="2" s="1"/>
  <c r="Z193" i="2" s="1"/>
  <c r="Z194" i="2" s="1"/>
  <c r="Z195" i="2" s="1"/>
  <c r="Z196" i="2" s="1"/>
  <c r="Z197" i="2" s="1"/>
  <c r="Z198" i="2" s="1"/>
  <c r="Z199" i="2" s="1"/>
  <c r="Z200" i="2" s="1"/>
  <c r="T124" i="2"/>
  <c r="S124" i="2"/>
  <c r="O124" i="2"/>
  <c r="K124" i="2"/>
  <c r="R123" i="2"/>
  <c r="S123" i="2" s="1"/>
  <c r="T123" i="2" s="1"/>
  <c r="O123" i="2"/>
  <c r="R122" i="2"/>
  <c r="S122" i="2" s="1"/>
  <c r="T122" i="2" s="1"/>
  <c r="O122" i="2"/>
  <c r="R121" i="2"/>
  <c r="S121" i="2" s="1"/>
  <c r="T121" i="2" s="1"/>
  <c r="O121" i="2"/>
  <c r="R120" i="2"/>
  <c r="S120" i="2" s="1"/>
  <c r="T120" i="2" s="1"/>
  <c r="O120" i="2"/>
  <c r="R119" i="2"/>
  <c r="S119" i="2" s="1"/>
  <c r="T119" i="2" s="1"/>
  <c r="O119" i="2"/>
  <c r="R118" i="2"/>
  <c r="S118" i="2" s="1"/>
  <c r="T118" i="2" s="1"/>
  <c r="O118" i="2"/>
  <c r="R117" i="2"/>
  <c r="S117" i="2" s="1"/>
  <c r="T117" i="2" s="1"/>
  <c r="O117" i="2"/>
  <c r="R116" i="2"/>
  <c r="S116" i="2" s="1"/>
  <c r="T116" i="2" s="1"/>
  <c r="O116" i="2"/>
  <c r="R115" i="2"/>
  <c r="S115" i="2" s="1"/>
  <c r="T115" i="2" s="1"/>
  <c r="O115" i="2"/>
  <c r="R114" i="2"/>
  <c r="S114" i="2" s="1"/>
  <c r="T114" i="2" s="1"/>
  <c r="O114" i="2"/>
  <c r="R113" i="2"/>
  <c r="S113" i="2" s="1"/>
  <c r="T113" i="2" s="1"/>
  <c r="O113" i="2"/>
  <c r="R112" i="2"/>
  <c r="S112" i="2" s="1"/>
  <c r="T112" i="2" s="1"/>
  <c r="O112" i="2"/>
  <c r="T111" i="2"/>
  <c r="S111" i="2"/>
  <c r="R111" i="2"/>
  <c r="O111" i="2"/>
  <c r="T110" i="2"/>
  <c r="S110" i="2"/>
  <c r="R110" i="2"/>
  <c r="O110" i="2"/>
  <c r="T109" i="2"/>
  <c r="S109" i="2"/>
  <c r="R109" i="2"/>
  <c r="O109" i="2"/>
  <c r="T108" i="2"/>
  <c r="S108" i="2"/>
  <c r="R108" i="2"/>
  <c r="O108" i="2"/>
  <c r="T107" i="2"/>
  <c r="S107" i="2"/>
  <c r="R107" i="2"/>
  <c r="O107" i="2"/>
  <c r="R106" i="2"/>
  <c r="S106" i="2" s="1"/>
  <c r="T106" i="2" s="1"/>
  <c r="O106" i="2"/>
  <c r="T105" i="2"/>
  <c r="S105" i="2"/>
  <c r="R105" i="2"/>
  <c r="O105" i="2"/>
  <c r="T104" i="2"/>
  <c r="S104" i="2"/>
  <c r="R104" i="2"/>
  <c r="O104" i="2"/>
  <c r="R103" i="2"/>
  <c r="S103" i="2" s="1"/>
  <c r="T103" i="2" s="1"/>
  <c r="O103" i="2"/>
  <c r="R102" i="2"/>
  <c r="S102" i="2" s="1"/>
  <c r="T102" i="2" s="1"/>
  <c r="O102" i="2"/>
  <c r="R101" i="2"/>
  <c r="S101" i="2" s="1"/>
  <c r="T101" i="2" s="1"/>
  <c r="O101" i="2"/>
  <c r="R100" i="2"/>
  <c r="S100" i="2" s="1"/>
  <c r="T100" i="2" s="1"/>
  <c r="O100" i="2"/>
  <c r="R99" i="2"/>
  <c r="S99" i="2" s="1"/>
  <c r="T99" i="2" s="1"/>
  <c r="O99" i="2"/>
  <c r="R98" i="2"/>
  <c r="S98" i="2" s="1"/>
  <c r="T98" i="2" s="1"/>
  <c r="O98" i="2"/>
  <c r="R97" i="2"/>
  <c r="S97" i="2" s="1"/>
  <c r="T97" i="2" s="1"/>
  <c r="O97" i="2"/>
  <c r="R96" i="2"/>
  <c r="S96" i="2" s="1"/>
  <c r="T96" i="2" s="1"/>
  <c r="O96" i="2"/>
  <c r="R95" i="2"/>
  <c r="S95" i="2" s="1"/>
  <c r="T95" i="2" s="1"/>
  <c r="O95" i="2"/>
  <c r="R94" i="2"/>
  <c r="S94" i="2" s="1"/>
  <c r="T94" i="2" s="1"/>
  <c r="O94" i="2"/>
  <c r="R93" i="2"/>
  <c r="S93" i="2" s="1"/>
  <c r="T93" i="2" s="1"/>
  <c r="O93" i="2"/>
  <c r="R92" i="2"/>
  <c r="S92" i="2" s="1"/>
  <c r="T92" i="2" s="1"/>
  <c r="O92" i="2"/>
  <c r="R91" i="2"/>
  <c r="S91" i="2" s="1"/>
  <c r="T91" i="2" s="1"/>
  <c r="O91" i="2"/>
  <c r="S90" i="2"/>
  <c r="T90" i="2" s="1"/>
  <c r="R90" i="2"/>
  <c r="O90" i="2"/>
  <c r="S89" i="2"/>
  <c r="T89" i="2" s="1"/>
  <c r="R89" i="2"/>
  <c r="O89" i="2"/>
  <c r="S88" i="2"/>
  <c r="T88" i="2" s="1"/>
  <c r="R88" i="2"/>
  <c r="O88" i="2"/>
  <c r="S87" i="2"/>
  <c r="T87" i="2" s="1"/>
  <c r="R87" i="2"/>
  <c r="O87" i="2"/>
  <c r="R86" i="2"/>
  <c r="S86" i="2" s="1"/>
  <c r="T86" i="2" s="1"/>
  <c r="O86" i="2"/>
  <c r="R85" i="2"/>
  <c r="S85" i="2" s="1"/>
  <c r="T85" i="2" s="1"/>
  <c r="O85" i="2"/>
  <c r="R84" i="2"/>
  <c r="S84" i="2" s="1"/>
  <c r="T84" i="2" s="1"/>
  <c r="O84" i="2"/>
  <c r="R83" i="2"/>
  <c r="S83" i="2" s="1"/>
  <c r="T83" i="2" s="1"/>
  <c r="O83" i="2"/>
  <c r="R82" i="2"/>
  <c r="S82" i="2" s="1"/>
  <c r="T82" i="2" s="1"/>
  <c r="O82" i="2"/>
  <c r="R81" i="2"/>
  <c r="S81" i="2" s="1"/>
  <c r="T81" i="2" s="1"/>
  <c r="O81" i="2"/>
  <c r="R80" i="2"/>
  <c r="S80" i="2" s="1"/>
  <c r="T80" i="2" s="1"/>
  <c r="O80" i="2"/>
  <c r="R79" i="2"/>
  <c r="S79" i="2" s="1"/>
  <c r="T79" i="2" s="1"/>
  <c r="O79" i="2"/>
  <c r="R78" i="2"/>
  <c r="S78" i="2" s="1"/>
  <c r="T78" i="2" s="1"/>
  <c r="O78" i="2"/>
  <c r="R77" i="2"/>
  <c r="S77" i="2" s="1"/>
  <c r="T77" i="2" s="1"/>
  <c r="O77" i="2"/>
  <c r="R76" i="2"/>
  <c r="S76" i="2" s="1"/>
  <c r="T76" i="2" s="1"/>
  <c r="O76" i="2"/>
  <c r="R75" i="2"/>
  <c r="S75" i="2" s="1"/>
  <c r="T75" i="2" s="1"/>
  <c r="P75" i="2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O75" i="2"/>
  <c r="R74" i="2"/>
  <c r="S74" i="2" s="1"/>
  <c r="T74" i="2" s="1"/>
  <c r="O74" i="2"/>
  <c r="R73" i="2"/>
  <c r="S73" i="2" s="1"/>
  <c r="T73" i="2" s="1"/>
  <c r="O73" i="2"/>
  <c r="T72" i="2"/>
  <c r="S72" i="2"/>
  <c r="R72" i="2"/>
  <c r="O72" i="2"/>
  <c r="T71" i="2"/>
  <c r="S71" i="2"/>
  <c r="R71" i="2"/>
  <c r="O71" i="2"/>
  <c r="S70" i="2"/>
  <c r="T70" i="2" s="1"/>
  <c r="R70" i="2"/>
  <c r="O70" i="2"/>
  <c r="R69" i="2"/>
  <c r="S69" i="2" s="1"/>
  <c r="T69" i="2" s="1"/>
  <c r="O69" i="2"/>
  <c r="R68" i="2"/>
  <c r="S68" i="2" s="1"/>
  <c r="T68" i="2" s="1"/>
  <c r="O68" i="2"/>
  <c r="R67" i="2"/>
  <c r="S67" i="2" s="1"/>
  <c r="T67" i="2" s="1"/>
  <c r="P67" i="2"/>
  <c r="P68" i="2" s="1"/>
  <c r="P69" i="2" s="1"/>
  <c r="O67" i="2"/>
  <c r="R66" i="2"/>
  <c r="S66" i="2" s="1"/>
  <c r="T66" i="2" s="1"/>
  <c r="O66" i="2"/>
  <c r="T65" i="2"/>
  <c r="S65" i="2"/>
  <c r="R65" i="2"/>
  <c r="O65" i="2"/>
  <c r="S64" i="2"/>
  <c r="T64" i="2" s="1"/>
  <c r="R64" i="2"/>
  <c r="O64" i="2"/>
  <c r="R63" i="2"/>
  <c r="S63" i="2" s="1"/>
  <c r="T63" i="2" s="1"/>
  <c r="O63" i="2"/>
  <c r="R62" i="2"/>
  <c r="S62" i="2" s="1"/>
  <c r="T62" i="2" s="1"/>
  <c r="O62" i="2"/>
  <c r="S61" i="2"/>
  <c r="T61" i="2" s="1"/>
  <c r="R61" i="2"/>
  <c r="O61" i="2"/>
  <c r="R60" i="2"/>
  <c r="S60" i="2" s="1"/>
  <c r="T60" i="2" s="1"/>
  <c r="O60" i="2"/>
  <c r="S59" i="2"/>
  <c r="T59" i="2" s="1"/>
  <c r="R59" i="2"/>
  <c r="O59" i="2"/>
  <c r="R58" i="2"/>
  <c r="S58" i="2" s="1"/>
  <c r="T58" i="2" s="1"/>
  <c r="O58" i="2"/>
  <c r="R57" i="2"/>
  <c r="S57" i="2" s="1"/>
  <c r="T57" i="2" s="1"/>
  <c r="O57" i="2"/>
  <c r="S56" i="2"/>
  <c r="T56" i="2" s="1"/>
  <c r="O56" i="2"/>
  <c r="S55" i="2"/>
  <c r="T55" i="2" s="1"/>
  <c r="O55" i="2"/>
  <c r="T54" i="2"/>
  <c r="S54" i="2"/>
  <c r="O54" i="2"/>
  <c r="S53" i="2"/>
  <c r="T53" i="2" s="1"/>
  <c r="O53" i="2"/>
  <c r="S52" i="2"/>
  <c r="T52" i="2" s="1"/>
  <c r="O52" i="2"/>
  <c r="S51" i="2"/>
  <c r="T51" i="2" s="1"/>
  <c r="U51" i="2" s="1"/>
  <c r="P51" i="2"/>
  <c r="P52" i="2" s="1"/>
  <c r="P53" i="2" s="1"/>
  <c r="P54" i="2" s="1"/>
  <c r="P55" i="2" s="1"/>
  <c r="P56" i="2" s="1"/>
  <c r="P57" i="2" s="1"/>
  <c r="P58" i="2" s="1"/>
  <c r="O51" i="2"/>
  <c r="T50" i="2"/>
  <c r="S50" i="2"/>
  <c r="O50" i="2"/>
  <c r="S49" i="2"/>
  <c r="T49" i="2" s="1"/>
  <c r="O49" i="2"/>
  <c r="L49" i="2"/>
  <c r="S48" i="2"/>
  <c r="T48" i="2" s="1"/>
  <c r="O48" i="2"/>
  <c r="T47" i="2"/>
  <c r="S47" i="2"/>
  <c r="O47" i="2"/>
  <c r="L47" i="2"/>
  <c r="T46" i="2"/>
  <c r="S46" i="2"/>
  <c r="O46" i="2"/>
  <c r="AB45" i="2"/>
  <c r="S45" i="2"/>
  <c r="T45" i="2" s="1"/>
  <c r="O45" i="2"/>
  <c r="L45" i="2"/>
  <c r="S44" i="2"/>
  <c r="T44" i="2" s="1"/>
  <c r="O44" i="2"/>
  <c r="Y43" i="2"/>
  <c r="Y44" i="2" s="1"/>
  <c r="Y45" i="2" s="1"/>
  <c r="Y46" i="2" s="1"/>
  <c r="Y47" i="2" s="1"/>
  <c r="Y48" i="2" s="1"/>
  <c r="Y49" i="2" s="1"/>
  <c r="Y50" i="2" s="1"/>
  <c r="Y51" i="2" s="1"/>
  <c r="Y52" i="2" s="1"/>
  <c r="Y53" i="2" s="1"/>
  <c r="Y54" i="2" s="1"/>
  <c r="Y55" i="2" s="1"/>
  <c r="Y56" i="2" s="1"/>
  <c r="Y57" i="2" s="1"/>
  <c r="Y58" i="2" s="1"/>
  <c r="Y59" i="2" s="1"/>
  <c r="Y60" i="2" s="1"/>
  <c r="Y61" i="2" s="1"/>
  <c r="Y62" i="2" s="1"/>
  <c r="Y63" i="2" s="1"/>
  <c r="Y64" i="2" s="1"/>
  <c r="Y65" i="2" s="1"/>
  <c r="Y66" i="2" s="1"/>
  <c r="Y67" i="2" s="1"/>
  <c r="Y68" i="2" s="1"/>
  <c r="Y69" i="2" s="1"/>
  <c r="Y70" i="2" s="1"/>
  <c r="Y71" i="2" s="1"/>
  <c r="Y72" i="2" s="1"/>
  <c r="Y73" i="2" s="1"/>
  <c r="Y74" i="2" s="1"/>
  <c r="Y75" i="2" s="1"/>
  <c r="Y76" i="2" s="1"/>
  <c r="Y77" i="2" s="1"/>
  <c r="Y78" i="2" s="1"/>
  <c r="Y79" i="2" s="1"/>
  <c r="Y80" i="2" s="1"/>
  <c r="Y81" i="2" s="1"/>
  <c r="Y82" i="2" s="1"/>
  <c r="Y83" i="2" s="1"/>
  <c r="Y84" i="2" s="1"/>
  <c r="Y85" i="2" s="1"/>
  <c r="Y86" i="2" s="1"/>
  <c r="Y87" i="2" s="1"/>
  <c r="Y88" i="2" s="1"/>
  <c r="Y89" i="2" s="1"/>
  <c r="Y90" i="2" s="1"/>
  <c r="Y91" i="2" s="1"/>
  <c r="Y92" i="2" s="1"/>
  <c r="Y93" i="2" s="1"/>
  <c r="Y94" i="2" s="1"/>
  <c r="Y95" i="2" s="1"/>
  <c r="Y96" i="2" s="1"/>
  <c r="Y97" i="2" s="1"/>
  <c r="Y98" i="2" s="1"/>
  <c r="Y99" i="2" s="1"/>
  <c r="Y100" i="2" s="1"/>
  <c r="Y101" i="2" s="1"/>
  <c r="Y102" i="2" s="1"/>
  <c r="Y103" i="2" s="1"/>
  <c r="Y104" i="2" s="1"/>
  <c r="Y105" i="2" s="1"/>
  <c r="Y106" i="2" s="1"/>
  <c r="Y107" i="2" s="1"/>
  <c r="Y108" i="2" s="1"/>
  <c r="Y109" i="2" s="1"/>
  <c r="Y110" i="2" s="1"/>
  <c r="Y111" i="2" s="1"/>
  <c r="Y112" i="2" s="1"/>
  <c r="Y113" i="2" s="1"/>
  <c r="Y114" i="2" s="1"/>
  <c r="Y115" i="2" s="1"/>
  <c r="Y116" i="2" s="1"/>
  <c r="Y117" i="2" s="1"/>
  <c r="Y118" i="2" s="1"/>
  <c r="Y119" i="2" s="1"/>
  <c r="Y120" i="2" s="1"/>
  <c r="Y121" i="2" s="1"/>
  <c r="Y122" i="2" s="1"/>
  <c r="Y123" i="2" s="1"/>
  <c r="Y124" i="2" s="1"/>
  <c r="Y125" i="2" s="1"/>
  <c r="Y126" i="2" s="1"/>
  <c r="Y127" i="2" s="1"/>
  <c r="Y128" i="2" s="1"/>
  <c r="Y129" i="2" s="1"/>
  <c r="Y130" i="2" s="1"/>
  <c r="Y131" i="2" s="1"/>
  <c r="Y132" i="2" s="1"/>
  <c r="Y133" i="2" s="1"/>
  <c r="Y134" i="2" s="1"/>
  <c r="Y135" i="2" s="1"/>
  <c r="Y136" i="2" s="1"/>
  <c r="Y137" i="2" s="1"/>
  <c r="Y138" i="2" s="1"/>
  <c r="Y139" i="2" s="1"/>
  <c r="Y140" i="2" s="1"/>
  <c r="Y141" i="2" s="1"/>
  <c r="Y142" i="2" s="1"/>
  <c r="Y143" i="2" s="1"/>
  <c r="Y144" i="2" s="1"/>
  <c r="Y145" i="2" s="1"/>
  <c r="Y146" i="2" s="1"/>
  <c r="Y147" i="2" s="1"/>
  <c r="Y148" i="2" s="1"/>
  <c r="Y149" i="2" s="1"/>
  <c r="Y150" i="2" s="1"/>
  <c r="Y151" i="2" s="1"/>
  <c r="Y152" i="2" s="1"/>
  <c r="Y153" i="2" s="1"/>
  <c r="Y154" i="2" s="1"/>
  <c r="Y155" i="2" s="1"/>
  <c r="Y156" i="2" s="1"/>
  <c r="Y157" i="2" s="1"/>
  <c r="Y158" i="2" s="1"/>
  <c r="Y159" i="2" s="1"/>
  <c r="Y160" i="2" s="1"/>
  <c r="Y161" i="2" s="1"/>
  <c r="Y162" i="2" s="1"/>
  <c r="Y163" i="2" s="1"/>
  <c r="Y164" i="2" s="1"/>
  <c r="Y165" i="2" s="1"/>
  <c r="Y166" i="2" s="1"/>
  <c r="Y167" i="2" s="1"/>
  <c r="Y168" i="2" s="1"/>
  <c r="Y169" i="2" s="1"/>
  <c r="Y170" i="2" s="1"/>
  <c r="Y171" i="2" s="1"/>
  <c r="Y172" i="2" s="1"/>
  <c r="Y173" i="2" s="1"/>
  <c r="Y174" i="2" s="1"/>
  <c r="Y175" i="2" s="1"/>
  <c r="Y176" i="2" s="1"/>
  <c r="Y177" i="2" s="1"/>
  <c r="Y178" i="2" s="1"/>
  <c r="Y179" i="2" s="1"/>
  <c r="Y180" i="2" s="1"/>
  <c r="Y181" i="2" s="1"/>
  <c r="Y182" i="2" s="1"/>
  <c r="Y183" i="2" s="1"/>
  <c r="Y184" i="2" s="1"/>
  <c r="Y185" i="2" s="1"/>
  <c r="Y186" i="2" s="1"/>
  <c r="Y187" i="2" s="1"/>
  <c r="Y188" i="2" s="1"/>
  <c r="Y189" i="2" s="1"/>
  <c r="Y190" i="2" s="1"/>
  <c r="Y191" i="2" s="1"/>
  <c r="Y192" i="2" s="1"/>
  <c r="Y193" i="2" s="1"/>
  <c r="Y194" i="2" s="1"/>
  <c r="Y195" i="2" s="1"/>
  <c r="Y196" i="2" s="1"/>
  <c r="Y197" i="2" s="1"/>
  <c r="Y198" i="2" s="1"/>
  <c r="Y199" i="2" s="1"/>
  <c r="Y200" i="2" s="1"/>
  <c r="Y201" i="2" s="1"/>
  <c r="Y202" i="2" s="1"/>
  <c r="Y203" i="2" s="1"/>
  <c r="Y204" i="2" s="1"/>
  <c r="Y205" i="2" s="1"/>
  <c r="Y206" i="2" s="1"/>
  <c r="Y207" i="2" s="1"/>
  <c r="Y208" i="2" s="1"/>
  <c r="Y209" i="2" s="1"/>
  <c r="Y210" i="2" s="1"/>
  <c r="Y211" i="2" s="1"/>
  <c r="Y212" i="2" s="1"/>
  <c r="Y213" i="2" s="1"/>
  <c r="Y214" i="2" s="1"/>
  <c r="Y215" i="2" s="1"/>
  <c r="Y216" i="2" s="1"/>
  <c r="Y217" i="2" s="1"/>
  <c r="Y218" i="2" s="1"/>
  <c r="Y219" i="2" s="1"/>
  <c r="Y220" i="2" s="1"/>
  <c r="Y221" i="2" s="1"/>
  <c r="Y222" i="2" s="1"/>
  <c r="Y223" i="2" s="1"/>
  <c r="Y224" i="2" s="1"/>
  <c r="Y225" i="2" s="1"/>
  <c r="Y226" i="2" s="1"/>
  <c r="Y227" i="2" s="1"/>
  <c r="Y228" i="2" s="1"/>
  <c r="Y229" i="2" s="1"/>
  <c r="Y230" i="2" s="1"/>
  <c r="Y231" i="2" s="1"/>
  <c r="Y232" i="2" s="1"/>
  <c r="Y233" i="2" s="1"/>
  <c r="Y234" i="2" s="1"/>
  <c r="Y235" i="2" s="1"/>
  <c r="Y236" i="2" s="1"/>
  <c r="Y237" i="2" s="1"/>
  <c r="Y238" i="2" s="1"/>
  <c r="Y239" i="2" s="1"/>
  <c r="Y240" i="2" s="1"/>
  <c r="Y241" i="2" s="1"/>
  <c r="Y242" i="2" s="1"/>
  <c r="Y243" i="2" s="1"/>
  <c r="Y244" i="2" s="1"/>
  <c r="Y245" i="2" s="1"/>
  <c r="Y246" i="2" s="1"/>
  <c r="Y247" i="2" s="1"/>
  <c r="Y248" i="2" s="1"/>
  <c r="Y249" i="2" s="1"/>
  <c r="Y250" i="2" s="1"/>
  <c r="Y251" i="2" s="1"/>
  <c r="Y252" i="2" s="1"/>
  <c r="Y253" i="2" s="1"/>
  <c r="Y254" i="2" s="1"/>
  <c r="Y255" i="2" s="1"/>
  <c r="Y256" i="2" s="1"/>
  <c r="Y257" i="2" s="1"/>
  <c r="Y258" i="2" s="1"/>
  <c r="Y259" i="2" s="1"/>
  <c r="Y260" i="2" s="1"/>
  <c r="Y261" i="2" s="1"/>
  <c r="Y262" i="2" s="1"/>
  <c r="Y263" i="2" s="1"/>
  <c r="Y264" i="2" s="1"/>
  <c r="Y265" i="2" s="1"/>
  <c r="Y266" i="2" s="1"/>
  <c r="Y267" i="2" s="1"/>
  <c r="Y268" i="2" s="1"/>
  <c r="Y269" i="2" s="1"/>
  <c r="Y270" i="2" s="1"/>
  <c r="Y271" i="2" s="1"/>
  <c r="Y272" i="2" s="1"/>
  <c r="Y273" i="2" s="1"/>
  <c r="Y274" i="2" s="1"/>
  <c r="Y275" i="2" s="1"/>
  <c r="Y276" i="2" s="1"/>
  <c r="Y277" i="2" s="1"/>
  <c r="Y278" i="2" s="1"/>
  <c r="Y279" i="2" s="1"/>
  <c r="Y280" i="2" s="1"/>
  <c r="Y281" i="2" s="1"/>
  <c r="Y282" i="2" s="1"/>
  <c r="Y283" i="2" s="1"/>
  <c r="Y284" i="2" s="1"/>
  <c r="Y285" i="2" s="1"/>
  <c r="Y286" i="2" s="1"/>
  <c r="Y287" i="2" s="1"/>
  <c r="Y288" i="2" s="1"/>
  <c r="Y289" i="2" s="1"/>
  <c r="Y290" i="2" s="1"/>
  <c r="Y291" i="2" s="1"/>
  <c r="Y292" i="2" s="1"/>
  <c r="Y293" i="2" s="1"/>
  <c r="Y294" i="2" s="1"/>
  <c r="Y295" i="2" s="1"/>
  <c r="Y296" i="2" s="1"/>
  <c r="Y297" i="2" s="1"/>
  <c r="Y298" i="2" s="1"/>
  <c r="Y299" i="2" s="1"/>
  <c r="Y300" i="2" s="1"/>
  <c r="Y301" i="2" s="1"/>
  <c r="Y302" i="2" s="1"/>
  <c r="Y303" i="2" s="1"/>
  <c r="Y304" i="2" s="1"/>
  <c r="Y305" i="2" s="1"/>
  <c r="Y306" i="2" s="1"/>
  <c r="Y307" i="2" s="1"/>
  <c r="Y308" i="2" s="1"/>
  <c r="Y309" i="2" s="1"/>
  <c r="Y310" i="2" s="1"/>
  <c r="Y311" i="2" s="1"/>
  <c r="Y312" i="2" s="1"/>
  <c r="Y313" i="2" s="1"/>
  <c r="Y314" i="2" s="1"/>
  <c r="Y315" i="2" s="1"/>
  <c r="Y316" i="2" s="1"/>
  <c r="Y317" i="2" s="1"/>
  <c r="Y318" i="2" s="1"/>
  <c r="Y319" i="2" s="1"/>
  <c r="Y320" i="2" s="1"/>
  <c r="Y321" i="2" s="1"/>
  <c r="Y322" i="2" s="1"/>
  <c r="Y323" i="2" s="1"/>
  <c r="Y324" i="2" s="1"/>
  <c r="Y325" i="2" s="1"/>
  <c r="Y326" i="2" s="1"/>
  <c r="Y327" i="2" s="1"/>
  <c r="Y328" i="2" s="1"/>
  <c r="Y329" i="2" s="1"/>
  <c r="Y330" i="2" s="1"/>
  <c r="Y331" i="2" s="1"/>
  <c r="Y332" i="2" s="1"/>
  <c r="Y333" i="2" s="1"/>
  <c r="Y334" i="2" s="1"/>
  <c r="Y335" i="2" s="1"/>
  <c r="Y336" i="2" s="1"/>
  <c r="Y337" i="2" s="1"/>
  <c r="Y338" i="2" s="1"/>
  <c r="Y339" i="2" s="1"/>
  <c r="Y340" i="2" s="1"/>
  <c r="Y341" i="2" s="1"/>
  <c r="Y342" i="2" s="1"/>
  <c r="Y343" i="2" s="1"/>
  <c r="Y344" i="2" s="1"/>
  <c r="Y345" i="2" s="1"/>
  <c r="Y346" i="2" s="1"/>
  <c r="Y347" i="2" s="1"/>
  <c r="Y348" i="2" s="1"/>
  <c r="Y349" i="2" s="1"/>
  <c r="Y350" i="2" s="1"/>
  <c r="Y351" i="2" s="1"/>
  <c r="Y352" i="2" s="1"/>
  <c r="Y353" i="2" s="1"/>
  <c r="Y354" i="2" s="1"/>
  <c r="Y355" i="2" s="1"/>
  <c r="Y356" i="2" s="1"/>
  <c r="Y357" i="2" s="1"/>
  <c r="Y358" i="2" s="1"/>
  <c r="S43" i="2"/>
  <c r="T43" i="2" s="1"/>
  <c r="O43" i="2"/>
  <c r="Y42" i="2"/>
  <c r="S42" i="2"/>
  <c r="T42" i="2" s="1"/>
  <c r="O42" i="2"/>
  <c r="J42" i="2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O40" i="2"/>
  <c r="O39" i="2"/>
  <c r="O38" i="2"/>
  <c r="P38" i="2" s="1"/>
  <c r="P39" i="2" s="1"/>
  <c r="P40" i="2" s="1"/>
  <c r="O37" i="2"/>
  <c r="O36" i="2"/>
  <c r="O35" i="2"/>
  <c r="O34" i="2"/>
  <c r="O33" i="2"/>
  <c r="O32" i="2"/>
  <c r="P32" i="2" s="1"/>
  <c r="O31" i="2"/>
  <c r="O30" i="2"/>
  <c r="O29" i="2"/>
  <c r="O28" i="2"/>
  <c r="O27" i="2"/>
  <c r="O26" i="2"/>
  <c r="O25" i="2"/>
  <c r="O24" i="2"/>
  <c r="P24" i="2" s="1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P4" i="2" s="1"/>
  <c r="P5" i="2" s="1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O3" i="2"/>
  <c r="V321" i="2" l="1"/>
  <c r="V323" i="2" s="1"/>
  <c r="K270" i="2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Z270" i="2"/>
  <c r="Z271" i="2" s="1"/>
  <c r="Z272" i="2" s="1"/>
  <c r="Z273" i="2" s="1"/>
  <c r="Z274" i="2" s="1"/>
  <c r="Z275" i="2" s="1"/>
  <c r="Z276" i="2" s="1"/>
  <c r="Z277" i="2" s="1"/>
  <c r="Z278" i="2" s="1"/>
  <c r="Z279" i="2" s="1"/>
  <c r="Z280" i="2" s="1"/>
  <c r="Z281" i="2" s="1"/>
  <c r="Z282" i="2" s="1"/>
  <c r="Z283" i="2" s="1"/>
  <c r="Z284" i="2" s="1"/>
  <c r="Z285" i="2" s="1"/>
  <c r="Z286" i="2" s="1"/>
  <c r="Z287" i="2" s="1"/>
  <c r="Z288" i="2" s="1"/>
  <c r="Z289" i="2" s="1"/>
  <c r="Z290" i="2" s="1"/>
  <c r="Z291" i="2" s="1"/>
  <c r="Z292" i="2" s="1"/>
  <c r="Z293" i="2" s="1"/>
  <c r="Z294" i="2" s="1"/>
  <c r="Z296" i="2" s="1"/>
  <c r="Z297" i="2" s="1"/>
  <c r="Z298" i="2" s="1"/>
  <c r="Z299" i="2" s="1"/>
  <c r="Z300" i="2" s="1"/>
  <c r="Z301" i="2" s="1"/>
  <c r="Z302" i="2" s="1"/>
  <c r="Z303" i="2" s="1"/>
  <c r="Z304" i="2" s="1"/>
  <c r="Z305" i="2" s="1"/>
  <c r="Z306" i="2" s="1"/>
  <c r="Z307" i="2" s="1"/>
  <c r="Z308" i="2" s="1"/>
  <c r="Z309" i="2" s="1"/>
  <c r="Z310" i="2" s="1"/>
  <c r="Z311" i="2" s="1"/>
  <c r="Z313" i="2" s="1"/>
  <c r="Z314" i="2" s="1"/>
  <c r="Z315" i="2" s="1"/>
  <c r="Z316" i="2" s="1"/>
  <c r="Z317" i="2" s="1"/>
  <c r="Z318" i="2" s="1"/>
  <c r="Z319" i="2" s="1"/>
  <c r="Z320" i="2" s="1"/>
  <c r="Z321" i="2" s="1"/>
  <c r="Z322" i="2" s="1"/>
  <c r="Z323" i="2" s="1"/>
  <c r="Z324" i="2" s="1"/>
  <c r="Z325" i="2" s="1"/>
  <c r="Z326" i="2" s="1"/>
  <c r="Z327" i="2" s="1"/>
  <c r="Z328" i="2" s="1"/>
  <c r="Z329" i="2" s="1"/>
  <c r="Z330" i="2" s="1"/>
  <c r="Z331" i="2" s="1"/>
  <c r="Z332" i="2" s="1"/>
  <c r="Z271" i="1"/>
  <c r="Z272" i="1" s="1"/>
  <c r="Z273" i="1" s="1"/>
  <c r="Z274" i="1" s="1"/>
  <c r="Z275" i="1" s="1"/>
  <c r="Z276" i="1" s="1"/>
  <c r="Z277" i="1" s="1"/>
  <c r="Z278" i="1" s="1"/>
  <c r="Z279" i="1" s="1"/>
  <c r="Z280" i="1" s="1"/>
  <c r="Z281" i="1" s="1"/>
  <c r="Z282" i="1" s="1"/>
  <c r="Z283" i="1" s="1"/>
  <c r="Z284" i="1" s="1"/>
  <c r="Z285" i="1" s="1"/>
  <c r="Z286" i="1" s="1"/>
  <c r="Z287" i="1" s="1"/>
  <c r="Z288" i="1" s="1"/>
  <c r="Z289" i="1" s="1"/>
  <c r="Z290" i="1" s="1"/>
  <c r="Z291" i="1" s="1"/>
  <c r="Z292" i="1" s="1"/>
  <c r="Z293" i="1" s="1"/>
  <c r="Z294" i="1" s="1"/>
  <c r="Z296" i="1" s="1"/>
  <c r="Z297" i="1" s="1"/>
  <c r="Z298" i="1" s="1"/>
  <c r="Z299" i="1" s="1"/>
  <c r="Z300" i="1" s="1"/>
  <c r="Z301" i="1" s="1"/>
  <c r="Z302" i="1" s="1"/>
  <c r="Z303" i="1" s="1"/>
  <c r="Z304" i="1" s="1"/>
  <c r="Z305" i="1" s="1"/>
  <c r="Z306" i="1" s="1"/>
  <c r="Z307" i="1" s="1"/>
  <c r="Z308" i="1" s="1"/>
  <c r="Z309" i="1" s="1"/>
  <c r="Z310" i="1" s="1"/>
  <c r="Z311" i="1" s="1"/>
  <c r="Z313" i="1" s="1"/>
  <c r="Z314" i="1" s="1"/>
  <c r="Z315" i="1" s="1"/>
  <c r="Z316" i="1" s="1"/>
  <c r="Z317" i="1" s="1"/>
  <c r="Z318" i="1" s="1"/>
  <c r="Z319" i="1" s="1"/>
  <c r="Z320" i="1" s="1"/>
  <c r="Z321" i="1" s="1"/>
  <c r="Z322" i="1" s="1"/>
  <c r="Z323" i="1" s="1"/>
  <c r="Z324" i="1" s="1"/>
  <c r="Z325" i="1" s="1"/>
  <c r="Z326" i="1" s="1"/>
  <c r="Z327" i="1" s="1"/>
  <c r="Z328" i="1" s="1"/>
  <c r="Z329" i="1" s="1"/>
  <c r="Z330" i="1" s="1"/>
  <c r="Z331" i="1" s="1"/>
  <c r="Z332" i="1" s="1"/>
  <c r="K271" i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U42" i="2"/>
  <c r="U53" i="2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52" i="2"/>
  <c r="U125" i="2" l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V51" i="2"/>
  <c r="V49" i="2"/>
  <c r="AB315" i="1"/>
  <c r="AB298" i="1"/>
  <c r="AB273" i="1"/>
  <c r="AB204" i="1"/>
  <c r="AB127" i="1"/>
  <c r="AB45" i="1"/>
  <c r="AB252" i="1"/>
  <c r="Z201" i="1"/>
  <c r="Z124" i="1"/>
  <c r="Z125" i="1" s="1"/>
  <c r="Z126" i="1" s="1"/>
  <c r="Z127" i="1" s="1"/>
  <c r="Z128" i="1" s="1"/>
  <c r="Z129" i="1" s="1"/>
  <c r="Z130" i="1" s="1"/>
  <c r="Z131" i="1" s="1"/>
  <c r="Z132" i="1" s="1"/>
  <c r="Z133" i="1" s="1"/>
  <c r="Z134" i="1" s="1"/>
  <c r="Z135" i="1" s="1"/>
  <c r="Z136" i="1" s="1"/>
  <c r="Z137" i="1" s="1"/>
  <c r="Z138" i="1" s="1"/>
  <c r="Z139" i="1" s="1"/>
  <c r="Z140" i="1" s="1"/>
  <c r="Z141" i="1" s="1"/>
  <c r="Z142" i="1" s="1"/>
  <c r="Z143" i="1" s="1"/>
  <c r="Z144" i="1" s="1"/>
  <c r="Z145" i="1" s="1"/>
  <c r="Z146" i="1" s="1"/>
  <c r="Z147" i="1" s="1"/>
  <c r="Z148" i="1" s="1"/>
  <c r="Z149" i="1" s="1"/>
  <c r="Z150" i="1" s="1"/>
  <c r="Z151" i="1" s="1"/>
  <c r="Z152" i="1" s="1"/>
  <c r="Z153" i="1" s="1"/>
  <c r="Z154" i="1" s="1"/>
  <c r="Z155" i="1" s="1"/>
  <c r="Z156" i="1" s="1"/>
  <c r="Z157" i="1" s="1"/>
  <c r="Z158" i="1" s="1"/>
  <c r="Z159" i="1" s="1"/>
  <c r="Z160" i="1" s="1"/>
  <c r="Z161" i="1" s="1"/>
  <c r="Z162" i="1" s="1"/>
  <c r="Z163" i="1" s="1"/>
  <c r="Z164" i="1" s="1"/>
  <c r="Z165" i="1" s="1"/>
  <c r="Z166" i="1" s="1"/>
  <c r="Z167" i="1" s="1"/>
  <c r="Z168" i="1" s="1"/>
  <c r="Z169" i="1" s="1"/>
  <c r="Z170" i="1" s="1"/>
  <c r="Z171" i="1" s="1"/>
  <c r="Z172" i="1" s="1"/>
  <c r="Z173" i="1" s="1"/>
  <c r="Z174" i="1" s="1"/>
  <c r="Z175" i="1" s="1"/>
  <c r="Z176" i="1" s="1"/>
  <c r="Z177" i="1" s="1"/>
  <c r="Z178" i="1" s="1"/>
  <c r="Z179" i="1" s="1"/>
  <c r="Z180" i="1" s="1"/>
  <c r="Z181" i="1" s="1"/>
  <c r="Z182" i="1" s="1"/>
  <c r="Z183" i="1" s="1"/>
  <c r="Z184" i="1" s="1"/>
  <c r="Z185" i="1" s="1"/>
  <c r="Z186" i="1" s="1"/>
  <c r="Z187" i="1" s="1"/>
  <c r="Z188" i="1" s="1"/>
  <c r="Z189" i="1" s="1"/>
  <c r="Z190" i="1" s="1"/>
  <c r="Z191" i="1" s="1"/>
  <c r="Z192" i="1" s="1"/>
  <c r="Z193" i="1" s="1"/>
  <c r="Z194" i="1" s="1"/>
  <c r="Z195" i="1" s="1"/>
  <c r="Z196" i="1" s="1"/>
  <c r="Z197" i="1" s="1"/>
  <c r="Z198" i="1" s="1"/>
  <c r="Z199" i="1" s="1"/>
  <c r="Z200" i="1" s="1"/>
  <c r="Y42" i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Y90" i="1" s="1"/>
  <c r="Y91" i="1" s="1"/>
  <c r="Y92" i="1" s="1"/>
  <c r="Y93" i="1" s="1"/>
  <c r="Y94" i="1" s="1"/>
  <c r="Y95" i="1" s="1"/>
  <c r="Y96" i="1" s="1"/>
  <c r="Y97" i="1" s="1"/>
  <c r="Y98" i="1" s="1"/>
  <c r="Y99" i="1" s="1"/>
  <c r="Y100" i="1" s="1"/>
  <c r="Y101" i="1" s="1"/>
  <c r="Y102" i="1" s="1"/>
  <c r="Y103" i="1" s="1"/>
  <c r="Y104" i="1" s="1"/>
  <c r="Y105" i="1" s="1"/>
  <c r="Y106" i="1" s="1"/>
  <c r="Y107" i="1" s="1"/>
  <c r="Y108" i="1" s="1"/>
  <c r="Y109" i="1" s="1"/>
  <c r="Y110" i="1" s="1"/>
  <c r="Y111" i="1" s="1"/>
  <c r="Y112" i="1" s="1"/>
  <c r="Y113" i="1" s="1"/>
  <c r="Y114" i="1" s="1"/>
  <c r="Y115" i="1" s="1"/>
  <c r="Y116" i="1" s="1"/>
  <c r="Y117" i="1" s="1"/>
  <c r="Y118" i="1" s="1"/>
  <c r="Y119" i="1" s="1"/>
  <c r="Y120" i="1" s="1"/>
  <c r="Y121" i="1" s="1"/>
  <c r="Y122" i="1" s="1"/>
  <c r="Y123" i="1" s="1"/>
  <c r="Y124" i="1" s="1"/>
  <c r="Y125" i="1" s="1"/>
  <c r="Y126" i="1" s="1"/>
  <c r="Y127" i="1" s="1"/>
  <c r="Y128" i="1" s="1"/>
  <c r="Y129" i="1" s="1"/>
  <c r="Y130" i="1" s="1"/>
  <c r="Y131" i="1" s="1"/>
  <c r="Y132" i="1" s="1"/>
  <c r="Y133" i="1" s="1"/>
  <c r="Y134" i="1" s="1"/>
  <c r="Y135" i="1" s="1"/>
  <c r="Y136" i="1" s="1"/>
  <c r="Y137" i="1" s="1"/>
  <c r="Y138" i="1" s="1"/>
  <c r="Y139" i="1" s="1"/>
  <c r="Y140" i="1" s="1"/>
  <c r="Y141" i="1" s="1"/>
  <c r="Y142" i="1" s="1"/>
  <c r="Y143" i="1" s="1"/>
  <c r="Y144" i="1" s="1"/>
  <c r="Y145" i="1" s="1"/>
  <c r="Y146" i="1" s="1"/>
  <c r="Y147" i="1" s="1"/>
  <c r="Y148" i="1" s="1"/>
  <c r="Y149" i="1" s="1"/>
  <c r="Y150" i="1" s="1"/>
  <c r="Y151" i="1" s="1"/>
  <c r="Y152" i="1" s="1"/>
  <c r="Y153" i="1" s="1"/>
  <c r="Y154" i="1" s="1"/>
  <c r="Y155" i="1" s="1"/>
  <c r="Y156" i="1" s="1"/>
  <c r="Y157" i="1" s="1"/>
  <c r="Y158" i="1" s="1"/>
  <c r="Y159" i="1" s="1"/>
  <c r="Y160" i="1" s="1"/>
  <c r="Y161" i="1" s="1"/>
  <c r="Y162" i="1" s="1"/>
  <c r="Y163" i="1" s="1"/>
  <c r="Y164" i="1" s="1"/>
  <c r="Y165" i="1" s="1"/>
  <c r="Y166" i="1" s="1"/>
  <c r="Y167" i="1" s="1"/>
  <c r="Y168" i="1" s="1"/>
  <c r="Y169" i="1" s="1"/>
  <c r="Y170" i="1" s="1"/>
  <c r="Y171" i="1" s="1"/>
  <c r="Y172" i="1" s="1"/>
  <c r="Y173" i="1" s="1"/>
  <c r="Y174" i="1" s="1"/>
  <c r="Y175" i="1" s="1"/>
  <c r="Y176" i="1" s="1"/>
  <c r="Y177" i="1" s="1"/>
  <c r="Y178" i="1" s="1"/>
  <c r="Y179" i="1" s="1"/>
  <c r="Y180" i="1" s="1"/>
  <c r="Y181" i="1" s="1"/>
  <c r="Y182" i="1" s="1"/>
  <c r="Y183" i="1" s="1"/>
  <c r="Y184" i="1" s="1"/>
  <c r="Y185" i="1" s="1"/>
  <c r="Y186" i="1" s="1"/>
  <c r="Y187" i="1" s="1"/>
  <c r="Y188" i="1" s="1"/>
  <c r="Y189" i="1" s="1"/>
  <c r="Y190" i="1" s="1"/>
  <c r="Y191" i="1" s="1"/>
  <c r="Y192" i="1" s="1"/>
  <c r="Y193" i="1" s="1"/>
  <c r="Y194" i="1" s="1"/>
  <c r="Y195" i="1" s="1"/>
  <c r="Y196" i="1" s="1"/>
  <c r="Y197" i="1" s="1"/>
  <c r="Y198" i="1" s="1"/>
  <c r="Y199" i="1" s="1"/>
  <c r="Y200" i="1" s="1"/>
  <c r="Y201" i="1" s="1"/>
  <c r="Y202" i="1" s="1"/>
  <c r="Y203" i="1" s="1"/>
  <c r="Y204" i="1" s="1"/>
  <c r="Y205" i="1" s="1"/>
  <c r="Y206" i="1" s="1"/>
  <c r="Y207" i="1" s="1"/>
  <c r="Y208" i="1" s="1"/>
  <c r="Y209" i="1" s="1"/>
  <c r="Y210" i="1" s="1"/>
  <c r="Y211" i="1" s="1"/>
  <c r="Y212" i="1" s="1"/>
  <c r="Y213" i="1" s="1"/>
  <c r="Y214" i="1" s="1"/>
  <c r="Y215" i="1" s="1"/>
  <c r="Y216" i="1" s="1"/>
  <c r="Y217" i="1" s="1"/>
  <c r="Y218" i="1" s="1"/>
  <c r="Y219" i="1" s="1"/>
  <c r="Y220" i="1" s="1"/>
  <c r="Y221" i="1" s="1"/>
  <c r="Y222" i="1" s="1"/>
  <c r="Y223" i="1" s="1"/>
  <c r="Y224" i="1" s="1"/>
  <c r="Y225" i="1" s="1"/>
  <c r="Y226" i="1" s="1"/>
  <c r="Y227" i="1" s="1"/>
  <c r="Y228" i="1" s="1"/>
  <c r="Y229" i="1" s="1"/>
  <c r="Y230" i="1" s="1"/>
  <c r="Y231" i="1" s="1"/>
  <c r="Y232" i="1" s="1"/>
  <c r="Y233" i="1" s="1"/>
  <c r="Y234" i="1" s="1"/>
  <c r="Y235" i="1" s="1"/>
  <c r="Y236" i="1" s="1"/>
  <c r="Y237" i="1" s="1"/>
  <c r="Y238" i="1" s="1"/>
  <c r="Y239" i="1" s="1"/>
  <c r="Y240" i="1" s="1"/>
  <c r="Y241" i="1" s="1"/>
  <c r="Y242" i="1" s="1"/>
  <c r="Y243" i="1" s="1"/>
  <c r="Y244" i="1" s="1"/>
  <c r="Y245" i="1" s="1"/>
  <c r="Y246" i="1" s="1"/>
  <c r="Y247" i="1" s="1"/>
  <c r="Y248" i="1" s="1"/>
  <c r="Y249" i="1" s="1"/>
  <c r="Y250" i="1" s="1"/>
  <c r="Y251" i="1" s="1"/>
  <c r="Y252" i="1" s="1"/>
  <c r="Y253" i="1" s="1"/>
  <c r="Y254" i="1" s="1"/>
  <c r="Y255" i="1" s="1"/>
  <c r="Y256" i="1" s="1"/>
  <c r="Y257" i="1" s="1"/>
  <c r="Y258" i="1" s="1"/>
  <c r="Y259" i="1" s="1"/>
  <c r="Y260" i="1" s="1"/>
  <c r="Y261" i="1" s="1"/>
  <c r="Y262" i="1" s="1"/>
  <c r="Y263" i="1" s="1"/>
  <c r="Y264" i="1" s="1"/>
  <c r="Y265" i="1" s="1"/>
  <c r="Y266" i="1" s="1"/>
  <c r="Y267" i="1" s="1"/>
  <c r="Y268" i="1" s="1"/>
  <c r="Y269" i="1" s="1"/>
  <c r="Y270" i="1" s="1"/>
  <c r="Y271" i="1" s="1"/>
  <c r="Y272" i="1" s="1"/>
  <c r="Y273" i="1" s="1"/>
  <c r="Y274" i="1" s="1"/>
  <c r="Y275" i="1" s="1"/>
  <c r="Y276" i="1" s="1"/>
  <c r="Y277" i="1" s="1"/>
  <c r="Y278" i="1" s="1"/>
  <c r="Y279" i="1" s="1"/>
  <c r="Y280" i="1" s="1"/>
  <c r="Y281" i="1" s="1"/>
  <c r="Y282" i="1" s="1"/>
  <c r="Y283" i="1" s="1"/>
  <c r="Y284" i="1" s="1"/>
  <c r="Y285" i="1" s="1"/>
  <c r="Y286" i="1" s="1"/>
  <c r="Y287" i="1" s="1"/>
  <c r="Y288" i="1" s="1"/>
  <c r="Y289" i="1" s="1"/>
  <c r="Y290" i="1" s="1"/>
  <c r="Y291" i="1" s="1"/>
  <c r="Y292" i="1" s="1"/>
  <c r="Y293" i="1" s="1"/>
  <c r="Y294" i="1" s="1"/>
  <c r="Y295" i="1" s="1"/>
  <c r="Y296" i="1" s="1"/>
  <c r="Y297" i="1" s="1"/>
  <c r="Y298" i="1" s="1"/>
  <c r="Y299" i="1" s="1"/>
  <c r="Y300" i="1" s="1"/>
  <c r="Y301" i="1" s="1"/>
  <c r="Y302" i="1" s="1"/>
  <c r="Y303" i="1" s="1"/>
  <c r="Y304" i="1" s="1"/>
  <c r="Y305" i="1" s="1"/>
  <c r="Y306" i="1" s="1"/>
  <c r="Y307" i="1" s="1"/>
  <c r="Y308" i="1" s="1"/>
  <c r="Y309" i="1" s="1"/>
  <c r="Y310" i="1" s="1"/>
  <c r="Y311" i="1" s="1"/>
  <c r="Y312" i="1" s="1"/>
  <c r="Y313" i="1" s="1"/>
  <c r="Y314" i="1" s="1"/>
  <c r="Y315" i="1" s="1"/>
  <c r="Y316" i="1" s="1"/>
  <c r="Y317" i="1" s="1"/>
  <c r="Y318" i="1" s="1"/>
  <c r="Y319" i="1" s="1"/>
  <c r="Y320" i="1" s="1"/>
  <c r="Y321" i="1" s="1"/>
  <c r="Y322" i="1" s="1"/>
  <c r="Y323" i="1" s="1"/>
  <c r="Y324" i="1" s="1"/>
  <c r="Y325" i="1" s="1"/>
  <c r="Y326" i="1" s="1"/>
  <c r="Y327" i="1" s="1"/>
  <c r="Y328" i="1" s="1"/>
  <c r="Y329" i="1" s="1"/>
  <c r="Y330" i="1" s="1"/>
  <c r="Y331" i="1" s="1"/>
  <c r="Y332" i="1" s="1"/>
  <c r="Y333" i="1" s="1"/>
  <c r="Y334" i="1" s="1"/>
  <c r="Y335" i="1" s="1"/>
  <c r="Y336" i="1" s="1"/>
  <c r="Y337" i="1" s="1"/>
  <c r="Y338" i="1" s="1"/>
  <c r="Y339" i="1" s="1"/>
  <c r="Y340" i="1" s="1"/>
  <c r="Y341" i="1" s="1"/>
  <c r="Y342" i="1" s="1"/>
  <c r="Y343" i="1" s="1"/>
  <c r="Y344" i="1" s="1"/>
  <c r="Y345" i="1" s="1"/>
  <c r="Y346" i="1" s="1"/>
  <c r="Y347" i="1" s="1"/>
  <c r="Y348" i="1" s="1"/>
  <c r="Y349" i="1" s="1"/>
  <c r="Y350" i="1" s="1"/>
  <c r="Y351" i="1" s="1"/>
  <c r="Y352" i="1" s="1"/>
  <c r="Y353" i="1" s="1"/>
  <c r="Y354" i="1" s="1"/>
  <c r="Y355" i="1" s="1"/>
  <c r="Y356" i="1" s="1"/>
  <c r="Y357" i="1" s="1"/>
  <c r="Y358" i="1" s="1"/>
  <c r="V133" i="2" l="1"/>
  <c r="V129" i="2"/>
  <c r="V131" i="2"/>
  <c r="Z202" i="1"/>
  <c r="Z203" i="1" s="1"/>
  <c r="Z204" i="1" s="1"/>
  <c r="Z205" i="1" s="1"/>
  <c r="Z206" i="1" s="1"/>
  <c r="Z207" i="1" s="1"/>
  <c r="Z208" i="1" s="1"/>
  <c r="Z209" i="1" s="1"/>
  <c r="Z210" i="1" s="1"/>
  <c r="Z211" i="1" s="1"/>
  <c r="Z212" i="1" s="1"/>
  <c r="Z213" i="1" s="1"/>
  <c r="Z214" i="1" s="1"/>
  <c r="Z215" i="1" s="1"/>
  <c r="Z216" i="1" s="1"/>
  <c r="Z217" i="1" s="1"/>
  <c r="Z218" i="1" s="1"/>
  <c r="Z219" i="1" s="1"/>
  <c r="Z220" i="1" s="1"/>
  <c r="Z221" i="1" s="1"/>
  <c r="Z222" i="1" s="1"/>
  <c r="Z223" i="1" s="1"/>
  <c r="Z224" i="1" s="1"/>
  <c r="Z225" i="1" s="1"/>
  <c r="Z226" i="1" s="1"/>
  <c r="Z227" i="1" s="1"/>
  <c r="Z228" i="1" s="1"/>
  <c r="Z229" i="1" s="1"/>
  <c r="Z230" i="1" s="1"/>
  <c r="Z231" i="1" s="1"/>
  <c r="Z232" i="1" s="1"/>
  <c r="Z233" i="1" s="1"/>
  <c r="Z234" i="1" s="1"/>
  <c r="Z235" i="1" s="1"/>
  <c r="Z236" i="1" s="1"/>
  <c r="Z237" i="1" s="1"/>
  <c r="Z238" i="1" s="1"/>
  <c r="Z239" i="1" s="1"/>
  <c r="Z240" i="1" s="1"/>
  <c r="Z241" i="1" s="1"/>
  <c r="Z242" i="1" s="1"/>
  <c r="Z243" i="1" s="1"/>
  <c r="Z244" i="1" s="1"/>
  <c r="Z245" i="1" s="1"/>
  <c r="Z246" i="1" s="1"/>
  <c r="Z247" i="1" s="1"/>
  <c r="Z248" i="1" s="1"/>
  <c r="Z250" i="1" s="1"/>
  <c r="R58" i="1"/>
  <c r="S58" i="1" s="1"/>
  <c r="T58" i="1" s="1"/>
  <c r="R59" i="1"/>
  <c r="S59" i="1" s="1"/>
  <c r="T59" i="1" s="1"/>
  <c r="R60" i="1"/>
  <c r="R61" i="1"/>
  <c r="S61" i="1" s="1"/>
  <c r="T61" i="1" s="1"/>
  <c r="R62" i="1"/>
  <c r="R63" i="1"/>
  <c r="R64" i="1"/>
  <c r="S64" i="1" s="1"/>
  <c r="T64" i="1" s="1"/>
  <c r="R65" i="1"/>
  <c r="R66" i="1"/>
  <c r="R67" i="1"/>
  <c r="S67" i="1" s="1"/>
  <c r="T67" i="1" s="1"/>
  <c r="R68" i="1"/>
  <c r="R69" i="1"/>
  <c r="S69" i="1" s="1"/>
  <c r="T69" i="1" s="1"/>
  <c r="R70" i="1"/>
  <c r="S70" i="1" s="1"/>
  <c r="T70" i="1" s="1"/>
  <c r="R71" i="1"/>
  <c r="S71" i="1" s="1"/>
  <c r="T71" i="1" s="1"/>
  <c r="R72" i="1"/>
  <c r="S72" i="1" s="1"/>
  <c r="T72" i="1" s="1"/>
  <c r="R73" i="1"/>
  <c r="S73" i="1" s="1"/>
  <c r="T73" i="1" s="1"/>
  <c r="R74" i="1"/>
  <c r="S74" i="1" s="1"/>
  <c r="T74" i="1" s="1"/>
  <c r="R75" i="1"/>
  <c r="S75" i="1" s="1"/>
  <c r="T75" i="1" s="1"/>
  <c r="R76" i="1"/>
  <c r="R77" i="1"/>
  <c r="S77" i="1" s="1"/>
  <c r="T77" i="1" s="1"/>
  <c r="R78" i="1"/>
  <c r="S78" i="1" s="1"/>
  <c r="T78" i="1" s="1"/>
  <c r="R79" i="1"/>
  <c r="S79" i="1" s="1"/>
  <c r="T79" i="1" s="1"/>
  <c r="R80" i="1"/>
  <c r="S80" i="1" s="1"/>
  <c r="T80" i="1" s="1"/>
  <c r="R81" i="1"/>
  <c r="S81" i="1" s="1"/>
  <c r="T81" i="1" s="1"/>
  <c r="R82" i="1"/>
  <c r="S82" i="1" s="1"/>
  <c r="T82" i="1" s="1"/>
  <c r="R83" i="1"/>
  <c r="S83" i="1" s="1"/>
  <c r="T83" i="1" s="1"/>
  <c r="R84" i="1"/>
  <c r="R85" i="1"/>
  <c r="S85" i="1" s="1"/>
  <c r="T85" i="1" s="1"/>
  <c r="R86" i="1"/>
  <c r="R87" i="1"/>
  <c r="S87" i="1" s="1"/>
  <c r="T87" i="1" s="1"/>
  <c r="R88" i="1"/>
  <c r="S88" i="1" s="1"/>
  <c r="T88" i="1" s="1"/>
  <c r="R89" i="1"/>
  <c r="S89" i="1" s="1"/>
  <c r="T89" i="1" s="1"/>
  <c r="R90" i="1"/>
  <c r="R91" i="1"/>
  <c r="S91" i="1" s="1"/>
  <c r="T91" i="1" s="1"/>
  <c r="R92" i="1"/>
  <c r="R93" i="1"/>
  <c r="S93" i="1" s="1"/>
  <c r="T93" i="1" s="1"/>
  <c r="R94" i="1"/>
  <c r="S94" i="1" s="1"/>
  <c r="T94" i="1" s="1"/>
  <c r="R95" i="1"/>
  <c r="S95" i="1" s="1"/>
  <c r="T95" i="1" s="1"/>
  <c r="R96" i="1"/>
  <c r="S96" i="1" s="1"/>
  <c r="T96" i="1" s="1"/>
  <c r="R97" i="1"/>
  <c r="S97" i="1" s="1"/>
  <c r="T97" i="1" s="1"/>
  <c r="R98" i="1"/>
  <c r="S98" i="1" s="1"/>
  <c r="T98" i="1" s="1"/>
  <c r="R99" i="1"/>
  <c r="S99" i="1" s="1"/>
  <c r="T99" i="1" s="1"/>
  <c r="R100" i="1"/>
  <c r="R101" i="1"/>
  <c r="S101" i="1" s="1"/>
  <c r="T101" i="1" s="1"/>
  <c r="R102" i="1"/>
  <c r="S102" i="1" s="1"/>
  <c r="T102" i="1" s="1"/>
  <c r="R103" i="1"/>
  <c r="S103" i="1" s="1"/>
  <c r="T103" i="1" s="1"/>
  <c r="R104" i="1"/>
  <c r="S104" i="1" s="1"/>
  <c r="T104" i="1" s="1"/>
  <c r="R105" i="1"/>
  <c r="S105" i="1" s="1"/>
  <c r="T105" i="1" s="1"/>
  <c r="R106" i="1"/>
  <c r="S106" i="1" s="1"/>
  <c r="T106" i="1" s="1"/>
  <c r="R107" i="1"/>
  <c r="S107" i="1" s="1"/>
  <c r="T107" i="1" s="1"/>
  <c r="R108" i="1"/>
  <c r="R109" i="1"/>
  <c r="S109" i="1" s="1"/>
  <c r="T109" i="1" s="1"/>
  <c r="R110" i="1"/>
  <c r="R111" i="1"/>
  <c r="S111" i="1" s="1"/>
  <c r="T111" i="1" s="1"/>
  <c r="R112" i="1"/>
  <c r="S112" i="1" s="1"/>
  <c r="T112" i="1" s="1"/>
  <c r="R113" i="1"/>
  <c r="S113" i="1" s="1"/>
  <c r="T113" i="1" s="1"/>
  <c r="R114" i="1"/>
  <c r="R115" i="1"/>
  <c r="S115" i="1" s="1"/>
  <c r="T115" i="1" s="1"/>
  <c r="R116" i="1"/>
  <c r="R117" i="1"/>
  <c r="S117" i="1" s="1"/>
  <c r="T117" i="1" s="1"/>
  <c r="R118" i="1"/>
  <c r="S118" i="1" s="1"/>
  <c r="T118" i="1" s="1"/>
  <c r="R119" i="1"/>
  <c r="S119" i="1" s="1"/>
  <c r="T119" i="1" s="1"/>
  <c r="R120" i="1"/>
  <c r="S120" i="1" s="1"/>
  <c r="T120" i="1" s="1"/>
  <c r="R121" i="1"/>
  <c r="S121" i="1" s="1"/>
  <c r="T121" i="1" s="1"/>
  <c r="R122" i="1"/>
  <c r="R123" i="1"/>
  <c r="S123" i="1" s="1"/>
  <c r="T123" i="1" s="1"/>
  <c r="R57" i="1"/>
  <c r="S43" i="1"/>
  <c r="T43" i="1" s="1"/>
  <c r="S44" i="1"/>
  <c r="T44" i="1" s="1"/>
  <c r="S45" i="1"/>
  <c r="T45" i="1" s="1"/>
  <c r="S46" i="1"/>
  <c r="T46" i="1" s="1"/>
  <c r="S47" i="1"/>
  <c r="T47" i="1" s="1"/>
  <c r="S48" i="1"/>
  <c r="T48" i="1" s="1"/>
  <c r="S49" i="1"/>
  <c r="T49" i="1" s="1"/>
  <c r="S50" i="1"/>
  <c r="T50" i="1" s="1"/>
  <c r="S51" i="1"/>
  <c r="T51" i="1" s="1"/>
  <c r="U51" i="1" s="1"/>
  <c r="S52" i="1"/>
  <c r="T52" i="1" s="1"/>
  <c r="S53" i="1"/>
  <c r="T53" i="1" s="1"/>
  <c r="S54" i="1"/>
  <c r="T54" i="1" s="1"/>
  <c r="S55" i="1"/>
  <c r="T55" i="1" s="1"/>
  <c r="S56" i="1"/>
  <c r="T56" i="1" s="1"/>
  <c r="S57" i="1"/>
  <c r="T57" i="1" s="1"/>
  <c r="S60" i="1"/>
  <c r="T60" i="1" s="1"/>
  <c r="S62" i="1"/>
  <c r="T62" i="1" s="1"/>
  <c r="S63" i="1"/>
  <c r="T63" i="1" s="1"/>
  <c r="S65" i="1"/>
  <c r="T65" i="1" s="1"/>
  <c r="S66" i="1"/>
  <c r="T66" i="1" s="1"/>
  <c r="S68" i="1"/>
  <c r="T68" i="1" s="1"/>
  <c r="S76" i="1"/>
  <c r="T76" i="1" s="1"/>
  <c r="S84" i="1"/>
  <c r="T84" i="1" s="1"/>
  <c r="S86" i="1"/>
  <c r="T86" i="1" s="1"/>
  <c r="S90" i="1"/>
  <c r="T90" i="1" s="1"/>
  <c r="S92" i="1"/>
  <c r="T92" i="1" s="1"/>
  <c r="S100" i="1"/>
  <c r="T100" i="1" s="1"/>
  <c r="S108" i="1"/>
  <c r="T108" i="1" s="1"/>
  <c r="S110" i="1"/>
  <c r="T110" i="1" s="1"/>
  <c r="S114" i="1"/>
  <c r="T114" i="1" s="1"/>
  <c r="S116" i="1"/>
  <c r="T116" i="1" s="1"/>
  <c r="S122" i="1"/>
  <c r="T122" i="1" s="1"/>
  <c r="S124" i="1"/>
  <c r="T124" i="1" s="1"/>
  <c r="S125" i="1"/>
  <c r="T125" i="1" s="1"/>
  <c r="S126" i="1"/>
  <c r="T126" i="1" s="1"/>
  <c r="S127" i="1"/>
  <c r="T127" i="1" s="1"/>
  <c r="S128" i="1"/>
  <c r="T128" i="1" s="1"/>
  <c r="S129" i="1"/>
  <c r="T129" i="1" s="1"/>
  <c r="S130" i="1"/>
  <c r="T130" i="1" s="1"/>
  <c r="S131" i="1"/>
  <c r="T131" i="1" s="1"/>
  <c r="S132" i="1"/>
  <c r="T132" i="1" s="1"/>
  <c r="S133" i="1"/>
  <c r="T133" i="1" s="1"/>
  <c r="S134" i="1"/>
  <c r="T134" i="1" s="1"/>
  <c r="S135" i="1"/>
  <c r="T135" i="1" s="1"/>
  <c r="S136" i="1"/>
  <c r="T136" i="1" s="1"/>
  <c r="S137" i="1"/>
  <c r="T137" i="1" s="1"/>
  <c r="S138" i="1"/>
  <c r="T138" i="1" s="1"/>
  <c r="S139" i="1"/>
  <c r="T139" i="1" s="1"/>
  <c r="S140" i="1"/>
  <c r="T140" i="1" s="1"/>
  <c r="S141" i="1"/>
  <c r="T141" i="1" s="1"/>
  <c r="S142" i="1"/>
  <c r="T142" i="1" s="1"/>
  <c r="S143" i="1"/>
  <c r="T143" i="1" s="1"/>
  <c r="S144" i="1"/>
  <c r="T144" i="1" s="1"/>
  <c r="S145" i="1"/>
  <c r="T145" i="1" s="1"/>
  <c r="S146" i="1"/>
  <c r="T146" i="1" s="1"/>
  <c r="S147" i="1"/>
  <c r="T147" i="1" s="1"/>
  <c r="S148" i="1"/>
  <c r="T148" i="1" s="1"/>
  <c r="S149" i="1"/>
  <c r="T149" i="1" s="1"/>
  <c r="S150" i="1"/>
  <c r="T150" i="1" s="1"/>
  <c r="S151" i="1"/>
  <c r="T151" i="1" s="1"/>
  <c r="S152" i="1"/>
  <c r="T152" i="1" s="1"/>
  <c r="S153" i="1"/>
  <c r="T153" i="1" s="1"/>
  <c r="S154" i="1"/>
  <c r="T154" i="1" s="1"/>
  <c r="S155" i="1"/>
  <c r="T155" i="1" s="1"/>
  <c r="S156" i="1"/>
  <c r="T156" i="1" s="1"/>
  <c r="S157" i="1"/>
  <c r="T157" i="1" s="1"/>
  <c r="S158" i="1"/>
  <c r="T158" i="1" s="1"/>
  <c r="S159" i="1"/>
  <c r="T159" i="1" s="1"/>
  <c r="S160" i="1"/>
  <c r="T160" i="1" s="1"/>
  <c r="S161" i="1"/>
  <c r="T161" i="1" s="1"/>
  <c r="S162" i="1"/>
  <c r="T162" i="1" s="1"/>
  <c r="S163" i="1"/>
  <c r="T163" i="1" s="1"/>
  <c r="S164" i="1"/>
  <c r="T164" i="1" s="1"/>
  <c r="S165" i="1"/>
  <c r="T165" i="1" s="1"/>
  <c r="S166" i="1"/>
  <c r="T166" i="1" s="1"/>
  <c r="S167" i="1"/>
  <c r="T167" i="1" s="1"/>
  <c r="S168" i="1"/>
  <c r="T168" i="1" s="1"/>
  <c r="S169" i="1"/>
  <c r="T169" i="1" s="1"/>
  <c r="S170" i="1"/>
  <c r="T170" i="1" s="1"/>
  <c r="S171" i="1"/>
  <c r="T171" i="1" s="1"/>
  <c r="S172" i="1"/>
  <c r="T172" i="1" s="1"/>
  <c r="S173" i="1"/>
  <c r="T173" i="1" s="1"/>
  <c r="S174" i="1"/>
  <c r="T174" i="1" s="1"/>
  <c r="S175" i="1"/>
  <c r="T175" i="1" s="1"/>
  <c r="S176" i="1"/>
  <c r="T176" i="1" s="1"/>
  <c r="S177" i="1"/>
  <c r="T177" i="1" s="1"/>
  <c r="S178" i="1"/>
  <c r="T178" i="1" s="1"/>
  <c r="S179" i="1"/>
  <c r="T179" i="1" s="1"/>
  <c r="S180" i="1"/>
  <c r="T180" i="1" s="1"/>
  <c r="S181" i="1"/>
  <c r="T181" i="1" s="1"/>
  <c r="S182" i="1"/>
  <c r="T182" i="1" s="1"/>
  <c r="S183" i="1"/>
  <c r="T183" i="1" s="1"/>
  <c r="S184" i="1"/>
  <c r="T184" i="1" s="1"/>
  <c r="S185" i="1"/>
  <c r="T185" i="1" s="1"/>
  <c r="S186" i="1"/>
  <c r="T186" i="1" s="1"/>
  <c r="S187" i="1"/>
  <c r="T187" i="1" s="1"/>
  <c r="S188" i="1"/>
  <c r="T188" i="1" s="1"/>
  <c r="S189" i="1"/>
  <c r="T189" i="1" s="1"/>
  <c r="S190" i="1"/>
  <c r="T190" i="1" s="1"/>
  <c r="S191" i="1"/>
  <c r="T191" i="1" s="1"/>
  <c r="S192" i="1"/>
  <c r="T192" i="1" s="1"/>
  <c r="S193" i="1"/>
  <c r="T193" i="1" s="1"/>
  <c r="S194" i="1"/>
  <c r="T194" i="1" s="1"/>
  <c r="S195" i="1"/>
  <c r="T195" i="1" s="1"/>
  <c r="S196" i="1"/>
  <c r="T196" i="1" s="1"/>
  <c r="S197" i="1"/>
  <c r="T197" i="1" s="1"/>
  <c r="S198" i="1"/>
  <c r="T198" i="1" s="1"/>
  <c r="S199" i="1"/>
  <c r="T199" i="1" s="1"/>
  <c r="S200" i="1"/>
  <c r="T200" i="1" s="1"/>
  <c r="S201" i="1"/>
  <c r="T201" i="1" s="1"/>
  <c r="S202" i="1"/>
  <c r="T202" i="1" s="1"/>
  <c r="S203" i="1"/>
  <c r="T203" i="1" s="1"/>
  <c r="S204" i="1"/>
  <c r="T204" i="1" s="1"/>
  <c r="S205" i="1"/>
  <c r="T205" i="1" s="1"/>
  <c r="S206" i="1"/>
  <c r="T206" i="1" s="1"/>
  <c r="S207" i="1"/>
  <c r="T207" i="1" s="1"/>
  <c r="S208" i="1"/>
  <c r="T208" i="1" s="1"/>
  <c r="S209" i="1"/>
  <c r="T209" i="1" s="1"/>
  <c r="S210" i="1"/>
  <c r="T210" i="1" s="1"/>
  <c r="S211" i="1"/>
  <c r="T211" i="1" s="1"/>
  <c r="S212" i="1"/>
  <c r="T212" i="1" s="1"/>
  <c r="S213" i="1"/>
  <c r="T213" i="1" s="1"/>
  <c r="S214" i="1"/>
  <c r="T214" i="1" s="1"/>
  <c r="S215" i="1"/>
  <c r="T215" i="1" s="1"/>
  <c r="S216" i="1"/>
  <c r="T216" i="1" s="1"/>
  <c r="S217" i="1"/>
  <c r="T217" i="1" s="1"/>
  <c r="S218" i="1"/>
  <c r="T218" i="1" s="1"/>
  <c r="S219" i="1"/>
  <c r="T219" i="1" s="1"/>
  <c r="S220" i="1"/>
  <c r="T220" i="1" s="1"/>
  <c r="S221" i="1"/>
  <c r="T221" i="1" s="1"/>
  <c r="S222" i="1"/>
  <c r="T222" i="1" s="1"/>
  <c r="S223" i="1"/>
  <c r="T223" i="1" s="1"/>
  <c r="S224" i="1"/>
  <c r="T224" i="1" s="1"/>
  <c r="S225" i="1"/>
  <c r="T225" i="1" s="1"/>
  <c r="S226" i="1"/>
  <c r="T226" i="1" s="1"/>
  <c r="S227" i="1"/>
  <c r="T227" i="1" s="1"/>
  <c r="S228" i="1"/>
  <c r="T228" i="1" s="1"/>
  <c r="S229" i="1"/>
  <c r="T229" i="1" s="1"/>
  <c r="S230" i="1"/>
  <c r="T230" i="1" s="1"/>
  <c r="S231" i="1"/>
  <c r="T231" i="1" s="1"/>
  <c r="S232" i="1"/>
  <c r="T232" i="1" s="1"/>
  <c r="S233" i="1"/>
  <c r="T233" i="1" s="1"/>
  <c r="S234" i="1"/>
  <c r="T234" i="1" s="1"/>
  <c r="S235" i="1"/>
  <c r="T235" i="1" s="1"/>
  <c r="S236" i="1"/>
  <c r="T236" i="1" s="1"/>
  <c r="S237" i="1"/>
  <c r="T237" i="1" s="1"/>
  <c r="S238" i="1"/>
  <c r="T238" i="1" s="1"/>
  <c r="S239" i="1"/>
  <c r="T239" i="1" s="1"/>
  <c r="S240" i="1"/>
  <c r="T240" i="1" s="1"/>
  <c r="S241" i="1"/>
  <c r="T241" i="1" s="1"/>
  <c r="S242" i="1"/>
  <c r="T242" i="1" s="1"/>
  <c r="S243" i="1"/>
  <c r="T243" i="1" s="1"/>
  <c r="S244" i="1"/>
  <c r="T244" i="1" s="1"/>
  <c r="S245" i="1"/>
  <c r="T245" i="1" s="1"/>
  <c r="S246" i="1"/>
  <c r="T246" i="1" s="1"/>
  <c r="S247" i="1"/>
  <c r="T247" i="1" s="1"/>
  <c r="S248" i="1"/>
  <c r="T248" i="1" s="1"/>
  <c r="S249" i="1"/>
  <c r="T249" i="1" s="1"/>
  <c r="S250" i="1"/>
  <c r="T250" i="1" s="1"/>
  <c r="S251" i="1"/>
  <c r="T251" i="1" s="1"/>
  <c r="S252" i="1"/>
  <c r="T252" i="1" s="1"/>
  <c r="S253" i="1"/>
  <c r="T253" i="1" s="1"/>
  <c r="S254" i="1"/>
  <c r="T254" i="1" s="1"/>
  <c r="S255" i="1"/>
  <c r="T255" i="1" s="1"/>
  <c r="S256" i="1"/>
  <c r="T256" i="1" s="1"/>
  <c r="S257" i="1"/>
  <c r="T257" i="1" s="1"/>
  <c r="S258" i="1"/>
  <c r="T258" i="1" s="1"/>
  <c r="S259" i="1"/>
  <c r="T259" i="1" s="1"/>
  <c r="S260" i="1"/>
  <c r="T260" i="1" s="1"/>
  <c r="S261" i="1"/>
  <c r="T261" i="1" s="1"/>
  <c r="S262" i="1"/>
  <c r="T262" i="1" s="1"/>
  <c r="S263" i="1"/>
  <c r="T263" i="1" s="1"/>
  <c r="S264" i="1"/>
  <c r="T264" i="1" s="1"/>
  <c r="S265" i="1"/>
  <c r="T265" i="1" s="1"/>
  <c r="S266" i="1"/>
  <c r="T266" i="1" s="1"/>
  <c r="S267" i="1"/>
  <c r="T267" i="1" s="1"/>
  <c r="S268" i="1"/>
  <c r="T268" i="1" s="1"/>
  <c r="S269" i="1"/>
  <c r="T269" i="1" s="1"/>
  <c r="S270" i="1"/>
  <c r="T270" i="1" s="1"/>
  <c r="S271" i="1"/>
  <c r="T271" i="1" s="1"/>
  <c r="S272" i="1"/>
  <c r="T272" i="1" s="1"/>
  <c r="S273" i="1"/>
  <c r="T273" i="1" s="1"/>
  <c r="S274" i="1"/>
  <c r="T274" i="1" s="1"/>
  <c r="S275" i="1"/>
  <c r="T275" i="1" s="1"/>
  <c r="S276" i="1"/>
  <c r="T276" i="1" s="1"/>
  <c r="S277" i="1"/>
  <c r="T277" i="1" s="1"/>
  <c r="S278" i="1"/>
  <c r="T278" i="1" s="1"/>
  <c r="S279" i="1"/>
  <c r="T279" i="1" s="1"/>
  <c r="S280" i="1"/>
  <c r="T280" i="1" s="1"/>
  <c r="S281" i="1"/>
  <c r="T281" i="1" s="1"/>
  <c r="S282" i="1"/>
  <c r="T282" i="1" s="1"/>
  <c r="S283" i="1"/>
  <c r="T283" i="1" s="1"/>
  <c r="S284" i="1"/>
  <c r="T284" i="1" s="1"/>
  <c r="S285" i="1"/>
  <c r="T285" i="1" s="1"/>
  <c r="S286" i="1"/>
  <c r="T286" i="1" s="1"/>
  <c r="S287" i="1"/>
  <c r="T287" i="1" s="1"/>
  <c r="S288" i="1"/>
  <c r="T288" i="1" s="1"/>
  <c r="S289" i="1"/>
  <c r="T289" i="1" s="1"/>
  <c r="S290" i="1"/>
  <c r="T290" i="1" s="1"/>
  <c r="S291" i="1"/>
  <c r="T291" i="1" s="1"/>
  <c r="S292" i="1"/>
  <c r="T292" i="1" s="1"/>
  <c r="S293" i="1"/>
  <c r="T293" i="1" s="1"/>
  <c r="S294" i="1"/>
  <c r="T294" i="1" s="1"/>
  <c r="S295" i="1"/>
  <c r="T295" i="1" s="1"/>
  <c r="S296" i="1"/>
  <c r="T296" i="1" s="1"/>
  <c r="S297" i="1"/>
  <c r="T297" i="1" s="1"/>
  <c r="S298" i="1"/>
  <c r="T298" i="1" s="1"/>
  <c r="S299" i="1"/>
  <c r="T299" i="1" s="1"/>
  <c r="S300" i="1"/>
  <c r="T300" i="1" s="1"/>
  <c r="S301" i="1"/>
  <c r="T301" i="1" s="1"/>
  <c r="S302" i="1"/>
  <c r="T302" i="1" s="1"/>
  <c r="S303" i="1"/>
  <c r="T303" i="1" s="1"/>
  <c r="S304" i="1"/>
  <c r="T304" i="1" s="1"/>
  <c r="S305" i="1"/>
  <c r="T305" i="1" s="1"/>
  <c r="S306" i="1"/>
  <c r="T306" i="1" s="1"/>
  <c r="S307" i="1"/>
  <c r="T307" i="1" s="1"/>
  <c r="S308" i="1"/>
  <c r="T308" i="1" s="1"/>
  <c r="S309" i="1"/>
  <c r="T309" i="1" s="1"/>
  <c r="S310" i="1"/>
  <c r="T310" i="1" s="1"/>
  <c r="S311" i="1"/>
  <c r="T311" i="1" s="1"/>
  <c r="S312" i="1"/>
  <c r="T312" i="1" s="1"/>
  <c r="S313" i="1"/>
  <c r="T313" i="1" s="1"/>
  <c r="S314" i="1"/>
  <c r="T314" i="1" s="1"/>
  <c r="S315" i="1"/>
  <c r="T315" i="1" s="1"/>
  <c r="S316" i="1"/>
  <c r="T316" i="1" s="1"/>
  <c r="S317" i="1"/>
  <c r="T317" i="1" s="1"/>
  <c r="S318" i="1"/>
  <c r="T318" i="1" s="1"/>
  <c r="S319" i="1"/>
  <c r="T319" i="1" s="1"/>
  <c r="S320" i="1"/>
  <c r="T320" i="1" s="1"/>
  <c r="S321" i="1"/>
  <c r="T321" i="1" s="1"/>
  <c r="S322" i="1"/>
  <c r="T322" i="1" s="1"/>
  <c r="S323" i="1"/>
  <c r="T323" i="1" s="1"/>
  <c r="S324" i="1"/>
  <c r="T324" i="1" s="1"/>
  <c r="S325" i="1"/>
  <c r="T325" i="1" s="1"/>
  <c r="S326" i="1"/>
  <c r="T326" i="1" s="1"/>
  <c r="S327" i="1"/>
  <c r="T327" i="1" s="1"/>
  <c r="S328" i="1"/>
  <c r="T328" i="1" s="1"/>
  <c r="S329" i="1"/>
  <c r="T329" i="1" s="1"/>
  <c r="S330" i="1"/>
  <c r="T330" i="1" s="1"/>
  <c r="S331" i="1"/>
  <c r="T331" i="1" s="1"/>
  <c r="S332" i="1"/>
  <c r="T332" i="1" s="1"/>
  <c r="S333" i="1"/>
  <c r="T333" i="1" s="1"/>
  <c r="S334" i="1"/>
  <c r="T334" i="1" s="1"/>
  <c r="S335" i="1"/>
  <c r="T335" i="1" s="1"/>
  <c r="S336" i="1"/>
  <c r="T336" i="1" s="1"/>
  <c r="S337" i="1"/>
  <c r="T337" i="1" s="1"/>
  <c r="S338" i="1"/>
  <c r="T338" i="1" s="1"/>
  <c r="S339" i="1"/>
  <c r="T339" i="1" s="1"/>
  <c r="S340" i="1"/>
  <c r="T340" i="1" s="1"/>
  <c r="S341" i="1"/>
  <c r="T341" i="1" s="1"/>
  <c r="S342" i="1"/>
  <c r="T342" i="1" s="1"/>
  <c r="S343" i="1"/>
  <c r="T343" i="1" s="1"/>
  <c r="S344" i="1"/>
  <c r="T344" i="1" s="1"/>
  <c r="S345" i="1"/>
  <c r="T345" i="1" s="1"/>
  <c r="S346" i="1"/>
  <c r="T346" i="1" s="1"/>
  <c r="S347" i="1"/>
  <c r="T347" i="1" s="1"/>
  <c r="S348" i="1"/>
  <c r="T348" i="1" s="1"/>
  <c r="S349" i="1"/>
  <c r="T349" i="1" s="1"/>
  <c r="S350" i="1"/>
  <c r="T350" i="1" s="1"/>
  <c r="S351" i="1"/>
  <c r="T351" i="1" s="1"/>
  <c r="S352" i="1"/>
  <c r="T352" i="1" s="1"/>
  <c r="S353" i="1"/>
  <c r="T353" i="1" s="1"/>
  <c r="S354" i="1"/>
  <c r="T354" i="1" s="1"/>
  <c r="S355" i="1"/>
  <c r="T355" i="1" s="1"/>
  <c r="S356" i="1"/>
  <c r="T356" i="1" s="1"/>
  <c r="S357" i="1"/>
  <c r="T357" i="1" s="1"/>
  <c r="S358" i="1"/>
  <c r="T358" i="1" s="1"/>
  <c r="S42" i="1"/>
  <c r="T42" i="1" s="1"/>
  <c r="P51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42" i="1"/>
  <c r="O4" i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24" i="1" s="1"/>
  <c r="P32" i="1" s="1"/>
  <c r="P38" i="1" s="1"/>
  <c r="P39" i="1" s="1"/>
  <c r="P40" i="1" s="1"/>
  <c r="U42" i="1" s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3" i="1"/>
  <c r="V208" i="2" l="1"/>
  <c r="V206" i="2"/>
  <c r="P52" i="1"/>
  <c r="P53" i="1" s="1"/>
  <c r="P54" i="1" s="1"/>
  <c r="P55" i="1" s="1"/>
  <c r="P56" i="1" s="1"/>
  <c r="P57" i="1" s="1"/>
  <c r="P58" i="1" s="1"/>
  <c r="P67" i="1" s="1"/>
  <c r="P68" i="1" s="1"/>
  <c r="P69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P299" i="1" s="1"/>
  <c r="P300" i="1" s="1"/>
  <c r="P301" i="1" s="1"/>
  <c r="P302" i="1" s="1"/>
  <c r="P303" i="1" s="1"/>
  <c r="P304" i="1" s="1"/>
  <c r="P305" i="1" s="1"/>
  <c r="P306" i="1" s="1"/>
  <c r="P307" i="1" s="1"/>
  <c r="P308" i="1" s="1"/>
  <c r="P309" i="1" s="1"/>
  <c r="P310" i="1" s="1"/>
  <c r="P311" i="1" s="1"/>
  <c r="P312" i="1" s="1"/>
  <c r="P313" i="1" s="1"/>
  <c r="P314" i="1" s="1"/>
  <c r="P315" i="1" s="1"/>
  <c r="P316" i="1" s="1"/>
  <c r="P317" i="1" s="1"/>
  <c r="P318" i="1" s="1"/>
  <c r="P319" i="1" s="1"/>
  <c r="P320" i="1" s="1"/>
  <c r="P321" i="1" s="1"/>
  <c r="P322" i="1" s="1"/>
  <c r="P323" i="1" s="1"/>
  <c r="P324" i="1" s="1"/>
  <c r="P325" i="1" s="1"/>
  <c r="P326" i="1" s="1"/>
  <c r="P327" i="1" s="1"/>
  <c r="P328" i="1" s="1"/>
  <c r="P329" i="1" s="1"/>
  <c r="P330" i="1" s="1"/>
  <c r="P331" i="1" s="1"/>
  <c r="P332" i="1" s="1"/>
  <c r="P333" i="1" s="1"/>
  <c r="P334" i="1" s="1"/>
  <c r="P335" i="1" s="1"/>
  <c r="P336" i="1" s="1"/>
  <c r="P337" i="1" s="1"/>
  <c r="P338" i="1" s="1"/>
  <c r="P339" i="1" s="1"/>
  <c r="P340" i="1" s="1"/>
  <c r="P341" i="1" s="1"/>
  <c r="P342" i="1" s="1"/>
  <c r="P343" i="1" s="1"/>
  <c r="P344" i="1" s="1"/>
  <c r="P345" i="1" s="1"/>
  <c r="P346" i="1" s="1"/>
  <c r="P347" i="1" s="1"/>
  <c r="P348" i="1" s="1"/>
  <c r="P349" i="1" s="1"/>
  <c r="P350" i="1" s="1"/>
  <c r="P351" i="1" s="1"/>
  <c r="P352" i="1" s="1"/>
  <c r="P353" i="1" s="1"/>
  <c r="P354" i="1" s="1"/>
  <c r="P355" i="1" s="1"/>
  <c r="P356" i="1" s="1"/>
  <c r="P357" i="1" s="1"/>
  <c r="P358" i="1" s="1"/>
  <c r="U52" i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s="1"/>
  <c r="L49" i="1"/>
  <c r="L47" i="1"/>
  <c r="L45" i="1"/>
  <c r="L131" i="1"/>
  <c r="L129" i="1"/>
  <c r="L127" i="1"/>
  <c r="K127" i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9" i="1" s="1"/>
  <c r="K160" i="1" s="1"/>
  <c r="K161" i="1" s="1"/>
  <c r="K162" i="1" s="1"/>
  <c r="K164" i="1" s="1"/>
  <c r="K124" i="1"/>
  <c r="V253" i="2" l="1"/>
  <c r="V255" i="2"/>
  <c r="V257" i="2"/>
  <c r="V259" i="2" s="1"/>
  <c r="U125" i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K202" i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50" i="1" s="1"/>
  <c r="K165" i="1"/>
  <c r="K166" i="1" s="1"/>
  <c r="K167" i="1" s="1"/>
  <c r="K168" i="1" s="1"/>
  <c r="K169" i="1" s="1"/>
  <c r="K170" i="1" s="1"/>
  <c r="K171" i="1" s="1"/>
  <c r="K172" i="1" s="1"/>
  <c r="K173" i="1" s="1"/>
  <c r="K180" i="1" s="1"/>
  <c r="K181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9" i="1" s="1"/>
  <c r="K200" i="1" s="1"/>
  <c r="V49" i="1"/>
  <c r="V51" i="1"/>
  <c r="J42" i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9" i="1" s="1"/>
  <c r="J160" i="1" s="1"/>
  <c r="J161" i="1" s="1"/>
  <c r="J162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80" i="1" s="1"/>
  <c r="J181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V274" i="2" l="1"/>
  <c r="V278" i="2"/>
  <c r="V280" i="2" s="1"/>
  <c r="V276" i="2"/>
  <c r="V129" i="1"/>
  <c r="V131" i="1"/>
  <c r="V133" i="1"/>
  <c r="V206" i="1" l="1"/>
  <c r="V208" i="1"/>
  <c r="V210" i="1"/>
  <c r="V212" i="1" s="1"/>
  <c r="V302" i="2"/>
  <c r="V304" i="2"/>
  <c r="V306" i="2" s="1"/>
  <c r="V254" i="1" l="1"/>
  <c r="V258" i="1"/>
  <c r="V260" i="1" s="1"/>
  <c r="V256" i="1"/>
  <c r="V277" i="1" l="1"/>
  <c r="V275" i="1"/>
  <c r="V279" i="1"/>
  <c r="V281" i="1" s="1"/>
  <c r="V321" i="1" l="1"/>
  <c r="V323" i="1" s="1"/>
  <c r="V302" i="1"/>
  <c r="V304" i="1"/>
  <c r="V306" i="1" s="1"/>
</calcChain>
</file>

<file path=xl/sharedStrings.xml><?xml version="1.0" encoding="utf-8"?>
<sst xmlns="http://schemas.openxmlformats.org/spreadsheetml/2006/main" count="325" uniqueCount="70">
  <si>
    <t>LAMBX</t>
  </si>
  <si>
    <t>LAMBY</t>
  </si>
  <si>
    <t>DATE</t>
  </si>
  <si>
    <t>PRELIQ_Q</t>
  </si>
  <si>
    <t>T_Q</t>
  </si>
  <si>
    <t>SSI_Q</t>
  </si>
  <si>
    <t>ETP_Q</t>
  </si>
  <si>
    <t>TINF_H_Q</t>
  </si>
  <si>
    <t>TSUP_H_Q</t>
  </si>
  <si>
    <t>TEMPERATURE</t>
  </si>
  <si>
    <t>GDD_Cumul</t>
  </si>
  <si>
    <t>GDD/période</t>
  </si>
  <si>
    <t>Indicateurs</t>
  </si>
  <si>
    <t>Période</t>
  </si>
  <si>
    <t>Vernalisation</t>
  </si>
  <si>
    <t>Floraison</t>
  </si>
  <si>
    <t>SEMIS</t>
  </si>
  <si>
    <t>RECOLTE</t>
  </si>
  <si>
    <t>Levée</t>
  </si>
  <si>
    <t>Hiver</t>
  </si>
  <si>
    <t>fin hiver</t>
  </si>
  <si>
    <t xml:space="preserve">Fin flo </t>
  </si>
  <si>
    <t>FALL</t>
  </si>
  <si>
    <t>CLIMATIC WINTER</t>
  </si>
  <si>
    <t>BOLTING</t>
  </si>
  <si>
    <t>FLOWERING</t>
  </si>
  <si>
    <t>P300</t>
  </si>
  <si>
    <t>P600</t>
  </si>
  <si>
    <t>P1000</t>
  </si>
  <si>
    <t>LGDD</t>
  </si>
  <si>
    <t>TMN</t>
  </si>
  <si>
    <t>TMIN</t>
  </si>
  <si>
    <t>TMAX</t>
  </si>
  <si>
    <t>NBD_HT</t>
  </si>
  <si>
    <t>NBD_LT</t>
  </si>
  <si>
    <t>NBD_FR</t>
  </si>
  <si>
    <t>P-ETP</t>
  </si>
  <si>
    <t>RU_avant_semis</t>
  </si>
  <si>
    <t>EAU</t>
  </si>
  <si>
    <t>i</t>
  </si>
  <si>
    <t>kc</t>
  </si>
  <si>
    <t>ETM</t>
  </si>
  <si>
    <t>P-ETM</t>
  </si>
  <si>
    <t>WSCi</t>
  </si>
  <si>
    <t>Indicateur</t>
  </si>
  <si>
    <t>BILAN HYDRIQUE</t>
  </si>
  <si>
    <t>QTP</t>
  </si>
  <si>
    <t>SSI_Cumul</t>
  </si>
  <si>
    <t>SSI/période</t>
  </si>
  <si>
    <t>photopériode</t>
  </si>
  <si>
    <t>SOLAIRE</t>
  </si>
  <si>
    <t>NBD_WD</t>
  </si>
  <si>
    <t>NBD_WS</t>
  </si>
  <si>
    <t>WSC_MIN</t>
  </si>
  <si>
    <t>WSC_MAX</t>
  </si>
  <si>
    <t>WSC_MN</t>
  </si>
  <si>
    <t>SSR</t>
  </si>
  <si>
    <t>QPT</t>
  </si>
  <si>
    <t>NBD_DSR</t>
  </si>
  <si>
    <t>d</t>
  </si>
  <si>
    <t>s</t>
  </si>
  <si>
    <t>NBD_VERN</t>
  </si>
  <si>
    <t>FLO</t>
  </si>
  <si>
    <t>N40</t>
  </si>
  <si>
    <t>N80</t>
  </si>
  <si>
    <t>WSC_I</t>
  </si>
  <si>
    <t>BI</t>
  </si>
  <si>
    <t>DRF</t>
  </si>
  <si>
    <t>TS</t>
  </si>
  <si>
    <t>IRF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</si>
</sst>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5FC9"/>
        <bgColor indexed="64"/>
      </patternFill>
    </fill>
    <fill>
      <patternFill patternType="solid">
        <fgColor rgb="FFC67DFF"/>
        <bgColor indexed="64"/>
      </patternFill>
    </fill>
    <fill>
      <patternFill patternType="solid">
        <fgColor rgb="FF05A6FF"/>
        <bgColor indexed="64"/>
      </patternFill>
    </fill>
    <fill>
      <patternFill patternType="solid">
        <fgColor rgb="FF0ABFC6"/>
        <bgColor indexed="64"/>
      </patternFill>
    </fill>
    <fill>
      <patternFill patternType="solid">
        <fgColor rgb="FF00CC67"/>
        <bgColor indexed="64"/>
      </patternFill>
    </fill>
    <fill>
      <patternFill patternType="solid">
        <fgColor rgb="FF7BAE02"/>
        <bgColor indexed="64"/>
      </patternFill>
    </fill>
    <fill>
      <patternFill patternType="solid">
        <fgColor rgb="FFCF9C0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14" fontId="0" fillId="0" borderId="0" xfId="0" applyNumberFormat="1"/>
    <xf numFmtId="0" fontId="0" fillId="4" borderId="0" xfId="0" applyFill="1"/>
    <xf numFmtId="0" fontId="0" fillId="5" borderId="0" xfId="0" applyFill="1"/>
    <xf numFmtId="0" fontId="0" fillId="0" borderId="0" xfId="0" applyFill="1"/>
    <xf numFmtId="0" fontId="1" fillId="6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0" borderId="0" xfId="0" applyFont="1" applyFill="1"/>
    <xf numFmtId="0" fontId="1" fillId="8" borderId="0" xfId="0" applyFont="1" applyFill="1"/>
    <xf numFmtId="0" fontId="1" fillId="7" borderId="0" xfId="0" applyFont="1" applyFill="1"/>
    <xf numFmtId="0" fontId="1" fillId="0" borderId="1" xfId="0" applyFont="1" applyBorder="1"/>
    <xf numFmtId="14" fontId="1" fillId="0" borderId="1" xfId="0" applyNumberFormat="1" applyFont="1" applyBorder="1"/>
    <xf numFmtId="0" fontId="1" fillId="0" borderId="1" xfId="0" applyFont="1" applyFill="1" applyBorder="1"/>
    <xf numFmtId="0" fontId="1" fillId="4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/>
    <xf numFmtId="0" fontId="0" fillId="0" borderId="2" xfId="0" applyBorder="1"/>
    <xf numFmtId="0" fontId="0" fillId="0" borderId="2" xfId="0" applyFill="1" applyBorder="1"/>
    <xf numFmtId="0" fontId="0" fillId="0" borderId="4" xfId="0" applyBorder="1"/>
    <xf numFmtId="0" fontId="0" fillId="0" borderId="5" xfId="0" applyBorder="1"/>
    <xf numFmtId="0" fontId="1" fillId="6" borderId="4" xfId="0" applyFont="1" applyFill="1" applyBorder="1"/>
    <xf numFmtId="0" fontId="0" fillId="0" borderId="4" xfId="0" applyFont="1" applyBorder="1"/>
    <xf numFmtId="0" fontId="1" fillId="0" borderId="5" xfId="0" applyFont="1" applyBorder="1"/>
    <xf numFmtId="0" fontId="1" fillId="7" borderId="4" xfId="0" applyFont="1" applyFill="1" applyBorder="1"/>
    <xf numFmtId="0" fontId="1" fillId="8" borderId="4" xfId="0" applyFont="1" applyFill="1" applyBorder="1"/>
    <xf numFmtId="0" fontId="1" fillId="0" borderId="5" xfId="0" applyFont="1" applyFill="1" applyBorder="1"/>
    <xf numFmtId="0" fontId="1" fillId="9" borderId="4" xfId="0" applyFont="1" applyFill="1" applyBorder="1"/>
    <xf numFmtId="0" fontId="0" fillId="0" borderId="4" xfId="0" applyFill="1" applyBorder="1"/>
    <xf numFmtId="0" fontId="1" fillId="10" borderId="4" xfId="0" applyFont="1" applyFill="1" applyBorder="1"/>
    <xf numFmtId="0" fontId="1" fillId="11" borderId="4" xfId="0" applyFont="1" applyFill="1" applyBorder="1"/>
    <xf numFmtId="0" fontId="1" fillId="12" borderId="4" xfId="0" applyFont="1" applyFill="1" applyBorder="1"/>
    <xf numFmtId="0" fontId="0" fillId="0" borderId="5" xfId="0" applyFill="1" applyBorder="1"/>
    <xf numFmtId="0" fontId="0" fillId="0" borderId="6" xfId="0" applyBorder="1"/>
    <xf numFmtId="0" fontId="0" fillId="0" borderId="0" xfId="0" applyFill="1" applyBorder="1"/>
    <xf numFmtId="2" fontId="0" fillId="0" borderId="0" xfId="0" applyNumberFormat="1"/>
    <xf numFmtId="0" fontId="1" fillId="0" borderId="4" xfId="0" applyFont="1" applyFill="1" applyBorder="1"/>
    <xf numFmtId="0" fontId="1" fillId="0" borderId="0" xfId="0" applyFont="1" applyFill="1" applyBorder="1"/>
    <xf numFmtId="0" fontId="0" fillId="0" borderId="0" xfId="0" applyBorder="1"/>
    <xf numFmtId="2" fontId="0" fillId="0" borderId="0" xfId="0" applyNumberFormat="1" applyBorder="1"/>
    <xf numFmtId="2" fontId="0" fillId="0" borderId="1" xfId="0" applyNumberFormat="1" applyBorder="1"/>
    <xf numFmtId="0" fontId="0" fillId="13" borderId="0" xfId="0" applyFill="1"/>
    <xf numFmtId="0" fontId="1" fillId="13" borderId="1" xfId="0" applyFont="1" applyFill="1" applyBorder="1"/>
    <xf numFmtId="0" fontId="1" fillId="3" borderId="2" xfId="0" applyFont="1" applyFill="1" applyBorder="1" applyAlignment="1">
      <alignment horizontal="center" vertical="center"/>
    </xf>
    <xf numFmtId="2" fontId="1" fillId="0" borderId="1" xfId="0" applyNumberFormat="1" applyFont="1" applyBorder="1"/>
    <xf numFmtId="0" fontId="0" fillId="0" borderId="0" xfId="0" applyFont="1" applyBorder="1"/>
    <xf numFmtId="14" fontId="0" fillId="0" borderId="0" xfId="0" applyNumberFormat="1" applyFont="1" applyBorder="1"/>
    <xf numFmtId="0" fontId="0" fillId="0" borderId="0" xfId="0" applyFont="1" applyFill="1" applyBorder="1"/>
    <xf numFmtId="2" fontId="0" fillId="0" borderId="0" xfId="0" applyNumberFormat="1" applyFont="1" applyBorder="1"/>
    <xf numFmtId="164" fontId="0" fillId="0" borderId="0" xfId="0" applyNumberFormat="1"/>
    <xf numFmtId="0" fontId="1" fillId="11" borderId="3" xfId="0" applyFont="1" applyFill="1" applyBorder="1" applyAlignment="1">
      <alignment horizontal="center" vertical="center" textRotation="255"/>
    </xf>
    <xf numFmtId="0" fontId="1" fillId="11" borderId="0" xfId="0" applyFont="1" applyFill="1" applyBorder="1" applyAlignment="1">
      <alignment horizontal="center" vertical="center" textRotation="255"/>
    </xf>
    <xf numFmtId="0" fontId="1" fillId="11" borderId="1" xfId="0" applyFont="1" applyFill="1" applyBorder="1" applyAlignment="1">
      <alignment horizontal="center" vertical="center" textRotation="255"/>
    </xf>
    <xf numFmtId="0" fontId="1" fillId="12" borderId="3" xfId="0" applyFont="1" applyFill="1" applyBorder="1" applyAlignment="1">
      <alignment horizontal="center" vertical="center" textRotation="255"/>
    </xf>
    <xf numFmtId="0" fontId="1" fillId="12" borderId="0" xfId="0" applyFont="1" applyFill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 textRotation="255"/>
    </xf>
    <xf numFmtId="0" fontId="1" fillId="6" borderId="0" xfId="0" applyFont="1" applyFill="1" applyBorder="1" applyAlignment="1">
      <alignment horizontal="center" vertical="center" textRotation="255"/>
    </xf>
    <xf numFmtId="0" fontId="1" fillId="6" borderId="1" xfId="0" applyFont="1" applyFill="1" applyBorder="1" applyAlignment="1">
      <alignment horizontal="center" vertical="center" textRotation="255"/>
    </xf>
    <xf numFmtId="0" fontId="1" fillId="7" borderId="3" xfId="0" applyFont="1" applyFill="1" applyBorder="1" applyAlignment="1">
      <alignment horizontal="center" vertical="center" textRotation="255"/>
    </xf>
    <xf numFmtId="0" fontId="1" fillId="7" borderId="0" xfId="0" applyFont="1" applyFill="1" applyBorder="1" applyAlignment="1">
      <alignment horizontal="center" vertical="center" textRotation="255"/>
    </xf>
    <xf numFmtId="0" fontId="1" fillId="7" borderId="1" xfId="0" applyFont="1" applyFill="1" applyBorder="1" applyAlignment="1">
      <alignment horizontal="center" vertical="center" textRotation="255"/>
    </xf>
    <xf numFmtId="0" fontId="1" fillId="8" borderId="3" xfId="0" applyFont="1" applyFill="1" applyBorder="1" applyAlignment="1">
      <alignment horizontal="center" vertical="center" textRotation="255"/>
    </xf>
    <xf numFmtId="0" fontId="1" fillId="8" borderId="0" xfId="0" applyFont="1" applyFill="1" applyBorder="1" applyAlignment="1">
      <alignment horizontal="center" vertical="center" textRotation="255"/>
    </xf>
    <xf numFmtId="0" fontId="1" fillId="9" borderId="0" xfId="0" applyFont="1" applyFill="1" applyBorder="1" applyAlignment="1">
      <alignment horizontal="center" vertical="center" textRotation="255"/>
    </xf>
    <xf numFmtId="0" fontId="1" fillId="9" borderId="1" xfId="0" applyFont="1" applyFill="1" applyBorder="1" applyAlignment="1">
      <alignment horizontal="center" vertical="center" textRotation="255"/>
    </xf>
    <xf numFmtId="0" fontId="1" fillId="10" borderId="3" xfId="0" applyFont="1" applyFill="1" applyBorder="1" applyAlignment="1">
      <alignment horizontal="center" vertical="center" textRotation="255"/>
    </xf>
    <xf numFmtId="0" fontId="1" fillId="10" borderId="0" xfId="0" applyFont="1" applyFill="1" applyBorder="1" applyAlignment="1">
      <alignment horizontal="center" vertical="center" textRotation="255"/>
    </xf>
    <xf numFmtId="0" fontId="1" fillId="10" borderId="1" xfId="0" applyFont="1" applyFill="1" applyBorder="1" applyAlignment="1">
      <alignment horizontal="center" vertical="center" textRotation="255"/>
    </xf>
    <xf numFmtId="0" fontId="1" fillId="12" borderId="1" xfId="0" applyFont="1" applyFill="1" applyBorder="1" applyAlignment="1">
      <alignment horizontal="center" vertical="center" textRotation="255"/>
    </xf>
    <xf numFmtId="0" fontId="1" fillId="8" borderId="1" xfId="0" applyFont="1" applyFill="1" applyBorder="1" applyAlignment="1">
      <alignment horizontal="center" vertical="center" textRotation="255"/>
    </xf>
    <xf numFmtId="0" fontId="1" fillId="9" borderId="3" xfId="0" applyFont="1" applyFill="1" applyBorder="1" applyAlignment="1">
      <alignment horizontal="center" vertical="center" textRotation="255"/>
    </xf>
    <xf numFmtId="0" fontId="0" fillId="14" borderId="0" xfId="0" applyFill="1"/>
    <xf numFmtId="14" fontId="0" fillId="14" borderId="0" xfId="0" applyNumberFormat="1" applyFill="1"/>
    <xf numFmtId="0" fontId="0" fillId="14" borderId="4" xfId="0" applyFill="1" applyBorder="1"/>
    <xf numFmtId="0" fontId="0" fillId="14" borderId="0" xfId="0" applyFill="1" applyBorder="1"/>
    <xf numFmtId="2" fontId="0" fillId="14" borderId="0" xfId="0" applyNumberFormat="1" applyFill="1"/>
    <xf numFmtId="0" fontId="1" fillId="0" borderId="0" xfId="0" applyFont="1"/>
    <xf numFmtId="0" fontId="0" fillId="0" borderId="0" xfId="0" applyFont="1"/>
    <xf numFmtId="0" fontId="0" fillId="15" borderId="0" xfId="0" applyFill="1"/>
    <xf numFmtId="0" fontId="1" fillId="15" borderId="1" xfId="0" applyFont="1" applyFill="1" applyBorder="1"/>
    <xf numFmtId="2" fontId="0" fillId="15" borderId="0" xfId="0" applyNumberFormat="1" applyFill="1"/>
  </cellXfs>
  <cellStyles count="1">
    <cellStyle name="Normal" xfId="0" builtinId="0"/>
  </cellStyles>
  <dxfs count="14">
    <dxf>
      <fill>
        <patternFill>
          <bgColor theme="5" tint="0.59996337778862885"/>
        </patternFill>
      </fill>
    </dxf>
    <dxf>
      <fill>
        <patternFill>
          <bgColor rgb="FFC00000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C00000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CF9C01"/>
      <color rgb="FF7BAE02"/>
      <color rgb="FF00CC67"/>
      <color rgb="FF0ABFC6"/>
      <color rgb="FF05A6FF"/>
      <color rgb="FFC67DFF"/>
      <color rgb="FFFF5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1"/>
  <sheetViews>
    <sheetView tabSelected="1" zoomScale="78" zoomScaleNormal="78" workbookViewId="0">
      <pane xSplit="6" ySplit="2" topLeftCell="K199" activePane="bottomRight" state="frozen"/>
      <selection pane="topRight" activeCell="G1" sqref="G1"/>
      <selection pane="bottomLeft" activeCell="A3" sqref="A3"/>
      <selection pane="bottomRight" activeCell="AE224" sqref="AE224"/>
    </sheetView>
  </sheetViews>
  <sheetFormatPr baseColWidth="10" defaultRowHeight="15" x14ac:dyDescent="0.25"/>
  <cols>
    <col min="5" max="5" width="12.85546875" bestFit="1" customWidth="1"/>
    <col min="11" max="11" width="12.7109375" bestFit="1" customWidth="1"/>
    <col min="12" max="12" width="12.7109375" style="22" customWidth="1"/>
  </cols>
  <sheetData>
    <row r="1" spans="1:28" x14ac:dyDescent="0.25">
      <c r="G1" s="58" t="s">
        <v>9</v>
      </c>
      <c r="H1" s="58"/>
      <c r="I1" s="58"/>
      <c r="J1" s="58"/>
      <c r="K1" s="58"/>
      <c r="L1" s="58"/>
      <c r="M1" s="58" t="s">
        <v>38</v>
      </c>
      <c r="N1" s="58"/>
      <c r="O1" s="58"/>
      <c r="P1" s="58"/>
      <c r="Q1" s="58" t="s">
        <v>45</v>
      </c>
      <c r="R1" s="58"/>
      <c r="S1" s="58"/>
      <c r="T1" s="58"/>
      <c r="U1" s="58"/>
      <c r="W1" s="58" t="s">
        <v>50</v>
      </c>
      <c r="X1" s="58"/>
      <c r="Y1" s="58"/>
      <c r="Z1" s="58"/>
      <c r="AA1" s="58"/>
      <c r="AB1" s="58"/>
    </row>
    <row r="2" spans="1:28" x14ac:dyDescent="0.25">
      <c r="A2" t="s">
        <v>0</v>
      </c>
      <c r="B2" t="s">
        <v>1</v>
      </c>
      <c r="C2" t="s">
        <v>2</v>
      </c>
      <c r="D2" t="s">
        <v>15</v>
      </c>
      <c r="E2" t="s">
        <v>14</v>
      </c>
      <c r="F2" t="s">
        <v>13</v>
      </c>
      <c r="G2" s="10" t="s">
        <v>4</v>
      </c>
      <c r="H2" s="10" t="s">
        <v>7</v>
      </c>
      <c r="I2" s="10" t="s">
        <v>8</v>
      </c>
      <c r="J2" s="10" t="s">
        <v>10</v>
      </c>
      <c r="K2" s="10" t="s">
        <v>11</v>
      </c>
      <c r="L2" s="39" t="s">
        <v>12</v>
      </c>
      <c r="M2" s="10" t="s">
        <v>3</v>
      </c>
      <c r="N2" s="10" t="s">
        <v>6</v>
      </c>
      <c r="O2" s="40" t="s">
        <v>36</v>
      </c>
      <c r="P2" s="40" t="s">
        <v>37</v>
      </c>
      <c r="Q2" s="40" t="s">
        <v>39</v>
      </c>
      <c r="R2" s="40" t="s">
        <v>40</v>
      </c>
      <c r="S2" s="40" t="s">
        <v>41</v>
      </c>
      <c r="T2" s="40" t="s">
        <v>42</v>
      </c>
      <c r="U2" s="40" t="s">
        <v>43</v>
      </c>
      <c r="V2" s="40" t="s">
        <v>44</v>
      </c>
      <c r="W2" s="10" t="s">
        <v>5</v>
      </c>
      <c r="X2" s="10" t="s">
        <v>46</v>
      </c>
      <c r="Y2" s="10" t="s">
        <v>47</v>
      </c>
      <c r="Z2" s="10" t="s">
        <v>48</v>
      </c>
      <c r="AA2" s="10" t="s">
        <v>49</v>
      </c>
      <c r="AB2" s="10" t="s">
        <v>44</v>
      </c>
    </row>
    <row r="3" spans="1:28" x14ac:dyDescent="0.25">
      <c r="A3">
        <v>6440</v>
      </c>
      <c r="B3">
        <v>26330</v>
      </c>
      <c r="C3" s="1">
        <v>42582</v>
      </c>
      <c r="G3">
        <v>18</v>
      </c>
      <c r="H3">
        <v>15.1</v>
      </c>
      <c r="I3">
        <v>21.6</v>
      </c>
      <c r="M3">
        <v>0.3</v>
      </c>
      <c r="N3">
        <v>2.9</v>
      </c>
      <c r="O3">
        <f>M3-N3</f>
        <v>-2.6</v>
      </c>
      <c r="P3">
        <v>0</v>
      </c>
      <c r="W3">
        <v>1427.4</v>
      </c>
    </row>
    <row r="4" spans="1:28" x14ac:dyDescent="0.25">
      <c r="A4">
        <v>6440</v>
      </c>
      <c r="B4">
        <v>26330</v>
      </c>
      <c r="C4" s="1">
        <v>42583</v>
      </c>
      <c r="G4">
        <v>16.899999999999999</v>
      </c>
      <c r="H4">
        <v>12.4</v>
      </c>
      <c r="I4">
        <v>21.5</v>
      </c>
      <c r="M4">
        <v>10.1</v>
      </c>
      <c r="N4">
        <v>3.5</v>
      </c>
      <c r="O4">
        <f t="shared" ref="O4:O40" si="0">M4-N4</f>
        <v>6.6</v>
      </c>
      <c r="P4">
        <f>P3+O4</f>
        <v>6.6</v>
      </c>
      <c r="W4">
        <v>1856.4</v>
      </c>
    </row>
    <row r="5" spans="1:28" x14ac:dyDescent="0.25">
      <c r="A5">
        <v>6440</v>
      </c>
      <c r="B5">
        <v>26330</v>
      </c>
      <c r="C5" s="1">
        <v>42584</v>
      </c>
      <c r="G5">
        <v>17.3</v>
      </c>
      <c r="H5">
        <v>14.5</v>
      </c>
      <c r="I5">
        <v>18.899999999999999</v>
      </c>
      <c r="M5">
        <v>10</v>
      </c>
      <c r="N5">
        <v>1.1000000000000001</v>
      </c>
      <c r="O5">
        <f t="shared" si="0"/>
        <v>8.9</v>
      </c>
      <c r="P5">
        <f t="shared" ref="P5:P40" si="1">P4+O5</f>
        <v>15.5</v>
      </c>
      <c r="W5">
        <v>610.1</v>
      </c>
    </row>
    <row r="6" spans="1:28" x14ac:dyDescent="0.25">
      <c r="A6">
        <v>6440</v>
      </c>
      <c r="B6">
        <v>26330</v>
      </c>
      <c r="C6" s="1">
        <v>42585</v>
      </c>
      <c r="G6">
        <v>18.2</v>
      </c>
      <c r="H6">
        <v>18</v>
      </c>
      <c r="I6">
        <v>19.5</v>
      </c>
      <c r="M6">
        <v>10.7</v>
      </c>
      <c r="N6">
        <v>1.3</v>
      </c>
      <c r="O6">
        <f t="shared" si="0"/>
        <v>9.3999999999999986</v>
      </c>
      <c r="P6">
        <f t="shared" si="1"/>
        <v>24.9</v>
      </c>
      <c r="W6">
        <v>595.70000000000005</v>
      </c>
    </row>
    <row r="7" spans="1:28" x14ac:dyDescent="0.25">
      <c r="A7">
        <v>6440</v>
      </c>
      <c r="B7">
        <v>26330</v>
      </c>
      <c r="C7" s="1">
        <v>42586</v>
      </c>
      <c r="G7">
        <v>17.3</v>
      </c>
      <c r="H7">
        <v>15.1</v>
      </c>
      <c r="I7">
        <v>20.2</v>
      </c>
      <c r="M7">
        <v>0</v>
      </c>
      <c r="N7">
        <v>3.1</v>
      </c>
      <c r="O7">
        <f t="shared" si="0"/>
        <v>-3.1</v>
      </c>
      <c r="P7">
        <f t="shared" si="1"/>
        <v>21.799999999999997</v>
      </c>
      <c r="W7">
        <v>1826.9</v>
      </c>
    </row>
    <row r="8" spans="1:28" x14ac:dyDescent="0.25">
      <c r="A8">
        <v>6440</v>
      </c>
      <c r="B8">
        <v>26330</v>
      </c>
      <c r="C8" s="1">
        <v>42587</v>
      </c>
      <c r="G8">
        <v>17.3</v>
      </c>
      <c r="H8">
        <v>13.6</v>
      </c>
      <c r="I8">
        <v>20.399999999999999</v>
      </c>
      <c r="M8">
        <v>0</v>
      </c>
      <c r="N8">
        <v>3.1</v>
      </c>
      <c r="O8">
        <f t="shared" si="0"/>
        <v>-3.1</v>
      </c>
      <c r="P8">
        <f t="shared" si="1"/>
        <v>18.699999999999996</v>
      </c>
      <c r="W8">
        <v>1927.5</v>
      </c>
    </row>
    <row r="9" spans="1:28" x14ac:dyDescent="0.25">
      <c r="A9">
        <v>6440</v>
      </c>
      <c r="B9">
        <v>26330</v>
      </c>
      <c r="C9" s="1">
        <v>42588</v>
      </c>
      <c r="G9">
        <v>18.3</v>
      </c>
      <c r="H9">
        <v>14.1</v>
      </c>
      <c r="I9">
        <v>22.7</v>
      </c>
      <c r="M9">
        <v>0</v>
      </c>
      <c r="N9">
        <v>4.2</v>
      </c>
      <c r="O9">
        <f t="shared" si="0"/>
        <v>-4.2</v>
      </c>
      <c r="P9">
        <f t="shared" si="1"/>
        <v>14.499999999999996</v>
      </c>
      <c r="W9">
        <v>2307.6</v>
      </c>
    </row>
    <row r="10" spans="1:28" x14ac:dyDescent="0.25">
      <c r="A10">
        <v>6440</v>
      </c>
      <c r="B10">
        <v>26330</v>
      </c>
      <c r="C10" s="1">
        <v>42589</v>
      </c>
      <c r="G10">
        <v>19.600000000000001</v>
      </c>
      <c r="H10">
        <v>14.6</v>
      </c>
      <c r="I10">
        <v>23.9</v>
      </c>
      <c r="M10">
        <v>0</v>
      </c>
      <c r="N10">
        <v>2.2000000000000002</v>
      </c>
      <c r="O10">
        <f t="shared" si="0"/>
        <v>-2.2000000000000002</v>
      </c>
      <c r="P10">
        <f t="shared" si="1"/>
        <v>12.299999999999997</v>
      </c>
      <c r="W10">
        <v>868</v>
      </c>
    </row>
    <row r="11" spans="1:28" x14ac:dyDescent="0.25">
      <c r="A11">
        <v>6440</v>
      </c>
      <c r="B11">
        <v>26330</v>
      </c>
      <c r="C11" s="1">
        <v>42590</v>
      </c>
      <c r="G11">
        <v>17.899999999999999</v>
      </c>
      <c r="H11">
        <v>16.399999999999999</v>
      </c>
      <c r="I11">
        <v>21</v>
      </c>
      <c r="M11">
        <v>0.2</v>
      </c>
      <c r="N11">
        <v>4</v>
      </c>
      <c r="O11">
        <f t="shared" si="0"/>
        <v>-3.8</v>
      </c>
      <c r="P11">
        <f t="shared" si="1"/>
        <v>8.4999999999999964</v>
      </c>
      <c r="W11">
        <v>1857.9</v>
      </c>
    </row>
    <row r="12" spans="1:28" x14ac:dyDescent="0.25">
      <c r="A12">
        <v>6440</v>
      </c>
      <c r="B12">
        <v>26330</v>
      </c>
      <c r="C12" s="1">
        <v>42591</v>
      </c>
      <c r="G12">
        <v>16.3</v>
      </c>
      <c r="H12">
        <v>13.8</v>
      </c>
      <c r="I12">
        <v>19.5</v>
      </c>
      <c r="M12">
        <v>2.2999999999999998</v>
      </c>
      <c r="N12">
        <v>4.3</v>
      </c>
      <c r="O12">
        <f t="shared" si="0"/>
        <v>-2</v>
      </c>
      <c r="P12">
        <f t="shared" si="1"/>
        <v>6.4999999999999964</v>
      </c>
      <c r="W12">
        <v>2259.5</v>
      </c>
    </row>
    <row r="13" spans="1:28" x14ac:dyDescent="0.25">
      <c r="A13">
        <v>6440</v>
      </c>
      <c r="B13">
        <v>26330</v>
      </c>
      <c r="C13" s="1">
        <v>42592</v>
      </c>
      <c r="G13">
        <v>13.5</v>
      </c>
      <c r="H13">
        <v>12.2</v>
      </c>
      <c r="I13">
        <v>15.5</v>
      </c>
      <c r="M13">
        <v>6</v>
      </c>
      <c r="N13">
        <v>3.4</v>
      </c>
      <c r="O13">
        <f t="shared" si="0"/>
        <v>2.6</v>
      </c>
      <c r="P13">
        <f t="shared" si="1"/>
        <v>9.0999999999999961</v>
      </c>
      <c r="W13">
        <v>2308.8000000000002</v>
      </c>
    </row>
    <row r="14" spans="1:28" x14ac:dyDescent="0.25">
      <c r="A14">
        <v>6440</v>
      </c>
      <c r="B14">
        <v>26330</v>
      </c>
      <c r="C14" s="1">
        <v>42593</v>
      </c>
      <c r="G14">
        <v>14.8</v>
      </c>
      <c r="H14">
        <v>9.6999999999999993</v>
      </c>
      <c r="I14">
        <v>18.100000000000001</v>
      </c>
      <c r="M14">
        <v>3.5</v>
      </c>
      <c r="N14">
        <v>0.4</v>
      </c>
      <c r="O14">
        <f t="shared" si="0"/>
        <v>3.1</v>
      </c>
      <c r="P14">
        <f t="shared" si="1"/>
        <v>12.199999999999996</v>
      </c>
      <c r="W14">
        <v>312.5</v>
      </c>
    </row>
    <row r="15" spans="1:28" x14ac:dyDescent="0.25">
      <c r="A15">
        <v>6440</v>
      </c>
      <c r="B15">
        <v>26330</v>
      </c>
      <c r="C15" s="1">
        <v>42594</v>
      </c>
      <c r="G15">
        <v>19.100000000000001</v>
      </c>
      <c r="H15">
        <v>14.9</v>
      </c>
      <c r="I15">
        <v>23.2</v>
      </c>
      <c r="M15">
        <v>0</v>
      </c>
      <c r="N15">
        <v>2.6</v>
      </c>
      <c r="O15">
        <f t="shared" si="0"/>
        <v>-2.6</v>
      </c>
      <c r="P15">
        <f t="shared" si="1"/>
        <v>9.5999999999999961</v>
      </c>
      <c r="W15">
        <v>1373</v>
      </c>
    </row>
    <row r="16" spans="1:28" x14ac:dyDescent="0.25">
      <c r="A16">
        <v>6440</v>
      </c>
      <c r="B16">
        <v>26330</v>
      </c>
      <c r="C16" s="1">
        <v>42595</v>
      </c>
      <c r="G16">
        <v>19.5</v>
      </c>
      <c r="H16">
        <v>14.8</v>
      </c>
      <c r="I16">
        <v>24</v>
      </c>
      <c r="M16">
        <v>0</v>
      </c>
      <c r="N16">
        <v>4.7</v>
      </c>
      <c r="O16">
        <f t="shared" si="0"/>
        <v>-4.7</v>
      </c>
      <c r="P16">
        <f t="shared" si="1"/>
        <v>4.8999999999999959</v>
      </c>
      <c r="W16">
        <v>2730.9</v>
      </c>
    </row>
    <row r="17" spans="1:23" x14ac:dyDescent="0.25">
      <c r="A17">
        <v>6440</v>
      </c>
      <c r="B17">
        <v>26330</v>
      </c>
      <c r="C17" s="1">
        <v>42596</v>
      </c>
      <c r="G17">
        <v>18.2</v>
      </c>
      <c r="H17">
        <v>15</v>
      </c>
      <c r="I17">
        <v>22.5</v>
      </c>
      <c r="M17">
        <v>0</v>
      </c>
      <c r="N17">
        <v>3.2</v>
      </c>
      <c r="O17">
        <f t="shared" si="0"/>
        <v>-3.2</v>
      </c>
      <c r="P17">
        <f t="shared" si="1"/>
        <v>1.6999999999999957</v>
      </c>
      <c r="W17">
        <v>1734</v>
      </c>
    </row>
    <row r="18" spans="1:23" x14ac:dyDescent="0.25">
      <c r="A18">
        <v>6440</v>
      </c>
      <c r="B18">
        <v>26330</v>
      </c>
      <c r="C18" s="1">
        <v>42597</v>
      </c>
      <c r="G18">
        <v>18.600000000000001</v>
      </c>
      <c r="H18">
        <v>15.2</v>
      </c>
      <c r="I18">
        <v>22.1</v>
      </c>
      <c r="M18">
        <v>0</v>
      </c>
      <c r="N18">
        <v>3.9</v>
      </c>
      <c r="O18">
        <f t="shared" si="0"/>
        <v>-3.9</v>
      </c>
      <c r="P18">
        <v>0</v>
      </c>
      <c r="W18">
        <v>1910.8</v>
      </c>
    </row>
    <row r="19" spans="1:23" x14ac:dyDescent="0.25">
      <c r="A19">
        <v>6440</v>
      </c>
      <c r="B19">
        <v>26330</v>
      </c>
      <c r="C19" s="1">
        <v>42598</v>
      </c>
      <c r="G19">
        <v>19.100000000000001</v>
      </c>
      <c r="H19">
        <v>14.4</v>
      </c>
      <c r="I19">
        <v>23.3</v>
      </c>
      <c r="M19">
        <v>0</v>
      </c>
      <c r="N19">
        <v>4.9000000000000004</v>
      </c>
      <c r="O19">
        <f t="shared" si="0"/>
        <v>-4.9000000000000004</v>
      </c>
      <c r="P19">
        <v>0</v>
      </c>
      <c r="W19">
        <v>2684.4</v>
      </c>
    </row>
    <row r="20" spans="1:23" x14ac:dyDescent="0.25">
      <c r="A20">
        <v>6440</v>
      </c>
      <c r="B20">
        <v>26330</v>
      </c>
      <c r="C20" s="1">
        <v>42599</v>
      </c>
      <c r="G20">
        <v>20.399999999999999</v>
      </c>
      <c r="H20">
        <v>15.1</v>
      </c>
      <c r="I20">
        <v>25</v>
      </c>
      <c r="M20">
        <v>0</v>
      </c>
      <c r="N20">
        <v>3.9</v>
      </c>
      <c r="O20">
        <f t="shared" si="0"/>
        <v>-3.9</v>
      </c>
      <c r="P20">
        <v>0</v>
      </c>
      <c r="W20">
        <v>1971.7</v>
      </c>
    </row>
    <row r="21" spans="1:23" x14ac:dyDescent="0.25">
      <c r="A21">
        <v>6440</v>
      </c>
      <c r="B21">
        <v>26330</v>
      </c>
      <c r="C21" s="1">
        <v>42600</v>
      </c>
      <c r="G21">
        <v>19.5</v>
      </c>
      <c r="H21">
        <v>15.4</v>
      </c>
      <c r="I21">
        <v>22.9</v>
      </c>
      <c r="M21">
        <v>0.1</v>
      </c>
      <c r="N21">
        <v>1.7</v>
      </c>
      <c r="O21">
        <f t="shared" si="0"/>
        <v>-1.5999999999999999</v>
      </c>
      <c r="P21">
        <v>0</v>
      </c>
      <c r="W21">
        <v>906.1</v>
      </c>
    </row>
    <row r="22" spans="1:23" x14ac:dyDescent="0.25">
      <c r="A22">
        <v>6440</v>
      </c>
      <c r="B22">
        <v>26330</v>
      </c>
      <c r="C22" s="1">
        <v>42601</v>
      </c>
      <c r="G22">
        <v>18</v>
      </c>
      <c r="H22">
        <v>16.100000000000001</v>
      </c>
      <c r="I22">
        <v>22.4</v>
      </c>
      <c r="M22">
        <v>1</v>
      </c>
      <c r="N22">
        <v>2.9</v>
      </c>
      <c r="O22">
        <f t="shared" si="0"/>
        <v>-1.9</v>
      </c>
      <c r="P22">
        <v>0</v>
      </c>
      <c r="W22">
        <v>1533.6</v>
      </c>
    </row>
    <row r="23" spans="1:23" x14ac:dyDescent="0.25">
      <c r="A23">
        <v>6440</v>
      </c>
      <c r="B23">
        <v>26330</v>
      </c>
      <c r="C23" s="1">
        <v>42602</v>
      </c>
      <c r="G23">
        <v>18</v>
      </c>
      <c r="H23">
        <v>14.9</v>
      </c>
      <c r="I23">
        <v>21.9</v>
      </c>
      <c r="M23">
        <v>1.4</v>
      </c>
      <c r="N23">
        <v>3.3</v>
      </c>
      <c r="O23">
        <f t="shared" si="0"/>
        <v>-1.9</v>
      </c>
      <c r="P23">
        <v>0</v>
      </c>
      <c r="W23">
        <v>1393.8</v>
      </c>
    </row>
    <row r="24" spans="1:23" x14ac:dyDescent="0.25">
      <c r="A24">
        <v>6440</v>
      </c>
      <c r="B24">
        <v>26330</v>
      </c>
      <c r="C24" s="1">
        <v>42603</v>
      </c>
      <c r="G24">
        <v>16.5</v>
      </c>
      <c r="H24">
        <v>15</v>
      </c>
      <c r="I24">
        <v>18.100000000000001</v>
      </c>
      <c r="M24">
        <v>4.5</v>
      </c>
      <c r="N24">
        <v>1.3</v>
      </c>
      <c r="O24">
        <f t="shared" si="0"/>
        <v>3.2</v>
      </c>
      <c r="P24">
        <f t="shared" si="1"/>
        <v>3.2</v>
      </c>
      <c r="W24">
        <v>406</v>
      </c>
    </row>
    <row r="25" spans="1:23" x14ac:dyDescent="0.25">
      <c r="A25">
        <v>6440</v>
      </c>
      <c r="B25">
        <v>26330</v>
      </c>
      <c r="C25" s="1">
        <v>42604</v>
      </c>
      <c r="G25">
        <v>20</v>
      </c>
      <c r="H25">
        <v>16.5</v>
      </c>
      <c r="I25">
        <v>24.1</v>
      </c>
      <c r="M25">
        <v>0</v>
      </c>
      <c r="N25">
        <v>3.6</v>
      </c>
      <c r="O25">
        <f t="shared" si="0"/>
        <v>-3.6</v>
      </c>
      <c r="P25">
        <v>0</v>
      </c>
      <c r="W25">
        <v>1398.1</v>
      </c>
    </row>
    <row r="26" spans="1:23" x14ac:dyDescent="0.25">
      <c r="A26">
        <v>6440</v>
      </c>
      <c r="B26">
        <v>26330</v>
      </c>
      <c r="C26" s="1">
        <v>42605</v>
      </c>
      <c r="G26">
        <v>22.5</v>
      </c>
      <c r="H26">
        <v>15</v>
      </c>
      <c r="I26">
        <v>28.6</v>
      </c>
      <c r="M26">
        <v>0</v>
      </c>
      <c r="N26">
        <v>5.5</v>
      </c>
      <c r="O26">
        <f t="shared" si="0"/>
        <v>-5.5</v>
      </c>
      <c r="P26">
        <v>0</v>
      </c>
      <c r="W26">
        <v>2505</v>
      </c>
    </row>
    <row r="27" spans="1:23" x14ac:dyDescent="0.25">
      <c r="A27">
        <v>6440</v>
      </c>
      <c r="B27">
        <v>26330</v>
      </c>
      <c r="C27" s="1">
        <v>42606</v>
      </c>
      <c r="G27">
        <v>25.9</v>
      </c>
      <c r="H27">
        <v>20.399999999999999</v>
      </c>
      <c r="I27">
        <v>32.200000000000003</v>
      </c>
      <c r="M27">
        <v>0</v>
      </c>
      <c r="N27">
        <v>6.6</v>
      </c>
      <c r="O27">
        <f t="shared" si="0"/>
        <v>-6.6</v>
      </c>
      <c r="P27">
        <v>0</v>
      </c>
      <c r="W27">
        <v>2487.1</v>
      </c>
    </row>
    <row r="28" spans="1:23" x14ac:dyDescent="0.25">
      <c r="A28">
        <v>6440</v>
      </c>
      <c r="B28">
        <v>26330</v>
      </c>
      <c r="C28" s="1">
        <v>42607</v>
      </c>
      <c r="G28">
        <v>26.6</v>
      </c>
      <c r="H28">
        <v>19.8</v>
      </c>
      <c r="I28">
        <v>33</v>
      </c>
      <c r="M28">
        <v>0</v>
      </c>
      <c r="N28">
        <v>5.9</v>
      </c>
      <c r="O28">
        <f t="shared" si="0"/>
        <v>-5.9</v>
      </c>
      <c r="P28">
        <v>0</v>
      </c>
      <c r="W28">
        <v>2467.1</v>
      </c>
    </row>
    <row r="29" spans="1:23" x14ac:dyDescent="0.25">
      <c r="A29">
        <v>6440</v>
      </c>
      <c r="B29">
        <v>26330</v>
      </c>
      <c r="C29" s="1">
        <v>42608</v>
      </c>
      <c r="G29">
        <v>23.5</v>
      </c>
      <c r="H29">
        <v>19.399999999999999</v>
      </c>
      <c r="I29">
        <v>27.5</v>
      </c>
      <c r="M29">
        <v>0</v>
      </c>
      <c r="N29">
        <v>3.9</v>
      </c>
      <c r="O29">
        <f t="shared" si="0"/>
        <v>-3.9</v>
      </c>
      <c r="P29">
        <v>0</v>
      </c>
      <c r="W29">
        <v>1941.2</v>
      </c>
    </row>
    <row r="30" spans="1:23" x14ac:dyDescent="0.25">
      <c r="A30">
        <v>6440</v>
      </c>
      <c r="B30">
        <v>26330</v>
      </c>
      <c r="C30" s="1">
        <v>42609</v>
      </c>
      <c r="G30">
        <v>25</v>
      </c>
      <c r="H30">
        <v>19.100000000000001</v>
      </c>
      <c r="I30">
        <v>30.9</v>
      </c>
      <c r="M30">
        <v>0</v>
      </c>
      <c r="N30">
        <v>5.2</v>
      </c>
      <c r="O30">
        <f t="shared" si="0"/>
        <v>-5.2</v>
      </c>
      <c r="P30">
        <v>0</v>
      </c>
      <c r="W30">
        <v>2430.9</v>
      </c>
    </row>
    <row r="31" spans="1:23" x14ac:dyDescent="0.25">
      <c r="A31">
        <v>6440</v>
      </c>
      <c r="B31">
        <v>26330</v>
      </c>
      <c r="C31" s="1">
        <v>42610</v>
      </c>
      <c r="G31">
        <v>21.2</v>
      </c>
      <c r="H31">
        <v>20.2</v>
      </c>
      <c r="I31">
        <v>24.4</v>
      </c>
      <c r="M31">
        <v>0</v>
      </c>
      <c r="N31">
        <v>4</v>
      </c>
      <c r="O31">
        <f t="shared" si="0"/>
        <v>-4</v>
      </c>
      <c r="P31">
        <v>0</v>
      </c>
      <c r="W31">
        <v>1470.3</v>
      </c>
    </row>
    <row r="32" spans="1:23" x14ac:dyDescent="0.25">
      <c r="A32">
        <v>6440</v>
      </c>
      <c r="B32">
        <v>26330</v>
      </c>
      <c r="C32" s="1">
        <v>42611</v>
      </c>
      <c r="G32">
        <v>18.5</v>
      </c>
      <c r="H32">
        <v>17.8</v>
      </c>
      <c r="I32">
        <v>20.7</v>
      </c>
      <c r="M32">
        <v>2.1</v>
      </c>
      <c r="N32">
        <v>2.1</v>
      </c>
      <c r="O32">
        <f t="shared" si="0"/>
        <v>0</v>
      </c>
      <c r="P32">
        <f t="shared" si="1"/>
        <v>0</v>
      </c>
      <c r="W32">
        <v>882</v>
      </c>
    </row>
    <row r="33" spans="1:28" x14ac:dyDescent="0.25">
      <c r="A33">
        <v>6440</v>
      </c>
      <c r="B33">
        <v>26330</v>
      </c>
      <c r="C33" s="1">
        <v>42612</v>
      </c>
      <c r="G33">
        <v>18</v>
      </c>
      <c r="H33">
        <v>12.1</v>
      </c>
      <c r="I33">
        <v>23.1</v>
      </c>
      <c r="M33">
        <v>0</v>
      </c>
      <c r="N33">
        <v>4.2</v>
      </c>
      <c r="O33">
        <f t="shared" si="0"/>
        <v>-4.2</v>
      </c>
      <c r="P33">
        <v>0</v>
      </c>
      <c r="W33">
        <v>2374.9</v>
      </c>
    </row>
    <row r="34" spans="1:28" x14ac:dyDescent="0.25">
      <c r="A34">
        <v>6440</v>
      </c>
      <c r="B34">
        <v>26330</v>
      </c>
      <c r="C34" s="1">
        <v>42613</v>
      </c>
      <c r="G34">
        <v>18.7</v>
      </c>
      <c r="H34">
        <v>12.4</v>
      </c>
      <c r="I34">
        <v>25.6</v>
      </c>
      <c r="M34">
        <v>0</v>
      </c>
      <c r="N34">
        <v>3.1</v>
      </c>
      <c r="O34">
        <f t="shared" si="0"/>
        <v>-3.1</v>
      </c>
      <c r="P34">
        <v>0</v>
      </c>
      <c r="W34">
        <v>1214.7</v>
      </c>
    </row>
    <row r="35" spans="1:28" x14ac:dyDescent="0.25">
      <c r="A35">
        <v>6440</v>
      </c>
      <c r="B35">
        <v>26330</v>
      </c>
      <c r="C35" s="1">
        <v>42614</v>
      </c>
      <c r="G35">
        <v>18.600000000000001</v>
      </c>
      <c r="H35">
        <v>15.1</v>
      </c>
      <c r="I35">
        <v>23.4</v>
      </c>
      <c r="M35">
        <v>0</v>
      </c>
      <c r="N35">
        <v>2.2999999999999998</v>
      </c>
      <c r="O35">
        <f t="shared" si="0"/>
        <v>-2.2999999999999998</v>
      </c>
      <c r="P35">
        <v>0</v>
      </c>
      <c r="W35">
        <v>1165.8</v>
      </c>
    </row>
    <row r="36" spans="1:28" x14ac:dyDescent="0.25">
      <c r="A36">
        <v>6440</v>
      </c>
      <c r="B36">
        <v>26330</v>
      </c>
      <c r="C36" s="1">
        <v>42615</v>
      </c>
      <c r="G36">
        <v>17.2</v>
      </c>
      <c r="H36">
        <v>13.1</v>
      </c>
      <c r="I36">
        <v>23</v>
      </c>
      <c r="M36">
        <v>1.3</v>
      </c>
      <c r="N36">
        <v>2.2000000000000002</v>
      </c>
      <c r="O36">
        <f t="shared" si="0"/>
        <v>-0.90000000000000013</v>
      </c>
      <c r="P36">
        <v>0</v>
      </c>
      <c r="W36">
        <v>1060</v>
      </c>
    </row>
    <row r="37" spans="1:28" x14ac:dyDescent="0.25">
      <c r="A37">
        <v>6440</v>
      </c>
      <c r="B37">
        <v>26330</v>
      </c>
      <c r="C37" s="1">
        <v>42616</v>
      </c>
      <c r="G37">
        <v>19.7</v>
      </c>
      <c r="H37">
        <v>14.4</v>
      </c>
      <c r="I37">
        <v>22.8</v>
      </c>
      <c r="M37">
        <v>1.6</v>
      </c>
      <c r="N37">
        <v>2.1</v>
      </c>
      <c r="O37">
        <f t="shared" si="0"/>
        <v>-0.5</v>
      </c>
      <c r="P37">
        <v>0</v>
      </c>
      <c r="W37">
        <v>982.3</v>
      </c>
    </row>
    <row r="38" spans="1:28" x14ac:dyDescent="0.25">
      <c r="A38">
        <v>6440</v>
      </c>
      <c r="B38">
        <v>26330</v>
      </c>
      <c r="C38" s="1">
        <v>42617</v>
      </c>
      <c r="G38">
        <v>18.399999999999999</v>
      </c>
      <c r="H38">
        <v>17.899999999999999</v>
      </c>
      <c r="I38">
        <v>19.8</v>
      </c>
      <c r="M38">
        <v>5.3</v>
      </c>
      <c r="N38">
        <v>2</v>
      </c>
      <c r="O38">
        <f t="shared" si="0"/>
        <v>3.3</v>
      </c>
      <c r="P38">
        <f t="shared" si="1"/>
        <v>3.3</v>
      </c>
      <c r="V38">
        <v>153.6</v>
      </c>
      <c r="W38">
        <v>570.79999999999995</v>
      </c>
    </row>
    <row r="39" spans="1:28" x14ac:dyDescent="0.25">
      <c r="A39">
        <v>6440</v>
      </c>
      <c r="B39">
        <v>26330</v>
      </c>
      <c r="C39" s="1">
        <v>42618</v>
      </c>
      <c r="G39">
        <v>17.8</v>
      </c>
      <c r="H39">
        <v>16.399999999999999</v>
      </c>
      <c r="I39">
        <v>18.8</v>
      </c>
      <c r="M39">
        <v>1</v>
      </c>
      <c r="N39">
        <v>1</v>
      </c>
      <c r="O39">
        <f t="shared" si="0"/>
        <v>0</v>
      </c>
      <c r="P39">
        <f t="shared" si="1"/>
        <v>3.3</v>
      </c>
      <c r="W39">
        <v>463.4</v>
      </c>
    </row>
    <row r="40" spans="1:28" s="17" customFormat="1" ht="15.75" thickBot="1" x14ac:dyDescent="0.3">
      <c r="A40" s="17">
        <v>6440</v>
      </c>
      <c r="B40" s="17">
        <v>26330</v>
      </c>
      <c r="C40" s="18">
        <v>42619</v>
      </c>
      <c r="G40" s="17">
        <v>20.6</v>
      </c>
      <c r="H40" s="17">
        <v>18.399999999999999</v>
      </c>
      <c r="I40" s="17">
        <v>23.5</v>
      </c>
      <c r="L40" s="23"/>
      <c r="M40" s="17">
        <v>0.5</v>
      </c>
      <c r="N40" s="17">
        <v>1.1000000000000001</v>
      </c>
      <c r="O40" s="17">
        <f t="shared" si="0"/>
        <v>-0.60000000000000009</v>
      </c>
      <c r="P40" s="17">
        <f t="shared" si="1"/>
        <v>2.6999999999999997</v>
      </c>
      <c r="W40" s="17">
        <v>529.4</v>
      </c>
    </row>
    <row r="41" spans="1:28" s="17" customFormat="1" ht="15.75" thickBot="1" x14ac:dyDescent="0.3">
      <c r="A41" s="59" t="s">
        <v>16</v>
      </c>
      <c r="B41" s="59"/>
      <c r="C41" s="59"/>
      <c r="D41" s="59"/>
      <c r="E41" s="59"/>
      <c r="F41" s="59"/>
      <c r="L41" s="23"/>
    </row>
    <row r="42" spans="1:28" x14ac:dyDescent="0.25">
      <c r="A42">
        <v>6440</v>
      </c>
      <c r="B42">
        <v>26330</v>
      </c>
      <c r="C42" s="1">
        <v>42620</v>
      </c>
      <c r="F42" s="60" t="s">
        <v>22</v>
      </c>
      <c r="G42">
        <v>20.8</v>
      </c>
      <c r="H42">
        <v>15.2</v>
      </c>
      <c r="I42" s="2">
        <v>26.3</v>
      </c>
      <c r="J42">
        <f>G42</f>
        <v>20.8</v>
      </c>
      <c r="L42" s="24" t="s">
        <v>29</v>
      </c>
      <c r="M42">
        <v>0</v>
      </c>
      <c r="N42">
        <v>4.5</v>
      </c>
      <c r="O42" s="37">
        <f>M42-N42</f>
        <v>-4.5</v>
      </c>
      <c r="P42">
        <v>0</v>
      </c>
      <c r="Q42">
        <v>1</v>
      </c>
      <c r="R42" s="38">
        <v>0.35</v>
      </c>
      <c r="S42" s="38">
        <f>R42*N42</f>
        <v>1.575</v>
      </c>
      <c r="T42" s="38">
        <f>M42-S42</f>
        <v>-1.575</v>
      </c>
      <c r="U42" s="38">
        <f>MIN(P40+T42,153.6)</f>
        <v>1.1249999999999998</v>
      </c>
      <c r="V42" s="5" t="s">
        <v>51</v>
      </c>
      <c r="W42">
        <v>2011.5</v>
      </c>
      <c r="Y42">
        <f>W42</f>
        <v>2011.5</v>
      </c>
      <c r="AA42">
        <v>12.884383268364193</v>
      </c>
      <c r="AB42" s="5" t="s">
        <v>56</v>
      </c>
    </row>
    <row r="43" spans="1:28" x14ac:dyDescent="0.25">
      <c r="A43">
        <v>6440</v>
      </c>
      <c r="B43">
        <v>26330</v>
      </c>
      <c r="C43" s="1">
        <v>42621</v>
      </c>
      <c r="F43" s="61"/>
      <c r="G43">
        <v>18.600000000000001</v>
      </c>
      <c r="H43">
        <v>14.8</v>
      </c>
      <c r="I43" s="2">
        <v>25.5</v>
      </c>
      <c r="J43">
        <f>J42+G43</f>
        <v>39.400000000000006</v>
      </c>
      <c r="L43" s="22">
        <v>946.6</v>
      </c>
      <c r="M43">
        <v>0</v>
      </c>
      <c r="N43">
        <v>4.7</v>
      </c>
      <c r="O43" s="37">
        <f t="shared" ref="O43:O106" si="2">M43-N43</f>
        <v>-4.7</v>
      </c>
      <c r="P43" s="37">
        <v>0</v>
      </c>
      <c r="Q43">
        <v>2</v>
      </c>
      <c r="R43" s="38">
        <v>0.35</v>
      </c>
      <c r="S43" s="38">
        <f t="shared" ref="S43:S106" si="3">R43*N43</f>
        <v>1.645</v>
      </c>
      <c r="T43" s="38">
        <f t="shared" ref="T43:T106" si="4">M43-S43</f>
        <v>-1.645</v>
      </c>
      <c r="U43" s="38">
        <v>0</v>
      </c>
      <c r="V43" s="38">
        <v>8</v>
      </c>
      <c r="W43">
        <v>2136.4</v>
      </c>
      <c r="Y43">
        <f>Y42+W43</f>
        <v>4147.8999999999996</v>
      </c>
      <c r="AA43">
        <v>12.819327220467057</v>
      </c>
      <c r="AB43">
        <v>57852.2</v>
      </c>
    </row>
    <row r="44" spans="1:28" x14ac:dyDescent="0.25">
      <c r="A44">
        <v>6440</v>
      </c>
      <c r="B44">
        <v>26330</v>
      </c>
      <c r="C44" s="1">
        <v>42622</v>
      </c>
      <c r="F44" s="61"/>
      <c r="G44">
        <v>17.7</v>
      </c>
      <c r="H44">
        <v>11.5</v>
      </c>
      <c r="I44">
        <v>23</v>
      </c>
      <c r="J44">
        <f t="shared" ref="J44:J107" si="5">J43+G44</f>
        <v>57.100000000000009</v>
      </c>
      <c r="L44" s="24" t="s">
        <v>30</v>
      </c>
      <c r="M44">
        <v>0</v>
      </c>
      <c r="N44">
        <v>3.4</v>
      </c>
      <c r="O44" s="37">
        <f t="shared" si="2"/>
        <v>-3.4</v>
      </c>
      <c r="P44">
        <v>0</v>
      </c>
      <c r="Q44">
        <v>3</v>
      </c>
      <c r="R44" s="38">
        <v>0.35</v>
      </c>
      <c r="S44" s="38">
        <f t="shared" si="3"/>
        <v>1.19</v>
      </c>
      <c r="T44" s="38">
        <f t="shared" si="4"/>
        <v>-1.19</v>
      </c>
      <c r="U44" s="38">
        <v>0</v>
      </c>
      <c r="V44" s="5" t="s">
        <v>52</v>
      </c>
      <c r="W44">
        <v>1884</v>
      </c>
      <c r="Y44">
        <f t="shared" ref="Y44:Y107" si="6">Y43+W44</f>
        <v>6031.9</v>
      </c>
      <c r="AA44">
        <v>12.754164458786889</v>
      </c>
      <c r="AB44" s="5" t="s">
        <v>57</v>
      </c>
    </row>
    <row r="45" spans="1:28" x14ac:dyDescent="0.25">
      <c r="A45">
        <v>6440</v>
      </c>
      <c r="B45">
        <v>26330</v>
      </c>
      <c r="C45" s="1">
        <v>42623</v>
      </c>
      <c r="F45" s="61"/>
      <c r="G45">
        <v>19.5</v>
      </c>
      <c r="H45">
        <v>13</v>
      </c>
      <c r="I45" s="2">
        <v>25.1</v>
      </c>
      <c r="J45">
        <f t="shared" si="5"/>
        <v>76.600000000000009</v>
      </c>
      <c r="L45" s="22">
        <f>AVERAGE(G42:G123)</f>
        <v>11.543902439024389</v>
      </c>
      <c r="M45">
        <v>0</v>
      </c>
      <c r="N45">
        <v>4.2</v>
      </c>
      <c r="O45" s="37">
        <f t="shared" si="2"/>
        <v>-4.2</v>
      </c>
      <c r="P45">
        <v>0</v>
      </c>
      <c r="Q45">
        <v>4</v>
      </c>
      <c r="R45" s="38">
        <v>0.35</v>
      </c>
      <c r="S45" s="38">
        <f t="shared" si="3"/>
        <v>1.47</v>
      </c>
      <c r="T45" s="38">
        <f t="shared" si="4"/>
        <v>-1.47</v>
      </c>
      <c r="U45" s="38">
        <v>0</v>
      </c>
      <c r="V45" s="38">
        <v>48</v>
      </c>
      <c r="W45">
        <v>1965.3</v>
      </c>
      <c r="Y45">
        <f t="shared" si="6"/>
        <v>7997.2</v>
      </c>
      <c r="AA45">
        <v>12.688904313511376</v>
      </c>
      <c r="AB45">
        <f>(AB43/100)/L43</f>
        <v>0.61115782801605734</v>
      </c>
    </row>
    <row r="46" spans="1:28" x14ac:dyDescent="0.25">
      <c r="A46">
        <v>6440</v>
      </c>
      <c r="B46">
        <v>26330</v>
      </c>
      <c r="C46" s="1">
        <v>42624</v>
      </c>
      <c r="F46" s="61"/>
      <c r="G46">
        <v>20.100000000000001</v>
      </c>
      <c r="H46">
        <v>18.100000000000001</v>
      </c>
      <c r="I46">
        <v>21.6</v>
      </c>
      <c r="J46">
        <f t="shared" si="5"/>
        <v>96.700000000000017</v>
      </c>
      <c r="L46" s="24" t="s">
        <v>31</v>
      </c>
      <c r="M46">
        <v>0.2</v>
      </c>
      <c r="N46">
        <v>1.3</v>
      </c>
      <c r="O46" s="37">
        <f t="shared" si="2"/>
        <v>-1.1000000000000001</v>
      </c>
      <c r="P46">
        <v>0</v>
      </c>
      <c r="Q46">
        <v>5</v>
      </c>
      <c r="R46" s="38">
        <v>0.35</v>
      </c>
      <c r="S46" s="38">
        <f t="shared" si="3"/>
        <v>0.45499999999999996</v>
      </c>
      <c r="T46" s="38">
        <f t="shared" si="4"/>
        <v>-0.25499999999999995</v>
      </c>
      <c r="U46" s="38">
        <v>0</v>
      </c>
      <c r="V46" s="5" t="s">
        <v>53</v>
      </c>
      <c r="W46">
        <v>647.20000000000005</v>
      </c>
      <c r="Y46">
        <f t="shared" si="6"/>
        <v>8644.4</v>
      </c>
      <c r="AA46">
        <v>12.623555917156128</v>
      </c>
      <c r="AB46" s="5" t="s">
        <v>58</v>
      </c>
    </row>
    <row r="47" spans="1:28" x14ac:dyDescent="0.25">
      <c r="A47">
        <v>6440</v>
      </c>
      <c r="B47">
        <v>26330</v>
      </c>
      <c r="C47" s="1">
        <v>42625</v>
      </c>
      <c r="F47" s="61"/>
      <c r="G47">
        <v>22.6</v>
      </c>
      <c r="H47">
        <v>17.100000000000001</v>
      </c>
      <c r="I47" s="2">
        <v>28.5</v>
      </c>
      <c r="J47">
        <f t="shared" si="5"/>
        <v>119.30000000000001</v>
      </c>
      <c r="L47" s="25">
        <f>MIN(H42:H123)</f>
        <v>-1.3</v>
      </c>
      <c r="M47">
        <v>0</v>
      </c>
      <c r="N47">
        <v>3.8</v>
      </c>
      <c r="O47" s="37">
        <f t="shared" si="2"/>
        <v>-3.8</v>
      </c>
      <c r="P47">
        <v>0</v>
      </c>
      <c r="Q47">
        <v>6</v>
      </c>
      <c r="R47" s="38">
        <v>0.35</v>
      </c>
      <c r="S47" s="38">
        <f t="shared" si="3"/>
        <v>1.3299999999999998</v>
      </c>
      <c r="T47" s="38">
        <f t="shared" si="4"/>
        <v>-1.3299999999999998</v>
      </c>
      <c r="U47" s="38">
        <v>0</v>
      </c>
      <c r="V47" s="38">
        <v>0</v>
      </c>
      <c r="W47">
        <v>1641.3</v>
      </c>
      <c r="Y47">
        <f t="shared" si="6"/>
        <v>10285.699999999999</v>
      </c>
      <c r="AA47">
        <v>12.558128221479418</v>
      </c>
      <c r="AB47">
        <v>56</v>
      </c>
    </row>
    <row r="48" spans="1:28" x14ac:dyDescent="0.25">
      <c r="A48">
        <v>6440</v>
      </c>
      <c r="B48">
        <v>26330</v>
      </c>
      <c r="C48" s="1">
        <v>42626</v>
      </c>
      <c r="F48" s="61"/>
      <c r="G48">
        <v>24.8</v>
      </c>
      <c r="H48">
        <v>20</v>
      </c>
      <c r="I48" s="2">
        <v>31.5</v>
      </c>
      <c r="J48">
        <f t="shared" si="5"/>
        <v>144.10000000000002</v>
      </c>
      <c r="L48" s="24" t="s">
        <v>32</v>
      </c>
      <c r="M48">
        <v>0</v>
      </c>
      <c r="N48">
        <v>3.3</v>
      </c>
      <c r="O48" s="37">
        <f t="shared" si="2"/>
        <v>-3.3</v>
      </c>
      <c r="P48">
        <v>0</v>
      </c>
      <c r="Q48">
        <v>7</v>
      </c>
      <c r="R48" s="38">
        <v>0.35</v>
      </c>
      <c r="S48" s="38">
        <f t="shared" si="3"/>
        <v>1.1549999999999998</v>
      </c>
      <c r="T48" s="38">
        <f t="shared" si="4"/>
        <v>-1.1549999999999998</v>
      </c>
      <c r="U48" s="38">
        <v>0</v>
      </c>
      <c r="V48" s="5" t="s">
        <v>54</v>
      </c>
      <c r="W48">
        <v>945.1</v>
      </c>
      <c r="Y48">
        <f t="shared" si="6"/>
        <v>11230.8</v>
      </c>
      <c r="AA48">
        <v>12.492630014480376</v>
      </c>
    </row>
    <row r="49" spans="1:27" x14ac:dyDescent="0.25">
      <c r="A49">
        <v>6440</v>
      </c>
      <c r="B49">
        <v>26330</v>
      </c>
      <c r="C49" s="1">
        <v>42627</v>
      </c>
      <c r="F49" s="61"/>
      <c r="G49">
        <v>23.2</v>
      </c>
      <c r="H49">
        <v>19.7</v>
      </c>
      <c r="I49" s="2">
        <v>28.5</v>
      </c>
      <c r="J49">
        <f t="shared" si="5"/>
        <v>167.3</v>
      </c>
      <c r="L49" s="22">
        <f>MAX(I42:I123)</f>
        <v>31.5</v>
      </c>
      <c r="M49">
        <v>0</v>
      </c>
      <c r="N49">
        <v>5</v>
      </c>
      <c r="O49" s="37">
        <f t="shared" si="2"/>
        <v>-5</v>
      </c>
      <c r="P49">
        <v>0</v>
      </c>
      <c r="Q49">
        <v>8</v>
      </c>
      <c r="R49" s="38">
        <v>0.35</v>
      </c>
      <c r="S49" s="38">
        <f t="shared" si="3"/>
        <v>1.75</v>
      </c>
      <c r="T49" s="38">
        <f t="shared" si="4"/>
        <v>-1.75</v>
      </c>
      <c r="U49" s="38">
        <v>0</v>
      </c>
      <c r="V49" s="38">
        <f>MAX(U42:U123)</f>
        <v>117.5770895522388</v>
      </c>
      <c r="W49">
        <v>2020.8</v>
      </c>
      <c r="Y49">
        <f t="shared" si="6"/>
        <v>13251.599999999999</v>
      </c>
      <c r="AA49">
        <v>12.427069937468533</v>
      </c>
    </row>
    <row r="50" spans="1:27" x14ac:dyDescent="0.25">
      <c r="A50">
        <v>6440</v>
      </c>
      <c r="B50">
        <v>26330</v>
      </c>
      <c r="C50" s="1">
        <v>42628</v>
      </c>
      <c r="F50" s="61"/>
      <c r="G50">
        <v>18.899999999999999</v>
      </c>
      <c r="H50">
        <v>15.9</v>
      </c>
      <c r="I50">
        <v>25</v>
      </c>
      <c r="J50">
        <f t="shared" si="5"/>
        <v>186.20000000000002</v>
      </c>
      <c r="L50" s="24" t="s">
        <v>33</v>
      </c>
      <c r="M50">
        <v>0.7</v>
      </c>
      <c r="N50">
        <v>3.5</v>
      </c>
      <c r="O50" s="37">
        <f t="shared" si="2"/>
        <v>-2.8</v>
      </c>
      <c r="P50">
        <v>0</v>
      </c>
      <c r="Q50">
        <v>9</v>
      </c>
      <c r="R50" s="38">
        <v>0.35</v>
      </c>
      <c r="S50" s="38">
        <f t="shared" si="3"/>
        <v>1.2249999999999999</v>
      </c>
      <c r="T50" s="38">
        <f t="shared" si="4"/>
        <v>-0.52499999999999991</v>
      </c>
      <c r="U50" s="38">
        <v>0</v>
      </c>
      <c r="V50" s="5" t="s">
        <v>55</v>
      </c>
      <c r="W50">
        <v>1598.3</v>
      </c>
      <c r="Y50">
        <f t="shared" si="6"/>
        <v>14849.899999999998</v>
      </c>
      <c r="AA50">
        <v>12.361456502193866</v>
      </c>
    </row>
    <row r="51" spans="1:27" x14ac:dyDescent="0.25">
      <c r="A51">
        <v>6440</v>
      </c>
      <c r="B51">
        <v>26330</v>
      </c>
      <c r="C51" s="1">
        <v>42629</v>
      </c>
      <c r="F51" s="61"/>
      <c r="G51">
        <v>16.899999999999999</v>
      </c>
      <c r="H51">
        <v>15.2</v>
      </c>
      <c r="I51">
        <v>20.9</v>
      </c>
      <c r="J51">
        <f t="shared" si="5"/>
        <v>203.10000000000002</v>
      </c>
      <c r="L51" s="22">
        <v>6</v>
      </c>
      <c r="M51">
        <v>18.8</v>
      </c>
      <c r="N51">
        <v>1.8</v>
      </c>
      <c r="O51" s="37">
        <f t="shared" si="2"/>
        <v>17</v>
      </c>
      <c r="P51">
        <f>P50+O51</f>
        <v>17</v>
      </c>
      <c r="Q51">
        <v>10</v>
      </c>
      <c r="R51" s="38">
        <v>0.35</v>
      </c>
      <c r="S51" s="38">
        <f t="shared" si="3"/>
        <v>0.63</v>
      </c>
      <c r="T51" s="38">
        <f t="shared" si="4"/>
        <v>18.170000000000002</v>
      </c>
      <c r="U51" s="38">
        <f t="shared" ref="U51:U107" si="7">MIN(T51+U50,153.6)</f>
        <v>18.170000000000002</v>
      </c>
      <c r="V51" s="38">
        <f>AVERAGE(U42:U123)</f>
        <v>41.262969603203494</v>
      </c>
      <c r="W51">
        <v>552.4</v>
      </c>
      <c r="Y51">
        <f t="shared" si="6"/>
        <v>15402.299999999997</v>
      </c>
      <c r="AA51">
        <v>12.295798108027626</v>
      </c>
    </row>
    <row r="52" spans="1:27" x14ac:dyDescent="0.25">
      <c r="A52">
        <v>6440</v>
      </c>
      <c r="B52">
        <v>26330</v>
      </c>
      <c r="C52" s="1">
        <v>42630</v>
      </c>
      <c r="F52" s="61"/>
      <c r="G52">
        <v>15.4</v>
      </c>
      <c r="H52">
        <v>14.3</v>
      </c>
      <c r="I52">
        <v>16.899999999999999</v>
      </c>
      <c r="J52">
        <f t="shared" si="5"/>
        <v>218.50000000000003</v>
      </c>
      <c r="L52" s="24" t="s">
        <v>34</v>
      </c>
      <c r="M52">
        <v>0</v>
      </c>
      <c r="N52">
        <v>0.7</v>
      </c>
      <c r="O52" s="37">
        <f t="shared" si="2"/>
        <v>-0.7</v>
      </c>
      <c r="P52">
        <f t="shared" ref="P52:P115" si="8">P51+O52</f>
        <v>16.3</v>
      </c>
      <c r="Q52">
        <v>11</v>
      </c>
      <c r="R52" s="38">
        <v>0.35</v>
      </c>
      <c r="S52" s="38">
        <f t="shared" si="3"/>
        <v>0.24499999999999997</v>
      </c>
      <c r="T52" s="38">
        <f t="shared" si="4"/>
        <v>-0.24499999999999997</v>
      </c>
      <c r="U52" s="38">
        <f t="shared" si="7"/>
        <v>17.925000000000001</v>
      </c>
      <c r="W52">
        <v>498.4</v>
      </c>
      <c r="Y52">
        <f t="shared" si="6"/>
        <v>15900.699999999997</v>
      </c>
      <c r="AA52">
        <v>12.230103059185211</v>
      </c>
    </row>
    <row r="53" spans="1:27" x14ac:dyDescent="0.25">
      <c r="A53">
        <v>6440</v>
      </c>
      <c r="B53">
        <v>26330</v>
      </c>
      <c r="C53" s="1">
        <v>42631</v>
      </c>
      <c r="F53" s="61"/>
      <c r="G53">
        <v>17.600000000000001</v>
      </c>
      <c r="H53">
        <v>14.3</v>
      </c>
      <c r="I53">
        <v>22.3</v>
      </c>
      <c r="J53">
        <f t="shared" si="5"/>
        <v>236.10000000000002</v>
      </c>
      <c r="L53" s="22">
        <v>14</v>
      </c>
      <c r="M53">
        <v>0.1</v>
      </c>
      <c r="N53">
        <v>2.5</v>
      </c>
      <c r="O53" s="37">
        <f t="shared" si="2"/>
        <v>-2.4</v>
      </c>
      <c r="P53">
        <f t="shared" si="8"/>
        <v>13.9</v>
      </c>
      <c r="Q53">
        <v>12</v>
      </c>
      <c r="R53" s="38">
        <v>0.35</v>
      </c>
      <c r="S53" s="38">
        <f t="shared" si="3"/>
        <v>0.875</v>
      </c>
      <c r="T53" s="38">
        <f t="shared" si="4"/>
        <v>-0.77500000000000002</v>
      </c>
      <c r="U53" s="38">
        <f t="shared" si="7"/>
        <v>17.150000000000002</v>
      </c>
      <c r="V53">
        <f>(V51*100)/153.6</f>
        <v>26.863912502085608</v>
      </c>
      <c r="W53">
        <v>1212.7</v>
      </c>
      <c r="Y53">
        <f t="shared" si="6"/>
        <v>17113.399999999998</v>
      </c>
      <c r="AA53">
        <v>12.164379581983203</v>
      </c>
    </row>
    <row r="54" spans="1:27" x14ac:dyDescent="0.25">
      <c r="A54">
        <v>6440</v>
      </c>
      <c r="B54">
        <v>26330</v>
      </c>
      <c r="C54" s="1">
        <v>42632</v>
      </c>
      <c r="F54" s="61"/>
      <c r="G54">
        <v>16.5</v>
      </c>
      <c r="H54">
        <v>13.3</v>
      </c>
      <c r="I54">
        <v>20.6</v>
      </c>
      <c r="J54">
        <f t="shared" si="5"/>
        <v>252.60000000000002</v>
      </c>
      <c r="L54" s="24" t="s">
        <v>35</v>
      </c>
      <c r="M54">
        <v>0</v>
      </c>
      <c r="N54">
        <v>2.2999999999999998</v>
      </c>
      <c r="O54" s="37">
        <f t="shared" si="2"/>
        <v>-2.2999999999999998</v>
      </c>
      <c r="P54">
        <f t="shared" si="8"/>
        <v>11.600000000000001</v>
      </c>
      <c r="Q54">
        <v>13</v>
      </c>
      <c r="R54" s="38">
        <v>0.35</v>
      </c>
      <c r="S54" s="38">
        <f t="shared" si="3"/>
        <v>0.80499999999999994</v>
      </c>
      <c r="T54" s="38">
        <f t="shared" si="4"/>
        <v>-0.80499999999999994</v>
      </c>
      <c r="U54" s="38">
        <f t="shared" si="7"/>
        <v>16.345000000000002</v>
      </c>
      <c r="W54">
        <v>1185.8</v>
      </c>
      <c r="Y54">
        <f t="shared" si="6"/>
        <v>18299.199999999997</v>
      </c>
      <c r="AA54">
        <v>12.098635842123333</v>
      </c>
    </row>
    <row r="55" spans="1:27" x14ac:dyDescent="0.25">
      <c r="A55">
        <v>6440</v>
      </c>
      <c r="B55">
        <v>26330</v>
      </c>
      <c r="C55" s="1">
        <v>42633</v>
      </c>
      <c r="F55" s="61"/>
      <c r="G55">
        <v>16.399999999999999</v>
      </c>
      <c r="H55">
        <v>13.5</v>
      </c>
      <c r="I55">
        <v>20.2</v>
      </c>
      <c r="J55">
        <f t="shared" si="5"/>
        <v>269</v>
      </c>
      <c r="L55" s="22">
        <v>1</v>
      </c>
      <c r="M55">
        <v>0.1</v>
      </c>
      <c r="N55">
        <v>2.2999999999999998</v>
      </c>
      <c r="O55" s="37">
        <f t="shared" si="2"/>
        <v>-2.1999999999999997</v>
      </c>
      <c r="P55">
        <f t="shared" si="8"/>
        <v>9.4000000000000021</v>
      </c>
      <c r="Q55">
        <v>14</v>
      </c>
      <c r="R55" s="38">
        <v>0.35</v>
      </c>
      <c r="S55" s="38">
        <f t="shared" si="3"/>
        <v>0.80499999999999994</v>
      </c>
      <c r="T55" s="38">
        <f t="shared" si="4"/>
        <v>-0.70499999999999996</v>
      </c>
      <c r="U55" s="38">
        <f t="shared" si="7"/>
        <v>15.640000000000002</v>
      </c>
      <c r="W55">
        <v>1282.5999999999999</v>
      </c>
      <c r="Y55">
        <f t="shared" si="6"/>
        <v>19581.799999999996</v>
      </c>
      <c r="AA55">
        <v>12.032879961996857</v>
      </c>
    </row>
    <row r="56" spans="1:27" x14ac:dyDescent="0.25">
      <c r="A56">
        <v>6440</v>
      </c>
      <c r="B56">
        <v>26330</v>
      </c>
      <c r="C56" s="1">
        <v>42634</v>
      </c>
      <c r="F56" s="61"/>
      <c r="G56">
        <v>15.5</v>
      </c>
      <c r="H56">
        <v>11.4</v>
      </c>
      <c r="I56">
        <v>20.3</v>
      </c>
      <c r="J56">
        <f t="shared" si="5"/>
        <v>284.5</v>
      </c>
      <c r="M56">
        <v>0.2</v>
      </c>
      <c r="N56">
        <v>2.6</v>
      </c>
      <c r="O56" s="37">
        <f t="shared" si="2"/>
        <v>-2.4</v>
      </c>
      <c r="P56">
        <f t="shared" si="8"/>
        <v>7.0000000000000018</v>
      </c>
      <c r="Q56">
        <v>15</v>
      </c>
      <c r="R56" s="38">
        <v>0.35</v>
      </c>
      <c r="S56" s="38">
        <f t="shared" si="3"/>
        <v>0.90999999999999992</v>
      </c>
      <c r="T56" s="38">
        <f t="shared" si="4"/>
        <v>-0.71</v>
      </c>
      <c r="U56" s="38">
        <f t="shared" si="7"/>
        <v>14.930000000000003</v>
      </c>
      <c r="W56">
        <v>1506.9</v>
      </c>
      <c r="Y56">
        <f t="shared" si="6"/>
        <v>21088.699999999997</v>
      </c>
      <c r="AA56">
        <v>11.967120038003145</v>
      </c>
    </row>
    <row r="57" spans="1:27" x14ac:dyDescent="0.25">
      <c r="A57">
        <v>6440</v>
      </c>
      <c r="B57">
        <v>26330</v>
      </c>
      <c r="C57" s="1">
        <v>42635</v>
      </c>
      <c r="D57" s="2" t="s">
        <v>18</v>
      </c>
      <c r="F57" s="61"/>
      <c r="G57">
        <v>16.100000000000001</v>
      </c>
      <c r="H57">
        <v>10.9</v>
      </c>
      <c r="I57">
        <v>21.3</v>
      </c>
      <c r="J57">
        <f t="shared" si="5"/>
        <v>300.60000000000002</v>
      </c>
      <c r="M57">
        <v>0</v>
      </c>
      <c r="N57">
        <v>2.1</v>
      </c>
      <c r="O57" s="37">
        <f t="shared" si="2"/>
        <v>-2.1</v>
      </c>
      <c r="P57">
        <f t="shared" si="8"/>
        <v>4.9000000000000021</v>
      </c>
      <c r="Q57">
        <v>16</v>
      </c>
      <c r="R57" s="38">
        <f>0.35+((Q57-15)/67)*(1-0.35)</f>
        <v>0.35970149253731343</v>
      </c>
      <c r="S57" s="38">
        <f t="shared" si="3"/>
        <v>0.75537313432835818</v>
      </c>
      <c r="T57" s="38">
        <f t="shared" si="4"/>
        <v>-0.75537313432835818</v>
      </c>
      <c r="U57" s="38">
        <f t="shared" si="7"/>
        <v>14.174626865671645</v>
      </c>
      <c r="W57">
        <v>1260.3</v>
      </c>
      <c r="Y57">
        <f t="shared" si="6"/>
        <v>22348.999999999996</v>
      </c>
      <c r="AA57">
        <v>11.901364157876667</v>
      </c>
    </row>
    <row r="58" spans="1:27" x14ac:dyDescent="0.25">
      <c r="A58">
        <v>6440</v>
      </c>
      <c r="B58">
        <v>26330</v>
      </c>
      <c r="C58" s="1">
        <v>42636</v>
      </c>
      <c r="F58" s="61"/>
      <c r="G58">
        <v>15.4</v>
      </c>
      <c r="H58">
        <v>10.7</v>
      </c>
      <c r="I58">
        <v>20.6</v>
      </c>
      <c r="J58">
        <f t="shared" si="5"/>
        <v>316</v>
      </c>
      <c r="M58">
        <v>0</v>
      </c>
      <c r="N58">
        <v>1.3</v>
      </c>
      <c r="O58" s="37">
        <f t="shared" si="2"/>
        <v>-1.3</v>
      </c>
      <c r="P58">
        <f t="shared" si="8"/>
        <v>3.6000000000000023</v>
      </c>
      <c r="Q58">
        <v>17</v>
      </c>
      <c r="R58" s="38">
        <f t="shared" ref="R58:R121" si="9">0.35+((Q58-15)/67)*(1-0.35)</f>
        <v>0.36940298507462682</v>
      </c>
      <c r="S58" s="38">
        <f t="shared" si="3"/>
        <v>0.48022388059701487</v>
      </c>
      <c r="T58" s="38">
        <f t="shared" si="4"/>
        <v>-0.48022388059701487</v>
      </c>
      <c r="U58" s="38">
        <f t="shared" si="7"/>
        <v>13.69440298507463</v>
      </c>
      <c r="W58">
        <v>729.3</v>
      </c>
      <c r="Y58">
        <f t="shared" si="6"/>
        <v>23078.299999999996</v>
      </c>
      <c r="AA58">
        <v>11.835620418016799</v>
      </c>
    </row>
    <row r="59" spans="1:27" x14ac:dyDescent="0.25">
      <c r="A59">
        <v>6440</v>
      </c>
      <c r="B59">
        <v>26330</v>
      </c>
      <c r="C59" s="1">
        <v>42637</v>
      </c>
      <c r="F59" s="61"/>
      <c r="G59">
        <v>16.399999999999999</v>
      </c>
      <c r="H59">
        <v>10.5</v>
      </c>
      <c r="I59">
        <v>23.7</v>
      </c>
      <c r="J59">
        <f t="shared" si="5"/>
        <v>332.4</v>
      </c>
      <c r="M59">
        <v>0</v>
      </c>
      <c r="N59">
        <v>3.7</v>
      </c>
      <c r="O59" s="37">
        <f t="shared" si="2"/>
        <v>-3.7</v>
      </c>
      <c r="P59">
        <v>0</v>
      </c>
      <c r="Q59">
        <v>18</v>
      </c>
      <c r="R59" s="38">
        <f t="shared" si="9"/>
        <v>0.37910447761194027</v>
      </c>
      <c r="S59" s="38">
        <f t="shared" si="3"/>
        <v>1.4026865671641791</v>
      </c>
      <c r="T59" s="38">
        <f t="shared" si="4"/>
        <v>-1.4026865671641791</v>
      </c>
      <c r="U59" s="38">
        <f t="shared" si="7"/>
        <v>12.29171641791045</v>
      </c>
      <c r="W59">
        <v>1741.6</v>
      </c>
      <c r="Y59">
        <f t="shared" si="6"/>
        <v>24819.899999999994</v>
      </c>
      <c r="AA59">
        <v>11.769896940814789</v>
      </c>
    </row>
    <row r="60" spans="1:27" x14ac:dyDescent="0.25">
      <c r="A60">
        <v>6440</v>
      </c>
      <c r="B60">
        <v>26330</v>
      </c>
      <c r="C60" s="1">
        <v>42638</v>
      </c>
      <c r="F60" s="61"/>
      <c r="G60">
        <v>14.8</v>
      </c>
      <c r="H60">
        <v>12.7</v>
      </c>
      <c r="I60">
        <v>19.600000000000001</v>
      </c>
      <c r="J60">
        <f t="shared" si="5"/>
        <v>347.2</v>
      </c>
      <c r="M60">
        <v>0.2</v>
      </c>
      <c r="N60">
        <v>2</v>
      </c>
      <c r="O60" s="37">
        <f t="shared" si="2"/>
        <v>-1.8</v>
      </c>
      <c r="P60">
        <v>0</v>
      </c>
      <c r="Q60">
        <v>19</v>
      </c>
      <c r="R60" s="38">
        <f t="shared" si="9"/>
        <v>0.38880597014925372</v>
      </c>
      <c r="S60" s="38">
        <f t="shared" si="3"/>
        <v>0.77761194029850744</v>
      </c>
      <c r="T60" s="38">
        <f t="shared" si="4"/>
        <v>-0.57761194029850738</v>
      </c>
      <c r="U60" s="38">
        <f t="shared" si="7"/>
        <v>11.714104477611944</v>
      </c>
      <c r="W60">
        <v>822.2</v>
      </c>
      <c r="Y60">
        <f t="shared" si="6"/>
        <v>25642.099999999995</v>
      </c>
      <c r="AA60">
        <v>11.704201891972376</v>
      </c>
    </row>
    <row r="61" spans="1:27" x14ac:dyDescent="0.25">
      <c r="A61">
        <v>6440</v>
      </c>
      <c r="B61">
        <v>26330</v>
      </c>
      <c r="C61" s="1">
        <v>42639</v>
      </c>
      <c r="F61" s="61"/>
      <c r="G61">
        <v>12.2</v>
      </c>
      <c r="H61">
        <v>7.8</v>
      </c>
      <c r="I61">
        <v>17.2</v>
      </c>
      <c r="J61">
        <f t="shared" si="5"/>
        <v>359.4</v>
      </c>
      <c r="M61">
        <v>0.1</v>
      </c>
      <c r="N61">
        <v>1.8</v>
      </c>
      <c r="O61" s="37">
        <f t="shared" si="2"/>
        <v>-1.7</v>
      </c>
      <c r="P61">
        <v>0</v>
      </c>
      <c r="Q61">
        <v>20</v>
      </c>
      <c r="R61" s="38">
        <f t="shared" si="9"/>
        <v>0.39850746268656712</v>
      </c>
      <c r="S61" s="38">
        <f t="shared" si="3"/>
        <v>0.71731343283582083</v>
      </c>
      <c r="T61" s="38">
        <f t="shared" si="4"/>
        <v>-0.61731343283582085</v>
      </c>
      <c r="U61" s="38">
        <f t="shared" si="7"/>
        <v>11.096791044776122</v>
      </c>
      <c r="W61">
        <v>1330.4</v>
      </c>
      <c r="Y61">
        <f t="shared" si="6"/>
        <v>26972.499999999996</v>
      </c>
      <c r="AA61">
        <v>11.638543497806133</v>
      </c>
    </row>
    <row r="62" spans="1:27" x14ac:dyDescent="0.25">
      <c r="A62">
        <v>6440</v>
      </c>
      <c r="B62">
        <v>26330</v>
      </c>
      <c r="C62" s="1">
        <v>42640</v>
      </c>
      <c r="F62" s="61"/>
      <c r="G62">
        <v>15.3</v>
      </c>
      <c r="H62">
        <v>7.1</v>
      </c>
      <c r="I62">
        <v>21.5</v>
      </c>
      <c r="J62">
        <f t="shared" si="5"/>
        <v>374.7</v>
      </c>
      <c r="M62">
        <v>0</v>
      </c>
      <c r="N62">
        <v>2.8</v>
      </c>
      <c r="O62" s="37">
        <f t="shared" si="2"/>
        <v>-2.8</v>
      </c>
      <c r="P62">
        <v>0</v>
      </c>
      <c r="Q62">
        <v>21</v>
      </c>
      <c r="R62" s="38">
        <f t="shared" si="9"/>
        <v>0.40820895522388057</v>
      </c>
      <c r="S62" s="38">
        <f t="shared" si="3"/>
        <v>1.1429850746268655</v>
      </c>
      <c r="T62" s="38">
        <f t="shared" si="4"/>
        <v>-1.1429850746268655</v>
      </c>
      <c r="U62" s="38">
        <f t="shared" si="7"/>
        <v>9.9538059701492561</v>
      </c>
      <c r="W62">
        <v>1493</v>
      </c>
      <c r="Y62">
        <f t="shared" si="6"/>
        <v>28465.499999999996</v>
      </c>
      <c r="AA62">
        <v>11.572930062531466</v>
      </c>
    </row>
    <row r="63" spans="1:27" x14ac:dyDescent="0.25">
      <c r="A63">
        <v>6440</v>
      </c>
      <c r="B63">
        <v>26330</v>
      </c>
      <c r="C63" s="1">
        <v>42641</v>
      </c>
      <c r="F63" s="61"/>
      <c r="G63">
        <v>18.2</v>
      </c>
      <c r="H63">
        <v>16.7</v>
      </c>
      <c r="I63">
        <v>21</v>
      </c>
      <c r="J63">
        <f t="shared" si="5"/>
        <v>392.9</v>
      </c>
      <c r="M63">
        <v>0</v>
      </c>
      <c r="N63">
        <v>3</v>
      </c>
      <c r="O63" s="37">
        <f t="shared" si="2"/>
        <v>-3</v>
      </c>
      <c r="P63">
        <v>0</v>
      </c>
      <c r="Q63">
        <v>22</v>
      </c>
      <c r="R63" s="38">
        <f t="shared" si="9"/>
        <v>0.41791044776119401</v>
      </c>
      <c r="S63" s="38">
        <f t="shared" si="3"/>
        <v>1.2537313432835822</v>
      </c>
      <c r="T63" s="38">
        <f t="shared" si="4"/>
        <v>-1.2537313432835822</v>
      </c>
      <c r="U63" s="38">
        <f t="shared" si="7"/>
        <v>8.7000746268656748</v>
      </c>
      <c r="W63">
        <v>1409.4</v>
      </c>
      <c r="Y63">
        <f t="shared" si="6"/>
        <v>29874.899999999998</v>
      </c>
      <c r="AA63">
        <v>11.507369985519624</v>
      </c>
    </row>
    <row r="64" spans="1:27" x14ac:dyDescent="0.25">
      <c r="A64">
        <v>6440</v>
      </c>
      <c r="B64">
        <v>26330</v>
      </c>
      <c r="C64" s="1">
        <v>42642</v>
      </c>
      <c r="F64" s="61"/>
      <c r="G64">
        <v>15.6</v>
      </c>
      <c r="H64">
        <v>14.8</v>
      </c>
      <c r="I64">
        <v>18.100000000000001</v>
      </c>
      <c r="J64">
        <f t="shared" si="5"/>
        <v>408.5</v>
      </c>
      <c r="M64">
        <v>1.2</v>
      </c>
      <c r="N64">
        <v>1.3</v>
      </c>
      <c r="O64" s="37">
        <f t="shared" si="2"/>
        <v>-0.10000000000000009</v>
      </c>
      <c r="P64">
        <v>0</v>
      </c>
      <c r="Q64">
        <v>23</v>
      </c>
      <c r="R64" s="38">
        <f t="shared" si="9"/>
        <v>0.42761194029850746</v>
      </c>
      <c r="S64" s="38">
        <f t="shared" si="3"/>
        <v>0.55589552238805973</v>
      </c>
      <c r="T64" s="38">
        <f t="shared" si="4"/>
        <v>0.64410447761194023</v>
      </c>
      <c r="U64" s="38">
        <f t="shared" si="7"/>
        <v>9.3441791044776146</v>
      </c>
      <c r="W64">
        <v>403.3</v>
      </c>
      <c r="Y64">
        <f t="shared" si="6"/>
        <v>30278.199999999997</v>
      </c>
      <c r="AA64">
        <v>11.441871778520584</v>
      </c>
    </row>
    <row r="65" spans="1:27" x14ac:dyDescent="0.25">
      <c r="A65">
        <v>6440</v>
      </c>
      <c r="B65">
        <v>26330</v>
      </c>
      <c r="C65" s="1">
        <v>42643</v>
      </c>
      <c r="F65" s="61"/>
      <c r="G65">
        <v>14.6</v>
      </c>
      <c r="H65">
        <v>12.4</v>
      </c>
      <c r="I65">
        <v>17.100000000000001</v>
      </c>
      <c r="J65">
        <f t="shared" si="5"/>
        <v>423.1</v>
      </c>
      <c r="M65">
        <v>0</v>
      </c>
      <c r="N65">
        <v>1.6</v>
      </c>
      <c r="O65" s="37">
        <f t="shared" si="2"/>
        <v>-1.6</v>
      </c>
      <c r="P65">
        <v>0</v>
      </c>
      <c r="Q65">
        <v>24</v>
      </c>
      <c r="R65" s="38">
        <f t="shared" si="9"/>
        <v>0.43731343283582086</v>
      </c>
      <c r="S65" s="38">
        <f t="shared" si="3"/>
        <v>0.6997014925373134</v>
      </c>
      <c r="T65" s="38">
        <f t="shared" si="4"/>
        <v>-0.6997014925373134</v>
      </c>
      <c r="U65" s="38">
        <f t="shared" si="7"/>
        <v>8.6444776119403013</v>
      </c>
      <c r="W65">
        <v>986.7</v>
      </c>
      <c r="Y65">
        <f t="shared" si="6"/>
        <v>31264.899999999998</v>
      </c>
      <c r="AA65">
        <v>11.376444082843875</v>
      </c>
    </row>
    <row r="66" spans="1:27" x14ac:dyDescent="0.25">
      <c r="A66">
        <v>6440</v>
      </c>
      <c r="B66">
        <v>26330</v>
      </c>
      <c r="C66" s="1">
        <v>42644</v>
      </c>
      <c r="F66" s="61"/>
      <c r="G66">
        <v>12.9</v>
      </c>
      <c r="H66">
        <v>11.2</v>
      </c>
      <c r="I66">
        <v>16.8</v>
      </c>
      <c r="J66">
        <f t="shared" si="5"/>
        <v>436</v>
      </c>
      <c r="M66">
        <v>1.5</v>
      </c>
      <c r="N66">
        <v>1.6</v>
      </c>
      <c r="O66" s="37">
        <f t="shared" si="2"/>
        <v>-0.10000000000000009</v>
      </c>
      <c r="P66">
        <v>0</v>
      </c>
      <c r="Q66">
        <v>25</v>
      </c>
      <c r="R66" s="38">
        <f t="shared" si="9"/>
        <v>0.44701492537313431</v>
      </c>
      <c r="S66" s="38">
        <f t="shared" si="3"/>
        <v>0.71522388059701492</v>
      </c>
      <c r="T66" s="38">
        <f t="shared" si="4"/>
        <v>0.78477611940298508</v>
      </c>
      <c r="U66" s="38">
        <f t="shared" si="7"/>
        <v>9.4292537313432856</v>
      </c>
      <c r="W66">
        <v>817.8</v>
      </c>
      <c r="Y66">
        <f t="shared" si="6"/>
        <v>32082.699999999997</v>
      </c>
      <c r="AA66">
        <v>11.311095686488624</v>
      </c>
    </row>
    <row r="67" spans="1:27" x14ac:dyDescent="0.25">
      <c r="A67">
        <v>6440</v>
      </c>
      <c r="B67">
        <v>26330</v>
      </c>
      <c r="C67" s="1">
        <v>42645</v>
      </c>
      <c r="F67" s="61"/>
      <c r="G67">
        <v>11.1</v>
      </c>
      <c r="H67">
        <v>10.1</v>
      </c>
      <c r="I67">
        <v>14.5</v>
      </c>
      <c r="J67">
        <f t="shared" si="5"/>
        <v>447.1</v>
      </c>
      <c r="M67">
        <v>6</v>
      </c>
      <c r="N67">
        <v>0.9</v>
      </c>
      <c r="O67" s="37">
        <f t="shared" si="2"/>
        <v>5.0999999999999996</v>
      </c>
      <c r="P67">
        <f t="shared" si="8"/>
        <v>5.0999999999999996</v>
      </c>
      <c r="Q67">
        <v>26</v>
      </c>
      <c r="R67" s="38">
        <f t="shared" si="9"/>
        <v>0.45671641791044776</v>
      </c>
      <c r="S67" s="38">
        <f t="shared" si="3"/>
        <v>0.41104477611940299</v>
      </c>
      <c r="T67" s="38">
        <f t="shared" si="4"/>
        <v>5.5889552238805971</v>
      </c>
      <c r="U67" s="38">
        <f t="shared" si="7"/>
        <v>15.018208955223884</v>
      </c>
      <c r="W67">
        <v>338.5</v>
      </c>
      <c r="Y67">
        <f t="shared" si="6"/>
        <v>32421.199999999997</v>
      </c>
      <c r="AA67">
        <v>11.245835541213111</v>
      </c>
    </row>
    <row r="68" spans="1:27" x14ac:dyDescent="0.25">
      <c r="A68">
        <v>6440</v>
      </c>
      <c r="B68">
        <v>26330</v>
      </c>
      <c r="C68" s="1">
        <v>42646</v>
      </c>
      <c r="F68" s="61"/>
      <c r="G68">
        <v>11.7</v>
      </c>
      <c r="H68">
        <v>5.7</v>
      </c>
      <c r="I68">
        <v>17.399999999999999</v>
      </c>
      <c r="J68">
        <f t="shared" si="5"/>
        <v>458.8</v>
      </c>
      <c r="M68">
        <v>0.1</v>
      </c>
      <c r="N68">
        <v>1.1000000000000001</v>
      </c>
      <c r="O68" s="37">
        <f t="shared" si="2"/>
        <v>-1</v>
      </c>
      <c r="P68">
        <f t="shared" si="8"/>
        <v>4.0999999999999996</v>
      </c>
      <c r="Q68">
        <v>27</v>
      </c>
      <c r="R68" s="38">
        <f t="shared" si="9"/>
        <v>0.46641791044776115</v>
      </c>
      <c r="S68" s="38">
        <f t="shared" si="3"/>
        <v>0.51305970149253732</v>
      </c>
      <c r="T68" s="38">
        <f t="shared" si="4"/>
        <v>-0.41305970149253735</v>
      </c>
      <c r="U68" s="38">
        <f t="shared" si="7"/>
        <v>14.605149253731346</v>
      </c>
      <c r="W68">
        <v>854.5</v>
      </c>
      <c r="Y68">
        <f t="shared" si="6"/>
        <v>33275.699999999997</v>
      </c>
      <c r="AA68">
        <v>11.180672779532944</v>
      </c>
    </row>
    <row r="69" spans="1:27" x14ac:dyDescent="0.25">
      <c r="A69">
        <v>6440</v>
      </c>
      <c r="B69">
        <v>26330</v>
      </c>
      <c r="C69" s="1">
        <v>42647</v>
      </c>
      <c r="F69" s="61"/>
      <c r="G69">
        <v>13</v>
      </c>
      <c r="H69">
        <v>11</v>
      </c>
      <c r="I69">
        <v>16</v>
      </c>
      <c r="J69">
        <f t="shared" si="5"/>
        <v>471.8</v>
      </c>
      <c r="M69">
        <v>0</v>
      </c>
      <c r="N69">
        <v>1.9</v>
      </c>
      <c r="O69" s="37">
        <f t="shared" si="2"/>
        <v>-1.9</v>
      </c>
      <c r="P69">
        <f t="shared" si="8"/>
        <v>2.1999999999999997</v>
      </c>
      <c r="Q69">
        <v>28</v>
      </c>
      <c r="R69" s="38">
        <f t="shared" si="9"/>
        <v>0.4761194029850746</v>
      </c>
      <c r="S69" s="38">
        <f t="shared" si="3"/>
        <v>0.90462686567164174</v>
      </c>
      <c r="T69" s="38">
        <f t="shared" si="4"/>
        <v>-0.90462686567164174</v>
      </c>
      <c r="U69" s="38">
        <f t="shared" si="7"/>
        <v>13.700522388059705</v>
      </c>
      <c r="W69">
        <v>909.7</v>
      </c>
      <c r="Y69">
        <f t="shared" si="6"/>
        <v>34185.399999999994</v>
      </c>
      <c r="AA69">
        <v>11.115616731635807</v>
      </c>
    </row>
    <row r="70" spans="1:27" x14ac:dyDescent="0.25">
      <c r="A70">
        <v>6440</v>
      </c>
      <c r="B70">
        <v>26330</v>
      </c>
      <c r="C70" s="1">
        <v>42648</v>
      </c>
      <c r="F70" s="61"/>
      <c r="G70">
        <v>10.7</v>
      </c>
      <c r="H70">
        <v>7.7</v>
      </c>
      <c r="I70">
        <v>14.7</v>
      </c>
      <c r="J70">
        <f t="shared" si="5"/>
        <v>482.5</v>
      </c>
      <c r="M70">
        <v>0</v>
      </c>
      <c r="N70">
        <v>2.5</v>
      </c>
      <c r="O70" s="37">
        <f t="shared" si="2"/>
        <v>-2.5</v>
      </c>
      <c r="P70">
        <v>0</v>
      </c>
      <c r="Q70">
        <v>29</v>
      </c>
      <c r="R70" s="38">
        <f t="shared" si="9"/>
        <v>0.48582089552238805</v>
      </c>
      <c r="S70" s="38">
        <f t="shared" si="3"/>
        <v>1.2145522388059702</v>
      </c>
      <c r="T70" s="38">
        <f t="shared" si="4"/>
        <v>-1.2145522388059702</v>
      </c>
      <c r="U70" s="38">
        <f t="shared" si="7"/>
        <v>12.485970149253735</v>
      </c>
      <c r="W70">
        <v>1344.9</v>
      </c>
      <c r="Y70">
        <f t="shared" si="6"/>
        <v>35530.299999999996</v>
      </c>
      <c r="AA70">
        <v>11.050676942199262</v>
      </c>
    </row>
    <row r="71" spans="1:27" x14ac:dyDescent="0.25">
      <c r="A71">
        <v>6440</v>
      </c>
      <c r="B71">
        <v>26330</v>
      </c>
      <c r="C71" s="1">
        <v>42649</v>
      </c>
      <c r="F71" s="61"/>
      <c r="G71">
        <v>9.5</v>
      </c>
      <c r="H71">
        <v>4.7</v>
      </c>
      <c r="I71">
        <v>12.5</v>
      </c>
      <c r="J71">
        <f t="shared" si="5"/>
        <v>492</v>
      </c>
      <c r="M71">
        <v>0</v>
      </c>
      <c r="N71">
        <v>1.8</v>
      </c>
      <c r="O71" s="37">
        <f t="shared" si="2"/>
        <v>-1.8</v>
      </c>
      <c r="P71">
        <v>0</v>
      </c>
      <c r="Q71">
        <v>30</v>
      </c>
      <c r="R71" s="38">
        <f t="shared" si="9"/>
        <v>0.4955223880597015</v>
      </c>
      <c r="S71" s="38">
        <f t="shared" si="3"/>
        <v>0.8919402985074627</v>
      </c>
      <c r="T71" s="38">
        <f t="shared" si="4"/>
        <v>-0.8919402985074627</v>
      </c>
      <c r="U71" s="38">
        <f t="shared" si="7"/>
        <v>11.594029850746272</v>
      </c>
      <c r="W71">
        <v>1011.1</v>
      </c>
      <c r="Y71">
        <f t="shared" si="6"/>
        <v>36541.399999999994</v>
      </c>
      <c r="AA71">
        <v>10.985863187096585</v>
      </c>
    </row>
    <row r="72" spans="1:27" x14ac:dyDescent="0.25">
      <c r="A72">
        <v>6440</v>
      </c>
      <c r="B72">
        <v>26330</v>
      </c>
      <c r="C72" s="1">
        <v>42650</v>
      </c>
      <c r="F72" s="61"/>
      <c r="G72">
        <v>11.3</v>
      </c>
      <c r="H72">
        <v>9.5</v>
      </c>
      <c r="I72">
        <v>13.5</v>
      </c>
      <c r="J72">
        <f t="shared" si="5"/>
        <v>503.3</v>
      </c>
      <c r="M72">
        <v>0</v>
      </c>
      <c r="N72">
        <v>1</v>
      </c>
      <c r="O72" s="37">
        <f t="shared" si="2"/>
        <v>-1</v>
      </c>
      <c r="P72">
        <v>0</v>
      </c>
      <c r="Q72">
        <v>31</v>
      </c>
      <c r="R72" s="38">
        <f t="shared" si="9"/>
        <v>0.50522388059701484</v>
      </c>
      <c r="S72" s="38">
        <f t="shared" si="3"/>
        <v>0.50522388059701484</v>
      </c>
      <c r="T72" s="38">
        <f t="shared" si="4"/>
        <v>-0.50522388059701484</v>
      </c>
      <c r="U72" s="38">
        <f t="shared" si="7"/>
        <v>11.088805970149258</v>
      </c>
      <c r="W72">
        <v>377.6</v>
      </c>
      <c r="Y72">
        <f t="shared" si="6"/>
        <v>36918.999999999993</v>
      </c>
      <c r="AA72">
        <v>10.92118548997394</v>
      </c>
    </row>
    <row r="73" spans="1:27" x14ac:dyDescent="0.25">
      <c r="A73">
        <v>6440</v>
      </c>
      <c r="B73">
        <v>26330</v>
      </c>
      <c r="C73" s="1">
        <v>42651</v>
      </c>
      <c r="F73" s="61"/>
      <c r="G73">
        <v>10.8</v>
      </c>
      <c r="H73">
        <v>9.6</v>
      </c>
      <c r="I73">
        <v>14</v>
      </c>
      <c r="J73">
        <f t="shared" si="5"/>
        <v>514.1</v>
      </c>
      <c r="M73">
        <v>0</v>
      </c>
      <c r="N73">
        <v>1.1000000000000001</v>
      </c>
      <c r="O73" s="37">
        <f t="shared" si="2"/>
        <v>-1.1000000000000001</v>
      </c>
      <c r="P73">
        <v>0</v>
      </c>
      <c r="Q73">
        <v>32</v>
      </c>
      <c r="R73" s="38">
        <f t="shared" si="9"/>
        <v>0.5149253731343284</v>
      </c>
      <c r="S73" s="38">
        <f t="shared" si="3"/>
        <v>0.56641791044776124</v>
      </c>
      <c r="T73" s="38">
        <f t="shared" si="4"/>
        <v>-0.56641791044776124</v>
      </c>
      <c r="U73" s="38">
        <f t="shared" si="7"/>
        <v>10.522388059701496</v>
      </c>
      <c r="W73">
        <v>422.6</v>
      </c>
      <c r="Y73">
        <f t="shared" si="6"/>
        <v>37341.599999999991</v>
      </c>
      <c r="AA73">
        <v>10.856654138680337</v>
      </c>
    </row>
    <row r="74" spans="1:27" x14ac:dyDescent="0.25">
      <c r="A74">
        <v>6440</v>
      </c>
      <c r="B74">
        <v>26330</v>
      </c>
      <c r="C74" s="1">
        <v>42652</v>
      </c>
      <c r="F74" s="61"/>
      <c r="G74">
        <v>9.1</v>
      </c>
      <c r="H74">
        <v>4.5999999999999996</v>
      </c>
      <c r="I74">
        <v>14.7</v>
      </c>
      <c r="J74">
        <f t="shared" si="5"/>
        <v>523.20000000000005</v>
      </c>
      <c r="M74">
        <v>0</v>
      </c>
      <c r="N74">
        <v>1.3</v>
      </c>
      <c r="O74" s="37">
        <f t="shared" si="2"/>
        <v>-1.3</v>
      </c>
      <c r="P74">
        <v>0</v>
      </c>
      <c r="Q74">
        <v>33</v>
      </c>
      <c r="R74" s="38">
        <f t="shared" si="9"/>
        <v>0.52462686567164174</v>
      </c>
      <c r="S74" s="38">
        <f t="shared" si="3"/>
        <v>0.68201492537313424</v>
      </c>
      <c r="T74" s="38">
        <f t="shared" si="4"/>
        <v>-0.68201492537313424</v>
      </c>
      <c r="U74" s="38">
        <f t="shared" si="7"/>
        <v>9.8403731343283631</v>
      </c>
      <c r="W74">
        <v>903</v>
      </c>
      <c r="Y74">
        <f t="shared" si="6"/>
        <v>38244.599999999991</v>
      </c>
      <c r="AA74">
        <v>10.792279701529928</v>
      </c>
    </row>
    <row r="75" spans="1:27" x14ac:dyDescent="0.25">
      <c r="A75">
        <v>6440</v>
      </c>
      <c r="B75">
        <v>26330</v>
      </c>
      <c r="C75" s="1">
        <v>42653</v>
      </c>
      <c r="F75" s="61"/>
      <c r="G75">
        <v>8.9</v>
      </c>
      <c r="H75">
        <v>6.6</v>
      </c>
      <c r="I75">
        <v>12.9</v>
      </c>
      <c r="J75">
        <f t="shared" si="5"/>
        <v>532.1</v>
      </c>
      <c r="M75">
        <v>2.6</v>
      </c>
      <c r="N75">
        <v>0.8</v>
      </c>
      <c r="O75" s="37">
        <f t="shared" si="2"/>
        <v>1.8</v>
      </c>
      <c r="P75">
        <f t="shared" si="8"/>
        <v>1.8</v>
      </c>
      <c r="Q75">
        <v>34</v>
      </c>
      <c r="R75" s="38">
        <f t="shared" si="9"/>
        <v>0.53432835820895519</v>
      </c>
      <c r="S75" s="38">
        <f t="shared" si="3"/>
        <v>0.42746268656716419</v>
      </c>
      <c r="T75" s="38">
        <f t="shared" si="4"/>
        <v>2.1725373134328358</v>
      </c>
      <c r="U75" s="38">
        <f t="shared" si="7"/>
        <v>12.012910447761199</v>
      </c>
      <c r="W75">
        <v>346.9</v>
      </c>
      <c r="Y75">
        <f t="shared" si="6"/>
        <v>38591.499999999993</v>
      </c>
      <c r="AA75">
        <v>10.728073043374028</v>
      </c>
    </row>
    <row r="76" spans="1:27" x14ac:dyDescent="0.25">
      <c r="A76">
        <v>6440</v>
      </c>
      <c r="B76">
        <v>26330</v>
      </c>
      <c r="C76" s="1">
        <v>42654</v>
      </c>
      <c r="F76" s="61"/>
      <c r="G76">
        <v>7.8</v>
      </c>
      <c r="H76">
        <v>3.8</v>
      </c>
      <c r="I76">
        <v>12.6</v>
      </c>
      <c r="J76">
        <f t="shared" si="5"/>
        <v>539.9</v>
      </c>
      <c r="M76">
        <v>0.2</v>
      </c>
      <c r="N76">
        <v>1.5</v>
      </c>
      <c r="O76" s="37">
        <f t="shared" si="2"/>
        <v>-1.3</v>
      </c>
      <c r="P76">
        <f t="shared" si="8"/>
        <v>0.5</v>
      </c>
      <c r="Q76">
        <v>35</v>
      </c>
      <c r="R76" s="38">
        <f t="shared" si="9"/>
        <v>0.54402985074626864</v>
      </c>
      <c r="S76" s="38">
        <f t="shared" si="3"/>
        <v>0.81604477611940296</v>
      </c>
      <c r="T76" s="38">
        <f t="shared" si="4"/>
        <v>-0.616044776119403</v>
      </c>
      <c r="U76" s="38">
        <f t="shared" si="7"/>
        <v>11.396865671641795</v>
      </c>
      <c r="W76">
        <v>1172.4000000000001</v>
      </c>
      <c r="Y76">
        <f t="shared" si="6"/>
        <v>39763.899999999994</v>
      </c>
      <c r="AA76">
        <v>10.664045341457989</v>
      </c>
    </row>
    <row r="77" spans="1:27" x14ac:dyDescent="0.25">
      <c r="A77">
        <v>6440</v>
      </c>
      <c r="B77">
        <v>26330</v>
      </c>
      <c r="C77" s="1">
        <v>42655</v>
      </c>
      <c r="F77" s="61"/>
      <c r="G77">
        <v>9</v>
      </c>
      <c r="H77">
        <v>6</v>
      </c>
      <c r="I77">
        <v>10.7</v>
      </c>
      <c r="J77">
        <f t="shared" si="5"/>
        <v>548.9</v>
      </c>
      <c r="M77">
        <v>1.5</v>
      </c>
      <c r="N77">
        <v>0.3</v>
      </c>
      <c r="O77" s="37">
        <f t="shared" si="2"/>
        <v>1.2</v>
      </c>
      <c r="P77">
        <f t="shared" si="8"/>
        <v>1.7</v>
      </c>
      <c r="Q77">
        <v>36</v>
      </c>
      <c r="R77" s="38">
        <f t="shared" si="9"/>
        <v>0.55373134328358209</v>
      </c>
      <c r="S77" s="38">
        <f t="shared" si="3"/>
        <v>0.16611940298507463</v>
      </c>
      <c r="T77" s="38">
        <f t="shared" si="4"/>
        <v>1.3338805970149255</v>
      </c>
      <c r="U77" s="38">
        <f t="shared" si="7"/>
        <v>12.73074626865672</v>
      </c>
      <c r="W77">
        <v>243.5</v>
      </c>
      <c r="Y77">
        <f t="shared" si="6"/>
        <v>40007.399999999994</v>
      </c>
      <c r="AA77">
        <v>10.60020810103569</v>
      </c>
    </row>
    <row r="78" spans="1:27" x14ac:dyDescent="0.25">
      <c r="A78">
        <v>6440</v>
      </c>
      <c r="B78">
        <v>26330</v>
      </c>
      <c r="C78" s="1">
        <v>42656</v>
      </c>
      <c r="F78" s="61"/>
      <c r="G78">
        <v>9.1</v>
      </c>
      <c r="H78">
        <v>5.6</v>
      </c>
      <c r="I78">
        <v>11.3</v>
      </c>
      <c r="J78">
        <f t="shared" si="5"/>
        <v>558</v>
      </c>
      <c r="M78">
        <v>0</v>
      </c>
      <c r="N78">
        <v>1.3</v>
      </c>
      <c r="O78" s="37">
        <f t="shared" si="2"/>
        <v>-1.3</v>
      </c>
      <c r="P78">
        <f t="shared" si="8"/>
        <v>0.39999999999999991</v>
      </c>
      <c r="Q78">
        <v>37</v>
      </c>
      <c r="R78" s="38">
        <f t="shared" si="9"/>
        <v>0.56343283582089554</v>
      </c>
      <c r="S78" s="38">
        <f t="shared" si="3"/>
        <v>0.73246268656716418</v>
      </c>
      <c r="T78" s="38">
        <f t="shared" si="4"/>
        <v>-0.73246268656716418</v>
      </c>
      <c r="U78" s="38">
        <f t="shared" si="7"/>
        <v>11.998283582089556</v>
      </c>
      <c r="W78">
        <v>1033.4000000000001</v>
      </c>
      <c r="Y78">
        <f t="shared" si="6"/>
        <v>41040.799999999996</v>
      </c>
      <c r="AA78">
        <v>10.536573170711847</v>
      </c>
    </row>
    <row r="79" spans="1:27" x14ac:dyDescent="0.25">
      <c r="A79">
        <v>6440</v>
      </c>
      <c r="B79">
        <v>26330</v>
      </c>
      <c r="C79" s="1">
        <v>42657</v>
      </c>
      <c r="F79" s="61"/>
      <c r="G79">
        <v>10.4</v>
      </c>
      <c r="H79">
        <v>8.8000000000000007</v>
      </c>
      <c r="I79">
        <v>12.5</v>
      </c>
      <c r="J79">
        <f t="shared" si="5"/>
        <v>568.4</v>
      </c>
      <c r="M79">
        <v>8.6</v>
      </c>
      <c r="N79">
        <v>0.8</v>
      </c>
      <c r="O79" s="37">
        <f t="shared" si="2"/>
        <v>7.8</v>
      </c>
      <c r="P79">
        <f t="shared" si="8"/>
        <v>8.1999999999999993</v>
      </c>
      <c r="Q79">
        <v>38</v>
      </c>
      <c r="R79" s="38">
        <f t="shared" si="9"/>
        <v>0.57313432835820888</v>
      </c>
      <c r="S79" s="38">
        <f t="shared" si="3"/>
        <v>0.45850746268656711</v>
      </c>
      <c r="T79" s="38">
        <f t="shared" si="4"/>
        <v>8.1414925373134324</v>
      </c>
      <c r="U79" s="38">
        <f t="shared" si="7"/>
        <v>20.139776119402988</v>
      </c>
      <c r="W79">
        <v>226.2</v>
      </c>
      <c r="Y79">
        <f t="shared" si="6"/>
        <v>41266.999999999993</v>
      </c>
      <c r="AA79">
        <v>10.473152757479662</v>
      </c>
    </row>
    <row r="80" spans="1:27" x14ac:dyDescent="0.25">
      <c r="A80">
        <v>6440</v>
      </c>
      <c r="B80">
        <v>26330</v>
      </c>
      <c r="C80" s="1">
        <v>42658</v>
      </c>
      <c r="F80" s="61"/>
      <c r="G80">
        <v>12.9</v>
      </c>
      <c r="H80">
        <v>10</v>
      </c>
      <c r="I80">
        <v>14.9</v>
      </c>
      <c r="J80">
        <f t="shared" si="5"/>
        <v>581.29999999999995</v>
      </c>
      <c r="M80">
        <v>0.4</v>
      </c>
      <c r="N80">
        <v>0.9</v>
      </c>
      <c r="O80" s="37">
        <f t="shared" si="2"/>
        <v>-0.5</v>
      </c>
      <c r="P80">
        <f t="shared" si="8"/>
        <v>7.6999999999999993</v>
      </c>
      <c r="Q80">
        <v>39</v>
      </c>
      <c r="R80" s="38">
        <f t="shared" si="9"/>
        <v>0.58283582089552233</v>
      </c>
      <c r="S80" s="38">
        <f t="shared" si="3"/>
        <v>0.52455223880597013</v>
      </c>
      <c r="T80" s="38">
        <f t="shared" si="4"/>
        <v>-0.12455223880597011</v>
      </c>
      <c r="U80" s="38">
        <f t="shared" si="7"/>
        <v>20.01522388059702</v>
      </c>
      <c r="W80">
        <v>311</v>
      </c>
      <c r="Y80">
        <f t="shared" si="6"/>
        <v>41577.999999999993</v>
      </c>
      <c r="AA80">
        <v>10.409959441418467</v>
      </c>
    </row>
    <row r="81" spans="1:27" x14ac:dyDescent="0.25">
      <c r="A81">
        <v>6440</v>
      </c>
      <c r="B81">
        <v>26330</v>
      </c>
      <c r="C81" s="1">
        <v>42659</v>
      </c>
      <c r="F81" s="61"/>
      <c r="G81">
        <v>14.1</v>
      </c>
      <c r="H81">
        <v>8.8000000000000007</v>
      </c>
      <c r="I81">
        <v>19.7</v>
      </c>
      <c r="J81">
        <f t="shared" si="5"/>
        <v>595.4</v>
      </c>
      <c r="M81">
        <v>16.100000000000001</v>
      </c>
      <c r="N81">
        <v>1.9</v>
      </c>
      <c r="O81" s="37">
        <f t="shared" si="2"/>
        <v>14.200000000000001</v>
      </c>
      <c r="P81">
        <f t="shared" si="8"/>
        <v>21.9</v>
      </c>
      <c r="Q81">
        <v>40</v>
      </c>
      <c r="R81" s="38">
        <f t="shared" si="9"/>
        <v>0.59253731343283578</v>
      </c>
      <c r="S81" s="38">
        <f t="shared" si="3"/>
        <v>1.1258208955223878</v>
      </c>
      <c r="T81" s="38">
        <f t="shared" si="4"/>
        <v>14.974179104477614</v>
      </c>
      <c r="U81" s="38">
        <f t="shared" si="7"/>
        <v>34.989402985074634</v>
      </c>
      <c r="W81">
        <v>1063.2</v>
      </c>
      <c r="Y81">
        <f t="shared" si="6"/>
        <v>42641.19999999999</v>
      </c>
      <c r="AA81">
        <v>10.347006190013104</v>
      </c>
    </row>
    <row r="82" spans="1:27" x14ac:dyDescent="0.25">
      <c r="A82">
        <v>6440</v>
      </c>
      <c r="B82">
        <v>26330</v>
      </c>
      <c r="C82" s="1">
        <v>42660</v>
      </c>
      <c r="F82" s="61"/>
      <c r="G82">
        <v>12.6</v>
      </c>
      <c r="H82">
        <v>11.2</v>
      </c>
      <c r="I82">
        <v>15.4</v>
      </c>
      <c r="J82">
        <f t="shared" si="5"/>
        <v>608</v>
      </c>
      <c r="M82">
        <v>1.3</v>
      </c>
      <c r="N82">
        <v>0.7</v>
      </c>
      <c r="O82" s="37">
        <f t="shared" si="2"/>
        <v>0.60000000000000009</v>
      </c>
      <c r="P82">
        <f t="shared" si="8"/>
        <v>22.5</v>
      </c>
      <c r="Q82">
        <v>41</v>
      </c>
      <c r="R82" s="38">
        <f t="shared" si="9"/>
        <v>0.60223880597014923</v>
      </c>
      <c r="S82" s="38">
        <f t="shared" si="3"/>
        <v>0.42156716417910445</v>
      </c>
      <c r="T82" s="38">
        <f t="shared" si="4"/>
        <v>0.8784328358208956</v>
      </c>
      <c r="U82" s="38">
        <f t="shared" si="7"/>
        <v>35.867835820895529</v>
      </c>
      <c r="W82">
        <v>502</v>
      </c>
      <c r="Y82">
        <f t="shared" si="6"/>
        <v>43143.19999999999</v>
      </c>
      <c r="AA82">
        <v>10.284306372053678</v>
      </c>
    </row>
    <row r="83" spans="1:27" x14ac:dyDescent="0.25">
      <c r="A83">
        <v>6440</v>
      </c>
      <c r="B83">
        <v>26330</v>
      </c>
      <c r="C83" s="1">
        <v>42661</v>
      </c>
      <c r="F83" s="61"/>
      <c r="G83">
        <v>10.5</v>
      </c>
      <c r="H83">
        <v>9.5</v>
      </c>
      <c r="I83">
        <v>12.7</v>
      </c>
      <c r="J83">
        <f t="shared" si="5"/>
        <v>618.5</v>
      </c>
      <c r="M83">
        <v>1.8</v>
      </c>
      <c r="N83">
        <v>0.8</v>
      </c>
      <c r="O83" s="37">
        <f t="shared" si="2"/>
        <v>1</v>
      </c>
      <c r="P83">
        <f t="shared" si="8"/>
        <v>23.5</v>
      </c>
      <c r="Q83">
        <v>42</v>
      </c>
      <c r="R83" s="38">
        <f t="shared" si="9"/>
        <v>0.61194029850746268</v>
      </c>
      <c r="S83" s="38">
        <f t="shared" si="3"/>
        <v>0.48955223880597015</v>
      </c>
      <c r="T83" s="38">
        <f t="shared" si="4"/>
        <v>1.3104477611940299</v>
      </c>
      <c r="U83" s="38">
        <f t="shared" si="7"/>
        <v>37.178283582089556</v>
      </c>
      <c r="W83">
        <v>213.4</v>
      </c>
      <c r="Y83">
        <f t="shared" si="6"/>
        <v>43356.599999999991</v>
      </c>
      <c r="AA83">
        <v>10.221873771071051</v>
      </c>
    </row>
    <row r="84" spans="1:27" x14ac:dyDescent="0.25">
      <c r="A84">
        <v>6440</v>
      </c>
      <c r="B84">
        <v>26330</v>
      </c>
      <c r="C84" s="1">
        <v>42662</v>
      </c>
      <c r="F84" s="61"/>
      <c r="G84">
        <v>9.5</v>
      </c>
      <c r="H84">
        <v>8.4</v>
      </c>
      <c r="I84">
        <v>11.8</v>
      </c>
      <c r="J84">
        <f t="shared" si="5"/>
        <v>628</v>
      </c>
      <c r="M84">
        <v>10.6</v>
      </c>
      <c r="N84">
        <v>0.9</v>
      </c>
      <c r="O84" s="37">
        <f t="shared" si="2"/>
        <v>9.6999999999999993</v>
      </c>
      <c r="P84">
        <f t="shared" si="8"/>
        <v>33.200000000000003</v>
      </c>
      <c r="Q84">
        <v>43</v>
      </c>
      <c r="R84" s="38">
        <f t="shared" si="9"/>
        <v>0.62164179104477602</v>
      </c>
      <c r="S84" s="38">
        <f t="shared" si="3"/>
        <v>0.55947761194029844</v>
      </c>
      <c r="T84" s="38">
        <f t="shared" si="4"/>
        <v>10.040522388059701</v>
      </c>
      <c r="U84" s="38">
        <f t="shared" si="7"/>
        <v>47.218805970149255</v>
      </c>
      <c r="W84">
        <v>295.60000000000002</v>
      </c>
      <c r="Y84">
        <f t="shared" si="6"/>
        <v>43652.19999999999</v>
      </c>
      <c r="AA84">
        <v>10.15972259826019</v>
      </c>
    </row>
    <row r="85" spans="1:27" x14ac:dyDescent="0.25">
      <c r="A85">
        <v>6440</v>
      </c>
      <c r="B85">
        <v>26330</v>
      </c>
      <c r="C85" s="1">
        <v>42663</v>
      </c>
      <c r="F85" s="61"/>
      <c r="G85">
        <v>10.7</v>
      </c>
      <c r="H85">
        <v>7.4</v>
      </c>
      <c r="I85">
        <v>14.3</v>
      </c>
      <c r="J85">
        <f t="shared" si="5"/>
        <v>638.70000000000005</v>
      </c>
      <c r="M85">
        <v>5.4</v>
      </c>
      <c r="N85">
        <v>0.7</v>
      </c>
      <c r="O85" s="37">
        <f t="shared" si="2"/>
        <v>4.7</v>
      </c>
      <c r="P85">
        <f t="shared" si="8"/>
        <v>37.900000000000006</v>
      </c>
      <c r="Q85">
        <v>44</v>
      </c>
      <c r="R85" s="38">
        <f t="shared" si="9"/>
        <v>0.63134328358208958</v>
      </c>
      <c r="S85" s="38">
        <f t="shared" si="3"/>
        <v>0.44194029850746269</v>
      </c>
      <c r="T85" s="38">
        <f t="shared" si="4"/>
        <v>4.9580597014925374</v>
      </c>
      <c r="U85" s="38">
        <f t="shared" si="7"/>
        <v>52.176865671641792</v>
      </c>
      <c r="W85">
        <v>450.2</v>
      </c>
      <c r="Y85">
        <f t="shared" si="6"/>
        <v>44102.399999999987</v>
      </c>
      <c r="AA85">
        <v>10.097867504839913</v>
      </c>
    </row>
    <row r="86" spans="1:27" x14ac:dyDescent="0.25">
      <c r="A86">
        <v>6440</v>
      </c>
      <c r="B86">
        <v>26330</v>
      </c>
      <c r="C86" s="1">
        <v>42664</v>
      </c>
      <c r="F86" s="61"/>
      <c r="G86">
        <v>8.5</v>
      </c>
      <c r="H86">
        <v>6.7</v>
      </c>
      <c r="I86">
        <v>12.5</v>
      </c>
      <c r="J86">
        <f t="shared" si="5"/>
        <v>647.20000000000005</v>
      </c>
      <c r="M86">
        <v>0.8</v>
      </c>
      <c r="N86">
        <v>1.1000000000000001</v>
      </c>
      <c r="O86" s="37">
        <f t="shared" si="2"/>
        <v>-0.30000000000000004</v>
      </c>
      <c r="P86">
        <f t="shared" si="8"/>
        <v>37.600000000000009</v>
      </c>
      <c r="Q86">
        <v>45</v>
      </c>
      <c r="R86" s="38">
        <f t="shared" si="9"/>
        <v>0.64104477611940291</v>
      </c>
      <c r="S86" s="38">
        <f t="shared" si="3"/>
        <v>0.7051492537313433</v>
      </c>
      <c r="T86" s="38">
        <f t="shared" si="4"/>
        <v>9.4850746268656749E-2</v>
      </c>
      <c r="U86" s="38">
        <f t="shared" si="7"/>
        <v>52.271716417910447</v>
      </c>
      <c r="W86">
        <v>814.5</v>
      </c>
      <c r="Y86">
        <f t="shared" si="6"/>
        <v>44916.899999999987</v>
      </c>
      <c r="AA86">
        <v>10.036323593794222</v>
      </c>
    </row>
    <row r="87" spans="1:27" x14ac:dyDescent="0.25">
      <c r="A87">
        <v>6440</v>
      </c>
      <c r="B87">
        <v>26330</v>
      </c>
      <c r="C87" s="1">
        <v>42665</v>
      </c>
      <c r="F87" s="61"/>
      <c r="G87">
        <v>9.1999999999999993</v>
      </c>
      <c r="H87">
        <v>5.4</v>
      </c>
      <c r="I87">
        <v>13.9</v>
      </c>
      <c r="J87">
        <f t="shared" si="5"/>
        <v>656.40000000000009</v>
      </c>
      <c r="M87">
        <v>0.1</v>
      </c>
      <c r="N87">
        <v>0.7</v>
      </c>
      <c r="O87" s="37">
        <f t="shared" si="2"/>
        <v>-0.6</v>
      </c>
      <c r="P87">
        <f t="shared" si="8"/>
        <v>37.000000000000007</v>
      </c>
      <c r="Q87">
        <v>46</v>
      </c>
      <c r="R87" s="38">
        <f t="shared" si="9"/>
        <v>0.65074626865671648</v>
      </c>
      <c r="S87" s="38">
        <f t="shared" si="3"/>
        <v>0.45552238805970152</v>
      </c>
      <c r="T87" s="38">
        <f t="shared" si="4"/>
        <v>-0.35552238805970149</v>
      </c>
      <c r="U87" s="38">
        <f t="shared" si="7"/>
        <v>51.916194029850743</v>
      </c>
      <c r="W87">
        <v>354.9</v>
      </c>
      <c r="Y87">
        <f t="shared" si="6"/>
        <v>45271.799999999988</v>
      </c>
      <c r="AA87">
        <v>9.9751064309366342</v>
      </c>
    </row>
    <row r="88" spans="1:27" x14ac:dyDescent="0.25">
      <c r="A88">
        <v>6440</v>
      </c>
      <c r="B88">
        <v>26330</v>
      </c>
      <c r="C88" s="1">
        <v>42666</v>
      </c>
      <c r="F88" s="61"/>
      <c r="G88">
        <v>6.7</v>
      </c>
      <c r="H88">
        <v>6.2</v>
      </c>
      <c r="I88">
        <v>7.5</v>
      </c>
      <c r="J88">
        <f t="shared" si="5"/>
        <v>663.10000000000014</v>
      </c>
      <c r="M88">
        <v>0.5</v>
      </c>
      <c r="N88">
        <v>0.6</v>
      </c>
      <c r="O88" s="37">
        <f t="shared" si="2"/>
        <v>-9.9999999999999978E-2</v>
      </c>
      <c r="P88">
        <f t="shared" si="8"/>
        <v>36.900000000000006</v>
      </c>
      <c r="Q88">
        <v>47</v>
      </c>
      <c r="R88" s="38">
        <f t="shared" si="9"/>
        <v>0.66044776119402981</v>
      </c>
      <c r="S88" s="38">
        <f t="shared" si="3"/>
        <v>0.39626865671641787</v>
      </c>
      <c r="T88" s="38">
        <f t="shared" si="4"/>
        <v>0.10373134328358213</v>
      </c>
      <c r="U88" s="38">
        <f t="shared" si="7"/>
        <v>52.019925373134328</v>
      </c>
      <c r="W88">
        <v>301.89999999999998</v>
      </c>
      <c r="Y88">
        <f t="shared" si="6"/>
        <v>45573.69999999999</v>
      </c>
      <c r="AA88">
        <v>9.9142320552352778</v>
      </c>
    </row>
    <row r="89" spans="1:27" x14ac:dyDescent="0.25">
      <c r="A89">
        <v>6440</v>
      </c>
      <c r="B89">
        <v>26330</v>
      </c>
      <c r="C89" s="1">
        <v>42667</v>
      </c>
      <c r="F89" s="61"/>
      <c r="G89">
        <v>9</v>
      </c>
      <c r="H89">
        <v>6.9</v>
      </c>
      <c r="I89">
        <v>10.3</v>
      </c>
      <c r="J89">
        <f t="shared" si="5"/>
        <v>672.10000000000014</v>
      </c>
      <c r="M89">
        <v>0</v>
      </c>
      <c r="N89">
        <v>0.5</v>
      </c>
      <c r="O89" s="37">
        <f t="shared" si="2"/>
        <v>-0.5</v>
      </c>
      <c r="P89">
        <f t="shared" si="8"/>
        <v>36.400000000000006</v>
      </c>
      <c r="Q89">
        <v>48</v>
      </c>
      <c r="R89" s="38">
        <f t="shared" si="9"/>
        <v>0.67014925373134326</v>
      </c>
      <c r="S89" s="38">
        <f t="shared" si="3"/>
        <v>0.33507462686567163</v>
      </c>
      <c r="T89" s="38">
        <f t="shared" si="4"/>
        <v>-0.33507462686567163</v>
      </c>
      <c r="U89" s="38">
        <f t="shared" si="7"/>
        <v>51.684850746268658</v>
      </c>
      <c r="W89">
        <v>193.5</v>
      </c>
      <c r="Y89">
        <f t="shared" si="6"/>
        <v>45767.19999999999</v>
      </c>
      <c r="AA89">
        <v>9.8537169883329145</v>
      </c>
    </row>
    <row r="90" spans="1:27" x14ac:dyDescent="0.25">
      <c r="A90">
        <v>6440</v>
      </c>
      <c r="B90">
        <v>26330</v>
      </c>
      <c r="C90" s="1">
        <v>42668</v>
      </c>
      <c r="F90" s="61"/>
      <c r="G90">
        <v>7.5</v>
      </c>
      <c r="H90">
        <v>6.7</v>
      </c>
      <c r="I90">
        <v>10.9</v>
      </c>
      <c r="J90">
        <f t="shared" si="5"/>
        <v>679.60000000000014</v>
      </c>
      <c r="M90">
        <v>0.2</v>
      </c>
      <c r="N90">
        <v>0.8</v>
      </c>
      <c r="O90" s="37">
        <f t="shared" si="2"/>
        <v>-0.60000000000000009</v>
      </c>
      <c r="P90">
        <f t="shared" si="8"/>
        <v>35.800000000000004</v>
      </c>
      <c r="Q90">
        <v>49</v>
      </c>
      <c r="R90" s="38">
        <f t="shared" si="9"/>
        <v>0.67985074626865671</v>
      </c>
      <c r="S90" s="38">
        <f t="shared" si="3"/>
        <v>0.54388059701492542</v>
      </c>
      <c r="T90" s="38">
        <f t="shared" si="4"/>
        <v>-0.3438805970149254</v>
      </c>
      <c r="U90" s="38">
        <f t="shared" si="7"/>
        <v>51.340970149253735</v>
      </c>
      <c r="W90">
        <v>345.6</v>
      </c>
      <c r="Y90">
        <f t="shared" si="6"/>
        <v>46112.799999999988</v>
      </c>
      <c r="AA90">
        <v>9.7935782431921634</v>
      </c>
    </row>
    <row r="91" spans="1:27" x14ac:dyDescent="0.25">
      <c r="A91">
        <v>6440</v>
      </c>
      <c r="B91">
        <v>26330</v>
      </c>
      <c r="C91" s="1">
        <v>42669</v>
      </c>
      <c r="F91" s="61"/>
      <c r="G91">
        <v>6</v>
      </c>
      <c r="H91">
        <v>2.5</v>
      </c>
      <c r="I91">
        <v>9.8000000000000007</v>
      </c>
      <c r="J91">
        <f t="shared" si="5"/>
        <v>685.60000000000014</v>
      </c>
      <c r="M91">
        <v>0.2</v>
      </c>
      <c r="N91">
        <v>0.7</v>
      </c>
      <c r="O91" s="37">
        <f t="shared" si="2"/>
        <v>-0.49999999999999994</v>
      </c>
      <c r="P91">
        <f t="shared" si="8"/>
        <v>35.300000000000004</v>
      </c>
      <c r="Q91">
        <v>50</v>
      </c>
      <c r="R91" s="38">
        <f t="shared" si="9"/>
        <v>0.68955223880597005</v>
      </c>
      <c r="S91" s="38">
        <f t="shared" si="3"/>
        <v>0.48268656716417901</v>
      </c>
      <c r="T91" s="38">
        <f t="shared" si="4"/>
        <v>-0.282686567164179</v>
      </c>
      <c r="U91" s="38">
        <f t="shared" si="7"/>
        <v>51.058283582089558</v>
      </c>
      <c r="W91">
        <v>376.7</v>
      </c>
      <c r="Y91">
        <f t="shared" si="6"/>
        <v>46489.499999999985</v>
      </c>
      <c r="AA91">
        <v>9.733833331792642</v>
      </c>
    </row>
    <row r="92" spans="1:27" x14ac:dyDescent="0.25">
      <c r="A92">
        <v>6440</v>
      </c>
      <c r="B92">
        <v>26330</v>
      </c>
      <c r="C92" s="1">
        <v>42670</v>
      </c>
      <c r="F92" s="61"/>
      <c r="G92">
        <v>11.9</v>
      </c>
      <c r="H92">
        <v>7.6</v>
      </c>
      <c r="I92">
        <v>13.8</v>
      </c>
      <c r="J92">
        <f t="shared" si="5"/>
        <v>697.50000000000011</v>
      </c>
      <c r="M92">
        <v>0</v>
      </c>
      <c r="N92">
        <v>0.4</v>
      </c>
      <c r="O92" s="37">
        <f t="shared" si="2"/>
        <v>-0.4</v>
      </c>
      <c r="P92">
        <f t="shared" si="8"/>
        <v>34.900000000000006</v>
      </c>
      <c r="Q92">
        <v>51</v>
      </c>
      <c r="R92" s="38">
        <f t="shared" si="9"/>
        <v>0.69925373134328361</v>
      </c>
      <c r="S92" s="38">
        <f t="shared" si="3"/>
        <v>0.27970149253731347</v>
      </c>
      <c r="T92" s="38">
        <f t="shared" si="4"/>
        <v>-0.27970149253731347</v>
      </c>
      <c r="U92" s="38">
        <f t="shared" si="7"/>
        <v>50.778582089552245</v>
      </c>
      <c r="W92">
        <v>310.7</v>
      </c>
      <c r="Y92">
        <f t="shared" si="6"/>
        <v>46800.199999999983</v>
      </c>
      <c r="AA92">
        <v>9.6745002718028772</v>
      </c>
    </row>
    <row r="93" spans="1:27" x14ac:dyDescent="0.25">
      <c r="A93">
        <v>6440</v>
      </c>
      <c r="B93">
        <v>26330</v>
      </c>
      <c r="C93" s="1">
        <v>42671</v>
      </c>
      <c r="F93" s="61"/>
      <c r="G93">
        <v>13.2</v>
      </c>
      <c r="H93">
        <v>11.6</v>
      </c>
      <c r="I93">
        <v>15</v>
      </c>
      <c r="J93">
        <f t="shared" si="5"/>
        <v>710.70000000000016</v>
      </c>
      <c r="M93">
        <v>0</v>
      </c>
      <c r="N93">
        <v>0.9</v>
      </c>
      <c r="O93" s="37">
        <f t="shared" si="2"/>
        <v>-0.9</v>
      </c>
      <c r="P93">
        <f t="shared" si="8"/>
        <v>34.000000000000007</v>
      </c>
      <c r="Q93">
        <v>52</v>
      </c>
      <c r="R93" s="38">
        <f t="shared" si="9"/>
        <v>0.70895522388059695</v>
      </c>
      <c r="S93" s="38">
        <f t="shared" si="3"/>
        <v>0.63805970149253732</v>
      </c>
      <c r="T93" s="38">
        <f t="shared" si="4"/>
        <v>-0.63805970149253732</v>
      </c>
      <c r="U93" s="38">
        <f t="shared" si="7"/>
        <v>50.140522388059708</v>
      </c>
      <c r="W93">
        <v>201</v>
      </c>
      <c r="Y93">
        <f t="shared" si="6"/>
        <v>47001.199999999983</v>
      </c>
      <c r="AA93">
        <v>9.6155975921464805</v>
      </c>
    </row>
    <row r="94" spans="1:27" x14ac:dyDescent="0.25">
      <c r="A94">
        <v>6440</v>
      </c>
      <c r="B94">
        <v>26330</v>
      </c>
      <c r="C94" s="1">
        <v>42672</v>
      </c>
      <c r="F94" s="61"/>
      <c r="G94">
        <v>12.3</v>
      </c>
      <c r="H94">
        <v>11.9</v>
      </c>
      <c r="I94">
        <v>15.4</v>
      </c>
      <c r="J94">
        <f t="shared" si="5"/>
        <v>723.00000000000011</v>
      </c>
      <c r="M94">
        <v>0.2</v>
      </c>
      <c r="N94">
        <v>0.8</v>
      </c>
      <c r="O94" s="37">
        <f t="shared" si="2"/>
        <v>-0.60000000000000009</v>
      </c>
      <c r="P94">
        <f t="shared" si="8"/>
        <v>33.400000000000006</v>
      </c>
      <c r="Q94">
        <v>53</v>
      </c>
      <c r="R94" s="38">
        <f t="shared" si="9"/>
        <v>0.7186567164179104</v>
      </c>
      <c r="S94" s="38">
        <f t="shared" si="3"/>
        <v>0.57492537313432834</v>
      </c>
      <c r="T94" s="38">
        <f t="shared" si="4"/>
        <v>-0.37492537313432833</v>
      </c>
      <c r="U94" s="38">
        <f t="shared" si="7"/>
        <v>49.765597014925376</v>
      </c>
      <c r="W94">
        <v>286.89999999999998</v>
      </c>
      <c r="Y94">
        <f t="shared" si="6"/>
        <v>47288.099999999984</v>
      </c>
      <c r="AA94">
        <v>9.5571443373783911</v>
      </c>
    </row>
    <row r="95" spans="1:27" x14ac:dyDescent="0.25">
      <c r="A95">
        <v>6440</v>
      </c>
      <c r="B95">
        <v>26330</v>
      </c>
      <c r="C95" s="1">
        <v>42673</v>
      </c>
      <c r="F95" s="61"/>
      <c r="G95">
        <v>10.4</v>
      </c>
      <c r="H95">
        <v>5.3</v>
      </c>
      <c r="I95">
        <v>14.6</v>
      </c>
      <c r="J95">
        <f t="shared" si="5"/>
        <v>733.40000000000009</v>
      </c>
      <c r="M95">
        <v>0</v>
      </c>
      <c r="N95">
        <v>1</v>
      </c>
      <c r="O95" s="37">
        <f t="shared" si="2"/>
        <v>-1</v>
      </c>
      <c r="P95">
        <f t="shared" si="8"/>
        <v>32.400000000000006</v>
      </c>
      <c r="Q95">
        <v>54</v>
      </c>
      <c r="R95" s="38">
        <f t="shared" si="9"/>
        <v>0.72835820895522385</v>
      </c>
      <c r="S95" s="38">
        <f t="shared" si="3"/>
        <v>0.72835820895522385</v>
      </c>
      <c r="T95" s="38">
        <f t="shared" si="4"/>
        <v>-0.72835820895522385</v>
      </c>
      <c r="U95" s="38">
        <f t="shared" si="7"/>
        <v>49.037238805970155</v>
      </c>
      <c r="W95">
        <v>889.9</v>
      </c>
      <c r="Y95">
        <f t="shared" si="6"/>
        <v>48177.999999999985</v>
      </c>
      <c r="AA95">
        <v>9.4991600707838728</v>
      </c>
    </row>
    <row r="96" spans="1:27" x14ac:dyDescent="0.25">
      <c r="A96">
        <v>6440</v>
      </c>
      <c r="B96">
        <v>26330</v>
      </c>
      <c r="C96" s="1">
        <v>42674</v>
      </c>
      <c r="F96" s="61"/>
      <c r="G96">
        <v>11.6</v>
      </c>
      <c r="H96">
        <v>7.1</v>
      </c>
      <c r="I96">
        <v>17.399999999999999</v>
      </c>
      <c r="J96">
        <f t="shared" si="5"/>
        <v>745.00000000000011</v>
      </c>
      <c r="M96">
        <v>0.1</v>
      </c>
      <c r="N96">
        <v>1.2</v>
      </c>
      <c r="O96" s="37">
        <f t="shared" si="2"/>
        <v>-1.0999999999999999</v>
      </c>
      <c r="P96">
        <f t="shared" si="8"/>
        <v>31.300000000000004</v>
      </c>
      <c r="Q96">
        <v>55</v>
      </c>
      <c r="R96" s="38">
        <f t="shared" si="9"/>
        <v>0.73805970149253719</v>
      </c>
      <c r="S96" s="38">
        <f t="shared" si="3"/>
        <v>0.88567164179104463</v>
      </c>
      <c r="T96" s="38">
        <f t="shared" si="4"/>
        <v>-0.78567164179104465</v>
      </c>
      <c r="U96" s="38">
        <f t="shared" si="7"/>
        <v>48.251567164179107</v>
      </c>
      <c r="W96">
        <v>988</v>
      </c>
      <c r="Y96">
        <f t="shared" si="6"/>
        <v>49165.999999999985</v>
      </c>
      <c r="AA96">
        <v>9.4416648761096909</v>
      </c>
    </row>
    <row r="97" spans="1:27" x14ac:dyDescent="0.25">
      <c r="A97">
        <v>6440</v>
      </c>
      <c r="B97">
        <v>26330</v>
      </c>
      <c r="C97" s="1">
        <v>42675</v>
      </c>
      <c r="F97" s="61"/>
      <c r="G97">
        <v>10.6</v>
      </c>
      <c r="H97">
        <v>5.2</v>
      </c>
      <c r="I97">
        <v>14.4</v>
      </c>
      <c r="J97">
        <f t="shared" si="5"/>
        <v>755.60000000000014</v>
      </c>
      <c r="M97">
        <v>0.3</v>
      </c>
      <c r="N97">
        <v>1</v>
      </c>
      <c r="O97" s="37">
        <f t="shared" si="2"/>
        <v>-0.7</v>
      </c>
      <c r="P97">
        <f t="shared" si="8"/>
        <v>30.600000000000005</v>
      </c>
      <c r="Q97">
        <v>56</v>
      </c>
      <c r="R97" s="38">
        <f t="shared" si="9"/>
        <v>0.74776119402985075</v>
      </c>
      <c r="S97" s="38">
        <f t="shared" si="3"/>
        <v>0.74776119402985075</v>
      </c>
      <c r="T97" s="38">
        <f t="shared" si="4"/>
        <v>-0.44776119402985076</v>
      </c>
      <c r="U97" s="38">
        <f t="shared" si="7"/>
        <v>47.803805970149256</v>
      </c>
      <c r="W97">
        <v>845.8</v>
      </c>
      <c r="Y97">
        <f t="shared" si="6"/>
        <v>50011.799999999988</v>
      </c>
      <c r="AA97">
        <v>9.3846793578342833</v>
      </c>
    </row>
    <row r="98" spans="1:27" x14ac:dyDescent="0.25">
      <c r="A98">
        <v>6440</v>
      </c>
      <c r="B98">
        <v>26330</v>
      </c>
      <c r="C98" s="1">
        <v>42676</v>
      </c>
      <c r="F98" s="61"/>
      <c r="G98">
        <v>7.3</v>
      </c>
      <c r="H98">
        <v>5.7</v>
      </c>
      <c r="I98">
        <v>9.6999999999999993</v>
      </c>
      <c r="J98">
        <f t="shared" si="5"/>
        <v>762.90000000000009</v>
      </c>
      <c r="M98">
        <v>0</v>
      </c>
      <c r="N98">
        <v>0.9</v>
      </c>
      <c r="O98" s="37">
        <f t="shared" si="2"/>
        <v>-0.9</v>
      </c>
      <c r="P98">
        <f t="shared" si="8"/>
        <v>29.700000000000006</v>
      </c>
      <c r="Q98">
        <v>57</v>
      </c>
      <c r="R98" s="38">
        <f t="shared" si="9"/>
        <v>0.7574626865671642</v>
      </c>
      <c r="S98" s="38">
        <f t="shared" si="3"/>
        <v>0.68171641791044779</v>
      </c>
      <c r="T98" s="38">
        <f t="shared" si="4"/>
        <v>-0.68171641791044779</v>
      </c>
      <c r="U98" s="38">
        <f t="shared" si="7"/>
        <v>47.122089552238805</v>
      </c>
      <c r="W98">
        <v>429.2</v>
      </c>
      <c r="Y98">
        <f t="shared" si="6"/>
        <v>50440.999999999985</v>
      </c>
      <c r="AA98">
        <v>9.3282246398810624</v>
      </c>
    </row>
    <row r="99" spans="1:27" x14ac:dyDescent="0.25">
      <c r="A99">
        <v>6440</v>
      </c>
      <c r="B99">
        <v>26330</v>
      </c>
      <c r="C99" s="1">
        <v>42677</v>
      </c>
      <c r="F99" s="61"/>
      <c r="G99">
        <v>7.1</v>
      </c>
      <c r="H99">
        <v>4.9000000000000004</v>
      </c>
      <c r="I99">
        <v>11.6</v>
      </c>
      <c r="J99">
        <f t="shared" si="5"/>
        <v>770.00000000000011</v>
      </c>
      <c r="M99">
        <v>0</v>
      </c>
      <c r="N99">
        <v>1.2</v>
      </c>
      <c r="O99" s="37">
        <f t="shared" si="2"/>
        <v>-1.2</v>
      </c>
      <c r="P99">
        <f t="shared" si="8"/>
        <v>28.500000000000007</v>
      </c>
      <c r="Q99">
        <v>58</v>
      </c>
      <c r="R99" s="38">
        <f t="shared" si="9"/>
        <v>0.76716417910447765</v>
      </c>
      <c r="S99" s="38">
        <f t="shared" si="3"/>
        <v>0.92059701492537316</v>
      </c>
      <c r="T99" s="38">
        <f t="shared" si="4"/>
        <v>-0.92059701492537316</v>
      </c>
      <c r="U99" s="38">
        <f t="shared" si="7"/>
        <v>46.201492537313435</v>
      </c>
      <c r="W99">
        <v>690.2</v>
      </c>
      <c r="Y99">
        <f t="shared" si="6"/>
        <v>51131.199999999983</v>
      </c>
      <c r="AA99">
        <v>9.2723223626770981</v>
      </c>
    </row>
    <row r="100" spans="1:27" x14ac:dyDescent="0.25">
      <c r="A100">
        <v>6440</v>
      </c>
      <c r="B100">
        <v>26330</v>
      </c>
      <c r="C100" s="1">
        <v>42678</v>
      </c>
      <c r="F100" s="61"/>
      <c r="G100">
        <v>7.2</v>
      </c>
      <c r="H100">
        <v>5.6</v>
      </c>
      <c r="I100">
        <v>8.5</v>
      </c>
      <c r="J100">
        <f t="shared" si="5"/>
        <v>777.20000000000016</v>
      </c>
      <c r="M100">
        <v>3.1</v>
      </c>
      <c r="N100">
        <v>0.4</v>
      </c>
      <c r="O100" s="37">
        <f t="shared" si="2"/>
        <v>2.7</v>
      </c>
      <c r="P100">
        <f t="shared" si="8"/>
        <v>31.200000000000006</v>
      </c>
      <c r="Q100">
        <v>59</v>
      </c>
      <c r="R100" s="38">
        <f t="shared" si="9"/>
        <v>0.77686567164179099</v>
      </c>
      <c r="S100" s="38">
        <f t="shared" si="3"/>
        <v>0.3107462686567164</v>
      </c>
      <c r="T100" s="38">
        <f t="shared" si="4"/>
        <v>2.7892537313432837</v>
      </c>
      <c r="U100" s="38">
        <f t="shared" si="7"/>
        <v>48.990746268656721</v>
      </c>
      <c r="W100">
        <v>155.80000000000001</v>
      </c>
      <c r="Y100">
        <f t="shared" si="6"/>
        <v>51286.999999999985</v>
      </c>
      <c r="AA100">
        <v>9.2169946784576471</v>
      </c>
    </row>
    <row r="101" spans="1:27" x14ac:dyDescent="0.25">
      <c r="A101">
        <v>6440</v>
      </c>
      <c r="B101">
        <v>26330</v>
      </c>
      <c r="C101" s="1">
        <v>42679</v>
      </c>
      <c r="F101" s="61"/>
      <c r="G101">
        <v>7.2</v>
      </c>
      <c r="H101">
        <v>5.9</v>
      </c>
      <c r="I101">
        <v>9.6999999999999993</v>
      </c>
      <c r="J101">
        <f t="shared" si="5"/>
        <v>784.4000000000002</v>
      </c>
      <c r="M101">
        <v>1.4</v>
      </c>
      <c r="N101">
        <v>0.7</v>
      </c>
      <c r="O101" s="37">
        <f t="shared" si="2"/>
        <v>0.7</v>
      </c>
      <c r="P101">
        <f t="shared" si="8"/>
        <v>31.900000000000006</v>
      </c>
      <c r="Q101">
        <v>60</v>
      </c>
      <c r="R101" s="38">
        <f t="shared" si="9"/>
        <v>0.78656716417910455</v>
      </c>
      <c r="S101" s="38">
        <f t="shared" si="3"/>
        <v>0.55059701492537316</v>
      </c>
      <c r="T101" s="38">
        <f t="shared" si="4"/>
        <v>0.84940298507462675</v>
      </c>
      <c r="U101" s="38">
        <f t="shared" si="7"/>
        <v>49.840149253731347</v>
      </c>
      <c r="W101">
        <v>287.89999999999998</v>
      </c>
      <c r="Y101">
        <f t="shared" si="6"/>
        <v>51574.899999999987</v>
      </c>
      <c r="AA101">
        <v>9.1622642447161393</v>
      </c>
    </row>
    <row r="102" spans="1:27" x14ac:dyDescent="0.25">
      <c r="A102">
        <v>6440</v>
      </c>
      <c r="B102">
        <v>26330</v>
      </c>
      <c r="C102" s="1">
        <v>42680</v>
      </c>
      <c r="F102" s="61"/>
      <c r="G102">
        <v>5</v>
      </c>
      <c r="H102">
        <v>3.3</v>
      </c>
      <c r="I102">
        <v>6.8</v>
      </c>
      <c r="J102">
        <f t="shared" si="5"/>
        <v>789.4000000000002</v>
      </c>
      <c r="M102">
        <v>0.8</v>
      </c>
      <c r="N102">
        <v>0.6</v>
      </c>
      <c r="O102" s="37">
        <f t="shared" si="2"/>
        <v>0.20000000000000007</v>
      </c>
      <c r="P102">
        <f t="shared" si="8"/>
        <v>32.100000000000009</v>
      </c>
      <c r="Q102">
        <v>61</v>
      </c>
      <c r="R102" s="38">
        <f t="shared" si="9"/>
        <v>0.79626865671641789</v>
      </c>
      <c r="S102" s="38">
        <f t="shared" si="3"/>
        <v>0.47776119402985073</v>
      </c>
      <c r="T102" s="38">
        <f t="shared" si="4"/>
        <v>0.32223880597014931</v>
      </c>
      <c r="U102" s="38">
        <f t="shared" si="7"/>
        <v>50.162388059701499</v>
      </c>
      <c r="W102">
        <v>373.1</v>
      </c>
      <c r="Y102">
        <f t="shared" si="6"/>
        <v>51947.999999999985</v>
      </c>
      <c r="AA102">
        <v>9.1081542156986242</v>
      </c>
    </row>
    <row r="103" spans="1:27" x14ac:dyDescent="0.25">
      <c r="A103">
        <v>6440</v>
      </c>
      <c r="B103">
        <v>26330</v>
      </c>
      <c r="C103" s="1">
        <v>42681</v>
      </c>
      <c r="F103" s="61"/>
      <c r="G103">
        <v>4.4000000000000004</v>
      </c>
      <c r="H103">
        <v>4</v>
      </c>
      <c r="I103">
        <v>5.7</v>
      </c>
      <c r="J103">
        <f t="shared" si="5"/>
        <v>793.80000000000018</v>
      </c>
      <c r="M103">
        <v>0.6</v>
      </c>
      <c r="N103">
        <v>0.4</v>
      </c>
      <c r="O103" s="37">
        <f t="shared" si="2"/>
        <v>0.19999999999999996</v>
      </c>
      <c r="P103">
        <f t="shared" si="8"/>
        <v>32.300000000000011</v>
      </c>
      <c r="Q103">
        <v>62</v>
      </c>
      <c r="R103" s="38">
        <f t="shared" si="9"/>
        <v>0.80597014925373134</v>
      </c>
      <c r="S103" s="38">
        <f t="shared" si="3"/>
        <v>0.32238805970149254</v>
      </c>
      <c r="T103" s="38">
        <f t="shared" si="4"/>
        <v>0.27761194029850744</v>
      </c>
      <c r="U103" s="38">
        <f t="shared" si="7"/>
        <v>50.440000000000005</v>
      </c>
      <c r="W103">
        <v>164.7</v>
      </c>
      <c r="Y103">
        <f t="shared" si="6"/>
        <v>52112.699999999983</v>
      </c>
      <c r="AA103">
        <v>9.05468823184213</v>
      </c>
    </row>
    <row r="104" spans="1:27" x14ac:dyDescent="0.25">
      <c r="A104">
        <v>6440</v>
      </c>
      <c r="B104">
        <v>26330</v>
      </c>
      <c r="C104" s="1">
        <v>42682</v>
      </c>
      <c r="F104" s="61"/>
      <c r="G104">
        <v>3.1</v>
      </c>
      <c r="H104">
        <v>1</v>
      </c>
      <c r="I104">
        <v>6.6</v>
      </c>
      <c r="J104">
        <f t="shared" si="5"/>
        <v>796.9000000000002</v>
      </c>
      <c r="M104">
        <v>1.5</v>
      </c>
      <c r="N104">
        <v>0.5</v>
      </c>
      <c r="O104" s="37">
        <f t="shared" si="2"/>
        <v>1</v>
      </c>
      <c r="P104">
        <f t="shared" si="8"/>
        <v>33.300000000000011</v>
      </c>
      <c r="Q104">
        <v>63</v>
      </c>
      <c r="R104" s="38">
        <f t="shared" si="9"/>
        <v>0.81567164179104479</v>
      </c>
      <c r="S104" s="38">
        <f t="shared" si="3"/>
        <v>0.40783582089552239</v>
      </c>
      <c r="T104" s="38">
        <f t="shared" si="4"/>
        <v>1.0921641791044776</v>
      </c>
      <c r="U104" s="38">
        <f t="shared" si="7"/>
        <v>51.532164179104484</v>
      </c>
      <c r="W104">
        <v>329.7</v>
      </c>
      <c r="Y104">
        <f t="shared" si="6"/>
        <v>52442.39999999998</v>
      </c>
      <c r="AA104">
        <v>9.001890407057358</v>
      </c>
    </row>
    <row r="105" spans="1:27" x14ac:dyDescent="0.25">
      <c r="A105">
        <v>6440</v>
      </c>
      <c r="B105">
        <v>26330</v>
      </c>
      <c r="C105" s="1">
        <v>42683</v>
      </c>
      <c r="E105" t="s">
        <v>60</v>
      </c>
      <c r="F105" s="61"/>
      <c r="G105">
        <v>5.9</v>
      </c>
      <c r="H105">
        <v>2.2000000000000002</v>
      </c>
      <c r="I105">
        <v>6.8</v>
      </c>
      <c r="J105">
        <f t="shared" si="5"/>
        <v>802.80000000000018</v>
      </c>
      <c r="M105">
        <v>15</v>
      </c>
      <c r="N105">
        <v>0</v>
      </c>
      <c r="O105" s="37">
        <f t="shared" si="2"/>
        <v>15</v>
      </c>
      <c r="P105">
        <f t="shared" si="8"/>
        <v>48.300000000000011</v>
      </c>
      <c r="Q105">
        <v>64</v>
      </c>
      <c r="R105" s="38">
        <f t="shared" si="9"/>
        <v>0.82537313432835813</v>
      </c>
      <c r="S105" s="38">
        <f t="shared" si="3"/>
        <v>0</v>
      </c>
      <c r="T105" s="38">
        <f t="shared" si="4"/>
        <v>15</v>
      </c>
      <c r="U105" s="38">
        <f t="shared" si="7"/>
        <v>66.532164179104484</v>
      </c>
      <c r="W105">
        <v>81.7</v>
      </c>
      <c r="Y105">
        <f t="shared" si="6"/>
        <v>52524.099999999977</v>
      </c>
      <c r="AA105" s="44">
        <v>8.9497853137582801</v>
      </c>
    </row>
    <row r="106" spans="1:27" x14ac:dyDescent="0.25">
      <c r="A106">
        <v>6440</v>
      </c>
      <c r="B106">
        <v>26330</v>
      </c>
      <c r="C106" s="1">
        <v>42684</v>
      </c>
      <c r="F106" s="61"/>
      <c r="G106">
        <v>7.1</v>
      </c>
      <c r="H106">
        <v>5.5</v>
      </c>
      <c r="I106">
        <v>9.4</v>
      </c>
      <c r="J106">
        <f t="shared" si="5"/>
        <v>809.9000000000002</v>
      </c>
      <c r="M106">
        <v>7.3</v>
      </c>
      <c r="N106">
        <v>0.6</v>
      </c>
      <c r="O106" s="37">
        <f t="shared" si="2"/>
        <v>6.7</v>
      </c>
      <c r="P106">
        <f t="shared" si="8"/>
        <v>55.000000000000014</v>
      </c>
      <c r="Q106">
        <v>65</v>
      </c>
      <c r="R106" s="38">
        <f t="shared" si="9"/>
        <v>0.83507462686567169</v>
      </c>
      <c r="S106" s="38">
        <f t="shared" si="3"/>
        <v>0.50104477611940301</v>
      </c>
      <c r="T106" s="38">
        <f t="shared" si="4"/>
        <v>6.798955223880597</v>
      </c>
      <c r="U106" s="38">
        <f t="shared" si="7"/>
        <v>73.331119402985081</v>
      </c>
      <c r="W106">
        <v>206.9</v>
      </c>
      <c r="Y106">
        <f t="shared" si="6"/>
        <v>52730.999999999978</v>
      </c>
      <c r="AA106" s="44">
        <v>8.8983979655440635</v>
      </c>
    </row>
    <row r="107" spans="1:27" x14ac:dyDescent="0.25">
      <c r="A107">
        <v>6440</v>
      </c>
      <c r="B107">
        <v>26330</v>
      </c>
      <c r="C107" s="1">
        <v>42685</v>
      </c>
      <c r="E107" s="44"/>
      <c r="F107" s="61"/>
      <c r="G107">
        <v>4</v>
      </c>
      <c r="H107">
        <v>2.4</v>
      </c>
      <c r="I107">
        <v>7.4</v>
      </c>
      <c r="J107">
        <f t="shared" si="5"/>
        <v>813.9000000000002</v>
      </c>
      <c r="M107">
        <v>0</v>
      </c>
      <c r="N107">
        <v>0.9</v>
      </c>
      <c r="O107" s="37">
        <f t="shared" ref="O107:O170" si="10">M107-N107</f>
        <v>-0.9</v>
      </c>
      <c r="P107">
        <f t="shared" si="8"/>
        <v>54.100000000000016</v>
      </c>
      <c r="Q107">
        <v>66</v>
      </c>
      <c r="R107" s="38">
        <f t="shared" si="9"/>
        <v>0.84477611940298503</v>
      </c>
      <c r="S107" s="38">
        <f t="shared" ref="S107:S170" si="11">R107*N107</f>
        <v>0.76029850746268657</v>
      </c>
      <c r="T107" s="38">
        <f t="shared" ref="T107:T170" si="12">M107-S107</f>
        <v>-0.76029850746268657</v>
      </c>
      <c r="U107" s="38">
        <f t="shared" si="7"/>
        <v>72.570820895522388</v>
      </c>
      <c r="W107">
        <v>798.2</v>
      </c>
      <c r="Y107">
        <f t="shared" si="6"/>
        <v>53529.199999999975</v>
      </c>
      <c r="AA107" s="44">
        <v>8.8477537974429534</v>
      </c>
    </row>
    <row r="108" spans="1:27" x14ac:dyDescent="0.25">
      <c r="A108">
        <v>6440</v>
      </c>
      <c r="B108">
        <v>26330</v>
      </c>
      <c r="C108" s="1">
        <v>42686</v>
      </c>
      <c r="E108" s="44"/>
      <c r="F108" s="61"/>
      <c r="G108">
        <v>2.6</v>
      </c>
      <c r="H108">
        <v>-1.3</v>
      </c>
      <c r="I108">
        <v>5.0999999999999996</v>
      </c>
      <c r="J108">
        <f t="shared" ref="J108:J171" si="13">J107+G108</f>
        <v>816.50000000000023</v>
      </c>
      <c r="M108">
        <v>2.7</v>
      </c>
      <c r="N108">
        <v>0.6</v>
      </c>
      <c r="O108" s="37">
        <f t="shared" si="10"/>
        <v>2.1</v>
      </c>
      <c r="P108">
        <f t="shared" si="8"/>
        <v>56.200000000000017</v>
      </c>
      <c r="Q108">
        <v>67</v>
      </c>
      <c r="R108" s="38">
        <f t="shared" si="9"/>
        <v>0.85447761194029848</v>
      </c>
      <c r="S108" s="38">
        <f t="shared" si="11"/>
        <v>0.51268656716417904</v>
      </c>
      <c r="T108" s="38">
        <f t="shared" si="12"/>
        <v>2.187313432835821</v>
      </c>
      <c r="U108" s="38">
        <f t="shared" ref="U108:U171" si="14">MIN(T108+U107,153.6)</f>
        <v>74.75813432835821</v>
      </c>
      <c r="W108">
        <v>581</v>
      </c>
      <c r="Y108">
        <f t="shared" ref="Y108:Y171" si="15">Y107+W108</f>
        <v>54110.199999999975</v>
      </c>
      <c r="AA108" s="44">
        <v>8.7978786436329113</v>
      </c>
    </row>
    <row r="109" spans="1:27" x14ac:dyDescent="0.25">
      <c r="A109">
        <v>6440</v>
      </c>
      <c r="B109">
        <v>26330</v>
      </c>
      <c r="C109" s="1">
        <v>42687</v>
      </c>
      <c r="F109" s="61"/>
      <c r="G109">
        <v>6.4</v>
      </c>
      <c r="H109">
        <v>4.5999999999999996</v>
      </c>
      <c r="I109">
        <v>7.8</v>
      </c>
      <c r="J109">
        <f t="shared" si="13"/>
        <v>822.9000000000002</v>
      </c>
      <c r="M109">
        <v>0.2</v>
      </c>
      <c r="N109">
        <v>0.2</v>
      </c>
      <c r="O109" s="37">
        <f t="shared" si="10"/>
        <v>0</v>
      </c>
      <c r="P109">
        <f t="shared" si="8"/>
        <v>56.200000000000017</v>
      </c>
      <c r="Q109">
        <v>68</v>
      </c>
      <c r="R109" s="38">
        <f t="shared" si="9"/>
        <v>0.86417910447761193</v>
      </c>
      <c r="S109" s="38">
        <f t="shared" si="11"/>
        <v>0.17283582089552241</v>
      </c>
      <c r="T109" s="38">
        <f t="shared" si="12"/>
        <v>2.7164179104477604E-2</v>
      </c>
      <c r="U109" s="38">
        <f t="shared" si="14"/>
        <v>74.785298507462684</v>
      </c>
      <c r="W109">
        <v>151</v>
      </c>
      <c r="Y109">
        <f t="shared" si="15"/>
        <v>54261.199999999975</v>
      </c>
      <c r="AA109" s="44">
        <v>8.7487987125604647</v>
      </c>
    </row>
    <row r="110" spans="1:27" x14ac:dyDescent="0.25">
      <c r="A110">
        <v>6440</v>
      </c>
      <c r="B110">
        <v>26330</v>
      </c>
      <c r="C110" s="1">
        <v>42688</v>
      </c>
      <c r="F110" s="61"/>
      <c r="G110">
        <v>6.9</v>
      </c>
      <c r="H110">
        <v>5.6</v>
      </c>
      <c r="I110">
        <v>9.9</v>
      </c>
      <c r="J110">
        <f t="shared" si="13"/>
        <v>829.80000000000018</v>
      </c>
      <c r="M110">
        <v>1.5</v>
      </c>
      <c r="N110">
        <v>0.5</v>
      </c>
      <c r="O110" s="37">
        <f t="shared" si="10"/>
        <v>1</v>
      </c>
      <c r="P110">
        <f t="shared" si="8"/>
        <v>57.200000000000017</v>
      </c>
      <c r="Q110">
        <v>69</v>
      </c>
      <c r="R110" s="38">
        <f t="shared" si="9"/>
        <v>0.87388059701492538</v>
      </c>
      <c r="S110" s="38">
        <f t="shared" si="11"/>
        <v>0.43694029850746269</v>
      </c>
      <c r="T110" s="38">
        <f t="shared" si="12"/>
        <v>1.0630597014925374</v>
      </c>
      <c r="U110" s="38">
        <f t="shared" si="14"/>
        <v>75.848358208955219</v>
      </c>
      <c r="W110">
        <v>83</v>
      </c>
      <c r="Y110">
        <f t="shared" si="15"/>
        <v>54344.199999999975</v>
      </c>
      <c r="AA110" s="44">
        <v>8.7005405593870435</v>
      </c>
    </row>
    <row r="111" spans="1:27" x14ac:dyDescent="0.25">
      <c r="A111">
        <v>6440</v>
      </c>
      <c r="B111">
        <v>26330</v>
      </c>
      <c r="C111" s="1">
        <v>42689</v>
      </c>
      <c r="F111" s="61"/>
      <c r="G111">
        <v>12.1</v>
      </c>
      <c r="H111">
        <v>7.6</v>
      </c>
      <c r="I111">
        <v>13.7</v>
      </c>
      <c r="J111">
        <f t="shared" si="13"/>
        <v>841.9000000000002</v>
      </c>
      <c r="M111">
        <v>3.7</v>
      </c>
      <c r="N111">
        <v>0.3</v>
      </c>
      <c r="O111" s="37">
        <f t="shared" si="10"/>
        <v>3.4000000000000004</v>
      </c>
      <c r="P111">
        <f t="shared" si="8"/>
        <v>60.600000000000016</v>
      </c>
      <c r="Q111">
        <v>70</v>
      </c>
      <c r="R111" s="38">
        <f t="shared" si="9"/>
        <v>0.88358208955223883</v>
      </c>
      <c r="S111" s="38">
        <f t="shared" si="11"/>
        <v>0.26507462686567163</v>
      </c>
      <c r="T111" s="38">
        <f t="shared" si="12"/>
        <v>3.4349253731343286</v>
      </c>
      <c r="U111" s="38">
        <f t="shared" si="14"/>
        <v>79.283283582089553</v>
      </c>
      <c r="W111">
        <v>164</v>
      </c>
      <c r="Y111">
        <f t="shared" si="15"/>
        <v>54508.199999999975</v>
      </c>
      <c r="AA111" s="44">
        <v>8.6531310557014525</v>
      </c>
    </row>
    <row r="112" spans="1:27" x14ac:dyDescent="0.25">
      <c r="A112">
        <v>6440</v>
      </c>
      <c r="B112">
        <v>26330</v>
      </c>
      <c r="C112" s="1">
        <v>42690</v>
      </c>
      <c r="F112" s="61"/>
      <c r="G112">
        <v>12.8</v>
      </c>
      <c r="H112">
        <v>12</v>
      </c>
      <c r="I112">
        <v>13.6</v>
      </c>
      <c r="J112">
        <f t="shared" si="13"/>
        <v>854.70000000000016</v>
      </c>
      <c r="M112">
        <v>4</v>
      </c>
      <c r="N112">
        <v>0.5</v>
      </c>
      <c r="O112" s="37">
        <f t="shared" si="10"/>
        <v>3.5</v>
      </c>
      <c r="P112">
        <f t="shared" si="8"/>
        <v>64.100000000000023</v>
      </c>
      <c r="Q112">
        <v>71</v>
      </c>
      <c r="R112" s="38">
        <f t="shared" si="9"/>
        <v>0.89328358208955216</v>
      </c>
      <c r="S112" s="38">
        <f t="shared" si="11"/>
        <v>0.44664179104477608</v>
      </c>
      <c r="T112" s="38">
        <f t="shared" si="12"/>
        <v>3.553358208955224</v>
      </c>
      <c r="U112" s="38">
        <f t="shared" si="14"/>
        <v>82.836641791044769</v>
      </c>
      <c r="W112">
        <v>134.19999999999999</v>
      </c>
      <c r="Y112">
        <f t="shared" si="15"/>
        <v>54642.399999999972</v>
      </c>
      <c r="AA112" s="44">
        <v>8.6065973564480753</v>
      </c>
    </row>
    <row r="113" spans="1:28" x14ac:dyDescent="0.25">
      <c r="A113">
        <v>6440</v>
      </c>
      <c r="B113">
        <v>26330</v>
      </c>
      <c r="C113" s="1">
        <v>42691</v>
      </c>
      <c r="F113" s="61"/>
      <c r="G113">
        <v>10.8</v>
      </c>
      <c r="H113">
        <v>9.6999999999999993</v>
      </c>
      <c r="I113">
        <v>11.8</v>
      </c>
      <c r="J113">
        <f t="shared" si="13"/>
        <v>865.50000000000011</v>
      </c>
      <c r="M113">
        <v>15.1</v>
      </c>
      <c r="N113">
        <v>0.9</v>
      </c>
      <c r="O113" s="37">
        <f t="shared" si="10"/>
        <v>14.2</v>
      </c>
      <c r="P113">
        <f t="shared" si="8"/>
        <v>78.300000000000026</v>
      </c>
      <c r="Q113">
        <v>72</v>
      </c>
      <c r="R113" s="38">
        <f t="shared" si="9"/>
        <v>0.90298507462686572</v>
      </c>
      <c r="S113" s="38">
        <f t="shared" si="11"/>
        <v>0.8126865671641792</v>
      </c>
      <c r="T113" s="38">
        <f t="shared" si="12"/>
        <v>14.28731343283582</v>
      </c>
      <c r="U113" s="38">
        <f t="shared" si="14"/>
        <v>97.123955223880586</v>
      </c>
      <c r="W113">
        <v>135.69999999999999</v>
      </c>
      <c r="Y113">
        <f t="shared" si="15"/>
        <v>54778.099999999969</v>
      </c>
      <c r="AA113" s="44">
        <v>8.5609668640327907</v>
      </c>
    </row>
    <row r="114" spans="1:28" x14ac:dyDescent="0.25">
      <c r="A114">
        <v>6440</v>
      </c>
      <c r="B114">
        <v>26330</v>
      </c>
      <c r="C114" s="1">
        <v>42692</v>
      </c>
      <c r="F114" s="61"/>
      <c r="G114">
        <v>6.9</v>
      </c>
      <c r="H114">
        <v>5.9</v>
      </c>
      <c r="I114">
        <v>8.1</v>
      </c>
      <c r="J114">
        <f t="shared" si="13"/>
        <v>872.40000000000009</v>
      </c>
      <c r="M114">
        <v>8.6999999999999993</v>
      </c>
      <c r="N114">
        <v>0.8</v>
      </c>
      <c r="O114" s="37">
        <f t="shared" si="10"/>
        <v>7.8999999999999995</v>
      </c>
      <c r="P114">
        <f t="shared" si="8"/>
        <v>86.200000000000031</v>
      </c>
      <c r="Q114">
        <v>73</v>
      </c>
      <c r="R114" s="38">
        <f t="shared" si="9"/>
        <v>0.91268656716417906</v>
      </c>
      <c r="S114" s="38">
        <f t="shared" si="11"/>
        <v>0.73014925373134332</v>
      </c>
      <c r="T114" s="38">
        <f t="shared" si="12"/>
        <v>7.9698507462686559</v>
      </c>
      <c r="U114" s="38">
        <f t="shared" si="14"/>
        <v>105.09380597014925</v>
      </c>
      <c r="W114">
        <v>115.1</v>
      </c>
      <c r="Y114">
        <f t="shared" si="15"/>
        <v>54893.199999999968</v>
      </c>
      <c r="AA114" s="44">
        <v>8.5162671895826296</v>
      </c>
    </row>
    <row r="115" spans="1:28" x14ac:dyDescent="0.25">
      <c r="A115">
        <v>6440</v>
      </c>
      <c r="B115">
        <v>26330</v>
      </c>
      <c r="C115" s="1">
        <v>42693</v>
      </c>
      <c r="F115" s="61"/>
      <c r="G115">
        <v>5.7</v>
      </c>
      <c r="H115">
        <v>4.5999999999999996</v>
      </c>
      <c r="I115">
        <v>8.6999999999999993</v>
      </c>
      <c r="J115">
        <f t="shared" si="13"/>
        <v>878.10000000000014</v>
      </c>
      <c r="M115">
        <v>1</v>
      </c>
      <c r="N115">
        <v>1.1000000000000001</v>
      </c>
      <c r="O115" s="37">
        <f t="shared" si="10"/>
        <v>-0.10000000000000009</v>
      </c>
      <c r="P115">
        <f t="shared" si="8"/>
        <v>86.100000000000037</v>
      </c>
      <c r="Q115">
        <v>74</v>
      </c>
      <c r="R115" s="38">
        <f t="shared" si="9"/>
        <v>0.92238805970149251</v>
      </c>
      <c r="S115" s="38">
        <f t="shared" si="11"/>
        <v>1.014626865671642</v>
      </c>
      <c r="T115" s="38">
        <f t="shared" si="12"/>
        <v>-1.4626865671641953E-2</v>
      </c>
      <c r="U115" s="38">
        <f t="shared" si="14"/>
        <v>105.0791791044776</v>
      </c>
      <c r="W115">
        <v>335.3</v>
      </c>
      <c r="Y115">
        <f t="shared" si="15"/>
        <v>55228.499999999971</v>
      </c>
      <c r="AA115" s="44">
        <v>8.4725261113510228</v>
      </c>
    </row>
    <row r="116" spans="1:28" x14ac:dyDescent="0.25">
      <c r="A116">
        <v>6440</v>
      </c>
      <c r="B116">
        <v>26330</v>
      </c>
      <c r="C116" s="1">
        <v>42694</v>
      </c>
      <c r="F116" s="61"/>
      <c r="G116">
        <v>9.9</v>
      </c>
      <c r="H116">
        <v>6.4</v>
      </c>
      <c r="I116">
        <v>12.6</v>
      </c>
      <c r="J116">
        <f t="shared" si="13"/>
        <v>888.00000000000011</v>
      </c>
      <c r="M116">
        <v>10.1</v>
      </c>
      <c r="N116">
        <v>1.3</v>
      </c>
      <c r="O116" s="37">
        <f t="shared" si="10"/>
        <v>8.7999999999999989</v>
      </c>
      <c r="P116">
        <f t="shared" ref="P116:P179" si="16">P115+O116</f>
        <v>94.900000000000034</v>
      </c>
      <c r="Q116">
        <v>75</v>
      </c>
      <c r="R116" s="38">
        <f t="shared" si="9"/>
        <v>0.93208955223880596</v>
      </c>
      <c r="S116" s="38">
        <f t="shared" si="11"/>
        <v>1.2117164179104478</v>
      </c>
      <c r="T116" s="38">
        <f t="shared" si="12"/>
        <v>8.8882835820895512</v>
      </c>
      <c r="U116" s="38">
        <f t="shared" si="14"/>
        <v>113.96746268656716</v>
      </c>
      <c r="W116">
        <v>260.10000000000002</v>
      </c>
      <c r="Y116">
        <f t="shared" si="15"/>
        <v>55488.599999999969</v>
      </c>
      <c r="AA116" s="44">
        <v>8.4297715302778098</v>
      </c>
    </row>
    <row r="117" spans="1:28" x14ac:dyDescent="0.25">
      <c r="A117">
        <v>6440</v>
      </c>
      <c r="B117">
        <v>26330</v>
      </c>
      <c r="C117" s="1">
        <v>42695</v>
      </c>
      <c r="F117" s="61"/>
      <c r="G117">
        <v>12.5</v>
      </c>
      <c r="H117">
        <v>9.6</v>
      </c>
      <c r="I117">
        <v>14.3</v>
      </c>
      <c r="J117">
        <f t="shared" si="13"/>
        <v>900.50000000000011</v>
      </c>
      <c r="M117">
        <v>0.4</v>
      </c>
      <c r="N117">
        <v>0.9</v>
      </c>
      <c r="O117" s="37">
        <f t="shared" si="10"/>
        <v>-0.5</v>
      </c>
      <c r="P117">
        <f t="shared" si="16"/>
        <v>94.400000000000034</v>
      </c>
      <c r="Q117">
        <v>76</v>
      </c>
      <c r="R117" s="38">
        <f t="shared" si="9"/>
        <v>0.94179104477611941</v>
      </c>
      <c r="S117" s="38">
        <f t="shared" si="11"/>
        <v>0.8476119402985075</v>
      </c>
      <c r="T117" s="38">
        <f t="shared" si="12"/>
        <v>-0.44761194029850748</v>
      </c>
      <c r="U117" s="38">
        <f t="shared" si="14"/>
        <v>113.51985074626866</v>
      </c>
      <c r="W117">
        <v>174.7</v>
      </c>
      <c r="Y117">
        <f t="shared" si="15"/>
        <v>55663.299999999967</v>
      </c>
      <c r="AA117" s="44">
        <v>8.3880314227321318</v>
      </c>
    </row>
    <row r="118" spans="1:28" x14ac:dyDescent="0.25">
      <c r="A118">
        <v>6440</v>
      </c>
      <c r="B118">
        <v>26330</v>
      </c>
      <c r="C118" s="1">
        <v>42696</v>
      </c>
      <c r="F118" s="61"/>
      <c r="G118">
        <v>9.8000000000000007</v>
      </c>
      <c r="H118">
        <v>8.1999999999999993</v>
      </c>
      <c r="I118">
        <v>11.7</v>
      </c>
      <c r="J118">
        <f t="shared" si="13"/>
        <v>910.30000000000007</v>
      </c>
      <c r="M118">
        <v>2.2999999999999998</v>
      </c>
      <c r="N118">
        <v>1.1000000000000001</v>
      </c>
      <c r="O118" s="37">
        <f t="shared" si="10"/>
        <v>1.1999999999999997</v>
      </c>
      <c r="P118">
        <f t="shared" si="16"/>
        <v>95.600000000000037</v>
      </c>
      <c r="Q118">
        <v>77</v>
      </c>
      <c r="R118" s="38">
        <f t="shared" si="9"/>
        <v>0.95149253731343286</v>
      </c>
      <c r="S118" s="38">
        <f t="shared" si="11"/>
        <v>1.0466417910447763</v>
      </c>
      <c r="T118" s="38">
        <f t="shared" si="12"/>
        <v>1.2533582089552235</v>
      </c>
      <c r="U118" s="38">
        <f t="shared" si="14"/>
        <v>114.77320895522388</v>
      </c>
      <c r="W118">
        <v>507.8</v>
      </c>
      <c r="Y118">
        <f t="shared" si="15"/>
        <v>56171.099999999969</v>
      </c>
      <c r="AA118" s="44">
        <v>8.3473337904871094</v>
      </c>
    </row>
    <row r="119" spans="1:28" x14ac:dyDescent="0.25">
      <c r="A119">
        <v>6440</v>
      </c>
      <c r="B119">
        <v>26330</v>
      </c>
      <c r="C119" s="1">
        <v>42697</v>
      </c>
      <c r="F119" s="61"/>
      <c r="G119">
        <v>9.3000000000000007</v>
      </c>
      <c r="H119">
        <v>6.8</v>
      </c>
      <c r="I119">
        <v>10.7</v>
      </c>
      <c r="J119">
        <f t="shared" si="13"/>
        <v>919.6</v>
      </c>
      <c r="M119">
        <v>2.9</v>
      </c>
      <c r="N119">
        <v>0.1</v>
      </c>
      <c r="O119" s="37">
        <f t="shared" si="10"/>
        <v>2.8</v>
      </c>
      <c r="P119">
        <f t="shared" si="16"/>
        <v>98.400000000000034</v>
      </c>
      <c r="Q119">
        <v>78</v>
      </c>
      <c r="R119" s="38">
        <f t="shared" si="9"/>
        <v>0.96119402985074631</v>
      </c>
      <c r="S119" s="38">
        <f t="shared" si="11"/>
        <v>9.611940298507464E-2</v>
      </c>
      <c r="T119" s="38">
        <f t="shared" si="12"/>
        <v>2.8038805970149254</v>
      </c>
      <c r="U119" s="38">
        <f t="shared" si="14"/>
        <v>117.5770895522388</v>
      </c>
      <c r="W119">
        <v>140</v>
      </c>
      <c r="Y119">
        <f t="shared" si="15"/>
        <v>56311.099999999969</v>
      </c>
      <c r="AA119" s="44">
        <v>8.3077066079971047</v>
      </c>
    </row>
    <row r="120" spans="1:28" x14ac:dyDescent="0.25">
      <c r="A120">
        <v>6440</v>
      </c>
      <c r="B120">
        <v>26330</v>
      </c>
      <c r="C120" s="1">
        <v>42698</v>
      </c>
      <c r="F120" s="61"/>
      <c r="G120">
        <v>9.3000000000000007</v>
      </c>
      <c r="H120">
        <v>8.5</v>
      </c>
      <c r="I120">
        <v>11.7</v>
      </c>
      <c r="J120">
        <f t="shared" si="13"/>
        <v>928.9</v>
      </c>
      <c r="M120">
        <v>0</v>
      </c>
      <c r="N120">
        <v>1.2</v>
      </c>
      <c r="O120" s="37">
        <f t="shared" si="10"/>
        <v>-1.2</v>
      </c>
      <c r="P120">
        <f t="shared" si="16"/>
        <v>97.200000000000031</v>
      </c>
      <c r="Q120">
        <v>79</v>
      </c>
      <c r="R120" s="38">
        <f t="shared" si="9"/>
        <v>0.97089552238805965</v>
      </c>
      <c r="S120" s="38">
        <f t="shared" si="11"/>
        <v>1.1650746268656715</v>
      </c>
      <c r="T120" s="38">
        <f t="shared" si="12"/>
        <v>-1.1650746268656715</v>
      </c>
      <c r="U120" s="38">
        <f t="shared" si="14"/>
        <v>116.41201492537313</v>
      </c>
      <c r="W120">
        <v>533</v>
      </c>
      <c r="Y120">
        <f t="shared" si="15"/>
        <v>56844.099999999969</v>
      </c>
      <c r="AA120" s="44">
        <v>8.2691777670720636</v>
      </c>
    </row>
    <row r="121" spans="1:28" x14ac:dyDescent="0.25">
      <c r="A121">
        <v>6440</v>
      </c>
      <c r="B121">
        <v>26330</v>
      </c>
      <c r="C121" s="1">
        <v>42699</v>
      </c>
      <c r="F121" s="61"/>
      <c r="G121">
        <v>6.3</v>
      </c>
      <c r="H121">
        <v>5</v>
      </c>
      <c r="I121">
        <v>8.4</v>
      </c>
      <c r="J121">
        <f t="shared" si="13"/>
        <v>935.19999999999993</v>
      </c>
      <c r="M121">
        <v>0</v>
      </c>
      <c r="N121">
        <v>1</v>
      </c>
      <c r="O121" s="37">
        <f t="shared" si="10"/>
        <v>-1</v>
      </c>
      <c r="P121">
        <f t="shared" si="16"/>
        <v>96.200000000000031</v>
      </c>
      <c r="Q121">
        <v>80</v>
      </c>
      <c r="R121" s="38">
        <f t="shared" si="9"/>
        <v>0.9805970149253731</v>
      </c>
      <c r="S121" s="38">
        <f t="shared" si="11"/>
        <v>0.9805970149253731</v>
      </c>
      <c r="T121" s="38">
        <f t="shared" si="12"/>
        <v>-0.9805970149253731</v>
      </c>
      <c r="U121" s="38">
        <f t="shared" si="14"/>
        <v>115.43141791044775</v>
      </c>
      <c r="W121">
        <v>670.9</v>
      </c>
      <c r="Y121">
        <f t="shared" si="15"/>
        <v>57514.999999999971</v>
      </c>
      <c r="AA121" s="44">
        <v>8.2317750190681327</v>
      </c>
    </row>
    <row r="122" spans="1:28" x14ac:dyDescent="0.25">
      <c r="A122">
        <v>6440</v>
      </c>
      <c r="B122">
        <v>26330</v>
      </c>
      <c r="C122" s="1">
        <v>42700</v>
      </c>
      <c r="F122" s="61"/>
      <c r="G122">
        <v>6.1</v>
      </c>
      <c r="H122">
        <v>5.2</v>
      </c>
      <c r="I122">
        <v>7.3</v>
      </c>
      <c r="J122">
        <f t="shared" si="13"/>
        <v>941.3</v>
      </c>
      <c r="M122">
        <v>0</v>
      </c>
      <c r="N122">
        <v>0.5</v>
      </c>
      <c r="O122" s="37">
        <f t="shared" si="10"/>
        <v>-0.5</v>
      </c>
      <c r="P122">
        <f t="shared" si="16"/>
        <v>95.700000000000031</v>
      </c>
      <c r="Q122">
        <v>81</v>
      </c>
      <c r="R122" s="38">
        <f t="shared" ref="R122:R123" si="17">0.35+((Q122-15)/67)*(1-0.35)</f>
        <v>0.99029850746268655</v>
      </c>
      <c r="S122" s="38">
        <f t="shared" si="11"/>
        <v>0.49514925373134328</v>
      </c>
      <c r="T122" s="38">
        <f t="shared" si="12"/>
        <v>-0.49514925373134328</v>
      </c>
      <c r="U122" s="38">
        <f t="shared" si="14"/>
        <v>114.93626865671641</v>
      </c>
      <c r="W122">
        <v>132.80000000000001</v>
      </c>
      <c r="Y122">
        <f t="shared" si="15"/>
        <v>57647.799999999974</v>
      </c>
      <c r="AA122" s="44">
        <v>8.1955259147395338</v>
      </c>
    </row>
    <row r="123" spans="1:28" s="13" customFormat="1" ht="15.75" thickBot="1" x14ac:dyDescent="0.3">
      <c r="A123" s="13">
        <v>6440</v>
      </c>
      <c r="B123" s="13">
        <v>26330</v>
      </c>
      <c r="C123" s="14">
        <v>42701</v>
      </c>
      <c r="F123" s="62"/>
      <c r="G123" s="13">
        <v>5.3</v>
      </c>
      <c r="H123" s="13">
        <v>3</v>
      </c>
      <c r="I123" s="13">
        <v>9</v>
      </c>
      <c r="J123" s="13">
        <f t="shared" si="13"/>
        <v>946.59999999999991</v>
      </c>
      <c r="L123" s="26"/>
      <c r="M123" s="13">
        <v>0</v>
      </c>
      <c r="N123" s="13">
        <v>0.5</v>
      </c>
      <c r="O123" s="19">
        <f t="shared" si="10"/>
        <v>-0.5</v>
      </c>
      <c r="P123" s="17">
        <f t="shared" si="16"/>
        <v>95.200000000000031</v>
      </c>
      <c r="Q123" s="17">
        <v>82</v>
      </c>
      <c r="R123" s="43">
        <f t="shared" si="17"/>
        <v>1</v>
      </c>
      <c r="S123" s="43">
        <f t="shared" si="11"/>
        <v>0.5</v>
      </c>
      <c r="T123" s="43">
        <f t="shared" si="12"/>
        <v>-0.5</v>
      </c>
      <c r="U123" s="38">
        <f t="shared" si="14"/>
        <v>114.43626865671641</v>
      </c>
      <c r="W123" s="13">
        <v>204.4</v>
      </c>
      <c r="Y123" s="13">
        <f t="shared" si="15"/>
        <v>57852.199999999975</v>
      </c>
      <c r="AA123" s="45">
        <v>8.1604577419234996</v>
      </c>
    </row>
    <row r="124" spans="1:28" x14ac:dyDescent="0.25">
      <c r="A124">
        <v>6440</v>
      </c>
      <c r="B124">
        <v>26330</v>
      </c>
      <c r="C124" s="1">
        <v>42702</v>
      </c>
      <c r="D124" t="s">
        <v>19</v>
      </c>
      <c r="E124" s="44">
        <v>1</v>
      </c>
      <c r="F124" s="63" t="s">
        <v>23</v>
      </c>
      <c r="G124">
        <v>2.7</v>
      </c>
      <c r="H124">
        <v>2</v>
      </c>
      <c r="I124">
        <v>5.2</v>
      </c>
      <c r="J124">
        <f t="shared" si="13"/>
        <v>949.3</v>
      </c>
      <c r="K124">
        <f>G124</f>
        <v>2.7</v>
      </c>
      <c r="L124" s="27" t="s">
        <v>29</v>
      </c>
      <c r="M124">
        <v>0</v>
      </c>
      <c r="N124">
        <v>1</v>
      </c>
      <c r="O124" s="37">
        <f t="shared" si="10"/>
        <v>-1</v>
      </c>
      <c r="P124">
        <f t="shared" si="16"/>
        <v>94.200000000000031</v>
      </c>
      <c r="Q124">
        <v>83</v>
      </c>
      <c r="R124">
        <v>1</v>
      </c>
      <c r="S124">
        <f t="shared" si="11"/>
        <v>1</v>
      </c>
      <c r="T124">
        <f t="shared" si="12"/>
        <v>-1</v>
      </c>
      <c r="U124" s="38">
        <f t="shared" si="14"/>
        <v>113.43626865671641</v>
      </c>
      <c r="V124" s="12" t="s">
        <v>51</v>
      </c>
      <c r="W124">
        <v>602.29999999999995</v>
      </c>
      <c r="Y124">
        <f t="shared" si="15"/>
        <v>58454.499999999978</v>
      </c>
      <c r="Z124">
        <f>W124</f>
        <v>602.29999999999995</v>
      </c>
      <c r="AA124" s="44">
        <v>8.1265974612571998</v>
      </c>
      <c r="AB124" s="12" t="s">
        <v>56</v>
      </c>
    </row>
    <row r="125" spans="1:28" x14ac:dyDescent="0.25">
      <c r="A125">
        <v>6440</v>
      </c>
      <c r="B125">
        <v>26330</v>
      </c>
      <c r="C125" s="1">
        <v>42703</v>
      </c>
      <c r="E125" s="44">
        <v>2</v>
      </c>
      <c r="F125" s="64"/>
      <c r="G125">
        <v>-0.3</v>
      </c>
      <c r="H125">
        <v>-2.2000000000000002</v>
      </c>
      <c r="I125">
        <v>2.2999999999999998</v>
      </c>
      <c r="J125">
        <v>949.3</v>
      </c>
      <c r="K125">
        <v>2.7</v>
      </c>
      <c r="L125" s="22">
        <v>277.89999999999998</v>
      </c>
      <c r="M125">
        <v>0</v>
      </c>
      <c r="N125">
        <v>0.7</v>
      </c>
      <c r="O125" s="37">
        <f t="shared" si="10"/>
        <v>-0.7</v>
      </c>
      <c r="P125">
        <f t="shared" si="16"/>
        <v>93.500000000000028</v>
      </c>
      <c r="Q125">
        <v>84</v>
      </c>
      <c r="R125">
        <v>1</v>
      </c>
      <c r="S125">
        <f t="shared" si="11"/>
        <v>0.7</v>
      </c>
      <c r="T125">
        <f t="shared" si="12"/>
        <v>-0.7</v>
      </c>
      <c r="U125" s="38">
        <f t="shared" si="14"/>
        <v>112.7362686567164</v>
      </c>
      <c r="V125">
        <v>0</v>
      </c>
      <c r="W125">
        <v>658</v>
      </c>
      <c r="Y125">
        <f t="shared" si="15"/>
        <v>59112.499999999978</v>
      </c>
      <c r="Z125">
        <f>Z124+W125</f>
        <v>1260.3</v>
      </c>
      <c r="AA125" s="44">
        <v>8.0939716401532422</v>
      </c>
      <c r="AB125">
        <v>26464.1</v>
      </c>
    </row>
    <row r="126" spans="1:28" x14ac:dyDescent="0.25">
      <c r="A126">
        <v>6440</v>
      </c>
      <c r="B126">
        <v>26330</v>
      </c>
      <c r="C126" s="1">
        <v>42704</v>
      </c>
      <c r="E126" s="44">
        <v>3</v>
      </c>
      <c r="F126" s="64"/>
      <c r="G126">
        <v>-0.6</v>
      </c>
      <c r="H126">
        <v>-5.3</v>
      </c>
      <c r="I126">
        <v>4.3</v>
      </c>
      <c r="J126">
        <v>949.3</v>
      </c>
      <c r="K126">
        <v>2.7</v>
      </c>
      <c r="L126" s="27" t="s">
        <v>30</v>
      </c>
      <c r="M126">
        <v>0</v>
      </c>
      <c r="N126">
        <v>0.4</v>
      </c>
      <c r="O126" s="37">
        <f t="shared" si="10"/>
        <v>-0.4</v>
      </c>
      <c r="P126">
        <f t="shared" si="16"/>
        <v>93.100000000000023</v>
      </c>
      <c r="Q126">
        <v>85</v>
      </c>
      <c r="R126">
        <v>1</v>
      </c>
      <c r="S126">
        <f t="shared" si="11"/>
        <v>0.4</v>
      </c>
      <c r="T126">
        <f t="shared" si="12"/>
        <v>-0.4</v>
      </c>
      <c r="U126" s="38">
        <f t="shared" si="14"/>
        <v>112.3362686567164</v>
      </c>
      <c r="V126" s="12" t="s">
        <v>52</v>
      </c>
      <c r="W126">
        <v>647.70000000000005</v>
      </c>
      <c r="Y126">
        <f t="shared" si="15"/>
        <v>59760.199999999975</v>
      </c>
      <c r="Z126">
        <f t="shared" ref="Z126:Z189" si="18">Z125+W126</f>
        <v>1908</v>
      </c>
      <c r="AA126" s="44">
        <v>8.0626063852877632</v>
      </c>
      <c r="AB126" s="12" t="s">
        <v>57</v>
      </c>
    </row>
    <row r="127" spans="1:28" x14ac:dyDescent="0.25">
      <c r="A127">
        <v>6440</v>
      </c>
      <c r="B127">
        <v>26330</v>
      </c>
      <c r="C127" s="1">
        <v>42705</v>
      </c>
      <c r="E127" s="44">
        <v>4</v>
      </c>
      <c r="F127" s="64"/>
      <c r="G127">
        <v>3.5</v>
      </c>
      <c r="H127">
        <v>-1.2</v>
      </c>
      <c r="I127">
        <v>7.9</v>
      </c>
      <c r="J127">
        <f t="shared" si="13"/>
        <v>952.8</v>
      </c>
      <c r="K127">
        <f t="shared" ref="K127:K190" si="19">K126+G127</f>
        <v>6.2</v>
      </c>
      <c r="L127" s="22">
        <f>AVERAGE(G124:G200)</f>
        <v>3.2857142857142847</v>
      </c>
      <c r="M127">
        <v>0.1</v>
      </c>
      <c r="N127">
        <v>0.6</v>
      </c>
      <c r="O127" s="37">
        <f t="shared" si="10"/>
        <v>-0.5</v>
      </c>
      <c r="P127">
        <f t="shared" si="16"/>
        <v>92.600000000000023</v>
      </c>
      <c r="Q127">
        <v>86</v>
      </c>
      <c r="R127">
        <v>1</v>
      </c>
      <c r="S127">
        <f t="shared" si="11"/>
        <v>0.6</v>
      </c>
      <c r="T127">
        <f t="shared" si="12"/>
        <v>-0.5</v>
      </c>
      <c r="U127" s="38">
        <f t="shared" si="14"/>
        <v>111.8362686567164</v>
      </c>
      <c r="V127">
        <v>0</v>
      </c>
      <c r="W127">
        <v>611.5</v>
      </c>
      <c r="Y127">
        <f t="shared" si="15"/>
        <v>60371.699999999975</v>
      </c>
      <c r="Z127">
        <f t="shared" si="18"/>
        <v>2519.5</v>
      </c>
      <c r="AA127" s="44">
        <v>8.0325272738822058</v>
      </c>
      <c r="AB127">
        <f>(AB125/100)/L125</f>
        <v>0.95228859301907154</v>
      </c>
    </row>
    <row r="128" spans="1:28" x14ac:dyDescent="0.25">
      <c r="A128">
        <v>6440</v>
      </c>
      <c r="B128">
        <v>26330</v>
      </c>
      <c r="C128" s="1">
        <v>42706</v>
      </c>
      <c r="F128" s="64"/>
      <c r="G128">
        <v>6.2</v>
      </c>
      <c r="H128">
        <v>4.2</v>
      </c>
      <c r="I128">
        <v>8</v>
      </c>
      <c r="J128">
        <f t="shared" si="13"/>
        <v>959</v>
      </c>
      <c r="K128">
        <f t="shared" si="19"/>
        <v>12.4</v>
      </c>
      <c r="L128" s="27" t="s">
        <v>31</v>
      </c>
      <c r="M128">
        <v>0.2</v>
      </c>
      <c r="N128">
        <v>0.2</v>
      </c>
      <c r="O128" s="37">
        <f t="shared" si="10"/>
        <v>0</v>
      </c>
      <c r="P128">
        <f t="shared" si="16"/>
        <v>92.600000000000023</v>
      </c>
      <c r="Q128">
        <v>87</v>
      </c>
      <c r="R128">
        <v>1</v>
      </c>
      <c r="S128">
        <f t="shared" si="11"/>
        <v>0.2</v>
      </c>
      <c r="T128">
        <f t="shared" si="12"/>
        <v>0</v>
      </c>
      <c r="U128" s="38">
        <f t="shared" si="14"/>
        <v>111.8362686567164</v>
      </c>
      <c r="V128" s="12" t="s">
        <v>53</v>
      </c>
      <c r="W128">
        <v>124.3</v>
      </c>
      <c r="Y128">
        <f t="shared" si="15"/>
        <v>60495.999999999978</v>
      </c>
      <c r="Z128">
        <f t="shared" si="18"/>
        <v>2643.8</v>
      </c>
      <c r="AA128" s="44">
        <v>8.0037592840860761</v>
      </c>
      <c r="AB128" s="12" t="s">
        <v>58</v>
      </c>
    </row>
    <row r="129" spans="1:28" x14ac:dyDescent="0.25">
      <c r="A129">
        <v>6440</v>
      </c>
      <c r="B129">
        <v>26330</v>
      </c>
      <c r="C129" s="1">
        <v>42707</v>
      </c>
      <c r="E129" s="44">
        <v>5</v>
      </c>
      <c r="F129" s="64"/>
      <c r="G129">
        <v>2.2999999999999998</v>
      </c>
      <c r="H129">
        <v>1.5</v>
      </c>
      <c r="I129">
        <v>3.3</v>
      </c>
      <c r="J129">
        <f t="shared" si="13"/>
        <v>961.3</v>
      </c>
      <c r="K129">
        <f t="shared" si="19"/>
        <v>14.7</v>
      </c>
      <c r="L129" s="25">
        <f>MIN(H124:H200)</f>
        <v>-5.7</v>
      </c>
      <c r="M129">
        <v>0</v>
      </c>
      <c r="N129">
        <v>0.2</v>
      </c>
      <c r="O129" s="37">
        <f t="shared" si="10"/>
        <v>-0.2</v>
      </c>
      <c r="P129">
        <f t="shared" si="16"/>
        <v>92.40000000000002</v>
      </c>
      <c r="Q129">
        <v>88</v>
      </c>
      <c r="R129">
        <v>1</v>
      </c>
      <c r="S129">
        <f t="shared" si="11"/>
        <v>0.2</v>
      </c>
      <c r="T129">
        <f t="shared" si="12"/>
        <v>-0.2</v>
      </c>
      <c r="U129" s="38">
        <f t="shared" si="14"/>
        <v>111.6362686567164</v>
      </c>
      <c r="V129" s="38">
        <f>MIN(U124:U200)</f>
        <v>107.8362686567164</v>
      </c>
      <c r="W129">
        <v>595.4</v>
      </c>
      <c r="Y129">
        <f t="shared" si="15"/>
        <v>61091.39999999998</v>
      </c>
      <c r="Z129">
        <f t="shared" si="18"/>
        <v>3239.2000000000003</v>
      </c>
      <c r="AA129" s="44">
        <v>7.9763267247929264</v>
      </c>
      <c r="AB129">
        <v>77</v>
      </c>
    </row>
    <row r="130" spans="1:28" x14ac:dyDescent="0.25">
      <c r="A130">
        <v>6440</v>
      </c>
      <c r="B130">
        <v>26330</v>
      </c>
      <c r="C130" s="1">
        <v>42708</v>
      </c>
      <c r="E130" s="44">
        <v>6</v>
      </c>
      <c r="F130" s="64"/>
      <c r="G130">
        <v>1.3</v>
      </c>
      <c r="H130">
        <v>-0.9</v>
      </c>
      <c r="I130">
        <v>4.2</v>
      </c>
      <c r="J130">
        <f t="shared" si="13"/>
        <v>962.59999999999991</v>
      </c>
      <c r="K130">
        <f t="shared" si="19"/>
        <v>16</v>
      </c>
      <c r="L130" s="27" t="s">
        <v>32</v>
      </c>
      <c r="M130">
        <v>0</v>
      </c>
      <c r="N130">
        <v>0.8</v>
      </c>
      <c r="O130" s="37">
        <f t="shared" si="10"/>
        <v>-0.8</v>
      </c>
      <c r="P130">
        <f t="shared" si="16"/>
        <v>91.600000000000023</v>
      </c>
      <c r="Q130">
        <v>89</v>
      </c>
      <c r="R130">
        <v>1</v>
      </c>
      <c r="S130">
        <f t="shared" si="11"/>
        <v>0.8</v>
      </c>
      <c r="T130">
        <f t="shared" si="12"/>
        <v>-0.8</v>
      </c>
      <c r="U130" s="38">
        <f t="shared" si="14"/>
        <v>110.8362686567164</v>
      </c>
      <c r="V130" s="12" t="s">
        <v>54</v>
      </c>
      <c r="W130">
        <v>624.70000000000005</v>
      </c>
      <c r="Y130">
        <f t="shared" si="15"/>
        <v>61716.099999999977</v>
      </c>
      <c r="Z130">
        <f t="shared" si="18"/>
        <v>3863.9000000000005</v>
      </c>
      <c r="AA130" s="44">
        <v>7.9502531652450337</v>
      </c>
      <c r="AB130" t="s">
        <v>61</v>
      </c>
    </row>
    <row r="131" spans="1:28" x14ac:dyDescent="0.25">
      <c r="A131">
        <v>6440</v>
      </c>
      <c r="B131">
        <v>26330</v>
      </c>
      <c r="C131" s="1">
        <v>42709</v>
      </c>
      <c r="E131" s="44">
        <v>7</v>
      </c>
      <c r="F131" s="64"/>
      <c r="G131">
        <v>1.7</v>
      </c>
      <c r="H131">
        <v>-1.7</v>
      </c>
      <c r="I131">
        <v>4.3</v>
      </c>
      <c r="J131">
        <f t="shared" si="13"/>
        <v>964.3</v>
      </c>
      <c r="K131">
        <f t="shared" si="19"/>
        <v>17.7</v>
      </c>
      <c r="L131" s="22">
        <f>MAX(I124:I200)</f>
        <v>12.2</v>
      </c>
      <c r="M131">
        <v>0</v>
      </c>
      <c r="N131">
        <v>0.3</v>
      </c>
      <c r="O131" s="37">
        <f t="shared" si="10"/>
        <v>-0.3</v>
      </c>
      <c r="P131">
        <f t="shared" si="16"/>
        <v>91.300000000000026</v>
      </c>
      <c r="Q131">
        <v>90</v>
      </c>
      <c r="R131">
        <v>1</v>
      </c>
      <c r="S131">
        <f t="shared" si="11"/>
        <v>0.3</v>
      </c>
      <c r="T131">
        <f t="shared" si="12"/>
        <v>-0.3</v>
      </c>
      <c r="U131" s="38">
        <f t="shared" si="14"/>
        <v>110.5362686567164</v>
      </c>
      <c r="V131" s="38">
        <f>MAX(U124:U200)</f>
        <v>153.6</v>
      </c>
      <c r="W131">
        <v>588</v>
      </c>
      <c r="Y131">
        <f t="shared" si="15"/>
        <v>62304.099999999977</v>
      </c>
      <c r="Z131">
        <f t="shared" si="18"/>
        <v>4451.9000000000005</v>
      </c>
      <c r="AA131" s="44">
        <v>7.9255613648033085</v>
      </c>
      <c r="AB131">
        <v>42</v>
      </c>
    </row>
    <row r="132" spans="1:28" x14ac:dyDescent="0.25">
      <c r="A132">
        <v>6440</v>
      </c>
      <c r="B132">
        <v>26330</v>
      </c>
      <c r="C132" s="1">
        <v>42710</v>
      </c>
      <c r="E132" s="44">
        <v>8</v>
      </c>
      <c r="F132" s="64"/>
      <c r="G132">
        <v>3.1</v>
      </c>
      <c r="H132">
        <v>0.1</v>
      </c>
      <c r="I132">
        <v>6.1</v>
      </c>
      <c r="J132">
        <f t="shared" si="13"/>
        <v>967.4</v>
      </c>
      <c r="K132">
        <f t="shared" si="19"/>
        <v>20.8</v>
      </c>
      <c r="L132" s="27" t="s">
        <v>33</v>
      </c>
      <c r="M132">
        <v>0</v>
      </c>
      <c r="N132">
        <v>0.5</v>
      </c>
      <c r="O132" s="37">
        <f t="shared" si="10"/>
        <v>-0.5</v>
      </c>
      <c r="P132">
        <f t="shared" si="16"/>
        <v>90.800000000000026</v>
      </c>
      <c r="Q132">
        <v>91</v>
      </c>
      <c r="R132">
        <v>1</v>
      </c>
      <c r="S132">
        <f t="shared" si="11"/>
        <v>0.5</v>
      </c>
      <c r="T132">
        <f t="shared" si="12"/>
        <v>-0.5</v>
      </c>
      <c r="U132" s="38">
        <f t="shared" si="14"/>
        <v>110.0362686567164</v>
      </c>
      <c r="V132" s="12" t="s">
        <v>55</v>
      </c>
      <c r="W132">
        <v>611.6</v>
      </c>
      <c r="Y132">
        <f t="shared" si="15"/>
        <v>62915.699999999975</v>
      </c>
      <c r="Z132">
        <f t="shared" si="18"/>
        <v>5063.5000000000009</v>
      </c>
      <c r="AA132" s="44">
        <v>7.9022732032773471</v>
      </c>
    </row>
    <row r="133" spans="1:28" x14ac:dyDescent="0.25">
      <c r="A133">
        <v>6440</v>
      </c>
      <c r="B133">
        <v>26330</v>
      </c>
      <c r="C133" s="1">
        <v>42711</v>
      </c>
      <c r="F133" s="64"/>
      <c r="G133">
        <v>5.5</v>
      </c>
      <c r="H133">
        <v>2.2000000000000002</v>
      </c>
      <c r="I133">
        <v>8.6999999999999993</v>
      </c>
      <c r="J133">
        <f t="shared" si="13"/>
        <v>972.9</v>
      </c>
      <c r="K133">
        <f t="shared" si="19"/>
        <v>26.3</v>
      </c>
      <c r="L133" s="22">
        <v>0</v>
      </c>
      <c r="M133">
        <v>0</v>
      </c>
      <c r="N133">
        <v>0.7</v>
      </c>
      <c r="O133" s="37">
        <f t="shared" si="10"/>
        <v>-0.7</v>
      </c>
      <c r="P133">
        <f t="shared" si="16"/>
        <v>90.100000000000023</v>
      </c>
      <c r="Q133">
        <v>92</v>
      </c>
      <c r="R133">
        <v>1</v>
      </c>
      <c r="S133">
        <f t="shared" si="11"/>
        <v>0.7</v>
      </c>
      <c r="T133">
        <f t="shared" si="12"/>
        <v>-0.7</v>
      </c>
      <c r="U133" s="38">
        <f t="shared" si="14"/>
        <v>109.3362686567164</v>
      </c>
      <c r="V133" s="38">
        <f>AVERAGE(U124:U200)</f>
        <v>131.07642760224849</v>
      </c>
      <c r="W133">
        <v>564.79999999999995</v>
      </c>
      <c r="Y133">
        <f t="shared" si="15"/>
        <v>63480.499999999978</v>
      </c>
      <c r="Z133">
        <f t="shared" si="18"/>
        <v>5628.3000000000011</v>
      </c>
      <c r="AA133" s="44">
        <v>7.8804096122258587</v>
      </c>
    </row>
    <row r="134" spans="1:28" x14ac:dyDescent="0.25">
      <c r="A134">
        <v>6440</v>
      </c>
      <c r="B134">
        <v>26330</v>
      </c>
      <c r="C134" s="1">
        <v>42712</v>
      </c>
      <c r="F134" s="64"/>
      <c r="G134">
        <v>6.4</v>
      </c>
      <c r="H134">
        <v>2.8</v>
      </c>
      <c r="I134">
        <v>8.1999999999999993</v>
      </c>
      <c r="J134">
        <f t="shared" si="13"/>
        <v>979.3</v>
      </c>
      <c r="K134">
        <f t="shared" si="19"/>
        <v>32.700000000000003</v>
      </c>
      <c r="L134" s="27" t="s">
        <v>34</v>
      </c>
      <c r="M134">
        <v>0</v>
      </c>
      <c r="N134">
        <v>0.6</v>
      </c>
      <c r="O134" s="37">
        <f t="shared" si="10"/>
        <v>-0.6</v>
      </c>
      <c r="P134">
        <f t="shared" si="16"/>
        <v>89.500000000000028</v>
      </c>
      <c r="Q134">
        <v>93</v>
      </c>
      <c r="R134">
        <v>1</v>
      </c>
      <c r="S134">
        <f t="shared" si="11"/>
        <v>0.6</v>
      </c>
      <c r="T134">
        <f t="shared" si="12"/>
        <v>-0.6</v>
      </c>
      <c r="U134" s="38">
        <f t="shared" si="14"/>
        <v>108.7362686567164</v>
      </c>
      <c r="W134">
        <v>171.6</v>
      </c>
      <c r="Y134">
        <f t="shared" si="15"/>
        <v>63652.099999999977</v>
      </c>
      <c r="Z134">
        <f t="shared" si="18"/>
        <v>5799.9000000000015</v>
      </c>
      <c r="AA134" s="44">
        <v>7.8599905076495613</v>
      </c>
    </row>
    <row r="135" spans="1:28" x14ac:dyDescent="0.25">
      <c r="A135">
        <v>6440</v>
      </c>
      <c r="B135">
        <v>26330</v>
      </c>
      <c r="C135" s="1">
        <v>42713</v>
      </c>
      <c r="F135" s="64"/>
      <c r="G135">
        <v>8.3000000000000007</v>
      </c>
      <c r="H135">
        <v>7.5</v>
      </c>
      <c r="I135">
        <v>10.9</v>
      </c>
      <c r="J135">
        <f t="shared" si="13"/>
        <v>987.59999999999991</v>
      </c>
      <c r="K135">
        <f t="shared" si="19"/>
        <v>41</v>
      </c>
      <c r="L135" s="22">
        <v>35</v>
      </c>
      <c r="M135">
        <v>0</v>
      </c>
      <c r="N135">
        <v>0.9</v>
      </c>
      <c r="O135" s="37">
        <f t="shared" si="10"/>
        <v>-0.9</v>
      </c>
      <c r="P135">
        <f t="shared" si="16"/>
        <v>88.600000000000023</v>
      </c>
      <c r="Q135">
        <v>94</v>
      </c>
      <c r="R135">
        <v>1</v>
      </c>
      <c r="S135">
        <f t="shared" si="11"/>
        <v>0.9</v>
      </c>
      <c r="T135">
        <f t="shared" si="12"/>
        <v>-0.9</v>
      </c>
      <c r="U135" s="38">
        <f t="shared" si="14"/>
        <v>107.8362686567164</v>
      </c>
      <c r="V135">
        <f>(V133*100)/153.6</f>
        <v>85.336215886880524</v>
      </c>
      <c r="W135">
        <v>429.1</v>
      </c>
      <c r="Y135">
        <f t="shared" si="15"/>
        <v>64081.199999999975</v>
      </c>
      <c r="Z135">
        <f t="shared" si="18"/>
        <v>6229.0000000000018</v>
      </c>
      <c r="AA135" s="44">
        <v>7.8410347245063958</v>
      </c>
    </row>
    <row r="136" spans="1:28" x14ac:dyDescent="0.25">
      <c r="A136">
        <v>6440</v>
      </c>
      <c r="B136">
        <v>26330</v>
      </c>
      <c r="C136" s="1">
        <v>42714</v>
      </c>
      <c r="F136" s="64"/>
      <c r="G136">
        <v>7.5</v>
      </c>
      <c r="H136">
        <v>5.3</v>
      </c>
      <c r="I136">
        <v>10.3</v>
      </c>
      <c r="J136">
        <f t="shared" si="13"/>
        <v>995.09999999999991</v>
      </c>
      <c r="K136">
        <f t="shared" si="19"/>
        <v>48.5</v>
      </c>
      <c r="L136" s="27" t="s">
        <v>35</v>
      </c>
      <c r="M136">
        <v>2</v>
      </c>
      <c r="N136">
        <v>0.5</v>
      </c>
      <c r="O136" s="37">
        <f t="shared" si="10"/>
        <v>1.5</v>
      </c>
      <c r="P136">
        <f t="shared" si="16"/>
        <v>90.100000000000023</v>
      </c>
      <c r="Q136">
        <v>95</v>
      </c>
      <c r="R136">
        <v>1</v>
      </c>
      <c r="S136">
        <f t="shared" si="11"/>
        <v>0.5</v>
      </c>
      <c r="T136">
        <f t="shared" si="12"/>
        <v>1.5</v>
      </c>
      <c r="U136" s="38">
        <f t="shared" si="14"/>
        <v>109.3362686567164</v>
      </c>
      <c r="W136">
        <v>120.7</v>
      </c>
      <c r="Y136">
        <f t="shared" si="15"/>
        <v>64201.899999999972</v>
      </c>
      <c r="Z136">
        <f t="shared" si="18"/>
        <v>6349.7000000000016</v>
      </c>
      <c r="AA136" s="44">
        <v>7.8235599534826346</v>
      </c>
    </row>
    <row r="137" spans="1:28" x14ac:dyDescent="0.25">
      <c r="A137">
        <v>6440</v>
      </c>
      <c r="B137">
        <v>26330</v>
      </c>
      <c r="C137" s="1">
        <v>42715</v>
      </c>
      <c r="F137" s="64"/>
      <c r="G137">
        <v>7.7</v>
      </c>
      <c r="H137">
        <v>5.4</v>
      </c>
      <c r="I137">
        <v>10.3</v>
      </c>
      <c r="J137">
        <f t="shared" si="13"/>
        <v>1002.8</v>
      </c>
      <c r="K137">
        <f t="shared" si="19"/>
        <v>56.2</v>
      </c>
      <c r="L137" s="22">
        <v>29</v>
      </c>
      <c r="M137">
        <v>0</v>
      </c>
      <c r="N137">
        <v>0.6</v>
      </c>
      <c r="O137" s="37">
        <f t="shared" si="10"/>
        <v>-0.6</v>
      </c>
      <c r="P137">
        <f t="shared" si="16"/>
        <v>89.500000000000028</v>
      </c>
      <c r="Q137">
        <v>96</v>
      </c>
      <c r="R137">
        <v>1</v>
      </c>
      <c r="S137">
        <f t="shared" si="11"/>
        <v>0.6</v>
      </c>
      <c r="T137">
        <f t="shared" si="12"/>
        <v>-0.6</v>
      </c>
      <c r="U137" s="38">
        <f t="shared" si="14"/>
        <v>108.7362686567164</v>
      </c>
      <c r="W137">
        <v>550.4</v>
      </c>
      <c r="Y137">
        <f t="shared" si="15"/>
        <v>64752.299999999974</v>
      </c>
      <c r="Z137">
        <f t="shared" si="18"/>
        <v>6900.1000000000013</v>
      </c>
      <c r="AA137" s="44">
        <v>7.8075826804523523</v>
      </c>
    </row>
    <row r="138" spans="1:28" x14ac:dyDescent="0.25">
      <c r="A138">
        <v>6440</v>
      </c>
      <c r="B138">
        <v>26330</v>
      </c>
      <c r="C138" s="1">
        <v>42716</v>
      </c>
      <c r="E138" s="44">
        <v>9</v>
      </c>
      <c r="F138" s="64"/>
      <c r="G138">
        <v>4.9000000000000004</v>
      </c>
      <c r="H138">
        <v>4.3</v>
      </c>
      <c r="I138">
        <v>5.9</v>
      </c>
      <c r="J138">
        <f t="shared" si="13"/>
        <v>1007.6999999999999</v>
      </c>
      <c r="K138">
        <f t="shared" si="19"/>
        <v>61.1</v>
      </c>
      <c r="M138">
        <v>3.3</v>
      </c>
      <c r="N138">
        <v>0.2</v>
      </c>
      <c r="O138" s="37">
        <f t="shared" si="10"/>
        <v>3.0999999999999996</v>
      </c>
      <c r="P138">
        <f t="shared" si="16"/>
        <v>92.600000000000023</v>
      </c>
      <c r="Q138">
        <v>97</v>
      </c>
      <c r="R138">
        <v>1</v>
      </c>
      <c r="S138">
        <f t="shared" si="11"/>
        <v>0.2</v>
      </c>
      <c r="T138">
        <f t="shared" si="12"/>
        <v>3.0999999999999996</v>
      </c>
      <c r="U138" s="38">
        <f t="shared" si="14"/>
        <v>111.8362686567164</v>
      </c>
      <c r="W138">
        <v>113.7</v>
      </c>
      <c r="Y138">
        <f t="shared" si="15"/>
        <v>64865.999999999971</v>
      </c>
      <c r="Z138">
        <f t="shared" si="18"/>
        <v>7013.8000000000011</v>
      </c>
      <c r="AA138" s="44">
        <v>7.7931181290520053</v>
      </c>
    </row>
    <row r="139" spans="1:28" x14ac:dyDescent="0.25">
      <c r="A139">
        <v>6440</v>
      </c>
      <c r="B139">
        <v>26330</v>
      </c>
      <c r="C139" s="1">
        <v>42717</v>
      </c>
      <c r="F139" s="64"/>
      <c r="G139">
        <v>6.5</v>
      </c>
      <c r="H139">
        <v>5</v>
      </c>
      <c r="I139">
        <v>7.7</v>
      </c>
      <c r="J139">
        <f t="shared" si="13"/>
        <v>1014.1999999999999</v>
      </c>
      <c r="K139">
        <f t="shared" si="19"/>
        <v>67.599999999999994</v>
      </c>
      <c r="M139">
        <v>0.1</v>
      </c>
      <c r="N139">
        <v>0.1</v>
      </c>
      <c r="O139" s="37">
        <f t="shared" si="10"/>
        <v>0</v>
      </c>
      <c r="P139">
        <f t="shared" si="16"/>
        <v>92.600000000000023</v>
      </c>
      <c r="Q139">
        <v>98</v>
      </c>
      <c r="R139">
        <v>1</v>
      </c>
      <c r="S139">
        <f t="shared" si="11"/>
        <v>0.1</v>
      </c>
      <c r="T139">
        <f t="shared" si="12"/>
        <v>0</v>
      </c>
      <c r="U139" s="38">
        <f t="shared" si="14"/>
        <v>111.8362686567164</v>
      </c>
      <c r="W139">
        <v>103.8</v>
      </c>
      <c r="Y139">
        <f t="shared" si="15"/>
        <v>64969.799999999974</v>
      </c>
      <c r="Z139">
        <f t="shared" si="18"/>
        <v>7117.6000000000013</v>
      </c>
      <c r="AA139" s="44">
        <v>7.7801802067859986</v>
      </c>
    </row>
    <row r="140" spans="1:28" x14ac:dyDescent="0.25">
      <c r="A140">
        <v>6440</v>
      </c>
      <c r="B140">
        <v>26330</v>
      </c>
      <c r="C140" s="1">
        <v>42718</v>
      </c>
      <c r="F140" s="64"/>
      <c r="G140">
        <v>6.1</v>
      </c>
      <c r="H140">
        <v>3</v>
      </c>
      <c r="I140">
        <v>9.5</v>
      </c>
      <c r="J140">
        <f t="shared" si="13"/>
        <v>1020.3</v>
      </c>
      <c r="K140">
        <f t="shared" si="19"/>
        <v>73.699999999999989</v>
      </c>
      <c r="M140">
        <v>0.1</v>
      </c>
      <c r="N140">
        <v>0.4</v>
      </c>
      <c r="O140" s="37">
        <f t="shared" si="10"/>
        <v>-0.30000000000000004</v>
      </c>
      <c r="P140">
        <f t="shared" si="16"/>
        <v>92.300000000000026</v>
      </c>
      <c r="Q140">
        <v>99</v>
      </c>
      <c r="R140">
        <v>1</v>
      </c>
      <c r="S140">
        <f t="shared" si="11"/>
        <v>0.4</v>
      </c>
      <c r="T140">
        <f t="shared" si="12"/>
        <v>-0.30000000000000004</v>
      </c>
      <c r="U140" s="38">
        <f t="shared" si="14"/>
        <v>111.5362686567164</v>
      </c>
      <c r="W140">
        <v>565.20000000000005</v>
      </c>
      <c r="Y140">
        <f t="shared" si="15"/>
        <v>65534.999999999971</v>
      </c>
      <c r="Z140">
        <f t="shared" si="18"/>
        <v>7682.8000000000011</v>
      </c>
      <c r="AA140" s="44">
        <v>7.7687814550633361</v>
      </c>
    </row>
    <row r="141" spans="1:28" x14ac:dyDescent="0.25">
      <c r="A141">
        <v>6440</v>
      </c>
      <c r="B141">
        <v>26330</v>
      </c>
      <c r="C141" s="1">
        <v>42719</v>
      </c>
      <c r="F141" s="64"/>
      <c r="G141">
        <v>5.0999999999999996</v>
      </c>
      <c r="H141">
        <v>3.9</v>
      </c>
      <c r="I141">
        <v>7.1</v>
      </c>
      <c r="J141">
        <f t="shared" si="13"/>
        <v>1025.3999999999999</v>
      </c>
      <c r="K141">
        <f t="shared" si="19"/>
        <v>78.799999999999983</v>
      </c>
      <c r="M141">
        <v>0</v>
      </c>
      <c r="N141">
        <v>0.5</v>
      </c>
      <c r="O141" s="37">
        <f t="shared" si="10"/>
        <v>-0.5</v>
      </c>
      <c r="P141">
        <f t="shared" si="16"/>
        <v>91.800000000000026</v>
      </c>
      <c r="Q141">
        <v>100</v>
      </c>
      <c r="R141">
        <v>1</v>
      </c>
      <c r="S141">
        <f t="shared" si="11"/>
        <v>0.5</v>
      </c>
      <c r="T141">
        <f t="shared" si="12"/>
        <v>-0.5</v>
      </c>
      <c r="U141" s="38">
        <f t="shared" si="14"/>
        <v>111.0362686567164</v>
      </c>
      <c r="W141">
        <v>521.5</v>
      </c>
      <c r="Y141">
        <f t="shared" si="15"/>
        <v>66056.499999999971</v>
      </c>
      <c r="Z141">
        <f t="shared" si="18"/>
        <v>8204.3000000000011</v>
      </c>
      <c r="AA141" s="44">
        <v>7.7589330035444917</v>
      </c>
    </row>
    <row r="142" spans="1:28" x14ac:dyDescent="0.25">
      <c r="A142">
        <v>6440</v>
      </c>
      <c r="B142">
        <v>26330</v>
      </c>
      <c r="C142" s="1">
        <v>42720</v>
      </c>
      <c r="F142" s="64"/>
      <c r="G142">
        <v>6.1</v>
      </c>
      <c r="H142">
        <v>4.5999999999999996</v>
      </c>
      <c r="I142">
        <v>9.3000000000000007</v>
      </c>
      <c r="J142">
        <f t="shared" si="13"/>
        <v>1031.4999999999998</v>
      </c>
      <c r="K142">
        <f t="shared" si="19"/>
        <v>84.899999999999977</v>
      </c>
      <c r="M142">
        <v>0</v>
      </c>
      <c r="N142">
        <v>0.8</v>
      </c>
      <c r="O142" s="37">
        <f t="shared" si="10"/>
        <v>-0.8</v>
      </c>
      <c r="P142">
        <f t="shared" si="16"/>
        <v>91.000000000000028</v>
      </c>
      <c r="Q142">
        <v>101</v>
      </c>
      <c r="R142">
        <v>1</v>
      </c>
      <c r="S142">
        <f t="shared" si="11"/>
        <v>0.8</v>
      </c>
      <c r="T142">
        <f t="shared" si="12"/>
        <v>-0.8</v>
      </c>
      <c r="U142" s="38">
        <f t="shared" si="14"/>
        <v>110.2362686567164</v>
      </c>
      <c r="W142">
        <v>324.3</v>
      </c>
      <c r="Y142">
        <f t="shared" si="15"/>
        <v>66380.799999999974</v>
      </c>
      <c r="Z142">
        <f t="shared" si="18"/>
        <v>8528.6</v>
      </c>
      <c r="AA142" s="44">
        <v>7.7506445291518045</v>
      </c>
    </row>
    <row r="143" spans="1:28" x14ac:dyDescent="0.25">
      <c r="A143">
        <v>6440</v>
      </c>
      <c r="B143">
        <v>26330</v>
      </c>
      <c r="C143" s="1">
        <v>42721</v>
      </c>
      <c r="E143" s="44">
        <v>10</v>
      </c>
      <c r="F143" s="64"/>
      <c r="G143">
        <v>4.4000000000000004</v>
      </c>
      <c r="H143">
        <v>1.5</v>
      </c>
      <c r="I143">
        <v>6.6</v>
      </c>
      <c r="J143">
        <f t="shared" si="13"/>
        <v>1035.8999999999999</v>
      </c>
      <c r="K143">
        <f t="shared" si="19"/>
        <v>89.299999999999983</v>
      </c>
      <c r="M143">
        <v>0</v>
      </c>
      <c r="N143">
        <v>0.3</v>
      </c>
      <c r="O143" s="37">
        <f t="shared" si="10"/>
        <v>-0.3</v>
      </c>
      <c r="P143">
        <f t="shared" si="16"/>
        <v>90.700000000000031</v>
      </c>
      <c r="Q143">
        <v>102</v>
      </c>
      <c r="R143">
        <v>1</v>
      </c>
      <c r="S143">
        <f t="shared" si="11"/>
        <v>0.3</v>
      </c>
      <c r="T143">
        <f t="shared" si="12"/>
        <v>-0.3</v>
      </c>
      <c r="U143" s="38">
        <f t="shared" si="14"/>
        <v>109.93626865671641</v>
      </c>
      <c r="W143">
        <v>148</v>
      </c>
      <c r="Y143">
        <f t="shared" si="15"/>
        <v>66528.799999999974</v>
      </c>
      <c r="Z143">
        <f t="shared" si="18"/>
        <v>8676.6</v>
      </c>
      <c r="AA143" s="44">
        <v>7.743924220066206</v>
      </c>
    </row>
    <row r="144" spans="1:28" x14ac:dyDescent="0.25">
      <c r="A144">
        <v>6440</v>
      </c>
      <c r="B144">
        <v>26330</v>
      </c>
      <c r="C144" s="1">
        <v>42722</v>
      </c>
      <c r="F144" s="64"/>
      <c r="G144">
        <v>6.4</v>
      </c>
      <c r="H144">
        <v>6.1</v>
      </c>
      <c r="I144">
        <v>6.8</v>
      </c>
      <c r="J144">
        <f t="shared" si="13"/>
        <v>1042.3</v>
      </c>
      <c r="K144">
        <f t="shared" si="19"/>
        <v>95.699999999999989</v>
      </c>
      <c r="M144">
        <v>0.1</v>
      </c>
      <c r="N144">
        <v>0.3</v>
      </c>
      <c r="O144" s="37">
        <f t="shared" si="10"/>
        <v>-0.19999999999999998</v>
      </c>
      <c r="P144">
        <f t="shared" si="16"/>
        <v>90.500000000000028</v>
      </c>
      <c r="Q144">
        <v>103</v>
      </c>
      <c r="R144">
        <v>1</v>
      </c>
      <c r="S144">
        <f t="shared" si="11"/>
        <v>0.3</v>
      </c>
      <c r="T144">
        <f t="shared" si="12"/>
        <v>-0.19999999999999998</v>
      </c>
      <c r="U144" s="38">
        <f t="shared" si="14"/>
        <v>109.7362686567164</v>
      </c>
      <c r="W144">
        <v>136.6</v>
      </c>
      <c r="Y144">
        <f t="shared" si="15"/>
        <v>66665.39999999998</v>
      </c>
      <c r="Z144">
        <f t="shared" si="18"/>
        <v>8813.2000000000007</v>
      </c>
      <c r="AA144" s="44">
        <v>7.738778744997953</v>
      </c>
    </row>
    <row r="145" spans="1:27" x14ac:dyDescent="0.25">
      <c r="A145">
        <v>6440</v>
      </c>
      <c r="B145">
        <v>26330</v>
      </c>
      <c r="C145" s="1">
        <v>42723</v>
      </c>
      <c r="F145" s="64"/>
      <c r="G145">
        <v>5.9</v>
      </c>
      <c r="H145">
        <v>5.7</v>
      </c>
      <c r="I145">
        <v>7.1</v>
      </c>
      <c r="J145">
        <f t="shared" si="13"/>
        <v>1048.2</v>
      </c>
      <c r="K145">
        <f t="shared" si="19"/>
        <v>101.6</v>
      </c>
      <c r="M145">
        <v>0.1</v>
      </c>
      <c r="N145">
        <v>0.4</v>
      </c>
      <c r="O145" s="37">
        <f t="shared" si="10"/>
        <v>-0.30000000000000004</v>
      </c>
      <c r="P145">
        <f t="shared" si="16"/>
        <v>90.200000000000031</v>
      </c>
      <c r="Q145">
        <v>104</v>
      </c>
      <c r="R145">
        <v>1</v>
      </c>
      <c r="S145">
        <f t="shared" si="11"/>
        <v>0.4</v>
      </c>
      <c r="T145">
        <f t="shared" si="12"/>
        <v>-0.30000000000000004</v>
      </c>
      <c r="U145" s="38">
        <f t="shared" si="14"/>
        <v>109.43626865671641</v>
      </c>
      <c r="W145">
        <v>132.1</v>
      </c>
      <c r="Y145">
        <f t="shared" si="15"/>
        <v>66797.499999999985</v>
      </c>
      <c r="Z145">
        <f t="shared" si="18"/>
        <v>8945.3000000000011</v>
      </c>
      <c r="AA145" s="44">
        <v>7.7352132279801493</v>
      </c>
    </row>
    <row r="146" spans="1:27" x14ac:dyDescent="0.25">
      <c r="A146">
        <v>6440</v>
      </c>
      <c r="B146">
        <v>26330</v>
      </c>
      <c r="C146" s="1">
        <v>42724</v>
      </c>
      <c r="E146" s="44">
        <v>11</v>
      </c>
      <c r="F146" s="64"/>
      <c r="G146">
        <v>2.7</v>
      </c>
      <c r="H146">
        <v>0.7</v>
      </c>
      <c r="I146">
        <v>4.5999999999999996</v>
      </c>
      <c r="J146">
        <f t="shared" si="13"/>
        <v>1050.9000000000001</v>
      </c>
      <c r="K146">
        <f t="shared" si="19"/>
        <v>104.3</v>
      </c>
      <c r="M146">
        <v>0</v>
      </c>
      <c r="N146">
        <v>0.4</v>
      </c>
      <c r="O146" s="37">
        <f t="shared" si="10"/>
        <v>-0.4</v>
      </c>
      <c r="P146">
        <f t="shared" si="16"/>
        <v>89.800000000000026</v>
      </c>
      <c r="Q146">
        <v>105</v>
      </c>
      <c r="R146">
        <v>1</v>
      </c>
      <c r="S146">
        <f t="shared" si="11"/>
        <v>0.4</v>
      </c>
      <c r="T146">
        <f t="shared" si="12"/>
        <v>-0.4</v>
      </c>
      <c r="U146" s="38">
        <f t="shared" si="14"/>
        <v>109.0362686567164</v>
      </c>
      <c r="W146">
        <v>371.7</v>
      </c>
      <c r="Y146">
        <f t="shared" si="15"/>
        <v>67169.199999999983</v>
      </c>
      <c r="Z146">
        <f t="shared" si="18"/>
        <v>9317.0000000000018</v>
      </c>
      <c r="AA146" s="44">
        <v>7.7332312288912126</v>
      </c>
    </row>
    <row r="147" spans="1:27" x14ac:dyDescent="0.25">
      <c r="A147">
        <v>6440</v>
      </c>
      <c r="B147">
        <v>26330</v>
      </c>
      <c r="C147" s="1">
        <v>42725</v>
      </c>
      <c r="F147" s="64"/>
      <c r="G147">
        <v>5.0999999999999996</v>
      </c>
      <c r="H147">
        <v>2.5</v>
      </c>
      <c r="I147">
        <v>6.4</v>
      </c>
      <c r="J147">
        <f t="shared" si="13"/>
        <v>1056</v>
      </c>
      <c r="K147">
        <f t="shared" si="19"/>
        <v>109.39999999999999</v>
      </c>
      <c r="M147">
        <v>14.5</v>
      </c>
      <c r="N147">
        <v>0.5</v>
      </c>
      <c r="O147" s="37">
        <f t="shared" si="10"/>
        <v>14</v>
      </c>
      <c r="P147">
        <f t="shared" si="16"/>
        <v>103.80000000000003</v>
      </c>
      <c r="Q147">
        <v>106</v>
      </c>
      <c r="R147">
        <v>1</v>
      </c>
      <c r="S147">
        <f t="shared" si="11"/>
        <v>0.5</v>
      </c>
      <c r="T147">
        <f t="shared" si="12"/>
        <v>14</v>
      </c>
      <c r="U147" s="38">
        <f t="shared" si="14"/>
        <v>123.0362686567164</v>
      </c>
      <c r="W147">
        <v>326.3</v>
      </c>
      <c r="Y147">
        <f t="shared" si="15"/>
        <v>67495.499999999985</v>
      </c>
      <c r="Z147">
        <f t="shared" si="18"/>
        <v>9643.3000000000011</v>
      </c>
      <c r="AA147" s="44">
        <v>7.7328347298668527</v>
      </c>
    </row>
    <row r="148" spans="1:27" x14ac:dyDescent="0.25">
      <c r="A148">
        <v>6440</v>
      </c>
      <c r="B148">
        <v>26330</v>
      </c>
      <c r="C148" s="1">
        <v>42726</v>
      </c>
      <c r="F148" s="64"/>
      <c r="G148">
        <v>5.6</v>
      </c>
      <c r="H148">
        <v>5.8</v>
      </c>
      <c r="I148">
        <v>6.4</v>
      </c>
      <c r="J148">
        <f t="shared" si="13"/>
        <v>1061.5999999999999</v>
      </c>
      <c r="K148">
        <f t="shared" si="19"/>
        <v>114.99999999999999</v>
      </c>
      <c r="M148">
        <v>0.4</v>
      </c>
      <c r="N148">
        <v>0.3</v>
      </c>
      <c r="O148" s="37">
        <f t="shared" si="10"/>
        <v>0.10000000000000003</v>
      </c>
      <c r="P148">
        <f t="shared" si="16"/>
        <v>103.90000000000002</v>
      </c>
      <c r="Q148">
        <v>107</v>
      </c>
      <c r="R148">
        <v>1</v>
      </c>
      <c r="S148">
        <f t="shared" si="11"/>
        <v>0.3</v>
      </c>
      <c r="T148">
        <f t="shared" si="12"/>
        <v>0.10000000000000003</v>
      </c>
      <c r="U148" s="38">
        <f t="shared" si="14"/>
        <v>123.1362686567164</v>
      </c>
      <c r="W148">
        <v>225.4</v>
      </c>
      <c r="Y148">
        <f t="shared" si="15"/>
        <v>67720.89999999998</v>
      </c>
      <c r="Z148">
        <f t="shared" si="18"/>
        <v>9868.7000000000007</v>
      </c>
      <c r="AA148" s="44">
        <v>7.734024127714334</v>
      </c>
    </row>
    <row r="149" spans="1:27" x14ac:dyDescent="0.25">
      <c r="A149">
        <v>6440</v>
      </c>
      <c r="B149">
        <v>26330</v>
      </c>
      <c r="C149" s="1">
        <v>42727</v>
      </c>
      <c r="F149" s="64"/>
      <c r="G149">
        <v>5.5</v>
      </c>
      <c r="H149">
        <v>2.2000000000000002</v>
      </c>
      <c r="I149">
        <v>7.6</v>
      </c>
      <c r="J149">
        <f t="shared" si="13"/>
        <v>1067.0999999999999</v>
      </c>
      <c r="K149">
        <f t="shared" si="19"/>
        <v>120.49999999999999</v>
      </c>
      <c r="M149">
        <v>0.4</v>
      </c>
      <c r="N149">
        <v>0.3</v>
      </c>
      <c r="O149" s="37">
        <f t="shared" si="10"/>
        <v>0.10000000000000003</v>
      </c>
      <c r="P149">
        <f t="shared" si="16"/>
        <v>104.00000000000001</v>
      </c>
      <c r="Q149">
        <v>108</v>
      </c>
      <c r="R149">
        <v>1</v>
      </c>
      <c r="S149">
        <f t="shared" si="11"/>
        <v>0.3</v>
      </c>
      <c r="T149">
        <f t="shared" si="12"/>
        <v>0.10000000000000003</v>
      </c>
      <c r="U149" s="38">
        <f t="shared" si="14"/>
        <v>123.23626865671639</v>
      </c>
      <c r="W149">
        <v>223.3</v>
      </c>
      <c r="Y149">
        <f t="shared" si="15"/>
        <v>67944.199999999983</v>
      </c>
      <c r="Z149">
        <f t="shared" si="18"/>
        <v>10092</v>
      </c>
      <c r="AA149" s="44">
        <v>7.7367982323921458</v>
      </c>
    </row>
    <row r="150" spans="1:27" x14ac:dyDescent="0.25">
      <c r="A150">
        <v>6440</v>
      </c>
      <c r="B150">
        <v>26330</v>
      </c>
      <c r="C150" s="1">
        <v>42728</v>
      </c>
      <c r="F150" s="64"/>
      <c r="G150">
        <v>7.8</v>
      </c>
      <c r="H150">
        <v>6</v>
      </c>
      <c r="I150">
        <v>9.8000000000000007</v>
      </c>
      <c r="J150">
        <f t="shared" si="13"/>
        <v>1074.8999999999999</v>
      </c>
      <c r="K150">
        <f t="shared" si="19"/>
        <v>128.29999999999998</v>
      </c>
      <c r="M150">
        <v>0.4</v>
      </c>
      <c r="N150">
        <v>0.7</v>
      </c>
      <c r="O150" s="37">
        <f t="shared" si="10"/>
        <v>-0.29999999999999993</v>
      </c>
      <c r="P150">
        <f t="shared" si="16"/>
        <v>103.70000000000002</v>
      </c>
      <c r="Q150">
        <v>109</v>
      </c>
      <c r="R150">
        <v>1</v>
      </c>
      <c r="S150">
        <f t="shared" si="11"/>
        <v>0.7</v>
      </c>
      <c r="T150">
        <f t="shared" si="12"/>
        <v>-0.29999999999999993</v>
      </c>
      <c r="U150" s="38">
        <f t="shared" si="14"/>
        <v>122.93626865671639</v>
      </c>
      <c r="W150">
        <v>435.5</v>
      </c>
      <c r="Y150">
        <f t="shared" si="15"/>
        <v>68379.699999999983</v>
      </c>
      <c r="Z150">
        <f t="shared" si="18"/>
        <v>10527.5</v>
      </c>
      <c r="AA150" s="44">
        <v>7.7411542715678028</v>
      </c>
    </row>
    <row r="151" spans="1:27" x14ac:dyDescent="0.25">
      <c r="A151">
        <v>6440</v>
      </c>
      <c r="B151">
        <v>26330</v>
      </c>
      <c r="C151" s="1">
        <v>42729</v>
      </c>
      <c r="F151" s="64"/>
      <c r="G151">
        <v>10.199999999999999</v>
      </c>
      <c r="H151">
        <v>8.1999999999999993</v>
      </c>
      <c r="I151">
        <v>11</v>
      </c>
      <c r="J151">
        <f t="shared" si="13"/>
        <v>1085.0999999999999</v>
      </c>
      <c r="K151">
        <f t="shared" si="19"/>
        <v>138.49999999999997</v>
      </c>
      <c r="M151">
        <v>0.7</v>
      </c>
      <c r="N151">
        <v>0.4</v>
      </c>
      <c r="O151" s="37">
        <f t="shared" si="10"/>
        <v>0.29999999999999993</v>
      </c>
      <c r="P151">
        <f t="shared" si="16"/>
        <v>104.00000000000001</v>
      </c>
      <c r="Q151">
        <v>110</v>
      </c>
      <c r="R151">
        <v>1</v>
      </c>
      <c r="S151">
        <f t="shared" si="11"/>
        <v>0.4</v>
      </c>
      <c r="T151">
        <f t="shared" si="12"/>
        <v>0.29999999999999993</v>
      </c>
      <c r="U151" s="38">
        <f t="shared" si="14"/>
        <v>123.23626865671639</v>
      </c>
      <c r="W151">
        <v>106</v>
      </c>
      <c r="Y151">
        <f t="shared" si="15"/>
        <v>68485.699999999983</v>
      </c>
      <c r="Z151">
        <f t="shared" si="18"/>
        <v>10633.5</v>
      </c>
      <c r="AA151" s="44">
        <v>7.7470879012157301</v>
      </c>
    </row>
    <row r="152" spans="1:27" x14ac:dyDescent="0.25">
      <c r="A152">
        <v>6440</v>
      </c>
      <c r="B152">
        <v>26330</v>
      </c>
      <c r="C152" s="1">
        <v>42730</v>
      </c>
      <c r="F152" s="64"/>
      <c r="G152">
        <v>7.4</v>
      </c>
      <c r="H152">
        <v>3.4</v>
      </c>
      <c r="I152">
        <v>10.8</v>
      </c>
      <c r="J152">
        <f t="shared" si="13"/>
        <v>1092.5</v>
      </c>
      <c r="K152">
        <f t="shared" si="19"/>
        <v>145.89999999999998</v>
      </c>
      <c r="M152">
        <v>1.7</v>
      </c>
      <c r="N152">
        <v>0.4</v>
      </c>
      <c r="O152" s="37">
        <f t="shared" si="10"/>
        <v>1.2999999999999998</v>
      </c>
      <c r="P152">
        <f t="shared" si="16"/>
        <v>105.30000000000001</v>
      </c>
      <c r="Q152">
        <v>111</v>
      </c>
      <c r="R152">
        <v>1</v>
      </c>
      <c r="S152">
        <f t="shared" si="11"/>
        <v>0.4</v>
      </c>
      <c r="T152">
        <f t="shared" si="12"/>
        <v>1.2999999999999998</v>
      </c>
      <c r="U152" s="38">
        <f t="shared" si="14"/>
        <v>124.53626865671639</v>
      </c>
      <c r="W152">
        <v>411.9</v>
      </c>
      <c r="Y152">
        <f t="shared" si="15"/>
        <v>68897.599999999977</v>
      </c>
      <c r="Z152">
        <f t="shared" si="18"/>
        <v>11045.4</v>
      </c>
      <c r="AA152" s="44">
        <v>7.7545932221671805</v>
      </c>
    </row>
    <row r="153" spans="1:27" x14ac:dyDescent="0.25">
      <c r="A153">
        <v>6440</v>
      </c>
      <c r="B153">
        <v>26330</v>
      </c>
      <c r="C153" s="1">
        <v>42731</v>
      </c>
      <c r="E153" s="44">
        <v>12</v>
      </c>
      <c r="F153" s="64"/>
      <c r="G153">
        <v>2.1</v>
      </c>
      <c r="H153">
        <v>-0.1</v>
      </c>
      <c r="I153">
        <v>6.4</v>
      </c>
      <c r="J153">
        <f t="shared" si="13"/>
        <v>1094.5999999999999</v>
      </c>
      <c r="K153">
        <f t="shared" si="19"/>
        <v>147.99999999999997</v>
      </c>
      <c r="M153">
        <v>0</v>
      </c>
      <c r="N153">
        <v>0.5</v>
      </c>
      <c r="O153" s="37">
        <f t="shared" si="10"/>
        <v>-0.5</v>
      </c>
      <c r="P153">
        <f t="shared" si="16"/>
        <v>104.80000000000001</v>
      </c>
      <c r="Q153">
        <v>112</v>
      </c>
      <c r="R153">
        <v>1</v>
      </c>
      <c r="S153">
        <f t="shared" si="11"/>
        <v>0.5</v>
      </c>
      <c r="T153">
        <f t="shared" si="12"/>
        <v>-0.5</v>
      </c>
      <c r="U153" s="38">
        <f t="shared" si="14"/>
        <v>124.03626865671639</v>
      </c>
      <c r="W153">
        <v>579.6</v>
      </c>
      <c r="Y153">
        <f t="shared" si="15"/>
        <v>69477.199999999983</v>
      </c>
      <c r="Z153">
        <f t="shared" si="18"/>
        <v>11625</v>
      </c>
      <c r="AA153" s="44">
        <v>7.7636628024752365</v>
      </c>
    </row>
    <row r="154" spans="1:27" x14ac:dyDescent="0.25">
      <c r="A154">
        <v>6440</v>
      </c>
      <c r="B154">
        <v>26330</v>
      </c>
      <c r="C154" s="1">
        <v>42732</v>
      </c>
      <c r="E154" s="44">
        <v>13</v>
      </c>
      <c r="F154" s="64"/>
      <c r="G154">
        <v>-1.2</v>
      </c>
      <c r="H154">
        <v>-2.5</v>
      </c>
      <c r="I154">
        <v>0.7</v>
      </c>
      <c r="J154">
        <v>1094.5999999999999</v>
      </c>
      <c r="K154">
        <v>148</v>
      </c>
      <c r="M154">
        <v>0</v>
      </c>
      <c r="N154">
        <v>0.5</v>
      </c>
      <c r="O154" s="37">
        <f t="shared" si="10"/>
        <v>-0.5</v>
      </c>
      <c r="P154">
        <f t="shared" si="16"/>
        <v>104.30000000000001</v>
      </c>
      <c r="Q154">
        <v>113</v>
      </c>
      <c r="R154">
        <v>1</v>
      </c>
      <c r="S154">
        <f t="shared" si="11"/>
        <v>0.5</v>
      </c>
      <c r="T154">
        <f t="shared" si="12"/>
        <v>-0.5</v>
      </c>
      <c r="U154" s="38">
        <f t="shared" si="14"/>
        <v>123.53626865671639</v>
      </c>
      <c r="W154">
        <v>334.5</v>
      </c>
      <c r="Y154">
        <f t="shared" si="15"/>
        <v>69811.699999999983</v>
      </c>
      <c r="Z154">
        <f t="shared" si="18"/>
        <v>11959.5</v>
      </c>
      <c r="AA154" s="44">
        <v>7.7742877054111732</v>
      </c>
    </row>
    <row r="155" spans="1:27" x14ac:dyDescent="0.25">
      <c r="A155">
        <v>6440</v>
      </c>
      <c r="B155">
        <v>26330</v>
      </c>
      <c r="C155" s="1">
        <v>42733</v>
      </c>
      <c r="E155" s="44">
        <v>14</v>
      </c>
      <c r="F155" s="64"/>
      <c r="G155">
        <v>-2.2999999999999998</v>
      </c>
      <c r="H155">
        <v>-2.6</v>
      </c>
      <c r="I155">
        <v>-1.6</v>
      </c>
      <c r="J155">
        <v>1094.5999999999999</v>
      </c>
      <c r="K155">
        <v>148</v>
      </c>
      <c r="M155">
        <v>0</v>
      </c>
      <c r="N155">
        <v>0.5</v>
      </c>
      <c r="O155" s="37">
        <f t="shared" si="10"/>
        <v>-0.5</v>
      </c>
      <c r="P155">
        <f t="shared" si="16"/>
        <v>103.80000000000001</v>
      </c>
      <c r="Q155">
        <v>114</v>
      </c>
      <c r="R155">
        <v>1</v>
      </c>
      <c r="S155">
        <f t="shared" si="11"/>
        <v>0.5</v>
      </c>
      <c r="T155">
        <f t="shared" si="12"/>
        <v>-0.5</v>
      </c>
      <c r="U155" s="38">
        <f t="shared" si="14"/>
        <v>123.03626865671639</v>
      </c>
      <c r="W155">
        <v>339.9</v>
      </c>
      <c r="Y155">
        <f t="shared" si="15"/>
        <v>70151.599999999977</v>
      </c>
      <c r="Z155">
        <f t="shared" si="18"/>
        <v>12299.4</v>
      </c>
      <c r="AA155" s="44">
        <v>7.7864575228643478</v>
      </c>
    </row>
    <row r="156" spans="1:27" x14ac:dyDescent="0.25">
      <c r="A156">
        <v>6440</v>
      </c>
      <c r="B156">
        <v>26330</v>
      </c>
      <c r="C156" s="1">
        <v>42734</v>
      </c>
      <c r="E156" s="44">
        <v>15</v>
      </c>
      <c r="F156" s="64"/>
      <c r="G156">
        <v>-2.7</v>
      </c>
      <c r="H156">
        <v>-4.9000000000000004</v>
      </c>
      <c r="I156">
        <v>-0.8</v>
      </c>
      <c r="J156">
        <v>1094.5999999999999</v>
      </c>
      <c r="K156">
        <v>148</v>
      </c>
      <c r="M156">
        <v>0</v>
      </c>
      <c r="N156">
        <v>0.3</v>
      </c>
      <c r="O156" s="37">
        <f t="shared" si="10"/>
        <v>-0.3</v>
      </c>
      <c r="P156">
        <f t="shared" si="16"/>
        <v>103.50000000000001</v>
      </c>
      <c r="Q156">
        <v>115</v>
      </c>
      <c r="R156">
        <v>1</v>
      </c>
      <c r="S156">
        <f t="shared" si="11"/>
        <v>0.3</v>
      </c>
      <c r="T156">
        <f t="shared" si="12"/>
        <v>-0.3</v>
      </c>
      <c r="U156" s="38">
        <f t="shared" si="14"/>
        <v>122.73626865671639</v>
      </c>
      <c r="W156">
        <v>249.1</v>
      </c>
      <c r="Y156">
        <f t="shared" si="15"/>
        <v>70400.699999999983</v>
      </c>
      <c r="Z156">
        <f t="shared" si="18"/>
        <v>12548.5</v>
      </c>
      <c r="AA156" s="44">
        <v>7.8001604138769141</v>
      </c>
    </row>
    <row r="157" spans="1:27" x14ac:dyDescent="0.25">
      <c r="A157">
        <v>6440</v>
      </c>
      <c r="B157">
        <v>26330</v>
      </c>
      <c r="C157" s="1">
        <v>42735</v>
      </c>
      <c r="E157" s="44">
        <v>16</v>
      </c>
      <c r="F157" s="64"/>
      <c r="G157">
        <v>-2.7</v>
      </c>
      <c r="H157">
        <v>-3</v>
      </c>
      <c r="I157">
        <v>-2.2999999999999998</v>
      </c>
      <c r="J157">
        <v>1094.5999999999999</v>
      </c>
      <c r="K157">
        <v>148</v>
      </c>
      <c r="M157">
        <v>0</v>
      </c>
      <c r="N157">
        <v>0.3</v>
      </c>
      <c r="O157" s="37">
        <f t="shared" si="10"/>
        <v>-0.3</v>
      </c>
      <c r="P157">
        <f t="shared" si="16"/>
        <v>103.20000000000002</v>
      </c>
      <c r="Q157">
        <v>116</v>
      </c>
      <c r="R157">
        <v>1</v>
      </c>
      <c r="S157">
        <f t="shared" si="11"/>
        <v>0.3</v>
      </c>
      <c r="T157">
        <f t="shared" si="12"/>
        <v>-0.3</v>
      </c>
      <c r="U157" s="38">
        <f t="shared" si="14"/>
        <v>122.43626865671639</v>
      </c>
      <c r="W157">
        <v>313.3</v>
      </c>
      <c r="Y157">
        <f t="shared" si="15"/>
        <v>70713.999999999985</v>
      </c>
      <c r="Z157">
        <f t="shared" si="18"/>
        <v>12861.8</v>
      </c>
      <c r="AA157" s="44">
        <v>7.8153831480075224</v>
      </c>
    </row>
    <row r="158" spans="1:27" x14ac:dyDescent="0.25">
      <c r="A158">
        <v>6440</v>
      </c>
      <c r="B158">
        <v>26330</v>
      </c>
      <c r="C158" s="1">
        <v>42736</v>
      </c>
      <c r="E158" s="44">
        <v>17</v>
      </c>
      <c r="F158" s="64"/>
      <c r="G158">
        <v>-1.5</v>
      </c>
      <c r="H158">
        <v>-2.9</v>
      </c>
      <c r="I158">
        <v>0.5</v>
      </c>
      <c r="J158">
        <v>1094.5999999999999</v>
      </c>
      <c r="K158">
        <v>148</v>
      </c>
      <c r="M158">
        <v>0</v>
      </c>
      <c r="N158">
        <v>0.2</v>
      </c>
      <c r="O158" s="37">
        <f t="shared" si="10"/>
        <v>-0.2</v>
      </c>
      <c r="P158">
        <f t="shared" si="16"/>
        <v>103.00000000000001</v>
      </c>
      <c r="Q158">
        <v>117</v>
      </c>
      <c r="R158">
        <v>1</v>
      </c>
      <c r="S158">
        <f t="shared" si="11"/>
        <v>0.2</v>
      </c>
      <c r="T158">
        <f t="shared" si="12"/>
        <v>-0.2</v>
      </c>
      <c r="U158" s="38">
        <f t="shared" si="14"/>
        <v>122.23626865671639</v>
      </c>
      <c r="W158">
        <v>59.8</v>
      </c>
      <c r="Y158">
        <f t="shared" si="15"/>
        <v>70773.799999999988</v>
      </c>
      <c r="Z158">
        <f t="shared" si="18"/>
        <v>12921.599999999999</v>
      </c>
      <c r="AA158" s="44">
        <v>7.8321111531854797</v>
      </c>
    </row>
    <row r="159" spans="1:27" x14ac:dyDescent="0.25">
      <c r="A159">
        <v>6440</v>
      </c>
      <c r="B159">
        <v>26330</v>
      </c>
      <c r="C159" s="1">
        <v>42737</v>
      </c>
      <c r="E159" s="44">
        <v>18</v>
      </c>
      <c r="F159" s="64"/>
      <c r="G159">
        <v>1.9</v>
      </c>
      <c r="H159">
        <v>-0.4</v>
      </c>
      <c r="I159">
        <v>5.5</v>
      </c>
      <c r="J159">
        <f t="shared" si="13"/>
        <v>1096.5</v>
      </c>
      <c r="K159">
        <f t="shared" si="19"/>
        <v>149.9</v>
      </c>
      <c r="M159">
        <v>0.6</v>
      </c>
      <c r="N159">
        <v>0.3</v>
      </c>
      <c r="O159" s="37">
        <f t="shared" si="10"/>
        <v>0.3</v>
      </c>
      <c r="P159">
        <f t="shared" si="16"/>
        <v>103.30000000000001</v>
      </c>
      <c r="Q159">
        <v>118</v>
      </c>
      <c r="R159">
        <v>1</v>
      </c>
      <c r="S159">
        <f t="shared" si="11"/>
        <v>0.3</v>
      </c>
      <c r="T159">
        <f t="shared" si="12"/>
        <v>0.3</v>
      </c>
      <c r="U159" s="38">
        <f t="shared" si="14"/>
        <v>122.53626865671639</v>
      </c>
      <c r="W159">
        <v>437.4</v>
      </c>
      <c r="Y159">
        <f t="shared" si="15"/>
        <v>71211.199999999983</v>
      </c>
      <c r="Z159">
        <f t="shared" si="18"/>
        <v>13358.999999999998</v>
      </c>
      <c r="AA159" s="44">
        <v>7.8503285676884396</v>
      </c>
    </row>
    <row r="160" spans="1:27" x14ac:dyDescent="0.25">
      <c r="A160">
        <v>6440</v>
      </c>
      <c r="B160">
        <v>26330</v>
      </c>
      <c r="C160" s="1">
        <v>42738</v>
      </c>
      <c r="E160" s="44">
        <v>19</v>
      </c>
      <c r="F160" s="64"/>
      <c r="G160">
        <v>1.6</v>
      </c>
      <c r="H160">
        <v>-2.5</v>
      </c>
      <c r="I160">
        <v>4.7</v>
      </c>
      <c r="J160">
        <f t="shared" si="13"/>
        <v>1098.0999999999999</v>
      </c>
      <c r="K160">
        <f t="shared" si="19"/>
        <v>151.5</v>
      </c>
      <c r="M160">
        <v>0.4</v>
      </c>
      <c r="N160">
        <v>0.3</v>
      </c>
      <c r="O160" s="37">
        <f t="shared" si="10"/>
        <v>0.10000000000000003</v>
      </c>
      <c r="P160">
        <f t="shared" si="16"/>
        <v>103.4</v>
      </c>
      <c r="Q160">
        <v>119</v>
      </c>
      <c r="R160">
        <v>1</v>
      </c>
      <c r="S160">
        <f t="shared" si="11"/>
        <v>0.3</v>
      </c>
      <c r="T160">
        <f t="shared" si="12"/>
        <v>0.10000000000000003</v>
      </c>
      <c r="U160" s="38">
        <f t="shared" si="14"/>
        <v>122.63626865671638</v>
      </c>
      <c r="W160">
        <v>426.9</v>
      </c>
      <c r="Y160">
        <f t="shared" si="15"/>
        <v>71638.099999999977</v>
      </c>
      <c r="Z160">
        <f t="shared" si="18"/>
        <v>13785.899999999998</v>
      </c>
      <c r="AA160" s="44">
        <v>7.8700182958534635</v>
      </c>
    </row>
    <row r="161" spans="1:27" x14ac:dyDescent="0.25">
      <c r="A161">
        <v>6440</v>
      </c>
      <c r="B161">
        <v>26330</v>
      </c>
      <c r="C161" s="1">
        <v>42739</v>
      </c>
      <c r="E161" s="44">
        <v>20</v>
      </c>
      <c r="F161" s="64"/>
      <c r="G161">
        <v>4.2</v>
      </c>
      <c r="H161">
        <v>3</v>
      </c>
      <c r="I161">
        <v>6</v>
      </c>
      <c r="J161">
        <f t="shared" si="13"/>
        <v>1102.3</v>
      </c>
      <c r="K161">
        <f t="shared" si="19"/>
        <v>155.69999999999999</v>
      </c>
      <c r="M161">
        <v>1.6</v>
      </c>
      <c r="N161">
        <v>0.5</v>
      </c>
      <c r="O161" s="37">
        <f t="shared" si="10"/>
        <v>1.1000000000000001</v>
      </c>
      <c r="P161">
        <f t="shared" si="16"/>
        <v>104.5</v>
      </c>
      <c r="Q161">
        <v>120</v>
      </c>
      <c r="R161">
        <v>1</v>
      </c>
      <c r="S161">
        <f t="shared" si="11"/>
        <v>0.5</v>
      </c>
      <c r="T161">
        <f t="shared" si="12"/>
        <v>1.1000000000000001</v>
      </c>
      <c r="U161" s="38">
        <f t="shared" si="14"/>
        <v>123.73626865671638</v>
      </c>
      <c r="W161">
        <v>148</v>
      </c>
      <c r="Y161">
        <f t="shared" si="15"/>
        <v>71786.099999999977</v>
      </c>
      <c r="Z161">
        <f t="shared" si="18"/>
        <v>13933.899999999998</v>
      </c>
      <c r="AA161" s="44">
        <v>7.8911620671127523</v>
      </c>
    </row>
    <row r="162" spans="1:27" x14ac:dyDescent="0.25">
      <c r="A162">
        <v>6440</v>
      </c>
      <c r="B162">
        <v>26330</v>
      </c>
      <c r="C162" s="1">
        <v>42740</v>
      </c>
      <c r="E162" s="44">
        <v>21</v>
      </c>
      <c r="F162" s="64"/>
      <c r="G162">
        <v>2</v>
      </c>
      <c r="H162">
        <v>0.7</v>
      </c>
      <c r="I162">
        <v>6.3</v>
      </c>
      <c r="J162">
        <f t="shared" si="13"/>
        <v>1104.3</v>
      </c>
      <c r="K162">
        <f t="shared" si="19"/>
        <v>157.69999999999999</v>
      </c>
      <c r="M162">
        <v>0</v>
      </c>
      <c r="N162">
        <v>0.8</v>
      </c>
      <c r="O162" s="37">
        <f t="shared" si="10"/>
        <v>-0.8</v>
      </c>
      <c r="P162">
        <f t="shared" si="16"/>
        <v>103.7</v>
      </c>
      <c r="Q162">
        <v>121</v>
      </c>
      <c r="R162">
        <v>1</v>
      </c>
      <c r="S162">
        <f t="shared" si="11"/>
        <v>0.8</v>
      </c>
      <c r="T162">
        <f t="shared" si="12"/>
        <v>-0.8</v>
      </c>
      <c r="U162" s="38">
        <f t="shared" si="14"/>
        <v>122.93626865671638</v>
      </c>
      <c r="W162">
        <v>575.70000000000005</v>
      </c>
      <c r="Y162">
        <f t="shared" si="15"/>
        <v>72361.799999999974</v>
      </c>
      <c r="Z162">
        <f t="shared" si="18"/>
        <v>14509.599999999999</v>
      </c>
      <c r="AA162" s="44">
        <v>7.9137404979322072</v>
      </c>
    </row>
    <row r="163" spans="1:27" x14ac:dyDescent="0.25">
      <c r="A163">
        <v>6440</v>
      </c>
      <c r="B163">
        <v>26330</v>
      </c>
      <c r="C163" s="1">
        <v>42741</v>
      </c>
      <c r="E163" s="44">
        <v>22</v>
      </c>
      <c r="F163" s="64"/>
      <c r="G163">
        <v>-1.6</v>
      </c>
      <c r="H163">
        <v>-3.8</v>
      </c>
      <c r="I163">
        <v>0.8</v>
      </c>
      <c r="J163">
        <v>1104.3</v>
      </c>
      <c r="K163">
        <v>157.69999999999999</v>
      </c>
      <c r="M163">
        <v>0</v>
      </c>
      <c r="N163">
        <v>0.5</v>
      </c>
      <c r="O163" s="37">
        <f t="shared" si="10"/>
        <v>-0.5</v>
      </c>
      <c r="P163">
        <f t="shared" si="16"/>
        <v>103.2</v>
      </c>
      <c r="Q163">
        <v>122</v>
      </c>
      <c r="R163">
        <v>1</v>
      </c>
      <c r="S163">
        <f t="shared" si="11"/>
        <v>0.5</v>
      </c>
      <c r="T163">
        <f t="shared" si="12"/>
        <v>-0.5</v>
      </c>
      <c r="U163" s="38">
        <f t="shared" si="14"/>
        <v>122.43626865671638</v>
      </c>
      <c r="W163">
        <v>523.20000000000005</v>
      </c>
      <c r="Y163">
        <f t="shared" si="15"/>
        <v>72884.999999999971</v>
      </c>
      <c r="Z163">
        <f t="shared" si="18"/>
        <v>15032.8</v>
      </c>
      <c r="AA163" s="44">
        <v>7.9377331562224835</v>
      </c>
    </row>
    <row r="164" spans="1:27" x14ac:dyDescent="0.25">
      <c r="A164">
        <v>6440</v>
      </c>
      <c r="B164">
        <v>26330</v>
      </c>
      <c r="C164" s="1">
        <v>42742</v>
      </c>
      <c r="E164" s="44">
        <v>23</v>
      </c>
      <c r="F164" s="64"/>
      <c r="G164">
        <v>0.4</v>
      </c>
      <c r="H164">
        <v>-1.6</v>
      </c>
      <c r="I164">
        <v>3.9</v>
      </c>
      <c r="J164">
        <f t="shared" si="13"/>
        <v>1104.7</v>
      </c>
      <c r="K164">
        <f t="shared" si="19"/>
        <v>158.1</v>
      </c>
      <c r="M164">
        <v>1.2</v>
      </c>
      <c r="N164">
        <v>0.5</v>
      </c>
      <c r="O164" s="37">
        <f t="shared" si="10"/>
        <v>0.7</v>
      </c>
      <c r="P164">
        <f t="shared" si="16"/>
        <v>103.9</v>
      </c>
      <c r="Q164">
        <v>123</v>
      </c>
      <c r="R164">
        <v>1</v>
      </c>
      <c r="S164">
        <f t="shared" si="11"/>
        <v>0.5</v>
      </c>
      <c r="T164">
        <f t="shared" si="12"/>
        <v>0.7</v>
      </c>
      <c r="U164" s="38">
        <f t="shared" si="14"/>
        <v>123.13626865671638</v>
      </c>
      <c r="W164">
        <v>71.2</v>
      </c>
      <c r="Y164">
        <f t="shared" si="15"/>
        <v>72956.199999999968</v>
      </c>
      <c r="Z164">
        <f t="shared" si="18"/>
        <v>15104</v>
      </c>
      <c r="AA164" s="44">
        <v>7.9631186277890036</v>
      </c>
    </row>
    <row r="165" spans="1:27" x14ac:dyDescent="0.25">
      <c r="A165">
        <v>6440</v>
      </c>
      <c r="B165">
        <v>26330</v>
      </c>
      <c r="C165" s="1">
        <v>42743</v>
      </c>
      <c r="F165" s="64"/>
      <c r="G165">
        <v>5.2</v>
      </c>
      <c r="H165">
        <v>1.5</v>
      </c>
      <c r="I165">
        <v>7.4</v>
      </c>
      <c r="J165">
        <f t="shared" si="13"/>
        <v>1109.9000000000001</v>
      </c>
      <c r="K165">
        <f t="shared" si="19"/>
        <v>163.29999999999998</v>
      </c>
      <c r="M165">
        <v>0.5</v>
      </c>
      <c r="N165">
        <v>0.5</v>
      </c>
      <c r="O165" s="37">
        <f t="shared" si="10"/>
        <v>0</v>
      </c>
      <c r="P165">
        <f t="shared" si="16"/>
        <v>103.9</v>
      </c>
      <c r="Q165">
        <v>124</v>
      </c>
      <c r="R165">
        <v>1</v>
      </c>
      <c r="S165">
        <f t="shared" si="11"/>
        <v>0.5</v>
      </c>
      <c r="T165">
        <f t="shared" si="12"/>
        <v>0</v>
      </c>
      <c r="U165" s="38">
        <f t="shared" si="14"/>
        <v>123.13626865671638</v>
      </c>
      <c r="W165">
        <v>302.39999999999998</v>
      </c>
      <c r="Y165">
        <f t="shared" si="15"/>
        <v>73258.599999999962</v>
      </c>
      <c r="Z165">
        <f t="shared" si="18"/>
        <v>15406.4</v>
      </c>
      <c r="AA165" s="44">
        <v>7.9898745843886498</v>
      </c>
    </row>
    <row r="166" spans="1:27" x14ac:dyDescent="0.25">
      <c r="A166">
        <v>6440</v>
      </c>
      <c r="B166">
        <v>26330</v>
      </c>
      <c r="C166" s="1">
        <v>42744</v>
      </c>
      <c r="F166" s="64"/>
      <c r="G166">
        <v>5.8</v>
      </c>
      <c r="H166">
        <v>4.7</v>
      </c>
      <c r="I166">
        <v>7</v>
      </c>
      <c r="J166">
        <f t="shared" si="13"/>
        <v>1115.7</v>
      </c>
      <c r="K166">
        <f t="shared" si="19"/>
        <v>169.1</v>
      </c>
      <c r="M166">
        <v>6.6</v>
      </c>
      <c r="N166">
        <v>0.2</v>
      </c>
      <c r="O166" s="37">
        <f t="shared" si="10"/>
        <v>6.3999999999999995</v>
      </c>
      <c r="P166">
        <f t="shared" si="16"/>
        <v>110.30000000000001</v>
      </c>
      <c r="Q166">
        <v>125</v>
      </c>
      <c r="R166">
        <v>1</v>
      </c>
      <c r="S166">
        <f t="shared" si="11"/>
        <v>0.2</v>
      </c>
      <c r="T166">
        <f t="shared" si="12"/>
        <v>6.3999999999999995</v>
      </c>
      <c r="U166" s="38">
        <f t="shared" si="14"/>
        <v>129.53626865671637</v>
      </c>
      <c r="W166">
        <v>136.30000000000001</v>
      </c>
      <c r="Y166">
        <f t="shared" si="15"/>
        <v>73394.899999999965</v>
      </c>
      <c r="Z166">
        <f t="shared" si="18"/>
        <v>15542.699999999999</v>
      </c>
      <c r="AA166" s="44">
        <v>8.0179778529666184</v>
      </c>
    </row>
    <row r="167" spans="1:27" x14ac:dyDescent="0.25">
      <c r="A167">
        <v>6440</v>
      </c>
      <c r="B167">
        <v>26330</v>
      </c>
      <c r="C167" s="1">
        <v>42745</v>
      </c>
      <c r="F167" s="64"/>
      <c r="G167">
        <v>5.2</v>
      </c>
      <c r="H167">
        <v>2.6</v>
      </c>
      <c r="I167">
        <v>6.7</v>
      </c>
      <c r="J167">
        <f t="shared" si="13"/>
        <v>1120.9000000000001</v>
      </c>
      <c r="K167">
        <f t="shared" si="19"/>
        <v>174.29999999999998</v>
      </c>
      <c r="M167">
        <v>0.7</v>
      </c>
      <c r="N167">
        <v>0.2</v>
      </c>
      <c r="O167" s="37">
        <f t="shared" si="10"/>
        <v>0.49999999999999994</v>
      </c>
      <c r="P167">
        <f t="shared" si="16"/>
        <v>110.80000000000001</v>
      </c>
      <c r="Q167">
        <v>126</v>
      </c>
      <c r="R167">
        <v>1</v>
      </c>
      <c r="S167">
        <f t="shared" si="11"/>
        <v>0.2</v>
      </c>
      <c r="T167">
        <f t="shared" si="12"/>
        <v>0.49999999999999994</v>
      </c>
      <c r="U167" s="38">
        <f t="shared" si="14"/>
        <v>130.03626865671637</v>
      </c>
      <c r="W167">
        <v>137.4</v>
      </c>
      <c r="Y167">
        <f t="shared" si="15"/>
        <v>73532.299999999959</v>
      </c>
      <c r="Z167">
        <f t="shared" si="18"/>
        <v>15680.099999999999</v>
      </c>
      <c r="AA167" s="44">
        <v>8.0474044856568572</v>
      </c>
    </row>
    <row r="168" spans="1:27" x14ac:dyDescent="0.25">
      <c r="A168">
        <v>6440</v>
      </c>
      <c r="B168">
        <v>26330</v>
      </c>
      <c r="C168" s="1">
        <v>42746</v>
      </c>
      <c r="F168" s="64"/>
      <c r="G168">
        <v>7.6</v>
      </c>
      <c r="H168">
        <v>5.8</v>
      </c>
      <c r="I168">
        <v>11.1</v>
      </c>
      <c r="J168">
        <f t="shared" si="13"/>
        <v>1128.5</v>
      </c>
      <c r="K168">
        <f t="shared" si="19"/>
        <v>181.89999999999998</v>
      </c>
      <c r="M168">
        <v>0.7</v>
      </c>
      <c r="N168">
        <v>1</v>
      </c>
      <c r="O168" s="37">
        <f t="shared" si="10"/>
        <v>-0.30000000000000004</v>
      </c>
      <c r="P168">
        <f t="shared" si="16"/>
        <v>110.50000000000001</v>
      </c>
      <c r="Q168">
        <v>127</v>
      </c>
      <c r="R168">
        <v>1</v>
      </c>
      <c r="S168">
        <f t="shared" si="11"/>
        <v>1</v>
      </c>
      <c r="T168">
        <f t="shared" si="12"/>
        <v>-0.30000000000000004</v>
      </c>
      <c r="U168" s="38">
        <f t="shared" si="14"/>
        <v>129.73626865671636</v>
      </c>
      <c r="W168">
        <v>353.5</v>
      </c>
      <c r="Y168">
        <f t="shared" si="15"/>
        <v>73885.799999999959</v>
      </c>
      <c r="Z168">
        <f t="shared" si="18"/>
        <v>16033.599999999999</v>
      </c>
      <c r="AA168" s="44">
        <v>8.0781298301430358</v>
      </c>
    </row>
    <row r="169" spans="1:27" x14ac:dyDescent="0.25">
      <c r="A169">
        <v>6440</v>
      </c>
      <c r="B169">
        <v>26330</v>
      </c>
      <c r="C169" s="1">
        <v>42747</v>
      </c>
      <c r="F169" s="64"/>
      <c r="G169">
        <v>5.0999999999999996</v>
      </c>
      <c r="H169">
        <v>4.7</v>
      </c>
      <c r="I169">
        <v>6.7</v>
      </c>
      <c r="J169">
        <f t="shared" si="13"/>
        <v>1133.5999999999999</v>
      </c>
      <c r="K169">
        <f t="shared" si="19"/>
        <v>186.99999999999997</v>
      </c>
      <c r="M169">
        <v>18.100000000000001</v>
      </c>
      <c r="N169">
        <v>0.8</v>
      </c>
      <c r="O169" s="37">
        <f t="shared" si="10"/>
        <v>17.3</v>
      </c>
      <c r="P169">
        <f t="shared" si="16"/>
        <v>127.80000000000001</v>
      </c>
      <c r="Q169">
        <v>128</v>
      </c>
      <c r="R169">
        <v>1</v>
      </c>
      <c r="S169">
        <f t="shared" si="11"/>
        <v>0.8</v>
      </c>
      <c r="T169">
        <f t="shared" si="12"/>
        <v>17.3</v>
      </c>
      <c r="U169" s="38">
        <f t="shared" si="14"/>
        <v>147.03626865671637</v>
      </c>
      <c r="W169">
        <v>93.7</v>
      </c>
      <c r="Y169">
        <f t="shared" si="15"/>
        <v>73979.499999999956</v>
      </c>
      <c r="Z169">
        <f t="shared" si="18"/>
        <v>16127.3</v>
      </c>
      <c r="AA169" s="44">
        <v>8.1101285999940345</v>
      </c>
    </row>
    <row r="170" spans="1:27" x14ac:dyDescent="0.25">
      <c r="A170">
        <v>6440</v>
      </c>
      <c r="B170">
        <v>26330</v>
      </c>
      <c r="C170" s="1">
        <v>42748</v>
      </c>
      <c r="E170" s="44">
        <v>24</v>
      </c>
      <c r="F170" s="64"/>
      <c r="G170">
        <v>3.1</v>
      </c>
      <c r="H170">
        <v>1.8</v>
      </c>
      <c r="I170">
        <v>4.9000000000000004</v>
      </c>
      <c r="J170">
        <f t="shared" si="13"/>
        <v>1136.6999999999998</v>
      </c>
      <c r="K170">
        <f t="shared" si="19"/>
        <v>190.09999999999997</v>
      </c>
      <c r="M170">
        <v>3.4</v>
      </c>
      <c r="N170">
        <v>1</v>
      </c>
      <c r="O170" s="37">
        <f t="shared" si="10"/>
        <v>2.4</v>
      </c>
      <c r="P170">
        <f t="shared" si="16"/>
        <v>130.20000000000002</v>
      </c>
      <c r="Q170">
        <v>129</v>
      </c>
      <c r="R170">
        <v>1</v>
      </c>
      <c r="S170">
        <f t="shared" si="11"/>
        <v>1</v>
      </c>
      <c r="T170">
        <f t="shared" si="12"/>
        <v>2.4</v>
      </c>
      <c r="U170" s="38">
        <f t="shared" si="14"/>
        <v>149.43626865671638</v>
      </c>
      <c r="W170">
        <v>105.9</v>
      </c>
      <c r="Y170">
        <f t="shared" si="15"/>
        <v>74085.399999999951</v>
      </c>
      <c r="Z170">
        <f t="shared" si="18"/>
        <v>16233.199999999999</v>
      </c>
      <c r="AA170" s="44">
        <v>8.1433749446075936</v>
      </c>
    </row>
    <row r="171" spans="1:27" x14ac:dyDescent="0.25">
      <c r="A171">
        <v>6440</v>
      </c>
      <c r="B171">
        <v>26330</v>
      </c>
      <c r="C171" s="1">
        <v>42749</v>
      </c>
      <c r="E171" s="44">
        <v>25</v>
      </c>
      <c r="F171" s="64"/>
      <c r="G171">
        <v>2.2000000000000002</v>
      </c>
      <c r="H171">
        <v>0.4</v>
      </c>
      <c r="I171">
        <v>4</v>
      </c>
      <c r="J171">
        <f t="shared" si="13"/>
        <v>1138.8999999999999</v>
      </c>
      <c r="K171">
        <f t="shared" si="19"/>
        <v>192.29999999999995</v>
      </c>
      <c r="M171">
        <v>1.3</v>
      </c>
      <c r="N171">
        <v>0.5</v>
      </c>
      <c r="O171" s="37">
        <f t="shared" ref="O171:O234" si="20">M171-N171</f>
        <v>0.8</v>
      </c>
      <c r="P171">
        <f t="shared" si="16"/>
        <v>131.00000000000003</v>
      </c>
      <c r="Q171">
        <v>130</v>
      </c>
      <c r="R171">
        <v>1</v>
      </c>
      <c r="S171">
        <f t="shared" ref="S171:S234" si="21">R171*N171</f>
        <v>0.5</v>
      </c>
      <c r="T171">
        <f t="shared" ref="T171:T234" si="22">M171-S171</f>
        <v>0.8</v>
      </c>
      <c r="U171" s="38">
        <f t="shared" si="14"/>
        <v>150.23626865671639</v>
      </c>
      <c r="W171">
        <v>251.2</v>
      </c>
      <c r="Y171">
        <f t="shared" si="15"/>
        <v>74336.599999999948</v>
      </c>
      <c r="Z171">
        <f t="shared" si="18"/>
        <v>16484.399999999998</v>
      </c>
      <c r="AA171" s="44">
        <v>8.1778425184180623</v>
      </c>
    </row>
    <row r="172" spans="1:27" x14ac:dyDescent="0.25">
      <c r="A172">
        <v>6440</v>
      </c>
      <c r="B172">
        <v>26330</v>
      </c>
      <c r="C172" s="1">
        <v>42750</v>
      </c>
      <c r="E172" s="44">
        <v>26</v>
      </c>
      <c r="F172" s="64"/>
      <c r="G172">
        <v>1.6</v>
      </c>
      <c r="H172">
        <v>0.4</v>
      </c>
      <c r="I172">
        <v>3.1</v>
      </c>
      <c r="J172">
        <f t="shared" ref="J172:J235" si="23">J171+G172</f>
        <v>1140.4999999999998</v>
      </c>
      <c r="K172">
        <f t="shared" si="19"/>
        <v>193.89999999999995</v>
      </c>
      <c r="M172">
        <v>1.7</v>
      </c>
      <c r="N172">
        <v>0.2</v>
      </c>
      <c r="O172" s="37">
        <f t="shared" si="20"/>
        <v>1.5</v>
      </c>
      <c r="P172">
        <f t="shared" si="16"/>
        <v>132.50000000000003</v>
      </c>
      <c r="Q172">
        <v>131</v>
      </c>
      <c r="R172">
        <v>1</v>
      </c>
      <c r="S172">
        <f t="shared" si="21"/>
        <v>0.2</v>
      </c>
      <c r="T172">
        <f t="shared" si="22"/>
        <v>1.5</v>
      </c>
      <c r="U172" s="38">
        <f t="shared" ref="U172:U235" si="24">MIN(T172+U171,153.6)</f>
        <v>151.73626865671639</v>
      </c>
      <c r="W172">
        <v>95</v>
      </c>
      <c r="Y172">
        <f t="shared" ref="Y172:Y235" si="25">Y171+W172</f>
        <v>74431.599999999948</v>
      </c>
      <c r="Z172">
        <f t="shared" si="18"/>
        <v>16579.399999999998</v>
      </c>
      <c r="AA172" s="44">
        <v>8.2135045490482419</v>
      </c>
    </row>
    <row r="173" spans="1:27" x14ac:dyDescent="0.25">
      <c r="A173">
        <v>6440</v>
      </c>
      <c r="B173">
        <v>26330</v>
      </c>
      <c r="C173" s="1">
        <v>42751</v>
      </c>
      <c r="E173" s="44">
        <v>27</v>
      </c>
      <c r="F173" s="64"/>
      <c r="G173">
        <v>0.1</v>
      </c>
      <c r="H173">
        <v>-0.4</v>
      </c>
      <c r="I173">
        <v>2</v>
      </c>
      <c r="J173">
        <f t="shared" si="23"/>
        <v>1140.5999999999997</v>
      </c>
      <c r="K173">
        <f t="shared" si="19"/>
        <v>193.99999999999994</v>
      </c>
      <c r="M173">
        <v>0</v>
      </c>
      <c r="N173">
        <v>0.3</v>
      </c>
      <c r="O173" s="37">
        <f t="shared" si="20"/>
        <v>-0.3</v>
      </c>
      <c r="P173">
        <f t="shared" si="16"/>
        <v>132.20000000000002</v>
      </c>
      <c r="Q173">
        <v>132</v>
      </c>
      <c r="R173">
        <v>1</v>
      </c>
      <c r="S173">
        <f t="shared" si="21"/>
        <v>0.3</v>
      </c>
      <c r="T173">
        <f t="shared" si="22"/>
        <v>-0.3</v>
      </c>
      <c r="U173" s="38">
        <f t="shared" si="24"/>
        <v>151.43626865671638</v>
      </c>
      <c r="W173">
        <v>241.3</v>
      </c>
      <c r="Y173">
        <f t="shared" si="25"/>
        <v>74672.899999999951</v>
      </c>
      <c r="Z173">
        <f t="shared" si="18"/>
        <v>16820.699999999997</v>
      </c>
      <c r="AA173" s="44">
        <v>8.2503339041110824</v>
      </c>
    </row>
    <row r="174" spans="1:27" x14ac:dyDescent="0.25">
      <c r="A174">
        <v>6440</v>
      </c>
      <c r="B174">
        <v>26330</v>
      </c>
      <c r="C174" s="1">
        <v>42752</v>
      </c>
      <c r="E174" s="44">
        <v>28</v>
      </c>
      <c r="F174" s="64"/>
      <c r="G174">
        <v>-2.1</v>
      </c>
      <c r="H174">
        <v>-2.6</v>
      </c>
      <c r="I174">
        <v>-1.4</v>
      </c>
      <c r="J174">
        <v>1140.5999999999999</v>
      </c>
      <c r="K174">
        <v>194</v>
      </c>
      <c r="M174">
        <v>0</v>
      </c>
      <c r="N174">
        <v>0.4</v>
      </c>
      <c r="O174" s="37">
        <f t="shared" si="20"/>
        <v>-0.4</v>
      </c>
      <c r="P174">
        <f t="shared" si="16"/>
        <v>131.80000000000001</v>
      </c>
      <c r="Q174">
        <v>133</v>
      </c>
      <c r="R174">
        <v>1</v>
      </c>
      <c r="S174">
        <f t="shared" si="21"/>
        <v>0.4</v>
      </c>
      <c r="T174">
        <f t="shared" si="22"/>
        <v>-0.4</v>
      </c>
      <c r="U174" s="38">
        <f t="shared" si="24"/>
        <v>151.03626865671637</v>
      </c>
      <c r="W174">
        <v>551.79999999999995</v>
      </c>
      <c r="Y174">
        <f t="shared" si="25"/>
        <v>75224.699999999953</v>
      </c>
      <c r="Z174">
        <f t="shared" si="18"/>
        <v>17372.499999999996</v>
      </c>
      <c r="AA174" s="44">
        <v>8.2883031563934875</v>
      </c>
    </row>
    <row r="175" spans="1:27" x14ac:dyDescent="0.25">
      <c r="A175">
        <v>6440</v>
      </c>
      <c r="B175">
        <v>26330</v>
      </c>
      <c r="C175" s="1">
        <v>42753</v>
      </c>
      <c r="E175" s="44">
        <v>29</v>
      </c>
      <c r="F175" s="64"/>
      <c r="G175">
        <v>-2.4</v>
      </c>
      <c r="H175">
        <v>-4.2</v>
      </c>
      <c r="I175">
        <v>-0.8</v>
      </c>
      <c r="J175">
        <v>1140.5999999999999</v>
      </c>
      <c r="K175">
        <v>194</v>
      </c>
      <c r="M175">
        <v>0</v>
      </c>
      <c r="N175">
        <v>0.3</v>
      </c>
      <c r="O175" s="37">
        <f t="shared" si="20"/>
        <v>-0.3</v>
      </c>
      <c r="P175">
        <f t="shared" si="16"/>
        <v>131.5</v>
      </c>
      <c r="Q175">
        <v>134</v>
      </c>
      <c r="R175">
        <v>1</v>
      </c>
      <c r="S175">
        <f t="shared" si="21"/>
        <v>0.3</v>
      </c>
      <c r="T175">
        <f t="shared" si="22"/>
        <v>-0.3</v>
      </c>
      <c r="U175" s="38">
        <f t="shared" si="24"/>
        <v>150.73626865671636</v>
      </c>
      <c r="W175">
        <v>714.9</v>
      </c>
      <c r="Y175">
        <f t="shared" si="25"/>
        <v>75939.599999999948</v>
      </c>
      <c r="Z175">
        <f t="shared" si="18"/>
        <v>18087.399999999998</v>
      </c>
      <c r="AA175" s="44">
        <v>8.3273846471819777</v>
      </c>
    </row>
    <row r="176" spans="1:27" x14ac:dyDescent="0.25">
      <c r="A176">
        <v>6440</v>
      </c>
      <c r="B176">
        <v>26330</v>
      </c>
      <c r="C176" s="1">
        <v>42754</v>
      </c>
      <c r="E176" s="44">
        <v>30</v>
      </c>
      <c r="F176" s="64"/>
      <c r="G176">
        <v>-1.1000000000000001</v>
      </c>
      <c r="H176">
        <v>-3.7</v>
      </c>
      <c r="I176">
        <v>0.8</v>
      </c>
      <c r="J176">
        <v>1140.5999999999999</v>
      </c>
      <c r="K176">
        <v>194</v>
      </c>
      <c r="M176">
        <v>0</v>
      </c>
      <c r="N176">
        <v>0.6</v>
      </c>
      <c r="O176" s="37">
        <f t="shared" si="20"/>
        <v>-0.6</v>
      </c>
      <c r="P176">
        <f t="shared" si="16"/>
        <v>130.9</v>
      </c>
      <c r="Q176">
        <v>135</v>
      </c>
      <c r="R176">
        <v>1</v>
      </c>
      <c r="S176">
        <f t="shared" si="21"/>
        <v>0.6</v>
      </c>
      <c r="T176">
        <f t="shared" si="22"/>
        <v>-0.6</v>
      </c>
      <c r="U176" s="38">
        <f t="shared" si="24"/>
        <v>150.13626865671637</v>
      </c>
      <c r="W176">
        <v>726.5</v>
      </c>
      <c r="Y176">
        <f t="shared" si="25"/>
        <v>76666.099999999948</v>
      </c>
      <c r="Z176">
        <f t="shared" si="18"/>
        <v>18813.899999999998</v>
      </c>
      <c r="AA176" s="44">
        <v>8.3675505475174585</v>
      </c>
    </row>
    <row r="177" spans="1:27" x14ac:dyDescent="0.25">
      <c r="A177">
        <v>6440</v>
      </c>
      <c r="B177">
        <v>26330</v>
      </c>
      <c r="C177" s="1">
        <v>42755</v>
      </c>
      <c r="E177" s="44">
        <v>31</v>
      </c>
      <c r="F177" s="64"/>
      <c r="G177">
        <v>-0.4</v>
      </c>
      <c r="H177">
        <v>-3.2</v>
      </c>
      <c r="I177">
        <v>2.2999999999999998</v>
      </c>
      <c r="J177">
        <v>1140.5999999999999</v>
      </c>
      <c r="K177">
        <v>194</v>
      </c>
      <c r="M177">
        <v>0</v>
      </c>
      <c r="N177">
        <v>1</v>
      </c>
      <c r="O177" s="37">
        <f t="shared" si="20"/>
        <v>-1</v>
      </c>
      <c r="P177">
        <f t="shared" si="16"/>
        <v>129.9</v>
      </c>
      <c r="Q177">
        <v>136</v>
      </c>
      <c r="R177">
        <v>1</v>
      </c>
      <c r="S177">
        <f t="shared" si="21"/>
        <v>1</v>
      </c>
      <c r="T177">
        <f t="shared" si="22"/>
        <v>-1</v>
      </c>
      <c r="U177" s="38">
        <f t="shared" si="24"/>
        <v>149.13626865671637</v>
      </c>
      <c r="W177">
        <v>738</v>
      </c>
      <c r="Y177">
        <f t="shared" si="25"/>
        <v>77404.099999999948</v>
      </c>
      <c r="Z177">
        <f t="shared" si="18"/>
        <v>19551.899999999998</v>
      </c>
      <c r="AA177" s="44">
        <v>8.4087729171937369</v>
      </c>
    </row>
    <row r="178" spans="1:27" x14ac:dyDescent="0.25">
      <c r="A178">
        <v>6440</v>
      </c>
      <c r="B178">
        <v>26330</v>
      </c>
      <c r="C178" s="1">
        <v>42756</v>
      </c>
      <c r="E178" s="44">
        <v>32</v>
      </c>
      <c r="F178" s="64"/>
      <c r="G178">
        <v>-1.8</v>
      </c>
      <c r="H178">
        <v>-4</v>
      </c>
      <c r="I178">
        <v>1.4</v>
      </c>
      <c r="J178">
        <v>1140.5999999999999</v>
      </c>
      <c r="K178">
        <v>194</v>
      </c>
      <c r="M178">
        <v>0</v>
      </c>
      <c r="N178">
        <v>0.7</v>
      </c>
      <c r="O178" s="37">
        <f t="shared" si="20"/>
        <v>-0.7</v>
      </c>
      <c r="P178">
        <f t="shared" si="16"/>
        <v>129.20000000000002</v>
      </c>
      <c r="Q178">
        <v>137</v>
      </c>
      <c r="R178">
        <v>1</v>
      </c>
      <c r="S178">
        <f t="shared" si="21"/>
        <v>0.7</v>
      </c>
      <c r="T178">
        <f t="shared" si="22"/>
        <v>-0.7</v>
      </c>
      <c r="U178" s="38">
        <f t="shared" si="24"/>
        <v>148.43626865671638</v>
      </c>
      <c r="W178">
        <v>750</v>
      </c>
      <c r="Y178">
        <f t="shared" si="25"/>
        <v>78154.099999999948</v>
      </c>
      <c r="Z178">
        <f t="shared" si="18"/>
        <v>20301.899999999998</v>
      </c>
      <c r="AA178" s="44">
        <v>8.4510237613415562</v>
      </c>
    </row>
    <row r="179" spans="1:27" x14ac:dyDescent="0.25">
      <c r="A179">
        <v>6440</v>
      </c>
      <c r="B179">
        <v>26330</v>
      </c>
      <c r="C179" s="1">
        <v>42757</v>
      </c>
      <c r="E179" s="44">
        <v>33</v>
      </c>
      <c r="F179" s="64"/>
      <c r="G179">
        <v>-1.8</v>
      </c>
      <c r="H179">
        <v>-5.7</v>
      </c>
      <c r="I179">
        <v>2.4</v>
      </c>
      <c r="J179">
        <v>1140.5999999999999</v>
      </c>
      <c r="K179">
        <v>194</v>
      </c>
      <c r="M179">
        <v>0</v>
      </c>
      <c r="N179">
        <v>0.5</v>
      </c>
      <c r="O179" s="37">
        <f t="shared" si="20"/>
        <v>-0.5</v>
      </c>
      <c r="P179">
        <f t="shared" si="16"/>
        <v>128.70000000000002</v>
      </c>
      <c r="Q179">
        <v>138</v>
      </c>
      <c r="R179">
        <v>1</v>
      </c>
      <c r="S179">
        <f t="shared" si="21"/>
        <v>0.5</v>
      </c>
      <c r="T179">
        <f t="shared" si="22"/>
        <v>-0.5</v>
      </c>
      <c r="U179" s="38">
        <f t="shared" si="24"/>
        <v>147.93626865671638</v>
      </c>
      <c r="W179">
        <v>727.4</v>
      </c>
      <c r="Y179">
        <f t="shared" si="25"/>
        <v>78881.499999999942</v>
      </c>
      <c r="Z179">
        <f t="shared" si="18"/>
        <v>21029.3</v>
      </c>
      <c r="AA179" s="44">
        <v>8.4942750844660946</v>
      </c>
    </row>
    <row r="180" spans="1:27" x14ac:dyDescent="0.25">
      <c r="A180">
        <v>6440</v>
      </c>
      <c r="B180">
        <v>26330</v>
      </c>
      <c r="C180" s="1">
        <v>42758</v>
      </c>
      <c r="E180" s="44">
        <v>34</v>
      </c>
      <c r="F180" s="64"/>
      <c r="G180">
        <v>0</v>
      </c>
      <c r="H180">
        <v>-3.2</v>
      </c>
      <c r="I180">
        <v>1.7</v>
      </c>
      <c r="J180">
        <f t="shared" si="23"/>
        <v>1140.5999999999999</v>
      </c>
      <c r="K180">
        <f t="shared" si="19"/>
        <v>194</v>
      </c>
      <c r="M180">
        <v>0</v>
      </c>
      <c r="N180">
        <v>0.4</v>
      </c>
      <c r="O180" s="37">
        <f t="shared" si="20"/>
        <v>-0.4</v>
      </c>
      <c r="P180">
        <f t="shared" ref="P180:P243" si="26">P179+O180</f>
        <v>128.30000000000001</v>
      </c>
      <c r="Q180">
        <v>139</v>
      </c>
      <c r="R180">
        <v>1</v>
      </c>
      <c r="S180">
        <f t="shared" si="21"/>
        <v>0.4</v>
      </c>
      <c r="T180">
        <f t="shared" si="22"/>
        <v>-0.4</v>
      </c>
      <c r="U180" s="38">
        <f t="shared" si="24"/>
        <v>147.53626865671637</v>
      </c>
      <c r="W180">
        <v>229.8</v>
      </c>
      <c r="Y180">
        <f t="shared" si="25"/>
        <v>79111.299999999945</v>
      </c>
      <c r="Z180">
        <f t="shared" si="18"/>
        <v>21259.1</v>
      </c>
      <c r="AA180" s="44">
        <v>8.5384989418313193</v>
      </c>
    </row>
    <row r="181" spans="1:27" x14ac:dyDescent="0.25">
      <c r="A181">
        <v>6440</v>
      </c>
      <c r="B181">
        <v>26330</v>
      </c>
      <c r="C181" s="1">
        <v>42759</v>
      </c>
      <c r="E181" s="44">
        <v>35</v>
      </c>
      <c r="F181" s="64"/>
      <c r="G181">
        <v>0.2</v>
      </c>
      <c r="H181">
        <v>-0.8</v>
      </c>
      <c r="I181">
        <v>1.5</v>
      </c>
      <c r="J181">
        <f t="shared" si="23"/>
        <v>1140.8</v>
      </c>
      <c r="K181">
        <f t="shared" si="19"/>
        <v>194.2</v>
      </c>
      <c r="M181">
        <v>0</v>
      </c>
      <c r="N181">
        <v>0.5</v>
      </c>
      <c r="O181" s="37">
        <f t="shared" si="20"/>
        <v>-0.5</v>
      </c>
      <c r="P181">
        <f t="shared" si="26"/>
        <v>127.80000000000001</v>
      </c>
      <c r="Q181">
        <v>140</v>
      </c>
      <c r="R181">
        <v>1</v>
      </c>
      <c r="S181">
        <f t="shared" si="21"/>
        <v>0.5</v>
      </c>
      <c r="T181">
        <f t="shared" si="22"/>
        <v>-0.5</v>
      </c>
      <c r="U181" s="38">
        <f t="shared" si="24"/>
        <v>147.03626865671637</v>
      </c>
      <c r="W181">
        <v>425.2</v>
      </c>
      <c r="Y181">
        <f t="shared" si="25"/>
        <v>79536.499999999942</v>
      </c>
      <c r="Z181">
        <f t="shared" si="18"/>
        <v>21684.3</v>
      </c>
      <c r="AA181" s="44">
        <v>8.583667488108631</v>
      </c>
    </row>
    <row r="182" spans="1:27" x14ac:dyDescent="0.25">
      <c r="A182">
        <v>6440</v>
      </c>
      <c r="B182">
        <v>26330</v>
      </c>
      <c r="C182" s="1">
        <v>42760</v>
      </c>
      <c r="E182" s="44">
        <v>36</v>
      </c>
      <c r="F182" s="64"/>
      <c r="G182">
        <v>-0.7</v>
      </c>
      <c r="H182">
        <v>-1</v>
      </c>
      <c r="I182">
        <v>0.1</v>
      </c>
      <c r="J182">
        <v>1140.8</v>
      </c>
      <c r="K182">
        <v>194.2</v>
      </c>
      <c r="M182">
        <v>0</v>
      </c>
      <c r="N182">
        <v>0.4</v>
      </c>
      <c r="O182" s="37">
        <f t="shared" si="20"/>
        <v>-0.4</v>
      </c>
      <c r="P182">
        <f t="shared" si="26"/>
        <v>127.4</v>
      </c>
      <c r="Q182">
        <v>141</v>
      </c>
      <c r="R182">
        <v>1</v>
      </c>
      <c r="S182">
        <f t="shared" si="21"/>
        <v>0.4</v>
      </c>
      <c r="T182">
        <f t="shared" si="22"/>
        <v>-0.4</v>
      </c>
      <c r="U182" s="38">
        <f t="shared" si="24"/>
        <v>146.63626865671637</v>
      </c>
      <c r="W182">
        <v>156.30000000000001</v>
      </c>
      <c r="Y182">
        <f t="shared" si="25"/>
        <v>79692.799999999945</v>
      </c>
      <c r="Z182">
        <f t="shared" si="18"/>
        <v>21840.6</v>
      </c>
      <c r="AA182" s="44">
        <v>8.6297530232301956</v>
      </c>
    </row>
    <row r="183" spans="1:27" x14ac:dyDescent="0.25">
      <c r="A183">
        <v>6440</v>
      </c>
      <c r="B183">
        <v>26330</v>
      </c>
      <c r="C183" s="1">
        <v>42761</v>
      </c>
      <c r="E183" s="44">
        <v>37</v>
      </c>
      <c r="F183" s="64"/>
      <c r="G183">
        <v>-1.3</v>
      </c>
      <c r="H183">
        <v>-2.5</v>
      </c>
      <c r="I183">
        <v>0.5</v>
      </c>
      <c r="J183">
        <v>1140.8</v>
      </c>
      <c r="K183">
        <v>194.2</v>
      </c>
      <c r="M183">
        <v>0</v>
      </c>
      <c r="N183">
        <v>0.7</v>
      </c>
      <c r="O183" s="37">
        <f t="shared" si="20"/>
        <v>-0.7</v>
      </c>
      <c r="P183">
        <f t="shared" si="26"/>
        <v>126.7</v>
      </c>
      <c r="Q183">
        <v>142</v>
      </c>
      <c r="R183">
        <v>1</v>
      </c>
      <c r="S183">
        <f t="shared" si="21"/>
        <v>0.7</v>
      </c>
      <c r="T183">
        <f t="shared" si="22"/>
        <v>-0.7</v>
      </c>
      <c r="U183" s="38">
        <f t="shared" si="24"/>
        <v>145.93626865671638</v>
      </c>
      <c r="W183">
        <v>675.4</v>
      </c>
      <c r="Y183">
        <f t="shared" si="25"/>
        <v>80368.199999999939</v>
      </c>
      <c r="Z183">
        <f t="shared" si="18"/>
        <v>22516</v>
      </c>
      <c r="AA183" s="44">
        <v>8.6767280354086118</v>
      </c>
    </row>
    <row r="184" spans="1:27" x14ac:dyDescent="0.25">
      <c r="A184">
        <v>6440</v>
      </c>
      <c r="B184">
        <v>26330</v>
      </c>
      <c r="C184" s="1">
        <v>42762</v>
      </c>
      <c r="E184" s="44">
        <v>38</v>
      </c>
      <c r="F184" s="64"/>
      <c r="G184">
        <v>3</v>
      </c>
      <c r="H184">
        <v>-2.1</v>
      </c>
      <c r="I184">
        <v>6.5</v>
      </c>
      <c r="J184">
        <f t="shared" si="23"/>
        <v>1143.8</v>
      </c>
      <c r="K184">
        <f t="shared" si="19"/>
        <v>197.2</v>
      </c>
      <c r="M184">
        <v>0</v>
      </c>
      <c r="N184">
        <v>0.8</v>
      </c>
      <c r="O184" s="37">
        <f t="shared" si="20"/>
        <v>-0.8</v>
      </c>
      <c r="P184">
        <f t="shared" si="26"/>
        <v>125.9</v>
      </c>
      <c r="Q184">
        <v>143</v>
      </c>
      <c r="R184">
        <v>1</v>
      </c>
      <c r="S184">
        <f t="shared" si="21"/>
        <v>0.8</v>
      </c>
      <c r="T184">
        <f t="shared" si="22"/>
        <v>-0.8</v>
      </c>
      <c r="U184" s="38">
        <f t="shared" si="24"/>
        <v>145.13626865671637</v>
      </c>
      <c r="W184">
        <v>485.6</v>
      </c>
      <c r="Y184">
        <f t="shared" si="25"/>
        <v>80853.799999999945</v>
      </c>
      <c r="Z184">
        <f t="shared" si="18"/>
        <v>23001.599999999999</v>
      </c>
      <c r="AA184" s="44">
        <v>8.7245652413044876</v>
      </c>
    </row>
    <row r="185" spans="1:27" x14ac:dyDescent="0.25">
      <c r="A185">
        <v>6440</v>
      </c>
      <c r="B185">
        <v>26330</v>
      </c>
      <c r="C185" s="1">
        <v>42763</v>
      </c>
      <c r="F185" s="64"/>
      <c r="G185">
        <v>6.4</v>
      </c>
      <c r="H185">
        <v>5.4</v>
      </c>
      <c r="I185">
        <v>9.1</v>
      </c>
      <c r="J185">
        <f t="shared" si="23"/>
        <v>1150.2</v>
      </c>
      <c r="K185">
        <f t="shared" si="19"/>
        <v>203.6</v>
      </c>
      <c r="M185">
        <v>0.4</v>
      </c>
      <c r="N185">
        <v>1.4</v>
      </c>
      <c r="O185" s="37">
        <f t="shared" si="20"/>
        <v>-0.99999999999999989</v>
      </c>
      <c r="P185">
        <f t="shared" si="26"/>
        <v>124.9</v>
      </c>
      <c r="Q185">
        <v>144</v>
      </c>
      <c r="R185">
        <v>1</v>
      </c>
      <c r="S185">
        <f t="shared" si="21"/>
        <v>1.4</v>
      </c>
      <c r="T185">
        <f t="shared" si="22"/>
        <v>-0.99999999999999989</v>
      </c>
      <c r="U185" s="38">
        <f t="shared" si="24"/>
        <v>144.13626865671637</v>
      </c>
      <c r="W185">
        <v>200.5</v>
      </c>
      <c r="Y185">
        <f t="shared" si="25"/>
        <v>81054.299999999945</v>
      </c>
      <c r="Z185">
        <f t="shared" si="18"/>
        <v>23202.1</v>
      </c>
      <c r="AA185" s="44">
        <v>8.7732376233415827</v>
      </c>
    </row>
    <row r="186" spans="1:27" x14ac:dyDescent="0.25">
      <c r="A186">
        <v>6440</v>
      </c>
      <c r="B186">
        <v>26330</v>
      </c>
      <c r="C186" s="1">
        <v>42764</v>
      </c>
      <c r="E186" s="44">
        <v>39</v>
      </c>
      <c r="F186" s="64"/>
      <c r="G186">
        <v>4.5999999999999996</v>
      </c>
      <c r="H186">
        <v>2.1</v>
      </c>
      <c r="I186">
        <v>6.9</v>
      </c>
      <c r="J186">
        <f t="shared" si="23"/>
        <v>1154.8</v>
      </c>
      <c r="K186">
        <f t="shared" si="19"/>
        <v>208.2</v>
      </c>
      <c r="M186">
        <v>9.5</v>
      </c>
      <c r="N186">
        <v>0.4</v>
      </c>
      <c r="O186" s="37">
        <f t="shared" si="20"/>
        <v>9.1</v>
      </c>
      <c r="P186">
        <f t="shared" si="26"/>
        <v>134</v>
      </c>
      <c r="Q186">
        <v>145</v>
      </c>
      <c r="R186">
        <v>1</v>
      </c>
      <c r="S186">
        <f t="shared" si="21"/>
        <v>0.4</v>
      </c>
      <c r="T186">
        <f t="shared" si="22"/>
        <v>9.1</v>
      </c>
      <c r="U186" s="38">
        <f t="shared" si="24"/>
        <v>153.23626865671636</v>
      </c>
      <c r="W186">
        <v>286.8</v>
      </c>
      <c r="Y186">
        <f t="shared" si="25"/>
        <v>81341.099999999948</v>
      </c>
      <c r="Z186">
        <f t="shared" si="18"/>
        <v>23488.899999999998</v>
      </c>
      <c r="AA186" s="44">
        <v>8.8227184641858756</v>
      </c>
    </row>
    <row r="187" spans="1:27" x14ac:dyDescent="0.25">
      <c r="A187">
        <v>6440</v>
      </c>
      <c r="B187">
        <v>26330</v>
      </c>
      <c r="C187" s="1">
        <v>42765</v>
      </c>
      <c r="F187" s="64"/>
      <c r="G187">
        <v>6.8</v>
      </c>
      <c r="H187">
        <v>5.7</v>
      </c>
      <c r="I187">
        <v>8.1</v>
      </c>
      <c r="J187">
        <f t="shared" si="23"/>
        <v>1161.5999999999999</v>
      </c>
      <c r="K187">
        <f t="shared" si="19"/>
        <v>215</v>
      </c>
      <c r="M187">
        <v>1</v>
      </c>
      <c r="N187">
        <v>0.3</v>
      </c>
      <c r="O187" s="37">
        <f t="shared" si="20"/>
        <v>0.7</v>
      </c>
      <c r="P187">
        <f t="shared" si="26"/>
        <v>134.69999999999999</v>
      </c>
      <c r="Q187">
        <v>146</v>
      </c>
      <c r="R187">
        <v>1</v>
      </c>
      <c r="S187">
        <f t="shared" si="21"/>
        <v>0.3</v>
      </c>
      <c r="T187">
        <f t="shared" si="22"/>
        <v>0.7</v>
      </c>
      <c r="U187" s="38">
        <f t="shared" si="24"/>
        <v>153.6</v>
      </c>
      <c r="W187">
        <v>135.5</v>
      </c>
      <c r="Y187">
        <f t="shared" si="25"/>
        <v>81476.599999999948</v>
      </c>
      <c r="Z187">
        <f t="shared" si="18"/>
        <v>23624.399999999998</v>
      </c>
      <c r="AA187" s="44">
        <v>8.8729813784196292</v>
      </c>
    </row>
    <row r="188" spans="1:27" x14ac:dyDescent="0.25">
      <c r="A188">
        <v>6440</v>
      </c>
      <c r="B188">
        <v>26330</v>
      </c>
      <c r="C188" s="1">
        <v>42766</v>
      </c>
      <c r="E188" s="44">
        <v>40</v>
      </c>
      <c r="F188" s="64"/>
      <c r="G188">
        <v>4.5</v>
      </c>
      <c r="H188">
        <v>4.0999999999999996</v>
      </c>
      <c r="I188">
        <v>6.6</v>
      </c>
      <c r="J188">
        <f t="shared" si="23"/>
        <v>1166.0999999999999</v>
      </c>
      <c r="K188">
        <f t="shared" si="19"/>
        <v>219.5</v>
      </c>
      <c r="M188">
        <v>0.2</v>
      </c>
      <c r="N188">
        <v>0.6</v>
      </c>
      <c r="O188" s="37">
        <f t="shared" si="20"/>
        <v>-0.39999999999999997</v>
      </c>
      <c r="P188">
        <f t="shared" si="26"/>
        <v>134.29999999999998</v>
      </c>
      <c r="Q188">
        <v>147</v>
      </c>
      <c r="R188">
        <v>1</v>
      </c>
      <c r="S188">
        <f t="shared" si="21"/>
        <v>0.6</v>
      </c>
      <c r="T188">
        <f t="shared" si="22"/>
        <v>-0.39999999999999997</v>
      </c>
      <c r="U188" s="38">
        <f t="shared" si="24"/>
        <v>153.19999999999999</v>
      </c>
      <c r="W188">
        <v>256.39999999999998</v>
      </c>
      <c r="Y188">
        <f t="shared" si="25"/>
        <v>81732.999999999942</v>
      </c>
      <c r="Z188">
        <f t="shared" si="18"/>
        <v>23880.799999999999</v>
      </c>
      <c r="AA188" s="44">
        <v>8.9240003414549776</v>
      </c>
    </row>
    <row r="189" spans="1:27" x14ac:dyDescent="0.25">
      <c r="A189">
        <v>6440</v>
      </c>
      <c r="B189">
        <v>26330</v>
      </c>
      <c r="C189" s="1">
        <v>42767</v>
      </c>
      <c r="E189" t="s">
        <v>59</v>
      </c>
      <c r="F189" s="64"/>
      <c r="G189">
        <v>7.5</v>
      </c>
      <c r="H189">
        <v>4.5</v>
      </c>
      <c r="I189">
        <v>8.5</v>
      </c>
      <c r="J189">
        <f t="shared" si="23"/>
        <v>1173.5999999999999</v>
      </c>
      <c r="K189">
        <f t="shared" si="19"/>
        <v>227</v>
      </c>
      <c r="M189">
        <v>2</v>
      </c>
      <c r="N189">
        <v>0</v>
      </c>
      <c r="O189" s="37">
        <f t="shared" si="20"/>
        <v>2</v>
      </c>
      <c r="P189">
        <f t="shared" si="26"/>
        <v>136.29999999999998</v>
      </c>
      <c r="Q189">
        <v>148</v>
      </c>
      <c r="R189">
        <v>1</v>
      </c>
      <c r="S189">
        <f t="shared" si="21"/>
        <v>0</v>
      </c>
      <c r="T189">
        <f t="shared" si="22"/>
        <v>2</v>
      </c>
      <c r="U189" s="38">
        <f t="shared" si="24"/>
        <v>153.6</v>
      </c>
      <c r="W189">
        <v>128.19999999999999</v>
      </c>
      <c r="Y189">
        <f t="shared" si="25"/>
        <v>81861.199999999939</v>
      </c>
      <c r="Z189">
        <f t="shared" si="18"/>
        <v>24009</v>
      </c>
      <c r="AA189" s="44">
        <v>8.9757497157430404</v>
      </c>
    </row>
    <row r="190" spans="1:27" x14ac:dyDescent="0.25">
      <c r="A190">
        <v>6440</v>
      </c>
      <c r="B190">
        <v>26330</v>
      </c>
      <c r="C190" s="1">
        <v>42768</v>
      </c>
      <c r="F190" s="64"/>
      <c r="G190">
        <v>10.4</v>
      </c>
      <c r="H190">
        <v>8.1999999999999993</v>
      </c>
      <c r="I190">
        <v>12.2</v>
      </c>
      <c r="J190">
        <f t="shared" si="23"/>
        <v>1184</v>
      </c>
      <c r="K190">
        <f t="shared" si="19"/>
        <v>237.4</v>
      </c>
      <c r="M190">
        <v>0.5</v>
      </c>
      <c r="N190">
        <v>1</v>
      </c>
      <c r="O190" s="37">
        <f t="shared" si="20"/>
        <v>-0.5</v>
      </c>
      <c r="P190">
        <f t="shared" si="26"/>
        <v>135.79999999999998</v>
      </c>
      <c r="Q190">
        <v>149</v>
      </c>
      <c r="R190">
        <v>1</v>
      </c>
      <c r="S190">
        <f t="shared" si="21"/>
        <v>1</v>
      </c>
      <c r="T190">
        <f t="shared" si="22"/>
        <v>-0.5</v>
      </c>
      <c r="U190" s="38">
        <f t="shared" si="24"/>
        <v>153.1</v>
      </c>
      <c r="W190">
        <v>560</v>
      </c>
      <c r="Y190">
        <f t="shared" si="25"/>
        <v>82421.199999999939</v>
      </c>
      <c r="Z190">
        <f t="shared" ref="Z190:Z253" si="27">Z189+W190</f>
        <v>24569</v>
      </c>
      <c r="AA190">
        <v>9.0282042743448194</v>
      </c>
    </row>
    <row r="191" spans="1:27" x14ac:dyDescent="0.25">
      <c r="A191">
        <v>6440</v>
      </c>
      <c r="B191">
        <v>26330</v>
      </c>
      <c r="C191" s="1">
        <v>42769</v>
      </c>
      <c r="F191" s="64"/>
      <c r="G191">
        <v>9.1</v>
      </c>
      <c r="H191">
        <v>8.1</v>
      </c>
      <c r="I191">
        <v>10.5</v>
      </c>
      <c r="J191">
        <f t="shared" si="23"/>
        <v>1193.0999999999999</v>
      </c>
      <c r="K191">
        <f t="shared" ref="K191:K200" si="28">K190+G191</f>
        <v>246.5</v>
      </c>
      <c r="M191">
        <v>0.3</v>
      </c>
      <c r="N191">
        <v>1.1000000000000001</v>
      </c>
      <c r="O191" s="37">
        <f t="shared" si="20"/>
        <v>-0.8</v>
      </c>
      <c r="P191">
        <f t="shared" si="26"/>
        <v>134.99999999999997</v>
      </c>
      <c r="Q191">
        <v>150</v>
      </c>
      <c r="R191">
        <v>1</v>
      </c>
      <c r="S191">
        <f t="shared" si="21"/>
        <v>1.1000000000000001</v>
      </c>
      <c r="T191">
        <f t="shared" si="22"/>
        <v>-0.8</v>
      </c>
      <c r="U191" s="38">
        <f t="shared" si="24"/>
        <v>152.29999999999998</v>
      </c>
      <c r="W191">
        <v>186.3</v>
      </c>
      <c r="Y191">
        <f t="shared" si="25"/>
        <v>82607.499999999942</v>
      </c>
      <c r="Z191">
        <f t="shared" si="27"/>
        <v>24755.3</v>
      </c>
      <c r="AA191">
        <v>9.0813392219386717</v>
      </c>
    </row>
    <row r="192" spans="1:27" x14ac:dyDescent="0.25">
      <c r="A192">
        <v>6440</v>
      </c>
      <c r="B192">
        <v>26330</v>
      </c>
      <c r="C192" s="1">
        <v>42770</v>
      </c>
      <c r="F192" s="64"/>
      <c r="G192">
        <v>5.0999999999999996</v>
      </c>
      <c r="H192">
        <v>4</v>
      </c>
      <c r="I192">
        <v>5.9</v>
      </c>
      <c r="J192">
        <f t="shared" si="23"/>
        <v>1198.1999999999998</v>
      </c>
      <c r="K192">
        <f t="shared" si="28"/>
        <v>251.6</v>
      </c>
      <c r="M192">
        <v>7.7</v>
      </c>
      <c r="N192">
        <v>0.2</v>
      </c>
      <c r="O192" s="37">
        <f t="shared" si="20"/>
        <v>7.5</v>
      </c>
      <c r="P192">
        <f t="shared" si="26"/>
        <v>142.49999999999997</v>
      </c>
      <c r="Q192">
        <v>151</v>
      </c>
      <c r="R192">
        <v>1</v>
      </c>
      <c r="S192">
        <f t="shared" si="21"/>
        <v>0.2</v>
      </c>
      <c r="T192">
        <f t="shared" si="22"/>
        <v>7.5</v>
      </c>
      <c r="U192" s="38">
        <f t="shared" si="24"/>
        <v>153.6</v>
      </c>
      <c r="W192">
        <v>155.1</v>
      </c>
      <c r="Y192">
        <f t="shared" si="25"/>
        <v>82762.599999999948</v>
      </c>
      <c r="Z192">
        <f t="shared" si="27"/>
        <v>24910.399999999998</v>
      </c>
      <c r="AA192">
        <v>9.1351302133464038</v>
      </c>
    </row>
    <row r="193" spans="1:30" x14ac:dyDescent="0.25">
      <c r="A193">
        <v>6440</v>
      </c>
      <c r="B193">
        <v>26330</v>
      </c>
      <c r="C193" s="1">
        <v>42771</v>
      </c>
      <c r="F193" s="64"/>
      <c r="G193">
        <v>5.4</v>
      </c>
      <c r="H193">
        <v>4.0999999999999996</v>
      </c>
      <c r="I193">
        <v>6.5</v>
      </c>
      <c r="J193">
        <f t="shared" si="23"/>
        <v>1203.5999999999999</v>
      </c>
      <c r="K193">
        <f t="shared" si="28"/>
        <v>257</v>
      </c>
      <c r="M193">
        <v>17.100000000000001</v>
      </c>
      <c r="N193">
        <v>0.2</v>
      </c>
      <c r="O193" s="37">
        <f t="shared" si="20"/>
        <v>16.900000000000002</v>
      </c>
      <c r="P193">
        <f t="shared" si="26"/>
        <v>159.39999999999998</v>
      </c>
      <c r="Q193">
        <v>152</v>
      </c>
      <c r="R193">
        <v>1</v>
      </c>
      <c r="S193">
        <f t="shared" si="21"/>
        <v>0.2</v>
      </c>
      <c r="T193">
        <f t="shared" si="22"/>
        <v>16.900000000000002</v>
      </c>
      <c r="U193" s="38">
        <f t="shared" si="24"/>
        <v>153.6</v>
      </c>
      <c r="W193">
        <v>123.4</v>
      </c>
      <c r="Y193">
        <f t="shared" si="25"/>
        <v>82885.999999999942</v>
      </c>
      <c r="Z193">
        <f t="shared" si="27"/>
        <v>25033.8</v>
      </c>
      <c r="AA193">
        <v>9.1895533696659246</v>
      </c>
    </row>
    <row r="194" spans="1:30" x14ac:dyDescent="0.25">
      <c r="A194">
        <v>6440</v>
      </c>
      <c r="B194">
        <v>26330</v>
      </c>
      <c r="C194" s="1">
        <v>42772</v>
      </c>
      <c r="F194" s="64"/>
      <c r="G194">
        <v>5.7</v>
      </c>
      <c r="H194">
        <v>4.5999999999999996</v>
      </c>
      <c r="I194">
        <v>7.1</v>
      </c>
      <c r="J194">
        <f t="shared" si="23"/>
        <v>1209.3</v>
      </c>
      <c r="K194">
        <f t="shared" si="28"/>
        <v>262.7</v>
      </c>
      <c r="M194">
        <v>2.4</v>
      </c>
      <c r="N194">
        <v>0.5</v>
      </c>
      <c r="O194" s="37">
        <f t="shared" si="20"/>
        <v>1.9</v>
      </c>
      <c r="P194">
        <f t="shared" si="26"/>
        <v>161.29999999999998</v>
      </c>
      <c r="Q194">
        <v>153</v>
      </c>
      <c r="R194">
        <v>1</v>
      </c>
      <c r="S194">
        <f t="shared" si="21"/>
        <v>0.5</v>
      </c>
      <c r="T194">
        <f t="shared" si="22"/>
        <v>1.9</v>
      </c>
      <c r="U194" s="38">
        <f t="shared" si="24"/>
        <v>153.6</v>
      </c>
      <c r="W194">
        <v>208.9</v>
      </c>
      <c r="Y194">
        <f t="shared" si="25"/>
        <v>83094.899999999936</v>
      </c>
      <c r="Z194">
        <f t="shared" si="27"/>
        <v>25242.7</v>
      </c>
      <c r="AA194">
        <v>9.2445852921030767</v>
      </c>
    </row>
    <row r="195" spans="1:30" x14ac:dyDescent="0.25">
      <c r="A195">
        <v>6440</v>
      </c>
      <c r="B195">
        <v>26330</v>
      </c>
      <c r="C195" s="1">
        <v>42773</v>
      </c>
      <c r="F195" s="64"/>
      <c r="G195">
        <v>5.7</v>
      </c>
      <c r="H195">
        <v>4.7</v>
      </c>
      <c r="I195">
        <v>7</v>
      </c>
      <c r="J195">
        <f t="shared" si="23"/>
        <v>1215</v>
      </c>
      <c r="K195">
        <f t="shared" si="28"/>
        <v>268.39999999999998</v>
      </c>
      <c r="M195">
        <v>1.2</v>
      </c>
      <c r="N195">
        <v>0.4</v>
      </c>
      <c r="O195" s="37">
        <f t="shared" si="20"/>
        <v>0.79999999999999993</v>
      </c>
      <c r="P195">
        <f t="shared" si="26"/>
        <v>162.1</v>
      </c>
      <c r="Q195">
        <v>154</v>
      </c>
      <c r="R195">
        <v>1</v>
      </c>
      <c r="S195">
        <f t="shared" si="21"/>
        <v>0.4</v>
      </c>
      <c r="T195">
        <f t="shared" si="22"/>
        <v>0.79999999999999993</v>
      </c>
      <c r="U195" s="38">
        <f t="shared" si="24"/>
        <v>153.6</v>
      </c>
      <c r="W195">
        <v>176.2</v>
      </c>
      <c r="Y195">
        <f t="shared" si="25"/>
        <v>83271.099999999933</v>
      </c>
      <c r="Z195">
        <f t="shared" si="27"/>
        <v>25418.9</v>
      </c>
      <c r="AA195">
        <v>9.3002030735987677</v>
      </c>
    </row>
    <row r="196" spans="1:30" x14ac:dyDescent="0.25">
      <c r="A196">
        <v>6440</v>
      </c>
      <c r="B196">
        <v>26330</v>
      </c>
      <c r="C196" s="1">
        <v>42774</v>
      </c>
      <c r="F196" s="64"/>
      <c r="G196">
        <v>4</v>
      </c>
      <c r="H196">
        <v>2.9</v>
      </c>
      <c r="I196">
        <v>4.9000000000000004</v>
      </c>
      <c r="J196">
        <f t="shared" si="23"/>
        <v>1219</v>
      </c>
      <c r="K196">
        <f t="shared" si="28"/>
        <v>272.39999999999998</v>
      </c>
      <c r="M196">
        <v>0.2</v>
      </c>
      <c r="N196">
        <v>0.4</v>
      </c>
      <c r="O196" s="37">
        <f t="shared" si="20"/>
        <v>-0.2</v>
      </c>
      <c r="P196">
        <f t="shared" si="26"/>
        <v>161.9</v>
      </c>
      <c r="Q196">
        <v>155</v>
      </c>
      <c r="R196">
        <v>1</v>
      </c>
      <c r="S196">
        <f t="shared" si="21"/>
        <v>0.4</v>
      </c>
      <c r="T196">
        <f t="shared" si="22"/>
        <v>-0.2</v>
      </c>
      <c r="U196" s="38">
        <f t="shared" si="24"/>
        <v>153.4</v>
      </c>
      <c r="W196">
        <v>218.5</v>
      </c>
      <c r="Y196">
        <f t="shared" si="25"/>
        <v>83489.599999999933</v>
      </c>
      <c r="Z196">
        <f t="shared" si="27"/>
        <v>25637.4</v>
      </c>
      <c r="AA196">
        <v>9.3563843083500462</v>
      </c>
    </row>
    <row r="197" spans="1:30" x14ac:dyDescent="0.25">
      <c r="A197">
        <v>6440</v>
      </c>
      <c r="B197">
        <v>26330</v>
      </c>
      <c r="C197" s="1">
        <v>42775</v>
      </c>
      <c r="F197" s="64"/>
      <c r="G197">
        <v>1.5</v>
      </c>
      <c r="H197">
        <v>1.3</v>
      </c>
      <c r="I197">
        <v>1.9</v>
      </c>
      <c r="J197">
        <f t="shared" si="23"/>
        <v>1220.5</v>
      </c>
      <c r="K197">
        <f t="shared" si="28"/>
        <v>273.89999999999998</v>
      </c>
      <c r="M197">
        <v>0.1</v>
      </c>
      <c r="N197">
        <v>0.4</v>
      </c>
      <c r="O197" s="37">
        <f t="shared" si="20"/>
        <v>-0.30000000000000004</v>
      </c>
      <c r="P197">
        <f t="shared" si="26"/>
        <v>161.6</v>
      </c>
      <c r="Q197">
        <v>156</v>
      </c>
      <c r="R197">
        <v>1</v>
      </c>
      <c r="S197">
        <f t="shared" si="21"/>
        <v>0.4</v>
      </c>
      <c r="T197">
        <f t="shared" si="22"/>
        <v>-0.30000000000000004</v>
      </c>
      <c r="U197" s="38">
        <f t="shared" si="24"/>
        <v>153.1</v>
      </c>
      <c r="W197">
        <v>253.6</v>
      </c>
      <c r="Y197">
        <f t="shared" si="25"/>
        <v>83743.199999999939</v>
      </c>
      <c r="Z197">
        <f t="shared" si="27"/>
        <v>25891</v>
      </c>
      <c r="AA197">
        <v>9.4131070993252699</v>
      </c>
    </row>
    <row r="198" spans="1:30" x14ac:dyDescent="0.25">
      <c r="A198">
        <v>6440</v>
      </c>
      <c r="B198">
        <v>26330</v>
      </c>
      <c r="C198" s="1">
        <v>42776</v>
      </c>
      <c r="F198" s="64"/>
      <c r="G198">
        <v>-0.4</v>
      </c>
      <c r="H198">
        <v>-1.3</v>
      </c>
      <c r="I198">
        <v>0</v>
      </c>
      <c r="J198">
        <v>1220.5</v>
      </c>
      <c r="K198">
        <v>273.89999999999998</v>
      </c>
      <c r="M198" s="83">
        <v>0</v>
      </c>
      <c r="N198">
        <v>0.3</v>
      </c>
      <c r="O198" s="37">
        <f t="shared" si="20"/>
        <v>-0.3</v>
      </c>
      <c r="P198">
        <f t="shared" si="26"/>
        <v>161.29999999999998</v>
      </c>
      <c r="Q198">
        <v>157</v>
      </c>
      <c r="R198">
        <v>1</v>
      </c>
      <c r="S198">
        <f t="shared" si="21"/>
        <v>0.3</v>
      </c>
      <c r="T198">
        <f t="shared" si="22"/>
        <v>-0.3</v>
      </c>
      <c r="U198" s="38">
        <f t="shared" si="24"/>
        <v>152.79999999999998</v>
      </c>
      <c r="W198">
        <v>199.9</v>
      </c>
      <c r="Y198">
        <f t="shared" si="25"/>
        <v>83943.099999999933</v>
      </c>
      <c r="Z198">
        <f t="shared" si="27"/>
        <v>26090.9</v>
      </c>
      <c r="AA198">
        <v>9.4703500638742444</v>
      </c>
      <c r="AD198" s="81" t="s">
        <v>65</v>
      </c>
    </row>
    <row r="199" spans="1:30" x14ac:dyDescent="0.25">
      <c r="A199">
        <v>6440</v>
      </c>
      <c r="B199">
        <v>26330</v>
      </c>
      <c r="C199" s="1">
        <v>42777</v>
      </c>
      <c r="F199" s="64"/>
      <c r="G199">
        <v>0.6</v>
      </c>
      <c r="H199">
        <v>-0.2</v>
      </c>
      <c r="I199">
        <v>1.6</v>
      </c>
      <c r="J199">
        <f t="shared" si="23"/>
        <v>1221.0999999999999</v>
      </c>
      <c r="K199">
        <f t="shared" si="28"/>
        <v>274.5</v>
      </c>
      <c r="M199" s="83">
        <v>0</v>
      </c>
      <c r="N199">
        <v>0.3</v>
      </c>
      <c r="O199" s="37">
        <f t="shared" si="20"/>
        <v>-0.3</v>
      </c>
      <c r="P199" s="41">
        <f t="shared" si="26"/>
        <v>160.99999999999997</v>
      </c>
      <c r="Q199" s="41">
        <v>158</v>
      </c>
      <c r="R199" s="41">
        <v>1</v>
      </c>
      <c r="S199" s="41">
        <f t="shared" si="21"/>
        <v>0.3</v>
      </c>
      <c r="T199" s="41">
        <f t="shared" si="22"/>
        <v>-0.3</v>
      </c>
      <c r="U199" s="38">
        <f t="shared" si="24"/>
        <v>152.49999999999997</v>
      </c>
      <c r="V199" s="41"/>
      <c r="W199" s="41">
        <v>101.8</v>
      </c>
      <c r="X199" s="41"/>
      <c r="Y199" s="41">
        <f t="shared" si="25"/>
        <v>84044.899999999936</v>
      </c>
      <c r="Z199" s="41">
        <f t="shared" si="27"/>
        <v>26192.7</v>
      </c>
      <c r="AA199">
        <v>9.52809233753411</v>
      </c>
      <c r="AD199" s="38">
        <f>AVERAGE(U205:U218)</f>
        <v>150.33999999999992</v>
      </c>
    </row>
    <row r="200" spans="1:30" s="13" customFormat="1" ht="15.75" thickBot="1" x14ac:dyDescent="0.3">
      <c r="A200" s="13">
        <v>6440</v>
      </c>
      <c r="B200" s="13">
        <v>26330</v>
      </c>
      <c r="C200" s="14">
        <v>42778</v>
      </c>
      <c r="D200" s="13" t="s">
        <v>20</v>
      </c>
      <c r="F200" s="65"/>
      <c r="G200" s="13">
        <v>3.4</v>
      </c>
      <c r="H200" s="13">
        <v>0.8</v>
      </c>
      <c r="I200" s="13">
        <v>5.9</v>
      </c>
      <c r="J200" s="13">
        <f t="shared" si="23"/>
        <v>1224.5</v>
      </c>
      <c r="K200">
        <f t="shared" si="28"/>
        <v>277.89999999999998</v>
      </c>
      <c r="L200" s="26"/>
      <c r="M200" s="84">
        <v>0</v>
      </c>
      <c r="N200" s="13">
        <v>0.4</v>
      </c>
      <c r="O200" s="19">
        <f t="shared" si="20"/>
        <v>-0.4</v>
      </c>
      <c r="P200" s="17">
        <f t="shared" si="26"/>
        <v>160.59999999999997</v>
      </c>
      <c r="Q200" s="17">
        <v>159</v>
      </c>
      <c r="R200" s="17">
        <v>1</v>
      </c>
      <c r="S200" s="17">
        <f t="shared" si="21"/>
        <v>0.4</v>
      </c>
      <c r="T200" s="17">
        <f t="shared" si="22"/>
        <v>-0.4</v>
      </c>
      <c r="U200" s="38">
        <f t="shared" si="24"/>
        <v>152.09999999999997</v>
      </c>
      <c r="W200" s="13">
        <v>271.39999999999998</v>
      </c>
      <c r="Y200" s="17">
        <f t="shared" si="25"/>
        <v>84316.29999999993</v>
      </c>
      <c r="Z200" s="13">
        <f t="shared" si="27"/>
        <v>26464.100000000002</v>
      </c>
      <c r="AA200" s="13">
        <v>9.5863135761309994</v>
      </c>
      <c r="AD200" s="13" t="s">
        <v>66</v>
      </c>
    </row>
    <row r="201" spans="1:30" ht="15" customHeight="1" x14ac:dyDescent="0.25">
      <c r="A201">
        <v>6440</v>
      </c>
      <c r="B201">
        <v>26330</v>
      </c>
      <c r="C201" s="1">
        <v>42779</v>
      </c>
      <c r="F201" s="66" t="s">
        <v>24</v>
      </c>
      <c r="G201">
        <v>5.4</v>
      </c>
      <c r="H201">
        <v>2.8</v>
      </c>
      <c r="I201">
        <v>8.3000000000000007</v>
      </c>
      <c r="J201">
        <f t="shared" si="23"/>
        <v>1229.9000000000001</v>
      </c>
      <c r="K201">
        <v>5.4</v>
      </c>
      <c r="L201" s="28" t="s">
        <v>29</v>
      </c>
      <c r="M201" s="83">
        <v>0</v>
      </c>
      <c r="N201">
        <v>1.2</v>
      </c>
      <c r="O201" s="37">
        <f t="shared" si="20"/>
        <v>-1.2</v>
      </c>
      <c r="P201">
        <f t="shared" si="26"/>
        <v>159.39999999999998</v>
      </c>
      <c r="Q201">
        <v>160</v>
      </c>
      <c r="R201" s="38">
        <f>1+((Q201-159)/48)*(1.15-1)</f>
        <v>1.003125</v>
      </c>
      <c r="S201" s="38">
        <f t="shared" si="21"/>
        <v>1.2037500000000001</v>
      </c>
      <c r="T201" s="38">
        <f t="shared" si="22"/>
        <v>-1.2037500000000001</v>
      </c>
      <c r="U201" s="38">
        <f t="shared" si="24"/>
        <v>150.89624999999995</v>
      </c>
      <c r="V201" s="11" t="s">
        <v>51</v>
      </c>
      <c r="W201">
        <v>1087.5999999999999</v>
      </c>
      <c r="Y201">
        <f t="shared" si="25"/>
        <v>85403.899999999936</v>
      </c>
      <c r="Z201">
        <f>W201</f>
        <v>1087.5999999999999</v>
      </c>
      <c r="AA201">
        <v>9.6449939562762026</v>
      </c>
      <c r="AB201" s="11" t="s">
        <v>56</v>
      </c>
      <c r="AD201">
        <v>6</v>
      </c>
    </row>
    <row r="202" spans="1:30" x14ac:dyDescent="0.25">
      <c r="A202">
        <v>6440</v>
      </c>
      <c r="B202">
        <v>26330</v>
      </c>
      <c r="C202" s="1">
        <v>42780</v>
      </c>
      <c r="F202" s="67"/>
      <c r="G202">
        <v>7.4</v>
      </c>
      <c r="H202">
        <v>2.6</v>
      </c>
      <c r="I202">
        <v>12.5</v>
      </c>
      <c r="J202">
        <f t="shared" si="23"/>
        <v>1237.3000000000002</v>
      </c>
      <c r="K202">
        <f t="shared" ref="K202:K265" si="29">K201+G202</f>
        <v>12.8</v>
      </c>
      <c r="L202" s="22">
        <v>433.8</v>
      </c>
      <c r="M202" s="83">
        <v>0</v>
      </c>
      <c r="N202">
        <v>1.6</v>
      </c>
      <c r="O202" s="37">
        <f t="shared" si="20"/>
        <v>-1.6</v>
      </c>
      <c r="P202">
        <f t="shared" si="26"/>
        <v>157.79999999999998</v>
      </c>
      <c r="Q202">
        <v>161</v>
      </c>
      <c r="R202" s="38">
        <f t="shared" ref="R202:R248" si="30">1+((Q202-159)/48)*(1.15-1)</f>
        <v>1.0062500000000001</v>
      </c>
      <c r="S202" s="38">
        <f t="shared" si="21"/>
        <v>1.6100000000000003</v>
      </c>
      <c r="T202" s="38">
        <f t="shared" si="22"/>
        <v>-1.6100000000000003</v>
      </c>
      <c r="U202" s="38">
        <f t="shared" si="24"/>
        <v>149.28624999999994</v>
      </c>
      <c r="V202">
        <v>0</v>
      </c>
      <c r="W202">
        <v>1104.2</v>
      </c>
      <c r="Y202">
        <f t="shared" si="25"/>
        <v>86508.099999999933</v>
      </c>
      <c r="Z202">
        <f t="shared" si="27"/>
        <v>2191.8000000000002</v>
      </c>
      <c r="AA202">
        <v>9.7041141743536574</v>
      </c>
      <c r="AB202">
        <v>35662.6</v>
      </c>
      <c r="AD202" s="81" t="s">
        <v>67</v>
      </c>
    </row>
    <row r="203" spans="1:30" x14ac:dyDescent="0.25">
      <c r="A203">
        <v>6440</v>
      </c>
      <c r="B203">
        <v>26330</v>
      </c>
      <c r="C203" s="1">
        <v>42781</v>
      </c>
      <c r="F203" s="67"/>
      <c r="G203">
        <v>8.6999999999999993</v>
      </c>
      <c r="H203">
        <v>3.8</v>
      </c>
      <c r="I203">
        <v>13.5</v>
      </c>
      <c r="J203">
        <f t="shared" si="23"/>
        <v>1246.0000000000002</v>
      </c>
      <c r="K203">
        <f t="shared" si="29"/>
        <v>21.5</v>
      </c>
      <c r="L203" s="28" t="s">
        <v>30</v>
      </c>
      <c r="M203" s="83">
        <v>0</v>
      </c>
      <c r="N203">
        <v>1</v>
      </c>
      <c r="O203" s="37">
        <f t="shared" si="20"/>
        <v>-1</v>
      </c>
      <c r="P203">
        <f t="shared" si="26"/>
        <v>156.79999999999998</v>
      </c>
      <c r="Q203">
        <v>162</v>
      </c>
      <c r="R203" s="38">
        <f t="shared" si="30"/>
        <v>1.0093749999999999</v>
      </c>
      <c r="S203" s="38">
        <f t="shared" si="21"/>
        <v>1.0093749999999999</v>
      </c>
      <c r="T203" s="38">
        <f t="shared" si="22"/>
        <v>-1.0093749999999999</v>
      </c>
      <c r="U203" s="38">
        <f t="shared" si="24"/>
        <v>148.27687499999993</v>
      </c>
      <c r="V203" s="11" t="s">
        <v>52</v>
      </c>
      <c r="W203">
        <v>836.5</v>
      </c>
      <c r="Y203">
        <f t="shared" si="25"/>
        <v>87344.599999999933</v>
      </c>
      <c r="Z203">
        <f t="shared" si="27"/>
        <v>3028.3</v>
      </c>
      <c r="AA203">
        <v>9.7636554440933807</v>
      </c>
      <c r="AB203" s="11" t="s">
        <v>57</v>
      </c>
      <c r="AD203">
        <v>3</v>
      </c>
    </row>
    <row r="204" spans="1:30" x14ac:dyDescent="0.25">
      <c r="A204">
        <v>6440</v>
      </c>
      <c r="B204">
        <v>26330</v>
      </c>
      <c r="C204" s="1">
        <v>42782</v>
      </c>
      <c r="F204" s="67"/>
      <c r="G204">
        <v>5.8</v>
      </c>
      <c r="H204">
        <v>1.9</v>
      </c>
      <c r="I204">
        <v>8.3000000000000007</v>
      </c>
      <c r="J204">
        <f t="shared" si="23"/>
        <v>1251.8000000000002</v>
      </c>
      <c r="K204">
        <f t="shared" si="29"/>
        <v>27.3</v>
      </c>
      <c r="L204" s="22">
        <f>AVERAGE(G201:G248)</f>
        <v>9.0374999999999996</v>
      </c>
      <c r="M204" s="83">
        <v>0.1</v>
      </c>
      <c r="N204">
        <v>0.1</v>
      </c>
      <c r="O204" s="37">
        <f t="shared" si="20"/>
        <v>0</v>
      </c>
      <c r="P204">
        <f t="shared" si="26"/>
        <v>156.79999999999998</v>
      </c>
      <c r="Q204">
        <v>163</v>
      </c>
      <c r="R204" s="38">
        <f t="shared" si="30"/>
        <v>1.0125</v>
      </c>
      <c r="S204" s="38">
        <f t="shared" si="21"/>
        <v>0.10125000000000001</v>
      </c>
      <c r="T204" s="38">
        <f t="shared" si="22"/>
        <v>-1.2500000000000011E-3</v>
      </c>
      <c r="U204" s="38">
        <f t="shared" si="24"/>
        <v>148.27562499999993</v>
      </c>
      <c r="V204">
        <v>0</v>
      </c>
      <c r="W204">
        <v>404.8</v>
      </c>
      <c r="Y204">
        <f t="shared" si="25"/>
        <v>87749.399999999936</v>
      </c>
      <c r="Z204">
        <f t="shared" si="27"/>
        <v>3433.1000000000004</v>
      </c>
      <c r="AA204">
        <v>9.8235994928227068</v>
      </c>
      <c r="AB204">
        <f>(AB202/100)/L202</f>
        <v>0.82209774089442134</v>
      </c>
      <c r="AD204" s="81" t="s">
        <v>68</v>
      </c>
    </row>
    <row r="205" spans="1:30" x14ac:dyDescent="0.25">
      <c r="A205">
        <v>6440</v>
      </c>
      <c r="B205">
        <v>26330</v>
      </c>
      <c r="C205" s="1">
        <v>42783</v>
      </c>
      <c r="F205" s="67"/>
      <c r="G205">
        <v>8.4</v>
      </c>
      <c r="H205">
        <v>6.1</v>
      </c>
      <c r="I205">
        <v>11.1</v>
      </c>
      <c r="J205">
        <f t="shared" si="23"/>
        <v>1260.2000000000003</v>
      </c>
      <c r="K205">
        <f t="shared" si="29"/>
        <v>35.700000000000003</v>
      </c>
      <c r="L205" s="28" t="s">
        <v>31</v>
      </c>
      <c r="M205" s="83">
        <v>0</v>
      </c>
      <c r="N205">
        <v>0.7</v>
      </c>
      <c r="O205" s="37">
        <f t="shared" si="20"/>
        <v>-0.7</v>
      </c>
      <c r="P205">
        <f t="shared" si="26"/>
        <v>156.1</v>
      </c>
      <c r="Q205">
        <v>164</v>
      </c>
      <c r="R205" s="38">
        <f t="shared" si="30"/>
        <v>1.015625</v>
      </c>
      <c r="S205" s="38">
        <f t="shared" si="21"/>
        <v>0.7109375</v>
      </c>
      <c r="T205" s="38">
        <f t="shared" si="22"/>
        <v>-0.7109375</v>
      </c>
      <c r="U205" s="85">
        <f t="shared" si="24"/>
        <v>147.56468749999993</v>
      </c>
      <c r="V205" s="11" t="s">
        <v>53</v>
      </c>
      <c r="W205">
        <v>343.5</v>
      </c>
      <c r="Y205">
        <f t="shared" si="25"/>
        <v>88092.899999999936</v>
      </c>
      <c r="Z205">
        <f t="shared" si="27"/>
        <v>3776.6000000000004</v>
      </c>
      <c r="AA205">
        <v>9.8839285564843795</v>
      </c>
      <c r="AB205" s="11" t="s">
        <v>58</v>
      </c>
      <c r="AD205" s="82">
        <v>3</v>
      </c>
    </row>
    <row r="206" spans="1:30" x14ac:dyDescent="0.25">
      <c r="A206">
        <v>6440</v>
      </c>
      <c r="B206">
        <v>26330</v>
      </c>
      <c r="C206" s="1">
        <v>42784</v>
      </c>
      <c r="F206" s="67"/>
      <c r="G206">
        <v>4.9000000000000004</v>
      </c>
      <c r="H206">
        <v>2.6</v>
      </c>
      <c r="I206">
        <v>6.6</v>
      </c>
      <c r="J206">
        <f t="shared" si="23"/>
        <v>1265.1000000000004</v>
      </c>
      <c r="K206">
        <f t="shared" si="29"/>
        <v>40.6</v>
      </c>
      <c r="L206" s="25">
        <f>MIN(H201:H248)</f>
        <v>0.6</v>
      </c>
      <c r="M206" s="83">
        <v>0</v>
      </c>
      <c r="N206">
        <v>0.6</v>
      </c>
      <c r="O206" s="37">
        <f t="shared" si="20"/>
        <v>-0.6</v>
      </c>
      <c r="P206">
        <f t="shared" si="26"/>
        <v>155.5</v>
      </c>
      <c r="Q206">
        <v>165</v>
      </c>
      <c r="R206" s="38">
        <f t="shared" si="30"/>
        <v>1.01875</v>
      </c>
      <c r="S206" s="38">
        <f t="shared" si="21"/>
        <v>0.61124999999999996</v>
      </c>
      <c r="T206" s="38">
        <f t="shared" si="22"/>
        <v>-0.61124999999999996</v>
      </c>
      <c r="U206" s="85">
        <f t="shared" si="24"/>
        <v>146.95343749999992</v>
      </c>
      <c r="V206" s="38">
        <f>MIN(U201:U248)</f>
        <v>116.64218749999995</v>
      </c>
      <c r="W206">
        <v>486.2</v>
      </c>
      <c r="Y206">
        <f t="shared" si="25"/>
        <v>88579.099999999933</v>
      </c>
      <c r="Z206">
        <f t="shared" si="27"/>
        <v>4262.8</v>
      </c>
      <c r="AA206">
        <v>9.9446253735072005</v>
      </c>
      <c r="AB206">
        <v>34</v>
      </c>
      <c r="AD206" s="81" t="s">
        <v>69</v>
      </c>
    </row>
    <row r="207" spans="1:30" x14ac:dyDescent="0.25">
      <c r="A207">
        <v>6440</v>
      </c>
      <c r="B207">
        <v>26330</v>
      </c>
      <c r="C207" s="1">
        <v>42785</v>
      </c>
      <c r="F207" s="67"/>
      <c r="G207">
        <v>6.9</v>
      </c>
      <c r="H207">
        <v>3</v>
      </c>
      <c r="I207">
        <v>9.6999999999999993</v>
      </c>
      <c r="J207">
        <f t="shared" si="23"/>
        <v>1272.0000000000005</v>
      </c>
      <c r="K207">
        <f t="shared" si="29"/>
        <v>47.5</v>
      </c>
      <c r="L207" s="28" t="s">
        <v>32</v>
      </c>
      <c r="M207" s="83">
        <v>0.2</v>
      </c>
      <c r="N207">
        <v>0.4</v>
      </c>
      <c r="O207" s="37">
        <f t="shared" si="20"/>
        <v>-0.2</v>
      </c>
      <c r="P207">
        <f t="shared" si="26"/>
        <v>155.30000000000001</v>
      </c>
      <c r="Q207">
        <v>166</v>
      </c>
      <c r="R207" s="38">
        <f t="shared" si="30"/>
        <v>1.0218750000000001</v>
      </c>
      <c r="S207" s="38">
        <f t="shared" si="21"/>
        <v>0.40875000000000006</v>
      </c>
      <c r="T207" s="38">
        <f t="shared" si="22"/>
        <v>-0.20875000000000005</v>
      </c>
      <c r="U207" s="85">
        <f t="shared" si="24"/>
        <v>146.74468749999991</v>
      </c>
      <c r="V207" s="11" t="s">
        <v>54</v>
      </c>
      <c r="W207">
        <v>345.1</v>
      </c>
      <c r="Y207">
        <f t="shared" si="25"/>
        <v>88924.199999999939</v>
      </c>
      <c r="Z207">
        <f t="shared" si="27"/>
        <v>4607.9000000000005</v>
      </c>
      <c r="AA207">
        <v>10.005673177611628</v>
      </c>
      <c r="AD207">
        <f>SUM(M209:M218)</f>
        <v>30.400000000000002</v>
      </c>
    </row>
    <row r="208" spans="1:30" s="76" customFormat="1" x14ac:dyDescent="0.25">
      <c r="A208" s="76">
        <v>6440</v>
      </c>
      <c r="B208" s="76">
        <v>26330</v>
      </c>
      <c r="C208" s="77">
        <v>42786</v>
      </c>
      <c r="D208" s="76" t="s">
        <v>63</v>
      </c>
      <c r="F208" s="67"/>
      <c r="G208" s="76">
        <v>9.9</v>
      </c>
      <c r="H208" s="76">
        <v>8.3000000000000007</v>
      </c>
      <c r="I208" s="76">
        <v>10.8</v>
      </c>
      <c r="J208" s="76">
        <f t="shared" si="23"/>
        <v>1281.9000000000005</v>
      </c>
      <c r="K208" s="76">
        <f t="shared" si="29"/>
        <v>57.4</v>
      </c>
      <c r="L208" s="78">
        <f>MAX(I201:I248)</f>
        <v>21.2</v>
      </c>
      <c r="M208" s="76">
        <v>1.7</v>
      </c>
      <c r="N208" s="76">
        <v>0.1</v>
      </c>
      <c r="O208" s="79">
        <f t="shared" si="20"/>
        <v>1.5999999999999999</v>
      </c>
      <c r="P208" s="76">
        <f t="shared" si="26"/>
        <v>156.9</v>
      </c>
      <c r="Q208" s="76">
        <v>167</v>
      </c>
      <c r="R208" s="80">
        <f t="shared" si="30"/>
        <v>1.0249999999999999</v>
      </c>
      <c r="S208" s="80">
        <f t="shared" si="21"/>
        <v>0.10249999999999999</v>
      </c>
      <c r="T208" s="80">
        <f t="shared" si="22"/>
        <v>1.5974999999999999</v>
      </c>
      <c r="U208" s="80">
        <f t="shared" si="24"/>
        <v>148.34218749999991</v>
      </c>
      <c r="V208" s="80">
        <f>MAX(U201:U248)</f>
        <v>153.6</v>
      </c>
      <c r="W208" s="76">
        <v>181.3</v>
      </c>
      <c r="Y208" s="76">
        <f t="shared" si="25"/>
        <v>89105.499999999942</v>
      </c>
      <c r="Z208" s="76">
        <f t="shared" si="27"/>
        <v>4789.2000000000007</v>
      </c>
      <c r="AA208" s="76">
        <v>10.067055689629226</v>
      </c>
    </row>
    <row r="209" spans="1:31" x14ac:dyDescent="0.25">
      <c r="A209">
        <v>6440</v>
      </c>
      <c r="B209">
        <v>26330</v>
      </c>
      <c r="C209" s="1">
        <v>42787</v>
      </c>
      <c r="F209" s="67"/>
      <c r="G209">
        <v>10.3</v>
      </c>
      <c r="H209">
        <v>10</v>
      </c>
      <c r="I209">
        <v>10.8</v>
      </c>
      <c r="J209">
        <f t="shared" si="23"/>
        <v>1292.2000000000005</v>
      </c>
      <c r="K209">
        <f t="shared" si="29"/>
        <v>67.7</v>
      </c>
      <c r="L209" s="28" t="s">
        <v>33</v>
      </c>
      <c r="M209" s="83">
        <v>3.9</v>
      </c>
      <c r="N209">
        <v>0.4</v>
      </c>
      <c r="O209" s="37">
        <f t="shared" si="20"/>
        <v>3.5</v>
      </c>
      <c r="P209">
        <f t="shared" si="26"/>
        <v>160.4</v>
      </c>
      <c r="Q209">
        <v>168</v>
      </c>
      <c r="R209" s="38">
        <f t="shared" si="30"/>
        <v>1.028125</v>
      </c>
      <c r="S209" s="38">
        <f t="shared" si="21"/>
        <v>0.41125</v>
      </c>
      <c r="T209" s="38">
        <f t="shared" si="22"/>
        <v>3.48875</v>
      </c>
      <c r="U209" s="85">
        <f t="shared" si="24"/>
        <v>151.83093749999992</v>
      </c>
      <c r="V209" s="11" t="s">
        <v>55</v>
      </c>
      <c r="W209">
        <v>209.5</v>
      </c>
      <c r="Y209">
        <f t="shared" si="25"/>
        <v>89314.999999999942</v>
      </c>
      <c r="Z209">
        <f t="shared" si="27"/>
        <v>4998.7000000000007</v>
      </c>
      <c r="AA209">
        <v>10.128757108411088</v>
      </c>
    </row>
    <row r="210" spans="1:31" x14ac:dyDescent="0.25">
      <c r="A210">
        <v>6440</v>
      </c>
      <c r="B210">
        <v>26330</v>
      </c>
      <c r="C210" s="1">
        <v>42788</v>
      </c>
      <c r="F210" s="67"/>
      <c r="G210">
        <v>10.4</v>
      </c>
      <c r="H210">
        <v>10.199999999999999</v>
      </c>
      <c r="I210">
        <v>10.6</v>
      </c>
      <c r="J210">
        <f t="shared" si="23"/>
        <v>1302.6000000000006</v>
      </c>
      <c r="K210">
        <f t="shared" si="29"/>
        <v>78.100000000000009</v>
      </c>
      <c r="L210" s="22">
        <v>0</v>
      </c>
      <c r="M210" s="83">
        <v>0.1</v>
      </c>
      <c r="N210">
        <v>0.8</v>
      </c>
      <c r="O210" s="37">
        <f t="shared" si="20"/>
        <v>-0.70000000000000007</v>
      </c>
      <c r="P210">
        <f t="shared" si="26"/>
        <v>159.70000000000002</v>
      </c>
      <c r="Q210">
        <v>169</v>
      </c>
      <c r="R210" s="38">
        <f t="shared" si="30"/>
        <v>1.03125</v>
      </c>
      <c r="S210" s="38">
        <f t="shared" si="21"/>
        <v>0.82500000000000007</v>
      </c>
      <c r="T210" s="38">
        <f t="shared" si="22"/>
        <v>-0.72500000000000009</v>
      </c>
      <c r="U210" s="85">
        <f t="shared" si="24"/>
        <v>151.10593749999992</v>
      </c>
      <c r="V210" s="38">
        <f>AVERAGE(U201:U248)</f>
        <v>144.6908919270833</v>
      </c>
      <c r="W210">
        <v>148.1</v>
      </c>
      <c r="Y210">
        <f t="shared" si="25"/>
        <v>89463.099999999948</v>
      </c>
      <c r="Z210">
        <f t="shared" si="27"/>
        <v>5146.8000000000011</v>
      </c>
      <c r="AA210">
        <v>10.190762100896785</v>
      </c>
    </row>
    <row r="211" spans="1:31" x14ac:dyDescent="0.25">
      <c r="A211">
        <v>6440</v>
      </c>
      <c r="B211">
        <v>26330</v>
      </c>
      <c r="C211" s="1">
        <v>42789</v>
      </c>
      <c r="F211" s="67"/>
      <c r="G211">
        <v>9.3000000000000007</v>
      </c>
      <c r="H211">
        <v>8.9</v>
      </c>
      <c r="I211">
        <v>11.2</v>
      </c>
      <c r="J211">
        <f t="shared" si="23"/>
        <v>1311.9000000000005</v>
      </c>
      <c r="K211">
        <f t="shared" si="29"/>
        <v>87.4</v>
      </c>
      <c r="L211" s="28" t="s">
        <v>34</v>
      </c>
      <c r="M211" s="83">
        <v>0.7</v>
      </c>
      <c r="N211">
        <v>1.9</v>
      </c>
      <c r="O211" s="37">
        <f t="shared" si="20"/>
        <v>-1.2</v>
      </c>
      <c r="P211">
        <f t="shared" si="26"/>
        <v>158.50000000000003</v>
      </c>
      <c r="Q211">
        <v>170</v>
      </c>
      <c r="R211" s="38">
        <f t="shared" si="30"/>
        <v>1.034375</v>
      </c>
      <c r="S211" s="38">
        <f t="shared" si="21"/>
        <v>1.9653125</v>
      </c>
      <c r="T211" s="38">
        <f t="shared" si="22"/>
        <v>-1.2653125000000001</v>
      </c>
      <c r="U211" s="85">
        <f t="shared" si="24"/>
        <v>149.84062499999993</v>
      </c>
      <c r="W211">
        <v>211</v>
      </c>
      <c r="Y211">
        <f t="shared" si="25"/>
        <v>89674.099999999948</v>
      </c>
      <c r="Z211">
        <f t="shared" si="27"/>
        <v>5357.8000000000011</v>
      </c>
      <c r="AA211">
        <v>10.253055791411679</v>
      </c>
    </row>
    <row r="212" spans="1:31" x14ac:dyDescent="0.25">
      <c r="A212">
        <v>6440</v>
      </c>
      <c r="B212">
        <v>26330</v>
      </c>
      <c r="C212" s="1">
        <v>42790</v>
      </c>
      <c r="F212" s="67"/>
      <c r="G212">
        <v>4.4000000000000004</v>
      </c>
      <c r="H212">
        <v>4.5999999999999996</v>
      </c>
      <c r="I212">
        <v>5</v>
      </c>
      <c r="J212">
        <f t="shared" si="23"/>
        <v>1316.3000000000006</v>
      </c>
      <c r="K212">
        <f t="shared" si="29"/>
        <v>91.800000000000011</v>
      </c>
      <c r="L212" s="22">
        <v>20</v>
      </c>
      <c r="M212" s="83">
        <v>2.1</v>
      </c>
      <c r="N212">
        <v>0.7</v>
      </c>
      <c r="O212" s="37">
        <f t="shared" si="20"/>
        <v>1.4000000000000001</v>
      </c>
      <c r="P212">
        <f t="shared" si="26"/>
        <v>159.90000000000003</v>
      </c>
      <c r="Q212">
        <v>171</v>
      </c>
      <c r="R212" s="38">
        <f t="shared" si="30"/>
        <v>1.0375000000000001</v>
      </c>
      <c r="S212" s="38">
        <f t="shared" si="21"/>
        <v>0.72625000000000006</v>
      </c>
      <c r="T212" s="38">
        <f t="shared" si="22"/>
        <v>1.37375</v>
      </c>
      <c r="U212" s="85">
        <f t="shared" si="24"/>
        <v>151.21437499999993</v>
      </c>
      <c r="V212" s="52">
        <f>(V210*100)/153.6</f>
        <v>94.199799431694856</v>
      </c>
      <c r="W212">
        <v>225.9</v>
      </c>
      <c r="Y212">
        <f t="shared" si="25"/>
        <v>89899.999999999942</v>
      </c>
      <c r="Z212">
        <f t="shared" si="27"/>
        <v>5583.7000000000007</v>
      </c>
      <c r="AA212">
        <v>10.315623750256522</v>
      </c>
    </row>
    <row r="213" spans="1:31" x14ac:dyDescent="0.25">
      <c r="A213">
        <v>6440</v>
      </c>
      <c r="B213">
        <v>26330</v>
      </c>
      <c r="C213" s="1">
        <v>42791</v>
      </c>
      <c r="F213" s="67"/>
      <c r="G213">
        <v>6.1</v>
      </c>
      <c r="H213">
        <v>0.6</v>
      </c>
      <c r="I213">
        <v>8.6</v>
      </c>
      <c r="J213">
        <f t="shared" si="23"/>
        <v>1322.4000000000005</v>
      </c>
      <c r="K213">
        <f t="shared" si="29"/>
        <v>97.9</v>
      </c>
      <c r="L213" s="28" t="s">
        <v>35</v>
      </c>
      <c r="M213" s="83">
        <v>0</v>
      </c>
      <c r="N213">
        <v>0.7</v>
      </c>
      <c r="O213" s="37">
        <f t="shared" si="20"/>
        <v>-0.7</v>
      </c>
      <c r="P213">
        <f t="shared" si="26"/>
        <v>159.20000000000005</v>
      </c>
      <c r="Q213">
        <v>172</v>
      </c>
      <c r="R213" s="38">
        <f t="shared" si="30"/>
        <v>1.0406249999999999</v>
      </c>
      <c r="S213" s="38">
        <f t="shared" si="21"/>
        <v>0.72843749999999985</v>
      </c>
      <c r="T213" s="38">
        <f t="shared" si="22"/>
        <v>-0.72843749999999985</v>
      </c>
      <c r="U213" s="85">
        <f t="shared" si="24"/>
        <v>150.48593749999992</v>
      </c>
      <c r="W213">
        <v>795.7</v>
      </c>
      <c r="Y213">
        <f t="shared" si="25"/>
        <v>90695.699999999939</v>
      </c>
      <c r="Z213">
        <f t="shared" si="27"/>
        <v>6379.4000000000005</v>
      </c>
      <c r="AA213">
        <v>10.378451981649842</v>
      </c>
    </row>
    <row r="214" spans="1:31" x14ac:dyDescent="0.25">
      <c r="A214">
        <v>6440</v>
      </c>
      <c r="B214">
        <v>26330</v>
      </c>
      <c r="C214" s="1">
        <v>42792</v>
      </c>
      <c r="F214" s="67"/>
      <c r="G214">
        <v>9.9</v>
      </c>
      <c r="H214">
        <v>7.8</v>
      </c>
      <c r="I214">
        <v>11.1</v>
      </c>
      <c r="J214">
        <f t="shared" si="23"/>
        <v>1332.3000000000006</v>
      </c>
      <c r="K214">
        <f t="shared" si="29"/>
        <v>107.80000000000001</v>
      </c>
      <c r="L214" s="22">
        <v>0</v>
      </c>
      <c r="M214" s="83">
        <v>0</v>
      </c>
      <c r="N214">
        <v>1.3</v>
      </c>
      <c r="O214" s="37">
        <f t="shared" si="20"/>
        <v>-1.3</v>
      </c>
      <c r="P214">
        <f t="shared" si="26"/>
        <v>157.90000000000003</v>
      </c>
      <c r="Q214">
        <v>173</v>
      </c>
      <c r="R214" s="38">
        <f t="shared" si="30"/>
        <v>1.04375</v>
      </c>
      <c r="S214" s="38">
        <f t="shared" si="21"/>
        <v>1.3568750000000001</v>
      </c>
      <c r="T214" s="38">
        <f t="shared" si="22"/>
        <v>-1.3568750000000001</v>
      </c>
      <c r="U214" s="85">
        <f t="shared" si="24"/>
        <v>149.12906249999992</v>
      </c>
      <c r="W214">
        <v>282.10000000000002</v>
      </c>
      <c r="Y214">
        <f t="shared" si="25"/>
        <v>90977.799999999945</v>
      </c>
      <c r="Z214">
        <f t="shared" si="27"/>
        <v>6661.5000000000009</v>
      </c>
      <c r="AA214">
        <v>10.441526911079748</v>
      </c>
    </row>
    <row r="215" spans="1:31" x14ac:dyDescent="0.25">
      <c r="A215">
        <v>6440</v>
      </c>
      <c r="B215">
        <v>26330</v>
      </c>
      <c r="C215" s="1">
        <v>42793</v>
      </c>
      <c r="F215" s="67"/>
      <c r="G215">
        <v>8.6</v>
      </c>
      <c r="H215">
        <v>7.4</v>
      </c>
      <c r="I215">
        <v>9.8000000000000007</v>
      </c>
      <c r="J215">
        <f t="shared" si="23"/>
        <v>1340.9000000000005</v>
      </c>
      <c r="K215">
        <f t="shared" si="29"/>
        <v>116.4</v>
      </c>
      <c r="M215" s="83">
        <v>13.5</v>
      </c>
      <c r="N215">
        <v>1.3</v>
      </c>
      <c r="O215" s="37">
        <f t="shared" si="20"/>
        <v>12.2</v>
      </c>
      <c r="P215">
        <f t="shared" si="26"/>
        <v>170.10000000000002</v>
      </c>
      <c r="Q215">
        <v>174</v>
      </c>
      <c r="R215" s="38">
        <f t="shared" si="30"/>
        <v>1.046875</v>
      </c>
      <c r="S215" s="38">
        <f t="shared" si="21"/>
        <v>1.3609375000000001</v>
      </c>
      <c r="T215" s="38">
        <f t="shared" si="22"/>
        <v>12.1390625</v>
      </c>
      <c r="U215" s="85">
        <f t="shared" si="24"/>
        <v>153.6</v>
      </c>
      <c r="W215">
        <v>210.2</v>
      </c>
      <c r="Y215">
        <f t="shared" si="25"/>
        <v>91187.999999999942</v>
      </c>
      <c r="Z215">
        <f t="shared" si="27"/>
        <v>6871.7000000000007</v>
      </c>
      <c r="AA215">
        <v>10.504835372118293</v>
      </c>
      <c r="AE215" s="81" t="s">
        <v>65</v>
      </c>
    </row>
    <row r="216" spans="1:31" x14ac:dyDescent="0.25">
      <c r="A216">
        <v>6440</v>
      </c>
      <c r="B216">
        <v>26330</v>
      </c>
      <c r="C216" s="1">
        <v>42794</v>
      </c>
      <c r="F216" s="67"/>
      <c r="G216">
        <v>5.6</v>
      </c>
      <c r="H216">
        <v>4.3</v>
      </c>
      <c r="I216">
        <v>7.3</v>
      </c>
      <c r="J216">
        <f t="shared" si="23"/>
        <v>1346.5000000000005</v>
      </c>
      <c r="K216">
        <f t="shared" si="29"/>
        <v>122</v>
      </c>
      <c r="M216" s="83">
        <v>6.9</v>
      </c>
      <c r="N216">
        <v>1.1000000000000001</v>
      </c>
      <c r="O216" s="37">
        <f t="shared" si="20"/>
        <v>5.8000000000000007</v>
      </c>
      <c r="P216">
        <f t="shared" si="26"/>
        <v>175.90000000000003</v>
      </c>
      <c r="Q216">
        <v>175</v>
      </c>
      <c r="R216" s="38">
        <f t="shared" si="30"/>
        <v>1.05</v>
      </c>
      <c r="S216" s="38">
        <f t="shared" si="21"/>
        <v>1.1550000000000002</v>
      </c>
      <c r="T216" s="38">
        <f t="shared" si="22"/>
        <v>5.7450000000000001</v>
      </c>
      <c r="U216" s="85">
        <f t="shared" si="24"/>
        <v>153.6</v>
      </c>
      <c r="W216">
        <v>161.30000000000001</v>
      </c>
      <c r="Y216">
        <f t="shared" si="25"/>
        <v>91349.299999999945</v>
      </c>
      <c r="Z216">
        <f t="shared" si="27"/>
        <v>7033.0000000000009</v>
      </c>
      <c r="AA216">
        <v>10.568364592748104</v>
      </c>
      <c r="AE216" s="38">
        <f>(AD199*(40/120))+(AD230*(80/120))</f>
        <v>136.78316964285705</v>
      </c>
    </row>
    <row r="217" spans="1:31" x14ac:dyDescent="0.25">
      <c r="A217">
        <v>6440</v>
      </c>
      <c r="B217">
        <v>26330</v>
      </c>
      <c r="C217" s="1">
        <v>42795</v>
      </c>
      <c r="F217" s="67"/>
      <c r="G217">
        <v>7.6</v>
      </c>
      <c r="H217">
        <v>6.2</v>
      </c>
      <c r="I217">
        <v>8.5</v>
      </c>
      <c r="J217">
        <f t="shared" si="23"/>
        <v>1354.1000000000004</v>
      </c>
      <c r="K217">
        <f t="shared" si="29"/>
        <v>129.6</v>
      </c>
      <c r="M217" s="83">
        <v>3.2</v>
      </c>
      <c r="N217">
        <v>0.7</v>
      </c>
      <c r="O217" s="37">
        <f t="shared" si="20"/>
        <v>2.5</v>
      </c>
      <c r="P217">
        <f t="shared" si="26"/>
        <v>178.40000000000003</v>
      </c>
      <c r="Q217">
        <v>176</v>
      </c>
      <c r="R217" s="38">
        <f t="shared" si="30"/>
        <v>1.0531249999999999</v>
      </c>
      <c r="S217" s="38">
        <f t="shared" si="21"/>
        <v>0.73718749999999988</v>
      </c>
      <c r="T217" s="38">
        <f t="shared" si="22"/>
        <v>2.4628125000000001</v>
      </c>
      <c r="U217" s="85">
        <f t="shared" si="24"/>
        <v>153.6</v>
      </c>
      <c r="W217">
        <v>201</v>
      </c>
      <c r="Y217">
        <f t="shared" si="25"/>
        <v>91550.299999999945</v>
      </c>
      <c r="Z217">
        <f t="shared" si="27"/>
        <v>7234.0000000000009</v>
      </c>
      <c r="AA217">
        <v>10.632102181247404</v>
      </c>
      <c r="AE217" s="81" t="s">
        <v>66</v>
      </c>
    </row>
    <row r="218" spans="1:31" x14ac:dyDescent="0.25">
      <c r="A218">
        <v>6440</v>
      </c>
      <c r="B218">
        <v>26330</v>
      </c>
      <c r="C218" s="1">
        <v>42796</v>
      </c>
      <c r="F218" s="67"/>
      <c r="G218">
        <v>7.5</v>
      </c>
      <c r="H218">
        <v>6.7</v>
      </c>
      <c r="I218">
        <v>9.9</v>
      </c>
      <c r="J218">
        <f t="shared" si="23"/>
        <v>1361.6000000000004</v>
      </c>
      <c r="K218">
        <f t="shared" si="29"/>
        <v>137.1</v>
      </c>
      <c r="M218" s="83">
        <v>0</v>
      </c>
      <c r="N218">
        <v>2.7</v>
      </c>
      <c r="O218" s="37">
        <f t="shared" si="20"/>
        <v>-2.7</v>
      </c>
      <c r="P218">
        <f t="shared" si="26"/>
        <v>175.70000000000005</v>
      </c>
      <c r="Q218">
        <v>177</v>
      </c>
      <c r="R218" s="38">
        <f t="shared" si="30"/>
        <v>1.0562499999999999</v>
      </c>
      <c r="S218" s="38">
        <f t="shared" si="21"/>
        <v>2.8518750000000002</v>
      </c>
      <c r="T218" s="38">
        <f t="shared" si="22"/>
        <v>-2.8518750000000002</v>
      </c>
      <c r="U218" s="85">
        <f t="shared" si="24"/>
        <v>150.74812499999999</v>
      </c>
      <c r="W218">
        <v>371.1</v>
      </c>
      <c r="Y218">
        <f t="shared" si="25"/>
        <v>91921.399999999951</v>
      </c>
      <c r="Z218">
        <f t="shared" si="27"/>
        <v>7605.1000000000013</v>
      </c>
      <c r="AA218">
        <v>10.696036111676555</v>
      </c>
      <c r="AE218">
        <f>(AD201*(40/120))+(AD232*(80/120))</f>
        <v>4</v>
      </c>
    </row>
    <row r="219" spans="1:31" x14ac:dyDescent="0.25">
      <c r="A219">
        <v>6440</v>
      </c>
      <c r="B219">
        <v>26330</v>
      </c>
      <c r="C219" s="1">
        <v>42797</v>
      </c>
      <c r="F219" s="67"/>
      <c r="G219">
        <v>8.3000000000000007</v>
      </c>
      <c r="H219">
        <v>3.8</v>
      </c>
      <c r="I219">
        <v>11.4</v>
      </c>
      <c r="J219">
        <f t="shared" si="23"/>
        <v>1369.9000000000003</v>
      </c>
      <c r="K219">
        <f t="shared" si="29"/>
        <v>145.4</v>
      </c>
      <c r="M219">
        <v>2.5</v>
      </c>
      <c r="N219">
        <v>1.1000000000000001</v>
      </c>
      <c r="O219" s="37">
        <f t="shared" si="20"/>
        <v>1.4</v>
      </c>
      <c r="P219">
        <f t="shared" si="26"/>
        <v>177.10000000000005</v>
      </c>
      <c r="Q219">
        <v>178</v>
      </c>
      <c r="R219" s="38">
        <f t="shared" si="30"/>
        <v>1.059375</v>
      </c>
      <c r="S219" s="38">
        <f t="shared" si="21"/>
        <v>1.1653125</v>
      </c>
      <c r="T219" s="38">
        <f t="shared" si="22"/>
        <v>1.3346875</v>
      </c>
      <c r="U219" s="38">
        <f t="shared" si="24"/>
        <v>152.08281249999999</v>
      </c>
      <c r="W219">
        <v>866.1</v>
      </c>
      <c r="Y219">
        <f t="shared" si="25"/>
        <v>92787.499999999956</v>
      </c>
      <c r="Z219">
        <f t="shared" si="27"/>
        <v>8471.2000000000007</v>
      </c>
      <c r="AA219">
        <v>10.7601547090058</v>
      </c>
      <c r="AE219" s="81" t="s">
        <v>67</v>
      </c>
    </row>
    <row r="220" spans="1:31" x14ac:dyDescent="0.25">
      <c r="A220">
        <v>6440</v>
      </c>
      <c r="B220">
        <v>26330</v>
      </c>
      <c r="C220" s="1">
        <v>42798</v>
      </c>
      <c r="F220" s="67"/>
      <c r="G220">
        <v>8.6</v>
      </c>
      <c r="H220">
        <v>7.3</v>
      </c>
      <c r="I220">
        <v>9.6</v>
      </c>
      <c r="J220">
        <f t="shared" si="23"/>
        <v>1378.5000000000002</v>
      </c>
      <c r="K220">
        <f t="shared" si="29"/>
        <v>154</v>
      </c>
      <c r="M220">
        <v>4.8</v>
      </c>
      <c r="N220">
        <v>0.4</v>
      </c>
      <c r="O220" s="37">
        <f t="shared" si="20"/>
        <v>4.3999999999999995</v>
      </c>
      <c r="P220">
        <f t="shared" si="26"/>
        <v>181.50000000000006</v>
      </c>
      <c r="Q220">
        <v>179</v>
      </c>
      <c r="R220" s="38">
        <f t="shared" si="30"/>
        <v>1.0625</v>
      </c>
      <c r="S220" s="38">
        <f t="shared" si="21"/>
        <v>0.42500000000000004</v>
      </c>
      <c r="T220" s="38">
        <f t="shared" si="22"/>
        <v>4.375</v>
      </c>
      <c r="U220" s="38">
        <f t="shared" si="24"/>
        <v>153.6</v>
      </c>
      <c r="W220">
        <v>188.9</v>
      </c>
      <c r="Y220">
        <f t="shared" si="25"/>
        <v>92976.399999999951</v>
      </c>
      <c r="Z220">
        <f t="shared" si="27"/>
        <v>8660.1</v>
      </c>
      <c r="AA220">
        <v>10.824446633921049</v>
      </c>
      <c r="AE220" s="52">
        <f>(AD203*(40/120))+(AD234*(80/120))</f>
        <v>5.6666666666666661</v>
      </c>
    </row>
    <row r="221" spans="1:31" x14ac:dyDescent="0.25">
      <c r="A221">
        <v>6440</v>
      </c>
      <c r="B221">
        <v>26330</v>
      </c>
      <c r="C221" s="1">
        <v>42799</v>
      </c>
      <c r="F221" s="67"/>
      <c r="G221">
        <v>5.9</v>
      </c>
      <c r="H221">
        <v>4.4000000000000004</v>
      </c>
      <c r="I221">
        <v>7.3</v>
      </c>
      <c r="J221">
        <f t="shared" si="23"/>
        <v>1384.4000000000003</v>
      </c>
      <c r="K221">
        <f t="shared" si="29"/>
        <v>159.9</v>
      </c>
      <c r="M221">
        <v>12.2</v>
      </c>
      <c r="N221">
        <v>0.7</v>
      </c>
      <c r="O221" s="37">
        <f t="shared" si="20"/>
        <v>11.5</v>
      </c>
      <c r="P221">
        <f t="shared" si="26"/>
        <v>193.00000000000006</v>
      </c>
      <c r="Q221">
        <v>180</v>
      </c>
      <c r="R221" s="38">
        <f t="shared" si="30"/>
        <v>1.065625</v>
      </c>
      <c r="S221" s="38">
        <f t="shared" si="21"/>
        <v>0.74593750000000003</v>
      </c>
      <c r="T221" s="38">
        <f t="shared" si="22"/>
        <v>11.454062499999999</v>
      </c>
      <c r="U221" s="38">
        <f t="shared" si="24"/>
        <v>153.6</v>
      </c>
      <c r="W221">
        <v>244.4</v>
      </c>
      <c r="Y221">
        <f t="shared" si="25"/>
        <v>93220.799999999945</v>
      </c>
      <c r="Z221">
        <f t="shared" si="27"/>
        <v>8904.5</v>
      </c>
      <c r="AA221">
        <v>10.888900867341604</v>
      </c>
      <c r="AE221" s="81" t="s">
        <v>68</v>
      </c>
    </row>
    <row r="222" spans="1:31" x14ac:dyDescent="0.25">
      <c r="A222">
        <v>6440</v>
      </c>
      <c r="B222">
        <v>26330</v>
      </c>
      <c r="C222" s="1">
        <v>42800</v>
      </c>
      <c r="F222" s="67"/>
      <c r="G222">
        <v>7.4</v>
      </c>
      <c r="H222">
        <v>6.5</v>
      </c>
      <c r="I222">
        <v>9.8000000000000007</v>
      </c>
      <c r="J222">
        <f t="shared" si="23"/>
        <v>1391.8000000000004</v>
      </c>
      <c r="K222">
        <f t="shared" si="29"/>
        <v>167.3</v>
      </c>
      <c r="M222">
        <v>0.9</v>
      </c>
      <c r="N222">
        <v>1.4</v>
      </c>
      <c r="O222" s="37">
        <f t="shared" si="20"/>
        <v>-0.49999999999999989</v>
      </c>
      <c r="P222">
        <f t="shared" si="26"/>
        <v>192.50000000000006</v>
      </c>
      <c r="Q222">
        <v>181</v>
      </c>
      <c r="R222" s="38">
        <f t="shared" si="30"/>
        <v>1.0687499999999999</v>
      </c>
      <c r="S222" s="38">
        <f t="shared" si="21"/>
        <v>1.4962499999999996</v>
      </c>
      <c r="T222" s="38">
        <f t="shared" si="22"/>
        <v>-0.59624999999999961</v>
      </c>
      <c r="U222" s="38">
        <f t="shared" si="24"/>
        <v>153.00375</v>
      </c>
      <c r="W222">
        <v>376.7</v>
      </c>
      <c r="Y222">
        <f t="shared" si="25"/>
        <v>93597.499999999942</v>
      </c>
      <c r="Z222">
        <f t="shared" si="27"/>
        <v>9281.2000000000007</v>
      </c>
      <c r="AA222">
        <v>10.953506694680897</v>
      </c>
      <c r="AE222">
        <f>(AD205*(40/120))+(AD236*(80/120))</f>
        <v>1</v>
      </c>
    </row>
    <row r="223" spans="1:31" x14ac:dyDescent="0.25">
      <c r="A223">
        <v>6440</v>
      </c>
      <c r="B223">
        <v>26330</v>
      </c>
      <c r="C223" s="1">
        <v>42801</v>
      </c>
      <c r="F223" s="67"/>
      <c r="G223">
        <v>6.4</v>
      </c>
      <c r="H223">
        <v>3.7</v>
      </c>
      <c r="I223">
        <v>9.6</v>
      </c>
      <c r="J223">
        <f t="shared" si="23"/>
        <v>1398.2000000000005</v>
      </c>
      <c r="K223">
        <f t="shared" si="29"/>
        <v>173.70000000000002</v>
      </c>
      <c r="M223">
        <v>3.9</v>
      </c>
      <c r="N223">
        <v>1.1000000000000001</v>
      </c>
      <c r="O223" s="37">
        <f t="shared" si="20"/>
        <v>2.8</v>
      </c>
      <c r="P223">
        <f t="shared" si="26"/>
        <v>195.30000000000007</v>
      </c>
      <c r="Q223">
        <v>182</v>
      </c>
      <c r="R223" s="38">
        <f t="shared" si="30"/>
        <v>1.0718749999999999</v>
      </c>
      <c r="S223" s="38">
        <f t="shared" si="21"/>
        <v>1.1790624999999999</v>
      </c>
      <c r="T223" s="38">
        <f t="shared" si="22"/>
        <v>2.7209374999999998</v>
      </c>
      <c r="U223" s="38">
        <f t="shared" si="24"/>
        <v>153.6</v>
      </c>
      <c r="W223">
        <v>895.9</v>
      </c>
      <c r="Y223">
        <f t="shared" si="25"/>
        <v>94493.399999999936</v>
      </c>
      <c r="Z223">
        <f t="shared" si="27"/>
        <v>10177.1</v>
      </c>
      <c r="AA223">
        <v>11.018253689878785</v>
      </c>
      <c r="AE223" s="81" t="s">
        <v>69</v>
      </c>
    </row>
    <row r="224" spans="1:31" x14ac:dyDescent="0.25">
      <c r="A224">
        <v>6440</v>
      </c>
      <c r="B224">
        <v>26330</v>
      </c>
      <c r="C224" s="1">
        <v>42802</v>
      </c>
      <c r="F224" s="67"/>
      <c r="G224">
        <v>9.1</v>
      </c>
      <c r="H224">
        <v>3.2</v>
      </c>
      <c r="I224">
        <v>11.4</v>
      </c>
      <c r="J224">
        <f t="shared" si="23"/>
        <v>1407.3000000000004</v>
      </c>
      <c r="K224">
        <f t="shared" si="29"/>
        <v>182.8</v>
      </c>
      <c r="M224">
        <v>5.3</v>
      </c>
      <c r="N224">
        <v>0.2</v>
      </c>
      <c r="O224" s="37">
        <f t="shared" si="20"/>
        <v>5.0999999999999996</v>
      </c>
      <c r="P224">
        <f t="shared" si="26"/>
        <v>200.40000000000006</v>
      </c>
      <c r="Q224">
        <v>183</v>
      </c>
      <c r="R224" s="38">
        <f t="shared" si="30"/>
        <v>1.075</v>
      </c>
      <c r="S224" s="38">
        <f t="shared" si="21"/>
        <v>0.215</v>
      </c>
      <c r="T224" s="38">
        <f t="shared" si="22"/>
        <v>5.085</v>
      </c>
      <c r="U224" s="38">
        <f t="shared" si="24"/>
        <v>153.6</v>
      </c>
      <c r="W224">
        <v>165</v>
      </c>
      <c r="Y224">
        <f t="shared" si="25"/>
        <v>94658.399999999936</v>
      </c>
      <c r="Z224">
        <f t="shared" si="27"/>
        <v>10342.1</v>
      </c>
      <c r="AA224">
        <v>11.083131699231464</v>
      </c>
      <c r="AE224" s="52">
        <f>(AD207*(40/120))+(AD238*(80/120))</f>
        <v>11.066666666666666</v>
      </c>
    </row>
    <row r="225" spans="1:30" x14ac:dyDescent="0.25">
      <c r="A225">
        <v>6440</v>
      </c>
      <c r="B225">
        <v>26330</v>
      </c>
      <c r="C225" s="1">
        <v>42803</v>
      </c>
      <c r="F225" s="67"/>
      <c r="G225">
        <v>10.6</v>
      </c>
      <c r="H225">
        <v>10.6</v>
      </c>
      <c r="I225">
        <v>13.3</v>
      </c>
      <c r="J225">
        <f t="shared" si="23"/>
        <v>1417.9000000000003</v>
      </c>
      <c r="K225">
        <f t="shared" si="29"/>
        <v>193.4</v>
      </c>
      <c r="M225">
        <v>0.2</v>
      </c>
      <c r="N225">
        <v>1.1000000000000001</v>
      </c>
      <c r="O225" s="37">
        <f t="shared" si="20"/>
        <v>-0.90000000000000013</v>
      </c>
      <c r="P225">
        <f t="shared" si="26"/>
        <v>199.50000000000006</v>
      </c>
      <c r="Q225">
        <v>184</v>
      </c>
      <c r="R225" s="38">
        <f t="shared" si="30"/>
        <v>1.078125</v>
      </c>
      <c r="S225" s="38">
        <f t="shared" si="21"/>
        <v>1.1859375000000001</v>
      </c>
      <c r="T225" s="38">
        <f t="shared" si="22"/>
        <v>-0.98593750000000013</v>
      </c>
      <c r="U225" s="38">
        <f t="shared" si="24"/>
        <v>152.61406249999999</v>
      </c>
      <c r="W225">
        <v>364.2</v>
      </c>
      <c r="Y225">
        <f t="shared" si="25"/>
        <v>95022.599999999933</v>
      </c>
      <c r="Z225">
        <f t="shared" si="27"/>
        <v>10706.300000000001</v>
      </c>
      <c r="AA225">
        <v>11.148130825042612</v>
      </c>
    </row>
    <row r="226" spans="1:30" x14ac:dyDescent="0.25">
      <c r="A226">
        <v>6440</v>
      </c>
      <c r="B226">
        <v>26330</v>
      </c>
      <c r="C226" s="1">
        <v>42804</v>
      </c>
      <c r="F226" s="67"/>
      <c r="G226">
        <v>7.7</v>
      </c>
      <c r="H226">
        <v>3.5</v>
      </c>
      <c r="I226">
        <v>12.3</v>
      </c>
      <c r="J226">
        <f t="shared" si="23"/>
        <v>1425.6000000000004</v>
      </c>
      <c r="K226">
        <f t="shared" si="29"/>
        <v>201.1</v>
      </c>
      <c r="M226">
        <v>0</v>
      </c>
      <c r="N226">
        <v>1.4</v>
      </c>
      <c r="O226" s="37">
        <f t="shared" si="20"/>
        <v>-1.4</v>
      </c>
      <c r="P226">
        <f t="shared" si="26"/>
        <v>198.10000000000005</v>
      </c>
      <c r="Q226">
        <v>185</v>
      </c>
      <c r="R226" s="38">
        <f t="shared" si="30"/>
        <v>1.08125</v>
      </c>
      <c r="S226" s="38">
        <f t="shared" si="21"/>
        <v>1.5137499999999999</v>
      </c>
      <c r="T226" s="38">
        <f t="shared" si="22"/>
        <v>-1.5137499999999999</v>
      </c>
      <c r="U226" s="38">
        <f t="shared" si="24"/>
        <v>151.1003125</v>
      </c>
      <c r="W226">
        <v>1202</v>
      </c>
      <c r="Y226">
        <f t="shared" si="25"/>
        <v>96224.599999999933</v>
      </c>
      <c r="Z226">
        <f t="shared" si="27"/>
        <v>11908.300000000001</v>
      </c>
      <c r="AA226">
        <v>11.213241409117408</v>
      </c>
    </row>
    <row r="227" spans="1:30" x14ac:dyDescent="0.25">
      <c r="A227">
        <v>6440</v>
      </c>
      <c r="B227">
        <v>26330</v>
      </c>
      <c r="C227" s="1">
        <v>42805</v>
      </c>
      <c r="F227" s="67"/>
      <c r="G227">
        <v>9.1999999999999993</v>
      </c>
      <c r="H227">
        <v>3.1</v>
      </c>
      <c r="I227">
        <v>14.3</v>
      </c>
      <c r="J227">
        <f t="shared" si="23"/>
        <v>1434.8000000000004</v>
      </c>
      <c r="K227">
        <f t="shared" si="29"/>
        <v>210.29999999999998</v>
      </c>
      <c r="M227">
        <v>0</v>
      </c>
      <c r="N227">
        <v>1.8</v>
      </c>
      <c r="O227" s="37">
        <f t="shared" si="20"/>
        <v>-1.8</v>
      </c>
      <c r="P227">
        <f t="shared" si="26"/>
        <v>196.30000000000004</v>
      </c>
      <c r="Q227">
        <v>186</v>
      </c>
      <c r="R227" s="38">
        <f t="shared" si="30"/>
        <v>1.0843749999999999</v>
      </c>
      <c r="S227" s="38">
        <f t="shared" si="21"/>
        <v>1.9518749999999998</v>
      </c>
      <c r="T227" s="38">
        <f t="shared" si="22"/>
        <v>-1.9518749999999998</v>
      </c>
      <c r="U227" s="38">
        <f t="shared" si="24"/>
        <v>149.1484375</v>
      </c>
      <c r="W227">
        <v>1505</v>
      </c>
      <c r="Y227">
        <f t="shared" si="25"/>
        <v>97729.599999999933</v>
      </c>
      <c r="Z227">
        <f t="shared" si="27"/>
        <v>13413.300000000001</v>
      </c>
      <c r="AA227">
        <v>11.278454016118832</v>
      </c>
    </row>
    <row r="228" spans="1:30" x14ac:dyDescent="0.25">
      <c r="A228">
        <v>6440</v>
      </c>
      <c r="B228">
        <v>26330</v>
      </c>
      <c r="C228" s="1">
        <v>42806</v>
      </c>
      <c r="F228" s="67"/>
      <c r="G228">
        <v>9.6999999999999993</v>
      </c>
      <c r="H228">
        <v>5.7</v>
      </c>
      <c r="I228">
        <v>14.3</v>
      </c>
      <c r="J228">
        <f t="shared" si="23"/>
        <v>1444.5000000000005</v>
      </c>
      <c r="K228">
        <f t="shared" si="29"/>
        <v>219.99999999999997</v>
      </c>
      <c r="M228">
        <v>0</v>
      </c>
      <c r="N228">
        <v>1.6</v>
      </c>
      <c r="O228" s="37">
        <f t="shared" si="20"/>
        <v>-1.6</v>
      </c>
      <c r="P228">
        <f t="shared" si="26"/>
        <v>194.70000000000005</v>
      </c>
      <c r="Q228">
        <v>187</v>
      </c>
      <c r="R228" s="38">
        <f t="shared" si="30"/>
        <v>1.0874999999999999</v>
      </c>
      <c r="S228" s="38">
        <f t="shared" si="21"/>
        <v>1.74</v>
      </c>
      <c r="T228" s="38">
        <f t="shared" si="22"/>
        <v>-1.74</v>
      </c>
      <c r="U228" s="38">
        <f t="shared" si="24"/>
        <v>147.40843749999999</v>
      </c>
      <c r="W228">
        <v>1229.9000000000001</v>
      </c>
      <c r="Y228">
        <f t="shared" si="25"/>
        <v>98959.499999999927</v>
      </c>
      <c r="Z228">
        <f t="shared" si="27"/>
        <v>14643.2</v>
      </c>
      <c r="AA228">
        <v>11.34375941680385</v>
      </c>
    </row>
    <row r="229" spans="1:30" x14ac:dyDescent="0.25">
      <c r="A229">
        <v>6440</v>
      </c>
      <c r="B229">
        <v>26330</v>
      </c>
      <c r="C229" s="1">
        <v>42807</v>
      </c>
      <c r="F229" s="67"/>
      <c r="G229">
        <v>7.6</v>
      </c>
      <c r="H229">
        <v>4.0999999999999996</v>
      </c>
      <c r="I229">
        <v>12.2</v>
      </c>
      <c r="J229">
        <f t="shared" si="23"/>
        <v>1452.1000000000004</v>
      </c>
      <c r="K229">
        <f t="shared" si="29"/>
        <v>227.59999999999997</v>
      </c>
      <c r="M229" s="83">
        <v>0.1</v>
      </c>
      <c r="N229">
        <v>0.8</v>
      </c>
      <c r="O229" s="37">
        <f t="shared" si="20"/>
        <v>-0.70000000000000007</v>
      </c>
      <c r="P229">
        <f t="shared" si="26"/>
        <v>194.00000000000006</v>
      </c>
      <c r="Q229">
        <v>188</v>
      </c>
      <c r="R229" s="38">
        <f t="shared" si="30"/>
        <v>1.090625</v>
      </c>
      <c r="S229" s="38">
        <f t="shared" si="21"/>
        <v>0.87250000000000005</v>
      </c>
      <c r="T229" s="38">
        <f t="shared" si="22"/>
        <v>-0.77250000000000008</v>
      </c>
      <c r="U229" s="38">
        <f t="shared" si="24"/>
        <v>146.63593749999998</v>
      </c>
      <c r="W229">
        <v>597.20000000000005</v>
      </c>
      <c r="Y229">
        <f t="shared" si="25"/>
        <v>99556.699999999924</v>
      </c>
      <c r="Z229">
        <f t="shared" si="27"/>
        <v>15240.400000000001</v>
      </c>
      <c r="AA229">
        <v>11.409148571155381</v>
      </c>
      <c r="AD229" s="81" t="s">
        <v>65</v>
      </c>
    </row>
    <row r="230" spans="1:30" x14ac:dyDescent="0.25">
      <c r="A230">
        <v>6440</v>
      </c>
      <c r="B230">
        <v>26330</v>
      </c>
      <c r="C230" s="1">
        <v>42808</v>
      </c>
      <c r="F230" s="67"/>
      <c r="G230">
        <v>8.4</v>
      </c>
      <c r="H230">
        <v>4.0999999999999996</v>
      </c>
      <c r="I230">
        <v>11.1</v>
      </c>
      <c r="J230">
        <f t="shared" si="23"/>
        <v>1460.5000000000005</v>
      </c>
      <c r="K230">
        <f t="shared" si="29"/>
        <v>235.99999999999997</v>
      </c>
      <c r="M230" s="83">
        <v>0</v>
      </c>
      <c r="N230">
        <v>0.3</v>
      </c>
      <c r="O230" s="37">
        <f t="shared" si="20"/>
        <v>-0.3</v>
      </c>
      <c r="P230">
        <f t="shared" si="26"/>
        <v>193.70000000000005</v>
      </c>
      <c r="Q230">
        <v>189</v>
      </c>
      <c r="R230" s="38">
        <f t="shared" si="30"/>
        <v>1.09375</v>
      </c>
      <c r="S230" s="38">
        <f t="shared" si="21"/>
        <v>0.328125</v>
      </c>
      <c r="T230" s="38">
        <f t="shared" si="22"/>
        <v>-0.328125</v>
      </c>
      <c r="U230" s="38">
        <f t="shared" si="24"/>
        <v>146.30781249999998</v>
      </c>
      <c r="W230">
        <v>417.3</v>
      </c>
      <c r="Y230">
        <f t="shared" si="25"/>
        <v>99973.999999999927</v>
      </c>
      <c r="Z230">
        <f t="shared" si="27"/>
        <v>15657.7</v>
      </c>
      <c r="AA230">
        <v>11.474612611424222</v>
      </c>
      <c r="AD230" s="38">
        <f>AVERAGE(U236:U249)</f>
        <v>130.00475446428564</v>
      </c>
    </row>
    <row r="231" spans="1:30" x14ac:dyDescent="0.25">
      <c r="A231">
        <v>6440</v>
      </c>
      <c r="B231">
        <v>26330</v>
      </c>
      <c r="C231" s="1">
        <v>42809</v>
      </c>
      <c r="F231" s="67"/>
      <c r="G231">
        <v>11.9</v>
      </c>
      <c r="H231">
        <v>9.1</v>
      </c>
      <c r="I231">
        <v>16</v>
      </c>
      <c r="J231">
        <f t="shared" si="23"/>
        <v>1472.4000000000005</v>
      </c>
      <c r="K231">
        <f t="shared" si="29"/>
        <v>247.89999999999998</v>
      </c>
      <c r="M231" s="83">
        <v>0</v>
      </c>
      <c r="N231">
        <v>1.5</v>
      </c>
      <c r="O231" s="37">
        <f t="shared" si="20"/>
        <v>-1.5</v>
      </c>
      <c r="P231">
        <f t="shared" si="26"/>
        <v>192.20000000000005</v>
      </c>
      <c r="Q231">
        <v>190</v>
      </c>
      <c r="R231" s="38">
        <f t="shared" si="30"/>
        <v>1.096875</v>
      </c>
      <c r="S231" s="38">
        <f t="shared" si="21"/>
        <v>1.6453125000000002</v>
      </c>
      <c r="T231" s="38">
        <f t="shared" si="22"/>
        <v>-1.6453125000000002</v>
      </c>
      <c r="U231" s="38">
        <f t="shared" si="24"/>
        <v>144.66249999999999</v>
      </c>
      <c r="W231">
        <v>1135.5999999999999</v>
      </c>
      <c r="Y231">
        <f t="shared" si="25"/>
        <v>101109.59999999993</v>
      </c>
      <c r="Z231">
        <f t="shared" si="27"/>
        <v>16793.3</v>
      </c>
      <c r="AA231">
        <v>11.540142825093756</v>
      </c>
      <c r="AD231" s="81" t="s">
        <v>66</v>
      </c>
    </row>
    <row r="232" spans="1:30" x14ac:dyDescent="0.25">
      <c r="A232">
        <v>6440</v>
      </c>
      <c r="B232">
        <v>26330</v>
      </c>
      <c r="C232" s="1">
        <v>42810</v>
      </c>
      <c r="F232" s="67"/>
      <c r="G232">
        <v>11.1</v>
      </c>
      <c r="H232">
        <v>4.0999999999999996</v>
      </c>
      <c r="I232">
        <v>16.899999999999999</v>
      </c>
      <c r="J232">
        <f t="shared" si="23"/>
        <v>1483.5000000000005</v>
      </c>
      <c r="K232">
        <f t="shared" si="29"/>
        <v>259</v>
      </c>
      <c r="M232" s="83">
        <v>0</v>
      </c>
      <c r="N232">
        <v>2.2999999999999998</v>
      </c>
      <c r="O232" s="37">
        <f t="shared" si="20"/>
        <v>-2.2999999999999998</v>
      </c>
      <c r="P232">
        <f t="shared" si="26"/>
        <v>189.90000000000003</v>
      </c>
      <c r="Q232">
        <v>191</v>
      </c>
      <c r="R232" s="38">
        <f t="shared" si="30"/>
        <v>1.0999999999999999</v>
      </c>
      <c r="S232" s="38">
        <f t="shared" si="21"/>
        <v>2.5299999999999994</v>
      </c>
      <c r="T232" s="38">
        <f t="shared" si="22"/>
        <v>-2.5299999999999994</v>
      </c>
      <c r="U232" s="38">
        <f t="shared" si="24"/>
        <v>142.13249999999999</v>
      </c>
      <c r="W232">
        <v>1742.2</v>
      </c>
      <c r="Y232">
        <f t="shared" si="25"/>
        <v>102851.79999999993</v>
      </c>
      <c r="Z232">
        <f t="shared" si="27"/>
        <v>18535.5</v>
      </c>
      <c r="AA232">
        <v>11.60573063777888</v>
      </c>
      <c r="AD232">
        <v>3</v>
      </c>
    </row>
    <row r="233" spans="1:30" x14ac:dyDescent="0.25">
      <c r="A233">
        <v>6440</v>
      </c>
      <c r="B233">
        <v>26330</v>
      </c>
      <c r="C233" s="1">
        <v>42811</v>
      </c>
      <c r="F233" s="67"/>
      <c r="G233">
        <v>9.3000000000000007</v>
      </c>
      <c r="H233">
        <v>8.3000000000000007</v>
      </c>
      <c r="I233">
        <v>11.4</v>
      </c>
      <c r="J233">
        <f t="shared" si="23"/>
        <v>1492.8000000000004</v>
      </c>
      <c r="K233">
        <f t="shared" si="29"/>
        <v>268.3</v>
      </c>
      <c r="M233" s="83">
        <v>4.8</v>
      </c>
      <c r="N233">
        <v>2</v>
      </c>
      <c r="O233" s="37">
        <f t="shared" si="20"/>
        <v>2.8</v>
      </c>
      <c r="P233">
        <f t="shared" si="26"/>
        <v>192.70000000000005</v>
      </c>
      <c r="Q233">
        <v>192</v>
      </c>
      <c r="R233" s="38">
        <f t="shared" si="30"/>
        <v>1.1031249999999999</v>
      </c>
      <c r="S233" s="38">
        <f t="shared" si="21"/>
        <v>2.2062499999999998</v>
      </c>
      <c r="T233" s="38">
        <f t="shared" si="22"/>
        <v>2.59375</v>
      </c>
      <c r="U233" s="38">
        <f t="shared" si="24"/>
        <v>144.72624999999999</v>
      </c>
      <c r="W233">
        <v>495.9</v>
      </c>
      <c r="Y233">
        <f t="shared" si="25"/>
        <v>103347.69999999992</v>
      </c>
      <c r="Z233">
        <f t="shared" si="27"/>
        <v>19031.400000000001</v>
      </c>
      <c r="AA233">
        <v>11.671367596069402</v>
      </c>
      <c r="AD233" s="81" t="s">
        <v>67</v>
      </c>
    </row>
    <row r="234" spans="1:30" x14ac:dyDescent="0.25">
      <c r="A234">
        <v>6440</v>
      </c>
      <c r="B234">
        <v>26330</v>
      </c>
      <c r="C234" s="1">
        <v>42812</v>
      </c>
      <c r="F234" s="67"/>
      <c r="G234">
        <v>11.3</v>
      </c>
      <c r="H234">
        <v>8.6</v>
      </c>
      <c r="I234">
        <v>13.4</v>
      </c>
      <c r="J234">
        <f t="shared" si="23"/>
        <v>1504.1000000000004</v>
      </c>
      <c r="K234">
        <f t="shared" si="29"/>
        <v>279.60000000000002</v>
      </c>
      <c r="M234" s="83">
        <v>3.8</v>
      </c>
      <c r="N234">
        <v>0.7</v>
      </c>
      <c r="O234" s="37">
        <f t="shared" si="20"/>
        <v>3.0999999999999996</v>
      </c>
      <c r="P234">
        <f t="shared" si="26"/>
        <v>195.80000000000004</v>
      </c>
      <c r="Q234">
        <v>193</v>
      </c>
      <c r="R234" s="38">
        <f t="shared" si="30"/>
        <v>1.10625</v>
      </c>
      <c r="S234" s="38">
        <f t="shared" si="21"/>
        <v>0.77437499999999992</v>
      </c>
      <c r="T234" s="38">
        <f t="shared" si="22"/>
        <v>3.0256249999999998</v>
      </c>
      <c r="U234" s="38">
        <f t="shared" si="24"/>
        <v>147.75187499999998</v>
      </c>
      <c r="W234">
        <v>297.7</v>
      </c>
      <c r="Y234">
        <f t="shared" si="25"/>
        <v>103645.39999999992</v>
      </c>
      <c r="Z234">
        <f t="shared" si="27"/>
        <v>19329.100000000002</v>
      </c>
      <c r="AA234">
        <v>11.737045350327168</v>
      </c>
      <c r="AD234">
        <v>7</v>
      </c>
    </row>
    <row r="235" spans="1:30" x14ac:dyDescent="0.25">
      <c r="A235">
        <v>6440</v>
      </c>
      <c r="B235">
        <v>26330</v>
      </c>
      <c r="C235" s="1">
        <v>42813</v>
      </c>
      <c r="F235" s="67"/>
      <c r="G235">
        <v>11.4</v>
      </c>
      <c r="H235">
        <v>10.9</v>
      </c>
      <c r="I235">
        <v>12.3</v>
      </c>
      <c r="J235">
        <f t="shared" si="23"/>
        <v>1515.5000000000005</v>
      </c>
      <c r="K235">
        <f t="shared" si="29"/>
        <v>291</v>
      </c>
      <c r="M235" s="83">
        <v>0</v>
      </c>
      <c r="N235">
        <v>1.4</v>
      </c>
      <c r="O235" s="37">
        <f t="shared" ref="O235:O298" si="31">M235-N235</f>
        <v>-1.4</v>
      </c>
      <c r="P235">
        <f t="shared" si="26"/>
        <v>194.40000000000003</v>
      </c>
      <c r="Q235">
        <v>194</v>
      </c>
      <c r="R235" s="38">
        <f t="shared" si="30"/>
        <v>1.109375</v>
      </c>
      <c r="S235" s="38">
        <f t="shared" ref="S235:S298" si="32">R235*N235</f>
        <v>1.5531249999999999</v>
      </c>
      <c r="T235" s="38">
        <f t="shared" ref="T235:T298" si="33">M235-S235</f>
        <v>-1.5531249999999999</v>
      </c>
      <c r="U235" s="38">
        <f t="shared" si="24"/>
        <v>146.19874999999999</v>
      </c>
      <c r="W235">
        <v>312</v>
      </c>
      <c r="Y235">
        <f t="shared" si="25"/>
        <v>103957.39999999992</v>
      </c>
      <c r="Z235">
        <f t="shared" si="27"/>
        <v>19641.100000000002</v>
      </c>
      <c r="AA235">
        <v>11.802755637445159</v>
      </c>
      <c r="AD235" s="81" t="s">
        <v>68</v>
      </c>
    </row>
    <row r="236" spans="1:30" x14ac:dyDescent="0.25">
      <c r="A236">
        <v>6440</v>
      </c>
      <c r="B236">
        <v>26330</v>
      </c>
      <c r="C236" s="1">
        <v>42814</v>
      </c>
      <c r="F236" s="67"/>
      <c r="G236">
        <v>11.2</v>
      </c>
      <c r="H236">
        <v>10.199999999999999</v>
      </c>
      <c r="I236">
        <v>12.2</v>
      </c>
      <c r="J236">
        <f t="shared" ref="J236:J299" si="34">J235+G236</f>
        <v>1526.7000000000005</v>
      </c>
      <c r="K236">
        <f t="shared" si="29"/>
        <v>302.2</v>
      </c>
      <c r="M236" s="83">
        <v>2.1</v>
      </c>
      <c r="N236">
        <v>1.6</v>
      </c>
      <c r="O236" s="37">
        <f t="shared" si="31"/>
        <v>0.5</v>
      </c>
      <c r="P236">
        <f t="shared" si="26"/>
        <v>194.90000000000003</v>
      </c>
      <c r="Q236">
        <v>195</v>
      </c>
      <c r="R236" s="38">
        <f t="shared" si="30"/>
        <v>1.1124999999999998</v>
      </c>
      <c r="S236" s="38">
        <f t="shared" si="32"/>
        <v>1.7799999999999998</v>
      </c>
      <c r="T236" s="38">
        <f t="shared" si="33"/>
        <v>0.32000000000000028</v>
      </c>
      <c r="U236" s="85">
        <f t="shared" ref="U236:U299" si="35">MIN(T236+U235,153.6)</f>
        <v>146.51874999999998</v>
      </c>
      <c r="W236">
        <v>178.4</v>
      </c>
      <c r="Y236">
        <f t="shared" ref="Y236:Y299" si="36">Y235+W236</f>
        <v>104135.79999999992</v>
      </c>
      <c r="Z236">
        <f t="shared" si="27"/>
        <v>19819.500000000004</v>
      </c>
      <c r="AA236">
        <v>11.868490263576144</v>
      </c>
      <c r="AD236">
        <v>0</v>
      </c>
    </row>
    <row r="237" spans="1:30" x14ac:dyDescent="0.25">
      <c r="A237">
        <v>6440</v>
      </c>
      <c r="B237">
        <v>26330</v>
      </c>
      <c r="C237" s="1">
        <v>42815</v>
      </c>
      <c r="F237" s="67"/>
      <c r="G237">
        <v>7.7</v>
      </c>
      <c r="H237">
        <v>8</v>
      </c>
      <c r="I237">
        <v>9.1999999999999993</v>
      </c>
      <c r="J237">
        <f t="shared" si="34"/>
        <v>1534.4000000000005</v>
      </c>
      <c r="K237">
        <f t="shared" si="29"/>
        <v>309.89999999999998</v>
      </c>
      <c r="M237" s="83">
        <v>0.1</v>
      </c>
      <c r="N237">
        <v>1.9</v>
      </c>
      <c r="O237" s="37">
        <f t="shared" si="31"/>
        <v>-1.7999999999999998</v>
      </c>
      <c r="P237">
        <f t="shared" si="26"/>
        <v>193.10000000000002</v>
      </c>
      <c r="Q237">
        <v>196</v>
      </c>
      <c r="R237" s="38">
        <f t="shared" si="30"/>
        <v>1.1156249999999999</v>
      </c>
      <c r="S237" s="38">
        <f t="shared" si="32"/>
        <v>2.1196874999999995</v>
      </c>
      <c r="T237" s="38">
        <f t="shared" si="33"/>
        <v>-2.0196874999999994</v>
      </c>
      <c r="U237" s="85">
        <f t="shared" si="35"/>
        <v>144.49906249999998</v>
      </c>
      <c r="W237">
        <v>607.70000000000005</v>
      </c>
      <c r="Y237">
        <f t="shared" si="36"/>
        <v>104743.49999999991</v>
      </c>
      <c r="Z237">
        <f t="shared" si="27"/>
        <v>20427.200000000004</v>
      </c>
      <c r="AA237">
        <v>11.9342410868377</v>
      </c>
      <c r="AD237" s="81" t="s">
        <v>69</v>
      </c>
    </row>
    <row r="238" spans="1:30" x14ac:dyDescent="0.25">
      <c r="A238">
        <v>6440</v>
      </c>
      <c r="B238">
        <v>26330</v>
      </c>
      <c r="C238" s="1">
        <v>42816</v>
      </c>
      <c r="F238" s="67"/>
      <c r="G238">
        <v>6.2</v>
      </c>
      <c r="H238">
        <v>2</v>
      </c>
      <c r="I238">
        <v>9.6</v>
      </c>
      <c r="J238">
        <f t="shared" si="34"/>
        <v>1540.6000000000006</v>
      </c>
      <c r="K238">
        <f t="shared" si="29"/>
        <v>316.09999999999997</v>
      </c>
      <c r="M238" s="83">
        <v>0</v>
      </c>
      <c r="N238">
        <v>1</v>
      </c>
      <c r="O238" s="37">
        <f t="shared" si="31"/>
        <v>-1</v>
      </c>
      <c r="P238">
        <f t="shared" si="26"/>
        <v>192.10000000000002</v>
      </c>
      <c r="Q238">
        <v>197</v>
      </c>
      <c r="R238" s="38">
        <f t="shared" si="30"/>
        <v>1.1187499999999999</v>
      </c>
      <c r="S238" s="38">
        <f t="shared" si="32"/>
        <v>1.1187499999999999</v>
      </c>
      <c r="T238" s="38">
        <f t="shared" si="33"/>
        <v>-1.1187499999999999</v>
      </c>
      <c r="U238" s="85">
        <f t="shared" si="35"/>
        <v>143.38031249999997</v>
      </c>
      <c r="W238">
        <v>628.1</v>
      </c>
      <c r="Y238">
        <f t="shared" si="36"/>
        <v>105371.59999999992</v>
      </c>
      <c r="Z238">
        <f t="shared" si="27"/>
        <v>21055.300000000003</v>
      </c>
      <c r="AA238">
        <v>12</v>
      </c>
      <c r="AD238">
        <f>SUM(M240:M249)</f>
        <v>1.4000000000000001</v>
      </c>
    </row>
    <row r="239" spans="1:30" s="76" customFormat="1" x14ac:dyDescent="0.25">
      <c r="A239" s="76">
        <v>6440</v>
      </c>
      <c r="B239" s="76">
        <v>26330</v>
      </c>
      <c r="C239" s="77">
        <v>42817</v>
      </c>
      <c r="D239" s="76" t="s">
        <v>64</v>
      </c>
      <c r="F239" s="67"/>
      <c r="G239" s="76">
        <v>9.5</v>
      </c>
      <c r="H239" s="76">
        <v>4.0999999999999996</v>
      </c>
      <c r="I239" s="76">
        <v>13.4</v>
      </c>
      <c r="J239" s="76">
        <f t="shared" si="34"/>
        <v>1550.1000000000006</v>
      </c>
      <c r="K239" s="76">
        <f t="shared" si="29"/>
        <v>325.59999999999997</v>
      </c>
      <c r="L239" s="78"/>
      <c r="M239" s="76">
        <v>0</v>
      </c>
      <c r="N239" s="76">
        <v>1.5</v>
      </c>
      <c r="O239" s="79">
        <f t="shared" si="31"/>
        <v>-1.5</v>
      </c>
      <c r="P239" s="76">
        <f t="shared" si="26"/>
        <v>190.60000000000002</v>
      </c>
      <c r="Q239" s="76">
        <v>198</v>
      </c>
      <c r="R239" s="80">
        <f t="shared" si="30"/>
        <v>1.121875</v>
      </c>
      <c r="S239" s="80">
        <f t="shared" si="32"/>
        <v>1.6828124999999998</v>
      </c>
      <c r="T239" s="80">
        <f t="shared" si="33"/>
        <v>-1.6828124999999998</v>
      </c>
      <c r="U239" s="80">
        <f t="shared" si="35"/>
        <v>141.69749999999996</v>
      </c>
      <c r="W239" s="76">
        <v>863.7</v>
      </c>
      <c r="Y239" s="76">
        <f t="shared" si="36"/>
        <v>106235.29999999992</v>
      </c>
      <c r="Z239" s="76">
        <f t="shared" si="27"/>
        <v>21919.000000000004</v>
      </c>
      <c r="AA239" s="76">
        <v>12.065758913162298</v>
      </c>
    </row>
    <row r="240" spans="1:30" x14ac:dyDescent="0.25">
      <c r="A240">
        <v>6440</v>
      </c>
      <c r="B240">
        <v>26330</v>
      </c>
      <c r="C240" s="1">
        <v>42818</v>
      </c>
      <c r="F240" s="67"/>
      <c r="G240">
        <v>10.1</v>
      </c>
      <c r="H240">
        <v>6.9</v>
      </c>
      <c r="I240">
        <v>12.4</v>
      </c>
      <c r="J240">
        <f t="shared" si="34"/>
        <v>1560.2000000000005</v>
      </c>
      <c r="K240">
        <f t="shared" si="29"/>
        <v>335.7</v>
      </c>
      <c r="M240" s="83">
        <v>0</v>
      </c>
      <c r="N240">
        <v>2.6</v>
      </c>
      <c r="O240" s="37">
        <f t="shared" si="31"/>
        <v>-2.6</v>
      </c>
      <c r="P240">
        <f t="shared" si="26"/>
        <v>188.00000000000003</v>
      </c>
      <c r="Q240">
        <v>199</v>
      </c>
      <c r="R240" s="38">
        <f t="shared" si="30"/>
        <v>1.125</v>
      </c>
      <c r="S240" s="38">
        <f t="shared" si="32"/>
        <v>2.9250000000000003</v>
      </c>
      <c r="T240" s="38">
        <f t="shared" si="33"/>
        <v>-2.9250000000000003</v>
      </c>
      <c r="U240" s="85">
        <f t="shared" si="35"/>
        <v>138.77249999999995</v>
      </c>
      <c r="W240">
        <v>1750</v>
      </c>
      <c r="Y240">
        <f t="shared" si="36"/>
        <v>107985.29999999992</v>
      </c>
      <c r="Z240">
        <f t="shared" si="27"/>
        <v>23669.000000000004</v>
      </c>
      <c r="AA240">
        <v>12.131509736423856</v>
      </c>
    </row>
    <row r="241" spans="1:28" x14ac:dyDescent="0.25">
      <c r="A241">
        <v>6440</v>
      </c>
      <c r="B241">
        <v>26330</v>
      </c>
      <c r="C241" s="1">
        <v>42819</v>
      </c>
      <c r="F241" s="67"/>
      <c r="G241">
        <v>10.7</v>
      </c>
      <c r="H241">
        <v>5.2</v>
      </c>
      <c r="I241">
        <v>14.4</v>
      </c>
      <c r="J241">
        <f t="shared" si="34"/>
        <v>1570.9000000000005</v>
      </c>
      <c r="K241">
        <f t="shared" si="29"/>
        <v>346.4</v>
      </c>
      <c r="M241" s="83">
        <v>0</v>
      </c>
      <c r="N241">
        <v>3.9</v>
      </c>
      <c r="O241" s="37">
        <f t="shared" si="31"/>
        <v>-3.9</v>
      </c>
      <c r="P241">
        <f t="shared" si="26"/>
        <v>184.10000000000002</v>
      </c>
      <c r="Q241">
        <v>200</v>
      </c>
      <c r="R241" s="38">
        <f t="shared" si="30"/>
        <v>1.1281249999999998</v>
      </c>
      <c r="S241" s="38">
        <f t="shared" si="32"/>
        <v>4.3996874999999989</v>
      </c>
      <c r="T241" s="38">
        <f t="shared" si="33"/>
        <v>-4.3996874999999989</v>
      </c>
      <c r="U241" s="85">
        <f t="shared" si="35"/>
        <v>134.37281249999995</v>
      </c>
      <c r="W241">
        <v>1984.2</v>
      </c>
      <c r="Y241">
        <f t="shared" si="36"/>
        <v>109969.49999999991</v>
      </c>
      <c r="Z241">
        <f t="shared" si="27"/>
        <v>25653.200000000004</v>
      </c>
      <c r="AA241">
        <v>12.197244362554839</v>
      </c>
    </row>
    <row r="242" spans="1:28" x14ac:dyDescent="0.25">
      <c r="A242">
        <v>6440</v>
      </c>
      <c r="B242">
        <v>26330</v>
      </c>
      <c r="C242" s="1">
        <v>42820</v>
      </c>
      <c r="F242" s="67"/>
      <c r="G242">
        <v>11.1</v>
      </c>
      <c r="H242">
        <v>6.2</v>
      </c>
      <c r="I242">
        <v>15.1</v>
      </c>
      <c r="J242">
        <f t="shared" si="34"/>
        <v>1582.0000000000005</v>
      </c>
      <c r="K242">
        <f t="shared" si="29"/>
        <v>357.5</v>
      </c>
      <c r="M242" s="83">
        <v>0</v>
      </c>
      <c r="N242">
        <v>3.4</v>
      </c>
      <c r="O242" s="37">
        <f t="shared" si="31"/>
        <v>-3.4</v>
      </c>
      <c r="P242">
        <f t="shared" si="26"/>
        <v>180.70000000000002</v>
      </c>
      <c r="Q242">
        <v>201</v>
      </c>
      <c r="R242" s="38">
        <f t="shared" si="30"/>
        <v>1.1312499999999999</v>
      </c>
      <c r="S242" s="38">
        <f t="shared" si="32"/>
        <v>3.8462499999999995</v>
      </c>
      <c r="T242" s="38">
        <f t="shared" si="33"/>
        <v>-3.8462499999999995</v>
      </c>
      <c r="U242" s="85">
        <f t="shared" si="35"/>
        <v>130.52656249999995</v>
      </c>
      <c r="W242">
        <v>2010.2</v>
      </c>
      <c r="Y242">
        <f t="shared" si="36"/>
        <v>111979.69999999991</v>
      </c>
      <c r="Z242">
        <f t="shared" si="27"/>
        <v>27663.400000000005</v>
      </c>
      <c r="AA242">
        <v>12.262954649672832</v>
      </c>
    </row>
    <row r="243" spans="1:28" x14ac:dyDescent="0.25">
      <c r="A243">
        <v>6440</v>
      </c>
      <c r="B243">
        <v>26330</v>
      </c>
      <c r="C243" s="1">
        <v>42821</v>
      </c>
      <c r="F243" s="67"/>
      <c r="G243">
        <v>11.3</v>
      </c>
      <c r="H243">
        <v>5.7</v>
      </c>
      <c r="I243">
        <v>16.600000000000001</v>
      </c>
      <c r="J243">
        <f t="shared" si="34"/>
        <v>1593.3000000000004</v>
      </c>
      <c r="K243">
        <f t="shared" si="29"/>
        <v>368.8</v>
      </c>
      <c r="M243" s="83">
        <v>0</v>
      </c>
      <c r="N243">
        <v>3</v>
      </c>
      <c r="O243" s="37">
        <f t="shared" si="31"/>
        <v>-3</v>
      </c>
      <c r="P243">
        <f t="shared" si="26"/>
        <v>177.70000000000002</v>
      </c>
      <c r="Q243">
        <v>202</v>
      </c>
      <c r="R243" s="38">
        <f t="shared" si="30"/>
        <v>1.1343749999999999</v>
      </c>
      <c r="S243" s="38">
        <f t="shared" si="32"/>
        <v>3.4031249999999997</v>
      </c>
      <c r="T243" s="38">
        <f t="shared" si="33"/>
        <v>-3.4031249999999997</v>
      </c>
      <c r="U243" s="85">
        <f t="shared" si="35"/>
        <v>127.12343749999995</v>
      </c>
      <c r="W243">
        <v>2035.3</v>
      </c>
      <c r="Y243">
        <f t="shared" si="36"/>
        <v>114014.99999999991</v>
      </c>
      <c r="Z243">
        <f t="shared" si="27"/>
        <v>29698.700000000004</v>
      </c>
      <c r="AA243">
        <v>12.328632403930596</v>
      </c>
    </row>
    <row r="244" spans="1:28" x14ac:dyDescent="0.25">
      <c r="A244">
        <v>6440</v>
      </c>
      <c r="B244">
        <v>26330</v>
      </c>
      <c r="C244" s="1">
        <v>42822</v>
      </c>
      <c r="F244" s="67"/>
      <c r="G244">
        <v>11.8</v>
      </c>
      <c r="H244">
        <v>5.0999999999999996</v>
      </c>
      <c r="I244">
        <v>19.5</v>
      </c>
      <c r="J244">
        <f t="shared" si="34"/>
        <v>1605.1000000000004</v>
      </c>
      <c r="K244">
        <f t="shared" si="29"/>
        <v>380.6</v>
      </c>
      <c r="M244" s="83">
        <v>0.3</v>
      </c>
      <c r="N244">
        <v>3.1</v>
      </c>
      <c r="O244" s="37">
        <f t="shared" si="31"/>
        <v>-2.8000000000000003</v>
      </c>
      <c r="P244">
        <f t="shared" ref="P244:P307" si="37">P243+O244</f>
        <v>174.9</v>
      </c>
      <c r="Q244">
        <v>203</v>
      </c>
      <c r="R244" s="38">
        <f t="shared" si="30"/>
        <v>1.1375</v>
      </c>
      <c r="S244" s="38">
        <f t="shared" si="32"/>
        <v>3.5262500000000001</v>
      </c>
      <c r="T244" s="38">
        <f t="shared" si="33"/>
        <v>-3.2262500000000003</v>
      </c>
      <c r="U244" s="85">
        <f t="shared" si="35"/>
        <v>123.89718749999994</v>
      </c>
      <c r="W244">
        <v>1913.2</v>
      </c>
      <c r="Y244">
        <f t="shared" si="36"/>
        <v>115928.19999999991</v>
      </c>
      <c r="Z244">
        <f t="shared" si="27"/>
        <v>31611.900000000005</v>
      </c>
      <c r="AA244">
        <v>12.394269362221118</v>
      </c>
    </row>
    <row r="245" spans="1:28" x14ac:dyDescent="0.25">
      <c r="A245">
        <v>6440</v>
      </c>
      <c r="B245">
        <v>26330</v>
      </c>
      <c r="C245" s="1">
        <v>42823</v>
      </c>
      <c r="F245" s="67"/>
      <c r="G245">
        <v>13.2</v>
      </c>
      <c r="H245">
        <v>9.6</v>
      </c>
      <c r="I245">
        <v>16.399999999999999</v>
      </c>
      <c r="J245">
        <f t="shared" si="34"/>
        <v>1618.3000000000004</v>
      </c>
      <c r="K245">
        <f t="shared" si="29"/>
        <v>393.8</v>
      </c>
      <c r="M245" s="83">
        <v>0</v>
      </c>
      <c r="N245">
        <v>1.7</v>
      </c>
      <c r="O245" s="37">
        <f t="shared" si="31"/>
        <v>-1.7</v>
      </c>
      <c r="P245">
        <f t="shared" si="37"/>
        <v>173.20000000000002</v>
      </c>
      <c r="Q245">
        <v>204</v>
      </c>
      <c r="R245" s="38">
        <f t="shared" si="30"/>
        <v>1.140625</v>
      </c>
      <c r="S245" s="38">
        <f t="shared" si="32"/>
        <v>1.9390624999999999</v>
      </c>
      <c r="T245" s="38">
        <f t="shared" si="33"/>
        <v>-1.9390624999999999</v>
      </c>
      <c r="U245" s="85">
        <f t="shared" si="35"/>
        <v>121.95812499999994</v>
      </c>
      <c r="W245">
        <v>715.5</v>
      </c>
      <c r="Y245">
        <f t="shared" si="36"/>
        <v>116643.69999999991</v>
      </c>
      <c r="Z245">
        <f t="shared" si="27"/>
        <v>32327.400000000005</v>
      </c>
      <c r="AA245">
        <v>12.459857174906244</v>
      </c>
    </row>
    <row r="246" spans="1:28" x14ac:dyDescent="0.25">
      <c r="A246">
        <v>6440</v>
      </c>
      <c r="B246">
        <v>26330</v>
      </c>
      <c r="C246" s="1">
        <v>42824</v>
      </c>
      <c r="F246" s="67"/>
      <c r="G246">
        <v>15.6</v>
      </c>
      <c r="H246">
        <v>9.9</v>
      </c>
      <c r="I246">
        <v>21.2</v>
      </c>
      <c r="J246">
        <f t="shared" si="34"/>
        <v>1633.9000000000003</v>
      </c>
      <c r="K246">
        <f t="shared" si="29"/>
        <v>409.40000000000003</v>
      </c>
      <c r="M246" s="83">
        <v>0</v>
      </c>
      <c r="N246">
        <v>3.3</v>
      </c>
      <c r="O246" s="37">
        <f t="shared" si="31"/>
        <v>-3.3</v>
      </c>
      <c r="P246">
        <f t="shared" si="37"/>
        <v>169.9</v>
      </c>
      <c r="Q246">
        <v>205</v>
      </c>
      <c r="R246" s="38">
        <f t="shared" si="30"/>
        <v>1.1437499999999998</v>
      </c>
      <c r="S246" s="38">
        <f t="shared" si="32"/>
        <v>3.7743749999999991</v>
      </c>
      <c r="T246" s="38">
        <f t="shared" si="33"/>
        <v>-3.7743749999999991</v>
      </c>
      <c r="U246" s="85">
        <f t="shared" si="35"/>
        <v>118.18374999999995</v>
      </c>
      <c r="W246">
        <v>1605.1</v>
      </c>
      <c r="Y246">
        <f t="shared" si="36"/>
        <v>118248.79999999992</v>
      </c>
      <c r="Z246">
        <f t="shared" si="27"/>
        <v>33932.500000000007</v>
      </c>
      <c r="AA246">
        <v>12.525387388575778</v>
      </c>
    </row>
    <row r="247" spans="1:28" x14ac:dyDescent="0.25">
      <c r="A247">
        <v>6440</v>
      </c>
      <c r="B247">
        <v>26330</v>
      </c>
      <c r="C247" s="1">
        <v>42825</v>
      </c>
      <c r="F247" s="67"/>
      <c r="G247">
        <v>12.9</v>
      </c>
      <c r="H247">
        <v>11</v>
      </c>
      <c r="I247">
        <v>15</v>
      </c>
      <c r="J247">
        <f t="shared" si="34"/>
        <v>1646.8000000000004</v>
      </c>
      <c r="K247">
        <f t="shared" si="29"/>
        <v>422.3</v>
      </c>
      <c r="M247" s="83">
        <v>1</v>
      </c>
      <c r="N247">
        <v>1.1000000000000001</v>
      </c>
      <c r="O247" s="37">
        <f t="shared" si="31"/>
        <v>-0.10000000000000009</v>
      </c>
      <c r="P247">
        <f t="shared" si="37"/>
        <v>169.8</v>
      </c>
      <c r="Q247">
        <v>206</v>
      </c>
      <c r="R247" s="38">
        <f t="shared" si="30"/>
        <v>1.1468749999999999</v>
      </c>
      <c r="S247" s="38">
        <f t="shared" si="32"/>
        <v>1.2615624999999999</v>
      </c>
      <c r="T247" s="38">
        <f t="shared" si="33"/>
        <v>-0.26156249999999992</v>
      </c>
      <c r="U247" s="85">
        <f t="shared" si="35"/>
        <v>117.92218749999995</v>
      </c>
      <c r="W247">
        <v>916.9</v>
      </c>
      <c r="Y247">
        <f t="shared" si="36"/>
        <v>119165.69999999991</v>
      </c>
      <c r="Z247">
        <f t="shared" si="27"/>
        <v>34849.400000000009</v>
      </c>
      <c r="AA247">
        <v>12.590851428844617</v>
      </c>
    </row>
    <row r="248" spans="1:28" s="13" customFormat="1" ht="15.75" thickBot="1" x14ac:dyDescent="0.3">
      <c r="A248" s="13">
        <v>6440</v>
      </c>
      <c r="B248" s="13">
        <v>26330</v>
      </c>
      <c r="C248" s="14">
        <v>42826</v>
      </c>
      <c r="F248" s="67"/>
      <c r="G248" s="13">
        <v>11.5</v>
      </c>
      <c r="H248" s="13">
        <v>8.9</v>
      </c>
      <c r="I248" s="13">
        <v>14.7</v>
      </c>
      <c r="J248" s="13">
        <f t="shared" si="34"/>
        <v>1658.3000000000004</v>
      </c>
      <c r="K248" s="13">
        <f t="shared" si="29"/>
        <v>433.8</v>
      </c>
      <c r="L248" s="26"/>
      <c r="M248" s="84">
        <v>0.1</v>
      </c>
      <c r="N248" s="13">
        <v>1.2</v>
      </c>
      <c r="O248" s="15">
        <f t="shared" si="31"/>
        <v>-1.0999999999999999</v>
      </c>
      <c r="P248" s="13">
        <f t="shared" si="37"/>
        <v>168.70000000000002</v>
      </c>
      <c r="Q248" s="13">
        <v>207</v>
      </c>
      <c r="R248" s="38">
        <f t="shared" si="30"/>
        <v>1.1499999999999999</v>
      </c>
      <c r="S248" s="47">
        <f t="shared" si="32"/>
        <v>1.38</v>
      </c>
      <c r="T248" s="47">
        <f t="shared" si="33"/>
        <v>-1.2799999999999998</v>
      </c>
      <c r="U248" s="85">
        <f t="shared" si="35"/>
        <v>116.64218749999995</v>
      </c>
      <c r="W248" s="13">
        <v>813.2</v>
      </c>
      <c r="Y248" s="13">
        <f t="shared" si="36"/>
        <v>119978.89999999991</v>
      </c>
      <c r="Z248" s="13">
        <f t="shared" si="27"/>
        <v>35662.600000000006</v>
      </c>
      <c r="AA248" s="13">
        <v>12.656240583196148</v>
      </c>
    </row>
    <row r="249" spans="1:28" x14ac:dyDescent="0.25">
      <c r="A249">
        <v>6440</v>
      </c>
      <c r="B249">
        <v>26330</v>
      </c>
      <c r="C249" s="1">
        <v>42827</v>
      </c>
      <c r="D249" t="s">
        <v>62</v>
      </c>
      <c r="F249" s="68" t="s">
        <v>25</v>
      </c>
      <c r="G249">
        <v>10.4</v>
      </c>
      <c r="H249">
        <v>4.7</v>
      </c>
      <c r="I249">
        <v>16.600000000000001</v>
      </c>
      <c r="J249">
        <f t="shared" si="34"/>
        <v>1668.7000000000005</v>
      </c>
      <c r="K249">
        <f>G249</f>
        <v>10.4</v>
      </c>
      <c r="L249" s="30" t="s">
        <v>29</v>
      </c>
      <c r="M249" s="83">
        <v>0</v>
      </c>
      <c r="N249">
        <v>1.8</v>
      </c>
      <c r="O249" s="37">
        <f t="shared" si="31"/>
        <v>-1.8</v>
      </c>
      <c r="P249" s="41">
        <f t="shared" si="37"/>
        <v>166.9</v>
      </c>
      <c r="Q249" s="41">
        <v>208</v>
      </c>
      <c r="R249" s="42">
        <v>1.1499999999999999</v>
      </c>
      <c r="S249" s="42">
        <f t="shared" si="32"/>
        <v>2.0699999999999998</v>
      </c>
      <c r="T249" s="42">
        <f t="shared" si="33"/>
        <v>-2.0699999999999998</v>
      </c>
      <c r="U249" s="85">
        <f t="shared" si="35"/>
        <v>114.57218749999996</v>
      </c>
      <c r="V249" s="6" t="s">
        <v>51</v>
      </c>
      <c r="W249" s="41">
        <v>1295.2</v>
      </c>
      <c r="X249" s="41"/>
      <c r="Y249" s="41">
        <f t="shared" si="36"/>
        <v>121274.0999999999</v>
      </c>
      <c r="Z249" s="41">
        <f>W249</f>
        <v>1295.2</v>
      </c>
      <c r="AA249" s="41">
        <v>12.721545983881166</v>
      </c>
      <c r="AB249" s="6" t="s">
        <v>56</v>
      </c>
    </row>
    <row r="250" spans="1:28" s="48" customFormat="1" x14ac:dyDescent="0.25">
      <c r="A250" s="48">
        <v>6440</v>
      </c>
      <c r="B250" s="48">
        <v>26330</v>
      </c>
      <c r="C250" s="49">
        <v>42828</v>
      </c>
      <c r="D250" s="50"/>
      <c r="F250" s="68"/>
      <c r="G250" s="48">
        <v>10.9</v>
      </c>
      <c r="H250" s="48">
        <v>4.7</v>
      </c>
      <c r="I250" s="48">
        <v>15.5</v>
      </c>
      <c r="J250" s="48">
        <f t="shared" si="34"/>
        <v>1679.6000000000006</v>
      </c>
      <c r="K250" s="48">
        <f t="shared" si="29"/>
        <v>21.3</v>
      </c>
      <c r="L250" s="22">
        <v>205.5</v>
      </c>
      <c r="M250" s="48">
        <v>0</v>
      </c>
      <c r="N250" s="48">
        <v>2.7</v>
      </c>
      <c r="O250" s="50">
        <f t="shared" si="31"/>
        <v>-2.7</v>
      </c>
      <c r="P250" s="48">
        <f t="shared" si="37"/>
        <v>164.20000000000002</v>
      </c>
      <c r="Q250" s="48">
        <v>209</v>
      </c>
      <c r="R250" s="51">
        <v>1.1499999999999999</v>
      </c>
      <c r="S250" s="51">
        <f t="shared" si="32"/>
        <v>3.105</v>
      </c>
      <c r="T250" s="51">
        <f t="shared" si="33"/>
        <v>-3.105</v>
      </c>
      <c r="U250" s="38">
        <f t="shared" si="35"/>
        <v>111.46718749999995</v>
      </c>
      <c r="V250">
        <v>0</v>
      </c>
      <c r="W250" s="48">
        <v>1863.6</v>
      </c>
      <c r="Y250" s="48">
        <f t="shared" si="36"/>
        <v>123137.69999999991</v>
      </c>
      <c r="Z250" s="48">
        <f t="shared" si="27"/>
        <v>3158.8</v>
      </c>
      <c r="AA250" s="48">
        <v>12.78675859088259</v>
      </c>
      <c r="AB250">
        <v>26410.1</v>
      </c>
    </row>
    <row r="251" spans="1:28" ht="15" customHeight="1" x14ac:dyDescent="0.25">
      <c r="A251">
        <v>6440</v>
      </c>
      <c r="B251">
        <v>26330</v>
      </c>
      <c r="C251" s="1">
        <v>42829</v>
      </c>
      <c r="F251" s="68"/>
      <c r="G251">
        <v>10.4</v>
      </c>
      <c r="H251">
        <v>5.6</v>
      </c>
      <c r="I251">
        <v>14.8</v>
      </c>
      <c r="J251">
        <f t="shared" si="34"/>
        <v>1690.0000000000007</v>
      </c>
      <c r="K251" s="48">
        <f t="shared" si="29"/>
        <v>31.700000000000003</v>
      </c>
      <c r="L251" s="30" t="s">
        <v>30</v>
      </c>
      <c r="M251">
        <v>0.3</v>
      </c>
      <c r="N251">
        <v>1.9</v>
      </c>
      <c r="O251" s="37">
        <f t="shared" si="31"/>
        <v>-1.5999999999999999</v>
      </c>
      <c r="P251">
        <f t="shared" si="37"/>
        <v>162.60000000000002</v>
      </c>
      <c r="Q251">
        <v>210</v>
      </c>
      <c r="R251">
        <v>1.1499999999999999</v>
      </c>
      <c r="S251" s="38">
        <f t="shared" si="32"/>
        <v>2.1849999999999996</v>
      </c>
      <c r="T251" s="38">
        <f t="shared" si="33"/>
        <v>-1.8849999999999996</v>
      </c>
      <c r="U251" s="38">
        <f t="shared" si="35"/>
        <v>109.58218749999995</v>
      </c>
      <c r="V251" s="6" t="s">
        <v>52</v>
      </c>
      <c r="W251">
        <v>1091.8</v>
      </c>
      <c r="Y251">
        <f t="shared" si="36"/>
        <v>124229.49999999991</v>
      </c>
      <c r="Z251" s="48">
        <f t="shared" si="27"/>
        <v>4250.6000000000004</v>
      </c>
      <c r="AA251">
        <v>12.851869174957388</v>
      </c>
      <c r="AB251" s="6" t="s">
        <v>57</v>
      </c>
    </row>
    <row r="252" spans="1:28" x14ac:dyDescent="0.25">
      <c r="A252">
        <v>6440</v>
      </c>
      <c r="B252">
        <v>26330</v>
      </c>
      <c r="C252" s="1">
        <v>42830</v>
      </c>
      <c r="F252" s="68"/>
      <c r="G252">
        <v>10.1</v>
      </c>
      <c r="H252">
        <v>8.1999999999999993</v>
      </c>
      <c r="I252">
        <v>13.9</v>
      </c>
      <c r="J252">
        <f t="shared" si="34"/>
        <v>1700.1000000000006</v>
      </c>
      <c r="K252" s="48">
        <f t="shared" si="29"/>
        <v>41.800000000000004</v>
      </c>
      <c r="L252" s="22">
        <f>AVERAGE(G249:G269)</f>
        <v>9.7857142857142865</v>
      </c>
      <c r="M252">
        <v>0</v>
      </c>
      <c r="N252">
        <v>1.8</v>
      </c>
      <c r="O252" s="37">
        <f t="shared" si="31"/>
        <v>-1.8</v>
      </c>
      <c r="P252">
        <f t="shared" si="37"/>
        <v>160.80000000000001</v>
      </c>
      <c r="Q252">
        <v>211</v>
      </c>
      <c r="R252">
        <v>1.1499999999999999</v>
      </c>
      <c r="S252" s="38">
        <f t="shared" si="32"/>
        <v>2.0699999999999998</v>
      </c>
      <c r="T252" s="38">
        <f t="shared" si="33"/>
        <v>-2.0699999999999998</v>
      </c>
      <c r="U252" s="38">
        <f t="shared" si="35"/>
        <v>107.51218749999995</v>
      </c>
      <c r="V252">
        <v>0</v>
      </c>
      <c r="W252">
        <v>902.5</v>
      </c>
      <c r="Y252">
        <f t="shared" si="36"/>
        <v>125131.99999999991</v>
      </c>
      <c r="Z252" s="48">
        <f t="shared" si="27"/>
        <v>5153.1000000000004</v>
      </c>
      <c r="AA252">
        <v>12.916868300768535</v>
      </c>
      <c r="AB252" s="38">
        <f>(AB250/100)/L250</f>
        <v>1.2851630170316302</v>
      </c>
    </row>
    <row r="253" spans="1:28" x14ac:dyDescent="0.25">
      <c r="A253">
        <v>6440</v>
      </c>
      <c r="B253">
        <v>26330</v>
      </c>
      <c r="C253" s="1">
        <v>42831</v>
      </c>
      <c r="F253" s="68"/>
      <c r="G253">
        <v>8.3000000000000007</v>
      </c>
      <c r="H253">
        <v>4.4000000000000004</v>
      </c>
      <c r="I253">
        <v>12.4</v>
      </c>
      <c r="J253">
        <f t="shared" si="34"/>
        <v>1708.4000000000005</v>
      </c>
      <c r="K253" s="48">
        <f t="shared" si="29"/>
        <v>50.100000000000009</v>
      </c>
      <c r="L253" s="30" t="s">
        <v>31</v>
      </c>
      <c r="M253">
        <v>0</v>
      </c>
      <c r="N253">
        <v>1.3</v>
      </c>
      <c r="O253" s="37">
        <f t="shared" si="31"/>
        <v>-1.3</v>
      </c>
      <c r="P253">
        <f t="shared" si="37"/>
        <v>159.5</v>
      </c>
      <c r="Q253">
        <v>212</v>
      </c>
      <c r="R253">
        <v>1.1499999999999999</v>
      </c>
      <c r="S253" s="38">
        <f t="shared" si="32"/>
        <v>1.4949999999999999</v>
      </c>
      <c r="T253" s="38">
        <f t="shared" si="33"/>
        <v>-1.4949999999999999</v>
      </c>
      <c r="U253" s="38">
        <f t="shared" si="35"/>
        <v>106.01718749999995</v>
      </c>
      <c r="V253" s="6" t="s">
        <v>53</v>
      </c>
      <c r="W253">
        <v>849.9</v>
      </c>
      <c r="Y253">
        <f t="shared" si="36"/>
        <v>125981.89999999991</v>
      </c>
      <c r="Z253" s="48">
        <f t="shared" si="27"/>
        <v>6003</v>
      </c>
      <c r="AA253">
        <v>12.981746310121213</v>
      </c>
      <c r="AB253" s="6" t="s">
        <v>58</v>
      </c>
    </row>
    <row r="254" spans="1:28" x14ac:dyDescent="0.25">
      <c r="A254">
        <v>6440</v>
      </c>
      <c r="B254">
        <v>26330</v>
      </c>
      <c r="C254" s="1">
        <v>42832</v>
      </c>
      <c r="F254" s="68"/>
      <c r="G254">
        <v>9</v>
      </c>
      <c r="H254">
        <v>2.9</v>
      </c>
      <c r="I254">
        <v>15.3</v>
      </c>
      <c r="J254">
        <f t="shared" si="34"/>
        <v>1717.4000000000005</v>
      </c>
      <c r="K254" s="48">
        <f t="shared" si="29"/>
        <v>59.100000000000009</v>
      </c>
      <c r="L254" s="25">
        <f>MIN(H249:H269)</f>
        <v>-0.1</v>
      </c>
      <c r="M254">
        <v>0</v>
      </c>
      <c r="N254">
        <v>1.9</v>
      </c>
      <c r="O254" s="37">
        <f t="shared" si="31"/>
        <v>-1.9</v>
      </c>
      <c r="P254">
        <f t="shared" si="37"/>
        <v>157.6</v>
      </c>
      <c r="Q254">
        <v>213</v>
      </c>
      <c r="R254">
        <v>1.1499999999999999</v>
      </c>
      <c r="S254" s="38">
        <f t="shared" si="32"/>
        <v>2.1849999999999996</v>
      </c>
      <c r="T254" s="38">
        <f t="shared" si="33"/>
        <v>-2.1849999999999996</v>
      </c>
      <c r="U254" s="38">
        <f t="shared" si="35"/>
        <v>103.83218749999995</v>
      </c>
      <c r="V254" s="38">
        <f>MIN(U249:U269)</f>
        <v>70.957187499999947</v>
      </c>
      <c r="W254">
        <v>1509.3</v>
      </c>
      <c r="Y254">
        <f t="shared" si="36"/>
        <v>127491.19999999991</v>
      </c>
      <c r="Z254" s="48">
        <f t="shared" ref="Z254:Z317" si="38">Z253+W254</f>
        <v>7512.3</v>
      </c>
      <c r="AA254">
        <v>13.046493305319103</v>
      </c>
      <c r="AB254">
        <v>7</v>
      </c>
    </row>
    <row r="255" spans="1:28" x14ac:dyDescent="0.25">
      <c r="A255">
        <v>6440</v>
      </c>
      <c r="B255">
        <v>26330</v>
      </c>
      <c r="C255" s="1">
        <v>42833</v>
      </c>
      <c r="F255" s="68"/>
      <c r="G255">
        <v>9.8000000000000007</v>
      </c>
      <c r="H255">
        <v>1.6</v>
      </c>
      <c r="I255">
        <v>15.5</v>
      </c>
      <c r="J255">
        <f t="shared" si="34"/>
        <v>1727.2000000000005</v>
      </c>
      <c r="K255" s="48">
        <f t="shared" si="29"/>
        <v>68.900000000000006</v>
      </c>
      <c r="L255" s="30" t="s">
        <v>32</v>
      </c>
      <c r="M255">
        <v>0</v>
      </c>
      <c r="N255">
        <v>2.8</v>
      </c>
      <c r="O255" s="37">
        <f t="shared" si="31"/>
        <v>-2.8</v>
      </c>
      <c r="P255">
        <f t="shared" si="37"/>
        <v>154.79999999999998</v>
      </c>
      <c r="Q255">
        <v>214</v>
      </c>
      <c r="R255">
        <v>1.1499999999999999</v>
      </c>
      <c r="S255" s="38">
        <f t="shared" si="32"/>
        <v>3.2199999999999998</v>
      </c>
      <c r="T255" s="38">
        <f t="shared" si="33"/>
        <v>-3.2199999999999998</v>
      </c>
      <c r="U255" s="38">
        <f t="shared" si="35"/>
        <v>100.61218749999995</v>
      </c>
      <c r="V255" s="6" t="s">
        <v>54</v>
      </c>
      <c r="W255">
        <v>2180.3000000000002</v>
      </c>
      <c r="Y255">
        <f t="shared" si="36"/>
        <v>129671.49999999991</v>
      </c>
      <c r="Z255" s="48">
        <f t="shared" si="38"/>
        <v>9692.6</v>
      </c>
      <c r="AA255">
        <v>13.111099132658394</v>
      </c>
    </row>
    <row r="256" spans="1:28" x14ac:dyDescent="0.25">
      <c r="A256">
        <v>6440</v>
      </c>
      <c r="B256">
        <v>26330</v>
      </c>
      <c r="C256" s="1">
        <v>42834</v>
      </c>
      <c r="F256" s="68"/>
      <c r="G256">
        <v>14.5</v>
      </c>
      <c r="H256">
        <v>5.5</v>
      </c>
      <c r="I256">
        <v>20.8</v>
      </c>
      <c r="J256">
        <f t="shared" si="34"/>
        <v>1741.7000000000005</v>
      </c>
      <c r="K256" s="48">
        <f t="shared" si="29"/>
        <v>83.4</v>
      </c>
      <c r="L256" s="22">
        <f>MAX(I249:I269)</f>
        <v>20.8</v>
      </c>
      <c r="M256">
        <v>0</v>
      </c>
      <c r="N256">
        <v>3.8</v>
      </c>
      <c r="O256" s="37">
        <f t="shared" si="31"/>
        <v>-3.8</v>
      </c>
      <c r="P256">
        <f t="shared" si="37"/>
        <v>150.99999999999997</v>
      </c>
      <c r="Q256">
        <v>215</v>
      </c>
      <c r="R256">
        <v>1.1499999999999999</v>
      </c>
      <c r="S256" s="38">
        <f t="shared" si="32"/>
        <v>4.3699999999999992</v>
      </c>
      <c r="T256" s="38">
        <f t="shared" si="33"/>
        <v>-4.3699999999999992</v>
      </c>
      <c r="U256" s="38">
        <f t="shared" si="35"/>
        <v>96.242187499999943</v>
      </c>
      <c r="V256" s="38">
        <f>MAX(U249:U269)</f>
        <v>114.57218749999996</v>
      </c>
      <c r="W256">
        <v>2306.6</v>
      </c>
      <c r="Y256">
        <f t="shared" si="36"/>
        <v>131978.09999999992</v>
      </c>
      <c r="Z256" s="48">
        <f t="shared" si="38"/>
        <v>11999.2</v>
      </c>
      <c r="AA256">
        <v>13.175553366078949</v>
      </c>
    </row>
    <row r="257" spans="1:28" x14ac:dyDescent="0.25">
      <c r="A257">
        <v>6440</v>
      </c>
      <c r="B257">
        <v>26330</v>
      </c>
      <c r="C257" s="1">
        <v>42835</v>
      </c>
      <c r="F257" s="68"/>
      <c r="G257">
        <v>11</v>
      </c>
      <c r="H257">
        <v>10.9</v>
      </c>
      <c r="I257">
        <v>13.3</v>
      </c>
      <c r="J257">
        <f t="shared" si="34"/>
        <v>1752.7000000000005</v>
      </c>
      <c r="K257" s="48">
        <f t="shared" si="29"/>
        <v>94.4</v>
      </c>
      <c r="L257" s="30" t="s">
        <v>33</v>
      </c>
      <c r="M257">
        <v>0</v>
      </c>
      <c r="N257">
        <v>2</v>
      </c>
      <c r="O257" s="37">
        <f t="shared" si="31"/>
        <v>-2</v>
      </c>
      <c r="P257">
        <f t="shared" si="37"/>
        <v>148.99999999999997</v>
      </c>
      <c r="Q257">
        <v>216</v>
      </c>
      <c r="R257">
        <v>1.1499999999999999</v>
      </c>
      <c r="S257" s="38">
        <f t="shared" si="32"/>
        <v>2.2999999999999998</v>
      </c>
      <c r="T257" s="38">
        <f t="shared" si="33"/>
        <v>-2.2999999999999998</v>
      </c>
      <c r="U257" s="38">
        <f t="shared" si="35"/>
        <v>93.942187499999946</v>
      </c>
      <c r="V257" s="6" t="s">
        <v>55</v>
      </c>
      <c r="W257">
        <v>652.20000000000005</v>
      </c>
      <c r="Y257">
        <f t="shared" si="36"/>
        <v>132630.29999999993</v>
      </c>
      <c r="Z257" s="48">
        <f t="shared" si="38"/>
        <v>12651.400000000001</v>
      </c>
      <c r="AA257">
        <v>13.2398452909942</v>
      </c>
    </row>
    <row r="258" spans="1:28" x14ac:dyDescent="0.25">
      <c r="A258">
        <v>6440</v>
      </c>
      <c r="B258">
        <v>26330</v>
      </c>
      <c r="C258" s="1">
        <v>42836</v>
      </c>
      <c r="F258" s="68"/>
      <c r="G258">
        <v>9.9</v>
      </c>
      <c r="H258">
        <v>5.3</v>
      </c>
      <c r="I258">
        <v>14.3</v>
      </c>
      <c r="J258">
        <f t="shared" si="34"/>
        <v>1762.6000000000006</v>
      </c>
      <c r="K258" s="48">
        <f t="shared" si="29"/>
        <v>104.30000000000001</v>
      </c>
      <c r="L258" s="22">
        <v>0</v>
      </c>
      <c r="M258">
        <v>0</v>
      </c>
      <c r="N258">
        <v>2.1</v>
      </c>
      <c r="O258" s="37">
        <f t="shared" si="31"/>
        <v>-2.1</v>
      </c>
      <c r="P258">
        <f t="shared" si="37"/>
        <v>146.89999999999998</v>
      </c>
      <c r="Q258">
        <v>217</v>
      </c>
      <c r="R258">
        <v>1.1499999999999999</v>
      </c>
      <c r="S258" s="38">
        <f t="shared" si="32"/>
        <v>2.415</v>
      </c>
      <c r="T258" s="38">
        <f t="shared" si="33"/>
        <v>-2.415</v>
      </c>
      <c r="U258" s="38">
        <f t="shared" si="35"/>
        <v>91.52718749999994</v>
      </c>
      <c r="V258" s="38">
        <f>AVERAGE(U249:U269)</f>
        <v>91.522663690476136</v>
      </c>
      <c r="W258">
        <v>1198.4000000000001</v>
      </c>
      <c r="Y258">
        <f t="shared" si="36"/>
        <v>133828.69999999992</v>
      </c>
      <c r="Z258" s="48">
        <f t="shared" si="38"/>
        <v>13849.800000000001</v>
      </c>
      <c r="AA258">
        <v>13.303963888323443</v>
      </c>
    </row>
    <row r="259" spans="1:28" x14ac:dyDescent="0.25">
      <c r="A259">
        <v>6440</v>
      </c>
      <c r="B259">
        <v>26330</v>
      </c>
      <c r="C259" s="1">
        <v>42837</v>
      </c>
      <c r="F259" s="68"/>
      <c r="G259">
        <v>10.7</v>
      </c>
      <c r="H259">
        <v>7.7</v>
      </c>
      <c r="I259">
        <v>14.7</v>
      </c>
      <c r="J259">
        <f t="shared" si="34"/>
        <v>1773.3000000000006</v>
      </c>
      <c r="K259" s="48">
        <f t="shared" si="29"/>
        <v>115.00000000000001</v>
      </c>
      <c r="L259" s="30" t="s">
        <v>34</v>
      </c>
      <c r="M259">
        <v>0</v>
      </c>
      <c r="N259">
        <v>2</v>
      </c>
      <c r="O259" s="37">
        <f t="shared" si="31"/>
        <v>-2</v>
      </c>
      <c r="P259">
        <f t="shared" si="37"/>
        <v>144.89999999999998</v>
      </c>
      <c r="Q259">
        <v>218</v>
      </c>
      <c r="R259">
        <v>1.1499999999999999</v>
      </c>
      <c r="S259" s="38">
        <f t="shared" si="32"/>
        <v>2.2999999999999998</v>
      </c>
      <c r="T259" s="38">
        <f t="shared" si="33"/>
        <v>-2.2999999999999998</v>
      </c>
      <c r="U259" s="38">
        <f t="shared" si="35"/>
        <v>89.227187499999943</v>
      </c>
      <c r="W259">
        <v>1149.9000000000001</v>
      </c>
      <c r="Y259">
        <f t="shared" si="36"/>
        <v>134978.59999999992</v>
      </c>
      <c r="Z259" s="48">
        <f t="shared" si="38"/>
        <v>14999.7</v>
      </c>
      <c r="AA259">
        <v>13.367897818752596</v>
      </c>
    </row>
    <row r="260" spans="1:28" x14ac:dyDescent="0.25">
      <c r="A260">
        <v>6440</v>
      </c>
      <c r="B260">
        <v>26330</v>
      </c>
      <c r="C260" s="1">
        <v>42838</v>
      </c>
      <c r="F260" s="68"/>
      <c r="G260">
        <v>10.3</v>
      </c>
      <c r="H260">
        <v>6.8</v>
      </c>
      <c r="I260">
        <v>13.1</v>
      </c>
      <c r="J260">
        <f t="shared" si="34"/>
        <v>1783.6000000000006</v>
      </c>
      <c r="K260" s="48">
        <f t="shared" si="29"/>
        <v>125.30000000000001</v>
      </c>
      <c r="L260" s="22">
        <v>7</v>
      </c>
      <c r="M260">
        <v>0</v>
      </c>
      <c r="N260">
        <v>1.9</v>
      </c>
      <c r="O260" s="37">
        <f t="shared" si="31"/>
        <v>-1.9</v>
      </c>
      <c r="P260">
        <f t="shared" si="37"/>
        <v>142.99999999999997</v>
      </c>
      <c r="Q260">
        <v>219</v>
      </c>
      <c r="R260">
        <v>1.1499999999999999</v>
      </c>
      <c r="S260" s="38">
        <f t="shared" si="32"/>
        <v>2.1849999999999996</v>
      </c>
      <c r="T260" s="38">
        <f t="shared" si="33"/>
        <v>-2.1849999999999996</v>
      </c>
      <c r="U260" s="38">
        <f t="shared" si="35"/>
        <v>87.04218749999994</v>
      </c>
      <c r="V260" s="52">
        <f>(V258*100)/153.6</f>
        <v>59.585067506820401</v>
      </c>
      <c r="W260">
        <v>914.1</v>
      </c>
      <c r="Y260">
        <f t="shared" si="36"/>
        <v>135892.69999999992</v>
      </c>
      <c r="Z260" s="48">
        <f t="shared" si="38"/>
        <v>15913.800000000001</v>
      </c>
      <c r="AA260">
        <v>13.431635407251896</v>
      </c>
    </row>
    <row r="261" spans="1:28" x14ac:dyDescent="0.25">
      <c r="A261">
        <v>6440</v>
      </c>
      <c r="B261">
        <v>26330</v>
      </c>
      <c r="C261" s="1">
        <v>42839</v>
      </c>
      <c r="F261" s="68"/>
      <c r="G261">
        <v>10.6</v>
      </c>
      <c r="H261">
        <v>8</v>
      </c>
      <c r="I261">
        <v>13.2</v>
      </c>
      <c r="J261">
        <f t="shared" si="34"/>
        <v>1794.2000000000005</v>
      </c>
      <c r="K261" s="48">
        <f t="shared" si="29"/>
        <v>135.9</v>
      </c>
      <c r="L261" s="30" t="s">
        <v>35</v>
      </c>
      <c r="M261">
        <v>0</v>
      </c>
      <c r="N261">
        <v>1.6</v>
      </c>
      <c r="O261" s="37">
        <f t="shared" si="31"/>
        <v>-1.6</v>
      </c>
      <c r="P261">
        <f t="shared" si="37"/>
        <v>141.39999999999998</v>
      </c>
      <c r="Q261">
        <v>220</v>
      </c>
      <c r="R261">
        <v>1.1499999999999999</v>
      </c>
      <c r="S261" s="38">
        <f t="shared" si="32"/>
        <v>1.8399999999999999</v>
      </c>
      <c r="T261" s="38">
        <f t="shared" si="33"/>
        <v>-1.8399999999999999</v>
      </c>
      <c r="U261" s="38">
        <f t="shared" si="35"/>
        <v>85.202187499999937</v>
      </c>
      <c r="W261">
        <v>708.3</v>
      </c>
      <c r="Y261">
        <f t="shared" si="36"/>
        <v>136600.99999999991</v>
      </c>
      <c r="Z261" s="48">
        <f t="shared" si="38"/>
        <v>16622.100000000002</v>
      </c>
      <c r="AA261">
        <v>13.495164627881705</v>
      </c>
    </row>
    <row r="262" spans="1:28" x14ac:dyDescent="0.25">
      <c r="A262">
        <v>6440</v>
      </c>
      <c r="B262">
        <v>26330</v>
      </c>
      <c r="C262" s="1">
        <v>42840</v>
      </c>
      <c r="F262" s="68"/>
      <c r="G262">
        <v>10.1</v>
      </c>
      <c r="H262">
        <v>8.5</v>
      </c>
      <c r="I262">
        <v>11.3</v>
      </c>
      <c r="J262">
        <f t="shared" si="34"/>
        <v>1804.3000000000004</v>
      </c>
      <c r="K262" s="48">
        <f t="shared" si="29"/>
        <v>146</v>
      </c>
      <c r="L262" s="31">
        <v>1</v>
      </c>
      <c r="M262">
        <v>0</v>
      </c>
      <c r="N262">
        <v>1.2</v>
      </c>
      <c r="O262" s="37">
        <f t="shared" si="31"/>
        <v>-1.2</v>
      </c>
      <c r="P262">
        <f t="shared" si="37"/>
        <v>140.19999999999999</v>
      </c>
      <c r="Q262">
        <v>221</v>
      </c>
      <c r="R262">
        <v>1.1499999999999999</v>
      </c>
      <c r="S262" s="38">
        <f t="shared" si="32"/>
        <v>1.38</v>
      </c>
      <c r="T262" s="38">
        <f t="shared" si="33"/>
        <v>-1.38</v>
      </c>
      <c r="U262" s="38">
        <f t="shared" si="35"/>
        <v>83.822187499999941</v>
      </c>
      <c r="W262">
        <v>425</v>
      </c>
      <c r="Y262">
        <f t="shared" si="36"/>
        <v>137025.99999999991</v>
      </c>
      <c r="Z262" s="48">
        <f t="shared" si="38"/>
        <v>17047.100000000002</v>
      </c>
      <c r="AA262">
        <v>13.558473088920252</v>
      </c>
    </row>
    <row r="263" spans="1:28" x14ac:dyDescent="0.25">
      <c r="A263">
        <v>6440</v>
      </c>
      <c r="B263">
        <v>26330</v>
      </c>
      <c r="C263" s="1">
        <v>42841</v>
      </c>
      <c r="F263" s="68"/>
      <c r="G263">
        <v>10.1</v>
      </c>
      <c r="H263">
        <v>6.2</v>
      </c>
      <c r="I263">
        <v>13.1</v>
      </c>
      <c r="J263">
        <f t="shared" si="34"/>
        <v>1814.4000000000003</v>
      </c>
      <c r="K263" s="48">
        <f t="shared" si="29"/>
        <v>156.1</v>
      </c>
      <c r="M263">
        <v>0.5</v>
      </c>
      <c r="N263">
        <v>2.7</v>
      </c>
      <c r="O263" s="37">
        <f t="shared" si="31"/>
        <v>-2.2000000000000002</v>
      </c>
      <c r="P263">
        <f t="shared" si="37"/>
        <v>138</v>
      </c>
      <c r="Q263">
        <v>222</v>
      </c>
      <c r="R263">
        <v>1.1499999999999999</v>
      </c>
      <c r="S263" s="38">
        <f t="shared" si="32"/>
        <v>3.105</v>
      </c>
      <c r="T263" s="38">
        <f t="shared" si="33"/>
        <v>-2.605</v>
      </c>
      <c r="U263" s="38">
        <f t="shared" si="35"/>
        <v>81.217187499999937</v>
      </c>
      <c r="W263">
        <v>1678.1</v>
      </c>
      <c r="Y263">
        <f t="shared" si="36"/>
        <v>138704.09999999992</v>
      </c>
      <c r="Z263" s="48">
        <f t="shared" si="38"/>
        <v>18725.2</v>
      </c>
      <c r="AA263">
        <v>13.621548018350156</v>
      </c>
    </row>
    <row r="264" spans="1:28" x14ac:dyDescent="0.25">
      <c r="A264">
        <v>6440</v>
      </c>
      <c r="B264">
        <v>26330</v>
      </c>
      <c r="C264" s="1">
        <v>42842</v>
      </c>
      <c r="F264" s="68"/>
      <c r="G264">
        <v>8.4</v>
      </c>
      <c r="H264">
        <v>9.1</v>
      </c>
      <c r="I264">
        <v>9.6</v>
      </c>
      <c r="J264">
        <f t="shared" si="34"/>
        <v>1822.8000000000004</v>
      </c>
      <c r="K264" s="48">
        <f t="shared" si="29"/>
        <v>164.5</v>
      </c>
      <c r="M264">
        <v>1.9</v>
      </c>
      <c r="N264">
        <v>1.5</v>
      </c>
      <c r="O264" s="37">
        <f t="shared" si="31"/>
        <v>0.39999999999999991</v>
      </c>
      <c r="P264">
        <f t="shared" si="37"/>
        <v>138.4</v>
      </c>
      <c r="Q264">
        <v>223</v>
      </c>
      <c r="R264">
        <v>1.1499999999999999</v>
      </c>
      <c r="S264" s="38">
        <f t="shared" si="32"/>
        <v>1.7249999999999999</v>
      </c>
      <c r="T264" s="38">
        <f t="shared" si="33"/>
        <v>0.17500000000000004</v>
      </c>
      <c r="U264" s="38">
        <f t="shared" si="35"/>
        <v>81.392187499999935</v>
      </c>
      <c r="W264">
        <v>693.2</v>
      </c>
      <c r="Y264">
        <f t="shared" si="36"/>
        <v>139397.29999999993</v>
      </c>
      <c r="Z264" s="48">
        <f t="shared" si="38"/>
        <v>19418.400000000001</v>
      </c>
      <c r="AA264">
        <v>13.684376249743476</v>
      </c>
    </row>
    <row r="265" spans="1:28" x14ac:dyDescent="0.25">
      <c r="A265">
        <v>6440</v>
      </c>
      <c r="B265">
        <v>26330</v>
      </c>
      <c r="C265" s="1">
        <v>42843</v>
      </c>
      <c r="F265" s="68"/>
      <c r="G265">
        <v>6.6</v>
      </c>
      <c r="H265">
        <v>2.5</v>
      </c>
      <c r="I265">
        <v>9.6999999999999993</v>
      </c>
      <c r="J265">
        <f t="shared" si="34"/>
        <v>1829.4000000000003</v>
      </c>
      <c r="K265" s="48">
        <f t="shared" si="29"/>
        <v>171.1</v>
      </c>
      <c r="L265" s="31"/>
      <c r="M265">
        <v>2</v>
      </c>
      <c r="N265">
        <v>1.3</v>
      </c>
      <c r="O265" s="37">
        <f t="shared" si="31"/>
        <v>0.7</v>
      </c>
      <c r="P265">
        <f t="shared" si="37"/>
        <v>139.1</v>
      </c>
      <c r="Q265">
        <v>224</v>
      </c>
      <c r="R265">
        <v>1.1499999999999999</v>
      </c>
      <c r="S265" s="38">
        <f t="shared" si="32"/>
        <v>1.4949999999999999</v>
      </c>
      <c r="T265" s="38">
        <f t="shared" si="33"/>
        <v>0.50500000000000012</v>
      </c>
      <c r="U265" s="38">
        <f t="shared" si="35"/>
        <v>81.89718749999993</v>
      </c>
      <c r="W265">
        <v>770</v>
      </c>
      <c r="Y265">
        <f t="shared" si="36"/>
        <v>140167.29999999993</v>
      </c>
      <c r="Z265" s="48">
        <f t="shared" si="38"/>
        <v>20188.400000000001</v>
      </c>
      <c r="AA265">
        <v>13.746944208588319</v>
      </c>
    </row>
    <row r="266" spans="1:28" x14ac:dyDescent="0.25">
      <c r="A266">
        <v>6440</v>
      </c>
      <c r="B266">
        <v>26330</v>
      </c>
      <c r="C266" s="1">
        <v>42844</v>
      </c>
      <c r="F266" s="68"/>
      <c r="G266">
        <v>6.1</v>
      </c>
      <c r="H266">
        <v>3.2</v>
      </c>
      <c r="I266">
        <v>9.1</v>
      </c>
      <c r="J266">
        <f t="shared" si="34"/>
        <v>1835.5000000000002</v>
      </c>
      <c r="K266" s="48">
        <f t="shared" ref="K266:K329" si="39">K265+G266</f>
        <v>177.2</v>
      </c>
      <c r="L266" s="31"/>
      <c r="M266">
        <v>0</v>
      </c>
      <c r="N266">
        <v>3.2</v>
      </c>
      <c r="O266" s="37">
        <f t="shared" si="31"/>
        <v>-3.2</v>
      </c>
      <c r="P266">
        <f t="shared" si="37"/>
        <v>135.9</v>
      </c>
      <c r="Q266">
        <v>225</v>
      </c>
      <c r="R266">
        <v>1.1499999999999999</v>
      </c>
      <c r="S266" s="38">
        <f t="shared" si="32"/>
        <v>3.6799999999999997</v>
      </c>
      <c r="T266" s="38">
        <f t="shared" si="33"/>
        <v>-3.6799999999999997</v>
      </c>
      <c r="U266" s="38">
        <f t="shared" si="35"/>
        <v>78.217187499999937</v>
      </c>
      <c r="W266">
        <v>2086.6</v>
      </c>
      <c r="Y266">
        <f t="shared" si="36"/>
        <v>142253.89999999994</v>
      </c>
      <c r="Z266" s="48">
        <f t="shared" si="38"/>
        <v>22275</v>
      </c>
      <c r="AA266">
        <v>13.809237899103213</v>
      </c>
    </row>
    <row r="267" spans="1:28" x14ac:dyDescent="0.25">
      <c r="A267">
        <v>6440</v>
      </c>
      <c r="B267">
        <v>26330</v>
      </c>
      <c r="C267" s="1">
        <v>42845</v>
      </c>
      <c r="F267" s="68"/>
      <c r="G267">
        <v>7</v>
      </c>
      <c r="H267">
        <v>-0.1</v>
      </c>
      <c r="I267">
        <v>12</v>
      </c>
      <c r="J267">
        <f t="shared" si="34"/>
        <v>1842.5000000000002</v>
      </c>
      <c r="K267" s="48">
        <f t="shared" si="39"/>
        <v>184.2</v>
      </c>
      <c r="L267" s="31"/>
      <c r="M267">
        <v>0</v>
      </c>
      <c r="N267">
        <v>3.1</v>
      </c>
      <c r="O267" s="37">
        <f t="shared" si="31"/>
        <v>-3.1</v>
      </c>
      <c r="P267">
        <f t="shared" si="37"/>
        <v>132.80000000000001</v>
      </c>
      <c r="Q267">
        <v>226</v>
      </c>
      <c r="R267">
        <v>1.1499999999999999</v>
      </c>
      <c r="S267" s="38">
        <f t="shared" si="32"/>
        <v>3.5649999999999999</v>
      </c>
      <c r="T267" s="38">
        <f t="shared" si="33"/>
        <v>-3.5649999999999999</v>
      </c>
      <c r="U267" s="38">
        <f t="shared" si="35"/>
        <v>74.65218749999994</v>
      </c>
      <c r="W267">
        <v>2405.8000000000002</v>
      </c>
      <c r="Y267">
        <f t="shared" si="36"/>
        <v>144659.69999999992</v>
      </c>
      <c r="Z267" s="48">
        <f t="shared" si="38"/>
        <v>24680.799999999999</v>
      </c>
      <c r="AA267">
        <v>13.871242891588912</v>
      </c>
    </row>
    <row r="268" spans="1:28" x14ac:dyDescent="0.25">
      <c r="A268">
        <v>6440</v>
      </c>
      <c r="B268">
        <v>26330</v>
      </c>
      <c r="C268" s="1">
        <v>42846</v>
      </c>
      <c r="D268" s="4"/>
      <c r="F268" s="68"/>
      <c r="G268">
        <v>11.4</v>
      </c>
      <c r="H268">
        <v>6.6</v>
      </c>
      <c r="I268">
        <v>14.5</v>
      </c>
      <c r="J268">
        <f t="shared" si="34"/>
        <v>1853.9000000000003</v>
      </c>
      <c r="K268" s="48">
        <f t="shared" si="39"/>
        <v>195.6</v>
      </c>
      <c r="L268" s="31"/>
      <c r="M268">
        <v>0</v>
      </c>
      <c r="N268">
        <v>1.4</v>
      </c>
      <c r="O268" s="37">
        <f t="shared" si="31"/>
        <v>-1.4</v>
      </c>
      <c r="P268">
        <f t="shared" si="37"/>
        <v>131.4</v>
      </c>
      <c r="Q268">
        <v>227</v>
      </c>
      <c r="R268">
        <v>1.1499999999999999</v>
      </c>
      <c r="S268" s="38">
        <f t="shared" si="32"/>
        <v>1.6099999999999999</v>
      </c>
      <c r="T268" s="38">
        <f t="shared" si="33"/>
        <v>-1.6099999999999999</v>
      </c>
      <c r="U268" s="38">
        <f t="shared" si="35"/>
        <v>73.04218749999994</v>
      </c>
      <c r="W268">
        <v>569.5</v>
      </c>
      <c r="Y268">
        <f t="shared" si="36"/>
        <v>145229.19999999992</v>
      </c>
      <c r="Z268" s="48">
        <f t="shared" si="38"/>
        <v>25250.3</v>
      </c>
      <c r="AA268">
        <v>13.932944310370772</v>
      </c>
    </row>
    <row r="269" spans="1:28" s="13" customFormat="1" ht="15.75" thickBot="1" x14ac:dyDescent="0.3">
      <c r="A269" s="13">
        <v>6440</v>
      </c>
      <c r="B269" s="13">
        <v>26330</v>
      </c>
      <c r="C269" s="14">
        <v>42847</v>
      </c>
      <c r="D269" s="13" t="s">
        <v>21</v>
      </c>
      <c r="F269" s="69"/>
      <c r="G269" s="13">
        <v>9.9</v>
      </c>
      <c r="H269" s="13">
        <v>10.7</v>
      </c>
      <c r="I269" s="13">
        <v>11</v>
      </c>
      <c r="J269" s="13">
        <f t="shared" si="34"/>
        <v>1863.8000000000004</v>
      </c>
      <c r="K269" s="13">
        <f t="shared" si="39"/>
        <v>205.5</v>
      </c>
      <c r="L269" s="29"/>
      <c r="M269" s="13">
        <v>0.1</v>
      </c>
      <c r="N269" s="13">
        <v>1.9</v>
      </c>
      <c r="O269" s="15">
        <f t="shared" si="31"/>
        <v>-1.7999999999999998</v>
      </c>
      <c r="P269" s="13">
        <f t="shared" si="37"/>
        <v>129.6</v>
      </c>
      <c r="Q269" s="13">
        <v>228</v>
      </c>
      <c r="R269" s="13">
        <v>1.1499999999999999</v>
      </c>
      <c r="S269" s="47">
        <f t="shared" si="32"/>
        <v>2.1849999999999996</v>
      </c>
      <c r="T269" s="47">
        <f t="shared" si="33"/>
        <v>-2.0849999999999995</v>
      </c>
      <c r="U269" s="38">
        <f t="shared" si="35"/>
        <v>70.957187499999947</v>
      </c>
      <c r="W269" s="13">
        <v>1159.8</v>
      </c>
      <c r="Y269" s="13">
        <f t="shared" si="36"/>
        <v>146388.99999999991</v>
      </c>
      <c r="Z269" s="13">
        <f t="shared" si="38"/>
        <v>26410.1</v>
      </c>
      <c r="AA269" s="13">
        <v>13.99432682238837</v>
      </c>
    </row>
    <row r="270" spans="1:28" x14ac:dyDescent="0.25">
      <c r="A270">
        <v>6440</v>
      </c>
      <c r="B270">
        <v>26330</v>
      </c>
      <c r="C270" s="1">
        <v>42848</v>
      </c>
      <c r="F270" s="70" t="s">
        <v>26</v>
      </c>
      <c r="G270">
        <v>8</v>
      </c>
      <c r="H270">
        <v>4.2</v>
      </c>
      <c r="I270">
        <v>12</v>
      </c>
      <c r="J270">
        <f t="shared" si="34"/>
        <v>1871.8000000000004</v>
      </c>
      <c r="K270" s="48">
        <f>G270</f>
        <v>8</v>
      </c>
      <c r="L270" s="31"/>
      <c r="M270">
        <v>0</v>
      </c>
      <c r="N270">
        <v>1.4</v>
      </c>
      <c r="O270" s="37">
        <f t="shared" si="31"/>
        <v>-1.4</v>
      </c>
      <c r="P270" s="41">
        <f t="shared" si="37"/>
        <v>128.19999999999999</v>
      </c>
      <c r="Q270" s="41">
        <v>229</v>
      </c>
      <c r="R270" s="41">
        <v>1.1499999999999999</v>
      </c>
      <c r="S270" s="42">
        <f t="shared" si="32"/>
        <v>1.6099999999999999</v>
      </c>
      <c r="T270" s="42">
        <f t="shared" si="33"/>
        <v>-1.6099999999999999</v>
      </c>
      <c r="U270" s="38">
        <f t="shared" si="35"/>
        <v>69.347187499999947</v>
      </c>
      <c r="V270" s="7" t="s">
        <v>51</v>
      </c>
      <c r="W270" s="41">
        <v>1054.3</v>
      </c>
      <c r="X270" s="41"/>
      <c r="Y270" s="41">
        <f t="shared" si="36"/>
        <v>147443.2999999999</v>
      </c>
      <c r="Z270" s="48">
        <f>W270</f>
        <v>1054.3</v>
      </c>
      <c r="AA270">
        <v>14.055374626492798</v>
      </c>
      <c r="AB270" s="7" t="s">
        <v>56</v>
      </c>
    </row>
    <row r="271" spans="1:28" s="48" customFormat="1" x14ac:dyDescent="0.25">
      <c r="A271" s="48">
        <v>6440</v>
      </c>
      <c r="B271" s="48">
        <v>26330</v>
      </c>
      <c r="C271" s="49">
        <v>42849</v>
      </c>
      <c r="F271" s="71"/>
      <c r="G271" s="48">
        <v>9.6999999999999993</v>
      </c>
      <c r="H271" s="48">
        <v>3.7</v>
      </c>
      <c r="I271" s="48">
        <v>14.6</v>
      </c>
      <c r="J271" s="48">
        <f t="shared" si="34"/>
        <v>1881.5000000000005</v>
      </c>
      <c r="K271" s="48">
        <f t="shared" si="39"/>
        <v>17.7</v>
      </c>
      <c r="L271" s="50"/>
      <c r="M271" s="48">
        <v>0.6</v>
      </c>
      <c r="N271" s="48">
        <v>1.5</v>
      </c>
      <c r="O271" s="50">
        <f t="shared" si="31"/>
        <v>-0.9</v>
      </c>
      <c r="P271" s="48">
        <f t="shared" si="37"/>
        <v>127.29999999999998</v>
      </c>
      <c r="Q271" s="48">
        <v>230</v>
      </c>
      <c r="R271" s="48">
        <v>1.1499999999999999</v>
      </c>
      <c r="S271" s="51">
        <f t="shared" si="32"/>
        <v>1.7249999999999999</v>
      </c>
      <c r="T271" s="51">
        <f t="shared" si="33"/>
        <v>-1.125</v>
      </c>
      <c r="U271" s="38">
        <f t="shared" si="35"/>
        <v>68.222187499999947</v>
      </c>
      <c r="V271">
        <v>0</v>
      </c>
      <c r="W271" s="48">
        <v>815.5</v>
      </c>
      <c r="Y271" s="48">
        <f t="shared" si="36"/>
        <v>148258.7999999999</v>
      </c>
      <c r="Z271" s="48">
        <f t="shared" si="38"/>
        <v>1869.8</v>
      </c>
      <c r="AA271" s="48">
        <v>14.116071443515619</v>
      </c>
      <c r="AB271">
        <v>37204.400000000001</v>
      </c>
    </row>
    <row r="272" spans="1:28" ht="15" customHeight="1" x14ac:dyDescent="0.25">
      <c r="A272">
        <v>6440</v>
      </c>
      <c r="B272">
        <v>26330</v>
      </c>
      <c r="C272" s="1">
        <v>42850</v>
      </c>
      <c r="F272" s="71"/>
      <c r="G272">
        <v>6.8</v>
      </c>
      <c r="H272">
        <v>3.8</v>
      </c>
      <c r="I272">
        <v>10.1</v>
      </c>
      <c r="J272">
        <f t="shared" si="34"/>
        <v>1888.3000000000004</v>
      </c>
      <c r="K272" s="48">
        <f t="shared" si="39"/>
        <v>24.5</v>
      </c>
      <c r="L272" s="32" t="s">
        <v>29</v>
      </c>
      <c r="M272">
        <v>0</v>
      </c>
      <c r="N272">
        <v>2.7</v>
      </c>
      <c r="O272" s="37">
        <f t="shared" si="31"/>
        <v>-2.7</v>
      </c>
      <c r="P272">
        <f t="shared" si="37"/>
        <v>124.59999999999998</v>
      </c>
      <c r="Q272">
        <v>231</v>
      </c>
      <c r="R272">
        <v>1.1499999999999999</v>
      </c>
      <c r="S272" s="38">
        <f t="shared" si="32"/>
        <v>3.105</v>
      </c>
      <c r="T272" s="38">
        <f t="shared" si="33"/>
        <v>-3.105</v>
      </c>
      <c r="U272" s="38">
        <f t="shared" si="35"/>
        <v>65.117187499999943</v>
      </c>
      <c r="V272" s="7" t="s">
        <v>52</v>
      </c>
      <c r="W272">
        <v>2008.3</v>
      </c>
      <c r="Y272">
        <f t="shared" si="36"/>
        <v>150267.09999999989</v>
      </c>
      <c r="Z272" s="48">
        <f t="shared" si="38"/>
        <v>3878.1</v>
      </c>
      <c r="AA272">
        <v>14.176400507177291</v>
      </c>
      <c r="AB272" s="7" t="s">
        <v>57</v>
      </c>
    </row>
    <row r="273" spans="1:28" x14ac:dyDescent="0.25">
      <c r="A273">
        <v>6440</v>
      </c>
      <c r="B273">
        <v>26330</v>
      </c>
      <c r="C273" s="1">
        <v>42851</v>
      </c>
      <c r="F273" s="71"/>
      <c r="G273">
        <v>5.2</v>
      </c>
      <c r="H273">
        <v>2.9</v>
      </c>
      <c r="I273">
        <v>8.6</v>
      </c>
      <c r="J273">
        <f t="shared" si="34"/>
        <v>1893.5000000000005</v>
      </c>
      <c r="K273" s="48">
        <f t="shared" si="39"/>
        <v>29.7</v>
      </c>
      <c r="L273" s="22">
        <v>301.10000000000002</v>
      </c>
      <c r="M273">
        <v>1.5</v>
      </c>
      <c r="N273">
        <v>1.4</v>
      </c>
      <c r="O273" s="37">
        <f t="shared" si="31"/>
        <v>0.10000000000000009</v>
      </c>
      <c r="P273">
        <f t="shared" si="37"/>
        <v>124.69999999999997</v>
      </c>
      <c r="Q273">
        <v>232</v>
      </c>
      <c r="R273">
        <v>1.1499999999999999</v>
      </c>
      <c r="S273" s="38">
        <f t="shared" si="32"/>
        <v>1.6099999999999999</v>
      </c>
      <c r="T273" s="38">
        <f t="shared" si="33"/>
        <v>-0.10999999999999988</v>
      </c>
      <c r="U273" s="38">
        <f t="shared" si="35"/>
        <v>65.007187499999944</v>
      </c>
      <c r="V273">
        <v>10</v>
      </c>
      <c r="W273">
        <v>879.5</v>
      </c>
      <c r="Y273">
        <f t="shared" si="36"/>
        <v>151146.59999999989</v>
      </c>
      <c r="Z273" s="48">
        <f t="shared" si="38"/>
        <v>4757.6000000000004</v>
      </c>
      <c r="AA273">
        <v>14.236344555906619</v>
      </c>
      <c r="AB273">
        <f>(AB271/100)/L273</f>
        <v>1.2356160743938891</v>
      </c>
    </row>
    <row r="274" spans="1:28" x14ac:dyDescent="0.25">
      <c r="A274">
        <v>6440</v>
      </c>
      <c r="B274">
        <v>26330</v>
      </c>
      <c r="C274" s="1">
        <v>42852</v>
      </c>
      <c r="F274" s="71"/>
      <c r="G274">
        <v>6.6</v>
      </c>
      <c r="H274">
        <v>3.1</v>
      </c>
      <c r="I274">
        <v>9.3000000000000007</v>
      </c>
      <c r="J274">
        <f t="shared" si="34"/>
        <v>1900.1000000000004</v>
      </c>
      <c r="K274" s="48">
        <f t="shared" si="39"/>
        <v>36.299999999999997</v>
      </c>
      <c r="L274" s="32" t="s">
        <v>30</v>
      </c>
      <c r="M274">
        <v>0.1</v>
      </c>
      <c r="N274">
        <v>2.5</v>
      </c>
      <c r="O274" s="37">
        <f t="shared" si="31"/>
        <v>-2.4</v>
      </c>
      <c r="P274">
        <f t="shared" si="37"/>
        <v>122.29999999999997</v>
      </c>
      <c r="Q274">
        <v>233</v>
      </c>
      <c r="R274">
        <v>1.1499999999999999</v>
      </c>
      <c r="S274" s="38">
        <f t="shared" si="32"/>
        <v>2.875</v>
      </c>
      <c r="T274" s="38">
        <f t="shared" si="33"/>
        <v>-2.7749999999999999</v>
      </c>
      <c r="U274" s="38">
        <f t="shared" si="35"/>
        <v>62.232187499999945</v>
      </c>
      <c r="V274" s="7" t="s">
        <v>53</v>
      </c>
      <c r="W274">
        <v>2064.6</v>
      </c>
      <c r="Y274">
        <f t="shared" si="36"/>
        <v>153211.1999999999</v>
      </c>
      <c r="Z274" s="48">
        <f t="shared" si="38"/>
        <v>6822.2000000000007</v>
      </c>
      <c r="AA274">
        <v>14.295885825646341</v>
      </c>
      <c r="AB274" s="7" t="s">
        <v>58</v>
      </c>
    </row>
    <row r="275" spans="1:28" x14ac:dyDescent="0.25">
      <c r="A275">
        <v>6440</v>
      </c>
      <c r="B275">
        <v>26330</v>
      </c>
      <c r="C275" s="1">
        <v>42853</v>
      </c>
      <c r="F275" s="71"/>
      <c r="G275">
        <v>8.9</v>
      </c>
      <c r="H275">
        <v>6.8</v>
      </c>
      <c r="I275">
        <v>11.4</v>
      </c>
      <c r="J275">
        <f t="shared" si="34"/>
        <v>1909.0000000000005</v>
      </c>
      <c r="K275" s="48">
        <f t="shared" si="39"/>
        <v>45.199999999999996</v>
      </c>
      <c r="L275" s="22">
        <f>AVERAGE(G270:G294)</f>
        <v>12.044</v>
      </c>
      <c r="M275">
        <v>0.2</v>
      </c>
      <c r="N275">
        <v>2.6</v>
      </c>
      <c r="O275" s="37">
        <f t="shared" si="31"/>
        <v>-2.4</v>
      </c>
      <c r="P275">
        <f t="shared" si="37"/>
        <v>119.89999999999996</v>
      </c>
      <c r="Q275">
        <v>234</v>
      </c>
      <c r="R275">
        <v>1.1499999999999999</v>
      </c>
      <c r="S275" s="38">
        <f t="shared" si="32"/>
        <v>2.9899999999999998</v>
      </c>
      <c r="T275" s="38">
        <f t="shared" si="33"/>
        <v>-2.7899999999999996</v>
      </c>
      <c r="U275" s="38">
        <f t="shared" si="35"/>
        <v>59.442187499999946</v>
      </c>
      <c r="V275" s="38">
        <f>MIN(U270:U294)</f>
        <v>22.847187499999947</v>
      </c>
      <c r="W275">
        <v>1785.6</v>
      </c>
      <c r="Y275">
        <f t="shared" si="36"/>
        <v>154996.7999999999</v>
      </c>
      <c r="Z275" s="48">
        <f t="shared" si="38"/>
        <v>8607.8000000000011</v>
      </c>
      <c r="AA275">
        <v>14.355006043723797</v>
      </c>
      <c r="AB275">
        <v>7</v>
      </c>
    </row>
    <row r="276" spans="1:28" x14ac:dyDescent="0.25">
      <c r="A276">
        <v>6440</v>
      </c>
      <c r="B276">
        <v>26330</v>
      </c>
      <c r="C276" s="1">
        <v>42854</v>
      </c>
      <c r="F276" s="71"/>
      <c r="G276">
        <v>10.6</v>
      </c>
      <c r="H276">
        <v>6</v>
      </c>
      <c r="I276">
        <v>14.4</v>
      </c>
      <c r="J276">
        <f t="shared" si="34"/>
        <v>1919.6000000000004</v>
      </c>
      <c r="K276" s="48">
        <f t="shared" si="39"/>
        <v>55.8</v>
      </c>
      <c r="L276" s="32" t="s">
        <v>31</v>
      </c>
      <c r="M276">
        <v>0</v>
      </c>
      <c r="N276">
        <v>3.1</v>
      </c>
      <c r="O276" s="37">
        <f t="shared" si="31"/>
        <v>-3.1</v>
      </c>
      <c r="P276">
        <f t="shared" si="37"/>
        <v>116.79999999999997</v>
      </c>
      <c r="Q276">
        <v>235</v>
      </c>
      <c r="R276">
        <v>1.1499999999999999</v>
      </c>
      <c r="S276" s="38">
        <f t="shared" si="32"/>
        <v>3.5649999999999999</v>
      </c>
      <c r="T276" s="38">
        <f t="shared" si="33"/>
        <v>-3.5649999999999999</v>
      </c>
      <c r="U276" s="38">
        <f t="shared" si="35"/>
        <v>55.877187499999948</v>
      </c>
      <c r="V276" s="7" t="s">
        <v>54</v>
      </c>
      <c r="W276">
        <v>1966.3</v>
      </c>
      <c r="Y276">
        <f t="shared" si="36"/>
        <v>156963.09999999989</v>
      </c>
      <c r="Z276" s="48">
        <f t="shared" si="38"/>
        <v>10574.1</v>
      </c>
      <c r="AA276">
        <v>14.413686423868999</v>
      </c>
    </row>
    <row r="277" spans="1:28" x14ac:dyDescent="0.25">
      <c r="A277">
        <v>6440</v>
      </c>
      <c r="B277">
        <v>26330</v>
      </c>
      <c r="C277" s="1">
        <v>42855</v>
      </c>
      <c r="F277" s="71"/>
      <c r="G277">
        <v>13.6</v>
      </c>
      <c r="H277">
        <v>7.8</v>
      </c>
      <c r="I277">
        <v>18.5</v>
      </c>
      <c r="J277">
        <f t="shared" si="34"/>
        <v>1933.2000000000003</v>
      </c>
      <c r="K277" s="48">
        <f t="shared" si="39"/>
        <v>69.399999999999991</v>
      </c>
      <c r="L277" s="25">
        <f>MIN(H270:H294)</f>
        <v>2.9</v>
      </c>
      <c r="M277">
        <v>0.1</v>
      </c>
      <c r="N277">
        <v>3.8</v>
      </c>
      <c r="O277" s="37">
        <f t="shared" si="31"/>
        <v>-3.6999999999999997</v>
      </c>
      <c r="P277">
        <f t="shared" si="37"/>
        <v>113.09999999999997</v>
      </c>
      <c r="Q277">
        <v>236</v>
      </c>
      <c r="R277">
        <v>1.1499999999999999</v>
      </c>
      <c r="S277" s="38">
        <f t="shared" si="32"/>
        <v>4.3699999999999992</v>
      </c>
      <c r="T277" s="38">
        <f t="shared" si="33"/>
        <v>-4.2699999999999996</v>
      </c>
      <c r="U277" s="38">
        <f t="shared" si="35"/>
        <v>51.607187499999952</v>
      </c>
      <c r="V277" s="38">
        <f>MAX(U270:U294)</f>
        <v>69.347187499999947</v>
      </c>
      <c r="W277">
        <v>1574.5</v>
      </c>
      <c r="Y277">
        <f t="shared" si="36"/>
        <v>158537.59999999989</v>
      </c>
      <c r="Z277" s="48">
        <f t="shared" si="38"/>
        <v>12148.6</v>
      </c>
      <c r="AA277">
        <v>14.47190766246589</v>
      </c>
    </row>
    <row r="278" spans="1:28" x14ac:dyDescent="0.25">
      <c r="A278">
        <v>6440</v>
      </c>
      <c r="B278">
        <v>26330</v>
      </c>
      <c r="C278" s="1">
        <v>42856</v>
      </c>
      <c r="F278" s="71"/>
      <c r="G278">
        <v>10.4</v>
      </c>
      <c r="H278">
        <v>9</v>
      </c>
      <c r="I278">
        <v>12.2</v>
      </c>
      <c r="J278">
        <f t="shared" si="34"/>
        <v>1943.6000000000004</v>
      </c>
      <c r="K278" s="48">
        <f t="shared" si="39"/>
        <v>79.8</v>
      </c>
      <c r="L278" s="32" t="s">
        <v>32</v>
      </c>
      <c r="M278">
        <v>1.8</v>
      </c>
      <c r="N278">
        <v>1.4</v>
      </c>
      <c r="O278" s="37">
        <f t="shared" si="31"/>
        <v>0.40000000000000013</v>
      </c>
      <c r="P278">
        <f t="shared" si="37"/>
        <v>113.49999999999997</v>
      </c>
      <c r="Q278">
        <v>237</v>
      </c>
      <c r="R278">
        <v>1.1499999999999999</v>
      </c>
      <c r="S278" s="38">
        <f t="shared" si="32"/>
        <v>1.6099999999999999</v>
      </c>
      <c r="T278" s="38">
        <f t="shared" si="33"/>
        <v>0.19000000000000017</v>
      </c>
      <c r="U278" s="38">
        <f t="shared" si="35"/>
        <v>51.79718749999995</v>
      </c>
      <c r="V278" s="7" t="s">
        <v>55</v>
      </c>
      <c r="W278">
        <v>658.3</v>
      </c>
      <c r="Y278">
        <f t="shared" si="36"/>
        <v>159195.89999999988</v>
      </c>
      <c r="Z278" s="48">
        <f t="shared" si="38"/>
        <v>12806.9</v>
      </c>
      <c r="AA278">
        <v>14.529649936125756</v>
      </c>
    </row>
    <row r="279" spans="1:28" x14ac:dyDescent="0.25">
      <c r="A279">
        <v>6440</v>
      </c>
      <c r="B279">
        <v>26330</v>
      </c>
      <c r="C279" s="1">
        <v>42857</v>
      </c>
      <c r="F279" s="71"/>
      <c r="G279">
        <v>9.9</v>
      </c>
      <c r="H279">
        <v>6.5</v>
      </c>
      <c r="I279">
        <v>14.4</v>
      </c>
      <c r="J279">
        <f t="shared" si="34"/>
        <v>1953.5000000000005</v>
      </c>
      <c r="K279" s="48">
        <f t="shared" si="39"/>
        <v>89.7</v>
      </c>
      <c r="L279" s="22">
        <f>MAX(I270:I294)</f>
        <v>28.1</v>
      </c>
      <c r="M279">
        <v>1.1000000000000001</v>
      </c>
      <c r="N279">
        <v>1.9</v>
      </c>
      <c r="O279" s="37">
        <f t="shared" si="31"/>
        <v>-0.79999999999999982</v>
      </c>
      <c r="P279">
        <f t="shared" si="37"/>
        <v>112.69999999999997</v>
      </c>
      <c r="Q279">
        <v>238</v>
      </c>
      <c r="R279">
        <v>1.1499999999999999</v>
      </c>
      <c r="S279" s="38">
        <f t="shared" si="32"/>
        <v>2.1849999999999996</v>
      </c>
      <c r="T279" s="38">
        <f t="shared" si="33"/>
        <v>-1.0849999999999995</v>
      </c>
      <c r="U279" s="38">
        <f t="shared" si="35"/>
        <v>50.712187499999949</v>
      </c>
      <c r="V279" s="38">
        <f>AVERAGE(U270:U294)</f>
        <v>49.54578749999996</v>
      </c>
      <c r="W279">
        <v>1097.8</v>
      </c>
      <c r="Y279">
        <f t="shared" si="36"/>
        <v>160293.69999999987</v>
      </c>
      <c r="Z279" s="48">
        <f t="shared" si="38"/>
        <v>13904.699999999999</v>
      </c>
      <c r="AA279">
        <v>14.58689290067473</v>
      </c>
    </row>
    <row r="280" spans="1:28" x14ac:dyDescent="0.25">
      <c r="A280">
        <v>6440</v>
      </c>
      <c r="B280">
        <v>26330</v>
      </c>
      <c r="C280" s="1">
        <v>42858</v>
      </c>
      <c r="F280" s="71"/>
      <c r="G280">
        <v>10.3</v>
      </c>
      <c r="H280">
        <v>8.5</v>
      </c>
      <c r="I280">
        <v>12.1</v>
      </c>
      <c r="J280">
        <f t="shared" si="34"/>
        <v>1963.8000000000004</v>
      </c>
      <c r="K280" s="48">
        <f t="shared" si="39"/>
        <v>100</v>
      </c>
      <c r="L280" s="32" t="s">
        <v>33</v>
      </c>
      <c r="M280">
        <v>5.3</v>
      </c>
      <c r="N280">
        <v>0.8</v>
      </c>
      <c r="O280" s="37">
        <f t="shared" si="31"/>
        <v>4.5</v>
      </c>
      <c r="P280">
        <f t="shared" si="37"/>
        <v>117.19999999999997</v>
      </c>
      <c r="Q280">
        <v>239</v>
      </c>
      <c r="R280">
        <v>1.1499999999999999</v>
      </c>
      <c r="S280" s="38">
        <f t="shared" si="32"/>
        <v>0.91999999999999993</v>
      </c>
      <c r="T280" s="38">
        <f t="shared" si="33"/>
        <v>4.38</v>
      </c>
      <c r="U280" s="38">
        <f t="shared" si="35"/>
        <v>55.092187499999952</v>
      </c>
      <c r="W280">
        <v>598.1</v>
      </c>
      <c r="Y280">
        <f t="shared" si="36"/>
        <v>160891.79999999987</v>
      </c>
      <c r="Z280" s="48">
        <f t="shared" si="38"/>
        <v>14502.8</v>
      </c>
      <c r="AA280">
        <v>14.643615691649952</v>
      </c>
    </row>
    <row r="281" spans="1:28" x14ac:dyDescent="0.25">
      <c r="A281">
        <v>6440</v>
      </c>
      <c r="B281">
        <v>26330</v>
      </c>
      <c r="C281" s="1">
        <v>42859</v>
      </c>
      <c r="F281" s="71"/>
      <c r="G281">
        <v>11.7</v>
      </c>
      <c r="H281">
        <v>10.199999999999999</v>
      </c>
      <c r="I281">
        <v>13.6</v>
      </c>
      <c r="J281">
        <f t="shared" si="34"/>
        <v>1975.5000000000005</v>
      </c>
      <c r="K281" s="48">
        <f t="shared" si="39"/>
        <v>111.7</v>
      </c>
      <c r="L281" s="22">
        <v>2</v>
      </c>
      <c r="M281">
        <v>2.7</v>
      </c>
      <c r="N281">
        <v>1.2</v>
      </c>
      <c r="O281" s="37">
        <f t="shared" si="31"/>
        <v>1.5000000000000002</v>
      </c>
      <c r="P281">
        <f t="shared" si="37"/>
        <v>118.69999999999997</v>
      </c>
      <c r="Q281">
        <v>240</v>
      </c>
      <c r="R281">
        <v>1.1499999999999999</v>
      </c>
      <c r="S281" s="38">
        <f t="shared" si="32"/>
        <v>1.38</v>
      </c>
      <c r="T281" s="38">
        <f t="shared" si="33"/>
        <v>1.3200000000000003</v>
      </c>
      <c r="U281" s="38">
        <f t="shared" si="35"/>
        <v>56.412187499999952</v>
      </c>
      <c r="V281" s="52">
        <f>(V279*100)/153.6</f>
        <v>32.256372070312473</v>
      </c>
      <c r="W281">
        <v>778.9</v>
      </c>
      <c r="Y281">
        <f t="shared" si="36"/>
        <v>161670.69999999987</v>
      </c>
      <c r="Z281" s="48">
        <f t="shared" si="38"/>
        <v>15281.699999999999</v>
      </c>
      <c r="AA281">
        <v>14.69979692640123</v>
      </c>
    </row>
    <row r="282" spans="1:28" x14ac:dyDescent="0.25">
      <c r="A282">
        <v>6440</v>
      </c>
      <c r="B282">
        <v>26330</v>
      </c>
      <c r="C282" s="1">
        <v>42860</v>
      </c>
      <c r="F282" s="71"/>
      <c r="G282">
        <v>11</v>
      </c>
      <c r="H282">
        <v>9.4</v>
      </c>
      <c r="I282">
        <v>12.6</v>
      </c>
      <c r="J282">
        <f t="shared" si="34"/>
        <v>1986.5000000000005</v>
      </c>
      <c r="K282" s="48">
        <f t="shared" si="39"/>
        <v>122.7</v>
      </c>
      <c r="L282" s="32" t="s">
        <v>34</v>
      </c>
      <c r="M282">
        <v>0</v>
      </c>
      <c r="N282">
        <v>1.4</v>
      </c>
      <c r="O282" s="37">
        <f t="shared" si="31"/>
        <v>-1.4</v>
      </c>
      <c r="P282">
        <f t="shared" si="37"/>
        <v>117.29999999999997</v>
      </c>
      <c r="Q282">
        <v>241</v>
      </c>
      <c r="R282">
        <v>1.1499999999999999</v>
      </c>
      <c r="S282" s="38">
        <f t="shared" si="32"/>
        <v>1.6099999999999999</v>
      </c>
      <c r="T282" s="38">
        <f t="shared" si="33"/>
        <v>-1.6099999999999999</v>
      </c>
      <c r="U282" s="38">
        <f t="shared" si="35"/>
        <v>54.802187499999953</v>
      </c>
      <c r="W282">
        <v>947.4</v>
      </c>
      <c r="Y282">
        <f t="shared" si="36"/>
        <v>162618.09999999986</v>
      </c>
      <c r="Z282" s="48">
        <f t="shared" si="38"/>
        <v>16229.099999999999</v>
      </c>
      <c r="AA282">
        <v>14.755414707896922</v>
      </c>
    </row>
    <row r="283" spans="1:28" x14ac:dyDescent="0.25">
      <c r="A283">
        <v>6440</v>
      </c>
      <c r="B283">
        <v>26330</v>
      </c>
      <c r="C283" s="1">
        <v>42861</v>
      </c>
      <c r="F283" s="71"/>
      <c r="G283">
        <v>12.7</v>
      </c>
      <c r="H283">
        <v>8</v>
      </c>
      <c r="I283">
        <v>17.7</v>
      </c>
      <c r="J283">
        <f t="shared" si="34"/>
        <v>1999.2000000000005</v>
      </c>
      <c r="K283" s="48">
        <f t="shared" si="39"/>
        <v>135.4</v>
      </c>
      <c r="L283" s="22">
        <v>5</v>
      </c>
      <c r="M283">
        <v>2</v>
      </c>
      <c r="N283">
        <v>3</v>
      </c>
      <c r="O283" s="37">
        <f t="shared" si="31"/>
        <v>-1</v>
      </c>
      <c r="P283">
        <f t="shared" si="37"/>
        <v>116.29999999999997</v>
      </c>
      <c r="Q283">
        <v>242</v>
      </c>
      <c r="R283">
        <v>1.1499999999999999</v>
      </c>
      <c r="S283" s="38">
        <f t="shared" si="32"/>
        <v>3.4499999999999997</v>
      </c>
      <c r="T283" s="38">
        <f t="shared" si="33"/>
        <v>-1.4499999999999997</v>
      </c>
      <c r="U283" s="38">
        <f t="shared" si="35"/>
        <v>53.35218749999995</v>
      </c>
      <c r="W283">
        <v>1992.9</v>
      </c>
      <c r="Y283">
        <f t="shared" si="36"/>
        <v>164610.99999999985</v>
      </c>
      <c r="Z283" s="48">
        <f t="shared" si="38"/>
        <v>18222</v>
      </c>
      <c r="AA283">
        <v>14.810446630334074</v>
      </c>
    </row>
    <row r="284" spans="1:28" x14ac:dyDescent="0.25">
      <c r="A284">
        <v>6440</v>
      </c>
      <c r="B284">
        <v>26330</v>
      </c>
      <c r="C284" s="1">
        <v>42862</v>
      </c>
      <c r="F284" s="71"/>
      <c r="G284">
        <v>10.9</v>
      </c>
      <c r="H284">
        <v>10.8</v>
      </c>
      <c r="I284">
        <v>11.2</v>
      </c>
      <c r="J284">
        <f t="shared" si="34"/>
        <v>2010.1000000000006</v>
      </c>
      <c r="K284" s="48">
        <f t="shared" si="39"/>
        <v>146.30000000000001</v>
      </c>
      <c r="L284" s="32" t="s">
        <v>35</v>
      </c>
      <c r="M284">
        <v>0.1</v>
      </c>
      <c r="N284">
        <v>1</v>
      </c>
      <c r="O284" s="37">
        <f t="shared" si="31"/>
        <v>-0.9</v>
      </c>
      <c r="P284">
        <f t="shared" si="37"/>
        <v>115.39999999999996</v>
      </c>
      <c r="Q284">
        <v>243</v>
      </c>
      <c r="R284">
        <v>1.1499999999999999</v>
      </c>
      <c r="S284" s="38">
        <f t="shared" si="32"/>
        <v>1.1499999999999999</v>
      </c>
      <c r="T284" s="38">
        <f t="shared" si="33"/>
        <v>-1.0499999999999998</v>
      </c>
      <c r="U284" s="38">
        <f t="shared" si="35"/>
        <v>52.302187499999953</v>
      </c>
      <c r="W284">
        <v>583.29999999999995</v>
      </c>
      <c r="Y284">
        <f t="shared" si="36"/>
        <v>165194.29999999984</v>
      </c>
      <c r="Z284" s="48">
        <f t="shared" si="38"/>
        <v>18805.3</v>
      </c>
      <c r="AA284">
        <v>14.864869786653596</v>
      </c>
    </row>
    <row r="285" spans="1:28" x14ac:dyDescent="0.25">
      <c r="A285">
        <v>6440</v>
      </c>
      <c r="B285">
        <v>26330</v>
      </c>
      <c r="C285" s="1">
        <v>42863</v>
      </c>
      <c r="F285" s="71"/>
      <c r="G285">
        <v>9.4</v>
      </c>
      <c r="H285">
        <v>8.4</v>
      </c>
      <c r="I285">
        <v>11.4</v>
      </c>
      <c r="J285">
        <f t="shared" si="34"/>
        <v>2019.5000000000007</v>
      </c>
      <c r="K285" s="48">
        <f t="shared" si="39"/>
        <v>155.70000000000002</v>
      </c>
      <c r="L285" s="31">
        <v>0</v>
      </c>
      <c r="M285">
        <v>1.1000000000000001</v>
      </c>
      <c r="N285">
        <v>0.9</v>
      </c>
      <c r="O285" s="37">
        <f t="shared" si="31"/>
        <v>0.20000000000000007</v>
      </c>
      <c r="P285">
        <f t="shared" si="37"/>
        <v>115.59999999999997</v>
      </c>
      <c r="Q285">
        <v>244</v>
      </c>
      <c r="R285">
        <v>1.1499999999999999</v>
      </c>
      <c r="S285" s="38">
        <f t="shared" si="32"/>
        <v>1.0349999999999999</v>
      </c>
      <c r="T285" s="38">
        <f t="shared" si="33"/>
        <v>6.5000000000000169E-2</v>
      </c>
      <c r="U285" s="38">
        <f t="shared" si="35"/>
        <v>52.36718749999995</v>
      </c>
      <c r="W285">
        <v>638.5</v>
      </c>
      <c r="Y285">
        <f t="shared" si="36"/>
        <v>165832.79999999984</v>
      </c>
      <c r="Z285" s="48">
        <f t="shared" si="38"/>
        <v>19443.8</v>
      </c>
      <c r="AA285">
        <v>14.918660778061328</v>
      </c>
    </row>
    <row r="286" spans="1:28" x14ac:dyDescent="0.25">
      <c r="A286">
        <v>6440</v>
      </c>
      <c r="B286">
        <v>26330</v>
      </c>
      <c r="C286" s="1">
        <v>42864</v>
      </c>
      <c r="F286" s="71"/>
      <c r="G286">
        <v>10.1</v>
      </c>
      <c r="H286">
        <v>6</v>
      </c>
      <c r="I286">
        <v>13.7</v>
      </c>
      <c r="J286">
        <f t="shared" si="34"/>
        <v>2029.6000000000006</v>
      </c>
      <c r="K286" s="48">
        <f t="shared" si="39"/>
        <v>165.8</v>
      </c>
      <c r="L286" s="31"/>
      <c r="M286">
        <v>0</v>
      </c>
      <c r="N286">
        <v>4</v>
      </c>
      <c r="O286" s="37">
        <f t="shared" si="31"/>
        <v>-4</v>
      </c>
      <c r="P286">
        <f t="shared" si="37"/>
        <v>111.59999999999997</v>
      </c>
      <c r="Q286">
        <v>245</v>
      </c>
      <c r="R286">
        <v>1.1499999999999999</v>
      </c>
      <c r="S286" s="38">
        <f t="shared" si="32"/>
        <v>4.5999999999999996</v>
      </c>
      <c r="T286" s="38">
        <f t="shared" si="33"/>
        <v>-4.5999999999999996</v>
      </c>
      <c r="U286" s="38">
        <f t="shared" si="35"/>
        <v>47.767187499999949</v>
      </c>
      <c r="W286">
        <v>2990.4</v>
      </c>
      <c r="Y286">
        <f t="shared" si="36"/>
        <v>168823.19999999984</v>
      </c>
      <c r="Z286" s="48">
        <f t="shared" si="38"/>
        <v>22434.2</v>
      </c>
      <c r="AA286">
        <v>14.971795725655181</v>
      </c>
    </row>
    <row r="287" spans="1:28" x14ac:dyDescent="0.25">
      <c r="A287">
        <v>6440</v>
      </c>
      <c r="B287">
        <v>26330</v>
      </c>
      <c r="C287" s="1">
        <v>42865</v>
      </c>
      <c r="F287" s="71"/>
      <c r="G287">
        <v>13</v>
      </c>
      <c r="H287">
        <v>6.6</v>
      </c>
      <c r="I287">
        <v>18.7</v>
      </c>
      <c r="J287">
        <f t="shared" si="34"/>
        <v>2042.6000000000006</v>
      </c>
      <c r="K287" s="48">
        <f t="shared" si="39"/>
        <v>178.8</v>
      </c>
      <c r="L287" s="31"/>
      <c r="M287">
        <v>0</v>
      </c>
      <c r="N287">
        <v>4.7</v>
      </c>
      <c r="O287" s="37">
        <f t="shared" si="31"/>
        <v>-4.7</v>
      </c>
      <c r="P287">
        <f t="shared" si="37"/>
        <v>106.89999999999996</v>
      </c>
      <c r="Q287">
        <v>246</v>
      </c>
      <c r="R287">
        <v>1.1499999999999999</v>
      </c>
      <c r="S287" s="38">
        <f t="shared" si="32"/>
        <v>5.4049999999999994</v>
      </c>
      <c r="T287" s="38">
        <f t="shared" si="33"/>
        <v>-5.4049999999999994</v>
      </c>
      <c r="U287" s="38">
        <f t="shared" si="35"/>
        <v>42.362187499999948</v>
      </c>
      <c r="W287">
        <v>2996.7</v>
      </c>
      <c r="Y287">
        <f t="shared" si="36"/>
        <v>171819.89999999985</v>
      </c>
      <c r="Z287" s="48">
        <f t="shared" si="38"/>
        <v>25430.9</v>
      </c>
      <c r="AA287">
        <v>15.02425028425696</v>
      </c>
    </row>
    <row r="288" spans="1:28" x14ac:dyDescent="0.25">
      <c r="A288">
        <v>6440</v>
      </c>
      <c r="B288">
        <v>26330</v>
      </c>
      <c r="C288" s="1">
        <v>42866</v>
      </c>
      <c r="F288" s="71"/>
      <c r="G288">
        <v>16.399999999999999</v>
      </c>
      <c r="H288">
        <v>10</v>
      </c>
      <c r="I288">
        <v>22.3</v>
      </c>
      <c r="J288">
        <f t="shared" si="34"/>
        <v>2059.0000000000005</v>
      </c>
      <c r="K288" s="48">
        <f t="shared" si="39"/>
        <v>195.20000000000002</v>
      </c>
      <c r="L288" s="31"/>
      <c r="M288">
        <v>1</v>
      </c>
      <c r="N288">
        <v>3.2</v>
      </c>
      <c r="O288" s="37">
        <f t="shared" si="31"/>
        <v>-2.2000000000000002</v>
      </c>
      <c r="P288">
        <f t="shared" si="37"/>
        <v>104.69999999999996</v>
      </c>
      <c r="Q288">
        <v>247</v>
      </c>
      <c r="R288">
        <v>1.1499999999999999</v>
      </c>
      <c r="S288" s="38">
        <f t="shared" si="32"/>
        <v>3.6799999999999997</v>
      </c>
      <c r="T288" s="38">
        <f t="shared" si="33"/>
        <v>-2.6799999999999997</v>
      </c>
      <c r="U288" s="38">
        <f t="shared" si="35"/>
        <v>39.682187499999948</v>
      </c>
      <c r="W288">
        <v>1495.4</v>
      </c>
      <c r="Y288">
        <f t="shared" si="36"/>
        <v>173315.29999999984</v>
      </c>
      <c r="Z288" s="48">
        <f t="shared" si="38"/>
        <v>26926.300000000003</v>
      </c>
      <c r="AA288">
        <v>15.075999658545021</v>
      </c>
    </row>
    <row r="289" spans="1:28" x14ac:dyDescent="0.25">
      <c r="A289">
        <v>6440</v>
      </c>
      <c r="B289">
        <v>26330</v>
      </c>
      <c r="C289" s="1">
        <v>42867</v>
      </c>
      <c r="F289" s="71"/>
      <c r="G289">
        <v>16.8</v>
      </c>
      <c r="H289">
        <v>14.2</v>
      </c>
      <c r="I289">
        <v>21.2</v>
      </c>
      <c r="J289">
        <f t="shared" si="34"/>
        <v>2075.8000000000006</v>
      </c>
      <c r="K289" s="48">
        <f t="shared" si="39"/>
        <v>212.00000000000003</v>
      </c>
      <c r="L289" s="31"/>
      <c r="M289">
        <v>3.6</v>
      </c>
      <c r="N289">
        <v>3.4</v>
      </c>
      <c r="O289" s="37">
        <f t="shared" si="31"/>
        <v>0.20000000000000018</v>
      </c>
      <c r="P289">
        <f t="shared" si="37"/>
        <v>104.89999999999996</v>
      </c>
      <c r="Q289">
        <v>248</v>
      </c>
      <c r="R289">
        <v>1.1499999999999999</v>
      </c>
      <c r="S289" s="38">
        <f t="shared" si="32"/>
        <v>3.9099999999999997</v>
      </c>
      <c r="T289" s="38">
        <f t="shared" si="33"/>
        <v>-0.30999999999999961</v>
      </c>
      <c r="U289" s="38">
        <f t="shared" si="35"/>
        <v>39.372187499999946</v>
      </c>
      <c r="W289">
        <v>1527.4</v>
      </c>
      <c r="Y289">
        <f t="shared" si="36"/>
        <v>174842.69999999984</v>
      </c>
      <c r="Z289" s="48">
        <f t="shared" si="38"/>
        <v>28453.700000000004</v>
      </c>
      <c r="AA289">
        <v>15.127018621580369</v>
      </c>
    </row>
    <row r="290" spans="1:28" x14ac:dyDescent="0.25">
      <c r="A290">
        <v>6440</v>
      </c>
      <c r="B290">
        <v>26330</v>
      </c>
      <c r="C290" s="1">
        <v>42868</v>
      </c>
      <c r="F290" s="71"/>
      <c r="G290">
        <v>15</v>
      </c>
      <c r="H290">
        <v>12.6</v>
      </c>
      <c r="I290">
        <v>18</v>
      </c>
      <c r="J290">
        <f t="shared" si="34"/>
        <v>2090.8000000000006</v>
      </c>
      <c r="K290" s="48">
        <f t="shared" si="39"/>
        <v>227.00000000000003</v>
      </c>
      <c r="L290" s="31"/>
      <c r="M290">
        <v>0</v>
      </c>
      <c r="N290">
        <v>3.5</v>
      </c>
      <c r="O290" s="37">
        <f t="shared" si="31"/>
        <v>-3.5</v>
      </c>
      <c r="P290">
        <f t="shared" si="37"/>
        <v>101.39999999999996</v>
      </c>
      <c r="Q290">
        <v>249</v>
      </c>
      <c r="R290">
        <v>1.1499999999999999</v>
      </c>
      <c r="S290" s="38">
        <f t="shared" si="32"/>
        <v>4.0249999999999995</v>
      </c>
      <c r="T290" s="38">
        <f t="shared" si="33"/>
        <v>-4.0249999999999995</v>
      </c>
      <c r="U290" s="38">
        <f t="shared" si="35"/>
        <v>35.347187499999947</v>
      </c>
      <c r="W290">
        <v>2186.6</v>
      </c>
      <c r="Y290">
        <f t="shared" si="36"/>
        <v>177029.29999999984</v>
      </c>
      <c r="Z290" s="48">
        <f t="shared" si="38"/>
        <v>30640.300000000003</v>
      </c>
      <c r="AA290">
        <v>15.177281535814124</v>
      </c>
    </row>
    <row r="291" spans="1:28" x14ac:dyDescent="0.25">
      <c r="A291">
        <v>6440</v>
      </c>
      <c r="B291">
        <v>26330</v>
      </c>
      <c r="C291" s="1">
        <v>42869</v>
      </c>
      <c r="F291" s="71"/>
      <c r="G291">
        <v>14.1</v>
      </c>
      <c r="H291">
        <v>11</v>
      </c>
      <c r="I291">
        <v>17.600000000000001</v>
      </c>
      <c r="J291">
        <f t="shared" si="34"/>
        <v>2104.9000000000005</v>
      </c>
      <c r="K291" s="48">
        <f t="shared" si="39"/>
        <v>241.10000000000002</v>
      </c>
      <c r="L291" s="31"/>
      <c r="M291">
        <v>0.4</v>
      </c>
      <c r="N291">
        <v>2.4</v>
      </c>
      <c r="O291" s="37">
        <f t="shared" si="31"/>
        <v>-2</v>
      </c>
      <c r="P291">
        <f t="shared" si="37"/>
        <v>99.399999999999963</v>
      </c>
      <c r="Q291">
        <v>250</v>
      </c>
      <c r="R291">
        <v>1.1499999999999999</v>
      </c>
      <c r="S291" s="38">
        <f t="shared" si="32"/>
        <v>2.76</v>
      </c>
      <c r="T291" s="38">
        <f t="shared" si="33"/>
        <v>-2.36</v>
      </c>
      <c r="U291" s="38">
        <f t="shared" si="35"/>
        <v>32.987187499999948</v>
      </c>
      <c r="W291">
        <v>1345.5</v>
      </c>
      <c r="Y291">
        <f t="shared" si="36"/>
        <v>178374.79999999984</v>
      </c>
      <c r="Z291" s="48">
        <f t="shared" si="38"/>
        <v>31985.800000000003</v>
      </c>
      <c r="AA291">
        <v>15.226762376658415</v>
      </c>
    </row>
    <row r="292" spans="1:28" x14ac:dyDescent="0.25">
      <c r="A292">
        <v>6440</v>
      </c>
      <c r="B292">
        <v>26330</v>
      </c>
      <c r="C292" s="1">
        <v>42870</v>
      </c>
      <c r="F292" s="71"/>
      <c r="G292">
        <v>16</v>
      </c>
      <c r="H292">
        <v>7.7</v>
      </c>
      <c r="I292">
        <v>20.7</v>
      </c>
      <c r="J292">
        <f t="shared" si="34"/>
        <v>2120.9000000000005</v>
      </c>
      <c r="K292" s="48">
        <f t="shared" si="39"/>
        <v>257.10000000000002</v>
      </c>
      <c r="L292" s="31"/>
      <c r="M292">
        <v>0</v>
      </c>
      <c r="N292">
        <v>3.5</v>
      </c>
      <c r="O292" s="37">
        <f t="shared" si="31"/>
        <v>-3.5</v>
      </c>
      <c r="P292">
        <f t="shared" si="37"/>
        <v>95.899999999999963</v>
      </c>
      <c r="Q292">
        <v>251</v>
      </c>
      <c r="R292">
        <v>1.1499999999999999</v>
      </c>
      <c r="S292" s="38">
        <f t="shared" si="32"/>
        <v>4.0249999999999995</v>
      </c>
      <c r="T292" s="38">
        <f t="shared" si="33"/>
        <v>-4.0249999999999995</v>
      </c>
      <c r="U292" s="38">
        <f t="shared" si="35"/>
        <v>28.962187499999949</v>
      </c>
      <c r="W292">
        <v>2239.6</v>
      </c>
      <c r="Y292">
        <f t="shared" si="36"/>
        <v>180614.39999999985</v>
      </c>
      <c r="Z292" s="48">
        <f t="shared" si="38"/>
        <v>34225.4</v>
      </c>
      <c r="AA292">
        <v>15.275434758695512</v>
      </c>
    </row>
    <row r="293" spans="1:28" x14ac:dyDescent="0.25">
      <c r="A293">
        <v>6440</v>
      </c>
      <c r="B293">
        <v>26330</v>
      </c>
      <c r="C293" s="1">
        <v>42871</v>
      </c>
      <c r="F293" s="71"/>
      <c r="G293">
        <v>21.5</v>
      </c>
      <c r="H293">
        <v>16.5</v>
      </c>
      <c r="I293" s="2">
        <v>25.6</v>
      </c>
      <c r="J293">
        <f t="shared" si="34"/>
        <v>2142.4000000000005</v>
      </c>
      <c r="K293" s="48">
        <f t="shared" si="39"/>
        <v>278.60000000000002</v>
      </c>
      <c r="L293" s="31"/>
      <c r="M293">
        <v>0</v>
      </c>
      <c r="N293">
        <v>2.9</v>
      </c>
      <c r="O293" s="37">
        <f t="shared" si="31"/>
        <v>-2.9</v>
      </c>
      <c r="P293">
        <f t="shared" si="37"/>
        <v>92.999999999999957</v>
      </c>
      <c r="Q293">
        <v>252</v>
      </c>
      <c r="R293">
        <v>1.1499999999999999</v>
      </c>
      <c r="S293" s="38">
        <f t="shared" si="32"/>
        <v>3.3349999999999995</v>
      </c>
      <c r="T293" s="38">
        <f t="shared" si="33"/>
        <v>-3.3349999999999995</v>
      </c>
      <c r="U293" s="38">
        <f t="shared" si="35"/>
        <v>25.627187499999948</v>
      </c>
      <c r="W293">
        <v>978.4</v>
      </c>
      <c r="Y293">
        <f t="shared" si="36"/>
        <v>181592.79999999984</v>
      </c>
      <c r="Z293" s="48">
        <f t="shared" si="38"/>
        <v>35203.800000000003</v>
      </c>
      <c r="AA293">
        <v>15.323271964591386</v>
      </c>
    </row>
    <row r="294" spans="1:28" s="13" customFormat="1" ht="15.75" thickBot="1" x14ac:dyDescent="0.3">
      <c r="A294" s="13">
        <v>6440</v>
      </c>
      <c r="B294" s="13">
        <v>26330</v>
      </c>
      <c r="C294" s="14">
        <v>42872</v>
      </c>
      <c r="F294" s="72"/>
      <c r="G294" s="13">
        <v>22.5</v>
      </c>
      <c r="H294" s="13">
        <v>17.8</v>
      </c>
      <c r="I294" s="16">
        <v>28.1</v>
      </c>
      <c r="J294" s="13">
        <f t="shared" si="34"/>
        <v>2164.9000000000005</v>
      </c>
      <c r="K294" s="13">
        <f t="shared" si="39"/>
        <v>301.10000000000002</v>
      </c>
      <c r="L294" s="29"/>
      <c r="M294" s="13">
        <v>3.2</v>
      </c>
      <c r="N294" s="13">
        <v>5.2</v>
      </c>
      <c r="O294" s="15">
        <f t="shared" si="31"/>
        <v>-2</v>
      </c>
      <c r="P294" s="13">
        <f t="shared" si="37"/>
        <v>90.999999999999957</v>
      </c>
      <c r="Q294" s="13">
        <v>253</v>
      </c>
      <c r="R294" s="13">
        <v>1.1499999999999999</v>
      </c>
      <c r="S294" s="47">
        <f t="shared" si="32"/>
        <v>5.9799999999999995</v>
      </c>
      <c r="T294" s="47">
        <f t="shared" si="33"/>
        <v>-2.7799999999999994</v>
      </c>
      <c r="U294" s="38">
        <f t="shared" si="35"/>
        <v>22.847187499999947</v>
      </c>
      <c r="W294" s="13">
        <v>2000.6</v>
      </c>
      <c r="Y294" s="13">
        <f t="shared" si="36"/>
        <v>183593.39999999985</v>
      </c>
      <c r="Z294" s="13">
        <f t="shared" si="38"/>
        <v>37204.400000000001</v>
      </c>
      <c r="AA294" s="13">
        <v>15.370246976769803</v>
      </c>
    </row>
    <row r="295" spans="1:28" x14ac:dyDescent="0.25">
      <c r="A295">
        <v>6440</v>
      </c>
      <c r="B295">
        <v>26330</v>
      </c>
      <c r="C295" s="1">
        <v>42873</v>
      </c>
      <c r="F295" s="53" t="s">
        <v>27</v>
      </c>
      <c r="G295">
        <v>15.8</v>
      </c>
      <c r="H295">
        <v>14.5</v>
      </c>
      <c r="I295">
        <v>17.600000000000001</v>
      </c>
      <c r="J295">
        <f t="shared" si="34"/>
        <v>2180.7000000000007</v>
      </c>
      <c r="K295" s="48">
        <f>G295</f>
        <v>15.8</v>
      </c>
      <c r="L295" s="33" t="s">
        <v>29</v>
      </c>
      <c r="M295">
        <v>15.3</v>
      </c>
      <c r="N295">
        <v>1.2</v>
      </c>
      <c r="O295" s="37">
        <f t="shared" si="31"/>
        <v>14.100000000000001</v>
      </c>
      <c r="P295">
        <f t="shared" si="37"/>
        <v>105.09999999999997</v>
      </c>
      <c r="Q295">
        <v>254</v>
      </c>
      <c r="R295" s="38">
        <f>1.15+((Q295-253)/64)*(0.35-1.15)</f>
        <v>1.1375</v>
      </c>
      <c r="S295" s="38">
        <f t="shared" si="32"/>
        <v>1.365</v>
      </c>
      <c r="T295" s="38">
        <f t="shared" si="33"/>
        <v>13.935</v>
      </c>
      <c r="U295" s="38">
        <f t="shared" si="35"/>
        <v>36.782187499999949</v>
      </c>
      <c r="V295" s="8" t="s">
        <v>51</v>
      </c>
      <c r="W295">
        <v>561.5</v>
      </c>
      <c r="Y295">
        <f t="shared" si="36"/>
        <v>184154.89999999985</v>
      </c>
      <c r="Z295" s="48">
        <f>W295</f>
        <v>561.5</v>
      </c>
      <c r="AA295">
        <v>15.416332511891369</v>
      </c>
      <c r="AB295" s="8" t="s">
        <v>56</v>
      </c>
    </row>
    <row r="296" spans="1:28" s="48" customFormat="1" x14ac:dyDescent="0.25">
      <c r="A296" s="48">
        <v>6440</v>
      </c>
      <c r="B296" s="48">
        <v>26330</v>
      </c>
      <c r="C296" s="49">
        <v>42874</v>
      </c>
      <c r="F296" s="54"/>
      <c r="G296" s="48">
        <v>12.6</v>
      </c>
      <c r="H296" s="48">
        <v>10.7</v>
      </c>
      <c r="I296" s="48">
        <v>14.8</v>
      </c>
      <c r="J296" s="48">
        <f t="shared" si="34"/>
        <v>2193.3000000000006</v>
      </c>
      <c r="K296" s="48">
        <f t="shared" si="39"/>
        <v>28.4</v>
      </c>
      <c r="L296" s="22">
        <v>316</v>
      </c>
      <c r="M296" s="48">
        <v>2.2000000000000002</v>
      </c>
      <c r="N296" s="48">
        <v>1.7</v>
      </c>
      <c r="O296" s="50">
        <f t="shared" si="31"/>
        <v>0.50000000000000022</v>
      </c>
      <c r="P296" s="48">
        <f t="shared" si="37"/>
        <v>105.59999999999997</v>
      </c>
      <c r="Q296" s="48">
        <v>255</v>
      </c>
      <c r="R296" s="38">
        <f t="shared" ref="R296:R358" si="40">1.15+((Q296-253)/64)*(0.35-1.15)</f>
        <v>1.125</v>
      </c>
      <c r="S296" s="51">
        <f t="shared" si="32"/>
        <v>1.9124999999999999</v>
      </c>
      <c r="T296" s="51">
        <f t="shared" si="33"/>
        <v>0.28750000000000031</v>
      </c>
      <c r="U296" s="38">
        <f t="shared" si="35"/>
        <v>37.069687499999951</v>
      </c>
      <c r="V296">
        <v>8</v>
      </c>
      <c r="W296" s="48">
        <v>1277</v>
      </c>
      <c r="Y296" s="48">
        <f t="shared" si="36"/>
        <v>185431.89999999985</v>
      </c>
      <c r="Z296" s="48">
        <f t="shared" si="38"/>
        <v>1838.5</v>
      </c>
      <c r="AA296" s="48">
        <v>15.461501058168679</v>
      </c>
      <c r="AB296">
        <v>35570.9</v>
      </c>
    </row>
    <row r="297" spans="1:28" ht="15" customHeight="1" x14ac:dyDescent="0.25">
      <c r="A297">
        <v>6440</v>
      </c>
      <c r="B297">
        <v>26330</v>
      </c>
      <c r="C297" s="1">
        <v>42875</v>
      </c>
      <c r="F297" s="54"/>
      <c r="G297">
        <v>13.2</v>
      </c>
      <c r="H297">
        <v>10.7</v>
      </c>
      <c r="I297">
        <v>16.5</v>
      </c>
      <c r="J297">
        <f t="shared" si="34"/>
        <v>2206.5000000000005</v>
      </c>
      <c r="K297" s="48">
        <f t="shared" si="39"/>
        <v>41.599999999999994</v>
      </c>
      <c r="L297" s="33" t="s">
        <v>30</v>
      </c>
      <c r="M297">
        <v>0.4</v>
      </c>
      <c r="N297">
        <v>3.5</v>
      </c>
      <c r="O297" s="37">
        <f t="shared" si="31"/>
        <v>-3.1</v>
      </c>
      <c r="P297">
        <f t="shared" si="37"/>
        <v>102.49999999999997</v>
      </c>
      <c r="Q297">
        <v>256</v>
      </c>
      <c r="R297" s="38">
        <f t="shared" si="40"/>
        <v>1.1124999999999998</v>
      </c>
      <c r="S297" s="38">
        <f t="shared" si="32"/>
        <v>3.8937499999999994</v>
      </c>
      <c r="T297" s="38">
        <f t="shared" si="33"/>
        <v>-3.4937499999999995</v>
      </c>
      <c r="U297" s="38">
        <f t="shared" si="35"/>
        <v>33.575937499999952</v>
      </c>
      <c r="V297" s="8" t="s">
        <v>52</v>
      </c>
      <c r="W297">
        <v>2137.3000000000002</v>
      </c>
      <c r="Y297">
        <f t="shared" si="36"/>
        <v>187569.19999999984</v>
      </c>
      <c r="Z297" s="48">
        <f t="shared" si="38"/>
        <v>3975.8</v>
      </c>
      <c r="AA297">
        <v>15.505724915533904</v>
      </c>
      <c r="AB297" s="8" t="s">
        <v>57</v>
      </c>
    </row>
    <row r="298" spans="1:28" x14ac:dyDescent="0.25">
      <c r="A298">
        <v>6440</v>
      </c>
      <c r="B298">
        <v>26330</v>
      </c>
      <c r="C298" s="1">
        <v>42876</v>
      </c>
      <c r="F298" s="54"/>
      <c r="G298">
        <v>15.8</v>
      </c>
      <c r="H298">
        <v>10.1</v>
      </c>
      <c r="I298">
        <v>20</v>
      </c>
      <c r="J298">
        <f t="shared" si="34"/>
        <v>2222.3000000000006</v>
      </c>
      <c r="K298" s="48">
        <f t="shared" si="39"/>
        <v>57.399999999999991</v>
      </c>
      <c r="L298" s="22">
        <f>AVERAGE(G295:G311)</f>
        <v>18.588235294117652</v>
      </c>
      <c r="M298">
        <v>0</v>
      </c>
      <c r="N298">
        <v>3.4</v>
      </c>
      <c r="O298" s="37">
        <f t="shared" si="31"/>
        <v>-3.4</v>
      </c>
      <c r="P298">
        <f t="shared" si="37"/>
        <v>99.099999999999966</v>
      </c>
      <c r="Q298">
        <v>257</v>
      </c>
      <c r="R298" s="38">
        <f t="shared" si="40"/>
        <v>1.0999999999999999</v>
      </c>
      <c r="S298" s="38">
        <f t="shared" si="32"/>
        <v>3.7399999999999993</v>
      </c>
      <c r="T298" s="38">
        <f t="shared" si="33"/>
        <v>-3.7399999999999993</v>
      </c>
      <c r="U298" s="38">
        <f t="shared" si="35"/>
        <v>29.835937499999954</v>
      </c>
      <c r="V298">
        <v>9</v>
      </c>
      <c r="W298">
        <v>2083.8000000000002</v>
      </c>
      <c r="Y298">
        <f t="shared" si="36"/>
        <v>189652.99999999983</v>
      </c>
      <c r="Z298" s="48">
        <f t="shared" si="38"/>
        <v>6059.6</v>
      </c>
      <c r="AA298">
        <v>15.548976238658444</v>
      </c>
      <c r="AB298">
        <f>(AB296/100)/L296</f>
        <v>1.1256613924050634</v>
      </c>
    </row>
    <row r="299" spans="1:28" x14ac:dyDescent="0.25">
      <c r="A299">
        <v>6440</v>
      </c>
      <c r="B299">
        <v>26330</v>
      </c>
      <c r="C299" s="1">
        <v>42877</v>
      </c>
      <c r="F299" s="54"/>
      <c r="G299">
        <v>18.600000000000001</v>
      </c>
      <c r="H299">
        <v>13.2</v>
      </c>
      <c r="I299">
        <v>23.6</v>
      </c>
      <c r="J299">
        <f t="shared" si="34"/>
        <v>2240.9000000000005</v>
      </c>
      <c r="K299" s="48">
        <f t="shared" si="39"/>
        <v>76</v>
      </c>
      <c r="L299" s="33" t="s">
        <v>31</v>
      </c>
      <c r="M299">
        <v>0</v>
      </c>
      <c r="N299">
        <v>5.6</v>
      </c>
      <c r="O299" s="37">
        <f t="shared" ref="O299:O358" si="41">M299-N299</f>
        <v>-5.6</v>
      </c>
      <c r="P299">
        <f t="shared" si="37"/>
        <v>93.499999999999972</v>
      </c>
      <c r="Q299">
        <v>258</v>
      </c>
      <c r="R299" s="38">
        <f t="shared" si="40"/>
        <v>1.0874999999999999</v>
      </c>
      <c r="S299" s="38">
        <f t="shared" ref="S299:S358" si="42">R299*N299</f>
        <v>6.089999999999999</v>
      </c>
      <c r="T299" s="38">
        <f t="shared" ref="T299:T358" si="43">M299-S299</f>
        <v>-6.089999999999999</v>
      </c>
      <c r="U299" s="38">
        <f t="shared" si="35"/>
        <v>23.745937499999954</v>
      </c>
      <c r="V299" s="8" t="s">
        <v>53</v>
      </c>
      <c r="W299">
        <v>2900.4</v>
      </c>
      <c r="Y299">
        <f t="shared" si="36"/>
        <v>192553.39999999982</v>
      </c>
      <c r="Z299" s="48">
        <f t="shared" si="38"/>
        <v>8960</v>
      </c>
      <c r="AA299">
        <v>15.591227082806263</v>
      </c>
      <c r="AB299" s="8" t="s">
        <v>58</v>
      </c>
    </row>
    <row r="300" spans="1:28" x14ac:dyDescent="0.25">
      <c r="A300">
        <v>6440</v>
      </c>
      <c r="B300">
        <v>26330</v>
      </c>
      <c r="C300" s="1">
        <v>42878</v>
      </c>
      <c r="F300" s="54"/>
      <c r="G300">
        <v>17.8</v>
      </c>
      <c r="H300">
        <v>14.5</v>
      </c>
      <c r="I300">
        <v>21.3</v>
      </c>
      <c r="J300">
        <f t="shared" ref="J300:J358" si="44">J299+G300</f>
        <v>2258.7000000000007</v>
      </c>
      <c r="K300" s="48">
        <f t="shared" si="39"/>
        <v>93.8</v>
      </c>
      <c r="L300" s="25">
        <f>MIN(H295:H311)</f>
        <v>10.1</v>
      </c>
      <c r="M300">
        <v>0</v>
      </c>
      <c r="N300">
        <v>3.6</v>
      </c>
      <c r="O300" s="37">
        <f t="shared" si="41"/>
        <v>-3.6</v>
      </c>
      <c r="P300">
        <f t="shared" si="37"/>
        <v>89.899999999999977</v>
      </c>
      <c r="Q300">
        <v>259</v>
      </c>
      <c r="R300" s="38">
        <f t="shared" si="40"/>
        <v>1.075</v>
      </c>
      <c r="S300" s="38">
        <f t="shared" si="42"/>
        <v>3.87</v>
      </c>
      <c r="T300" s="38">
        <f t="shared" si="43"/>
        <v>-3.87</v>
      </c>
      <c r="U300" s="38">
        <f t="shared" ref="U300:U358" si="45">MIN(T300+U299,153.6)</f>
        <v>19.875937499999953</v>
      </c>
      <c r="V300">
        <v>0</v>
      </c>
      <c r="W300">
        <v>1934.7</v>
      </c>
      <c r="Y300">
        <f t="shared" ref="Y300:Y358" si="46">Y299+W300</f>
        <v>194488.09999999983</v>
      </c>
      <c r="Z300" s="48">
        <f t="shared" si="38"/>
        <v>10894.7</v>
      </c>
      <c r="AA300">
        <v>15.63244945248254</v>
      </c>
      <c r="AB300">
        <v>1</v>
      </c>
    </row>
    <row r="301" spans="1:28" x14ac:dyDescent="0.25">
      <c r="A301">
        <v>6440</v>
      </c>
      <c r="B301">
        <v>26330</v>
      </c>
      <c r="C301" s="1">
        <v>42879</v>
      </c>
      <c r="F301" s="54"/>
      <c r="G301">
        <v>18</v>
      </c>
      <c r="H301">
        <v>13.9</v>
      </c>
      <c r="I301">
        <v>22.1</v>
      </c>
      <c r="J301">
        <f t="shared" si="44"/>
        <v>2276.7000000000007</v>
      </c>
      <c r="K301" s="48">
        <f t="shared" si="39"/>
        <v>111.8</v>
      </c>
      <c r="L301" s="33" t="s">
        <v>32</v>
      </c>
      <c r="M301">
        <v>0</v>
      </c>
      <c r="N301">
        <v>2.9</v>
      </c>
      <c r="O301" s="37">
        <f t="shared" si="41"/>
        <v>-2.9</v>
      </c>
      <c r="P301">
        <f t="shared" si="37"/>
        <v>86.999999999999972</v>
      </c>
      <c r="Q301">
        <v>260</v>
      </c>
      <c r="R301" s="38">
        <f t="shared" si="40"/>
        <v>1.0625</v>
      </c>
      <c r="S301" s="38">
        <f t="shared" si="42"/>
        <v>3.0812499999999998</v>
      </c>
      <c r="T301" s="38">
        <f t="shared" si="43"/>
        <v>-3.0812499999999998</v>
      </c>
      <c r="U301" s="38">
        <f t="shared" si="45"/>
        <v>16.794687499999952</v>
      </c>
      <c r="V301" s="8" t="s">
        <v>54</v>
      </c>
      <c r="W301">
        <v>1568.4</v>
      </c>
      <c r="Y301">
        <f t="shared" si="46"/>
        <v>196056.49999999983</v>
      </c>
      <c r="Z301" s="48">
        <f t="shared" si="38"/>
        <v>12463.1</v>
      </c>
      <c r="AA301">
        <v>15.672615352818021</v>
      </c>
    </row>
    <row r="302" spans="1:28" x14ac:dyDescent="0.25">
      <c r="A302">
        <v>6440</v>
      </c>
      <c r="B302">
        <v>26330</v>
      </c>
      <c r="C302" s="1">
        <v>42880</v>
      </c>
      <c r="F302" s="54"/>
      <c r="G302">
        <v>19.7</v>
      </c>
      <c r="H302">
        <v>14.4</v>
      </c>
      <c r="I302">
        <v>24.5</v>
      </c>
      <c r="J302">
        <f t="shared" si="44"/>
        <v>2296.4000000000005</v>
      </c>
      <c r="K302" s="48">
        <f t="shared" si="39"/>
        <v>131.5</v>
      </c>
      <c r="L302" s="22">
        <f>MAX(I295:I311)</f>
        <v>29.9</v>
      </c>
      <c r="M302">
        <v>0</v>
      </c>
      <c r="N302">
        <v>6.2</v>
      </c>
      <c r="O302" s="37">
        <f t="shared" si="41"/>
        <v>-6.2</v>
      </c>
      <c r="P302">
        <f t="shared" si="37"/>
        <v>80.799999999999969</v>
      </c>
      <c r="Q302">
        <v>261</v>
      </c>
      <c r="R302" s="38">
        <f t="shared" si="40"/>
        <v>1.0499999999999998</v>
      </c>
      <c r="S302" s="38">
        <f t="shared" si="42"/>
        <v>6.5099999999999989</v>
      </c>
      <c r="T302" s="38">
        <f t="shared" si="43"/>
        <v>-6.5099999999999989</v>
      </c>
      <c r="U302" s="38">
        <f t="shared" si="45"/>
        <v>10.284687499999954</v>
      </c>
      <c r="V302" s="38">
        <f>MAX(U295:U311)</f>
        <v>37.069687499999951</v>
      </c>
      <c r="W302">
        <v>3162.8</v>
      </c>
      <c r="Y302">
        <f t="shared" si="46"/>
        <v>199219.29999999981</v>
      </c>
      <c r="Z302" s="48">
        <f t="shared" si="38"/>
        <v>15625.900000000001</v>
      </c>
      <c r="AA302">
        <v>15.711696843606513</v>
      </c>
    </row>
    <row r="303" spans="1:28" x14ac:dyDescent="0.25">
      <c r="A303">
        <v>6440</v>
      </c>
      <c r="B303">
        <v>26330</v>
      </c>
      <c r="C303" s="1">
        <v>42881</v>
      </c>
      <c r="F303" s="54"/>
      <c r="G303">
        <v>22.4</v>
      </c>
      <c r="H303">
        <v>17.2</v>
      </c>
      <c r="I303" s="2">
        <v>27.5</v>
      </c>
      <c r="J303">
        <f t="shared" si="44"/>
        <v>2318.8000000000006</v>
      </c>
      <c r="K303" s="48">
        <f t="shared" si="39"/>
        <v>153.9</v>
      </c>
      <c r="L303" s="33" t="s">
        <v>33</v>
      </c>
      <c r="M303">
        <v>0</v>
      </c>
      <c r="N303">
        <v>7.5</v>
      </c>
      <c r="O303" s="37">
        <f t="shared" si="41"/>
        <v>-7.5</v>
      </c>
      <c r="P303">
        <f t="shared" si="37"/>
        <v>73.299999999999969</v>
      </c>
      <c r="Q303">
        <v>262</v>
      </c>
      <c r="R303" s="38">
        <f t="shared" si="40"/>
        <v>1.0374999999999999</v>
      </c>
      <c r="S303" s="38">
        <f t="shared" si="42"/>
        <v>7.7812499999999991</v>
      </c>
      <c r="T303" s="38">
        <f t="shared" si="43"/>
        <v>-7.7812499999999991</v>
      </c>
      <c r="U303" s="38">
        <f t="shared" si="45"/>
        <v>2.5034374999999551</v>
      </c>
      <c r="V303" s="8" t="s">
        <v>55</v>
      </c>
      <c r="W303">
        <v>3167.6</v>
      </c>
      <c r="Y303">
        <f t="shared" si="46"/>
        <v>202386.89999999982</v>
      </c>
      <c r="Z303" s="48">
        <f t="shared" si="38"/>
        <v>18793.5</v>
      </c>
      <c r="AA303">
        <v>15.749666095888916</v>
      </c>
    </row>
    <row r="304" spans="1:28" x14ac:dyDescent="0.25">
      <c r="A304">
        <v>6440</v>
      </c>
      <c r="B304">
        <v>26330</v>
      </c>
      <c r="C304" s="1">
        <v>42882</v>
      </c>
      <c r="F304" s="54"/>
      <c r="G304">
        <v>22.2</v>
      </c>
      <c r="H304">
        <v>17.3</v>
      </c>
      <c r="I304" s="2">
        <v>29.1</v>
      </c>
      <c r="J304">
        <f t="shared" si="44"/>
        <v>2341.0000000000005</v>
      </c>
      <c r="K304" s="48">
        <f t="shared" si="39"/>
        <v>176.1</v>
      </c>
      <c r="L304" s="22">
        <v>6</v>
      </c>
      <c r="M304">
        <v>0.5</v>
      </c>
      <c r="N304">
        <v>4.8</v>
      </c>
      <c r="O304" s="37">
        <f t="shared" si="41"/>
        <v>-4.3</v>
      </c>
      <c r="P304">
        <f t="shared" si="37"/>
        <v>68.999999999999972</v>
      </c>
      <c r="Q304">
        <v>263</v>
      </c>
      <c r="R304" s="38">
        <f t="shared" si="40"/>
        <v>1.0249999999999999</v>
      </c>
      <c r="S304" s="38">
        <f t="shared" si="42"/>
        <v>4.919999999999999</v>
      </c>
      <c r="T304" s="38">
        <f t="shared" si="43"/>
        <v>-4.419999999999999</v>
      </c>
      <c r="U304" s="38">
        <v>0</v>
      </c>
      <c r="V304" s="38">
        <f>AVERAGE(U295:U311)</f>
        <v>12.380496323529387</v>
      </c>
      <c r="W304">
        <v>1910.3</v>
      </c>
      <c r="Y304">
        <f t="shared" si="46"/>
        <v>204297.19999999981</v>
      </c>
      <c r="Z304" s="48">
        <f t="shared" si="38"/>
        <v>20703.8</v>
      </c>
      <c r="AA304">
        <v>15.786495450951758</v>
      </c>
    </row>
    <row r="305" spans="1:28" x14ac:dyDescent="0.25">
      <c r="A305">
        <v>6440</v>
      </c>
      <c r="B305">
        <v>26330</v>
      </c>
      <c r="C305" s="1">
        <v>42883</v>
      </c>
      <c r="F305" s="54"/>
      <c r="G305">
        <v>22.3</v>
      </c>
      <c r="H305">
        <v>16.899999999999999</v>
      </c>
      <c r="I305" s="2">
        <v>26.3</v>
      </c>
      <c r="J305">
        <f t="shared" si="44"/>
        <v>2363.3000000000006</v>
      </c>
      <c r="K305" s="48">
        <f t="shared" si="39"/>
        <v>198.4</v>
      </c>
      <c r="L305" s="33" t="s">
        <v>34</v>
      </c>
      <c r="M305">
        <v>0</v>
      </c>
      <c r="N305">
        <v>3.7</v>
      </c>
      <c r="O305" s="37">
        <f t="shared" si="41"/>
        <v>-3.7</v>
      </c>
      <c r="P305">
        <f t="shared" si="37"/>
        <v>65.299999999999969</v>
      </c>
      <c r="Q305">
        <v>264</v>
      </c>
      <c r="R305" s="38">
        <f t="shared" si="40"/>
        <v>1.0125</v>
      </c>
      <c r="S305" s="38">
        <f t="shared" si="42"/>
        <v>3.7462499999999999</v>
      </c>
      <c r="T305" s="38">
        <f t="shared" si="43"/>
        <v>-3.7462499999999999</v>
      </c>
      <c r="U305" s="38">
        <v>0</v>
      </c>
      <c r="W305">
        <v>1809</v>
      </c>
      <c r="Y305">
        <f t="shared" si="46"/>
        <v>206106.19999999981</v>
      </c>
      <c r="Z305" s="48">
        <f t="shared" si="38"/>
        <v>22512.799999999999</v>
      </c>
      <c r="AA305">
        <v>15.822157481581936</v>
      </c>
    </row>
    <row r="306" spans="1:28" x14ac:dyDescent="0.25">
      <c r="A306">
        <v>6440</v>
      </c>
      <c r="B306">
        <v>26330</v>
      </c>
      <c r="C306" s="1">
        <v>42884</v>
      </c>
      <c r="F306" s="54"/>
      <c r="G306">
        <v>23</v>
      </c>
      <c r="H306">
        <v>19</v>
      </c>
      <c r="I306" s="2">
        <v>29.9</v>
      </c>
      <c r="J306">
        <f t="shared" si="44"/>
        <v>2386.3000000000006</v>
      </c>
      <c r="K306" s="48">
        <f t="shared" si="39"/>
        <v>221.4</v>
      </c>
      <c r="L306" s="22">
        <v>0</v>
      </c>
      <c r="M306">
        <v>0.6</v>
      </c>
      <c r="N306">
        <v>5.8</v>
      </c>
      <c r="O306" s="37">
        <f t="shared" si="41"/>
        <v>-5.2</v>
      </c>
      <c r="P306">
        <f t="shared" si="37"/>
        <v>60.099999999999966</v>
      </c>
      <c r="Q306">
        <v>265</v>
      </c>
      <c r="R306" s="38">
        <f t="shared" si="40"/>
        <v>0.99999999999999989</v>
      </c>
      <c r="S306" s="38">
        <f t="shared" si="42"/>
        <v>5.7999999999999989</v>
      </c>
      <c r="T306" s="38">
        <f t="shared" si="43"/>
        <v>-5.1999999999999993</v>
      </c>
      <c r="U306" s="38">
        <v>0</v>
      </c>
      <c r="V306" s="52">
        <f>(V304*100)/153.6</f>
        <v>8.0602189606311114</v>
      </c>
      <c r="W306">
        <v>2464.1</v>
      </c>
      <c r="Y306">
        <f t="shared" si="46"/>
        <v>208570.29999999981</v>
      </c>
      <c r="Z306" s="48">
        <f t="shared" si="38"/>
        <v>24976.899999999998</v>
      </c>
      <c r="AA306">
        <v>15.856625055392405</v>
      </c>
    </row>
    <row r="307" spans="1:28" x14ac:dyDescent="0.25">
      <c r="A307">
        <v>6440</v>
      </c>
      <c r="B307">
        <v>26330</v>
      </c>
      <c r="C307" s="1">
        <v>42885</v>
      </c>
      <c r="F307" s="54"/>
      <c r="G307">
        <v>17.3</v>
      </c>
      <c r="H307">
        <v>16.5</v>
      </c>
      <c r="I307">
        <v>19.5</v>
      </c>
      <c r="J307">
        <f t="shared" si="44"/>
        <v>2403.6000000000008</v>
      </c>
      <c r="K307" s="48">
        <f t="shared" si="39"/>
        <v>238.70000000000002</v>
      </c>
      <c r="L307" s="33" t="s">
        <v>35</v>
      </c>
      <c r="M307">
        <v>0</v>
      </c>
      <c r="N307">
        <v>2.8</v>
      </c>
      <c r="O307" s="37">
        <f t="shared" si="41"/>
        <v>-2.8</v>
      </c>
      <c r="P307">
        <f t="shared" si="37"/>
        <v>57.299999999999969</v>
      </c>
      <c r="Q307">
        <v>266</v>
      </c>
      <c r="R307" s="38">
        <f t="shared" si="40"/>
        <v>0.98749999999999993</v>
      </c>
      <c r="S307" s="38">
        <f t="shared" si="42"/>
        <v>2.7649999999999997</v>
      </c>
      <c r="T307" s="38">
        <f t="shared" si="43"/>
        <v>-2.7649999999999997</v>
      </c>
      <c r="U307" s="38">
        <v>0</v>
      </c>
      <c r="W307">
        <v>1020.2</v>
      </c>
      <c r="Y307">
        <f t="shared" si="46"/>
        <v>209590.49999999983</v>
      </c>
      <c r="Z307" s="48">
        <f t="shared" si="38"/>
        <v>25997.1</v>
      </c>
      <c r="AA307">
        <v>15.889871400005964</v>
      </c>
    </row>
    <row r="308" spans="1:28" x14ac:dyDescent="0.25">
      <c r="A308">
        <v>6440</v>
      </c>
      <c r="B308">
        <v>26330</v>
      </c>
      <c r="C308" s="1">
        <v>42886</v>
      </c>
      <c r="F308" s="54"/>
      <c r="G308">
        <v>17.5</v>
      </c>
      <c r="H308">
        <v>12.1</v>
      </c>
      <c r="I308">
        <v>22.1</v>
      </c>
      <c r="J308">
        <f t="shared" si="44"/>
        <v>2421.1000000000008</v>
      </c>
      <c r="K308" s="48">
        <f t="shared" si="39"/>
        <v>256.20000000000005</v>
      </c>
      <c r="L308" s="31">
        <v>0</v>
      </c>
      <c r="M308">
        <v>0</v>
      </c>
      <c r="N308">
        <v>3.5</v>
      </c>
      <c r="O308" s="37">
        <f t="shared" si="41"/>
        <v>-3.5</v>
      </c>
      <c r="P308">
        <f t="shared" ref="P308:P358" si="47">P307+O308</f>
        <v>53.799999999999969</v>
      </c>
      <c r="Q308">
        <v>267</v>
      </c>
      <c r="R308" s="38">
        <f t="shared" si="40"/>
        <v>0.97499999999999987</v>
      </c>
      <c r="S308" s="38">
        <f t="shared" si="42"/>
        <v>3.4124999999999996</v>
      </c>
      <c r="T308" s="38">
        <f t="shared" si="43"/>
        <v>-3.4124999999999996</v>
      </c>
      <c r="U308" s="38">
        <v>0</v>
      </c>
      <c r="W308">
        <v>2040</v>
      </c>
      <c r="Y308">
        <f t="shared" si="46"/>
        <v>211630.49999999983</v>
      </c>
      <c r="Z308" s="48">
        <f t="shared" si="38"/>
        <v>28037.1</v>
      </c>
      <c r="AA308">
        <v>15.921870169856962</v>
      </c>
    </row>
    <row r="309" spans="1:28" x14ac:dyDescent="0.25">
      <c r="A309">
        <v>6440</v>
      </c>
      <c r="B309">
        <v>26330</v>
      </c>
      <c r="C309" s="1">
        <v>42887</v>
      </c>
      <c r="F309" s="54"/>
      <c r="G309">
        <v>20.5</v>
      </c>
      <c r="H309">
        <v>14.1</v>
      </c>
      <c r="I309" s="2">
        <v>25.6</v>
      </c>
      <c r="J309">
        <f t="shared" si="44"/>
        <v>2441.6000000000008</v>
      </c>
      <c r="K309" s="48">
        <f t="shared" si="39"/>
        <v>276.70000000000005</v>
      </c>
      <c r="M309">
        <v>0</v>
      </c>
      <c r="N309">
        <v>5.2</v>
      </c>
      <c r="O309" s="37">
        <f t="shared" si="41"/>
        <v>-5.2</v>
      </c>
      <c r="P309">
        <f t="shared" si="47"/>
        <v>48.599999999999966</v>
      </c>
      <c r="Q309">
        <v>268</v>
      </c>
      <c r="R309" s="38">
        <f t="shared" si="40"/>
        <v>0.96249999999999991</v>
      </c>
      <c r="S309" s="38">
        <f t="shared" si="42"/>
        <v>5.0049999999999999</v>
      </c>
      <c r="T309" s="38">
        <f t="shared" si="43"/>
        <v>-5.0049999999999999</v>
      </c>
      <c r="U309" s="38">
        <v>0</v>
      </c>
      <c r="W309">
        <v>2702</v>
      </c>
      <c r="Y309">
        <f t="shared" si="46"/>
        <v>214332.49999999983</v>
      </c>
      <c r="Z309" s="48">
        <f t="shared" si="38"/>
        <v>30739.1</v>
      </c>
      <c r="AA309">
        <v>15.952595514343143</v>
      </c>
    </row>
    <row r="310" spans="1:28" x14ac:dyDescent="0.25">
      <c r="A310">
        <v>6440</v>
      </c>
      <c r="B310">
        <v>26330</v>
      </c>
      <c r="C310" s="1">
        <v>42888</v>
      </c>
      <c r="F310" s="54"/>
      <c r="G310">
        <v>21.7</v>
      </c>
      <c r="H310">
        <v>16.8</v>
      </c>
      <c r="I310" s="2">
        <v>27.4</v>
      </c>
      <c r="J310">
        <f t="shared" si="44"/>
        <v>2463.3000000000006</v>
      </c>
      <c r="K310" s="48">
        <f t="shared" si="39"/>
        <v>298.40000000000003</v>
      </c>
      <c r="M310">
        <v>5</v>
      </c>
      <c r="N310">
        <v>5.4</v>
      </c>
      <c r="O310" s="37">
        <f t="shared" si="41"/>
        <v>-0.40000000000000036</v>
      </c>
      <c r="P310">
        <f t="shared" si="47"/>
        <v>48.199999999999967</v>
      </c>
      <c r="Q310">
        <v>269</v>
      </c>
      <c r="R310" s="38">
        <f t="shared" si="40"/>
        <v>0.95</v>
      </c>
      <c r="S310" s="38">
        <f t="shared" si="42"/>
        <v>5.13</v>
      </c>
      <c r="T310" s="38">
        <f t="shared" si="43"/>
        <v>-0.12999999999999989</v>
      </c>
      <c r="U310" s="38">
        <v>0</v>
      </c>
      <c r="W310">
        <v>2629.7</v>
      </c>
      <c r="Y310">
        <f t="shared" si="46"/>
        <v>216962.19999999984</v>
      </c>
      <c r="Z310" s="48">
        <f t="shared" si="38"/>
        <v>33368.799999999996</v>
      </c>
      <c r="AA310">
        <v>15.98202214703338</v>
      </c>
    </row>
    <row r="311" spans="1:28" s="13" customFormat="1" ht="15.75" thickBot="1" x14ac:dyDescent="0.3">
      <c r="A311" s="13">
        <v>6440</v>
      </c>
      <c r="B311" s="13">
        <v>26330</v>
      </c>
      <c r="C311" s="14">
        <v>42889</v>
      </c>
      <c r="F311" s="55"/>
      <c r="G311" s="13">
        <v>17.600000000000001</v>
      </c>
      <c r="H311" s="13">
        <v>16.8</v>
      </c>
      <c r="I311" s="13">
        <v>21.8</v>
      </c>
      <c r="J311" s="13">
        <f t="shared" si="44"/>
        <v>2480.9000000000005</v>
      </c>
      <c r="K311" s="13">
        <f t="shared" si="39"/>
        <v>316.00000000000006</v>
      </c>
      <c r="L311" s="29"/>
      <c r="M311" s="13">
        <v>0</v>
      </c>
      <c r="N311" s="13">
        <v>4.4000000000000004</v>
      </c>
      <c r="O311" s="15">
        <f t="shared" si="41"/>
        <v>-4.4000000000000004</v>
      </c>
      <c r="P311" s="13">
        <f t="shared" si="47"/>
        <v>43.799999999999969</v>
      </c>
      <c r="Q311" s="13">
        <v>270</v>
      </c>
      <c r="R311" s="38">
        <f t="shared" si="40"/>
        <v>0.93749999999999989</v>
      </c>
      <c r="S311" s="47">
        <f t="shared" si="42"/>
        <v>4.125</v>
      </c>
      <c r="T311" s="47">
        <f t="shared" si="43"/>
        <v>-4.125</v>
      </c>
      <c r="U311" s="38">
        <v>0</v>
      </c>
      <c r="W311" s="13">
        <v>2202.1</v>
      </c>
      <c r="Y311" s="13">
        <f t="shared" si="46"/>
        <v>219164.29999999984</v>
      </c>
      <c r="Z311" s="13">
        <f t="shared" si="38"/>
        <v>35570.899999999994</v>
      </c>
      <c r="AA311" s="13">
        <v>16.010125415611348</v>
      </c>
    </row>
    <row r="312" spans="1:28" s="48" customFormat="1" x14ac:dyDescent="0.25">
      <c r="A312" s="48">
        <v>6440</v>
      </c>
      <c r="B312" s="48">
        <v>26330</v>
      </c>
      <c r="C312" s="49">
        <v>42890</v>
      </c>
      <c r="F312" s="56" t="s">
        <v>28</v>
      </c>
      <c r="G312" s="48">
        <v>15.8</v>
      </c>
      <c r="H312" s="48">
        <v>12</v>
      </c>
      <c r="I312" s="48">
        <v>18.7</v>
      </c>
      <c r="J312" s="48">
        <f t="shared" si="44"/>
        <v>2496.7000000000007</v>
      </c>
      <c r="K312" s="48">
        <f>G312</f>
        <v>15.8</v>
      </c>
      <c r="L312" s="34" t="s">
        <v>29</v>
      </c>
      <c r="M312" s="48">
        <v>0</v>
      </c>
      <c r="N312" s="48">
        <v>3.4</v>
      </c>
      <c r="O312" s="50">
        <f t="shared" si="41"/>
        <v>-3.4</v>
      </c>
      <c r="P312" s="48">
        <f t="shared" si="47"/>
        <v>40.39999999999997</v>
      </c>
      <c r="Q312" s="48">
        <v>271</v>
      </c>
      <c r="R312" s="38">
        <f t="shared" si="40"/>
        <v>0.92499999999999993</v>
      </c>
      <c r="S312" s="51">
        <f t="shared" si="42"/>
        <v>3.1449999999999996</v>
      </c>
      <c r="T312" s="51">
        <f t="shared" si="43"/>
        <v>-3.1449999999999996</v>
      </c>
      <c r="U312" s="38">
        <v>0</v>
      </c>
      <c r="V312" s="9" t="s">
        <v>51</v>
      </c>
      <c r="W312" s="48">
        <v>1731.1</v>
      </c>
      <c r="Y312" s="48">
        <f t="shared" si="46"/>
        <v>220895.39999999985</v>
      </c>
      <c r="Z312" s="48">
        <f>W312</f>
        <v>1731.1</v>
      </c>
      <c r="AA312" s="48">
        <v>16.036881372210996</v>
      </c>
      <c r="AB312" s="9" t="s">
        <v>56</v>
      </c>
    </row>
    <row r="313" spans="1:28" ht="15" customHeight="1" x14ac:dyDescent="0.25">
      <c r="A313">
        <v>6440</v>
      </c>
      <c r="B313">
        <v>26330</v>
      </c>
      <c r="C313" s="1">
        <v>42891</v>
      </c>
      <c r="F313" s="57"/>
      <c r="G313">
        <v>17.600000000000001</v>
      </c>
      <c r="H313">
        <v>12.2</v>
      </c>
      <c r="I313">
        <v>21.2</v>
      </c>
      <c r="J313">
        <f t="shared" si="44"/>
        <v>2514.3000000000006</v>
      </c>
      <c r="K313" s="48">
        <f t="shared" si="39"/>
        <v>33.400000000000006</v>
      </c>
      <c r="L313" s="22">
        <v>416.2</v>
      </c>
      <c r="M313">
        <v>6</v>
      </c>
      <c r="N313">
        <v>4.3</v>
      </c>
      <c r="O313" s="37">
        <f t="shared" si="41"/>
        <v>1.7000000000000002</v>
      </c>
      <c r="P313">
        <f t="shared" si="47"/>
        <v>42.099999999999973</v>
      </c>
      <c r="Q313">
        <v>272</v>
      </c>
      <c r="R313" s="38">
        <f t="shared" si="40"/>
        <v>0.91249999999999987</v>
      </c>
      <c r="S313" s="38">
        <f t="shared" si="42"/>
        <v>3.9237499999999992</v>
      </c>
      <c r="T313" s="38">
        <f t="shared" si="43"/>
        <v>2.0762500000000008</v>
      </c>
      <c r="U313" s="38">
        <f t="shared" si="45"/>
        <v>2.0762500000000008</v>
      </c>
      <c r="V313">
        <v>17</v>
      </c>
      <c r="W313">
        <v>1999</v>
      </c>
      <c r="Y313">
        <f t="shared" si="46"/>
        <v>222894.39999999985</v>
      </c>
      <c r="Z313" s="48">
        <f t="shared" si="38"/>
        <v>3730.1</v>
      </c>
      <c r="AA313">
        <v>16.062266843777515</v>
      </c>
      <c r="AB313">
        <v>43237.5</v>
      </c>
    </row>
    <row r="314" spans="1:28" x14ac:dyDescent="0.25">
      <c r="A314">
        <v>6440</v>
      </c>
      <c r="B314">
        <v>26330</v>
      </c>
      <c r="C314" s="1">
        <v>42892</v>
      </c>
      <c r="F314" s="57"/>
      <c r="G314">
        <v>14.4</v>
      </c>
      <c r="H314">
        <v>12.7</v>
      </c>
      <c r="I314">
        <v>15.5</v>
      </c>
      <c r="J314">
        <f t="shared" si="44"/>
        <v>2528.7000000000007</v>
      </c>
      <c r="K314" s="48">
        <f t="shared" si="39"/>
        <v>47.800000000000004</v>
      </c>
      <c r="L314" s="34" t="s">
        <v>30</v>
      </c>
      <c r="M314">
        <v>2.6</v>
      </c>
      <c r="N314">
        <v>2.2999999999999998</v>
      </c>
      <c r="O314" s="37">
        <f t="shared" si="41"/>
        <v>0.30000000000000027</v>
      </c>
      <c r="P314">
        <f t="shared" si="47"/>
        <v>42.39999999999997</v>
      </c>
      <c r="Q314">
        <v>273</v>
      </c>
      <c r="R314" s="38">
        <f t="shared" si="40"/>
        <v>0.89999999999999991</v>
      </c>
      <c r="S314" s="38">
        <f t="shared" si="42"/>
        <v>2.0699999999999998</v>
      </c>
      <c r="T314" s="38">
        <f t="shared" si="43"/>
        <v>0.53000000000000025</v>
      </c>
      <c r="U314" s="38">
        <f t="shared" si="45"/>
        <v>2.6062500000000011</v>
      </c>
      <c r="V314" s="9" t="s">
        <v>52</v>
      </c>
      <c r="W314">
        <v>768.6</v>
      </c>
      <c r="Y314">
        <f t="shared" si="46"/>
        <v>223662.99999999985</v>
      </c>
      <c r="Z314" s="48">
        <f t="shared" si="38"/>
        <v>4498.7</v>
      </c>
      <c r="AA314">
        <v>16.08625950206779</v>
      </c>
      <c r="AB314" s="9" t="s">
        <v>57</v>
      </c>
    </row>
    <row r="315" spans="1:28" x14ac:dyDescent="0.25">
      <c r="A315">
        <v>6440</v>
      </c>
      <c r="B315">
        <v>26330</v>
      </c>
      <c r="C315" s="1">
        <v>42893</v>
      </c>
      <c r="F315" s="57"/>
      <c r="G315">
        <v>15</v>
      </c>
      <c r="H315">
        <v>12.8</v>
      </c>
      <c r="I315">
        <v>17.399999999999999</v>
      </c>
      <c r="J315">
        <f t="shared" si="44"/>
        <v>2543.7000000000007</v>
      </c>
      <c r="K315" s="48">
        <f t="shared" si="39"/>
        <v>62.800000000000004</v>
      </c>
      <c r="L315" s="22">
        <f>AVERAGE(G312:G332)</f>
        <v>19.81904761904762</v>
      </c>
      <c r="M315">
        <v>0.8</v>
      </c>
      <c r="N315">
        <v>3.9</v>
      </c>
      <c r="O315" s="37">
        <f t="shared" si="41"/>
        <v>-3.0999999999999996</v>
      </c>
      <c r="P315">
        <f t="shared" si="47"/>
        <v>39.299999999999969</v>
      </c>
      <c r="Q315">
        <v>274</v>
      </c>
      <c r="R315" s="38">
        <f t="shared" si="40"/>
        <v>0.88749999999999996</v>
      </c>
      <c r="S315" s="38">
        <f t="shared" si="42"/>
        <v>3.4612499999999997</v>
      </c>
      <c r="T315" s="38">
        <f t="shared" si="43"/>
        <v>-2.6612499999999999</v>
      </c>
      <c r="U315" s="38">
        <v>0</v>
      </c>
      <c r="V315">
        <v>4</v>
      </c>
      <c r="W315">
        <v>1437.8</v>
      </c>
      <c r="Y315">
        <f t="shared" si="46"/>
        <v>225100.79999999984</v>
      </c>
      <c r="Z315" s="48">
        <f t="shared" si="38"/>
        <v>5936.5</v>
      </c>
      <c r="AA315">
        <v>16.108837932887248</v>
      </c>
      <c r="AB315">
        <f>(AB313/100)/L313</f>
        <v>1.0388635271504085</v>
      </c>
    </row>
    <row r="316" spans="1:28" x14ac:dyDescent="0.25">
      <c r="A316">
        <v>6440</v>
      </c>
      <c r="B316">
        <v>26330</v>
      </c>
      <c r="C316" s="1">
        <v>42894</v>
      </c>
      <c r="F316" s="57"/>
      <c r="G316">
        <v>18.899999999999999</v>
      </c>
      <c r="H316">
        <v>13.1</v>
      </c>
      <c r="I316">
        <v>24.5</v>
      </c>
      <c r="J316">
        <f t="shared" si="44"/>
        <v>2562.6000000000008</v>
      </c>
      <c r="K316" s="48">
        <f t="shared" si="39"/>
        <v>81.7</v>
      </c>
      <c r="L316" s="34" t="s">
        <v>31</v>
      </c>
      <c r="M316">
        <v>8.3000000000000007</v>
      </c>
      <c r="N316">
        <v>3.6</v>
      </c>
      <c r="O316" s="37">
        <f t="shared" si="41"/>
        <v>4.7000000000000011</v>
      </c>
      <c r="P316">
        <f t="shared" si="47"/>
        <v>43.999999999999972</v>
      </c>
      <c r="Q316">
        <v>275</v>
      </c>
      <c r="R316" s="38">
        <f t="shared" si="40"/>
        <v>0.875</v>
      </c>
      <c r="S316" s="38">
        <f t="shared" si="42"/>
        <v>3.15</v>
      </c>
      <c r="T316" s="38">
        <f t="shared" si="43"/>
        <v>5.15</v>
      </c>
      <c r="U316" s="38">
        <f t="shared" si="45"/>
        <v>5.15</v>
      </c>
      <c r="V316" s="9" t="s">
        <v>53</v>
      </c>
      <c r="W316">
        <v>1427.2</v>
      </c>
      <c r="Y316">
        <f t="shared" si="46"/>
        <v>226527.99999999985</v>
      </c>
      <c r="Z316" s="48">
        <f t="shared" si="38"/>
        <v>7363.7</v>
      </c>
      <c r="AA316">
        <v>16.129981704146537</v>
      </c>
      <c r="AB316" s="9" t="s">
        <v>58</v>
      </c>
    </row>
    <row r="317" spans="1:28" x14ac:dyDescent="0.25">
      <c r="A317">
        <v>6440</v>
      </c>
      <c r="B317">
        <v>26330</v>
      </c>
      <c r="C317" s="1">
        <v>42895</v>
      </c>
      <c r="F317" s="57"/>
      <c r="G317">
        <v>16.600000000000001</v>
      </c>
      <c r="H317">
        <v>15</v>
      </c>
      <c r="I317">
        <v>19.7</v>
      </c>
      <c r="J317">
        <f t="shared" si="44"/>
        <v>2579.2000000000007</v>
      </c>
      <c r="K317" s="48">
        <f t="shared" si="39"/>
        <v>98.300000000000011</v>
      </c>
      <c r="L317" s="25">
        <f>MIN(H312:H332)</f>
        <v>11.2</v>
      </c>
      <c r="M317">
        <v>1</v>
      </c>
      <c r="N317">
        <v>3.7</v>
      </c>
      <c r="O317" s="37">
        <f t="shared" si="41"/>
        <v>-2.7</v>
      </c>
      <c r="P317">
        <f t="shared" si="47"/>
        <v>41.299999999999969</v>
      </c>
      <c r="Q317">
        <v>276</v>
      </c>
      <c r="R317" s="38">
        <f t="shared" si="40"/>
        <v>0.86249999999999993</v>
      </c>
      <c r="S317" s="38">
        <f t="shared" si="42"/>
        <v>3.1912499999999997</v>
      </c>
      <c r="T317" s="38">
        <f t="shared" si="43"/>
        <v>-2.1912499999999997</v>
      </c>
      <c r="U317" s="38">
        <f t="shared" si="45"/>
        <v>2.9587500000000007</v>
      </c>
      <c r="V317">
        <v>0</v>
      </c>
      <c r="W317">
        <v>1422.8</v>
      </c>
      <c r="Y317">
        <f t="shared" si="46"/>
        <v>227950.79999999984</v>
      </c>
      <c r="Z317" s="48">
        <f t="shared" si="38"/>
        <v>8786.5</v>
      </c>
      <c r="AA317">
        <v>16.14967143231156</v>
      </c>
      <c r="AB317">
        <v>2</v>
      </c>
    </row>
    <row r="318" spans="1:28" x14ac:dyDescent="0.25">
      <c r="A318">
        <v>6440</v>
      </c>
      <c r="B318">
        <v>26330</v>
      </c>
      <c r="C318" s="1">
        <v>42896</v>
      </c>
      <c r="F318" s="57"/>
      <c r="G318">
        <v>20.2</v>
      </c>
      <c r="H318">
        <v>11.2</v>
      </c>
      <c r="I318" s="2">
        <v>26</v>
      </c>
      <c r="J318">
        <f t="shared" si="44"/>
        <v>2599.4000000000005</v>
      </c>
      <c r="K318" s="48">
        <f t="shared" si="39"/>
        <v>118.50000000000001</v>
      </c>
      <c r="L318" s="34" t="s">
        <v>32</v>
      </c>
      <c r="M318">
        <v>0</v>
      </c>
      <c r="N318">
        <v>4</v>
      </c>
      <c r="O318" s="37">
        <f t="shared" si="41"/>
        <v>-4</v>
      </c>
      <c r="P318">
        <f t="shared" si="47"/>
        <v>37.299999999999969</v>
      </c>
      <c r="Q318">
        <v>277</v>
      </c>
      <c r="R318" s="38">
        <f t="shared" si="40"/>
        <v>0.84999999999999987</v>
      </c>
      <c r="S318" s="38">
        <f t="shared" si="42"/>
        <v>3.3999999999999995</v>
      </c>
      <c r="T318" s="38">
        <f t="shared" si="43"/>
        <v>-3.3999999999999995</v>
      </c>
      <c r="U318" s="38">
        <v>0</v>
      </c>
      <c r="V318" s="9" t="s">
        <v>54</v>
      </c>
      <c r="W318">
        <v>1764.7</v>
      </c>
      <c r="Y318">
        <f t="shared" si="46"/>
        <v>229715.49999999985</v>
      </c>
      <c r="Z318" s="48">
        <f t="shared" ref="Z318:Z332" si="48">Z317+W318</f>
        <v>10551.2</v>
      </c>
      <c r="AA318">
        <v>16.16788884681452</v>
      </c>
    </row>
    <row r="319" spans="1:28" x14ac:dyDescent="0.25">
      <c r="A319">
        <v>6440</v>
      </c>
      <c r="B319">
        <v>26330</v>
      </c>
      <c r="C319" s="1">
        <v>42897</v>
      </c>
      <c r="F319" s="57"/>
      <c r="G319">
        <v>20.8</v>
      </c>
      <c r="H319">
        <v>18.5</v>
      </c>
      <c r="I319" s="2">
        <v>27.6</v>
      </c>
      <c r="J319">
        <f t="shared" si="44"/>
        <v>2620.2000000000007</v>
      </c>
      <c r="K319" s="48">
        <f t="shared" si="39"/>
        <v>139.30000000000001</v>
      </c>
      <c r="L319" s="22">
        <f>MAX(I312:I332)</f>
        <v>32.9</v>
      </c>
      <c r="M319">
        <v>0</v>
      </c>
      <c r="N319">
        <v>6.6</v>
      </c>
      <c r="O319" s="37">
        <f t="shared" si="41"/>
        <v>-6.6</v>
      </c>
      <c r="P319">
        <f t="shared" si="47"/>
        <v>30.699999999999967</v>
      </c>
      <c r="Q319">
        <v>278</v>
      </c>
      <c r="R319" s="38">
        <f t="shared" si="40"/>
        <v>0.83749999999999991</v>
      </c>
      <c r="S319" s="38">
        <f t="shared" si="42"/>
        <v>5.527499999999999</v>
      </c>
      <c r="T319" s="38">
        <f t="shared" si="43"/>
        <v>-5.527499999999999</v>
      </c>
      <c r="U319" s="38">
        <v>0</v>
      </c>
      <c r="V319">
        <v>5.09</v>
      </c>
      <c r="W319">
        <v>2727.2</v>
      </c>
      <c r="Y319">
        <f t="shared" si="46"/>
        <v>232442.69999999987</v>
      </c>
      <c r="Z319" s="48">
        <f t="shared" si="48"/>
        <v>13278.400000000001</v>
      </c>
      <c r="AA319">
        <v>16.184616851992473</v>
      </c>
    </row>
    <row r="320" spans="1:28" x14ac:dyDescent="0.25">
      <c r="A320">
        <v>6440</v>
      </c>
      <c r="B320">
        <v>26330</v>
      </c>
      <c r="C320" s="1">
        <v>42898</v>
      </c>
      <c r="F320" s="57"/>
      <c r="G320">
        <v>15.7</v>
      </c>
      <c r="H320">
        <v>13.8</v>
      </c>
      <c r="I320">
        <v>17.899999999999999</v>
      </c>
      <c r="J320">
        <f t="shared" si="44"/>
        <v>2635.9000000000005</v>
      </c>
      <c r="K320" s="48">
        <f t="shared" si="39"/>
        <v>155</v>
      </c>
      <c r="L320" s="34" t="s">
        <v>33</v>
      </c>
      <c r="M320">
        <v>0</v>
      </c>
      <c r="N320">
        <v>2.8</v>
      </c>
      <c r="O320" s="37">
        <f t="shared" si="41"/>
        <v>-2.8</v>
      </c>
      <c r="P320">
        <f t="shared" si="47"/>
        <v>27.899999999999967</v>
      </c>
      <c r="Q320">
        <v>279</v>
      </c>
      <c r="R320" s="38">
        <f t="shared" si="40"/>
        <v>0.82499999999999996</v>
      </c>
      <c r="S320" s="38">
        <f t="shared" si="42"/>
        <v>2.3099999999999996</v>
      </c>
      <c r="T320" s="38">
        <f t="shared" si="43"/>
        <v>-2.3099999999999996</v>
      </c>
      <c r="U320" s="38">
        <v>0</v>
      </c>
      <c r="V320" s="9" t="s">
        <v>55</v>
      </c>
      <c r="W320">
        <v>1015.3</v>
      </c>
      <c r="Y320">
        <f t="shared" si="46"/>
        <v>233457.99999999985</v>
      </c>
      <c r="Z320" s="48">
        <f t="shared" si="48"/>
        <v>14293.7</v>
      </c>
      <c r="AA320">
        <v>16.199839586123087</v>
      </c>
    </row>
    <row r="321" spans="1:27" x14ac:dyDescent="0.25">
      <c r="A321">
        <v>6440</v>
      </c>
      <c r="B321">
        <v>26330</v>
      </c>
      <c r="C321" s="1">
        <v>42899</v>
      </c>
      <c r="F321" s="57"/>
      <c r="G321">
        <v>17.399999999999999</v>
      </c>
      <c r="H321">
        <v>11.5</v>
      </c>
      <c r="I321">
        <v>21.4</v>
      </c>
      <c r="J321">
        <f t="shared" si="44"/>
        <v>2653.3000000000006</v>
      </c>
      <c r="K321" s="48">
        <f t="shared" si="39"/>
        <v>172.4</v>
      </c>
      <c r="L321" s="22">
        <v>10</v>
      </c>
      <c r="M321">
        <v>0</v>
      </c>
      <c r="N321">
        <v>2.7</v>
      </c>
      <c r="O321" s="37">
        <f t="shared" si="41"/>
        <v>-2.7</v>
      </c>
      <c r="P321">
        <f t="shared" si="47"/>
        <v>25.199999999999967</v>
      </c>
      <c r="Q321">
        <v>280</v>
      </c>
      <c r="R321" s="38">
        <f t="shared" si="40"/>
        <v>0.8125</v>
      </c>
      <c r="S321" s="38">
        <f t="shared" si="42"/>
        <v>2.1937500000000001</v>
      </c>
      <c r="T321" s="38">
        <f t="shared" si="43"/>
        <v>-2.1937500000000001</v>
      </c>
      <c r="U321" s="38">
        <v>0</v>
      </c>
      <c r="V321" s="38">
        <f>AVERAGE(U312:U332)</f>
        <v>0.60910714285714307</v>
      </c>
      <c r="W321">
        <v>1602.4</v>
      </c>
      <c r="Y321">
        <f t="shared" si="46"/>
        <v>235060.39999999985</v>
      </c>
      <c r="Z321" s="48">
        <f t="shared" si="48"/>
        <v>15896.1</v>
      </c>
      <c r="AA321">
        <v>16.21354247713565</v>
      </c>
    </row>
    <row r="322" spans="1:27" x14ac:dyDescent="0.25">
      <c r="A322">
        <v>6440</v>
      </c>
      <c r="B322">
        <v>26330</v>
      </c>
      <c r="C322" s="1">
        <v>42900</v>
      </c>
      <c r="F322" s="57"/>
      <c r="G322">
        <v>21.3</v>
      </c>
      <c r="H322">
        <v>15.3</v>
      </c>
      <c r="I322" s="2">
        <v>26.6</v>
      </c>
      <c r="J322">
        <f t="shared" si="44"/>
        <v>2674.6000000000008</v>
      </c>
      <c r="K322" s="48">
        <f t="shared" si="39"/>
        <v>193.70000000000002</v>
      </c>
      <c r="L322" s="34" t="s">
        <v>34</v>
      </c>
      <c r="M322">
        <v>0</v>
      </c>
      <c r="N322">
        <v>6.9</v>
      </c>
      <c r="O322" s="37">
        <f t="shared" si="41"/>
        <v>-6.9</v>
      </c>
      <c r="P322">
        <f t="shared" si="47"/>
        <v>18.299999999999969</v>
      </c>
      <c r="Q322">
        <v>281</v>
      </c>
      <c r="R322" s="38">
        <f t="shared" si="40"/>
        <v>0.79999999999999993</v>
      </c>
      <c r="S322" s="38">
        <f t="shared" si="42"/>
        <v>5.52</v>
      </c>
      <c r="T322" s="38">
        <f t="shared" si="43"/>
        <v>-5.52</v>
      </c>
      <c r="U322" s="38">
        <v>0</v>
      </c>
      <c r="W322">
        <v>3297.9</v>
      </c>
      <c r="Y322">
        <f t="shared" si="46"/>
        <v>238358.29999999984</v>
      </c>
      <c r="Z322" s="48">
        <f t="shared" si="48"/>
        <v>19194</v>
      </c>
      <c r="AA322">
        <v>16.225712294588824</v>
      </c>
    </row>
    <row r="323" spans="1:27" x14ac:dyDescent="0.25">
      <c r="A323">
        <v>6440</v>
      </c>
      <c r="B323">
        <v>26330</v>
      </c>
      <c r="C323" s="1">
        <v>42901</v>
      </c>
      <c r="F323" s="57"/>
      <c r="G323">
        <v>21.1</v>
      </c>
      <c r="H323">
        <v>18.899999999999999</v>
      </c>
      <c r="I323" s="2">
        <v>27</v>
      </c>
      <c r="J323">
        <f t="shared" si="44"/>
        <v>2695.7000000000007</v>
      </c>
      <c r="K323" s="48">
        <f t="shared" si="39"/>
        <v>214.8</v>
      </c>
      <c r="L323" s="22">
        <v>0</v>
      </c>
      <c r="M323">
        <v>0</v>
      </c>
      <c r="N323">
        <v>6.8</v>
      </c>
      <c r="O323" s="37">
        <f t="shared" si="41"/>
        <v>-6.8</v>
      </c>
      <c r="P323">
        <f t="shared" si="47"/>
        <v>11.499999999999968</v>
      </c>
      <c r="Q323">
        <v>282</v>
      </c>
      <c r="R323" s="38">
        <f t="shared" si="40"/>
        <v>0.78749999999999987</v>
      </c>
      <c r="S323" s="38">
        <f t="shared" si="42"/>
        <v>5.3549999999999986</v>
      </c>
      <c r="T323" s="38">
        <f t="shared" si="43"/>
        <v>-5.3549999999999986</v>
      </c>
      <c r="U323" s="38">
        <v>0</v>
      </c>
      <c r="V323" s="52">
        <f>(V321*100)/153.6</f>
        <v>0.39655412946428586</v>
      </c>
      <c r="W323">
        <v>2610.8000000000002</v>
      </c>
      <c r="Y323">
        <f t="shared" si="46"/>
        <v>240969.09999999983</v>
      </c>
      <c r="Z323" s="48">
        <f t="shared" si="48"/>
        <v>21804.799999999999</v>
      </c>
      <c r="AA323">
        <v>16.236337197524762</v>
      </c>
    </row>
    <row r="324" spans="1:27" x14ac:dyDescent="0.25">
      <c r="A324">
        <v>6440</v>
      </c>
      <c r="B324">
        <v>26330</v>
      </c>
      <c r="C324" s="1">
        <v>42902</v>
      </c>
      <c r="F324" s="57"/>
      <c r="G324">
        <v>17.899999999999999</v>
      </c>
      <c r="H324">
        <v>14.7</v>
      </c>
      <c r="I324">
        <v>20.9</v>
      </c>
      <c r="J324">
        <f t="shared" si="44"/>
        <v>2713.6000000000008</v>
      </c>
      <c r="K324" s="48">
        <f t="shared" si="39"/>
        <v>232.70000000000002</v>
      </c>
      <c r="L324" s="34" t="s">
        <v>35</v>
      </c>
      <c r="M324">
        <v>0</v>
      </c>
      <c r="N324">
        <v>4.8</v>
      </c>
      <c r="O324" s="37">
        <f t="shared" si="41"/>
        <v>-4.8</v>
      </c>
      <c r="P324">
        <f t="shared" si="47"/>
        <v>6.6999999999999682</v>
      </c>
      <c r="Q324">
        <v>283</v>
      </c>
      <c r="R324" s="38">
        <f t="shared" si="40"/>
        <v>0.77499999999999991</v>
      </c>
      <c r="S324" s="38">
        <f t="shared" si="42"/>
        <v>3.7199999999999993</v>
      </c>
      <c r="T324" s="38">
        <f t="shared" si="43"/>
        <v>-3.7199999999999993</v>
      </c>
      <c r="U324" s="38">
        <v>0</v>
      </c>
      <c r="W324">
        <v>2388.1999999999998</v>
      </c>
      <c r="Y324">
        <f t="shared" si="46"/>
        <v>243357.29999999984</v>
      </c>
      <c r="Z324" s="48">
        <f t="shared" si="48"/>
        <v>24193</v>
      </c>
      <c r="AA324">
        <v>16.245406777832816</v>
      </c>
    </row>
    <row r="325" spans="1:27" x14ac:dyDescent="0.25">
      <c r="A325">
        <v>6440</v>
      </c>
      <c r="B325">
        <v>26330</v>
      </c>
      <c r="C325" s="1">
        <v>42903</v>
      </c>
      <c r="F325" s="57"/>
      <c r="G325">
        <v>21.2</v>
      </c>
      <c r="H325">
        <v>16</v>
      </c>
      <c r="I325" s="2">
        <v>25.7</v>
      </c>
      <c r="J325">
        <f t="shared" si="44"/>
        <v>2734.8000000000006</v>
      </c>
      <c r="K325" s="48">
        <f t="shared" si="39"/>
        <v>253.9</v>
      </c>
      <c r="L325" s="31">
        <v>0</v>
      </c>
      <c r="M325">
        <v>0</v>
      </c>
      <c r="N325">
        <v>3.8</v>
      </c>
      <c r="O325" s="37">
        <f t="shared" si="41"/>
        <v>-3.8</v>
      </c>
      <c r="P325">
        <f t="shared" si="47"/>
        <v>2.8999999999999684</v>
      </c>
      <c r="Q325">
        <v>284</v>
      </c>
      <c r="R325" s="38">
        <f t="shared" si="40"/>
        <v>0.76249999999999996</v>
      </c>
      <c r="S325" s="38">
        <f t="shared" si="42"/>
        <v>2.8974999999999995</v>
      </c>
      <c r="T325" s="38">
        <f t="shared" si="43"/>
        <v>-2.8974999999999995</v>
      </c>
      <c r="U325" s="38">
        <v>0</v>
      </c>
      <c r="W325">
        <v>1577.1</v>
      </c>
      <c r="Y325">
        <f t="shared" si="46"/>
        <v>244934.39999999985</v>
      </c>
      <c r="Z325" s="48">
        <f t="shared" si="48"/>
        <v>25770.1</v>
      </c>
      <c r="AA325">
        <v>16.252912098784268</v>
      </c>
    </row>
    <row r="326" spans="1:27" x14ac:dyDescent="0.25">
      <c r="A326">
        <v>6440</v>
      </c>
      <c r="B326">
        <v>26330</v>
      </c>
      <c r="C326" s="1">
        <v>42904</v>
      </c>
      <c r="F326" s="57"/>
      <c r="G326">
        <v>23.3</v>
      </c>
      <c r="H326">
        <v>17.899999999999999</v>
      </c>
      <c r="I326" s="2">
        <v>27.8</v>
      </c>
      <c r="J326">
        <f t="shared" si="44"/>
        <v>2758.1000000000008</v>
      </c>
      <c r="K326" s="48">
        <f t="shared" si="39"/>
        <v>277.2</v>
      </c>
      <c r="M326">
        <v>0</v>
      </c>
      <c r="N326">
        <v>5.7</v>
      </c>
      <c r="O326" s="37">
        <f t="shared" si="41"/>
        <v>-5.7</v>
      </c>
      <c r="P326">
        <f t="shared" si="47"/>
        <v>-2.8000000000000318</v>
      </c>
      <c r="Q326">
        <v>285</v>
      </c>
      <c r="R326" s="38">
        <f t="shared" si="40"/>
        <v>0.75</v>
      </c>
      <c r="S326" s="38">
        <f t="shared" si="42"/>
        <v>4.2750000000000004</v>
      </c>
      <c r="T326" s="38">
        <f t="shared" si="43"/>
        <v>-4.2750000000000004</v>
      </c>
      <c r="U326" s="38">
        <v>0</v>
      </c>
      <c r="W326">
        <v>2514.4</v>
      </c>
      <c r="Y326">
        <f t="shared" si="46"/>
        <v>247448.79999999984</v>
      </c>
      <c r="Z326" s="48">
        <f t="shared" si="48"/>
        <v>28284.5</v>
      </c>
      <c r="AA326">
        <v>16.258845728432195</v>
      </c>
    </row>
    <row r="327" spans="1:27" x14ac:dyDescent="0.25">
      <c r="A327">
        <v>6440</v>
      </c>
      <c r="B327">
        <v>26330</v>
      </c>
      <c r="C327" s="1">
        <v>42905</v>
      </c>
      <c r="F327" s="57"/>
      <c r="G327">
        <v>25.6</v>
      </c>
      <c r="H327">
        <v>20.2</v>
      </c>
      <c r="I327" s="2">
        <v>30.2</v>
      </c>
      <c r="J327">
        <f t="shared" si="44"/>
        <v>2783.7000000000007</v>
      </c>
      <c r="K327" s="48">
        <f t="shared" si="39"/>
        <v>302.8</v>
      </c>
      <c r="L327" s="31"/>
      <c r="M327">
        <v>0</v>
      </c>
      <c r="N327">
        <v>7.4</v>
      </c>
      <c r="O327" s="37">
        <f t="shared" si="41"/>
        <v>-7.4</v>
      </c>
      <c r="P327">
        <f t="shared" si="47"/>
        <v>-10.200000000000031</v>
      </c>
      <c r="Q327">
        <v>286</v>
      </c>
      <c r="R327" s="38">
        <f t="shared" si="40"/>
        <v>0.73749999999999993</v>
      </c>
      <c r="S327" s="38">
        <f t="shared" si="42"/>
        <v>5.4574999999999996</v>
      </c>
      <c r="T327" s="38">
        <f t="shared" si="43"/>
        <v>-5.4574999999999996</v>
      </c>
      <c r="U327" s="38">
        <v>0</v>
      </c>
      <c r="W327">
        <v>3288.1</v>
      </c>
      <c r="Y327">
        <f t="shared" si="46"/>
        <v>250736.89999999985</v>
      </c>
      <c r="Z327" s="48">
        <f t="shared" si="48"/>
        <v>31572.6</v>
      </c>
      <c r="AA327">
        <v>16.263201767607853</v>
      </c>
    </row>
    <row r="328" spans="1:27" x14ac:dyDescent="0.25">
      <c r="A328">
        <v>6440</v>
      </c>
      <c r="B328">
        <v>26330</v>
      </c>
      <c r="C328" s="1">
        <v>42906</v>
      </c>
      <c r="F328" s="57"/>
      <c r="G328">
        <v>26</v>
      </c>
      <c r="H328">
        <v>21.4</v>
      </c>
      <c r="I328" s="2">
        <v>30.7</v>
      </c>
      <c r="J328">
        <f t="shared" si="44"/>
        <v>2809.7000000000007</v>
      </c>
      <c r="K328" s="48">
        <f t="shared" si="39"/>
        <v>328.8</v>
      </c>
      <c r="L328" s="31"/>
      <c r="M328">
        <v>0</v>
      </c>
      <c r="N328">
        <v>7.8</v>
      </c>
      <c r="O328" s="37">
        <f t="shared" si="41"/>
        <v>-7.8</v>
      </c>
      <c r="P328">
        <f t="shared" si="47"/>
        <v>-18.000000000000032</v>
      </c>
      <c r="Q328">
        <v>287</v>
      </c>
      <c r="R328" s="38">
        <f t="shared" si="40"/>
        <v>0.72499999999999987</v>
      </c>
      <c r="S328" s="38">
        <f t="shared" si="42"/>
        <v>5.6549999999999985</v>
      </c>
      <c r="T328" s="38">
        <f t="shared" si="43"/>
        <v>-5.6549999999999985</v>
      </c>
      <c r="U328" s="38">
        <v>0</v>
      </c>
      <c r="W328">
        <v>3293.8</v>
      </c>
      <c r="Y328">
        <f t="shared" si="46"/>
        <v>254030.69999999984</v>
      </c>
      <c r="Z328" s="48">
        <f t="shared" si="48"/>
        <v>34866.400000000001</v>
      </c>
      <c r="AA328">
        <v>16.265975872285665</v>
      </c>
    </row>
    <row r="329" spans="1:27" x14ac:dyDescent="0.25">
      <c r="A329">
        <v>6440</v>
      </c>
      <c r="B329">
        <v>26330</v>
      </c>
      <c r="C329" s="1">
        <v>42907</v>
      </c>
      <c r="F329" s="57"/>
      <c r="G329">
        <v>27.3</v>
      </c>
      <c r="H329">
        <v>21.6</v>
      </c>
      <c r="I329" s="2">
        <v>32.9</v>
      </c>
      <c r="J329">
        <f t="shared" si="44"/>
        <v>2837.0000000000009</v>
      </c>
      <c r="K329" s="48">
        <f t="shared" si="39"/>
        <v>356.1</v>
      </c>
      <c r="L329" s="31"/>
      <c r="M329">
        <v>0</v>
      </c>
      <c r="N329">
        <v>8</v>
      </c>
      <c r="O329" s="37">
        <f t="shared" si="41"/>
        <v>-8</v>
      </c>
      <c r="P329">
        <f t="shared" si="47"/>
        <v>-26.000000000000032</v>
      </c>
      <c r="Q329">
        <v>288</v>
      </c>
      <c r="R329" s="38">
        <f t="shared" si="40"/>
        <v>0.71249999999999991</v>
      </c>
      <c r="S329" s="38">
        <f t="shared" si="42"/>
        <v>5.6999999999999993</v>
      </c>
      <c r="T329" s="38">
        <f t="shared" si="43"/>
        <v>-5.6999999999999993</v>
      </c>
      <c r="U329" s="38">
        <v>0</v>
      </c>
      <c r="W329">
        <v>3285.9</v>
      </c>
      <c r="Y329">
        <f t="shared" si="46"/>
        <v>257316.59999999983</v>
      </c>
      <c r="Z329" s="48">
        <f t="shared" si="48"/>
        <v>38152.300000000003</v>
      </c>
      <c r="AA329">
        <v>16.267165270133145</v>
      </c>
    </row>
    <row r="330" spans="1:27" x14ac:dyDescent="0.25">
      <c r="A330">
        <v>6440</v>
      </c>
      <c r="B330">
        <v>26330</v>
      </c>
      <c r="C330" s="1">
        <v>42908</v>
      </c>
      <c r="F330" s="57"/>
      <c r="G330">
        <v>23.6</v>
      </c>
      <c r="H330">
        <v>21.1</v>
      </c>
      <c r="I330" s="2">
        <v>29.5</v>
      </c>
      <c r="J330">
        <f t="shared" si="44"/>
        <v>2860.6000000000008</v>
      </c>
      <c r="K330" s="48">
        <f t="shared" ref="K330:K358" si="49">K329+G330</f>
        <v>379.70000000000005</v>
      </c>
      <c r="L330" s="31"/>
      <c r="M330">
        <v>0</v>
      </c>
      <c r="N330">
        <v>6.5</v>
      </c>
      <c r="O330" s="37">
        <f t="shared" si="41"/>
        <v>-6.5</v>
      </c>
      <c r="P330">
        <f t="shared" si="47"/>
        <v>-32.500000000000028</v>
      </c>
      <c r="Q330">
        <v>289</v>
      </c>
      <c r="R330" s="38">
        <f t="shared" si="40"/>
        <v>0.7</v>
      </c>
      <c r="S330" s="38">
        <f t="shared" si="42"/>
        <v>4.55</v>
      </c>
      <c r="T330" s="38">
        <f t="shared" si="43"/>
        <v>-4.55</v>
      </c>
      <c r="U330" s="38">
        <v>0</v>
      </c>
      <c r="W330">
        <v>2324.3000000000002</v>
      </c>
      <c r="Y330">
        <f t="shared" si="46"/>
        <v>259640.89999999982</v>
      </c>
      <c r="Z330" s="48">
        <f t="shared" si="48"/>
        <v>40476.600000000006</v>
      </c>
      <c r="AA330">
        <v>16.266768771108786</v>
      </c>
    </row>
    <row r="331" spans="1:27" x14ac:dyDescent="0.25">
      <c r="A331">
        <v>6440</v>
      </c>
      <c r="B331">
        <v>26330</v>
      </c>
      <c r="C331" s="1">
        <v>42909</v>
      </c>
      <c r="F331" s="57"/>
      <c r="G331">
        <v>18.600000000000001</v>
      </c>
      <c r="H331">
        <v>16.2</v>
      </c>
      <c r="I331">
        <v>22</v>
      </c>
      <c r="J331">
        <f t="shared" si="44"/>
        <v>2879.2000000000007</v>
      </c>
      <c r="K331" s="48">
        <f t="shared" si="49"/>
        <v>398.30000000000007</v>
      </c>
      <c r="L331" s="31"/>
      <c r="M331">
        <v>0</v>
      </c>
      <c r="N331">
        <v>4.7</v>
      </c>
      <c r="O331" s="37">
        <f t="shared" si="41"/>
        <v>-4.7</v>
      </c>
      <c r="P331" s="41">
        <f t="shared" si="47"/>
        <v>-37.200000000000031</v>
      </c>
      <c r="Q331" s="41">
        <v>290</v>
      </c>
      <c r="R331" s="38">
        <f t="shared" si="40"/>
        <v>0.6875</v>
      </c>
      <c r="S331" s="42">
        <f t="shared" si="42"/>
        <v>3.2312500000000002</v>
      </c>
      <c r="T331" s="42">
        <f t="shared" si="43"/>
        <v>-3.2312500000000002</v>
      </c>
      <c r="U331" s="38">
        <v>0</v>
      </c>
      <c r="V331" s="41"/>
      <c r="W331" s="41">
        <v>2121.3000000000002</v>
      </c>
      <c r="X331" s="41"/>
      <c r="Y331" s="41">
        <f t="shared" si="46"/>
        <v>261762.19999999981</v>
      </c>
      <c r="Z331" s="48">
        <f t="shared" si="48"/>
        <v>42597.900000000009</v>
      </c>
      <c r="AA331">
        <v>16.26478677201985</v>
      </c>
    </row>
    <row r="332" spans="1:27" s="13" customFormat="1" ht="15.75" thickBot="1" x14ac:dyDescent="0.3">
      <c r="A332" s="13">
        <v>6440</v>
      </c>
      <c r="B332" s="13">
        <v>26330</v>
      </c>
      <c r="C332" s="14">
        <v>42910</v>
      </c>
      <c r="F332" s="57"/>
      <c r="G332" s="13">
        <v>17.899999999999999</v>
      </c>
      <c r="H332" s="13">
        <v>15</v>
      </c>
      <c r="I332" s="13">
        <v>19.3</v>
      </c>
      <c r="J332" s="13">
        <f t="shared" si="44"/>
        <v>2897.1000000000008</v>
      </c>
      <c r="K332" s="13">
        <f t="shared" si="49"/>
        <v>416.20000000000005</v>
      </c>
      <c r="L332" s="15"/>
      <c r="M332" s="13">
        <v>0.1</v>
      </c>
      <c r="N332" s="13">
        <v>2</v>
      </c>
      <c r="O332" s="15">
        <f t="shared" si="41"/>
        <v>-1.9</v>
      </c>
      <c r="P332" s="13">
        <f t="shared" si="47"/>
        <v>-39.10000000000003</v>
      </c>
      <c r="Q332" s="13">
        <v>291</v>
      </c>
      <c r="R332" s="38">
        <f t="shared" si="40"/>
        <v>0.67499999999999993</v>
      </c>
      <c r="S332" s="47">
        <f t="shared" si="42"/>
        <v>1.3499999999999999</v>
      </c>
      <c r="T332" s="47">
        <f t="shared" si="43"/>
        <v>-1.2499999999999998</v>
      </c>
      <c r="U332" s="38">
        <v>0</v>
      </c>
      <c r="W332" s="13">
        <v>639.6</v>
      </c>
      <c r="Y332" s="13">
        <f t="shared" si="46"/>
        <v>262401.79999999981</v>
      </c>
      <c r="Z332" s="13">
        <f t="shared" si="48"/>
        <v>43237.500000000007</v>
      </c>
      <c r="AA332" s="13">
        <v>16.261221255002045</v>
      </c>
    </row>
    <row r="333" spans="1:27" x14ac:dyDescent="0.25">
      <c r="A333">
        <v>6440</v>
      </c>
      <c r="B333">
        <v>26330</v>
      </c>
      <c r="C333" s="1">
        <v>42911</v>
      </c>
      <c r="D333" s="3"/>
      <c r="E333" s="3"/>
      <c r="F333" s="3"/>
      <c r="G333">
        <v>18.600000000000001</v>
      </c>
      <c r="H333">
        <v>16.600000000000001</v>
      </c>
      <c r="I333">
        <v>21.8</v>
      </c>
      <c r="J333">
        <f t="shared" si="44"/>
        <v>2915.7000000000007</v>
      </c>
      <c r="K333" s="48">
        <f t="shared" si="49"/>
        <v>434.80000000000007</v>
      </c>
      <c r="L333" s="31"/>
      <c r="M333">
        <v>0</v>
      </c>
      <c r="N333">
        <v>3.4</v>
      </c>
      <c r="O333" s="37">
        <f t="shared" si="41"/>
        <v>-3.4</v>
      </c>
      <c r="P333">
        <f t="shared" si="47"/>
        <v>-42.500000000000028</v>
      </c>
      <c r="Q333">
        <v>292</v>
      </c>
      <c r="R333" s="38">
        <f t="shared" si="40"/>
        <v>0.66249999999999998</v>
      </c>
      <c r="S333" s="38">
        <f t="shared" si="42"/>
        <v>2.2524999999999999</v>
      </c>
      <c r="T333" s="38">
        <f t="shared" si="43"/>
        <v>-2.2524999999999999</v>
      </c>
      <c r="U333" s="38">
        <v>0</v>
      </c>
      <c r="W333">
        <v>975.3</v>
      </c>
      <c r="Y333">
        <f t="shared" si="46"/>
        <v>263377.0999999998</v>
      </c>
      <c r="AA333">
        <v>16.256075779933791</v>
      </c>
    </row>
    <row r="334" spans="1:27" x14ac:dyDescent="0.25">
      <c r="A334">
        <v>6440</v>
      </c>
      <c r="B334">
        <v>26330</v>
      </c>
      <c r="C334" s="1">
        <v>42912</v>
      </c>
      <c r="G334">
        <v>19.899999999999999</v>
      </c>
      <c r="H334">
        <v>16.2</v>
      </c>
      <c r="I334">
        <v>23.9</v>
      </c>
      <c r="J334">
        <f t="shared" si="44"/>
        <v>2935.6000000000008</v>
      </c>
      <c r="K334" s="48">
        <f t="shared" si="49"/>
        <v>454.70000000000005</v>
      </c>
      <c r="L334" s="31"/>
      <c r="M334">
        <v>0</v>
      </c>
      <c r="N334">
        <v>3.4</v>
      </c>
      <c r="O334" s="37">
        <f t="shared" si="41"/>
        <v>-3.4</v>
      </c>
      <c r="P334">
        <f t="shared" si="47"/>
        <v>-45.900000000000027</v>
      </c>
      <c r="Q334">
        <v>293</v>
      </c>
      <c r="R334" s="38">
        <f t="shared" si="40"/>
        <v>0.64999999999999991</v>
      </c>
      <c r="S334" s="38">
        <f t="shared" si="42"/>
        <v>2.2099999999999995</v>
      </c>
      <c r="T334" s="38">
        <f t="shared" si="43"/>
        <v>-2.2099999999999995</v>
      </c>
      <c r="U334" s="38">
        <v>0</v>
      </c>
      <c r="W334">
        <v>1455.8</v>
      </c>
      <c r="Y334">
        <f t="shared" si="46"/>
        <v>264832.89999999979</v>
      </c>
      <c r="AA334">
        <v>16.249355470848194</v>
      </c>
    </row>
    <row r="335" spans="1:27" x14ac:dyDescent="0.25">
      <c r="A335">
        <v>6440</v>
      </c>
      <c r="B335">
        <v>26330</v>
      </c>
      <c r="C335" s="1">
        <v>42913</v>
      </c>
      <c r="G335">
        <v>19.7</v>
      </c>
      <c r="H335">
        <v>15.5</v>
      </c>
      <c r="I335">
        <v>24.1</v>
      </c>
      <c r="J335">
        <f t="shared" si="44"/>
        <v>2955.3000000000006</v>
      </c>
      <c r="K335" s="48">
        <f t="shared" si="49"/>
        <v>474.40000000000003</v>
      </c>
      <c r="L335" s="31"/>
      <c r="M335">
        <v>2.1</v>
      </c>
      <c r="N335">
        <v>2.8</v>
      </c>
      <c r="O335" s="37">
        <f t="shared" si="41"/>
        <v>-0.69999999999999973</v>
      </c>
      <c r="P335">
        <f t="shared" si="47"/>
        <v>-46.60000000000003</v>
      </c>
      <c r="Q335">
        <v>294</v>
      </c>
      <c r="R335" s="38">
        <f t="shared" si="40"/>
        <v>0.63749999999999996</v>
      </c>
      <c r="S335" s="38">
        <f t="shared" si="42"/>
        <v>1.7849999999999997</v>
      </c>
      <c r="T335" s="38">
        <f t="shared" si="43"/>
        <v>0.31500000000000039</v>
      </c>
      <c r="U335" s="38">
        <f t="shared" si="45"/>
        <v>0.31500000000000039</v>
      </c>
      <c r="W335">
        <v>1173.2</v>
      </c>
      <c r="Y335">
        <f t="shared" si="46"/>
        <v>266006.0999999998</v>
      </c>
      <c r="AA335">
        <v>16.241066996455508</v>
      </c>
    </row>
    <row r="336" spans="1:27" x14ac:dyDescent="0.25">
      <c r="A336">
        <v>6440</v>
      </c>
      <c r="B336">
        <v>26330</v>
      </c>
      <c r="C336" s="1">
        <v>42914</v>
      </c>
      <c r="G336">
        <v>19</v>
      </c>
      <c r="H336">
        <v>17.2</v>
      </c>
      <c r="I336">
        <v>22.3</v>
      </c>
      <c r="J336">
        <f t="shared" si="44"/>
        <v>2974.3000000000006</v>
      </c>
      <c r="K336" s="48">
        <f t="shared" si="49"/>
        <v>493.40000000000003</v>
      </c>
      <c r="L336" s="31"/>
      <c r="M336">
        <v>1.1000000000000001</v>
      </c>
      <c r="N336">
        <v>1.7</v>
      </c>
      <c r="O336" s="37">
        <f t="shared" si="41"/>
        <v>-0.59999999999999987</v>
      </c>
      <c r="P336">
        <f t="shared" si="47"/>
        <v>-47.200000000000031</v>
      </c>
      <c r="Q336">
        <v>295</v>
      </c>
      <c r="R336" s="38">
        <f t="shared" si="40"/>
        <v>0.625</v>
      </c>
      <c r="S336" s="38">
        <f t="shared" si="42"/>
        <v>1.0625</v>
      </c>
      <c r="T336" s="38">
        <f t="shared" si="43"/>
        <v>3.7500000000000089E-2</v>
      </c>
      <c r="U336" s="38">
        <f t="shared" si="45"/>
        <v>0.35250000000000048</v>
      </c>
      <c r="W336">
        <v>653.6</v>
      </c>
      <c r="Y336">
        <f t="shared" si="46"/>
        <v>266659.69999999978</v>
      </c>
      <c r="AA336">
        <v>16.231218544936663</v>
      </c>
    </row>
    <row r="337" spans="1:27" x14ac:dyDescent="0.25">
      <c r="A337">
        <v>6440</v>
      </c>
      <c r="B337">
        <v>26330</v>
      </c>
      <c r="C337" s="1">
        <v>42915</v>
      </c>
      <c r="G337">
        <v>18</v>
      </c>
      <c r="H337">
        <v>15.7</v>
      </c>
      <c r="I337">
        <v>21.8</v>
      </c>
      <c r="J337">
        <f t="shared" si="44"/>
        <v>2992.3000000000006</v>
      </c>
      <c r="K337" s="48">
        <f t="shared" si="49"/>
        <v>511.40000000000003</v>
      </c>
      <c r="L337" s="31"/>
      <c r="M337">
        <v>0.1</v>
      </c>
      <c r="N337">
        <v>2.8</v>
      </c>
      <c r="O337" s="37">
        <f t="shared" si="41"/>
        <v>-2.6999999999999997</v>
      </c>
      <c r="P337">
        <f t="shared" si="47"/>
        <v>-49.900000000000034</v>
      </c>
      <c r="Q337">
        <v>296</v>
      </c>
      <c r="R337" s="38">
        <f t="shared" si="40"/>
        <v>0.61249999999999993</v>
      </c>
      <c r="S337" s="38">
        <f t="shared" si="42"/>
        <v>1.7149999999999996</v>
      </c>
      <c r="T337" s="38">
        <f t="shared" si="43"/>
        <v>-1.6149999999999995</v>
      </c>
      <c r="U337" s="38">
        <v>0</v>
      </c>
      <c r="W337">
        <v>1251.9000000000001</v>
      </c>
      <c r="Y337">
        <f t="shared" si="46"/>
        <v>267911.5999999998</v>
      </c>
      <c r="AA337">
        <v>16.219819793214004</v>
      </c>
    </row>
    <row r="338" spans="1:27" x14ac:dyDescent="0.25">
      <c r="A338">
        <v>6440</v>
      </c>
      <c r="B338">
        <v>26330</v>
      </c>
      <c r="C338" s="1">
        <v>42916</v>
      </c>
      <c r="G338">
        <v>18.399999999999999</v>
      </c>
      <c r="H338">
        <v>15.5</v>
      </c>
      <c r="I338">
        <v>22.5</v>
      </c>
      <c r="J338">
        <f t="shared" si="44"/>
        <v>3010.7000000000007</v>
      </c>
      <c r="K338" s="48">
        <f t="shared" si="49"/>
        <v>529.80000000000007</v>
      </c>
      <c r="L338" s="31"/>
      <c r="M338">
        <v>12.1</v>
      </c>
      <c r="N338">
        <v>4.2</v>
      </c>
      <c r="O338" s="37">
        <f t="shared" si="41"/>
        <v>7.8999999999999995</v>
      </c>
      <c r="P338">
        <f t="shared" si="47"/>
        <v>-42.000000000000036</v>
      </c>
      <c r="Q338">
        <v>297</v>
      </c>
      <c r="R338" s="38">
        <f t="shared" si="40"/>
        <v>0.6</v>
      </c>
      <c r="S338" s="38">
        <f t="shared" si="42"/>
        <v>2.52</v>
      </c>
      <c r="T338" s="38">
        <f t="shared" si="43"/>
        <v>9.58</v>
      </c>
      <c r="U338" s="38">
        <f t="shared" si="45"/>
        <v>9.58</v>
      </c>
      <c r="W338">
        <v>2095.1</v>
      </c>
      <c r="Y338">
        <f t="shared" si="46"/>
        <v>270006.69999999978</v>
      </c>
      <c r="AA338">
        <v>16.206881870947992</v>
      </c>
    </row>
    <row r="339" spans="1:27" x14ac:dyDescent="0.25">
      <c r="A339">
        <v>6440</v>
      </c>
      <c r="B339">
        <v>26330</v>
      </c>
      <c r="C339" s="1">
        <v>42917</v>
      </c>
      <c r="G339">
        <v>17.3</v>
      </c>
      <c r="H339">
        <v>13.8</v>
      </c>
      <c r="I339">
        <v>20.9</v>
      </c>
      <c r="J339">
        <f t="shared" si="44"/>
        <v>3028.0000000000009</v>
      </c>
      <c r="K339" s="48">
        <f t="shared" si="49"/>
        <v>547.1</v>
      </c>
      <c r="L339" s="31"/>
      <c r="M339">
        <v>4.3</v>
      </c>
      <c r="N339">
        <v>2.6</v>
      </c>
      <c r="O339" s="37">
        <f t="shared" si="41"/>
        <v>1.6999999999999997</v>
      </c>
      <c r="P339">
        <f t="shared" si="47"/>
        <v>-40.300000000000033</v>
      </c>
      <c r="Q339">
        <v>298</v>
      </c>
      <c r="R339" s="38">
        <f t="shared" si="40"/>
        <v>0.58749999999999991</v>
      </c>
      <c r="S339" s="38">
        <f t="shared" si="42"/>
        <v>1.5274999999999999</v>
      </c>
      <c r="T339" s="38">
        <f t="shared" si="43"/>
        <v>2.7725</v>
      </c>
      <c r="U339" s="38">
        <f t="shared" si="45"/>
        <v>12.352499999999999</v>
      </c>
      <c r="W339">
        <v>1011.2</v>
      </c>
      <c r="Y339">
        <f t="shared" si="46"/>
        <v>271017.89999999979</v>
      </c>
      <c r="AA339">
        <v>16.192417319547648</v>
      </c>
    </row>
    <row r="340" spans="1:27" x14ac:dyDescent="0.25">
      <c r="A340">
        <v>6440</v>
      </c>
      <c r="B340">
        <v>26330</v>
      </c>
      <c r="C340" s="1">
        <v>42918</v>
      </c>
      <c r="G340">
        <v>17.2</v>
      </c>
      <c r="H340">
        <v>15.3</v>
      </c>
      <c r="I340">
        <v>20.399999999999999</v>
      </c>
      <c r="J340">
        <f t="shared" si="44"/>
        <v>3045.2000000000007</v>
      </c>
      <c r="K340" s="48">
        <f t="shared" si="49"/>
        <v>564.30000000000007</v>
      </c>
      <c r="L340" s="31"/>
      <c r="M340">
        <v>0.4</v>
      </c>
      <c r="N340">
        <v>2.4</v>
      </c>
      <c r="O340" s="37">
        <f t="shared" si="41"/>
        <v>-2</v>
      </c>
      <c r="P340">
        <f t="shared" si="47"/>
        <v>-42.300000000000033</v>
      </c>
      <c r="Q340">
        <v>299</v>
      </c>
      <c r="R340" s="38">
        <f t="shared" si="40"/>
        <v>0.57499999999999996</v>
      </c>
      <c r="S340" s="38">
        <f t="shared" si="42"/>
        <v>1.38</v>
      </c>
      <c r="T340" s="38">
        <f t="shared" si="43"/>
        <v>-0.97999999999999987</v>
      </c>
      <c r="U340" s="38">
        <f t="shared" si="45"/>
        <v>11.372499999999999</v>
      </c>
      <c r="W340">
        <v>1196.8</v>
      </c>
      <c r="Y340">
        <f t="shared" si="46"/>
        <v>272214.69999999978</v>
      </c>
      <c r="AA340">
        <v>16.176440046517364</v>
      </c>
    </row>
    <row r="341" spans="1:27" x14ac:dyDescent="0.25">
      <c r="A341">
        <v>6440</v>
      </c>
      <c r="B341">
        <v>26330</v>
      </c>
      <c r="C341" s="1">
        <v>42919</v>
      </c>
      <c r="G341">
        <v>17.5</v>
      </c>
      <c r="H341">
        <v>12.3</v>
      </c>
      <c r="I341">
        <v>21.1</v>
      </c>
      <c r="J341">
        <f t="shared" si="44"/>
        <v>3062.7000000000007</v>
      </c>
      <c r="K341" s="48">
        <f t="shared" si="49"/>
        <v>581.80000000000007</v>
      </c>
      <c r="L341" s="31"/>
      <c r="M341">
        <v>0</v>
      </c>
      <c r="N341">
        <v>3.1</v>
      </c>
      <c r="O341" s="37">
        <f t="shared" si="41"/>
        <v>-3.1</v>
      </c>
      <c r="P341">
        <f t="shared" si="47"/>
        <v>-45.400000000000034</v>
      </c>
      <c r="Q341">
        <v>300</v>
      </c>
      <c r="R341" s="38">
        <f t="shared" si="40"/>
        <v>0.5625</v>
      </c>
      <c r="S341" s="38">
        <f t="shared" si="42"/>
        <v>1.7437500000000001</v>
      </c>
      <c r="T341" s="38">
        <f t="shared" si="43"/>
        <v>-1.7437500000000001</v>
      </c>
      <c r="U341" s="38">
        <f t="shared" si="45"/>
        <v>9.6287499999999984</v>
      </c>
      <c r="W341">
        <v>1835.8</v>
      </c>
      <c r="Y341">
        <f t="shared" si="46"/>
        <v>274050.49999999977</v>
      </c>
      <c r="AA341">
        <v>16.158965275493603</v>
      </c>
    </row>
    <row r="342" spans="1:27" x14ac:dyDescent="0.25">
      <c r="A342">
        <v>6440</v>
      </c>
      <c r="B342">
        <v>26330</v>
      </c>
      <c r="C342" s="1">
        <v>42920</v>
      </c>
      <c r="G342">
        <v>20</v>
      </c>
      <c r="H342">
        <v>15.4</v>
      </c>
      <c r="I342">
        <v>24.5</v>
      </c>
      <c r="J342">
        <f t="shared" si="44"/>
        <v>3082.7000000000007</v>
      </c>
      <c r="K342" s="48">
        <f t="shared" si="49"/>
        <v>601.80000000000007</v>
      </c>
      <c r="L342" s="31"/>
      <c r="M342">
        <v>0</v>
      </c>
      <c r="N342">
        <v>3.5</v>
      </c>
      <c r="O342" s="37">
        <f t="shared" si="41"/>
        <v>-3.5</v>
      </c>
      <c r="P342">
        <f t="shared" si="47"/>
        <v>-48.900000000000034</v>
      </c>
      <c r="Q342">
        <v>301</v>
      </c>
      <c r="R342" s="38">
        <f t="shared" si="40"/>
        <v>0.54999999999999993</v>
      </c>
      <c r="S342" s="38">
        <f t="shared" si="42"/>
        <v>1.9249999999999998</v>
      </c>
      <c r="T342" s="38">
        <f t="shared" si="43"/>
        <v>-1.9249999999999998</v>
      </c>
      <c r="U342" s="38">
        <f t="shared" si="45"/>
        <v>7.7037499999999985</v>
      </c>
      <c r="W342">
        <v>1778.4</v>
      </c>
      <c r="Y342">
        <f t="shared" si="46"/>
        <v>275828.89999999979</v>
      </c>
      <c r="AA342">
        <v>16.140009492350437</v>
      </c>
    </row>
    <row r="343" spans="1:27" x14ac:dyDescent="0.25">
      <c r="A343">
        <v>6440</v>
      </c>
      <c r="B343">
        <v>26330</v>
      </c>
      <c r="C343" s="1">
        <v>42921</v>
      </c>
      <c r="G343">
        <v>21.8</v>
      </c>
      <c r="H343">
        <v>15.7</v>
      </c>
      <c r="I343">
        <v>27.2</v>
      </c>
      <c r="J343">
        <f t="shared" si="44"/>
        <v>3104.5000000000009</v>
      </c>
      <c r="K343" s="48">
        <f t="shared" si="49"/>
        <v>623.6</v>
      </c>
      <c r="L343" s="31"/>
      <c r="M343">
        <v>0</v>
      </c>
      <c r="N343">
        <v>6.4</v>
      </c>
      <c r="O343" s="37">
        <f t="shared" si="41"/>
        <v>-6.4</v>
      </c>
      <c r="P343">
        <f t="shared" si="47"/>
        <v>-55.300000000000033</v>
      </c>
      <c r="Q343">
        <v>302</v>
      </c>
      <c r="R343" s="38">
        <f t="shared" si="40"/>
        <v>0.53749999999999998</v>
      </c>
      <c r="S343" s="38">
        <f t="shared" si="42"/>
        <v>3.44</v>
      </c>
      <c r="T343" s="38">
        <f t="shared" si="43"/>
        <v>-3.44</v>
      </c>
      <c r="U343" s="38">
        <f t="shared" si="45"/>
        <v>4.2637499999999982</v>
      </c>
      <c r="W343">
        <v>3143.1</v>
      </c>
      <c r="Y343">
        <f t="shared" si="46"/>
        <v>278971.99999999977</v>
      </c>
      <c r="AA343">
        <v>16.119590387774142</v>
      </c>
    </row>
    <row r="344" spans="1:27" x14ac:dyDescent="0.25">
      <c r="A344">
        <v>6440</v>
      </c>
      <c r="B344">
        <v>26330</v>
      </c>
      <c r="C344" s="1">
        <v>42922</v>
      </c>
      <c r="G344">
        <v>22.6</v>
      </c>
      <c r="H344">
        <v>17.8</v>
      </c>
      <c r="I344">
        <v>26.8</v>
      </c>
      <c r="J344">
        <f t="shared" si="44"/>
        <v>3127.1000000000008</v>
      </c>
      <c r="K344" s="48">
        <f t="shared" si="49"/>
        <v>646.20000000000005</v>
      </c>
      <c r="L344" s="31"/>
      <c r="M344">
        <v>4</v>
      </c>
      <c r="N344">
        <v>4.4000000000000004</v>
      </c>
      <c r="O344" s="37">
        <f t="shared" si="41"/>
        <v>-0.40000000000000036</v>
      </c>
      <c r="P344">
        <f t="shared" si="47"/>
        <v>-55.700000000000031</v>
      </c>
      <c r="Q344">
        <v>303</v>
      </c>
      <c r="R344" s="38">
        <f t="shared" si="40"/>
        <v>0.52499999999999991</v>
      </c>
      <c r="S344" s="38">
        <f t="shared" si="42"/>
        <v>2.3099999999999996</v>
      </c>
      <c r="T344" s="38">
        <f t="shared" si="43"/>
        <v>1.6900000000000004</v>
      </c>
      <c r="U344" s="38">
        <f t="shared" si="45"/>
        <v>5.9537499999999985</v>
      </c>
      <c r="W344">
        <v>2200</v>
      </c>
      <c r="Y344">
        <f t="shared" si="46"/>
        <v>281171.99999999977</v>
      </c>
      <c r="AA344">
        <v>16.097726796722657</v>
      </c>
    </row>
    <row r="345" spans="1:27" x14ac:dyDescent="0.25">
      <c r="A345">
        <v>6440</v>
      </c>
      <c r="B345">
        <v>26330</v>
      </c>
      <c r="C345" s="1">
        <v>42923</v>
      </c>
      <c r="G345">
        <v>23.6</v>
      </c>
      <c r="H345">
        <v>20</v>
      </c>
      <c r="I345">
        <v>28.8</v>
      </c>
      <c r="J345">
        <f t="shared" si="44"/>
        <v>3150.7000000000007</v>
      </c>
      <c r="K345" s="48">
        <f t="shared" si="49"/>
        <v>669.80000000000007</v>
      </c>
      <c r="L345" s="31"/>
      <c r="M345">
        <v>0</v>
      </c>
      <c r="N345">
        <v>7.7</v>
      </c>
      <c r="O345" s="37">
        <f t="shared" si="41"/>
        <v>-7.7</v>
      </c>
      <c r="P345">
        <f t="shared" si="47"/>
        <v>-63.400000000000034</v>
      </c>
      <c r="Q345">
        <v>304</v>
      </c>
      <c r="R345" s="38">
        <f t="shared" si="40"/>
        <v>0.51249999999999996</v>
      </c>
      <c r="S345" s="38">
        <f t="shared" si="42"/>
        <v>3.9462499999999996</v>
      </c>
      <c r="T345" s="38">
        <f t="shared" si="43"/>
        <v>-3.9462499999999996</v>
      </c>
      <c r="U345" s="38">
        <f t="shared" si="45"/>
        <v>2.007499999999999</v>
      </c>
      <c r="W345">
        <v>3010.8</v>
      </c>
      <c r="Y345">
        <f t="shared" si="46"/>
        <v>284182.79999999976</v>
      </c>
      <c r="AA345">
        <v>16.074438635196692</v>
      </c>
    </row>
    <row r="346" spans="1:27" x14ac:dyDescent="0.25">
      <c r="A346">
        <v>6440</v>
      </c>
      <c r="B346">
        <v>26330</v>
      </c>
      <c r="C346" s="1">
        <v>42924</v>
      </c>
      <c r="G346">
        <v>20.8</v>
      </c>
      <c r="H346">
        <v>17.3</v>
      </c>
      <c r="I346">
        <v>24.9</v>
      </c>
      <c r="J346">
        <f t="shared" si="44"/>
        <v>3171.5000000000009</v>
      </c>
      <c r="K346" s="48">
        <f t="shared" si="49"/>
        <v>690.6</v>
      </c>
      <c r="L346" s="31"/>
      <c r="M346">
        <v>0</v>
      </c>
      <c r="N346">
        <v>4.7</v>
      </c>
      <c r="O346" s="37">
        <f t="shared" si="41"/>
        <v>-4.7</v>
      </c>
      <c r="P346">
        <f t="shared" si="47"/>
        <v>-68.100000000000037</v>
      </c>
      <c r="Q346">
        <v>305</v>
      </c>
      <c r="R346" s="38">
        <f t="shared" si="40"/>
        <v>0.5</v>
      </c>
      <c r="S346" s="38">
        <f t="shared" si="42"/>
        <v>2.35</v>
      </c>
      <c r="T346" s="38">
        <f t="shared" si="43"/>
        <v>-2.35</v>
      </c>
      <c r="U346" s="38">
        <v>0</v>
      </c>
      <c r="W346">
        <v>2229.6</v>
      </c>
      <c r="Y346">
        <f t="shared" si="46"/>
        <v>286412.39999999973</v>
      </c>
      <c r="AA346">
        <v>16.04974683475497</v>
      </c>
    </row>
    <row r="347" spans="1:27" x14ac:dyDescent="0.25">
      <c r="A347">
        <v>6440</v>
      </c>
      <c r="B347">
        <v>26330</v>
      </c>
      <c r="C347" s="1">
        <v>42925</v>
      </c>
      <c r="G347">
        <v>21.5</v>
      </c>
      <c r="H347">
        <v>16.8</v>
      </c>
      <c r="I347">
        <v>25.7</v>
      </c>
      <c r="J347">
        <f t="shared" si="44"/>
        <v>3193.0000000000009</v>
      </c>
      <c r="K347" s="48">
        <f t="shared" si="49"/>
        <v>712.1</v>
      </c>
      <c r="L347" s="31"/>
      <c r="M347">
        <v>0</v>
      </c>
      <c r="N347">
        <v>5.8</v>
      </c>
      <c r="O347" s="37">
        <f t="shared" si="41"/>
        <v>-5.8</v>
      </c>
      <c r="P347">
        <f t="shared" si="47"/>
        <v>-73.900000000000034</v>
      </c>
      <c r="Q347">
        <v>306</v>
      </c>
      <c r="R347" s="38">
        <f t="shared" si="40"/>
        <v>0.48749999999999993</v>
      </c>
      <c r="S347" s="38">
        <f t="shared" si="42"/>
        <v>2.8274999999999997</v>
      </c>
      <c r="T347" s="38">
        <f t="shared" si="43"/>
        <v>-2.8274999999999997</v>
      </c>
      <c r="U347" s="38">
        <v>0</v>
      </c>
      <c r="W347">
        <v>2633.6</v>
      </c>
      <c r="Y347">
        <f t="shared" si="46"/>
        <v>289045.99999999971</v>
      </c>
      <c r="AA347">
        <v>16.023673275207074</v>
      </c>
    </row>
    <row r="348" spans="1:27" x14ac:dyDescent="0.25">
      <c r="A348">
        <v>6440</v>
      </c>
      <c r="B348">
        <v>26330</v>
      </c>
      <c r="C348" s="1">
        <v>42926</v>
      </c>
      <c r="G348">
        <v>18.7</v>
      </c>
      <c r="H348">
        <v>17.7</v>
      </c>
      <c r="I348">
        <v>21.1</v>
      </c>
      <c r="J348">
        <f t="shared" si="44"/>
        <v>3211.7000000000007</v>
      </c>
      <c r="K348" s="48">
        <f t="shared" si="49"/>
        <v>730.80000000000007</v>
      </c>
      <c r="L348" s="31"/>
      <c r="M348">
        <v>4.5</v>
      </c>
      <c r="N348">
        <v>3</v>
      </c>
      <c r="O348" s="37">
        <f t="shared" si="41"/>
        <v>1.5</v>
      </c>
      <c r="P348">
        <f t="shared" si="47"/>
        <v>-72.400000000000034</v>
      </c>
      <c r="Q348">
        <v>307</v>
      </c>
      <c r="R348" s="38">
        <f t="shared" si="40"/>
        <v>0.47499999999999998</v>
      </c>
      <c r="S348" s="38">
        <f t="shared" si="42"/>
        <v>1.4249999999999998</v>
      </c>
      <c r="T348" s="38">
        <f t="shared" si="43"/>
        <v>3.0750000000000002</v>
      </c>
      <c r="U348" s="38">
        <f t="shared" si="45"/>
        <v>3.0750000000000002</v>
      </c>
      <c r="W348">
        <v>1414.5</v>
      </c>
      <c r="Y348">
        <f t="shared" si="46"/>
        <v>290460.49999999971</v>
      </c>
      <c r="AA348">
        <v>15.99624071591392</v>
      </c>
    </row>
    <row r="349" spans="1:27" x14ac:dyDescent="0.25">
      <c r="A349">
        <v>6440</v>
      </c>
      <c r="B349">
        <v>26330</v>
      </c>
      <c r="C349" s="1">
        <v>42927</v>
      </c>
      <c r="G349">
        <v>17.399999999999999</v>
      </c>
      <c r="H349">
        <v>15.3</v>
      </c>
      <c r="I349">
        <v>20.2</v>
      </c>
      <c r="J349">
        <f t="shared" si="44"/>
        <v>3229.1000000000008</v>
      </c>
      <c r="K349" s="48">
        <f t="shared" si="49"/>
        <v>748.2</v>
      </c>
      <c r="L349" s="31"/>
      <c r="M349">
        <v>5</v>
      </c>
      <c r="N349">
        <v>2.2999999999999998</v>
      </c>
      <c r="O349" s="37">
        <f t="shared" si="41"/>
        <v>2.7</v>
      </c>
      <c r="P349">
        <f t="shared" si="47"/>
        <v>-69.700000000000031</v>
      </c>
      <c r="Q349">
        <v>308</v>
      </c>
      <c r="R349" s="38">
        <f t="shared" si="40"/>
        <v>0.46250000000000002</v>
      </c>
      <c r="S349" s="38">
        <f t="shared" si="42"/>
        <v>1.06375</v>
      </c>
      <c r="T349" s="38">
        <f t="shared" si="43"/>
        <v>3.9362500000000002</v>
      </c>
      <c r="U349" s="38">
        <f t="shared" si="45"/>
        <v>7.0112500000000004</v>
      </c>
      <c r="W349">
        <v>1128.2</v>
      </c>
      <c r="Y349">
        <f t="shared" si="46"/>
        <v>291588.69999999972</v>
      </c>
      <c r="AA349">
        <v>15.967472726117792</v>
      </c>
    </row>
    <row r="350" spans="1:27" x14ac:dyDescent="0.25">
      <c r="A350">
        <v>6440</v>
      </c>
      <c r="B350">
        <v>26330</v>
      </c>
      <c r="C350" s="1">
        <v>42928</v>
      </c>
      <c r="G350">
        <v>16.8</v>
      </c>
      <c r="H350">
        <v>14.9</v>
      </c>
      <c r="I350">
        <v>18.8</v>
      </c>
      <c r="J350">
        <f t="shared" si="44"/>
        <v>3245.900000000001</v>
      </c>
      <c r="K350" s="48">
        <f t="shared" si="49"/>
        <v>765</v>
      </c>
      <c r="L350" s="31"/>
      <c r="M350">
        <v>1</v>
      </c>
      <c r="N350">
        <v>2.2999999999999998</v>
      </c>
      <c r="O350" s="37">
        <f t="shared" si="41"/>
        <v>-1.2999999999999998</v>
      </c>
      <c r="P350">
        <f t="shared" si="47"/>
        <v>-71.000000000000028</v>
      </c>
      <c r="Q350">
        <v>309</v>
      </c>
      <c r="R350" s="38">
        <f t="shared" si="40"/>
        <v>0.44999999999999996</v>
      </c>
      <c r="S350" s="38">
        <f t="shared" si="42"/>
        <v>1.0349999999999999</v>
      </c>
      <c r="T350" s="38">
        <f t="shared" si="43"/>
        <v>-3.499999999999992E-2</v>
      </c>
      <c r="U350" s="38">
        <f t="shared" si="45"/>
        <v>6.9762500000000003</v>
      </c>
      <c r="W350">
        <v>993.8</v>
      </c>
      <c r="Y350">
        <f t="shared" si="46"/>
        <v>292582.49999999971</v>
      </c>
      <c r="AA350">
        <v>15.937393614712239</v>
      </c>
    </row>
    <row r="351" spans="1:27" x14ac:dyDescent="0.25">
      <c r="A351">
        <v>6440</v>
      </c>
      <c r="B351">
        <v>26330</v>
      </c>
      <c r="C351" s="1">
        <v>42929</v>
      </c>
      <c r="G351">
        <v>17.3</v>
      </c>
      <c r="H351">
        <v>11.5</v>
      </c>
      <c r="I351">
        <v>21.9</v>
      </c>
      <c r="J351">
        <f t="shared" si="44"/>
        <v>3263.2000000000012</v>
      </c>
      <c r="K351" s="48">
        <f t="shared" si="49"/>
        <v>782.3</v>
      </c>
      <c r="L351" s="31"/>
      <c r="M351">
        <v>0</v>
      </c>
      <c r="N351">
        <v>4.9000000000000004</v>
      </c>
      <c r="O351" s="37">
        <f t="shared" si="41"/>
        <v>-4.9000000000000004</v>
      </c>
      <c r="P351">
        <f t="shared" si="47"/>
        <v>-75.900000000000034</v>
      </c>
      <c r="Q351">
        <v>310</v>
      </c>
      <c r="R351" s="38">
        <f t="shared" si="40"/>
        <v>0.4375</v>
      </c>
      <c r="S351" s="38">
        <f t="shared" si="42"/>
        <v>2.1437500000000003</v>
      </c>
      <c r="T351" s="38">
        <f t="shared" si="43"/>
        <v>-2.1437500000000003</v>
      </c>
      <c r="U351" s="38">
        <f t="shared" si="45"/>
        <v>4.8324999999999996</v>
      </c>
      <c r="W351">
        <v>2828.7</v>
      </c>
      <c r="Y351">
        <f t="shared" si="46"/>
        <v>295411.19999999972</v>
      </c>
      <c r="AA351">
        <v>15.906028359846756</v>
      </c>
    </row>
    <row r="352" spans="1:27" x14ac:dyDescent="0.25">
      <c r="A352">
        <v>6440</v>
      </c>
      <c r="B352">
        <v>26330</v>
      </c>
      <c r="C352" s="1">
        <v>42930</v>
      </c>
      <c r="G352">
        <v>17.3</v>
      </c>
      <c r="H352">
        <v>14.4</v>
      </c>
      <c r="I352">
        <v>22.7</v>
      </c>
      <c r="J352">
        <f t="shared" si="44"/>
        <v>3280.5000000000014</v>
      </c>
      <c r="K352" s="48">
        <f t="shared" si="49"/>
        <v>799.59999999999991</v>
      </c>
      <c r="L352" s="31"/>
      <c r="M352">
        <v>0.9</v>
      </c>
      <c r="N352">
        <v>4.2</v>
      </c>
      <c r="O352" s="37">
        <f t="shared" si="41"/>
        <v>-3.3000000000000003</v>
      </c>
      <c r="P352">
        <f t="shared" si="47"/>
        <v>-79.200000000000031</v>
      </c>
      <c r="Q352">
        <v>311</v>
      </c>
      <c r="R352" s="38">
        <f t="shared" si="40"/>
        <v>0.42499999999999993</v>
      </c>
      <c r="S352" s="38">
        <f t="shared" si="42"/>
        <v>1.7849999999999997</v>
      </c>
      <c r="T352" s="38">
        <f t="shared" si="43"/>
        <v>-0.88499999999999968</v>
      </c>
      <c r="U352" s="38">
        <f t="shared" si="45"/>
        <v>3.9474999999999998</v>
      </c>
      <c r="W352">
        <v>1936.2</v>
      </c>
      <c r="Y352">
        <f t="shared" si="46"/>
        <v>297347.39999999973</v>
      </c>
      <c r="AA352">
        <v>15.873402538742795</v>
      </c>
    </row>
    <row r="353" spans="1:27" x14ac:dyDescent="0.25">
      <c r="A353">
        <v>6440</v>
      </c>
      <c r="B353">
        <v>26330</v>
      </c>
      <c r="C353" s="1">
        <v>42931</v>
      </c>
      <c r="G353">
        <v>18.100000000000001</v>
      </c>
      <c r="H353">
        <v>11.9</v>
      </c>
      <c r="I353">
        <v>22.5</v>
      </c>
      <c r="J353">
        <f t="shared" si="44"/>
        <v>3298.6000000000013</v>
      </c>
      <c r="K353" s="48">
        <f t="shared" si="49"/>
        <v>817.69999999999993</v>
      </c>
      <c r="L353" s="31"/>
      <c r="M353">
        <v>0</v>
      </c>
      <c r="N353">
        <v>1.8</v>
      </c>
      <c r="O353" s="37">
        <f t="shared" si="41"/>
        <v>-1.8</v>
      </c>
      <c r="P353">
        <f t="shared" si="47"/>
        <v>-81.000000000000028</v>
      </c>
      <c r="Q353">
        <v>312</v>
      </c>
      <c r="R353" s="38">
        <f t="shared" si="40"/>
        <v>0.41249999999999998</v>
      </c>
      <c r="S353" s="38">
        <f t="shared" si="42"/>
        <v>0.74249999999999994</v>
      </c>
      <c r="T353" s="38">
        <f t="shared" si="43"/>
        <v>-0.74249999999999994</v>
      </c>
      <c r="U353" s="38">
        <f t="shared" si="45"/>
        <v>3.2050000000000001</v>
      </c>
      <c r="W353">
        <v>617.20000000000005</v>
      </c>
      <c r="Y353">
        <f t="shared" si="46"/>
        <v>297964.59999999974</v>
      </c>
      <c r="AA353">
        <v>15.839542258076499</v>
      </c>
    </row>
    <row r="354" spans="1:27" x14ac:dyDescent="0.25">
      <c r="A354">
        <v>6440</v>
      </c>
      <c r="B354">
        <v>26330</v>
      </c>
      <c r="C354" s="1">
        <v>42932</v>
      </c>
      <c r="G354">
        <v>20</v>
      </c>
      <c r="H354">
        <v>17.5</v>
      </c>
      <c r="I354">
        <v>22.9</v>
      </c>
      <c r="J354">
        <f t="shared" si="44"/>
        <v>3318.6000000000013</v>
      </c>
      <c r="K354" s="48">
        <f t="shared" si="49"/>
        <v>837.69999999999993</v>
      </c>
      <c r="L354" s="31"/>
      <c r="M354">
        <v>0</v>
      </c>
      <c r="N354">
        <v>2.2999999999999998</v>
      </c>
      <c r="O354" s="37">
        <f t="shared" si="41"/>
        <v>-2.2999999999999998</v>
      </c>
      <c r="P354">
        <f t="shared" si="47"/>
        <v>-83.300000000000026</v>
      </c>
      <c r="Q354">
        <v>313</v>
      </c>
      <c r="R354" s="38">
        <f t="shared" si="40"/>
        <v>0.4</v>
      </c>
      <c r="S354" s="38">
        <f t="shared" si="42"/>
        <v>0.91999999999999993</v>
      </c>
      <c r="T354" s="38">
        <f t="shared" si="43"/>
        <v>-0.91999999999999993</v>
      </c>
      <c r="U354" s="38">
        <f t="shared" si="45"/>
        <v>2.2850000000000001</v>
      </c>
      <c r="W354">
        <v>1042.7</v>
      </c>
      <c r="Y354">
        <f t="shared" si="46"/>
        <v>299007.29999999976</v>
      </c>
      <c r="AA354">
        <v>15.804474085260464</v>
      </c>
    </row>
    <row r="355" spans="1:27" x14ac:dyDescent="0.25">
      <c r="A355">
        <v>6440</v>
      </c>
      <c r="B355">
        <v>26330</v>
      </c>
      <c r="C355" s="1">
        <v>42933</v>
      </c>
      <c r="G355">
        <v>19.899999999999999</v>
      </c>
      <c r="H355">
        <v>15.5</v>
      </c>
      <c r="I355">
        <v>24.3</v>
      </c>
      <c r="J355">
        <f t="shared" si="44"/>
        <v>3338.5000000000014</v>
      </c>
      <c r="K355" s="48">
        <f t="shared" si="49"/>
        <v>857.59999999999991</v>
      </c>
      <c r="L355" s="31"/>
      <c r="M355">
        <v>0</v>
      </c>
      <c r="N355">
        <v>2.1</v>
      </c>
      <c r="O355" s="37">
        <f t="shared" si="41"/>
        <v>-2.1</v>
      </c>
      <c r="P355">
        <f t="shared" si="47"/>
        <v>-85.40000000000002</v>
      </c>
      <c r="Q355">
        <v>314</v>
      </c>
      <c r="R355" s="38">
        <f t="shared" si="40"/>
        <v>0.38749999999999996</v>
      </c>
      <c r="S355" s="38">
        <f t="shared" si="42"/>
        <v>0.81374999999999997</v>
      </c>
      <c r="T355" s="38">
        <f t="shared" si="43"/>
        <v>-0.81374999999999997</v>
      </c>
      <c r="U355" s="38">
        <f t="shared" si="45"/>
        <v>1.4712500000000002</v>
      </c>
      <c r="W355">
        <v>1087.0999999999999</v>
      </c>
      <c r="Y355">
        <f t="shared" si="46"/>
        <v>300094.39999999973</v>
      </c>
      <c r="AA355">
        <v>15.768224980931866</v>
      </c>
    </row>
    <row r="356" spans="1:27" x14ac:dyDescent="0.25">
      <c r="A356">
        <v>6440</v>
      </c>
      <c r="B356">
        <v>26330</v>
      </c>
      <c r="C356" s="1">
        <v>42934</v>
      </c>
      <c r="G356">
        <v>24</v>
      </c>
      <c r="H356">
        <v>17.3</v>
      </c>
      <c r="I356">
        <v>28.8</v>
      </c>
      <c r="J356">
        <f t="shared" si="44"/>
        <v>3362.5000000000014</v>
      </c>
      <c r="K356" s="48">
        <f t="shared" si="49"/>
        <v>881.59999999999991</v>
      </c>
      <c r="L356" s="31"/>
      <c r="M356">
        <v>0</v>
      </c>
      <c r="N356">
        <v>6</v>
      </c>
      <c r="O356" s="37">
        <f t="shared" si="41"/>
        <v>-6</v>
      </c>
      <c r="P356">
        <f t="shared" si="47"/>
        <v>-91.40000000000002</v>
      </c>
      <c r="Q356">
        <v>315</v>
      </c>
      <c r="R356" s="38">
        <f t="shared" si="40"/>
        <v>0.375</v>
      </c>
      <c r="S356" s="38">
        <f t="shared" si="42"/>
        <v>2.25</v>
      </c>
      <c r="T356" s="38">
        <f t="shared" si="43"/>
        <v>-2.25</v>
      </c>
      <c r="U356" s="38">
        <v>0</v>
      </c>
      <c r="W356">
        <v>2291.4</v>
      </c>
      <c r="Y356">
        <f t="shared" si="46"/>
        <v>302385.79999999976</v>
      </c>
      <c r="AA356">
        <v>15.730822232927936</v>
      </c>
    </row>
    <row r="357" spans="1:27" x14ac:dyDescent="0.25">
      <c r="A357">
        <v>6440</v>
      </c>
      <c r="B357">
        <v>26330</v>
      </c>
      <c r="C357" s="1">
        <v>42935</v>
      </c>
      <c r="G357">
        <v>25</v>
      </c>
      <c r="H357">
        <v>22.8</v>
      </c>
      <c r="I357">
        <v>29.3</v>
      </c>
      <c r="J357">
        <f t="shared" si="44"/>
        <v>3387.5000000000014</v>
      </c>
      <c r="K357" s="48">
        <f t="shared" si="49"/>
        <v>906.59999999999991</v>
      </c>
      <c r="L357" s="31"/>
      <c r="M357">
        <v>0.7</v>
      </c>
      <c r="N357">
        <v>5.9</v>
      </c>
      <c r="O357" s="37">
        <f t="shared" si="41"/>
        <v>-5.2</v>
      </c>
      <c r="P357">
        <f t="shared" si="47"/>
        <v>-96.600000000000023</v>
      </c>
      <c r="Q357">
        <v>316</v>
      </c>
      <c r="R357" s="38">
        <f t="shared" si="40"/>
        <v>0.36249999999999993</v>
      </c>
      <c r="S357" s="38">
        <f t="shared" si="42"/>
        <v>2.1387499999999999</v>
      </c>
      <c r="T357" s="38">
        <f t="shared" si="43"/>
        <v>-1.43875</v>
      </c>
      <c r="U357" s="38">
        <v>0</v>
      </c>
      <c r="W357">
        <v>2006.9</v>
      </c>
      <c r="Y357">
        <f t="shared" si="46"/>
        <v>304392.69999999978</v>
      </c>
      <c r="AA357">
        <v>15.692293392002897</v>
      </c>
    </row>
    <row r="358" spans="1:27" s="17" customFormat="1" ht="15.75" thickBot="1" x14ac:dyDescent="0.3">
      <c r="A358" s="17">
        <v>6440</v>
      </c>
      <c r="B358" s="17">
        <v>26330</v>
      </c>
      <c r="C358" s="18">
        <v>42936</v>
      </c>
      <c r="G358" s="17">
        <v>19.399999999999999</v>
      </c>
      <c r="H358" s="17">
        <v>19.2</v>
      </c>
      <c r="I358" s="17">
        <v>22.7</v>
      </c>
      <c r="J358" s="17">
        <f t="shared" si="44"/>
        <v>3406.9000000000015</v>
      </c>
      <c r="K358" s="48">
        <f t="shared" si="49"/>
        <v>925.99999999999989</v>
      </c>
      <c r="L358" s="35"/>
      <c r="M358" s="17">
        <v>3</v>
      </c>
      <c r="N358" s="17">
        <v>4.0999999999999996</v>
      </c>
      <c r="O358" s="37">
        <f t="shared" si="41"/>
        <v>-1.0999999999999996</v>
      </c>
      <c r="P358">
        <f t="shared" si="47"/>
        <v>-97.700000000000017</v>
      </c>
      <c r="Q358">
        <v>317</v>
      </c>
      <c r="R358" s="38">
        <f t="shared" si="40"/>
        <v>0.35</v>
      </c>
      <c r="S358" s="38">
        <f t="shared" si="42"/>
        <v>1.4349999999999998</v>
      </c>
      <c r="T358" s="38">
        <f t="shared" si="43"/>
        <v>1.5650000000000002</v>
      </c>
      <c r="U358" s="38">
        <f t="shared" si="45"/>
        <v>1.5650000000000002</v>
      </c>
      <c r="W358" s="17">
        <v>1425.3</v>
      </c>
      <c r="Y358">
        <f t="shared" si="46"/>
        <v>305817.99999999977</v>
      </c>
      <c r="AA358" s="17">
        <v>15.652666209512887</v>
      </c>
    </row>
    <row r="359" spans="1:27" s="20" customFormat="1" ht="15.75" thickBot="1" x14ac:dyDescent="0.3">
      <c r="A359" s="46" t="s">
        <v>17</v>
      </c>
      <c r="B359" s="46"/>
      <c r="C359" s="46"/>
      <c r="D359" s="46"/>
      <c r="E359" s="46"/>
      <c r="F359" s="46"/>
      <c r="K359" s="21"/>
      <c r="L359" s="36"/>
    </row>
    <row r="360" spans="1:27" x14ac:dyDescent="0.25">
      <c r="A360">
        <v>6440</v>
      </c>
      <c r="B360">
        <v>26330</v>
      </c>
      <c r="C360" s="1">
        <v>42937</v>
      </c>
      <c r="G360">
        <v>19.100000000000001</v>
      </c>
      <c r="H360">
        <v>12.4</v>
      </c>
      <c r="I360">
        <v>25.6</v>
      </c>
      <c r="K360" s="4"/>
      <c r="M360">
        <v>0</v>
      </c>
      <c r="N360">
        <v>4.0999999999999996</v>
      </c>
      <c r="W360">
        <v>1519.6</v>
      </c>
    </row>
    <row r="361" spans="1:27" x14ac:dyDescent="0.25">
      <c r="A361">
        <v>6440</v>
      </c>
      <c r="B361">
        <v>26330</v>
      </c>
      <c r="C361" s="1">
        <v>42938</v>
      </c>
      <c r="G361">
        <v>17.899999999999999</v>
      </c>
      <c r="H361">
        <v>14.6</v>
      </c>
      <c r="I361">
        <v>20.9</v>
      </c>
      <c r="K361" s="4"/>
      <c r="M361">
        <v>1.5</v>
      </c>
      <c r="N361">
        <v>2.8</v>
      </c>
      <c r="W361">
        <v>1307.0999999999999</v>
      </c>
    </row>
    <row r="362" spans="1:27" x14ac:dyDescent="0.25">
      <c r="A362">
        <v>6440</v>
      </c>
      <c r="B362">
        <v>26330</v>
      </c>
      <c r="C362" s="1">
        <v>42939</v>
      </c>
      <c r="G362">
        <v>16.899999999999999</v>
      </c>
      <c r="H362">
        <v>13</v>
      </c>
      <c r="I362">
        <v>20.100000000000001</v>
      </c>
      <c r="K362" s="4"/>
      <c r="M362">
        <v>0.9</v>
      </c>
      <c r="N362">
        <v>3.2</v>
      </c>
      <c r="W362">
        <v>1315.7</v>
      </c>
    </row>
    <row r="363" spans="1:27" x14ac:dyDescent="0.25">
      <c r="A363">
        <v>6440</v>
      </c>
      <c r="B363">
        <v>26330</v>
      </c>
      <c r="C363" s="1">
        <v>42940</v>
      </c>
      <c r="G363">
        <v>17.8</v>
      </c>
      <c r="H363">
        <v>14.3</v>
      </c>
      <c r="I363">
        <v>20.8</v>
      </c>
      <c r="K363" s="4"/>
      <c r="M363">
        <v>2.2999999999999998</v>
      </c>
      <c r="N363">
        <v>3.6</v>
      </c>
      <c r="W363">
        <v>1901</v>
      </c>
    </row>
    <row r="364" spans="1:27" x14ac:dyDescent="0.25">
      <c r="A364">
        <v>6440</v>
      </c>
      <c r="B364">
        <v>26330</v>
      </c>
      <c r="C364" s="1">
        <v>42941</v>
      </c>
      <c r="G364">
        <v>17.2</v>
      </c>
      <c r="H364">
        <v>14.7</v>
      </c>
      <c r="I364">
        <v>20.8</v>
      </c>
      <c r="K364" s="4"/>
      <c r="M364">
        <v>0.1</v>
      </c>
      <c r="N364">
        <v>4.0999999999999996</v>
      </c>
      <c r="W364">
        <v>2173</v>
      </c>
    </row>
    <row r="365" spans="1:27" x14ac:dyDescent="0.25">
      <c r="A365">
        <v>6440</v>
      </c>
      <c r="B365">
        <v>26330</v>
      </c>
      <c r="C365" s="1">
        <v>42942</v>
      </c>
      <c r="G365">
        <v>19.100000000000001</v>
      </c>
      <c r="H365">
        <v>14.1</v>
      </c>
      <c r="I365">
        <v>25.6</v>
      </c>
      <c r="K365" s="4"/>
      <c r="M365">
        <v>1.5</v>
      </c>
      <c r="N365">
        <v>3.8</v>
      </c>
      <c r="W365">
        <v>1626.2</v>
      </c>
    </row>
    <row r="366" spans="1:27" x14ac:dyDescent="0.25">
      <c r="A366">
        <v>6440</v>
      </c>
      <c r="B366">
        <v>26330</v>
      </c>
      <c r="C366" s="1">
        <v>42943</v>
      </c>
      <c r="G366">
        <v>17.7</v>
      </c>
      <c r="H366">
        <v>15.6</v>
      </c>
      <c r="I366">
        <v>20.2</v>
      </c>
      <c r="K366" s="4"/>
      <c r="M366">
        <v>0</v>
      </c>
      <c r="N366">
        <v>2.8</v>
      </c>
      <c r="W366">
        <v>1200.4000000000001</v>
      </c>
    </row>
    <row r="367" spans="1:27" x14ac:dyDescent="0.25">
      <c r="A367">
        <v>6440</v>
      </c>
      <c r="B367">
        <v>26330</v>
      </c>
      <c r="C367" s="1">
        <v>42944</v>
      </c>
      <c r="G367">
        <v>17.399999999999999</v>
      </c>
      <c r="H367">
        <v>13.6</v>
      </c>
      <c r="I367">
        <v>20.3</v>
      </c>
      <c r="K367" s="4"/>
      <c r="M367">
        <v>0.1</v>
      </c>
      <c r="N367">
        <v>3.6</v>
      </c>
      <c r="W367">
        <v>1710.6</v>
      </c>
    </row>
    <row r="368" spans="1:27" x14ac:dyDescent="0.25">
      <c r="A368">
        <v>6440</v>
      </c>
      <c r="B368">
        <v>26330</v>
      </c>
      <c r="C368" s="1">
        <v>42945</v>
      </c>
      <c r="G368">
        <v>22.3</v>
      </c>
      <c r="H368">
        <v>18.3</v>
      </c>
      <c r="I368">
        <v>26.2</v>
      </c>
      <c r="K368" s="4"/>
      <c r="M368">
        <v>0.2</v>
      </c>
      <c r="N368">
        <v>3.7</v>
      </c>
      <c r="W368">
        <v>742.9</v>
      </c>
    </row>
    <row r="369" spans="1:23" x14ac:dyDescent="0.25">
      <c r="A369">
        <v>6440</v>
      </c>
      <c r="B369">
        <v>26330</v>
      </c>
      <c r="C369" s="1">
        <v>42946</v>
      </c>
      <c r="G369">
        <v>20.5</v>
      </c>
      <c r="H369">
        <v>20.7</v>
      </c>
      <c r="I369">
        <v>22.5</v>
      </c>
      <c r="K369" s="4"/>
      <c r="M369">
        <v>0.2</v>
      </c>
      <c r="N369">
        <v>4.5</v>
      </c>
      <c r="W369">
        <v>1113.3</v>
      </c>
    </row>
    <row r="370" spans="1:23" x14ac:dyDescent="0.25">
      <c r="A370">
        <v>6440</v>
      </c>
      <c r="B370">
        <v>26330</v>
      </c>
      <c r="C370" s="1">
        <v>42947</v>
      </c>
      <c r="G370">
        <v>19.2</v>
      </c>
      <c r="H370">
        <v>14.7</v>
      </c>
      <c r="I370">
        <v>23</v>
      </c>
      <c r="K370" s="4"/>
      <c r="M370">
        <v>0</v>
      </c>
      <c r="N370">
        <v>3.6</v>
      </c>
      <c r="W370">
        <v>1618.9</v>
      </c>
    </row>
    <row r="371" spans="1:23" x14ac:dyDescent="0.25">
      <c r="A371">
        <v>6440</v>
      </c>
      <c r="B371">
        <v>26330</v>
      </c>
      <c r="C371" s="1">
        <v>42948</v>
      </c>
      <c r="G371">
        <v>19.600000000000001</v>
      </c>
      <c r="H371">
        <v>14</v>
      </c>
      <c r="I371">
        <v>23.6</v>
      </c>
      <c r="K371" s="4"/>
      <c r="M371">
        <v>0</v>
      </c>
      <c r="N371">
        <v>2.7</v>
      </c>
      <c r="W371">
        <v>1333.8</v>
      </c>
    </row>
    <row r="372" spans="1:23" x14ac:dyDescent="0.25">
      <c r="A372">
        <v>6440</v>
      </c>
      <c r="B372">
        <v>26330</v>
      </c>
      <c r="C372" s="1">
        <v>42949</v>
      </c>
      <c r="G372">
        <v>17.7</v>
      </c>
      <c r="H372">
        <v>15.7</v>
      </c>
      <c r="I372">
        <v>19.3</v>
      </c>
      <c r="K372" s="4"/>
      <c r="M372">
        <v>4.8</v>
      </c>
      <c r="N372">
        <v>1.6</v>
      </c>
      <c r="W372">
        <v>785.4</v>
      </c>
    </row>
    <row r="373" spans="1:23" x14ac:dyDescent="0.25">
      <c r="A373">
        <v>6440</v>
      </c>
      <c r="B373">
        <v>26330</v>
      </c>
      <c r="C373" s="1">
        <v>42950</v>
      </c>
      <c r="G373">
        <v>19.899999999999999</v>
      </c>
      <c r="H373">
        <v>16.899999999999999</v>
      </c>
      <c r="I373">
        <v>23.4</v>
      </c>
      <c r="K373" s="4"/>
      <c r="M373">
        <v>0.6</v>
      </c>
      <c r="N373">
        <v>3.8</v>
      </c>
      <c r="W373">
        <v>940.9</v>
      </c>
    </row>
    <row r="374" spans="1:23" x14ac:dyDescent="0.25">
      <c r="A374">
        <v>6440</v>
      </c>
      <c r="B374">
        <v>26330</v>
      </c>
      <c r="C374" s="1">
        <v>42951</v>
      </c>
      <c r="G374">
        <v>19.5</v>
      </c>
      <c r="H374">
        <v>17.399999999999999</v>
      </c>
      <c r="I374">
        <v>21.9</v>
      </c>
      <c r="K374" s="4"/>
      <c r="M374">
        <v>1.7</v>
      </c>
      <c r="N374">
        <v>3.8</v>
      </c>
      <c r="W374">
        <v>1279.2</v>
      </c>
    </row>
    <row r="375" spans="1:23" x14ac:dyDescent="0.25">
      <c r="A375">
        <v>6440</v>
      </c>
      <c r="B375">
        <v>26330</v>
      </c>
      <c r="C375" s="1">
        <v>42952</v>
      </c>
      <c r="G375">
        <v>17.3</v>
      </c>
      <c r="H375">
        <v>15.4</v>
      </c>
      <c r="I375">
        <v>19.7</v>
      </c>
      <c r="K375" s="4"/>
      <c r="M375">
        <v>1.1000000000000001</v>
      </c>
      <c r="N375">
        <v>2.2999999999999998</v>
      </c>
      <c r="W375">
        <v>1071.0999999999999</v>
      </c>
    </row>
    <row r="376" spans="1:23" x14ac:dyDescent="0.25">
      <c r="A376">
        <v>6440</v>
      </c>
      <c r="B376">
        <v>26330</v>
      </c>
      <c r="C376" s="1">
        <v>42953</v>
      </c>
      <c r="G376">
        <v>16.5</v>
      </c>
      <c r="H376">
        <v>11.4</v>
      </c>
      <c r="I376">
        <v>21.4</v>
      </c>
      <c r="K376" s="4"/>
      <c r="M376">
        <v>0.3</v>
      </c>
      <c r="N376">
        <v>3.2</v>
      </c>
      <c r="W376">
        <v>1500.6</v>
      </c>
    </row>
    <row r="377" spans="1:23" x14ac:dyDescent="0.25">
      <c r="A377">
        <v>6440</v>
      </c>
      <c r="B377">
        <v>26330</v>
      </c>
      <c r="C377" s="1">
        <v>42954</v>
      </c>
      <c r="G377">
        <v>17.899999999999999</v>
      </c>
      <c r="H377">
        <v>11.6</v>
      </c>
      <c r="I377">
        <v>22.9</v>
      </c>
      <c r="K377" s="4"/>
      <c r="M377">
        <v>0</v>
      </c>
      <c r="N377">
        <v>4.5999999999999996</v>
      </c>
      <c r="W377">
        <v>2641.7</v>
      </c>
    </row>
    <row r="378" spans="1:23" x14ac:dyDescent="0.25">
      <c r="A378">
        <v>6440</v>
      </c>
      <c r="B378">
        <v>26330</v>
      </c>
      <c r="C378" s="1">
        <v>42955</v>
      </c>
      <c r="G378">
        <v>16.5</v>
      </c>
      <c r="H378">
        <v>15.7</v>
      </c>
      <c r="I378">
        <v>19.399999999999999</v>
      </c>
      <c r="K378" s="4"/>
      <c r="M378">
        <v>9.9</v>
      </c>
      <c r="N378">
        <v>1.4</v>
      </c>
      <c r="W378">
        <v>723.7</v>
      </c>
    </row>
    <row r="379" spans="1:23" x14ac:dyDescent="0.25">
      <c r="A379">
        <v>6440</v>
      </c>
      <c r="B379">
        <v>26330</v>
      </c>
      <c r="C379" s="1">
        <v>42956</v>
      </c>
      <c r="G379">
        <v>17.2</v>
      </c>
      <c r="H379">
        <v>12.4</v>
      </c>
      <c r="I379">
        <v>21.2</v>
      </c>
      <c r="K379" s="4"/>
      <c r="M379">
        <v>2.2000000000000002</v>
      </c>
      <c r="N379">
        <v>3.7</v>
      </c>
      <c r="W379">
        <v>1970.3</v>
      </c>
    </row>
    <row r="380" spans="1:23" x14ac:dyDescent="0.25">
      <c r="A380">
        <v>6440</v>
      </c>
      <c r="B380">
        <v>26330</v>
      </c>
      <c r="C380" s="1">
        <v>42957</v>
      </c>
      <c r="G380">
        <v>15.2</v>
      </c>
      <c r="H380">
        <v>14.2</v>
      </c>
      <c r="I380">
        <v>16.8</v>
      </c>
      <c r="K380" s="4"/>
      <c r="M380">
        <v>7.4</v>
      </c>
      <c r="N380">
        <v>1.4</v>
      </c>
      <c r="W380">
        <v>963.8</v>
      </c>
    </row>
    <row r="381" spans="1:23" x14ac:dyDescent="0.25">
      <c r="A381">
        <v>6440</v>
      </c>
      <c r="B381">
        <v>26330</v>
      </c>
      <c r="C381" s="1">
        <v>42958</v>
      </c>
      <c r="G381">
        <v>17.2</v>
      </c>
      <c r="H381">
        <v>14.4</v>
      </c>
      <c r="I381">
        <v>20</v>
      </c>
      <c r="K381" s="4"/>
      <c r="M381">
        <v>3.8</v>
      </c>
      <c r="N381">
        <v>2.6</v>
      </c>
      <c r="W381">
        <v>1175.4000000000001</v>
      </c>
    </row>
    <row r="382" spans="1:23" x14ac:dyDescent="0.25">
      <c r="A382">
        <v>6440</v>
      </c>
      <c r="B382">
        <v>26330</v>
      </c>
      <c r="C382" s="1">
        <v>42959</v>
      </c>
      <c r="G382">
        <v>17.2</v>
      </c>
      <c r="H382">
        <v>14.5</v>
      </c>
      <c r="I382">
        <v>19.7</v>
      </c>
      <c r="K382" s="4"/>
      <c r="M382">
        <v>1.8</v>
      </c>
      <c r="N382">
        <v>1.7</v>
      </c>
      <c r="W382">
        <v>826.5</v>
      </c>
    </row>
    <row r="383" spans="1:23" x14ac:dyDescent="0.25">
      <c r="A383">
        <v>6440</v>
      </c>
      <c r="B383">
        <v>26330</v>
      </c>
      <c r="C383" s="1">
        <v>42960</v>
      </c>
      <c r="G383">
        <v>17.5</v>
      </c>
      <c r="H383">
        <v>13.5</v>
      </c>
      <c r="I383">
        <v>20.5</v>
      </c>
      <c r="K383" s="4"/>
      <c r="M383">
        <v>0</v>
      </c>
      <c r="N383">
        <v>3.1</v>
      </c>
      <c r="W383">
        <v>1850.4</v>
      </c>
    </row>
    <row r="384" spans="1:23" x14ac:dyDescent="0.25">
      <c r="A384">
        <v>6440</v>
      </c>
      <c r="B384">
        <v>26330</v>
      </c>
      <c r="C384" s="1">
        <v>42961</v>
      </c>
      <c r="G384">
        <v>19.899999999999999</v>
      </c>
      <c r="H384">
        <v>13.9</v>
      </c>
      <c r="I384">
        <v>24.4</v>
      </c>
      <c r="K384" s="4"/>
      <c r="M384">
        <v>8.4</v>
      </c>
      <c r="N384">
        <v>2.8</v>
      </c>
      <c r="W384">
        <v>1346.8</v>
      </c>
    </row>
    <row r="385" spans="1:23" x14ac:dyDescent="0.25">
      <c r="A385">
        <v>6440</v>
      </c>
      <c r="B385">
        <v>26330</v>
      </c>
      <c r="C385" s="1">
        <v>42962</v>
      </c>
      <c r="G385">
        <v>19.3</v>
      </c>
      <c r="H385">
        <v>16.3</v>
      </c>
      <c r="I385">
        <v>22.8</v>
      </c>
      <c r="K385" s="4"/>
      <c r="M385">
        <v>3.7</v>
      </c>
      <c r="N385">
        <v>2.2000000000000002</v>
      </c>
      <c r="W385">
        <v>1137.3</v>
      </c>
    </row>
    <row r="386" spans="1:23" x14ac:dyDescent="0.25">
      <c r="A386">
        <v>6440</v>
      </c>
      <c r="B386">
        <v>26330</v>
      </c>
      <c r="C386" s="1">
        <v>42963</v>
      </c>
      <c r="G386">
        <v>18.600000000000001</v>
      </c>
      <c r="H386">
        <v>13.2</v>
      </c>
      <c r="I386">
        <v>23.2</v>
      </c>
      <c r="K386" s="4"/>
      <c r="M386">
        <v>0.6</v>
      </c>
      <c r="N386">
        <v>3.1</v>
      </c>
      <c r="W386">
        <v>1568.1</v>
      </c>
    </row>
    <row r="387" spans="1:23" x14ac:dyDescent="0.25">
      <c r="A387">
        <v>6440</v>
      </c>
      <c r="B387">
        <v>26330</v>
      </c>
      <c r="C387" s="1">
        <v>42964</v>
      </c>
      <c r="G387">
        <v>19.3</v>
      </c>
      <c r="H387">
        <v>16.2</v>
      </c>
      <c r="I387">
        <v>21.1</v>
      </c>
      <c r="K387" s="4"/>
      <c r="M387">
        <v>8.5</v>
      </c>
      <c r="N387">
        <v>1.5</v>
      </c>
      <c r="W387">
        <v>743.2</v>
      </c>
    </row>
    <row r="388" spans="1:23" x14ac:dyDescent="0.25">
      <c r="A388">
        <v>6440</v>
      </c>
      <c r="B388">
        <v>26330</v>
      </c>
      <c r="C388" s="1">
        <v>42965</v>
      </c>
      <c r="G388">
        <v>17.8</v>
      </c>
      <c r="H388">
        <v>16.8</v>
      </c>
      <c r="I388">
        <v>20.5</v>
      </c>
      <c r="K388" s="4"/>
      <c r="M388">
        <v>3.4</v>
      </c>
      <c r="N388">
        <v>2.9</v>
      </c>
      <c r="W388">
        <v>1147.9000000000001</v>
      </c>
    </row>
    <row r="389" spans="1:23" x14ac:dyDescent="0.25">
      <c r="A389">
        <v>6440</v>
      </c>
      <c r="B389">
        <v>26330</v>
      </c>
      <c r="C389" s="1">
        <v>42966</v>
      </c>
      <c r="G389">
        <v>16.100000000000001</v>
      </c>
      <c r="H389">
        <v>12.8</v>
      </c>
      <c r="I389">
        <v>20.2</v>
      </c>
      <c r="K389" s="4"/>
      <c r="M389">
        <v>0.9</v>
      </c>
      <c r="N389">
        <v>3.3</v>
      </c>
      <c r="W389">
        <v>1557</v>
      </c>
    </row>
    <row r="390" spans="1:23" x14ac:dyDescent="0.25">
      <c r="A390">
        <v>6440</v>
      </c>
      <c r="B390">
        <v>26330</v>
      </c>
      <c r="C390" s="1">
        <v>42967</v>
      </c>
      <c r="G390">
        <v>16.3</v>
      </c>
      <c r="H390">
        <v>11.7</v>
      </c>
      <c r="I390">
        <v>20.399999999999999</v>
      </c>
      <c r="K390" s="4"/>
      <c r="M390">
        <v>1.7</v>
      </c>
      <c r="N390">
        <v>3.5</v>
      </c>
      <c r="W390">
        <v>1740.9</v>
      </c>
    </row>
    <row r="391" spans="1:23" x14ac:dyDescent="0.25">
      <c r="A391">
        <v>6440</v>
      </c>
      <c r="B391">
        <v>26330</v>
      </c>
      <c r="C391" s="1">
        <v>42968</v>
      </c>
      <c r="G391">
        <v>16.5</v>
      </c>
      <c r="H391">
        <v>13.5</v>
      </c>
      <c r="I391">
        <v>18.2</v>
      </c>
      <c r="K391" s="4"/>
      <c r="M391">
        <v>0.9</v>
      </c>
      <c r="N391">
        <v>1</v>
      </c>
      <c r="W391">
        <v>456.4</v>
      </c>
    </row>
    <row r="392" spans="1:23" x14ac:dyDescent="0.25">
      <c r="A392">
        <v>6440</v>
      </c>
      <c r="B392">
        <v>26330</v>
      </c>
      <c r="C392" s="1">
        <v>42969</v>
      </c>
      <c r="G392">
        <v>19.600000000000001</v>
      </c>
      <c r="H392">
        <v>16.600000000000001</v>
      </c>
      <c r="I392">
        <v>22.4</v>
      </c>
      <c r="K392" s="4"/>
      <c r="M392">
        <v>0</v>
      </c>
      <c r="N392">
        <v>1.7</v>
      </c>
      <c r="W392">
        <v>899.1</v>
      </c>
    </row>
    <row r="393" spans="1:23" x14ac:dyDescent="0.25">
      <c r="A393">
        <v>6440</v>
      </c>
      <c r="B393">
        <v>26330</v>
      </c>
      <c r="C393" s="1">
        <v>42970</v>
      </c>
      <c r="G393">
        <v>20.2</v>
      </c>
      <c r="H393">
        <v>16.600000000000001</v>
      </c>
      <c r="I393">
        <v>28.1</v>
      </c>
      <c r="K393" s="4"/>
      <c r="M393">
        <v>0</v>
      </c>
      <c r="N393">
        <v>4.3</v>
      </c>
      <c r="W393">
        <v>1656</v>
      </c>
    </row>
    <row r="394" spans="1:23" x14ac:dyDescent="0.25">
      <c r="A394">
        <v>6440</v>
      </c>
      <c r="B394">
        <v>26330</v>
      </c>
      <c r="C394" s="1">
        <v>42971</v>
      </c>
      <c r="G394">
        <v>18.5</v>
      </c>
      <c r="H394">
        <v>15.3</v>
      </c>
      <c r="I394">
        <v>22.8</v>
      </c>
      <c r="K394" s="4"/>
      <c r="M394">
        <v>0</v>
      </c>
      <c r="N394">
        <v>2.5</v>
      </c>
      <c r="W394">
        <v>1208.0999999999999</v>
      </c>
    </row>
    <row r="395" spans="1:23" x14ac:dyDescent="0.25">
      <c r="A395">
        <v>6440</v>
      </c>
      <c r="B395">
        <v>26330</v>
      </c>
      <c r="C395" s="1">
        <v>42972</v>
      </c>
      <c r="G395">
        <v>19.8</v>
      </c>
      <c r="H395">
        <v>14.4</v>
      </c>
      <c r="I395">
        <v>24.6</v>
      </c>
      <c r="K395" s="4"/>
      <c r="M395">
        <v>0</v>
      </c>
      <c r="N395">
        <v>2.4</v>
      </c>
      <c r="W395">
        <v>1232.2</v>
      </c>
    </row>
    <row r="396" spans="1:23" x14ac:dyDescent="0.25">
      <c r="A396">
        <v>6440</v>
      </c>
      <c r="B396">
        <v>26330</v>
      </c>
      <c r="C396" s="1">
        <v>42973</v>
      </c>
      <c r="G396">
        <v>21.2</v>
      </c>
      <c r="H396">
        <v>17</v>
      </c>
      <c r="I396">
        <v>26.2</v>
      </c>
      <c r="K396" s="4"/>
      <c r="M396">
        <v>0</v>
      </c>
      <c r="N396">
        <v>3.4</v>
      </c>
      <c r="W396">
        <v>1535.8</v>
      </c>
    </row>
    <row r="397" spans="1:23" x14ac:dyDescent="0.25">
      <c r="A397">
        <v>6440</v>
      </c>
      <c r="B397">
        <v>26330</v>
      </c>
      <c r="C397" s="1">
        <v>42974</v>
      </c>
      <c r="G397">
        <v>21.2</v>
      </c>
      <c r="H397">
        <v>17.3</v>
      </c>
      <c r="I397">
        <v>25.3</v>
      </c>
      <c r="K397" s="4"/>
      <c r="M397">
        <v>0</v>
      </c>
      <c r="N397">
        <v>3.2</v>
      </c>
      <c r="W397">
        <v>1449.3</v>
      </c>
    </row>
    <row r="398" spans="1:23" x14ac:dyDescent="0.25">
      <c r="A398">
        <v>6440</v>
      </c>
      <c r="B398">
        <v>26330</v>
      </c>
      <c r="C398" s="1">
        <v>42975</v>
      </c>
      <c r="G398">
        <v>22.3</v>
      </c>
      <c r="H398">
        <v>15.6</v>
      </c>
      <c r="I398">
        <v>27.9</v>
      </c>
      <c r="K398" s="4"/>
      <c r="M398">
        <v>0</v>
      </c>
      <c r="N398">
        <v>4.2</v>
      </c>
      <c r="W398">
        <v>1986.1</v>
      </c>
    </row>
    <row r="399" spans="1:23" x14ac:dyDescent="0.25">
      <c r="A399">
        <v>6440</v>
      </c>
      <c r="B399">
        <v>26330</v>
      </c>
      <c r="C399" s="1">
        <v>42976</v>
      </c>
      <c r="G399">
        <v>24.9</v>
      </c>
      <c r="H399">
        <v>17.8</v>
      </c>
      <c r="I399">
        <v>31.4</v>
      </c>
      <c r="K399" s="4"/>
      <c r="M399">
        <v>4.9000000000000004</v>
      </c>
      <c r="N399">
        <v>3.8</v>
      </c>
      <c r="W399">
        <v>1521.6</v>
      </c>
    </row>
    <row r="400" spans="1:23" x14ac:dyDescent="0.25">
      <c r="A400">
        <v>6440</v>
      </c>
      <c r="B400">
        <v>26330</v>
      </c>
      <c r="C400" s="1">
        <v>42977</v>
      </c>
      <c r="G400">
        <v>17.600000000000001</v>
      </c>
      <c r="H400">
        <v>14.6</v>
      </c>
      <c r="I400">
        <v>20</v>
      </c>
      <c r="K400" s="4"/>
      <c r="M400">
        <v>16.100000000000001</v>
      </c>
      <c r="N400">
        <v>0.7</v>
      </c>
      <c r="W400">
        <v>411.9</v>
      </c>
    </row>
    <row r="401" spans="1:23" x14ac:dyDescent="0.25">
      <c r="A401">
        <v>6440</v>
      </c>
      <c r="B401">
        <v>26330</v>
      </c>
      <c r="C401" s="1">
        <v>42978</v>
      </c>
      <c r="G401">
        <v>14.9</v>
      </c>
      <c r="H401">
        <v>11.7</v>
      </c>
      <c r="I401">
        <v>19.5</v>
      </c>
      <c r="K401" s="4"/>
      <c r="M401">
        <v>1.2</v>
      </c>
      <c r="N401">
        <v>3.3</v>
      </c>
      <c r="W401">
        <v>1728.8</v>
      </c>
    </row>
  </sheetData>
  <mergeCells count="12">
    <mergeCell ref="F295:F311"/>
    <mergeCell ref="F312:F332"/>
    <mergeCell ref="M1:P1"/>
    <mergeCell ref="Q1:U1"/>
    <mergeCell ref="W1:AB1"/>
    <mergeCell ref="G1:L1"/>
    <mergeCell ref="A41:F41"/>
    <mergeCell ref="F42:F123"/>
    <mergeCell ref="F124:F200"/>
    <mergeCell ref="F201:F248"/>
    <mergeCell ref="F249:F269"/>
    <mergeCell ref="F270:F294"/>
  </mergeCells>
  <conditionalFormatting sqref="G3:I401 L43 L125 L202 L250 L273 L296 L313 L323 L51 L281 L306 L283 L285 L262 L260 L258 L210 L214 L212 L133 L137 L135 L55 L53">
    <cfRule type="cellIs" dxfId="13" priority="6" operator="lessThanOrEqual">
      <formula>0</formula>
    </cfRule>
    <cfRule type="cellIs" dxfId="12" priority="7" operator="lessThanOrEqual">
      <formula>5</formula>
    </cfRule>
  </conditionalFormatting>
  <conditionalFormatting sqref="O2:O1048576 P43">
    <cfRule type="cellIs" dxfId="11" priority="5" operator="lessThan">
      <formula>0</formula>
    </cfRule>
  </conditionalFormatting>
  <conditionalFormatting sqref="T42:T358">
    <cfRule type="cellIs" dxfId="10" priority="4" operator="lessThan">
      <formula>0</formula>
    </cfRule>
  </conditionalFormatting>
  <conditionalFormatting sqref="W42:W358">
    <cfRule type="cellIs" dxfId="9" priority="3" operator="lessThan">
      <formula>900</formula>
    </cfRule>
  </conditionalFormatting>
  <conditionalFormatting sqref="V43 V45 V47 U42:U358">
    <cfRule type="cellIs" dxfId="8" priority="1" operator="equal">
      <formula>0</formula>
    </cfRule>
    <cfRule type="cellIs" dxfId="7" priority="2" operator="lessThan">
      <formula>51.2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1"/>
  <sheetViews>
    <sheetView zoomScale="85" zoomScaleNormal="85" workbookViewId="0">
      <pane xSplit="6" ySplit="2" topLeftCell="G288" activePane="bottomRight" state="frozen"/>
      <selection pane="topRight" activeCell="G1" sqref="G1"/>
      <selection pane="bottomLeft" activeCell="A3" sqref="A3"/>
      <selection pane="bottomRight" activeCell="V223" sqref="V223"/>
    </sheetView>
  </sheetViews>
  <sheetFormatPr baseColWidth="10" defaultRowHeight="15" x14ac:dyDescent="0.25"/>
  <cols>
    <col min="5" max="5" width="12.85546875" bestFit="1" customWidth="1"/>
    <col min="11" max="11" width="12.7109375" bestFit="1" customWidth="1"/>
    <col min="12" max="12" width="12.7109375" style="22" customWidth="1"/>
  </cols>
  <sheetData>
    <row r="1" spans="1:28" x14ac:dyDescent="0.25">
      <c r="G1" s="58" t="s">
        <v>9</v>
      </c>
      <c r="H1" s="58"/>
      <c r="I1" s="58"/>
      <c r="J1" s="58"/>
      <c r="K1" s="58"/>
      <c r="L1" s="58"/>
      <c r="M1" s="58" t="s">
        <v>38</v>
      </c>
      <c r="N1" s="58"/>
      <c r="O1" s="58"/>
      <c r="P1" s="58"/>
      <c r="Q1" s="58" t="s">
        <v>45</v>
      </c>
      <c r="R1" s="58"/>
      <c r="S1" s="58"/>
      <c r="T1" s="58"/>
      <c r="U1" s="58"/>
      <c r="W1" s="58" t="s">
        <v>50</v>
      </c>
      <c r="X1" s="58"/>
      <c r="Y1" s="58"/>
      <c r="Z1" s="58"/>
      <c r="AA1" s="58"/>
      <c r="AB1" s="58"/>
    </row>
    <row r="2" spans="1:28" x14ac:dyDescent="0.25">
      <c r="A2" t="s">
        <v>0</v>
      </c>
      <c r="B2" t="s">
        <v>1</v>
      </c>
      <c r="C2" t="s">
        <v>2</v>
      </c>
      <c r="D2" t="s">
        <v>15</v>
      </c>
      <c r="E2" t="s">
        <v>14</v>
      </c>
      <c r="F2" t="s">
        <v>13</v>
      </c>
      <c r="G2" s="10" t="s">
        <v>4</v>
      </c>
      <c r="H2" s="10" t="s">
        <v>7</v>
      </c>
      <c r="I2" s="10" t="s">
        <v>8</v>
      </c>
      <c r="J2" s="10" t="s">
        <v>10</v>
      </c>
      <c r="K2" s="10" t="s">
        <v>11</v>
      </c>
      <c r="L2" s="39" t="s">
        <v>12</v>
      </c>
      <c r="M2" s="10" t="s">
        <v>3</v>
      </c>
      <c r="N2" s="10" t="s">
        <v>6</v>
      </c>
      <c r="O2" s="40" t="s">
        <v>36</v>
      </c>
      <c r="P2" s="40" t="s">
        <v>37</v>
      </c>
      <c r="Q2" s="40" t="s">
        <v>39</v>
      </c>
      <c r="R2" s="40" t="s">
        <v>40</v>
      </c>
      <c r="S2" s="40" t="s">
        <v>41</v>
      </c>
      <c r="T2" s="40" t="s">
        <v>42</v>
      </c>
      <c r="U2" s="40" t="s">
        <v>43</v>
      </c>
      <c r="V2" s="40" t="s">
        <v>44</v>
      </c>
      <c r="W2" s="10" t="s">
        <v>5</v>
      </c>
      <c r="X2" s="10" t="s">
        <v>46</v>
      </c>
      <c r="Y2" s="10" t="s">
        <v>47</v>
      </c>
      <c r="Z2" s="10" t="s">
        <v>48</v>
      </c>
      <c r="AA2" s="10" t="s">
        <v>49</v>
      </c>
      <c r="AB2" s="10" t="s">
        <v>44</v>
      </c>
    </row>
    <row r="3" spans="1:28" x14ac:dyDescent="0.25">
      <c r="A3">
        <v>6440</v>
      </c>
      <c r="B3">
        <v>26330</v>
      </c>
      <c r="C3" s="1">
        <v>42582</v>
      </c>
      <c r="G3">
        <v>18</v>
      </c>
      <c r="H3">
        <v>15.1</v>
      </c>
      <c r="I3">
        <v>21.6</v>
      </c>
      <c r="M3">
        <v>0.3</v>
      </c>
      <c r="N3">
        <v>2.9</v>
      </c>
      <c r="O3">
        <f>M3-N3</f>
        <v>-2.6</v>
      </c>
      <c r="P3">
        <v>0</v>
      </c>
      <c r="W3">
        <v>1427.4</v>
      </c>
    </row>
    <row r="4" spans="1:28" x14ac:dyDescent="0.25">
      <c r="A4">
        <v>6440</v>
      </c>
      <c r="B4">
        <v>26330</v>
      </c>
      <c r="C4" s="1">
        <v>42583</v>
      </c>
      <c r="G4">
        <v>16.899999999999999</v>
      </c>
      <c r="H4">
        <v>12.4</v>
      </c>
      <c r="I4">
        <v>21.5</v>
      </c>
      <c r="M4">
        <v>10.1</v>
      </c>
      <c r="N4">
        <v>3.5</v>
      </c>
      <c r="O4">
        <f t="shared" ref="O4:O40" si="0">M4-N4</f>
        <v>6.6</v>
      </c>
      <c r="P4">
        <f>P3+O4</f>
        <v>6.6</v>
      </c>
      <c r="W4">
        <v>1856.4</v>
      </c>
    </row>
    <row r="5" spans="1:28" x14ac:dyDescent="0.25">
      <c r="A5">
        <v>6440</v>
      </c>
      <c r="B5">
        <v>26330</v>
      </c>
      <c r="C5" s="1">
        <v>42584</v>
      </c>
      <c r="G5">
        <v>17.3</v>
      </c>
      <c r="H5">
        <v>14.5</v>
      </c>
      <c r="I5">
        <v>18.899999999999999</v>
      </c>
      <c r="M5">
        <v>10</v>
      </c>
      <c r="N5">
        <v>1.1000000000000001</v>
      </c>
      <c r="O5">
        <f t="shared" si="0"/>
        <v>8.9</v>
      </c>
      <c r="P5">
        <f t="shared" ref="P5:P40" si="1">P4+O5</f>
        <v>15.5</v>
      </c>
      <c r="W5">
        <v>610.1</v>
      </c>
    </row>
    <row r="6" spans="1:28" x14ac:dyDescent="0.25">
      <c r="A6">
        <v>6440</v>
      </c>
      <c r="B6">
        <v>26330</v>
      </c>
      <c r="C6" s="1">
        <v>42585</v>
      </c>
      <c r="G6">
        <v>18.2</v>
      </c>
      <c r="H6">
        <v>18</v>
      </c>
      <c r="I6">
        <v>19.5</v>
      </c>
      <c r="M6">
        <v>10.7</v>
      </c>
      <c r="N6">
        <v>1.3</v>
      </c>
      <c r="O6">
        <f t="shared" si="0"/>
        <v>9.3999999999999986</v>
      </c>
      <c r="P6">
        <f t="shared" si="1"/>
        <v>24.9</v>
      </c>
      <c r="W6">
        <v>595.70000000000005</v>
      </c>
    </row>
    <row r="7" spans="1:28" x14ac:dyDescent="0.25">
      <c r="A7">
        <v>6440</v>
      </c>
      <c r="B7">
        <v>26330</v>
      </c>
      <c r="C7" s="1">
        <v>42586</v>
      </c>
      <c r="G7">
        <v>17.3</v>
      </c>
      <c r="H7">
        <v>15.1</v>
      </c>
      <c r="I7">
        <v>20.2</v>
      </c>
      <c r="M7">
        <v>0</v>
      </c>
      <c r="N7">
        <v>3.1</v>
      </c>
      <c r="O7">
        <f t="shared" si="0"/>
        <v>-3.1</v>
      </c>
      <c r="P7">
        <f t="shared" si="1"/>
        <v>21.799999999999997</v>
      </c>
      <c r="W7">
        <v>1826.9</v>
      </c>
    </row>
    <row r="8" spans="1:28" x14ac:dyDescent="0.25">
      <c r="A8">
        <v>6440</v>
      </c>
      <c r="B8">
        <v>26330</v>
      </c>
      <c r="C8" s="1">
        <v>42587</v>
      </c>
      <c r="G8">
        <v>17.3</v>
      </c>
      <c r="H8">
        <v>13.6</v>
      </c>
      <c r="I8">
        <v>20.399999999999999</v>
      </c>
      <c r="M8">
        <v>0</v>
      </c>
      <c r="N8">
        <v>3.1</v>
      </c>
      <c r="O8">
        <f t="shared" si="0"/>
        <v>-3.1</v>
      </c>
      <c r="P8">
        <f t="shared" si="1"/>
        <v>18.699999999999996</v>
      </c>
      <c r="W8">
        <v>1927.5</v>
      </c>
    </row>
    <row r="9" spans="1:28" x14ac:dyDescent="0.25">
      <c r="A9">
        <v>6440</v>
      </c>
      <c r="B9">
        <v>26330</v>
      </c>
      <c r="C9" s="1">
        <v>42588</v>
      </c>
      <c r="G9">
        <v>18.3</v>
      </c>
      <c r="H9">
        <v>14.1</v>
      </c>
      <c r="I9">
        <v>22.7</v>
      </c>
      <c r="M9">
        <v>0</v>
      </c>
      <c r="N9">
        <v>4.2</v>
      </c>
      <c r="O9">
        <f t="shared" si="0"/>
        <v>-4.2</v>
      </c>
      <c r="P9">
        <f t="shared" si="1"/>
        <v>14.499999999999996</v>
      </c>
      <c r="W9">
        <v>2307.6</v>
      </c>
    </row>
    <row r="10" spans="1:28" x14ac:dyDescent="0.25">
      <c r="A10">
        <v>6440</v>
      </c>
      <c r="B10">
        <v>26330</v>
      </c>
      <c r="C10" s="1">
        <v>42589</v>
      </c>
      <c r="G10">
        <v>19.600000000000001</v>
      </c>
      <c r="H10">
        <v>14.6</v>
      </c>
      <c r="I10">
        <v>23.9</v>
      </c>
      <c r="M10">
        <v>0</v>
      </c>
      <c r="N10">
        <v>2.2000000000000002</v>
      </c>
      <c r="O10">
        <f t="shared" si="0"/>
        <v>-2.2000000000000002</v>
      </c>
      <c r="P10">
        <f t="shared" si="1"/>
        <v>12.299999999999997</v>
      </c>
      <c r="W10">
        <v>868</v>
      </c>
    </row>
    <row r="11" spans="1:28" x14ac:dyDescent="0.25">
      <c r="A11">
        <v>6440</v>
      </c>
      <c r="B11">
        <v>26330</v>
      </c>
      <c r="C11" s="1">
        <v>42590</v>
      </c>
      <c r="G11">
        <v>17.899999999999999</v>
      </c>
      <c r="H11">
        <v>16.399999999999999</v>
      </c>
      <c r="I11">
        <v>21</v>
      </c>
      <c r="M11">
        <v>0.2</v>
      </c>
      <c r="N11">
        <v>4</v>
      </c>
      <c r="O11">
        <f t="shared" si="0"/>
        <v>-3.8</v>
      </c>
      <c r="P11">
        <f t="shared" si="1"/>
        <v>8.4999999999999964</v>
      </c>
      <c r="W11">
        <v>1857.9</v>
      </c>
    </row>
    <row r="12" spans="1:28" x14ac:dyDescent="0.25">
      <c r="A12">
        <v>6440</v>
      </c>
      <c r="B12">
        <v>26330</v>
      </c>
      <c r="C12" s="1">
        <v>42591</v>
      </c>
      <c r="G12">
        <v>16.3</v>
      </c>
      <c r="H12">
        <v>13.8</v>
      </c>
      <c r="I12">
        <v>19.5</v>
      </c>
      <c r="M12">
        <v>2.2999999999999998</v>
      </c>
      <c r="N12">
        <v>4.3</v>
      </c>
      <c r="O12">
        <f t="shared" si="0"/>
        <v>-2</v>
      </c>
      <c r="P12">
        <f t="shared" si="1"/>
        <v>6.4999999999999964</v>
      </c>
      <c r="W12">
        <v>2259.5</v>
      </c>
    </row>
    <row r="13" spans="1:28" x14ac:dyDescent="0.25">
      <c r="A13">
        <v>6440</v>
      </c>
      <c r="B13">
        <v>26330</v>
      </c>
      <c r="C13" s="1">
        <v>42592</v>
      </c>
      <c r="G13">
        <v>13.5</v>
      </c>
      <c r="H13">
        <v>12.2</v>
      </c>
      <c r="I13">
        <v>15.5</v>
      </c>
      <c r="M13">
        <v>6</v>
      </c>
      <c r="N13">
        <v>3.4</v>
      </c>
      <c r="O13">
        <f t="shared" si="0"/>
        <v>2.6</v>
      </c>
      <c r="P13">
        <f t="shared" si="1"/>
        <v>9.0999999999999961</v>
      </c>
      <c r="W13">
        <v>2308.8000000000002</v>
      </c>
    </row>
    <row r="14" spans="1:28" x14ac:dyDescent="0.25">
      <c r="A14">
        <v>6440</v>
      </c>
      <c r="B14">
        <v>26330</v>
      </c>
      <c r="C14" s="1">
        <v>42593</v>
      </c>
      <c r="G14">
        <v>14.8</v>
      </c>
      <c r="H14">
        <v>9.6999999999999993</v>
      </c>
      <c r="I14">
        <v>18.100000000000001</v>
      </c>
      <c r="M14">
        <v>3.5</v>
      </c>
      <c r="N14">
        <v>0.4</v>
      </c>
      <c r="O14">
        <f t="shared" si="0"/>
        <v>3.1</v>
      </c>
      <c r="P14">
        <f t="shared" si="1"/>
        <v>12.199999999999996</v>
      </c>
      <c r="W14">
        <v>312.5</v>
      </c>
    </row>
    <row r="15" spans="1:28" x14ac:dyDescent="0.25">
      <c r="A15">
        <v>6440</v>
      </c>
      <c r="B15">
        <v>26330</v>
      </c>
      <c r="C15" s="1">
        <v>42594</v>
      </c>
      <c r="G15">
        <v>19.100000000000001</v>
      </c>
      <c r="H15">
        <v>14.9</v>
      </c>
      <c r="I15">
        <v>23.2</v>
      </c>
      <c r="M15">
        <v>0</v>
      </c>
      <c r="N15">
        <v>2.6</v>
      </c>
      <c r="O15">
        <f t="shared" si="0"/>
        <v>-2.6</v>
      </c>
      <c r="P15">
        <f t="shared" si="1"/>
        <v>9.5999999999999961</v>
      </c>
      <c r="W15">
        <v>1373</v>
      </c>
    </row>
    <row r="16" spans="1:28" x14ac:dyDescent="0.25">
      <c r="A16">
        <v>6440</v>
      </c>
      <c r="B16">
        <v>26330</v>
      </c>
      <c r="C16" s="1">
        <v>42595</v>
      </c>
      <c r="G16">
        <v>19.5</v>
      </c>
      <c r="H16">
        <v>14.8</v>
      </c>
      <c r="I16">
        <v>24</v>
      </c>
      <c r="M16">
        <v>0</v>
      </c>
      <c r="N16">
        <v>4.7</v>
      </c>
      <c r="O16">
        <f t="shared" si="0"/>
        <v>-4.7</v>
      </c>
      <c r="P16">
        <f t="shared" si="1"/>
        <v>4.8999999999999959</v>
      </c>
      <c r="W16">
        <v>2730.9</v>
      </c>
    </row>
    <row r="17" spans="1:23" x14ac:dyDescent="0.25">
      <c r="A17">
        <v>6440</v>
      </c>
      <c r="B17">
        <v>26330</v>
      </c>
      <c r="C17" s="1">
        <v>42596</v>
      </c>
      <c r="G17">
        <v>18.2</v>
      </c>
      <c r="H17">
        <v>15</v>
      </c>
      <c r="I17">
        <v>22.5</v>
      </c>
      <c r="M17">
        <v>0</v>
      </c>
      <c r="N17">
        <v>3.2</v>
      </c>
      <c r="O17">
        <f t="shared" si="0"/>
        <v>-3.2</v>
      </c>
      <c r="P17">
        <f t="shared" si="1"/>
        <v>1.6999999999999957</v>
      </c>
      <c r="W17">
        <v>1734</v>
      </c>
    </row>
    <row r="18" spans="1:23" x14ac:dyDescent="0.25">
      <c r="A18">
        <v>6440</v>
      </c>
      <c r="B18">
        <v>26330</v>
      </c>
      <c r="C18" s="1">
        <v>42597</v>
      </c>
      <c r="G18">
        <v>18.600000000000001</v>
      </c>
      <c r="H18">
        <v>15.2</v>
      </c>
      <c r="I18">
        <v>22.1</v>
      </c>
      <c r="M18">
        <v>0</v>
      </c>
      <c r="N18">
        <v>3.9</v>
      </c>
      <c r="O18">
        <f t="shared" si="0"/>
        <v>-3.9</v>
      </c>
      <c r="P18">
        <v>0</v>
      </c>
      <c r="W18">
        <v>1910.8</v>
      </c>
    </row>
    <row r="19" spans="1:23" x14ac:dyDescent="0.25">
      <c r="A19">
        <v>6440</v>
      </c>
      <c r="B19">
        <v>26330</v>
      </c>
      <c r="C19" s="1">
        <v>42598</v>
      </c>
      <c r="G19">
        <v>19.100000000000001</v>
      </c>
      <c r="H19">
        <v>14.4</v>
      </c>
      <c r="I19">
        <v>23.3</v>
      </c>
      <c r="M19">
        <v>0</v>
      </c>
      <c r="N19">
        <v>4.9000000000000004</v>
      </c>
      <c r="O19">
        <f t="shared" si="0"/>
        <v>-4.9000000000000004</v>
      </c>
      <c r="P19">
        <v>0</v>
      </c>
      <c r="W19">
        <v>2684.4</v>
      </c>
    </row>
    <row r="20" spans="1:23" x14ac:dyDescent="0.25">
      <c r="A20">
        <v>6440</v>
      </c>
      <c r="B20">
        <v>26330</v>
      </c>
      <c r="C20" s="1">
        <v>42599</v>
      </c>
      <c r="G20">
        <v>20.399999999999999</v>
      </c>
      <c r="H20">
        <v>15.1</v>
      </c>
      <c r="I20">
        <v>25</v>
      </c>
      <c r="M20">
        <v>0</v>
      </c>
      <c r="N20">
        <v>3.9</v>
      </c>
      <c r="O20">
        <f t="shared" si="0"/>
        <v>-3.9</v>
      </c>
      <c r="P20">
        <v>0</v>
      </c>
      <c r="W20">
        <v>1971.7</v>
      </c>
    </row>
    <row r="21" spans="1:23" x14ac:dyDescent="0.25">
      <c r="A21">
        <v>6440</v>
      </c>
      <c r="B21">
        <v>26330</v>
      </c>
      <c r="C21" s="1">
        <v>42600</v>
      </c>
      <c r="G21">
        <v>19.5</v>
      </c>
      <c r="H21">
        <v>15.4</v>
      </c>
      <c r="I21">
        <v>22.9</v>
      </c>
      <c r="M21">
        <v>0.1</v>
      </c>
      <c r="N21">
        <v>1.7</v>
      </c>
      <c r="O21">
        <f t="shared" si="0"/>
        <v>-1.5999999999999999</v>
      </c>
      <c r="P21">
        <v>0</v>
      </c>
      <c r="W21">
        <v>906.1</v>
      </c>
    </row>
    <row r="22" spans="1:23" x14ac:dyDescent="0.25">
      <c r="A22">
        <v>6440</v>
      </c>
      <c r="B22">
        <v>26330</v>
      </c>
      <c r="C22" s="1">
        <v>42601</v>
      </c>
      <c r="G22">
        <v>18</v>
      </c>
      <c r="H22">
        <v>16.100000000000001</v>
      </c>
      <c r="I22">
        <v>22.4</v>
      </c>
      <c r="M22">
        <v>1</v>
      </c>
      <c r="N22">
        <v>2.9</v>
      </c>
      <c r="O22">
        <f t="shared" si="0"/>
        <v>-1.9</v>
      </c>
      <c r="P22">
        <v>0</v>
      </c>
      <c r="W22">
        <v>1533.6</v>
      </c>
    </row>
    <row r="23" spans="1:23" x14ac:dyDescent="0.25">
      <c r="A23">
        <v>6440</v>
      </c>
      <c r="B23">
        <v>26330</v>
      </c>
      <c r="C23" s="1">
        <v>42602</v>
      </c>
      <c r="G23">
        <v>18</v>
      </c>
      <c r="H23">
        <v>14.9</v>
      </c>
      <c r="I23">
        <v>21.9</v>
      </c>
      <c r="M23">
        <v>1.4</v>
      </c>
      <c r="N23">
        <v>3.3</v>
      </c>
      <c r="O23">
        <f t="shared" si="0"/>
        <v>-1.9</v>
      </c>
      <c r="P23">
        <v>0</v>
      </c>
      <c r="W23">
        <v>1393.8</v>
      </c>
    </row>
    <row r="24" spans="1:23" x14ac:dyDescent="0.25">
      <c r="A24">
        <v>6440</v>
      </c>
      <c r="B24">
        <v>26330</v>
      </c>
      <c r="C24" s="1">
        <v>42603</v>
      </c>
      <c r="G24">
        <v>16.5</v>
      </c>
      <c r="H24">
        <v>15</v>
      </c>
      <c r="I24">
        <v>18.100000000000001</v>
      </c>
      <c r="M24">
        <v>4.5</v>
      </c>
      <c r="N24">
        <v>1.3</v>
      </c>
      <c r="O24">
        <f t="shared" si="0"/>
        <v>3.2</v>
      </c>
      <c r="P24">
        <f t="shared" si="1"/>
        <v>3.2</v>
      </c>
      <c r="W24">
        <v>406</v>
      </c>
    </row>
    <row r="25" spans="1:23" x14ac:dyDescent="0.25">
      <c r="A25">
        <v>6440</v>
      </c>
      <c r="B25">
        <v>26330</v>
      </c>
      <c r="C25" s="1">
        <v>42604</v>
      </c>
      <c r="G25">
        <v>20</v>
      </c>
      <c r="H25">
        <v>16.5</v>
      </c>
      <c r="I25">
        <v>24.1</v>
      </c>
      <c r="M25">
        <v>0</v>
      </c>
      <c r="N25">
        <v>3.6</v>
      </c>
      <c r="O25">
        <f t="shared" si="0"/>
        <v>-3.6</v>
      </c>
      <c r="P25">
        <v>0</v>
      </c>
      <c r="W25">
        <v>1398.1</v>
      </c>
    </row>
    <row r="26" spans="1:23" x14ac:dyDescent="0.25">
      <c r="A26">
        <v>6440</v>
      </c>
      <c r="B26">
        <v>26330</v>
      </c>
      <c r="C26" s="1">
        <v>42605</v>
      </c>
      <c r="G26">
        <v>22.5</v>
      </c>
      <c r="H26">
        <v>15</v>
      </c>
      <c r="I26">
        <v>28.6</v>
      </c>
      <c r="M26">
        <v>0</v>
      </c>
      <c r="N26">
        <v>5.5</v>
      </c>
      <c r="O26">
        <f t="shared" si="0"/>
        <v>-5.5</v>
      </c>
      <c r="P26">
        <v>0</v>
      </c>
      <c r="W26">
        <v>2505</v>
      </c>
    </row>
    <row r="27" spans="1:23" x14ac:dyDescent="0.25">
      <c r="A27">
        <v>6440</v>
      </c>
      <c r="B27">
        <v>26330</v>
      </c>
      <c r="C27" s="1">
        <v>42606</v>
      </c>
      <c r="G27">
        <v>25.9</v>
      </c>
      <c r="H27">
        <v>20.399999999999999</v>
      </c>
      <c r="I27">
        <v>32.200000000000003</v>
      </c>
      <c r="M27">
        <v>0</v>
      </c>
      <c r="N27">
        <v>6.6</v>
      </c>
      <c r="O27">
        <f t="shared" si="0"/>
        <v>-6.6</v>
      </c>
      <c r="P27">
        <v>0</v>
      </c>
      <c r="W27">
        <v>2487.1</v>
      </c>
    </row>
    <row r="28" spans="1:23" x14ac:dyDescent="0.25">
      <c r="A28">
        <v>6440</v>
      </c>
      <c r="B28">
        <v>26330</v>
      </c>
      <c r="C28" s="1">
        <v>42607</v>
      </c>
      <c r="G28">
        <v>26.6</v>
      </c>
      <c r="H28">
        <v>19.8</v>
      </c>
      <c r="I28">
        <v>33</v>
      </c>
      <c r="M28">
        <v>0</v>
      </c>
      <c r="N28">
        <v>5.9</v>
      </c>
      <c r="O28">
        <f t="shared" si="0"/>
        <v>-5.9</v>
      </c>
      <c r="P28">
        <v>0</v>
      </c>
      <c r="W28">
        <v>2467.1</v>
      </c>
    </row>
    <row r="29" spans="1:23" x14ac:dyDescent="0.25">
      <c r="A29">
        <v>6440</v>
      </c>
      <c r="B29">
        <v>26330</v>
      </c>
      <c r="C29" s="1">
        <v>42608</v>
      </c>
      <c r="G29">
        <v>23.5</v>
      </c>
      <c r="H29">
        <v>19.399999999999999</v>
      </c>
      <c r="I29">
        <v>27.5</v>
      </c>
      <c r="M29">
        <v>0</v>
      </c>
      <c r="N29">
        <v>3.9</v>
      </c>
      <c r="O29">
        <f t="shared" si="0"/>
        <v>-3.9</v>
      </c>
      <c r="P29">
        <v>0</v>
      </c>
      <c r="W29">
        <v>1941.2</v>
      </c>
    </row>
    <row r="30" spans="1:23" x14ac:dyDescent="0.25">
      <c r="A30">
        <v>6440</v>
      </c>
      <c r="B30">
        <v>26330</v>
      </c>
      <c r="C30" s="1">
        <v>42609</v>
      </c>
      <c r="G30">
        <v>25</v>
      </c>
      <c r="H30">
        <v>19.100000000000001</v>
      </c>
      <c r="I30">
        <v>30.9</v>
      </c>
      <c r="M30">
        <v>0</v>
      </c>
      <c r="N30">
        <v>5.2</v>
      </c>
      <c r="O30">
        <f t="shared" si="0"/>
        <v>-5.2</v>
      </c>
      <c r="P30">
        <v>0</v>
      </c>
      <c r="W30">
        <v>2430.9</v>
      </c>
    </row>
    <row r="31" spans="1:23" x14ac:dyDescent="0.25">
      <c r="A31">
        <v>6440</v>
      </c>
      <c r="B31">
        <v>26330</v>
      </c>
      <c r="C31" s="1">
        <v>42610</v>
      </c>
      <c r="G31">
        <v>21.2</v>
      </c>
      <c r="H31">
        <v>20.2</v>
      </c>
      <c r="I31">
        <v>24.4</v>
      </c>
      <c r="M31">
        <v>0</v>
      </c>
      <c r="N31">
        <v>4</v>
      </c>
      <c r="O31">
        <f t="shared" si="0"/>
        <v>-4</v>
      </c>
      <c r="P31">
        <v>0</v>
      </c>
      <c r="W31">
        <v>1470.3</v>
      </c>
    </row>
    <row r="32" spans="1:23" x14ac:dyDescent="0.25">
      <c r="A32">
        <v>6440</v>
      </c>
      <c r="B32">
        <v>26330</v>
      </c>
      <c r="C32" s="1">
        <v>42611</v>
      </c>
      <c r="G32">
        <v>18.5</v>
      </c>
      <c r="H32">
        <v>17.8</v>
      </c>
      <c r="I32">
        <v>20.7</v>
      </c>
      <c r="M32">
        <v>2.1</v>
      </c>
      <c r="N32">
        <v>2.1</v>
      </c>
      <c r="O32">
        <f t="shared" si="0"/>
        <v>0</v>
      </c>
      <c r="P32">
        <f t="shared" si="1"/>
        <v>0</v>
      </c>
      <c r="W32">
        <v>882</v>
      </c>
    </row>
    <row r="33" spans="1:28" x14ac:dyDescent="0.25">
      <c r="A33">
        <v>6440</v>
      </c>
      <c r="B33">
        <v>26330</v>
      </c>
      <c r="C33" s="1">
        <v>42612</v>
      </c>
      <c r="G33">
        <v>18</v>
      </c>
      <c r="H33">
        <v>12.1</v>
      </c>
      <c r="I33">
        <v>23.1</v>
      </c>
      <c r="M33">
        <v>0</v>
      </c>
      <c r="N33">
        <v>4.2</v>
      </c>
      <c r="O33">
        <f t="shared" si="0"/>
        <v>-4.2</v>
      </c>
      <c r="P33">
        <v>0</v>
      </c>
      <c r="W33">
        <v>2374.9</v>
      </c>
    </row>
    <row r="34" spans="1:28" x14ac:dyDescent="0.25">
      <c r="A34">
        <v>6440</v>
      </c>
      <c r="B34">
        <v>26330</v>
      </c>
      <c r="C34" s="1">
        <v>42613</v>
      </c>
      <c r="G34">
        <v>18.7</v>
      </c>
      <c r="H34">
        <v>12.4</v>
      </c>
      <c r="I34">
        <v>25.6</v>
      </c>
      <c r="M34">
        <v>0</v>
      </c>
      <c r="N34">
        <v>3.1</v>
      </c>
      <c r="O34">
        <f t="shared" si="0"/>
        <v>-3.1</v>
      </c>
      <c r="P34">
        <v>0</v>
      </c>
      <c r="W34">
        <v>1214.7</v>
      </c>
    </row>
    <row r="35" spans="1:28" x14ac:dyDescent="0.25">
      <c r="A35">
        <v>6440</v>
      </c>
      <c r="B35">
        <v>26330</v>
      </c>
      <c r="C35" s="1">
        <v>42614</v>
      </c>
      <c r="G35">
        <v>18.600000000000001</v>
      </c>
      <c r="H35">
        <v>15.1</v>
      </c>
      <c r="I35">
        <v>23.4</v>
      </c>
      <c r="M35">
        <v>0</v>
      </c>
      <c r="N35">
        <v>2.2999999999999998</v>
      </c>
      <c r="O35">
        <f t="shared" si="0"/>
        <v>-2.2999999999999998</v>
      </c>
      <c r="P35">
        <v>0</v>
      </c>
      <c r="W35">
        <v>1165.8</v>
      </c>
    </row>
    <row r="36" spans="1:28" x14ac:dyDescent="0.25">
      <c r="A36">
        <v>6440</v>
      </c>
      <c r="B36">
        <v>26330</v>
      </c>
      <c r="C36" s="1">
        <v>42615</v>
      </c>
      <c r="G36">
        <v>17.2</v>
      </c>
      <c r="H36">
        <v>13.1</v>
      </c>
      <c r="I36">
        <v>23</v>
      </c>
      <c r="M36">
        <v>1.3</v>
      </c>
      <c r="N36">
        <v>2.2000000000000002</v>
      </c>
      <c r="O36">
        <f t="shared" si="0"/>
        <v>-0.90000000000000013</v>
      </c>
      <c r="P36">
        <v>0</v>
      </c>
      <c r="W36">
        <v>1060</v>
      </c>
    </row>
    <row r="37" spans="1:28" x14ac:dyDescent="0.25">
      <c r="A37">
        <v>6440</v>
      </c>
      <c r="B37">
        <v>26330</v>
      </c>
      <c r="C37" s="1">
        <v>42616</v>
      </c>
      <c r="G37">
        <v>19.7</v>
      </c>
      <c r="H37">
        <v>14.4</v>
      </c>
      <c r="I37">
        <v>22.8</v>
      </c>
      <c r="M37">
        <v>1.6</v>
      </c>
      <c r="N37">
        <v>2.1</v>
      </c>
      <c r="O37">
        <f t="shared" si="0"/>
        <v>-0.5</v>
      </c>
      <c r="P37">
        <v>0</v>
      </c>
      <c r="W37">
        <v>982.3</v>
      </c>
    </row>
    <row r="38" spans="1:28" x14ac:dyDescent="0.25">
      <c r="A38">
        <v>6440</v>
      </c>
      <c r="B38">
        <v>26330</v>
      </c>
      <c r="C38" s="1">
        <v>42617</v>
      </c>
      <c r="G38">
        <v>18.399999999999999</v>
      </c>
      <c r="H38">
        <v>17.899999999999999</v>
      </c>
      <c r="I38">
        <v>19.8</v>
      </c>
      <c r="M38">
        <v>5.3</v>
      </c>
      <c r="N38">
        <v>2</v>
      </c>
      <c r="O38">
        <f t="shared" si="0"/>
        <v>3.3</v>
      </c>
      <c r="P38">
        <f t="shared" si="1"/>
        <v>3.3</v>
      </c>
      <c r="V38">
        <v>153.6</v>
      </c>
      <c r="W38">
        <v>570.79999999999995</v>
      </c>
    </row>
    <row r="39" spans="1:28" x14ac:dyDescent="0.25">
      <c r="A39">
        <v>6440</v>
      </c>
      <c r="B39">
        <v>26330</v>
      </c>
      <c r="C39" s="1">
        <v>42618</v>
      </c>
      <c r="G39">
        <v>17.8</v>
      </c>
      <c r="H39">
        <v>16.399999999999999</v>
      </c>
      <c r="I39">
        <v>18.8</v>
      </c>
      <c r="M39">
        <v>1</v>
      </c>
      <c r="N39">
        <v>1</v>
      </c>
      <c r="O39">
        <f t="shared" si="0"/>
        <v>0</v>
      </c>
      <c r="P39">
        <f t="shared" si="1"/>
        <v>3.3</v>
      </c>
      <c r="W39">
        <v>463.4</v>
      </c>
    </row>
    <row r="40" spans="1:28" s="17" customFormat="1" ht="15.75" thickBot="1" x14ac:dyDescent="0.3">
      <c r="A40" s="17">
        <v>6440</v>
      </c>
      <c r="B40" s="17">
        <v>26330</v>
      </c>
      <c r="C40" s="18">
        <v>42619</v>
      </c>
      <c r="G40" s="17">
        <v>20.6</v>
      </c>
      <c r="H40" s="17">
        <v>18.399999999999999</v>
      </c>
      <c r="I40" s="17">
        <v>23.5</v>
      </c>
      <c r="L40" s="23"/>
      <c r="M40" s="17">
        <v>0.5</v>
      </c>
      <c r="N40" s="17">
        <v>1.1000000000000001</v>
      </c>
      <c r="O40" s="17">
        <f t="shared" si="0"/>
        <v>-0.60000000000000009</v>
      </c>
      <c r="P40" s="17">
        <f t="shared" si="1"/>
        <v>2.6999999999999997</v>
      </c>
      <c r="W40" s="17">
        <v>529.4</v>
      </c>
    </row>
    <row r="41" spans="1:28" s="17" customFormat="1" ht="15.75" thickBot="1" x14ac:dyDescent="0.3">
      <c r="A41" s="59" t="s">
        <v>16</v>
      </c>
      <c r="B41" s="59"/>
      <c r="C41" s="59"/>
      <c r="D41" s="59"/>
      <c r="E41" s="59"/>
      <c r="F41" s="59"/>
      <c r="L41" s="23"/>
    </row>
    <row r="42" spans="1:28" x14ac:dyDescent="0.25">
      <c r="A42">
        <v>6440</v>
      </c>
      <c r="B42">
        <v>26330</v>
      </c>
      <c r="C42" s="1">
        <v>42620</v>
      </c>
      <c r="F42" s="60" t="s">
        <v>22</v>
      </c>
      <c r="G42">
        <v>20.8</v>
      </c>
      <c r="H42">
        <v>15.2</v>
      </c>
      <c r="I42" s="2">
        <v>26.3</v>
      </c>
      <c r="J42">
        <f>G42</f>
        <v>20.8</v>
      </c>
      <c r="L42" s="24" t="s">
        <v>29</v>
      </c>
      <c r="M42">
        <v>0</v>
      </c>
      <c r="N42">
        <v>4.5</v>
      </c>
      <c r="O42" s="37">
        <f>M42-N42</f>
        <v>-4.5</v>
      </c>
      <c r="P42">
        <v>0</v>
      </c>
      <c r="Q42">
        <v>1</v>
      </c>
      <c r="R42" s="38">
        <v>0.35</v>
      </c>
      <c r="S42" s="38">
        <f>R42*N42</f>
        <v>1.575</v>
      </c>
      <c r="T42" s="38">
        <f>M42-S42</f>
        <v>-1.575</v>
      </c>
      <c r="U42" s="38">
        <f>MIN(P40+T42,153.6)</f>
        <v>1.1249999999999998</v>
      </c>
      <c r="V42" s="5" t="s">
        <v>51</v>
      </c>
      <c r="W42">
        <v>2011.5</v>
      </c>
      <c r="Y42">
        <f>W42</f>
        <v>2011.5</v>
      </c>
      <c r="AA42">
        <v>12.884383268364193</v>
      </c>
      <c r="AB42" s="5" t="s">
        <v>56</v>
      </c>
    </row>
    <row r="43" spans="1:28" x14ac:dyDescent="0.25">
      <c r="A43">
        <v>6440</v>
      </c>
      <c r="B43">
        <v>26330</v>
      </c>
      <c r="C43" s="1">
        <v>42621</v>
      </c>
      <c r="F43" s="61"/>
      <c r="G43">
        <v>18.600000000000001</v>
      </c>
      <c r="H43">
        <v>14.8</v>
      </c>
      <c r="I43" s="2">
        <v>25.5</v>
      </c>
      <c r="J43">
        <f>J42+G43</f>
        <v>39.400000000000006</v>
      </c>
      <c r="L43" s="22">
        <v>946.6</v>
      </c>
      <c r="M43">
        <v>0</v>
      </c>
      <c r="N43">
        <v>4.7</v>
      </c>
      <c r="O43" s="37">
        <f t="shared" ref="O43:O106" si="2">M43-N43</f>
        <v>-4.7</v>
      </c>
      <c r="P43" s="37">
        <v>0</v>
      </c>
      <c r="Q43">
        <v>2</v>
      </c>
      <c r="R43" s="38">
        <v>0.35</v>
      </c>
      <c r="S43" s="38">
        <f t="shared" ref="S43:S106" si="3">R43*N43</f>
        <v>1.645</v>
      </c>
      <c r="T43" s="38">
        <f t="shared" ref="T43:T106" si="4">M43-S43</f>
        <v>-1.645</v>
      </c>
      <c r="U43" s="38">
        <v>0</v>
      </c>
      <c r="V43" s="38">
        <v>8</v>
      </c>
      <c r="W43">
        <v>2136.4</v>
      </c>
      <c r="Y43">
        <f>Y42+W43</f>
        <v>4147.8999999999996</v>
      </c>
      <c r="AA43">
        <v>12.819327220467057</v>
      </c>
      <c r="AB43">
        <v>57852.2</v>
      </c>
    </row>
    <row r="44" spans="1:28" x14ac:dyDescent="0.25">
      <c r="A44">
        <v>6440</v>
      </c>
      <c r="B44">
        <v>26330</v>
      </c>
      <c r="C44" s="1">
        <v>42622</v>
      </c>
      <c r="F44" s="61"/>
      <c r="G44">
        <v>17.7</v>
      </c>
      <c r="H44">
        <v>11.5</v>
      </c>
      <c r="I44">
        <v>23</v>
      </c>
      <c r="J44">
        <f t="shared" ref="J44:J107" si="5">J43+G44</f>
        <v>57.100000000000009</v>
      </c>
      <c r="L44" s="24" t="s">
        <v>30</v>
      </c>
      <c r="M44">
        <v>0</v>
      </c>
      <c r="N44">
        <v>3.4</v>
      </c>
      <c r="O44" s="37">
        <f t="shared" si="2"/>
        <v>-3.4</v>
      </c>
      <c r="P44">
        <v>0</v>
      </c>
      <c r="Q44">
        <v>3</v>
      </c>
      <c r="R44" s="38">
        <v>0.35</v>
      </c>
      <c r="S44" s="38">
        <f t="shared" si="3"/>
        <v>1.19</v>
      </c>
      <c r="T44" s="38">
        <f t="shared" si="4"/>
        <v>-1.19</v>
      </c>
      <c r="U44" s="38">
        <v>0</v>
      </c>
      <c r="V44" s="5" t="s">
        <v>52</v>
      </c>
      <c r="W44">
        <v>1884</v>
      </c>
      <c r="Y44">
        <f t="shared" ref="Y44:Y107" si="6">Y43+W44</f>
        <v>6031.9</v>
      </c>
      <c r="AA44">
        <v>12.754164458786889</v>
      </c>
      <c r="AB44" s="5" t="s">
        <v>57</v>
      </c>
    </row>
    <row r="45" spans="1:28" x14ac:dyDescent="0.25">
      <c r="A45">
        <v>6440</v>
      </c>
      <c r="B45">
        <v>26330</v>
      </c>
      <c r="C45" s="1">
        <v>42623</v>
      </c>
      <c r="F45" s="61"/>
      <c r="G45">
        <v>19.5</v>
      </c>
      <c r="H45">
        <v>13</v>
      </c>
      <c r="I45" s="2">
        <v>25.1</v>
      </c>
      <c r="J45">
        <f t="shared" si="5"/>
        <v>76.600000000000009</v>
      </c>
      <c r="L45" s="22">
        <f>AVERAGE(G42:G123)</f>
        <v>11.543902439024389</v>
      </c>
      <c r="M45">
        <v>0</v>
      </c>
      <c r="N45">
        <v>4.2</v>
      </c>
      <c r="O45" s="37">
        <f t="shared" si="2"/>
        <v>-4.2</v>
      </c>
      <c r="P45">
        <v>0</v>
      </c>
      <c r="Q45">
        <v>4</v>
      </c>
      <c r="R45" s="38">
        <v>0.35</v>
      </c>
      <c r="S45" s="38">
        <f t="shared" si="3"/>
        <v>1.47</v>
      </c>
      <c r="T45" s="38">
        <f t="shared" si="4"/>
        <v>-1.47</v>
      </c>
      <c r="U45" s="38">
        <v>0</v>
      </c>
      <c r="V45" s="38">
        <v>48</v>
      </c>
      <c r="W45">
        <v>1965.3</v>
      </c>
      <c r="Y45">
        <f t="shared" si="6"/>
        <v>7997.2</v>
      </c>
      <c r="AA45">
        <v>12.688904313511376</v>
      </c>
      <c r="AB45">
        <f>(AB43/100)/L43</f>
        <v>0.61115782801605734</v>
      </c>
    </row>
    <row r="46" spans="1:28" x14ac:dyDescent="0.25">
      <c r="A46">
        <v>6440</v>
      </c>
      <c r="B46">
        <v>26330</v>
      </c>
      <c r="C46" s="1">
        <v>42624</v>
      </c>
      <c r="F46" s="61"/>
      <c r="G46">
        <v>20.100000000000001</v>
      </c>
      <c r="H46">
        <v>18.100000000000001</v>
      </c>
      <c r="I46">
        <v>21.6</v>
      </c>
      <c r="J46">
        <f t="shared" si="5"/>
        <v>96.700000000000017</v>
      </c>
      <c r="L46" s="24" t="s">
        <v>31</v>
      </c>
      <c r="M46">
        <v>0.2</v>
      </c>
      <c r="N46">
        <v>1.3</v>
      </c>
      <c r="O46" s="37">
        <f t="shared" si="2"/>
        <v>-1.1000000000000001</v>
      </c>
      <c r="P46">
        <v>0</v>
      </c>
      <c r="Q46">
        <v>5</v>
      </c>
      <c r="R46" s="38">
        <v>0.35</v>
      </c>
      <c r="S46" s="38">
        <f t="shared" si="3"/>
        <v>0.45499999999999996</v>
      </c>
      <c r="T46" s="38">
        <f t="shared" si="4"/>
        <v>-0.25499999999999995</v>
      </c>
      <c r="U46" s="38">
        <v>0</v>
      </c>
      <c r="V46" s="5" t="s">
        <v>53</v>
      </c>
      <c r="W46">
        <v>647.20000000000005</v>
      </c>
      <c r="Y46">
        <f t="shared" si="6"/>
        <v>8644.4</v>
      </c>
      <c r="AA46">
        <v>12.623555917156128</v>
      </c>
      <c r="AB46" s="5" t="s">
        <v>58</v>
      </c>
    </row>
    <row r="47" spans="1:28" x14ac:dyDescent="0.25">
      <c r="A47">
        <v>6440</v>
      </c>
      <c r="B47">
        <v>26330</v>
      </c>
      <c r="C47" s="1">
        <v>42625</v>
      </c>
      <c r="F47" s="61"/>
      <c r="G47">
        <v>22.6</v>
      </c>
      <c r="H47">
        <v>17.100000000000001</v>
      </c>
      <c r="I47" s="2">
        <v>28.5</v>
      </c>
      <c r="J47">
        <f t="shared" si="5"/>
        <v>119.30000000000001</v>
      </c>
      <c r="L47" s="25">
        <f>MIN(H42:H123)</f>
        <v>-1.3</v>
      </c>
      <c r="M47">
        <v>0</v>
      </c>
      <c r="N47">
        <v>3.8</v>
      </c>
      <c r="O47" s="37">
        <f t="shared" si="2"/>
        <v>-3.8</v>
      </c>
      <c r="P47">
        <v>0</v>
      </c>
      <c r="Q47">
        <v>6</v>
      </c>
      <c r="R47" s="38">
        <v>0.35</v>
      </c>
      <c r="S47" s="38">
        <f t="shared" si="3"/>
        <v>1.3299999999999998</v>
      </c>
      <c r="T47" s="38">
        <f t="shared" si="4"/>
        <v>-1.3299999999999998</v>
      </c>
      <c r="U47" s="38">
        <v>0</v>
      </c>
      <c r="V47" s="38">
        <v>0</v>
      </c>
      <c r="W47">
        <v>1641.3</v>
      </c>
      <c r="Y47">
        <f t="shared" si="6"/>
        <v>10285.699999999999</v>
      </c>
      <c r="AA47">
        <v>12.558128221479418</v>
      </c>
      <c r="AB47">
        <v>56</v>
      </c>
    </row>
    <row r="48" spans="1:28" x14ac:dyDescent="0.25">
      <c r="A48">
        <v>6440</v>
      </c>
      <c r="B48">
        <v>26330</v>
      </c>
      <c r="C48" s="1">
        <v>42626</v>
      </c>
      <c r="F48" s="61"/>
      <c r="G48">
        <v>24.8</v>
      </c>
      <c r="H48">
        <v>20</v>
      </c>
      <c r="I48" s="2">
        <v>31.5</v>
      </c>
      <c r="J48">
        <f t="shared" si="5"/>
        <v>144.10000000000002</v>
      </c>
      <c r="L48" s="24" t="s">
        <v>32</v>
      </c>
      <c r="M48">
        <v>0</v>
      </c>
      <c r="N48">
        <v>3.3</v>
      </c>
      <c r="O48" s="37">
        <f t="shared" si="2"/>
        <v>-3.3</v>
      </c>
      <c r="P48">
        <v>0</v>
      </c>
      <c r="Q48">
        <v>7</v>
      </c>
      <c r="R48" s="38">
        <v>0.35</v>
      </c>
      <c r="S48" s="38">
        <f t="shared" si="3"/>
        <v>1.1549999999999998</v>
      </c>
      <c r="T48" s="38">
        <f t="shared" si="4"/>
        <v>-1.1549999999999998</v>
      </c>
      <c r="U48" s="38">
        <v>0</v>
      </c>
      <c r="V48" s="5" t="s">
        <v>54</v>
      </c>
      <c r="W48">
        <v>945.1</v>
      </c>
      <c r="Y48">
        <f t="shared" si="6"/>
        <v>11230.8</v>
      </c>
      <c r="AA48">
        <v>12.492630014480376</v>
      </c>
    </row>
    <row r="49" spans="1:27" x14ac:dyDescent="0.25">
      <c r="A49">
        <v>6440</v>
      </c>
      <c r="B49">
        <v>26330</v>
      </c>
      <c r="C49" s="1">
        <v>42627</v>
      </c>
      <c r="F49" s="61"/>
      <c r="G49">
        <v>23.2</v>
      </c>
      <c r="H49">
        <v>19.7</v>
      </c>
      <c r="I49" s="2">
        <v>28.5</v>
      </c>
      <c r="J49">
        <f t="shared" si="5"/>
        <v>167.3</v>
      </c>
      <c r="L49" s="22">
        <f>MAX(I42:I123)</f>
        <v>31.5</v>
      </c>
      <c r="M49">
        <v>0</v>
      </c>
      <c r="N49">
        <v>5</v>
      </c>
      <c r="O49" s="37">
        <f t="shared" si="2"/>
        <v>-5</v>
      </c>
      <c r="P49">
        <v>0</v>
      </c>
      <c r="Q49">
        <v>8</v>
      </c>
      <c r="R49" s="38">
        <v>0.35</v>
      </c>
      <c r="S49" s="38">
        <f t="shared" si="3"/>
        <v>1.75</v>
      </c>
      <c r="T49" s="38">
        <f t="shared" si="4"/>
        <v>-1.75</v>
      </c>
      <c r="U49" s="38">
        <v>0</v>
      </c>
      <c r="V49" s="38">
        <f>MAX(U42:U123)</f>
        <v>117.5770895522388</v>
      </c>
      <c r="W49">
        <v>2020.8</v>
      </c>
      <c r="Y49">
        <f t="shared" si="6"/>
        <v>13251.599999999999</v>
      </c>
      <c r="AA49">
        <v>12.427069937468533</v>
      </c>
    </row>
    <row r="50" spans="1:27" x14ac:dyDescent="0.25">
      <c r="A50">
        <v>6440</v>
      </c>
      <c r="B50">
        <v>26330</v>
      </c>
      <c r="C50" s="1">
        <v>42628</v>
      </c>
      <c r="F50" s="61"/>
      <c r="G50">
        <v>18.899999999999999</v>
      </c>
      <c r="H50">
        <v>15.9</v>
      </c>
      <c r="I50">
        <v>25</v>
      </c>
      <c r="J50">
        <f t="shared" si="5"/>
        <v>186.20000000000002</v>
      </c>
      <c r="L50" s="24" t="s">
        <v>33</v>
      </c>
      <c r="M50">
        <v>0.7</v>
      </c>
      <c r="N50">
        <v>3.5</v>
      </c>
      <c r="O50" s="37">
        <f t="shared" si="2"/>
        <v>-2.8</v>
      </c>
      <c r="P50">
        <v>0</v>
      </c>
      <c r="Q50">
        <v>9</v>
      </c>
      <c r="R50" s="38">
        <v>0.35</v>
      </c>
      <c r="S50" s="38">
        <f t="shared" si="3"/>
        <v>1.2249999999999999</v>
      </c>
      <c r="T50" s="38">
        <f t="shared" si="4"/>
        <v>-0.52499999999999991</v>
      </c>
      <c r="U50" s="38">
        <v>0</v>
      </c>
      <c r="V50" s="5" t="s">
        <v>55</v>
      </c>
      <c r="W50">
        <v>1598.3</v>
      </c>
      <c r="Y50">
        <f t="shared" si="6"/>
        <v>14849.899999999998</v>
      </c>
      <c r="AA50">
        <v>12.361456502193866</v>
      </c>
    </row>
    <row r="51" spans="1:27" x14ac:dyDescent="0.25">
      <c r="A51">
        <v>6440</v>
      </c>
      <c r="B51">
        <v>26330</v>
      </c>
      <c r="C51" s="1">
        <v>42629</v>
      </c>
      <c r="F51" s="61"/>
      <c r="G51">
        <v>16.899999999999999</v>
      </c>
      <c r="H51">
        <v>15.2</v>
      </c>
      <c r="I51">
        <v>20.9</v>
      </c>
      <c r="J51">
        <f t="shared" si="5"/>
        <v>203.10000000000002</v>
      </c>
      <c r="L51" s="22">
        <v>6</v>
      </c>
      <c r="M51">
        <v>18.8</v>
      </c>
      <c r="N51">
        <v>1.8</v>
      </c>
      <c r="O51" s="37">
        <f t="shared" si="2"/>
        <v>17</v>
      </c>
      <c r="P51">
        <f>P50+O51</f>
        <v>17</v>
      </c>
      <c r="Q51">
        <v>10</v>
      </c>
      <c r="R51" s="38">
        <v>0.35</v>
      </c>
      <c r="S51" s="38">
        <f t="shared" si="3"/>
        <v>0.63</v>
      </c>
      <c r="T51" s="38">
        <f t="shared" si="4"/>
        <v>18.170000000000002</v>
      </c>
      <c r="U51" s="38">
        <f t="shared" ref="U51:U114" si="7">MIN(T51+U50,153.6)</f>
        <v>18.170000000000002</v>
      </c>
      <c r="V51" s="38">
        <f>AVERAGE(U42:U123)</f>
        <v>41.262969603203494</v>
      </c>
      <c r="W51">
        <v>552.4</v>
      </c>
      <c r="Y51">
        <f t="shared" si="6"/>
        <v>15402.299999999997</v>
      </c>
      <c r="AA51">
        <v>12.295798108027626</v>
      </c>
    </row>
    <row r="52" spans="1:27" x14ac:dyDescent="0.25">
      <c r="A52">
        <v>6440</v>
      </c>
      <c r="B52">
        <v>26330</v>
      </c>
      <c r="C52" s="1">
        <v>42630</v>
      </c>
      <c r="F52" s="61"/>
      <c r="G52">
        <v>15.4</v>
      </c>
      <c r="H52">
        <v>14.3</v>
      </c>
      <c r="I52">
        <v>16.899999999999999</v>
      </c>
      <c r="J52">
        <f t="shared" si="5"/>
        <v>218.50000000000003</v>
      </c>
      <c r="L52" s="24" t="s">
        <v>34</v>
      </c>
      <c r="M52">
        <v>0</v>
      </c>
      <c r="N52">
        <v>0.7</v>
      </c>
      <c r="O52" s="37">
        <f t="shared" si="2"/>
        <v>-0.7</v>
      </c>
      <c r="P52">
        <f t="shared" ref="P52:P115" si="8">P51+O52</f>
        <v>16.3</v>
      </c>
      <c r="Q52">
        <v>11</v>
      </c>
      <c r="R52" s="38">
        <v>0.35</v>
      </c>
      <c r="S52" s="38">
        <f t="shared" si="3"/>
        <v>0.24499999999999997</v>
      </c>
      <c r="T52" s="38">
        <f t="shared" si="4"/>
        <v>-0.24499999999999997</v>
      </c>
      <c r="U52" s="38">
        <f t="shared" si="7"/>
        <v>17.925000000000001</v>
      </c>
      <c r="W52">
        <v>498.4</v>
      </c>
      <c r="Y52">
        <f t="shared" si="6"/>
        <v>15900.699999999997</v>
      </c>
      <c r="AA52">
        <v>12.230103059185211</v>
      </c>
    </row>
    <row r="53" spans="1:27" x14ac:dyDescent="0.25">
      <c r="A53">
        <v>6440</v>
      </c>
      <c r="B53">
        <v>26330</v>
      </c>
      <c r="C53" s="1">
        <v>42631</v>
      </c>
      <c r="F53" s="61"/>
      <c r="G53">
        <v>17.600000000000001</v>
      </c>
      <c r="H53">
        <v>14.3</v>
      </c>
      <c r="I53">
        <v>22.3</v>
      </c>
      <c r="J53">
        <f t="shared" si="5"/>
        <v>236.10000000000002</v>
      </c>
      <c r="L53" s="22">
        <v>14</v>
      </c>
      <c r="M53">
        <v>0.1</v>
      </c>
      <c r="N53">
        <v>2.5</v>
      </c>
      <c r="O53" s="37">
        <f t="shared" si="2"/>
        <v>-2.4</v>
      </c>
      <c r="P53">
        <f t="shared" si="8"/>
        <v>13.9</v>
      </c>
      <c r="Q53">
        <v>12</v>
      </c>
      <c r="R53" s="38">
        <v>0.35</v>
      </c>
      <c r="S53" s="38">
        <f t="shared" si="3"/>
        <v>0.875</v>
      </c>
      <c r="T53" s="38">
        <f t="shared" si="4"/>
        <v>-0.77500000000000002</v>
      </c>
      <c r="U53" s="38">
        <f t="shared" si="7"/>
        <v>17.150000000000002</v>
      </c>
      <c r="V53">
        <f>(V51*100)/153.6</f>
        <v>26.863912502085608</v>
      </c>
      <c r="W53">
        <v>1212.7</v>
      </c>
      <c r="Y53">
        <f t="shared" si="6"/>
        <v>17113.399999999998</v>
      </c>
      <c r="AA53">
        <v>12.164379581983203</v>
      </c>
    </row>
    <row r="54" spans="1:27" x14ac:dyDescent="0.25">
      <c r="A54">
        <v>6440</v>
      </c>
      <c r="B54">
        <v>26330</v>
      </c>
      <c r="C54" s="1">
        <v>42632</v>
      </c>
      <c r="F54" s="61"/>
      <c r="G54">
        <v>16.5</v>
      </c>
      <c r="H54">
        <v>13.3</v>
      </c>
      <c r="I54">
        <v>20.6</v>
      </c>
      <c r="J54">
        <f t="shared" si="5"/>
        <v>252.60000000000002</v>
      </c>
      <c r="L54" s="24" t="s">
        <v>35</v>
      </c>
      <c r="M54">
        <v>0</v>
      </c>
      <c r="N54">
        <v>2.2999999999999998</v>
      </c>
      <c r="O54" s="37">
        <f t="shared" si="2"/>
        <v>-2.2999999999999998</v>
      </c>
      <c r="P54">
        <f t="shared" si="8"/>
        <v>11.600000000000001</v>
      </c>
      <c r="Q54">
        <v>13</v>
      </c>
      <c r="R54" s="38">
        <v>0.35</v>
      </c>
      <c r="S54" s="38">
        <f t="shared" si="3"/>
        <v>0.80499999999999994</v>
      </c>
      <c r="T54" s="38">
        <f t="shared" si="4"/>
        <v>-0.80499999999999994</v>
      </c>
      <c r="U54" s="38">
        <f t="shared" si="7"/>
        <v>16.345000000000002</v>
      </c>
      <c r="W54">
        <v>1185.8</v>
      </c>
      <c r="Y54">
        <f t="shared" si="6"/>
        <v>18299.199999999997</v>
      </c>
      <c r="AA54">
        <v>12.098635842123333</v>
      </c>
    </row>
    <row r="55" spans="1:27" x14ac:dyDescent="0.25">
      <c r="A55">
        <v>6440</v>
      </c>
      <c r="B55">
        <v>26330</v>
      </c>
      <c r="C55" s="1">
        <v>42633</v>
      </c>
      <c r="F55" s="61"/>
      <c r="G55">
        <v>16.399999999999999</v>
      </c>
      <c r="H55">
        <v>13.5</v>
      </c>
      <c r="I55">
        <v>20.2</v>
      </c>
      <c r="J55">
        <f t="shared" si="5"/>
        <v>269</v>
      </c>
      <c r="L55" s="22">
        <v>1</v>
      </c>
      <c r="M55">
        <v>0.1</v>
      </c>
      <c r="N55">
        <v>2.2999999999999998</v>
      </c>
      <c r="O55" s="37">
        <f t="shared" si="2"/>
        <v>-2.1999999999999997</v>
      </c>
      <c r="P55">
        <f t="shared" si="8"/>
        <v>9.4000000000000021</v>
      </c>
      <c r="Q55">
        <v>14</v>
      </c>
      <c r="R55" s="38">
        <v>0.35</v>
      </c>
      <c r="S55" s="38">
        <f t="shared" si="3"/>
        <v>0.80499999999999994</v>
      </c>
      <c r="T55" s="38">
        <f t="shared" si="4"/>
        <v>-0.70499999999999996</v>
      </c>
      <c r="U55" s="38">
        <f t="shared" si="7"/>
        <v>15.640000000000002</v>
      </c>
      <c r="W55">
        <v>1282.5999999999999</v>
      </c>
      <c r="Y55">
        <f t="shared" si="6"/>
        <v>19581.799999999996</v>
      </c>
      <c r="AA55">
        <v>12.032879961996857</v>
      </c>
    </row>
    <row r="56" spans="1:27" x14ac:dyDescent="0.25">
      <c r="A56">
        <v>6440</v>
      </c>
      <c r="B56">
        <v>26330</v>
      </c>
      <c r="C56" s="1">
        <v>42634</v>
      </c>
      <c r="F56" s="61"/>
      <c r="G56">
        <v>15.5</v>
      </c>
      <c r="H56">
        <v>11.4</v>
      </c>
      <c r="I56">
        <v>20.3</v>
      </c>
      <c r="J56">
        <f t="shared" si="5"/>
        <v>284.5</v>
      </c>
      <c r="M56">
        <v>0.2</v>
      </c>
      <c r="N56">
        <v>2.6</v>
      </c>
      <c r="O56" s="37">
        <f t="shared" si="2"/>
        <v>-2.4</v>
      </c>
      <c r="P56">
        <f t="shared" si="8"/>
        <v>7.0000000000000018</v>
      </c>
      <c r="Q56">
        <v>15</v>
      </c>
      <c r="R56" s="38">
        <v>0.35</v>
      </c>
      <c r="S56" s="38">
        <f t="shared" si="3"/>
        <v>0.90999999999999992</v>
      </c>
      <c r="T56" s="38">
        <f t="shared" si="4"/>
        <v>-0.71</v>
      </c>
      <c r="U56" s="38">
        <f t="shared" si="7"/>
        <v>14.930000000000003</v>
      </c>
      <c r="W56">
        <v>1506.9</v>
      </c>
      <c r="Y56">
        <f t="shared" si="6"/>
        <v>21088.699999999997</v>
      </c>
      <c r="AA56">
        <v>11.967120038003145</v>
      </c>
    </row>
    <row r="57" spans="1:27" x14ac:dyDescent="0.25">
      <c r="A57">
        <v>6440</v>
      </c>
      <c r="B57">
        <v>26330</v>
      </c>
      <c r="C57" s="1">
        <v>42635</v>
      </c>
      <c r="D57" s="2" t="s">
        <v>18</v>
      </c>
      <c r="F57" s="61"/>
      <c r="G57">
        <v>16.100000000000001</v>
      </c>
      <c r="H57">
        <v>10.9</v>
      </c>
      <c r="I57">
        <v>21.3</v>
      </c>
      <c r="J57">
        <f t="shared" si="5"/>
        <v>300.60000000000002</v>
      </c>
      <c r="M57">
        <v>0</v>
      </c>
      <c r="N57">
        <v>2.1</v>
      </c>
      <c r="O57" s="37">
        <f t="shared" si="2"/>
        <v>-2.1</v>
      </c>
      <c r="P57">
        <f t="shared" si="8"/>
        <v>4.9000000000000021</v>
      </c>
      <c r="Q57">
        <v>16</v>
      </c>
      <c r="R57" s="38">
        <f>0.35+((Q57-15)/67)*(1-0.35)</f>
        <v>0.35970149253731343</v>
      </c>
      <c r="S57" s="38">
        <f t="shared" si="3"/>
        <v>0.75537313432835818</v>
      </c>
      <c r="T57" s="38">
        <f t="shared" si="4"/>
        <v>-0.75537313432835818</v>
      </c>
      <c r="U57" s="38">
        <f t="shared" si="7"/>
        <v>14.174626865671645</v>
      </c>
      <c r="W57">
        <v>1260.3</v>
      </c>
      <c r="Y57">
        <f t="shared" si="6"/>
        <v>22348.999999999996</v>
      </c>
      <c r="AA57">
        <v>11.901364157876667</v>
      </c>
    </row>
    <row r="58" spans="1:27" x14ac:dyDescent="0.25">
      <c r="A58">
        <v>6440</v>
      </c>
      <c r="B58">
        <v>26330</v>
      </c>
      <c r="C58" s="1">
        <v>42636</v>
      </c>
      <c r="F58" s="61"/>
      <c r="G58">
        <v>15.4</v>
      </c>
      <c r="H58">
        <v>10.7</v>
      </c>
      <c r="I58">
        <v>20.6</v>
      </c>
      <c r="J58">
        <f t="shared" si="5"/>
        <v>316</v>
      </c>
      <c r="M58">
        <v>0</v>
      </c>
      <c r="N58">
        <v>1.3</v>
      </c>
      <c r="O58" s="37">
        <f t="shared" si="2"/>
        <v>-1.3</v>
      </c>
      <c r="P58">
        <f t="shared" si="8"/>
        <v>3.6000000000000023</v>
      </c>
      <c r="Q58">
        <v>17</v>
      </c>
      <c r="R58" s="38">
        <f t="shared" ref="R58:R121" si="9">0.35+((Q58-15)/67)*(1-0.35)</f>
        <v>0.36940298507462682</v>
      </c>
      <c r="S58" s="38">
        <f t="shared" si="3"/>
        <v>0.48022388059701487</v>
      </c>
      <c r="T58" s="38">
        <f t="shared" si="4"/>
        <v>-0.48022388059701487</v>
      </c>
      <c r="U58" s="38">
        <f t="shared" si="7"/>
        <v>13.69440298507463</v>
      </c>
      <c r="W58">
        <v>729.3</v>
      </c>
      <c r="Y58">
        <f t="shared" si="6"/>
        <v>23078.299999999996</v>
      </c>
      <c r="AA58">
        <v>11.835620418016799</v>
      </c>
    </row>
    <row r="59" spans="1:27" x14ac:dyDescent="0.25">
      <c r="A59">
        <v>6440</v>
      </c>
      <c r="B59">
        <v>26330</v>
      </c>
      <c r="C59" s="1">
        <v>42637</v>
      </c>
      <c r="F59" s="61"/>
      <c r="G59">
        <v>16.399999999999999</v>
      </c>
      <c r="H59">
        <v>10.5</v>
      </c>
      <c r="I59">
        <v>23.7</v>
      </c>
      <c r="J59">
        <f t="shared" si="5"/>
        <v>332.4</v>
      </c>
      <c r="M59">
        <v>0</v>
      </c>
      <c r="N59">
        <v>3.7</v>
      </c>
      <c r="O59" s="37">
        <f t="shared" si="2"/>
        <v>-3.7</v>
      </c>
      <c r="P59">
        <v>0</v>
      </c>
      <c r="Q59">
        <v>18</v>
      </c>
      <c r="R59" s="38">
        <f t="shared" si="9"/>
        <v>0.37910447761194027</v>
      </c>
      <c r="S59" s="38">
        <f t="shared" si="3"/>
        <v>1.4026865671641791</v>
      </c>
      <c r="T59" s="38">
        <f t="shared" si="4"/>
        <v>-1.4026865671641791</v>
      </c>
      <c r="U59" s="38">
        <f t="shared" si="7"/>
        <v>12.29171641791045</v>
      </c>
      <c r="W59">
        <v>1741.6</v>
      </c>
      <c r="Y59">
        <f t="shared" si="6"/>
        <v>24819.899999999994</v>
      </c>
      <c r="AA59">
        <v>11.769896940814789</v>
      </c>
    </row>
    <row r="60" spans="1:27" x14ac:dyDescent="0.25">
      <c r="A60">
        <v>6440</v>
      </c>
      <c r="B60">
        <v>26330</v>
      </c>
      <c r="C60" s="1">
        <v>42638</v>
      </c>
      <c r="F60" s="61"/>
      <c r="G60">
        <v>14.8</v>
      </c>
      <c r="H60">
        <v>12.7</v>
      </c>
      <c r="I60">
        <v>19.600000000000001</v>
      </c>
      <c r="J60">
        <f t="shared" si="5"/>
        <v>347.2</v>
      </c>
      <c r="M60">
        <v>0.2</v>
      </c>
      <c r="N60">
        <v>2</v>
      </c>
      <c r="O60" s="37">
        <f t="shared" si="2"/>
        <v>-1.8</v>
      </c>
      <c r="P60">
        <v>0</v>
      </c>
      <c r="Q60">
        <v>19</v>
      </c>
      <c r="R60" s="38">
        <f t="shared" si="9"/>
        <v>0.38880597014925372</v>
      </c>
      <c r="S60" s="38">
        <f t="shared" si="3"/>
        <v>0.77761194029850744</v>
      </c>
      <c r="T60" s="38">
        <f t="shared" si="4"/>
        <v>-0.57761194029850738</v>
      </c>
      <c r="U60" s="38">
        <f t="shared" si="7"/>
        <v>11.714104477611944</v>
      </c>
      <c r="W60">
        <v>822.2</v>
      </c>
      <c r="Y60">
        <f t="shared" si="6"/>
        <v>25642.099999999995</v>
      </c>
      <c r="AA60">
        <v>11.704201891972376</v>
      </c>
    </row>
    <row r="61" spans="1:27" x14ac:dyDescent="0.25">
      <c r="A61">
        <v>6440</v>
      </c>
      <c r="B61">
        <v>26330</v>
      </c>
      <c r="C61" s="1">
        <v>42639</v>
      </c>
      <c r="F61" s="61"/>
      <c r="G61">
        <v>12.2</v>
      </c>
      <c r="H61">
        <v>7.8</v>
      </c>
      <c r="I61">
        <v>17.2</v>
      </c>
      <c r="J61">
        <f t="shared" si="5"/>
        <v>359.4</v>
      </c>
      <c r="M61">
        <v>0.1</v>
      </c>
      <c r="N61">
        <v>1.8</v>
      </c>
      <c r="O61" s="37">
        <f t="shared" si="2"/>
        <v>-1.7</v>
      </c>
      <c r="P61">
        <v>0</v>
      </c>
      <c r="Q61">
        <v>20</v>
      </c>
      <c r="R61" s="38">
        <f t="shared" si="9"/>
        <v>0.39850746268656712</v>
      </c>
      <c r="S61" s="38">
        <f t="shared" si="3"/>
        <v>0.71731343283582083</v>
      </c>
      <c r="T61" s="38">
        <f t="shared" si="4"/>
        <v>-0.61731343283582085</v>
      </c>
      <c r="U61" s="38">
        <f t="shared" si="7"/>
        <v>11.096791044776122</v>
      </c>
      <c r="W61">
        <v>1330.4</v>
      </c>
      <c r="Y61">
        <f t="shared" si="6"/>
        <v>26972.499999999996</v>
      </c>
      <c r="AA61">
        <v>11.638543497806133</v>
      </c>
    </row>
    <row r="62" spans="1:27" x14ac:dyDescent="0.25">
      <c r="A62">
        <v>6440</v>
      </c>
      <c r="B62">
        <v>26330</v>
      </c>
      <c r="C62" s="1">
        <v>42640</v>
      </c>
      <c r="F62" s="61"/>
      <c r="G62">
        <v>15.3</v>
      </c>
      <c r="H62">
        <v>7.1</v>
      </c>
      <c r="I62">
        <v>21.5</v>
      </c>
      <c r="J62">
        <f t="shared" si="5"/>
        <v>374.7</v>
      </c>
      <c r="M62">
        <v>0</v>
      </c>
      <c r="N62">
        <v>2.8</v>
      </c>
      <c r="O62" s="37">
        <f t="shared" si="2"/>
        <v>-2.8</v>
      </c>
      <c r="P62">
        <v>0</v>
      </c>
      <c r="Q62">
        <v>21</v>
      </c>
      <c r="R62" s="38">
        <f t="shared" si="9"/>
        <v>0.40820895522388057</v>
      </c>
      <c r="S62" s="38">
        <f t="shared" si="3"/>
        <v>1.1429850746268655</v>
      </c>
      <c r="T62" s="38">
        <f t="shared" si="4"/>
        <v>-1.1429850746268655</v>
      </c>
      <c r="U62" s="38">
        <f t="shared" si="7"/>
        <v>9.9538059701492561</v>
      </c>
      <c r="W62">
        <v>1493</v>
      </c>
      <c r="Y62">
        <f t="shared" si="6"/>
        <v>28465.499999999996</v>
      </c>
      <c r="AA62">
        <v>11.572930062531466</v>
      </c>
    </row>
    <row r="63" spans="1:27" x14ac:dyDescent="0.25">
      <c r="A63">
        <v>6440</v>
      </c>
      <c r="B63">
        <v>26330</v>
      </c>
      <c r="C63" s="1">
        <v>42641</v>
      </c>
      <c r="F63" s="61"/>
      <c r="G63">
        <v>18.2</v>
      </c>
      <c r="H63">
        <v>16.7</v>
      </c>
      <c r="I63">
        <v>21</v>
      </c>
      <c r="J63">
        <f t="shared" si="5"/>
        <v>392.9</v>
      </c>
      <c r="M63">
        <v>0</v>
      </c>
      <c r="N63">
        <v>3</v>
      </c>
      <c r="O63" s="37">
        <f t="shared" si="2"/>
        <v>-3</v>
      </c>
      <c r="P63">
        <v>0</v>
      </c>
      <c r="Q63">
        <v>22</v>
      </c>
      <c r="R63" s="38">
        <f t="shared" si="9"/>
        <v>0.41791044776119401</v>
      </c>
      <c r="S63" s="38">
        <f t="shared" si="3"/>
        <v>1.2537313432835822</v>
      </c>
      <c r="T63" s="38">
        <f t="shared" si="4"/>
        <v>-1.2537313432835822</v>
      </c>
      <c r="U63" s="38">
        <f t="shared" si="7"/>
        <v>8.7000746268656748</v>
      </c>
      <c r="W63">
        <v>1409.4</v>
      </c>
      <c r="Y63">
        <f t="shared" si="6"/>
        <v>29874.899999999998</v>
      </c>
      <c r="AA63">
        <v>11.507369985519624</v>
      </c>
    </row>
    <row r="64" spans="1:27" x14ac:dyDescent="0.25">
      <c r="A64">
        <v>6440</v>
      </c>
      <c r="B64">
        <v>26330</v>
      </c>
      <c r="C64" s="1">
        <v>42642</v>
      </c>
      <c r="F64" s="61"/>
      <c r="G64">
        <v>15.6</v>
      </c>
      <c r="H64">
        <v>14.8</v>
      </c>
      <c r="I64">
        <v>18.100000000000001</v>
      </c>
      <c r="J64">
        <f t="shared" si="5"/>
        <v>408.5</v>
      </c>
      <c r="M64">
        <v>1.2</v>
      </c>
      <c r="N64">
        <v>1.3</v>
      </c>
      <c r="O64" s="37">
        <f t="shared" si="2"/>
        <v>-0.10000000000000009</v>
      </c>
      <c r="P64">
        <v>0</v>
      </c>
      <c r="Q64">
        <v>23</v>
      </c>
      <c r="R64" s="38">
        <f t="shared" si="9"/>
        <v>0.42761194029850746</v>
      </c>
      <c r="S64" s="38">
        <f t="shared" si="3"/>
        <v>0.55589552238805973</v>
      </c>
      <c r="T64" s="38">
        <f t="shared" si="4"/>
        <v>0.64410447761194023</v>
      </c>
      <c r="U64" s="38">
        <f t="shared" si="7"/>
        <v>9.3441791044776146</v>
      </c>
      <c r="W64">
        <v>403.3</v>
      </c>
      <c r="Y64">
        <f t="shared" si="6"/>
        <v>30278.199999999997</v>
      </c>
      <c r="AA64">
        <v>11.441871778520584</v>
      </c>
    </row>
    <row r="65" spans="1:27" x14ac:dyDescent="0.25">
      <c r="A65">
        <v>6440</v>
      </c>
      <c r="B65">
        <v>26330</v>
      </c>
      <c r="C65" s="1">
        <v>42643</v>
      </c>
      <c r="F65" s="61"/>
      <c r="G65">
        <v>14.6</v>
      </c>
      <c r="H65">
        <v>12.4</v>
      </c>
      <c r="I65">
        <v>17.100000000000001</v>
      </c>
      <c r="J65">
        <f t="shared" si="5"/>
        <v>423.1</v>
      </c>
      <c r="M65">
        <v>0</v>
      </c>
      <c r="N65">
        <v>1.6</v>
      </c>
      <c r="O65" s="37">
        <f t="shared" si="2"/>
        <v>-1.6</v>
      </c>
      <c r="P65">
        <v>0</v>
      </c>
      <c r="Q65">
        <v>24</v>
      </c>
      <c r="R65" s="38">
        <f t="shared" si="9"/>
        <v>0.43731343283582086</v>
      </c>
      <c r="S65" s="38">
        <f t="shared" si="3"/>
        <v>0.6997014925373134</v>
      </c>
      <c r="T65" s="38">
        <f t="shared" si="4"/>
        <v>-0.6997014925373134</v>
      </c>
      <c r="U65" s="38">
        <f t="shared" si="7"/>
        <v>8.6444776119403013</v>
      </c>
      <c r="W65">
        <v>986.7</v>
      </c>
      <c r="Y65">
        <f t="shared" si="6"/>
        <v>31264.899999999998</v>
      </c>
      <c r="AA65">
        <v>11.376444082843875</v>
      </c>
    </row>
    <row r="66" spans="1:27" x14ac:dyDescent="0.25">
      <c r="A66">
        <v>6440</v>
      </c>
      <c r="B66">
        <v>26330</v>
      </c>
      <c r="C66" s="1">
        <v>42644</v>
      </c>
      <c r="F66" s="61"/>
      <c r="G66">
        <v>12.9</v>
      </c>
      <c r="H66">
        <v>11.2</v>
      </c>
      <c r="I66">
        <v>16.8</v>
      </c>
      <c r="J66">
        <f t="shared" si="5"/>
        <v>436</v>
      </c>
      <c r="M66">
        <v>1.5</v>
      </c>
      <c r="N66">
        <v>1.6</v>
      </c>
      <c r="O66" s="37">
        <f t="shared" si="2"/>
        <v>-0.10000000000000009</v>
      </c>
      <c r="P66">
        <v>0</v>
      </c>
      <c r="Q66">
        <v>25</v>
      </c>
      <c r="R66" s="38">
        <f t="shared" si="9"/>
        <v>0.44701492537313431</v>
      </c>
      <c r="S66" s="38">
        <f t="shared" si="3"/>
        <v>0.71522388059701492</v>
      </c>
      <c r="T66" s="38">
        <f t="shared" si="4"/>
        <v>0.78477611940298508</v>
      </c>
      <c r="U66" s="38">
        <f t="shared" si="7"/>
        <v>9.4292537313432856</v>
      </c>
      <c r="W66">
        <v>817.8</v>
      </c>
      <c r="Y66">
        <f t="shared" si="6"/>
        <v>32082.699999999997</v>
      </c>
      <c r="AA66">
        <v>11.311095686488624</v>
      </c>
    </row>
    <row r="67" spans="1:27" x14ac:dyDescent="0.25">
      <c r="A67">
        <v>6440</v>
      </c>
      <c r="B67">
        <v>26330</v>
      </c>
      <c r="C67" s="1">
        <v>42645</v>
      </c>
      <c r="F67" s="61"/>
      <c r="G67">
        <v>11.1</v>
      </c>
      <c r="H67">
        <v>10.1</v>
      </c>
      <c r="I67">
        <v>14.5</v>
      </c>
      <c r="J67">
        <f t="shared" si="5"/>
        <v>447.1</v>
      </c>
      <c r="M67">
        <v>6</v>
      </c>
      <c r="N67">
        <v>0.9</v>
      </c>
      <c r="O67" s="37">
        <f t="shared" si="2"/>
        <v>5.0999999999999996</v>
      </c>
      <c r="P67">
        <f t="shared" si="8"/>
        <v>5.0999999999999996</v>
      </c>
      <c r="Q67">
        <v>26</v>
      </c>
      <c r="R67" s="38">
        <f t="shared" si="9"/>
        <v>0.45671641791044776</v>
      </c>
      <c r="S67" s="38">
        <f t="shared" si="3"/>
        <v>0.41104477611940299</v>
      </c>
      <c r="T67" s="38">
        <f t="shared" si="4"/>
        <v>5.5889552238805971</v>
      </c>
      <c r="U67" s="38">
        <f t="shared" si="7"/>
        <v>15.018208955223884</v>
      </c>
      <c r="W67">
        <v>338.5</v>
      </c>
      <c r="Y67">
        <f t="shared" si="6"/>
        <v>32421.199999999997</v>
      </c>
      <c r="AA67">
        <v>11.245835541213111</v>
      </c>
    </row>
    <row r="68" spans="1:27" x14ac:dyDescent="0.25">
      <c r="A68">
        <v>6440</v>
      </c>
      <c r="B68">
        <v>26330</v>
      </c>
      <c r="C68" s="1">
        <v>42646</v>
      </c>
      <c r="F68" s="61"/>
      <c r="G68">
        <v>11.7</v>
      </c>
      <c r="H68">
        <v>5.7</v>
      </c>
      <c r="I68">
        <v>17.399999999999999</v>
      </c>
      <c r="J68">
        <f t="shared" si="5"/>
        <v>458.8</v>
      </c>
      <c r="M68">
        <v>0.1</v>
      </c>
      <c r="N68">
        <v>1.1000000000000001</v>
      </c>
      <c r="O68" s="37">
        <f t="shared" si="2"/>
        <v>-1</v>
      </c>
      <c r="P68">
        <f t="shared" si="8"/>
        <v>4.0999999999999996</v>
      </c>
      <c r="Q68">
        <v>27</v>
      </c>
      <c r="R68" s="38">
        <f t="shared" si="9"/>
        <v>0.46641791044776115</v>
      </c>
      <c r="S68" s="38">
        <f t="shared" si="3"/>
        <v>0.51305970149253732</v>
      </c>
      <c r="T68" s="38">
        <f t="shared" si="4"/>
        <v>-0.41305970149253735</v>
      </c>
      <c r="U68" s="38">
        <f t="shared" si="7"/>
        <v>14.605149253731346</v>
      </c>
      <c r="W68">
        <v>854.5</v>
      </c>
      <c r="Y68">
        <f t="shared" si="6"/>
        <v>33275.699999999997</v>
      </c>
      <c r="AA68">
        <v>11.180672779532944</v>
      </c>
    </row>
    <row r="69" spans="1:27" x14ac:dyDescent="0.25">
      <c r="A69">
        <v>6440</v>
      </c>
      <c r="B69">
        <v>26330</v>
      </c>
      <c r="C69" s="1">
        <v>42647</v>
      </c>
      <c r="F69" s="61"/>
      <c r="G69">
        <v>13</v>
      </c>
      <c r="H69">
        <v>11</v>
      </c>
      <c r="I69">
        <v>16</v>
      </c>
      <c r="J69">
        <f t="shared" si="5"/>
        <v>471.8</v>
      </c>
      <c r="M69">
        <v>0</v>
      </c>
      <c r="N69">
        <v>1.9</v>
      </c>
      <c r="O69" s="37">
        <f t="shared" si="2"/>
        <v>-1.9</v>
      </c>
      <c r="P69">
        <f t="shared" si="8"/>
        <v>2.1999999999999997</v>
      </c>
      <c r="Q69">
        <v>28</v>
      </c>
      <c r="R69" s="38">
        <f t="shared" si="9"/>
        <v>0.4761194029850746</v>
      </c>
      <c r="S69" s="38">
        <f t="shared" si="3"/>
        <v>0.90462686567164174</v>
      </c>
      <c r="T69" s="38">
        <f t="shared" si="4"/>
        <v>-0.90462686567164174</v>
      </c>
      <c r="U69" s="38">
        <f t="shared" si="7"/>
        <v>13.700522388059705</v>
      </c>
      <c r="W69">
        <v>909.7</v>
      </c>
      <c r="Y69">
        <f t="shared" si="6"/>
        <v>34185.399999999994</v>
      </c>
      <c r="AA69">
        <v>11.115616731635807</v>
      </c>
    </row>
    <row r="70" spans="1:27" x14ac:dyDescent="0.25">
      <c r="A70">
        <v>6440</v>
      </c>
      <c r="B70">
        <v>26330</v>
      </c>
      <c r="C70" s="1">
        <v>42648</v>
      </c>
      <c r="F70" s="61"/>
      <c r="G70">
        <v>10.7</v>
      </c>
      <c r="H70">
        <v>7.7</v>
      </c>
      <c r="I70">
        <v>14.7</v>
      </c>
      <c r="J70">
        <f t="shared" si="5"/>
        <v>482.5</v>
      </c>
      <c r="M70">
        <v>0</v>
      </c>
      <c r="N70">
        <v>2.5</v>
      </c>
      <c r="O70" s="37">
        <f t="shared" si="2"/>
        <v>-2.5</v>
      </c>
      <c r="P70">
        <v>0</v>
      </c>
      <c r="Q70">
        <v>29</v>
      </c>
      <c r="R70" s="38">
        <f t="shared" si="9"/>
        <v>0.48582089552238805</v>
      </c>
      <c r="S70" s="38">
        <f t="shared" si="3"/>
        <v>1.2145522388059702</v>
      </c>
      <c r="T70" s="38">
        <f t="shared" si="4"/>
        <v>-1.2145522388059702</v>
      </c>
      <c r="U70" s="38">
        <f t="shared" si="7"/>
        <v>12.485970149253735</v>
      </c>
      <c r="W70">
        <v>1344.9</v>
      </c>
      <c r="Y70">
        <f t="shared" si="6"/>
        <v>35530.299999999996</v>
      </c>
      <c r="AA70">
        <v>11.050676942199262</v>
      </c>
    </row>
    <row r="71" spans="1:27" x14ac:dyDescent="0.25">
      <c r="A71">
        <v>6440</v>
      </c>
      <c r="B71">
        <v>26330</v>
      </c>
      <c r="C71" s="1">
        <v>42649</v>
      </c>
      <c r="F71" s="61"/>
      <c r="G71">
        <v>9.5</v>
      </c>
      <c r="H71">
        <v>4.7</v>
      </c>
      <c r="I71">
        <v>12.5</v>
      </c>
      <c r="J71">
        <f t="shared" si="5"/>
        <v>492</v>
      </c>
      <c r="M71">
        <v>0</v>
      </c>
      <c r="N71">
        <v>1.8</v>
      </c>
      <c r="O71" s="37">
        <f t="shared" si="2"/>
        <v>-1.8</v>
      </c>
      <c r="P71">
        <v>0</v>
      </c>
      <c r="Q71">
        <v>30</v>
      </c>
      <c r="R71" s="38">
        <f t="shared" si="9"/>
        <v>0.4955223880597015</v>
      </c>
      <c r="S71" s="38">
        <f t="shared" si="3"/>
        <v>0.8919402985074627</v>
      </c>
      <c r="T71" s="38">
        <f t="shared" si="4"/>
        <v>-0.8919402985074627</v>
      </c>
      <c r="U71" s="38">
        <f t="shared" si="7"/>
        <v>11.594029850746272</v>
      </c>
      <c r="W71">
        <v>1011.1</v>
      </c>
      <c r="Y71">
        <f t="shared" si="6"/>
        <v>36541.399999999994</v>
      </c>
      <c r="AA71">
        <v>10.985863187096585</v>
      </c>
    </row>
    <row r="72" spans="1:27" x14ac:dyDescent="0.25">
      <c r="A72">
        <v>6440</v>
      </c>
      <c r="B72">
        <v>26330</v>
      </c>
      <c r="C72" s="1">
        <v>42650</v>
      </c>
      <c r="F72" s="61"/>
      <c r="G72">
        <v>11.3</v>
      </c>
      <c r="H72">
        <v>9.5</v>
      </c>
      <c r="I72">
        <v>13.5</v>
      </c>
      <c r="J72">
        <f t="shared" si="5"/>
        <v>503.3</v>
      </c>
      <c r="M72">
        <v>0</v>
      </c>
      <c r="N72">
        <v>1</v>
      </c>
      <c r="O72" s="37">
        <f t="shared" si="2"/>
        <v>-1</v>
      </c>
      <c r="P72">
        <v>0</v>
      </c>
      <c r="Q72">
        <v>31</v>
      </c>
      <c r="R72" s="38">
        <f t="shared" si="9"/>
        <v>0.50522388059701484</v>
      </c>
      <c r="S72" s="38">
        <f t="shared" si="3"/>
        <v>0.50522388059701484</v>
      </c>
      <c r="T72" s="38">
        <f t="shared" si="4"/>
        <v>-0.50522388059701484</v>
      </c>
      <c r="U72" s="38">
        <f t="shared" si="7"/>
        <v>11.088805970149258</v>
      </c>
      <c r="W72">
        <v>377.6</v>
      </c>
      <c r="Y72">
        <f t="shared" si="6"/>
        <v>36918.999999999993</v>
      </c>
      <c r="AA72">
        <v>10.92118548997394</v>
      </c>
    </row>
    <row r="73" spans="1:27" x14ac:dyDescent="0.25">
      <c r="A73">
        <v>6440</v>
      </c>
      <c r="B73">
        <v>26330</v>
      </c>
      <c r="C73" s="1">
        <v>42651</v>
      </c>
      <c r="F73" s="61"/>
      <c r="G73">
        <v>10.8</v>
      </c>
      <c r="H73">
        <v>9.6</v>
      </c>
      <c r="I73">
        <v>14</v>
      </c>
      <c r="J73">
        <f t="shared" si="5"/>
        <v>514.1</v>
      </c>
      <c r="M73">
        <v>0</v>
      </c>
      <c r="N73">
        <v>1.1000000000000001</v>
      </c>
      <c r="O73" s="37">
        <f t="shared" si="2"/>
        <v>-1.1000000000000001</v>
      </c>
      <c r="P73">
        <v>0</v>
      </c>
      <c r="Q73">
        <v>32</v>
      </c>
      <c r="R73" s="38">
        <f t="shared" si="9"/>
        <v>0.5149253731343284</v>
      </c>
      <c r="S73" s="38">
        <f t="shared" si="3"/>
        <v>0.56641791044776124</v>
      </c>
      <c r="T73" s="38">
        <f t="shared" si="4"/>
        <v>-0.56641791044776124</v>
      </c>
      <c r="U73" s="38">
        <f t="shared" si="7"/>
        <v>10.522388059701496</v>
      </c>
      <c r="W73">
        <v>422.6</v>
      </c>
      <c r="Y73">
        <f t="shared" si="6"/>
        <v>37341.599999999991</v>
      </c>
      <c r="AA73">
        <v>10.856654138680337</v>
      </c>
    </row>
    <row r="74" spans="1:27" x14ac:dyDescent="0.25">
      <c r="A74">
        <v>6440</v>
      </c>
      <c r="B74">
        <v>26330</v>
      </c>
      <c r="C74" s="1">
        <v>42652</v>
      </c>
      <c r="F74" s="61"/>
      <c r="G74">
        <v>9.1</v>
      </c>
      <c r="H74">
        <v>4.5999999999999996</v>
      </c>
      <c r="I74">
        <v>14.7</v>
      </c>
      <c r="J74">
        <f t="shared" si="5"/>
        <v>523.20000000000005</v>
      </c>
      <c r="M74">
        <v>0</v>
      </c>
      <c r="N74">
        <v>1.3</v>
      </c>
      <c r="O74" s="37">
        <f t="shared" si="2"/>
        <v>-1.3</v>
      </c>
      <c r="P74">
        <v>0</v>
      </c>
      <c r="Q74">
        <v>33</v>
      </c>
      <c r="R74" s="38">
        <f t="shared" si="9"/>
        <v>0.52462686567164174</v>
      </c>
      <c r="S74" s="38">
        <f t="shared" si="3"/>
        <v>0.68201492537313424</v>
      </c>
      <c r="T74" s="38">
        <f t="shared" si="4"/>
        <v>-0.68201492537313424</v>
      </c>
      <c r="U74" s="38">
        <f t="shared" si="7"/>
        <v>9.8403731343283631</v>
      </c>
      <c r="W74">
        <v>903</v>
      </c>
      <c r="Y74">
        <f t="shared" si="6"/>
        <v>38244.599999999991</v>
      </c>
      <c r="AA74">
        <v>10.792279701529928</v>
      </c>
    </row>
    <row r="75" spans="1:27" x14ac:dyDescent="0.25">
      <c r="A75">
        <v>6440</v>
      </c>
      <c r="B75">
        <v>26330</v>
      </c>
      <c r="C75" s="1">
        <v>42653</v>
      </c>
      <c r="F75" s="61"/>
      <c r="G75">
        <v>8.9</v>
      </c>
      <c r="H75">
        <v>6.6</v>
      </c>
      <c r="I75">
        <v>12.9</v>
      </c>
      <c r="J75">
        <f t="shared" si="5"/>
        <v>532.1</v>
      </c>
      <c r="M75">
        <v>2.6</v>
      </c>
      <c r="N75">
        <v>0.8</v>
      </c>
      <c r="O75" s="37">
        <f t="shared" si="2"/>
        <v>1.8</v>
      </c>
      <c r="P75">
        <f t="shared" si="8"/>
        <v>1.8</v>
      </c>
      <c r="Q75">
        <v>34</v>
      </c>
      <c r="R75" s="38">
        <f t="shared" si="9"/>
        <v>0.53432835820895519</v>
      </c>
      <c r="S75" s="38">
        <f t="shared" si="3"/>
        <v>0.42746268656716419</v>
      </c>
      <c r="T75" s="38">
        <f t="shared" si="4"/>
        <v>2.1725373134328358</v>
      </c>
      <c r="U75" s="38">
        <f t="shared" si="7"/>
        <v>12.012910447761199</v>
      </c>
      <c r="W75">
        <v>346.9</v>
      </c>
      <c r="Y75">
        <f t="shared" si="6"/>
        <v>38591.499999999993</v>
      </c>
      <c r="AA75">
        <v>10.728073043374028</v>
      </c>
    </row>
    <row r="76" spans="1:27" x14ac:dyDescent="0.25">
      <c r="A76">
        <v>6440</v>
      </c>
      <c r="B76">
        <v>26330</v>
      </c>
      <c r="C76" s="1">
        <v>42654</v>
      </c>
      <c r="F76" s="61"/>
      <c r="G76">
        <v>7.8</v>
      </c>
      <c r="H76">
        <v>3.8</v>
      </c>
      <c r="I76">
        <v>12.6</v>
      </c>
      <c r="J76">
        <f t="shared" si="5"/>
        <v>539.9</v>
      </c>
      <c r="M76">
        <v>0.2</v>
      </c>
      <c r="N76">
        <v>1.5</v>
      </c>
      <c r="O76" s="37">
        <f t="shared" si="2"/>
        <v>-1.3</v>
      </c>
      <c r="P76">
        <f t="shared" si="8"/>
        <v>0.5</v>
      </c>
      <c r="Q76">
        <v>35</v>
      </c>
      <c r="R76" s="38">
        <f t="shared" si="9"/>
        <v>0.54402985074626864</v>
      </c>
      <c r="S76" s="38">
        <f t="shared" si="3"/>
        <v>0.81604477611940296</v>
      </c>
      <c r="T76" s="38">
        <f t="shared" si="4"/>
        <v>-0.616044776119403</v>
      </c>
      <c r="U76" s="38">
        <f t="shared" si="7"/>
        <v>11.396865671641795</v>
      </c>
      <c r="W76">
        <v>1172.4000000000001</v>
      </c>
      <c r="Y76">
        <f t="shared" si="6"/>
        <v>39763.899999999994</v>
      </c>
      <c r="AA76">
        <v>10.664045341457989</v>
      </c>
    </row>
    <row r="77" spans="1:27" x14ac:dyDescent="0.25">
      <c r="A77">
        <v>6440</v>
      </c>
      <c r="B77">
        <v>26330</v>
      </c>
      <c r="C77" s="1">
        <v>42655</v>
      </c>
      <c r="F77" s="61"/>
      <c r="G77">
        <v>9</v>
      </c>
      <c r="H77">
        <v>6</v>
      </c>
      <c r="I77">
        <v>10.7</v>
      </c>
      <c r="J77">
        <f t="shared" si="5"/>
        <v>548.9</v>
      </c>
      <c r="M77">
        <v>1.5</v>
      </c>
      <c r="N77">
        <v>0.3</v>
      </c>
      <c r="O77" s="37">
        <f t="shared" si="2"/>
        <v>1.2</v>
      </c>
      <c r="P77">
        <f t="shared" si="8"/>
        <v>1.7</v>
      </c>
      <c r="Q77">
        <v>36</v>
      </c>
      <c r="R77" s="38">
        <f t="shared" si="9"/>
        <v>0.55373134328358209</v>
      </c>
      <c r="S77" s="38">
        <f t="shared" si="3"/>
        <v>0.16611940298507463</v>
      </c>
      <c r="T77" s="38">
        <f t="shared" si="4"/>
        <v>1.3338805970149255</v>
      </c>
      <c r="U77" s="38">
        <f t="shared" si="7"/>
        <v>12.73074626865672</v>
      </c>
      <c r="W77">
        <v>243.5</v>
      </c>
      <c r="Y77">
        <f t="shared" si="6"/>
        <v>40007.399999999994</v>
      </c>
      <c r="AA77">
        <v>10.60020810103569</v>
      </c>
    </row>
    <row r="78" spans="1:27" x14ac:dyDescent="0.25">
      <c r="A78">
        <v>6440</v>
      </c>
      <c r="B78">
        <v>26330</v>
      </c>
      <c r="C78" s="1">
        <v>42656</v>
      </c>
      <c r="F78" s="61"/>
      <c r="G78">
        <v>9.1</v>
      </c>
      <c r="H78">
        <v>5.6</v>
      </c>
      <c r="I78">
        <v>11.3</v>
      </c>
      <c r="J78">
        <f t="shared" si="5"/>
        <v>558</v>
      </c>
      <c r="M78">
        <v>0</v>
      </c>
      <c r="N78">
        <v>1.3</v>
      </c>
      <c r="O78" s="37">
        <f t="shared" si="2"/>
        <v>-1.3</v>
      </c>
      <c r="P78">
        <f t="shared" si="8"/>
        <v>0.39999999999999991</v>
      </c>
      <c r="Q78">
        <v>37</v>
      </c>
      <c r="R78" s="38">
        <f t="shared" si="9"/>
        <v>0.56343283582089554</v>
      </c>
      <c r="S78" s="38">
        <f t="shared" si="3"/>
        <v>0.73246268656716418</v>
      </c>
      <c r="T78" s="38">
        <f t="shared" si="4"/>
        <v>-0.73246268656716418</v>
      </c>
      <c r="U78" s="38">
        <f t="shared" si="7"/>
        <v>11.998283582089556</v>
      </c>
      <c r="W78">
        <v>1033.4000000000001</v>
      </c>
      <c r="Y78">
        <f t="shared" si="6"/>
        <v>41040.799999999996</v>
      </c>
      <c r="AA78">
        <v>10.536573170711847</v>
      </c>
    </row>
    <row r="79" spans="1:27" x14ac:dyDescent="0.25">
      <c r="A79">
        <v>6440</v>
      </c>
      <c r="B79">
        <v>26330</v>
      </c>
      <c r="C79" s="1">
        <v>42657</v>
      </c>
      <c r="F79" s="61"/>
      <c r="G79">
        <v>10.4</v>
      </c>
      <c r="H79">
        <v>8.8000000000000007</v>
      </c>
      <c r="I79">
        <v>12.5</v>
      </c>
      <c r="J79">
        <f t="shared" si="5"/>
        <v>568.4</v>
      </c>
      <c r="M79">
        <v>8.6</v>
      </c>
      <c r="N79">
        <v>0.8</v>
      </c>
      <c r="O79" s="37">
        <f t="shared" si="2"/>
        <v>7.8</v>
      </c>
      <c r="P79">
        <f t="shared" si="8"/>
        <v>8.1999999999999993</v>
      </c>
      <c r="Q79">
        <v>38</v>
      </c>
      <c r="R79" s="38">
        <f t="shared" si="9"/>
        <v>0.57313432835820888</v>
      </c>
      <c r="S79" s="38">
        <f t="shared" si="3"/>
        <v>0.45850746268656711</v>
      </c>
      <c r="T79" s="38">
        <f t="shared" si="4"/>
        <v>8.1414925373134324</v>
      </c>
      <c r="U79" s="38">
        <f t="shared" si="7"/>
        <v>20.139776119402988</v>
      </c>
      <c r="W79">
        <v>226.2</v>
      </c>
      <c r="Y79">
        <f t="shared" si="6"/>
        <v>41266.999999999993</v>
      </c>
      <c r="AA79">
        <v>10.473152757479662</v>
      </c>
    </row>
    <row r="80" spans="1:27" x14ac:dyDescent="0.25">
      <c r="A80">
        <v>6440</v>
      </c>
      <c r="B80">
        <v>26330</v>
      </c>
      <c r="C80" s="1">
        <v>42658</v>
      </c>
      <c r="F80" s="61"/>
      <c r="G80">
        <v>12.9</v>
      </c>
      <c r="H80">
        <v>10</v>
      </c>
      <c r="I80">
        <v>14.9</v>
      </c>
      <c r="J80">
        <f t="shared" si="5"/>
        <v>581.29999999999995</v>
      </c>
      <c r="M80">
        <v>0.4</v>
      </c>
      <c r="N80">
        <v>0.9</v>
      </c>
      <c r="O80" s="37">
        <f t="shared" si="2"/>
        <v>-0.5</v>
      </c>
      <c r="P80">
        <f t="shared" si="8"/>
        <v>7.6999999999999993</v>
      </c>
      <c r="Q80">
        <v>39</v>
      </c>
      <c r="R80" s="38">
        <f t="shared" si="9"/>
        <v>0.58283582089552233</v>
      </c>
      <c r="S80" s="38">
        <f t="shared" si="3"/>
        <v>0.52455223880597013</v>
      </c>
      <c r="T80" s="38">
        <f t="shared" si="4"/>
        <v>-0.12455223880597011</v>
      </c>
      <c r="U80" s="38">
        <f t="shared" si="7"/>
        <v>20.01522388059702</v>
      </c>
      <c r="W80">
        <v>311</v>
      </c>
      <c r="Y80">
        <f t="shared" si="6"/>
        <v>41577.999999999993</v>
      </c>
      <c r="AA80">
        <v>10.409959441418467</v>
      </c>
    </row>
    <row r="81" spans="1:27" x14ac:dyDescent="0.25">
      <c r="A81">
        <v>6440</v>
      </c>
      <c r="B81">
        <v>26330</v>
      </c>
      <c r="C81" s="1">
        <v>42659</v>
      </c>
      <c r="F81" s="61"/>
      <c r="G81">
        <v>14.1</v>
      </c>
      <c r="H81">
        <v>8.8000000000000007</v>
      </c>
      <c r="I81">
        <v>19.7</v>
      </c>
      <c r="J81">
        <f t="shared" si="5"/>
        <v>595.4</v>
      </c>
      <c r="M81">
        <v>16.100000000000001</v>
      </c>
      <c r="N81">
        <v>1.9</v>
      </c>
      <c r="O81" s="37">
        <f t="shared" si="2"/>
        <v>14.200000000000001</v>
      </c>
      <c r="P81">
        <f t="shared" si="8"/>
        <v>21.9</v>
      </c>
      <c r="Q81">
        <v>40</v>
      </c>
      <c r="R81" s="38">
        <f t="shared" si="9"/>
        <v>0.59253731343283578</v>
      </c>
      <c r="S81" s="38">
        <f t="shared" si="3"/>
        <v>1.1258208955223878</v>
      </c>
      <c r="T81" s="38">
        <f t="shared" si="4"/>
        <v>14.974179104477614</v>
      </c>
      <c r="U81" s="38">
        <f t="shared" si="7"/>
        <v>34.989402985074634</v>
      </c>
      <c r="W81">
        <v>1063.2</v>
      </c>
      <c r="Y81">
        <f t="shared" si="6"/>
        <v>42641.19999999999</v>
      </c>
      <c r="AA81">
        <v>10.347006190013104</v>
      </c>
    </row>
    <row r="82" spans="1:27" x14ac:dyDescent="0.25">
      <c r="A82">
        <v>6440</v>
      </c>
      <c r="B82">
        <v>26330</v>
      </c>
      <c r="C82" s="1">
        <v>42660</v>
      </c>
      <c r="F82" s="61"/>
      <c r="G82">
        <v>12.6</v>
      </c>
      <c r="H82">
        <v>11.2</v>
      </c>
      <c r="I82">
        <v>15.4</v>
      </c>
      <c r="J82">
        <f t="shared" si="5"/>
        <v>608</v>
      </c>
      <c r="M82">
        <v>1.3</v>
      </c>
      <c r="N82">
        <v>0.7</v>
      </c>
      <c r="O82" s="37">
        <f t="shared" si="2"/>
        <v>0.60000000000000009</v>
      </c>
      <c r="P82">
        <f t="shared" si="8"/>
        <v>22.5</v>
      </c>
      <c r="Q82">
        <v>41</v>
      </c>
      <c r="R82" s="38">
        <f t="shared" si="9"/>
        <v>0.60223880597014923</v>
      </c>
      <c r="S82" s="38">
        <f t="shared" si="3"/>
        <v>0.42156716417910445</v>
      </c>
      <c r="T82" s="38">
        <f t="shared" si="4"/>
        <v>0.8784328358208956</v>
      </c>
      <c r="U82" s="38">
        <f t="shared" si="7"/>
        <v>35.867835820895529</v>
      </c>
      <c r="W82">
        <v>502</v>
      </c>
      <c r="Y82">
        <f t="shared" si="6"/>
        <v>43143.19999999999</v>
      </c>
      <c r="AA82">
        <v>10.284306372053678</v>
      </c>
    </row>
    <row r="83" spans="1:27" x14ac:dyDescent="0.25">
      <c r="A83">
        <v>6440</v>
      </c>
      <c r="B83">
        <v>26330</v>
      </c>
      <c r="C83" s="1">
        <v>42661</v>
      </c>
      <c r="F83" s="61"/>
      <c r="G83">
        <v>10.5</v>
      </c>
      <c r="H83">
        <v>9.5</v>
      </c>
      <c r="I83">
        <v>12.7</v>
      </c>
      <c r="J83">
        <f t="shared" si="5"/>
        <v>618.5</v>
      </c>
      <c r="M83">
        <v>1.8</v>
      </c>
      <c r="N83">
        <v>0.8</v>
      </c>
      <c r="O83" s="37">
        <f t="shared" si="2"/>
        <v>1</v>
      </c>
      <c r="P83">
        <f t="shared" si="8"/>
        <v>23.5</v>
      </c>
      <c r="Q83">
        <v>42</v>
      </c>
      <c r="R83" s="38">
        <f t="shared" si="9"/>
        <v>0.61194029850746268</v>
      </c>
      <c r="S83" s="38">
        <f t="shared" si="3"/>
        <v>0.48955223880597015</v>
      </c>
      <c r="T83" s="38">
        <f t="shared" si="4"/>
        <v>1.3104477611940299</v>
      </c>
      <c r="U83" s="38">
        <f t="shared" si="7"/>
        <v>37.178283582089556</v>
      </c>
      <c r="W83">
        <v>213.4</v>
      </c>
      <c r="Y83">
        <f t="shared" si="6"/>
        <v>43356.599999999991</v>
      </c>
      <c r="AA83">
        <v>10.221873771071051</v>
      </c>
    </row>
    <row r="84" spans="1:27" x14ac:dyDescent="0.25">
      <c r="A84">
        <v>6440</v>
      </c>
      <c r="B84">
        <v>26330</v>
      </c>
      <c r="C84" s="1">
        <v>42662</v>
      </c>
      <c r="F84" s="61"/>
      <c r="G84">
        <v>9.5</v>
      </c>
      <c r="H84">
        <v>8.4</v>
      </c>
      <c r="I84">
        <v>11.8</v>
      </c>
      <c r="J84">
        <f t="shared" si="5"/>
        <v>628</v>
      </c>
      <c r="M84">
        <v>10.6</v>
      </c>
      <c r="N84">
        <v>0.9</v>
      </c>
      <c r="O84" s="37">
        <f t="shared" si="2"/>
        <v>9.6999999999999993</v>
      </c>
      <c r="P84">
        <f t="shared" si="8"/>
        <v>33.200000000000003</v>
      </c>
      <c r="Q84">
        <v>43</v>
      </c>
      <c r="R84" s="38">
        <f t="shared" si="9"/>
        <v>0.62164179104477602</v>
      </c>
      <c r="S84" s="38">
        <f t="shared" si="3"/>
        <v>0.55947761194029844</v>
      </c>
      <c r="T84" s="38">
        <f t="shared" si="4"/>
        <v>10.040522388059701</v>
      </c>
      <c r="U84" s="38">
        <f t="shared" si="7"/>
        <v>47.218805970149255</v>
      </c>
      <c r="W84">
        <v>295.60000000000002</v>
      </c>
      <c r="Y84">
        <f t="shared" si="6"/>
        <v>43652.19999999999</v>
      </c>
      <c r="AA84">
        <v>10.15972259826019</v>
      </c>
    </row>
    <row r="85" spans="1:27" x14ac:dyDescent="0.25">
      <c r="A85">
        <v>6440</v>
      </c>
      <c r="B85">
        <v>26330</v>
      </c>
      <c r="C85" s="1">
        <v>42663</v>
      </c>
      <c r="F85" s="61"/>
      <c r="G85">
        <v>10.7</v>
      </c>
      <c r="H85">
        <v>7.4</v>
      </c>
      <c r="I85">
        <v>14.3</v>
      </c>
      <c r="J85">
        <f t="shared" si="5"/>
        <v>638.70000000000005</v>
      </c>
      <c r="M85">
        <v>5.4</v>
      </c>
      <c r="N85">
        <v>0.7</v>
      </c>
      <c r="O85" s="37">
        <f t="shared" si="2"/>
        <v>4.7</v>
      </c>
      <c r="P85">
        <f t="shared" si="8"/>
        <v>37.900000000000006</v>
      </c>
      <c r="Q85">
        <v>44</v>
      </c>
      <c r="R85" s="38">
        <f t="shared" si="9"/>
        <v>0.63134328358208958</v>
      </c>
      <c r="S85" s="38">
        <f t="shared" si="3"/>
        <v>0.44194029850746269</v>
      </c>
      <c r="T85" s="38">
        <f t="shared" si="4"/>
        <v>4.9580597014925374</v>
      </c>
      <c r="U85" s="38">
        <f t="shared" si="7"/>
        <v>52.176865671641792</v>
      </c>
      <c r="W85">
        <v>450.2</v>
      </c>
      <c r="Y85">
        <f t="shared" si="6"/>
        <v>44102.399999999987</v>
      </c>
      <c r="AA85">
        <v>10.097867504839913</v>
      </c>
    </row>
    <row r="86" spans="1:27" x14ac:dyDescent="0.25">
      <c r="A86">
        <v>6440</v>
      </c>
      <c r="B86">
        <v>26330</v>
      </c>
      <c r="C86" s="1">
        <v>42664</v>
      </c>
      <c r="F86" s="61"/>
      <c r="G86">
        <v>8.5</v>
      </c>
      <c r="H86">
        <v>6.7</v>
      </c>
      <c r="I86">
        <v>12.5</v>
      </c>
      <c r="J86">
        <f t="shared" si="5"/>
        <v>647.20000000000005</v>
      </c>
      <c r="M86">
        <v>0.8</v>
      </c>
      <c r="N86">
        <v>1.1000000000000001</v>
      </c>
      <c r="O86" s="37">
        <f t="shared" si="2"/>
        <v>-0.30000000000000004</v>
      </c>
      <c r="P86">
        <f t="shared" si="8"/>
        <v>37.600000000000009</v>
      </c>
      <c r="Q86">
        <v>45</v>
      </c>
      <c r="R86" s="38">
        <f t="shared" si="9"/>
        <v>0.64104477611940291</v>
      </c>
      <c r="S86" s="38">
        <f t="shared" si="3"/>
        <v>0.7051492537313433</v>
      </c>
      <c r="T86" s="38">
        <f t="shared" si="4"/>
        <v>9.4850746268656749E-2</v>
      </c>
      <c r="U86" s="38">
        <f t="shared" si="7"/>
        <v>52.271716417910447</v>
      </c>
      <c r="W86">
        <v>814.5</v>
      </c>
      <c r="Y86">
        <f t="shared" si="6"/>
        <v>44916.899999999987</v>
      </c>
      <c r="AA86">
        <v>10.036323593794222</v>
      </c>
    </row>
    <row r="87" spans="1:27" x14ac:dyDescent="0.25">
      <c r="A87">
        <v>6440</v>
      </c>
      <c r="B87">
        <v>26330</v>
      </c>
      <c r="C87" s="1">
        <v>42665</v>
      </c>
      <c r="F87" s="61"/>
      <c r="G87">
        <v>9.1999999999999993</v>
      </c>
      <c r="H87">
        <v>5.4</v>
      </c>
      <c r="I87">
        <v>13.9</v>
      </c>
      <c r="J87">
        <f t="shared" si="5"/>
        <v>656.40000000000009</v>
      </c>
      <c r="M87">
        <v>0.1</v>
      </c>
      <c r="N87">
        <v>0.7</v>
      </c>
      <c r="O87" s="37">
        <f t="shared" si="2"/>
        <v>-0.6</v>
      </c>
      <c r="P87">
        <f t="shared" si="8"/>
        <v>37.000000000000007</v>
      </c>
      <c r="Q87">
        <v>46</v>
      </c>
      <c r="R87" s="38">
        <f t="shared" si="9"/>
        <v>0.65074626865671648</v>
      </c>
      <c r="S87" s="38">
        <f t="shared" si="3"/>
        <v>0.45552238805970152</v>
      </c>
      <c r="T87" s="38">
        <f t="shared" si="4"/>
        <v>-0.35552238805970149</v>
      </c>
      <c r="U87" s="38">
        <f t="shared" si="7"/>
        <v>51.916194029850743</v>
      </c>
      <c r="W87">
        <v>354.9</v>
      </c>
      <c r="Y87">
        <f t="shared" si="6"/>
        <v>45271.799999999988</v>
      </c>
      <c r="AA87">
        <v>9.9751064309366342</v>
      </c>
    </row>
    <row r="88" spans="1:27" x14ac:dyDescent="0.25">
      <c r="A88">
        <v>6440</v>
      </c>
      <c r="B88">
        <v>26330</v>
      </c>
      <c r="C88" s="1">
        <v>42666</v>
      </c>
      <c r="F88" s="61"/>
      <c r="G88">
        <v>6.7</v>
      </c>
      <c r="H88">
        <v>6.2</v>
      </c>
      <c r="I88">
        <v>7.5</v>
      </c>
      <c r="J88">
        <f t="shared" si="5"/>
        <v>663.10000000000014</v>
      </c>
      <c r="M88">
        <v>0.5</v>
      </c>
      <c r="N88">
        <v>0.6</v>
      </c>
      <c r="O88" s="37">
        <f t="shared" si="2"/>
        <v>-9.9999999999999978E-2</v>
      </c>
      <c r="P88">
        <f t="shared" si="8"/>
        <v>36.900000000000006</v>
      </c>
      <c r="Q88">
        <v>47</v>
      </c>
      <c r="R88" s="38">
        <f t="shared" si="9"/>
        <v>0.66044776119402981</v>
      </c>
      <c r="S88" s="38">
        <f t="shared" si="3"/>
        <v>0.39626865671641787</v>
      </c>
      <c r="T88" s="38">
        <f t="shared" si="4"/>
        <v>0.10373134328358213</v>
      </c>
      <c r="U88" s="38">
        <f t="shared" si="7"/>
        <v>52.019925373134328</v>
      </c>
      <c r="W88">
        <v>301.89999999999998</v>
      </c>
      <c r="Y88">
        <f t="shared" si="6"/>
        <v>45573.69999999999</v>
      </c>
      <c r="AA88">
        <v>9.9142320552352778</v>
      </c>
    </row>
    <row r="89" spans="1:27" x14ac:dyDescent="0.25">
      <c r="A89">
        <v>6440</v>
      </c>
      <c r="B89">
        <v>26330</v>
      </c>
      <c r="C89" s="1">
        <v>42667</v>
      </c>
      <c r="F89" s="61"/>
      <c r="G89">
        <v>9</v>
      </c>
      <c r="H89">
        <v>6.9</v>
      </c>
      <c r="I89">
        <v>10.3</v>
      </c>
      <c r="J89">
        <f t="shared" si="5"/>
        <v>672.10000000000014</v>
      </c>
      <c r="M89">
        <v>0</v>
      </c>
      <c r="N89">
        <v>0.5</v>
      </c>
      <c r="O89" s="37">
        <f t="shared" si="2"/>
        <v>-0.5</v>
      </c>
      <c r="P89">
        <f t="shared" si="8"/>
        <v>36.400000000000006</v>
      </c>
      <c r="Q89">
        <v>48</v>
      </c>
      <c r="R89" s="38">
        <f t="shared" si="9"/>
        <v>0.67014925373134326</v>
      </c>
      <c r="S89" s="38">
        <f t="shared" si="3"/>
        <v>0.33507462686567163</v>
      </c>
      <c r="T89" s="38">
        <f t="shared" si="4"/>
        <v>-0.33507462686567163</v>
      </c>
      <c r="U89" s="38">
        <f t="shared" si="7"/>
        <v>51.684850746268658</v>
      </c>
      <c r="W89">
        <v>193.5</v>
      </c>
      <c r="Y89">
        <f t="shared" si="6"/>
        <v>45767.19999999999</v>
      </c>
      <c r="AA89">
        <v>9.8537169883329145</v>
      </c>
    </row>
    <row r="90" spans="1:27" x14ac:dyDescent="0.25">
      <c r="A90">
        <v>6440</v>
      </c>
      <c r="B90">
        <v>26330</v>
      </c>
      <c r="C90" s="1">
        <v>42668</v>
      </c>
      <c r="F90" s="61"/>
      <c r="G90">
        <v>7.5</v>
      </c>
      <c r="H90">
        <v>6.7</v>
      </c>
      <c r="I90">
        <v>10.9</v>
      </c>
      <c r="J90">
        <f t="shared" si="5"/>
        <v>679.60000000000014</v>
      </c>
      <c r="M90">
        <v>0.2</v>
      </c>
      <c r="N90">
        <v>0.8</v>
      </c>
      <c r="O90" s="37">
        <f t="shared" si="2"/>
        <v>-0.60000000000000009</v>
      </c>
      <c r="P90">
        <f t="shared" si="8"/>
        <v>35.800000000000004</v>
      </c>
      <c r="Q90">
        <v>49</v>
      </c>
      <c r="R90" s="38">
        <f t="shared" si="9"/>
        <v>0.67985074626865671</v>
      </c>
      <c r="S90" s="38">
        <f t="shared" si="3"/>
        <v>0.54388059701492542</v>
      </c>
      <c r="T90" s="38">
        <f t="shared" si="4"/>
        <v>-0.3438805970149254</v>
      </c>
      <c r="U90" s="38">
        <f t="shared" si="7"/>
        <v>51.340970149253735</v>
      </c>
      <c r="W90">
        <v>345.6</v>
      </c>
      <c r="Y90">
        <f t="shared" si="6"/>
        <v>46112.799999999988</v>
      </c>
      <c r="AA90">
        <v>9.7935782431921634</v>
      </c>
    </row>
    <row r="91" spans="1:27" x14ac:dyDescent="0.25">
      <c r="A91">
        <v>6440</v>
      </c>
      <c r="B91">
        <v>26330</v>
      </c>
      <c r="C91" s="1">
        <v>42669</v>
      </c>
      <c r="F91" s="61"/>
      <c r="G91">
        <v>6</v>
      </c>
      <c r="H91">
        <v>2.5</v>
      </c>
      <c r="I91">
        <v>9.8000000000000007</v>
      </c>
      <c r="J91">
        <f t="shared" si="5"/>
        <v>685.60000000000014</v>
      </c>
      <c r="M91">
        <v>0.2</v>
      </c>
      <c r="N91">
        <v>0.7</v>
      </c>
      <c r="O91" s="37">
        <f t="shared" si="2"/>
        <v>-0.49999999999999994</v>
      </c>
      <c r="P91">
        <f t="shared" si="8"/>
        <v>35.300000000000004</v>
      </c>
      <c r="Q91">
        <v>50</v>
      </c>
      <c r="R91" s="38">
        <f t="shared" si="9"/>
        <v>0.68955223880597005</v>
      </c>
      <c r="S91" s="38">
        <f t="shared" si="3"/>
        <v>0.48268656716417901</v>
      </c>
      <c r="T91" s="38">
        <f t="shared" si="4"/>
        <v>-0.282686567164179</v>
      </c>
      <c r="U91" s="38">
        <f t="shared" si="7"/>
        <v>51.058283582089558</v>
      </c>
      <c r="W91">
        <v>376.7</v>
      </c>
      <c r="Y91">
        <f t="shared" si="6"/>
        <v>46489.499999999985</v>
      </c>
      <c r="AA91">
        <v>9.733833331792642</v>
      </c>
    </row>
    <row r="92" spans="1:27" x14ac:dyDescent="0.25">
      <c r="A92">
        <v>6440</v>
      </c>
      <c r="B92">
        <v>26330</v>
      </c>
      <c r="C92" s="1">
        <v>42670</v>
      </c>
      <c r="F92" s="61"/>
      <c r="G92">
        <v>11.9</v>
      </c>
      <c r="H92">
        <v>7.6</v>
      </c>
      <c r="I92">
        <v>13.8</v>
      </c>
      <c r="J92">
        <f t="shared" si="5"/>
        <v>697.50000000000011</v>
      </c>
      <c r="M92">
        <v>0</v>
      </c>
      <c r="N92">
        <v>0.4</v>
      </c>
      <c r="O92" s="37">
        <f t="shared" si="2"/>
        <v>-0.4</v>
      </c>
      <c r="P92">
        <f t="shared" si="8"/>
        <v>34.900000000000006</v>
      </c>
      <c r="Q92">
        <v>51</v>
      </c>
      <c r="R92" s="38">
        <f t="shared" si="9"/>
        <v>0.69925373134328361</v>
      </c>
      <c r="S92" s="38">
        <f t="shared" si="3"/>
        <v>0.27970149253731347</v>
      </c>
      <c r="T92" s="38">
        <f t="shared" si="4"/>
        <v>-0.27970149253731347</v>
      </c>
      <c r="U92" s="38">
        <f t="shared" si="7"/>
        <v>50.778582089552245</v>
      </c>
      <c r="W92">
        <v>310.7</v>
      </c>
      <c r="Y92">
        <f t="shared" si="6"/>
        <v>46800.199999999983</v>
      </c>
      <c r="AA92">
        <v>9.6745002718028772</v>
      </c>
    </row>
    <row r="93" spans="1:27" x14ac:dyDescent="0.25">
      <c r="A93">
        <v>6440</v>
      </c>
      <c r="B93">
        <v>26330</v>
      </c>
      <c r="C93" s="1">
        <v>42671</v>
      </c>
      <c r="F93" s="61"/>
      <c r="G93">
        <v>13.2</v>
      </c>
      <c r="H93">
        <v>11.6</v>
      </c>
      <c r="I93">
        <v>15</v>
      </c>
      <c r="J93">
        <f t="shared" si="5"/>
        <v>710.70000000000016</v>
      </c>
      <c r="M93">
        <v>0</v>
      </c>
      <c r="N93">
        <v>0.9</v>
      </c>
      <c r="O93" s="37">
        <f t="shared" si="2"/>
        <v>-0.9</v>
      </c>
      <c r="P93">
        <f t="shared" si="8"/>
        <v>34.000000000000007</v>
      </c>
      <c r="Q93">
        <v>52</v>
      </c>
      <c r="R93" s="38">
        <f t="shared" si="9"/>
        <v>0.70895522388059695</v>
      </c>
      <c r="S93" s="38">
        <f t="shared" si="3"/>
        <v>0.63805970149253732</v>
      </c>
      <c r="T93" s="38">
        <f t="shared" si="4"/>
        <v>-0.63805970149253732</v>
      </c>
      <c r="U93" s="38">
        <f t="shared" si="7"/>
        <v>50.140522388059708</v>
      </c>
      <c r="W93">
        <v>201</v>
      </c>
      <c r="Y93">
        <f t="shared" si="6"/>
        <v>47001.199999999983</v>
      </c>
      <c r="AA93">
        <v>9.6155975921464805</v>
      </c>
    </row>
    <row r="94" spans="1:27" x14ac:dyDescent="0.25">
      <c r="A94">
        <v>6440</v>
      </c>
      <c r="B94">
        <v>26330</v>
      </c>
      <c r="C94" s="1">
        <v>42672</v>
      </c>
      <c r="F94" s="61"/>
      <c r="G94">
        <v>12.3</v>
      </c>
      <c r="H94">
        <v>11.9</v>
      </c>
      <c r="I94">
        <v>15.4</v>
      </c>
      <c r="J94">
        <f t="shared" si="5"/>
        <v>723.00000000000011</v>
      </c>
      <c r="M94">
        <v>0.2</v>
      </c>
      <c r="N94">
        <v>0.8</v>
      </c>
      <c r="O94" s="37">
        <f t="shared" si="2"/>
        <v>-0.60000000000000009</v>
      </c>
      <c r="P94">
        <f t="shared" si="8"/>
        <v>33.400000000000006</v>
      </c>
      <c r="Q94">
        <v>53</v>
      </c>
      <c r="R94" s="38">
        <f t="shared" si="9"/>
        <v>0.7186567164179104</v>
      </c>
      <c r="S94" s="38">
        <f t="shared" si="3"/>
        <v>0.57492537313432834</v>
      </c>
      <c r="T94" s="38">
        <f t="shared" si="4"/>
        <v>-0.37492537313432833</v>
      </c>
      <c r="U94" s="38">
        <f t="shared" si="7"/>
        <v>49.765597014925376</v>
      </c>
      <c r="W94">
        <v>286.89999999999998</v>
      </c>
      <c r="Y94">
        <f t="shared" si="6"/>
        <v>47288.099999999984</v>
      </c>
      <c r="AA94">
        <v>9.5571443373783911</v>
      </c>
    </row>
    <row r="95" spans="1:27" x14ac:dyDescent="0.25">
      <c r="A95">
        <v>6440</v>
      </c>
      <c r="B95">
        <v>26330</v>
      </c>
      <c r="C95" s="1">
        <v>42673</v>
      </c>
      <c r="F95" s="61"/>
      <c r="G95">
        <v>10.4</v>
      </c>
      <c r="H95">
        <v>5.3</v>
      </c>
      <c r="I95">
        <v>14.6</v>
      </c>
      <c r="J95">
        <f t="shared" si="5"/>
        <v>733.40000000000009</v>
      </c>
      <c r="M95">
        <v>0</v>
      </c>
      <c r="N95">
        <v>1</v>
      </c>
      <c r="O95" s="37">
        <f t="shared" si="2"/>
        <v>-1</v>
      </c>
      <c r="P95">
        <f t="shared" si="8"/>
        <v>32.400000000000006</v>
      </c>
      <c r="Q95">
        <v>54</v>
      </c>
      <c r="R95" s="38">
        <f t="shared" si="9"/>
        <v>0.72835820895522385</v>
      </c>
      <c r="S95" s="38">
        <f t="shared" si="3"/>
        <v>0.72835820895522385</v>
      </c>
      <c r="T95" s="38">
        <f t="shared" si="4"/>
        <v>-0.72835820895522385</v>
      </c>
      <c r="U95" s="38">
        <f t="shared" si="7"/>
        <v>49.037238805970155</v>
      </c>
      <c r="W95">
        <v>889.9</v>
      </c>
      <c r="Y95">
        <f t="shared" si="6"/>
        <v>48177.999999999985</v>
      </c>
      <c r="AA95">
        <v>9.4991600707838728</v>
      </c>
    </row>
    <row r="96" spans="1:27" x14ac:dyDescent="0.25">
      <c r="A96">
        <v>6440</v>
      </c>
      <c r="B96">
        <v>26330</v>
      </c>
      <c r="C96" s="1">
        <v>42674</v>
      </c>
      <c r="F96" s="61"/>
      <c r="G96">
        <v>11.6</v>
      </c>
      <c r="H96">
        <v>7.1</v>
      </c>
      <c r="I96">
        <v>17.399999999999999</v>
      </c>
      <c r="J96">
        <f t="shared" si="5"/>
        <v>745.00000000000011</v>
      </c>
      <c r="M96">
        <v>0.1</v>
      </c>
      <c r="N96">
        <v>1.2</v>
      </c>
      <c r="O96" s="37">
        <f t="shared" si="2"/>
        <v>-1.0999999999999999</v>
      </c>
      <c r="P96">
        <f t="shared" si="8"/>
        <v>31.300000000000004</v>
      </c>
      <c r="Q96">
        <v>55</v>
      </c>
      <c r="R96" s="38">
        <f t="shared" si="9"/>
        <v>0.73805970149253719</v>
      </c>
      <c r="S96" s="38">
        <f t="shared" si="3"/>
        <v>0.88567164179104463</v>
      </c>
      <c r="T96" s="38">
        <f t="shared" si="4"/>
        <v>-0.78567164179104465</v>
      </c>
      <c r="U96" s="38">
        <f t="shared" si="7"/>
        <v>48.251567164179107</v>
      </c>
      <c r="W96">
        <v>988</v>
      </c>
      <c r="Y96">
        <f t="shared" si="6"/>
        <v>49165.999999999985</v>
      </c>
      <c r="AA96">
        <v>9.4416648761096909</v>
      </c>
    </row>
    <row r="97" spans="1:27" x14ac:dyDescent="0.25">
      <c r="A97">
        <v>6440</v>
      </c>
      <c r="B97">
        <v>26330</v>
      </c>
      <c r="C97" s="1">
        <v>42675</v>
      </c>
      <c r="F97" s="61"/>
      <c r="G97">
        <v>10.6</v>
      </c>
      <c r="H97">
        <v>5.2</v>
      </c>
      <c r="I97">
        <v>14.4</v>
      </c>
      <c r="J97">
        <f t="shared" si="5"/>
        <v>755.60000000000014</v>
      </c>
      <c r="M97">
        <v>0.3</v>
      </c>
      <c r="N97">
        <v>1</v>
      </c>
      <c r="O97" s="37">
        <f t="shared" si="2"/>
        <v>-0.7</v>
      </c>
      <c r="P97">
        <f t="shared" si="8"/>
        <v>30.600000000000005</v>
      </c>
      <c r="Q97">
        <v>56</v>
      </c>
      <c r="R97" s="38">
        <f t="shared" si="9"/>
        <v>0.74776119402985075</v>
      </c>
      <c r="S97" s="38">
        <f t="shared" si="3"/>
        <v>0.74776119402985075</v>
      </c>
      <c r="T97" s="38">
        <f t="shared" si="4"/>
        <v>-0.44776119402985076</v>
      </c>
      <c r="U97" s="38">
        <f t="shared" si="7"/>
        <v>47.803805970149256</v>
      </c>
      <c r="W97">
        <v>845.8</v>
      </c>
      <c r="Y97">
        <f t="shared" si="6"/>
        <v>50011.799999999988</v>
      </c>
      <c r="AA97">
        <v>9.3846793578342833</v>
      </c>
    </row>
    <row r="98" spans="1:27" x14ac:dyDescent="0.25">
      <c r="A98">
        <v>6440</v>
      </c>
      <c r="B98">
        <v>26330</v>
      </c>
      <c r="C98" s="1">
        <v>42676</v>
      </c>
      <c r="F98" s="61"/>
      <c r="G98">
        <v>7.3</v>
      </c>
      <c r="H98">
        <v>5.7</v>
      </c>
      <c r="I98">
        <v>9.6999999999999993</v>
      </c>
      <c r="J98">
        <f t="shared" si="5"/>
        <v>762.90000000000009</v>
      </c>
      <c r="M98">
        <v>0</v>
      </c>
      <c r="N98">
        <v>0.9</v>
      </c>
      <c r="O98" s="37">
        <f t="shared" si="2"/>
        <v>-0.9</v>
      </c>
      <c r="P98">
        <f t="shared" si="8"/>
        <v>29.700000000000006</v>
      </c>
      <c r="Q98">
        <v>57</v>
      </c>
      <c r="R98" s="38">
        <f t="shared" si="9"/>
        <v>0.7574626865671642</v>
      </c>
      <c r="S98" s="38">
        <f t="shared" si="3"/>
        <v>0.68171641791044779</v>
      </c>
      <c r="T98" s="38">
        <f t="shared" si="4"/>
        <v>-0.68171641791044779</v>
      </c>
      <c r="U98" s="38">
        <f t="shared" si="7"/>
        <v>47.122089552238805</v>
      </c>
      <c r="W98">
        <v>429.2</v>
      </c>
      <c r="Y98">
        <f t="shared" si="6"/>
        <v>50440.999999999985</v>
      </c>
      <c r="AA98">
        <v>9.3282246398810624</v>
      </c>
    </row>
    <row r="99" spans="1:27" x14ac:dyDescent="0.25">
      <c r="A99">
        <v>6440</v>
      </c>
      <c r="B99">
        <v>26330</v>
      </c>
      <c r="C99" s="1">
        <v>42677</v>
      </c>
      <c r="F99" s="61"/>
      <c r="G99">
        <v>7.1</v>
      </c>
      <c r="H99">
        <v>4.9000000000000004</v>
      </c>
      <c r="I99">
        <v>11.6</v>
      </c>
      <c r="J99">
        <f t="shared" si="5"/>
        <v>770.00000000000011</v>
      </c>
      <c r="M99">
        <v>0</v>
      </c>
      <c r="N99">
        <v>1.2</v>
      </c>
      <c r="O99" s="37">
        <f t="shared" si="2"/>
        <v>-1.2</v>
      </c>
      <c r="P99">
        <f t="shared" si="8"/>
        <v>28.500000000000007</v>
      </c>
      <c r="Q99">
        <v>58</v>
      </c>
      <c r="R99" s="38">
        <f t="shared" si="9"/>
        <v>0.76716417910447765</v>
      </c>
      <c r="S99" s="38">
        <f t="shared" si="3"/>
        <v>0.92059701492537316</v>
      </c>
      <c r="T99" s="38">
        <f t="shared" si="4"/>
        <v>-0.92059701492537316</v>
      </c>
      <c r="U99" s="38">
        <f t="shared" si="7"/>
        <v>46.201492537313435</v>
      </c>
      <c r="W99">
        <v>690.2</v>
      </c>
      <c r="Y99">
        <f t="shared" si="6"/>
        <v>51131.199999999983</v>
      </c>
      <c r="AA99">
        <v>9.2723223626770981</v>
      </c>
    </row>
    <row r="100" spans="1:27" x14ac:dyDescent="0.25">
      <c r="A100">
        <v>6440</v>
      </c>
      <c r="B100">
        <v>26330</v>
      </c>
      <c r="C100" s="1">
        <v>42678</v>
      </c>
      <c r="F100" s="61"/>
      <c r="G100">
        <v>7.2</v>
      </c>
      <c r="H100">
        <v>5.6</v>
      </c>
      <c r="I100">
        <v>8.5</v>
      </c>
      <c r="J100">
        <f t="shared" si="5"/>
        <v>777.20000000000016</v>
      </c>
      <c r="M100">
        <v>3.1</v>
      </c>
      <c r="N100">
        <v>0.4</v>
      </c>
      <c r="O100" s="37">
        <f t="shared" si="2"/>
        <v>2.7</v>
      </c>
      <c r="P100">
        <f t="shared" si="8"/>
        <v>31.200000000000006</v>
      </c>
      <c r="Q100">
        <v>59</v>
      </c>
      <c r="R100" s="38">
        <f t="shared" si="9"/>
        <v>0.77686567164179099</v>
      </c>
      <c r="S100" s="38">
        <f t="shared" si="3"/>
        <v>0.3107462686567164</v>
      </c>
      <c r="T100" s="38">
        <f t="shared" si="4"/>
        <v>2.7892537313432837</v>
      </c>
      <c r="U100" s="38">
        <f t="shared" si="7"/>
        <v>48.990746268656721</v>
      </c>
      <c r="W100">
        <v>155.80000000000001</v>
      </c>
      <c r="Y100">
        <f t="shared" si="6"/>
        <v>51286.999999999985</v>
      </c>
      <c r="AA100">
        <v>9.2169946784576471</v>
      </c>
    </row>
    <row r="101" spans="1:27" x14ac:dyDescent="0.25">
      <c r="A101">
        <v>6440</v>
      </c>
      <c r="B101">
        <v>26330</v>
      </c>
      <c r="C101" s="1">
        <v>42679</v>
      </c>
      <c r="F101" s="61"/>
      <c r="G101">
        <v>7.2</v>
      </c>
      <c r="H101">
        <v>5.9</v>
      </c>
      <c r="I101">
        <v>9.6999999999999993</v>
      </c>
      <c r="J101">
        <f t="shared" si="5"/>
        <v>784.4000000000002</v>
      </c>
      <c r="M101">
        <v>1.4</v>
      </c>
      <c r="N101">
        <v>0.7</v>
      </c>
      <c r="O101" s="37">
        <f t="shared" si="2"/>
        <v>0.7</v>
      </c>
      <c r="P101">
        <f t="shared" si="8"/>
        <v>31.900000000000006</v>
      </c>
      <c r="Q101">
        <v>60</v>
      </c>
      <c r="R101" s="38">
        <f t="shared" si="9"/>
        <v>0.78656716417910455</v>
      </c>
      <c r="S101" s="38">
        <f t="shared" si="3"/>
        <v>0.55059701492537316</v>
      </c>
      <c r="T101" s="38">
        <f t="shared" si="4"/>
        <v>0.84940298507462675</v>
      </c>
      <c r="U101" s="38">
        <f t="shared" si="7"/>
        <v>49.840149253731347</v>
      </c>
      <c r="W101">
        <v>287.89999999999998</v>
      </c>
      <c r="Y101">
        <f t="shared" si="6"/>
        <v>51574.899999999987</v>
      </c>
      <c r="AA101">
        <v>9.1622642447161393</v>
      </c>
    </row>
    <row r="102" spans="1:27" x14ac:dyDescent="0.25">
      <c r="A102">
        <v>6440</v>
      </c>
      <c r="B102">
        <v>26330</v>
      </c>
      <c r="C102" s="1">
        <v>42680</v>
      </c>
      <c r="F102" s="61"/>
      <c r="G102">
        <v>5</v>
      </c>
      <c r="H102">
        <v>3.3</v>
      </c>
      <c r="I102">
        <v>6.8</v>
      </c>
      <c r="J102">
        <f t="shared" si="5"/>
        <v>789.4000000000002</v>
      </c>
      <c r="M102">
        <v>0.8</v>
      </c>
      <c r="N102">
        <v>0.6</v>
      </c>
      <c r="O102" s="37">
        <f t="shared" si="2"/>
        <v>0.20000000000000007</v>
      </c>
      <c r="P102">
        <f t="shared" si="8"/>
        <v>32.100000000000009</v>
      </c>
      <c r="Q102">
        <v>61</v>
      </c>
      <c r="R102" s="38">
        <f t="shared" si="9"/>
        <v>0.79626865671641789</v>
      </c>
      <c r="S102" s="38">
        <f t="shared" si="3"/>
        <v>0.47776119402985073</v>
      </c>
      <c r="T102" s="38">
        <f t="shared" si="4"/>
        <v>0.32223880597014931</v>
      </c>
      <c r="U102" s="38">
        <f t="shared" si="7"/>
        <v>50.162388059701499</v>
      </c>
      <c r="W102">
        <v>373.1</v>
      </c>
      <c r="Y102">
        <f t="shared" si="6"/>
        <v>51947.999999999985</v>
      </c>
      <c r="AA102">
        <v>9.1081542156986242</v>
      </c>
    </row>
    <row r="103" spans="1:27" x14ac:dyDescent="0.25">
      <c r="A103">
        <v>6440</v>
      </c>
      <c r="B103">
        <v>26330</v>
      </c>
      <c r="C103" s="1">
        <v>42681</v>
      </c>
      <c r="F103" s="61"/>
      <c r="G103">
        <v>4.4000000000000004</v>
      </c>
      <c r="H103">
        <v>4</v>
      </c>
      <c r="I103">
        <v>5.7</v>
      </c>
      <c r="J103">
        <f t="shared" si="5"/>
        <v>793.80000000000018</v>
      </c>
      <c r="M103">
        <v>0.6</v>
      </c>
      <c r="N103">
        <v>0.4</v>
      </c>
      <c r="O103" s="37">
        <f t="shared" si="2"/>
        <v>0.19999999999999996</v>
      </c>
      <c r="P103">
        <f t="shared" si="8"/>
        <v>32.300000000000011</v>
      </c>
      <c r="Q103">
        <v>62</v>
      </c>
      <c r="R103" s="38">
        <f t="shared" si="9"/>
        <v>0.80597014925373134</v>
      </c>
      <c r="S103" s="38">
        <f t="shared" si="3"/>
        <v>0.32238805970149254</v>
      </c>
      <c r="T103" s="38">
        <f t="shared" si="4"/>
        <v>0.27761194029850744</v>
      </c>
      <c r="U103" s="38">
        <f t="shared" si="7"/>
        <v>50.440000000000005</v>
      </c>
      <c r="W103">
        <v>164.7</v>
      </c>
      <c r="Y103">
        <f t="shared" si="6"/>
        <v>52112.699999999983</v>
      </c>
      <c r="AA103">
        <v>9.05468823184213</v>
      </c>
    </row>
    <row r="104" spans="1:27" x14ac:dyDescent="0.25">
      <c r="A104">
        <v>6440</v>
      </c>
      <c r="B104">
        <v>26330</v>
      </c>
      <c r="C104" s="1">
        <v>42682</v>
      </c>
      <c r="F104" s="61"/>
      <c r="G104">
        <v>3.1</v>
      </c>
      <c r="H104">
        <v>1</v>
      </c>
      <c r="I104">
        <v>6.6</v>
      </c>
      <c r="J104">
        <f t="shared" si="5"/>
        <v>796.9000000000002</v>
      </c>
      <c r="M104">
        <v>1.5</v>
      </c>
      <c r="N104">
        <v>0.5</v>
      </c>
      <c r="O104" s="37">
        <f t="shared" si="2"/>
        <v>1</v>
      </c>
      <c r="P104">
        <f t="shared" si="8"/>
        <v>33.300000000000011</v>
      </c>
      <c r="Q104">
        <v>63</v>
      </c>
      <c r="R104" s="38">
        <f t="shared" si="9"/>
        <v>0.81567164179104479</v>
      </c>
      <c r="S104" s="38">
        <f t="shared" si="3"/>
        <v>0.40783582089552239</v>
      </c>
      <c r="T104" s="38">
        <f t="shared" si="4"/>
        <v>1.0921641791044776</v>
      </c>
      <c r="U104" s="38">
        <f t="shared" si="7"/>
        <v>51.532164179104484</v>
      </c>
      <c r="W104">
        <v>329.7</v>
      </c>
      <c r="Y104">
        <f t="shared" si="6"/>
        <v>52442.39999999998</v>
      </c>
      <c r="AA104">
        <v>9.001890407057358</v>
      </c>
    </row>
    <row r="105" spans="1:27" x14ac:dyDescent="0.25">
      <c r="A105">
        <v>6440</v>
      </c>
      <c r="B105">
        <v>26330</v>
      </c>
      <c r="C105" s="1">
        <v>42683</v>
      </c>
      <c r="E105" t="s">
        <v>60</v>
      </c>
      <c r="F105" s="61"/>
      <c r="G105">
        <v>5.9</v>
      </c>
      <c r="H105">
        <v>2.2000000000000002</v>
      </c>
      <c r="I105">
        <v>6.8</v>
      </c>
      <c r="J105">
        <f t="shared" si="5"/>
        <v>802.80000000000018</v>
      </c>
      <c r="M105">
        <v>15</v>
      </c>
      <c r="N105">
        <v>0</v>
      </c>
      <c r="O105" s="37">
        <f t="shared" si="2"/>
        <v>15</v>
      </c>
      <c r="P105">
        <f t="shared" si="8"/>
        <v>48.300000000000011</v>
      </c>
      <c r="Q105">
        <v>64</v>
      </c>
      <c r="R105" s="38">
        <f t="shared" si="9"/>
        <v>0.82537313432835813</v>
      </c>
      <c r="S105" s="38">
        <f t="shared" si="3"/>
        <v>0</v>
      </c>
      <c r="T105" s="38">
        <f t="shared" si="4"/>
        <v>15</v>
      </c>
      <c r="U105" s="38">
        <f t="shared" si="7"/>
        <v>66.532164179104484</v>
      </c>
      <c r="W105">
        <v>81.7</v>
      </c>
      <c r="Y105">
        <f t="shared" si="6"/>
        <v>52524.099999999977</v>
      </c>
      <c r="AA105" s="44">
        <v>8.9497853137582801</v>
      </c>
    </row>
    <row r="106" spans="1:27" x14ac:dyDescent="0.25">
      <c r="A106">
        <v>6440</v>
      </c>
      <c r="B106">
        <v>26330</v>
      </c>
      <c r="C106" s="1">
        <v>42684</v>
      </c>
      <c r="F106" s="61"/>
      <c r="G106">
        <v>7.1</v>
      </c>
      <c r="H106">
        <v>5.5</v>
      </c>
      <c r="I106">
        <v>9.4</v>
      </c>
      <c r="J106">
        <f t="shared" si="5"/>
        <v>809.9000000000002</v>
      </c>
      <c r="M106">
        <v>7.3</v>
      </c>
      <c r="N106">
        <v>0.6</v>
      </c>
      <c r="O106" s="37">
        <f t="shared" si="2"/>
        <v>6.7</v>
      </c>
      <c r="P106">
        <f t="shared" si="8"/>
        <v>55.000000000000014</v>
      </c>
      <c r="Q106">
        <v>65</v>
      </c>
      <c r="R106" s="38">
        <f t="shared" si="9"/>
        <v>0.83507462686567169</v>
      </c>
      <c r="S106" s="38">
        <f t="shared" si="3"/>
        <v>0.50104477611940301</v>
      </c>
      <c r="T106" s="38">
        <f t="shared" si="4"/>
        <v>6.798955223880597</v>
      </c>
      <c r="U106" s="38">
        <f t="shared" si="7"/>
        <v>73.331119402985081</v>
      </c>
      <c r="W106">
        <v>206.9</v>
      </c>
      <c r="Y106">
        <f t="shared" si="6"/>
        <v>52730.999999999978</v>
      </c>
      <c r="AA106" s="44">
        <v>8.8983979655440635</v>
      </c>
    </row>
    <row r="107" spans="1:27" x14ac:dyDescent="0.25">
      <c r="A107">
        <v>6440</v>
      </c>
      <c r="B107">
        <v>26330</v>
      </c>
      <c r="C107" s="1">
        <v>42685</v>
      </c>
      <c r="E107" s="44"/>
      <c r="F107" s="61"/>
      <c r="G107">
        <v>4</v>
      </c>
      <c r="H107">
        <v>2.4</v>
      </c>
      <c r="I107">
        <v>7.4</v>
      </c>
      <c r="J107">
        <f t="shared" si="5"/>
        <v>813.9000000000002</v>
      </c>
      <c r="M107">
        <v>0</v>
      </c>
      <c r="N107">
        <v>0.9</v>
      </c>
      <c r="O107" s="37">
        <f t="shared" ref="O107:O170" si="10">M107-N107</f>
        <v>-0.9</v>
      </c>
      <c r="P107">
        <f t="shared" si="8"/>
        <v>54.100000000000016</v>
      </c>
      <c r="Q107">
        <v>66</v>
      </c>
      <c r="R107" s="38">
        <f t="shared" si="9"/>
        <v>0.84477611940298503</v>
      </c>
      <c r="S107" s="38">
        <f t="shared" ref="S107:S170" si="11">R107*N107</f>
        <v>0.76029850746268657</v>
      </c>
      <c r="T107" s="38">
        <f t="shared" ref="T107:T170" si="12">M107-S107</f>
        <v>-0.76029850746268657</v>
      </c>
      <c r="U107" s="38">
        <f t="shared" si="7"/>
        <v>72.570820895522388</v>
      </c>
      <c r="W107">
        <v>798.2</v>
      </c>
      <c r="Y107">
        <f t="shared" si="6"/>
        <v>53529.199999999975</v>
      </c>
      <c r="AA107" s="44">
        <v>8.8477537974429534</v>
      </c>
    </row>
    <row r="108" spans="1:27" x14ac:dyDescent="0.25">
      <c r="A108">
        <v>6440</v>
      </c>
      <c r="B108">
        <v>26330</v>
      </c>
      <c r="C108" s="1">
        <v>42686</v>
      </c>
      <c r="E108" s="44"/>
      <c r="F108" s="61"/>
      <c r="G108">
        <v>2.6</v>
      </c>
      <c r="H108">
        <v>-1.3</v>
      </c>
      <c r="I108">
        <v>5.0999999999999996</v>
      </c>
      <c r="J108">
        <f t="shared" ref="J108:J171" si="13">J107+G108</f>
        <v>816.50000000000023</v>
      </c>
      <c r="M108">
        <v>2.7</v>
      </c>
      <c r="N108">
        <v>0.6</v>
      </c>
      <c r="O108" s="37">
        <f t="shared" si="10"/>
        <v>2.1</v>
      </c>
      <c r="P108">
        <f t="shared" si="8"/>
        <v>56.200000000000017</v>
      </c>
      <c r="Q108">
        <v>67</v>
      </c>
      <c r="R108" s="38">
        <f t="shared" si="9"/>
        <v>0.85447761194029848</v>
      </c>
      <c r="S108" s="38">
        <f t="shared" si="11"/>
        <v>0.51268656716417904</v>
      </c>
      <c r="T108" s="38">
        <f t="shared" si="12"/>
        <v>2.187313432835821</v>
      </c>
      <c r="U108" s="38">
        <f t="shared" si="7"/>
        <v>74.75813432835821</v>
      </c>
      <c r="W108">
        <v>581</v>
      </c>
      <c r="Y108">
        <f t="shared" ref="Y108:Y171" si="14">Y107+W108</f>
        <v>54110.199999999975</v>
      </c>
      <c r="AA108" s="44">
        <v>8.7978786436329113</v>
      </c>
    </row>
    <row r="109" spans="1:27" x14ac:dyDescent="0.25">
      <c r="A109">
        <v>6440</v>
      </c>
      <c r="B109">
        <v>26330</v>
      </c>
      <c r="C109" s="1">
        <v>42687</v>
      </c>
      <c r="F109" s="61"/>
      <c r="G109">
        <v>6.4</v>
      </c>
      <c r="H109">
        <v>4.5999999999999996</v>
      </c>
      <c r="I109">
        <v>7.8</v>
      </c>
      <c r="J109">
        <f t="shared" si="13"/>
        <v>822.9000000000002</v>
      </c>
      <c r="M109">
        <v>0.2</v>
      </c>
      <c r="N109">
        <v>0.2</v>
      </c>
      <c r="O109" s="37">
        <f t="shared" si="10"/>
        <v>0</v>
      </c>
      <c r="P109">
        <f t="shared" si="8"/>
        <v>56.200000000000017</v>
      </c>
      <c r="Q109">
        <v>68</v>
      </c>
      <c r="R109" s="38">
        <f t="shared" si="9"/>
        <v>0.86417910447761193</v>
      </c>
      <c r="S109" s="38">
        <f t="shared" si="11"/>
        <v>0.17283582089552241</v>
      </c>
      <c r="T109" s="38">
        <f t="shared" si="12"/>
        <v>2.7164179104477604E-2</v>
      </c>
      <c r="U109" s="38">
        <f t="shared" si="7"/>
        <v>74.785298507462684</v>
      </c>
      <c r="W109">
        <v>151</v>
      </c>
      <c r="Y109">
        <f t="shared" si="14"/>
        <v>54261.199999999975</v>
      </c>
      <c r="AA109" s="44">
        <v>8.7487987125604647</v>
      </c>
    </row>
    <row r="110" spans="1:27" x14ac:dyDescent="0.25">
      <c r="A110">
        <v>6440</v>
      </c>
      <c r="B110">
        <v>26330</v>
      </c>
      <c r="C110" s="1">
        <v>42688</v>
      </c>
      <c r="F110" s="61"/>
      <c r="G110">
        <v>6.9</v>
      </c>
      <c r="H110">
        <v>5.6</v>
      </c>
      <c r="I110">
        <v>9.9</v>
      </c>
      <c r="J110">
        <f t="shared" si="13"/>
        <v>829.80000000000018</v>
      </c>
      <c r="M110">
        <v>1.5</v>
      </c>
      <c r="N110">
        <v>0.5</v>
      </c>
      <c r="O110" s="37">
        <f t="shared" si="10"/>
        <v>1</v>
      </c>
      <c r="P110">
        <f t="shared" si="8"/>
        <v>57.200000000000017</v>
      </c>
      <c r="Q110">
        <v>69</v>
      </c>
      <c r="R110" s="38">
        <f t="shared" si="9"/>
        <v>0.87388059701492538</v>
      </c>
      <c r="S110" s="38">
        <f t="shared" si="11"/>
        <v>0.43694029850746269</v>
      </c>
      <c r="T110" s="38">
        <f t="shared" si="12"/>
        <v>1.0630597014925374</v>
      </c>
      <c r="U110" s="38">
        <f t="shared" si="7"/>
        <v>75.848358208955219</v>
      </c>
      <c r="W110">
        <v>83</v>
      </c>
      <c r="Y110">
        <f t="shared" si="14"/>
        <v>54344.199999999975</v>
      </c>
      <c r="AA110" s="44">
        <v>8.7005405593870435</v>
      </c>
    </row>
    <row r="111" spans="1:27" x14ac:dyDescent="0.25">
      <c r="A111">
        <v>6440</v>
      </c>
      <c r="B111">
        <v>26330</v>
      </c>
      <c r="C111" s="1">
        <v>42689</v>
      </c>
      <c r="F111" s="61"/>
      <c r="G111">
        <v>12.1</v>
      </c>
      <c r="H111">
        <v>7.6</v>
      </c>
      <c r="I111">
        <v>13.7</v>
      </c>
      <c r="J111">
        <f t="shared" si="13"/>
        <v>841.9000000000002</v>
      </c>
      <c r="M111">
        <v>3.7</v>
      </c>
      <c r="N111">
        <v>0.3</v>
      </c>
      <c r="O111" s="37">
        <f t="shared" si="10"/>
        <v>3.4000000000000004</v>
      </c>
      <c r="P111">
        <f t="shared" si="8"/>
        <v>60.600000000000016</v>
      </c>
      <c r="Q111">
        <v>70</v>
      </c>
      <c r="R111" s="38">
        <f t="shared" si="9"/>
        <v>0.88358208955223883</v>
      </c>
      <c r="S111" s="38">
        <f t="shared" si="11"/>
        <v>0.26507462686567163</v>
      </c>
      <c r="T111" s="38">
        <f t="shared" si="12"/>
        <v>3.4349253731343286</v>
      </c>
      <c r="U111" s="38">
        <f t="shared" si="7"/>
        <v>79.283283582089553</v>
      </c>
      <c r="W111">
        <v>164</v>
      </c>
      <c r="Y111">
        <f t="shared" si="14"/>
        <v>54508.199999999975</v>
      </c>
      <c r="AA111" s="44">
        <v>8.6531310557014525</v>
      </c>
    </row>
    <row r="112" spans="1:27" x14ac:dyDescent="0.25">
      <c r="A112">
        <v>6440</v>
      </c>
      <c r="B112">
        <v>26330</v>
      </c>
      <c r="C112" s="1">
        <v>42690</v>
      </c>
      <c r="F112" s="61"/>
      <c r="G112">
        <v>12.8</v>
      </c>
      <c r="H112">
        <v>12</v>
      </c>
      <c r="I112">
        <v>13.6</v>
      </c>
      <c r="J112">
        <f t="shared" si="13"/>
        <v>854.70000000000016</v>
      </c>
      <c r="M112">
        <v>4</v>
      </c>
      <c r="N112">
        <v>0.5</v>
      </c>
      <c r="O112" s="37">
        <f t="shared" si="10"/>
        <v>3.5</v>
      </c>
      <c r="P112">
        <f t="shared" si="8"/>
        <v>64.100000000000023</v>
      </c>
      <c r="Q112">
        <v>71</v>
      </c>
      <c r="R112" s="38">
        <f t="shared" si="9"/>
        <v>0.89328358208955216</v>
      </c>
      <c r="S112" s="38">
        <f t="shared" si="11"/>
        <v>0.44664179104477608</v>
      </c>
      <c r="T112" s="38">
        <f t="shared" si="12"/>
        <v>3.553358208955224</v>
      </c>
      <c r="U112" s="38">
        <f t="shared" si="7"/>
        <v>82.836641791044769</v>
      </c>
      <c r="W112">
        <v>134.19999999999999</v>
      </c>
      <c r="Y112">
        <f t="shared" si="14"/>
        <v>54642.399999999972</v>
      </c>
      <c r="AA112" s="44">
        <v>8.6065973564480753</v>
      </c>
    </row>
    <row r="113" spans="1:28" x14ac:dyDescent="0.25">
      <c r="A113">
        <v>6440</v>
      </c>
      <c r="B113">
        <v>26330</v>
      </c>
      <c r="C113" s="1">
        <v>42691</v>
      </c>
      <c r="F113" s="61"/>
      <c r="G113">
        <v>10.8</v>
      </c>
      <c r="H113">
        <v>9.6999999999999993</v>
      </c>
      <c r="I113">
        <v>11.8</v>
      </c>
      <c r="J113">
        <f t="shared" si="13"/>
        <v>865.50000000000011</v>
      </c>
      <c r="M113">
        <v>15.1</v>
      </c>
      <c r="N113">
        <v>0.9</v>
      </c>
      <c r="O113" s="37">
        <f t="shared" si="10"/>
        <v>14.2</v>
      </c>
      <c r="P113">
        <f t="shared" si="8"/>
        <v>78.300000000000026</v>
      </c>
      <c r="Q113">
        <v>72</v>
      </c>
      <c r="R113" s="38">
        <f t="shared" si="9"/>
        <v>0.90298507462686572</v>
      </c>
      <c r="S113" s="38">
        <f t="shared" si="11"/>
        <v>0.8126865671641792</v>
      </c>
      <c r="T113" s="38">
        <f t="shared" si="12"/>
        <v>14.28731343283582</v>
      </c>
      <c r="U113" s="38">
        <f t="shared" si="7"/>
        <v>97.123955223880586</v>
      </c>
      <c r="W113">
        <v>135.69999999999999</v>
      </c>
      <c r="Y113">
        <f t="shared" si="14"/>
        <v>54778.099999999969</v>
      </c>
      <c r="AA113" s="44">
        <v>8.5609668640327907</v>
      </c>
    </row>
    <row r="114" spans="1:28" x14ac:dyDescent="0.25">
      <c r="A114">
        <v>6440</v>
      </c>
      <c r="B114">
        <v>26330</v>
      </c>
      <c r="C114" s="1">
        <v>42692</v>
      </c>
      <c r="F114" s="61"/>
      <c r="G114">
        <v>6.9</v>
      </c>
      <c r="H114">
        <v>5.9</v>
      </c>
      <c r="I114">
        <v>8.1</v>
      </c>
      <c r="J114">
        <f t="shared" si="13"/>
        <v>872.40000000000009</v>
      </c>
      <c r="M114">
        <v>8.6999999999999993</v>
      </c>
      <c r="N114">
        <v>0.8</v>
      </c>
      <c r="O114" s="37">
        <f t="shared" si="10"/>
        <v>7.8999999999999995</v>
      </c>
      <c r="P114">
        <f t="shared" si="8"/>
        <v>86.200000000000031</v>
      </c>
      <c r="Q114">
        <v>73</v>
      </c>
      <c r="R114" s="38">
        <f t="shared" si="9"/>
        <v>0.91268656716417906</v>
      </c>
      <c r="S114" s="38">
        <f t="shared" si="11"/>
        <v>0.73014925373134332</v>
      </c>
      <c r="T114" s="38">
        <f t="shared" si="12"/>
        <v>7.9698507462686559</v>
      </c>
      <c r="U114" s="38">
        <f t="shared" si="7"/>
        <v>105.09380597014925</v>
      </c>
      <c r="W114">
        <v>115.1</v>
      </c>
      <c r="Y114">
        <f t="shared" si="14"/>
        <v>54893.199999999968</v>
      </c>
      <c r="AA114" s="44">
        <v>8.5162671895826296</v>
      </c>
    </row>
    <row r="115" spans="1:28" x14ac:dyDescent="0.25">
      <c r="A115">
        <v>6440</v>
      </c>
      <c r="B115">
        <v>26330</v>
      </c>
      <c r="C115" s="1">
        <v>42693</v>
      </c>
      <c r="F115" s="61"/>
      <c r="G115">
        <v>5.7</v>
      </c>
      <c r="H115">
        <v>4.5999999999999996</v>
      </c>
      <c r="I115">
        <v>8.6999999999999993</v>
      </c>
      <c r="J115">
        <f t="shared" si="13"/>
        <v>878.10000000000014</v>
      </c>
      <c r="M115">
        <v>1</v>
      </c>
      <c r="N115">
        <v>1.1000000000000001</v>
      </c>
      <c r="O115" s="37">
        <f t="shared" si="10"/>
        <v>-0.10000000000000009</v>
      </c>
      <c r="P115">
        <f t="shared" si="8"/>
        <v>86.100000000000037</v>
      </c>
      <c r="Q115">
        <v>74</v>
      </c>
      <c r="R115" s="38">
        <f t="shared" si="9"/>
        <v>0.92238805970149251</v>
      </c>
      <c r="S115" s="38">
        <f t="shared" si="11"/>
        <v>1.014626865671642</v>
      </c>
      <c r="T115" s="38">
        <f t="shared" si="12"/>
        <v>-1.4626865671641953E-2</v>
      </c>
      <c r="U115" s="38">
        <f t="shared" ref="U115:U178" si="15">MIN(T115+U114,153.6)</f>
        <v>105.0791791044776</v>
      </c>
      <c r="W115">
        <v>335.3</v>
      </c>
      <c r="Y115">
        <f t="shared" si="14"/>
        <v>55228.499999999971</v>
      </c>
      <c r="AA115" s="44">
        <v>8.4725261113510228</v>
      </c>
    </row>
    <row r="116" spans="1:28" x14ac:dyDescent="0.25">
      <c r="A116">
        <v>6440</v>
      </c>
      <c r="B116">
        <v>26330</v>
      </c>
      <c r="C116" s="1">
        <v>42694</v>
      </c>
      <c r="F116" s="61"/>
      <c r="G116">
        <v>9.9</v>
      </c>
      <c r="H116">
        <v>6.4</v>
      </c>
      <c r="I116">
        <v>12.6</v>
      </c>
      <c r="J116">
        <f t="shared" si="13"/>
        <v>888.00000000000011</v>
      </c>
      <c r="M116">
        <v>10.1</v>
      </c>
      <c r="N116">
        <v>1.3</v>
      </c>
      <c r="O116" s="37">
        <f t="shared" si="10"/>
        <v>8.7999999999999989</v>
      </c>
      <c r="P116">
        <f t="shared" ref="P116:P179" si="16">P115+O116</f>
        <v>94.900000000000034</v>
      </c>
      <c r="Q116">
        <v>75</v>
      </c>
      <c r="R116" s="38">
        <f t="shared" si="9"/>
        <v>0.93208955223880596</v>
      </c>
      <c r="S116" s="38">
        <f t="shared" si="11"/>
        <v>1.2117164179104478</v>
      </c>
      <c r="T116" s="38">
        <f t="shared" si="12"/>
        <v>8.8882835820895512</v>
      </c>
      <c r="U116" s="38">
        <f t="shared" si="15"/>
        <v>113.96746268656716</v>
      </c>
      <c r="W116">
        <v>260.10000000000002</v>
      </c>
      <c r="Y116">
        <f t="shared" si="14"/>
        <v>55488.599999999969</v>
      </c>
      <c r="AA116" s="44">
        <v>8.4297715302778098</v>
      </c>
    </row>
    <row r="117" spans="1:28" x14ac:dyDescent="0.25">
      <c r="A117">
        <v>6440</v>
      </c>
      <c r="B117">
        <v>26330</v>
      </c>
      <c r="C117" s="1">
        <v>42695</v>
      </c>
      <c r="F117" s="61"/>
      <c r="G117">
        <v>12.5</v>
      </c>
      <c r="H117">
        <v>9.6</v>
      </c>
      <c r="I117">
        <v>14.3</v>
      </c>
      <c r="J117">
        <f t="shared" si="13"/>
        <v>900.50000000000011</v>
      </c>
      <c r="M117">
        <v>0.4</v>
      </c>
      <c r="N117">
        <v>0.9</v>
      </c>
      <c r="O117" s="37">
        <f t="shared" si="10"/>
        <v>-0.5</v>
      </c>
      <c r="P117">
        <f t="shared" si="16"/>
        <v>94.400000000000034</v>
      </c>
      <c r="Q117">
        <v>76</v>
      </c>
      <c r="R117" s="38">
        <f t="shared" si="9"/>
        <v>0.94179104477611941</v>
      </c>
      <c r="S117" s="38">
        <f t="shared" si="11"/>
        <v>0.8476119402985075</v>
      </c>
      <c r="T117" s="38">
        <f t="shared" si="12"/>
        <v>-0.44761194029850748</v>
      </c>
      <c r="U117" s="38">
        <f t="shared" si="15"/>
        <v>113.51985074626866</v>
      </c>
      <c r="W117">
        <v>174.7</v>
      </c>
      <c r="Y117">
        <f t="shared" si="14"/>
        <v>55663.299999999967</v>
      </c>
      <c r="AA117" s="44">
        <v>8.3880314227321318</v>
      </c>
    </row>
    <row r="118" spans="1:28" x14ac:dyDescent="0.25">
      <c r="A118">
        <v>6440</v>
      </c>
      <c r="B118">
        <v>26330</v>
      </c>
      <c r="C118" s="1">
        <v>42696</v>
      </c>
      <c r="F118" s="61"/>
      <c r="G118">
        <v>9.8000000000000007</v>
      </c>
      <c r="H118">
        <v>8.1999999999999993</v>
      </c>
      <c r="I118">
        <v>11.7</v>
      </c>
      <c r="J118">
        <f t="shared" si="13"/>
        <v>910.30000000000007</v>
      </c>
      <c r="M118">
        <v>2.2999999999999998</v>
      </c>
      <c r="N118">
        <v>1.1000000000000001</v>
      </c>
      <c r="O118" s="37">
        <f t="shared" si="10"/>
        <v>1.1999999999999997</v>
      </c>
      <c r="P118">
        <f t="shared" si="16"/>
        <v>95.600000000000037</v>
      </c>
      <c r="Q118">
        <v>77</v>
      </c>
      <c r="R118" s="38">
        <f t="shared" si="9"/>
        <v>0.95149253731343286</v>
      </c>
      <c r="S118" s="38">
        <f t="shared" si="11"/>
        <v>1.0466417910447763</v>
      </c>
      <c r="T118" s="38">
        <f t="shared" si="12"/>
        <v>1.2533582089552235</v>
      </c>
      <c r="U118" s="38">
        <f t="shared" si="15"/>
        <v>114.77320895522388</v>
      </c>
      <c r="W118">
        <v>507.8</v>
      </c>
      <c r="Y118">
        <f t="shared" si="14"/>
        <v>56171.099999999969</v>
      </c>
      <c r="AA118" s="44">
        <v>8.3473337904871094</v>
      </c>
    </row>
    <row r="119" spans="1:28" x14ac:dyDescent="0.25">
      <c r="A119">
        <v>6440</v>
      </c>
      <c r="B119">
        <v>26330</v>
      </c>
      <c r="C119" s="1">
        <v>42697</v>
      </c>
      <c r="F119" s="61"/>
      <c r="G119">
        <v>9.3000000000000007</v>
      </c>
      <c r="H119">
        <v>6.8</v>
      </c>
      <c r="I119">
        <v>10.7</v>
      </c>
      <c r="J119">
        <f t="shared" si="13"/>
        <v>919.6</v>
      </c>
      <c r="M119">
        <v>2.9</v>
      </c>
      <c r="N119">
        <v>0.1</v>
      </c>
      <c r="O119" s="37">
        <f t="shared" si="10"/>
        <v>2.8</v>
      </c>
      <c r="P119">
        <f t="shared" si="16"/>
        <v>98.400000000000034</v>
      </c>
      <c r="Q119">
        <v>78</v>
      </c>
      <c r="R119" s="38">
        <f t="shared" si="9"/>
        <v>0.96119402985074631</v>
      </c>
      <c r="S119" s="38">
        <f t="shared" si="11"/>
        <v>9.611940298507464E-2</v>
      </c>
      <c r="T119" s="38">
        <f t="shared" si="12"/>
        <v>2.8038805970149254</v>
      </c>
      <c r="U119" s="38">
        <f t="shared" si="15"/>
        <v>117.5770895522388</v>
      </c>
      <c r="W119">
        <v>140</v>
      </c>
      <c r="Y119">
        <f t="shared" si="14"/>
        <v>56311.099999999969</v>
      </c>
      <c r="AA119" s="44">
        <v>8.3077066079971047</v>
      </c>
    </row>
    <row r="120" spans="1:28" x14ac:dyDescent="0.25">
      <c r="A120">
        <v>6440</v>
      </c>
      <c r="B120">
        <v>26330</v>
      </c>
      <c r="C120" s="1">
        <v>42698</v>
      </c>
      <c r="F120" s="61"/>
      <c r="G120">
        <v>9.3000000000000007</v>
      </c>
      <c r="H120">
        <v>8.5</v>
      </c>
      <c r="I120">
        <v>11.7</v>
      </c>
      <c r="J120">
        <f t="shared" si="13"/>
        <v>928.9</v>
      </c>
      <c r="M120">
        <v>0</v>
      </c>
      <c r="N120">
        <v>1.2</v>
      </c>
      <c r="O120" s="37">
        <f t="shared" si="10"/>
        <v>-1.2</v>
      </c>
      <c r="P120">
        <f t="shared" si="16"/>
        <v>97.200000000000031</v>
      </c>
      <c r="Q120">
        <v>79</v>
      </c>
      <c r="R120" s="38">
        <f t="shared" si="9"/>
        <v>0.97089552238805965</v>
      </c>
      <c r="S120" s="38">
        <f t="shared" si="11"/>
        <v>1.1650746268656715</v>
      </c>
      <c r="T120" s="38">
        <f t="shared" si="12"/>
        <v>-1.1650746268656715</v>
      </c>
      <c r="U120" s="38">
        <f t="shared" si="15"/>
        <v>116.41201492537313</v>
      </c>
      <c r="W120">
        <v>533</v>
      </c>
      <c r="Y120">
        <f t="shared" si="14"/>
        <v>56844.099999999969</v>
      </c>
      <c r="AA120" s="44">
        <v>8.2691777670720636</v>
      </c>
    </row>
    <row r="121" spans="1:28" x14ac:dyDescent="0.25">
      <c r="A121">
        <v>6440</v>
      </c>
      <c r="B121">
        <v>26330</v>
      </c>
      <c r="C121" s="1">
        <v>42699</v>
      </c>
      <c r="F121" s="61"/>
      <c r="G121">
        <v>6.3</v>
      </c>
      <c r="H121">
        <v>5</v>
      </c>
      <c r="I121">
        <v>8.4</v>
      </c>
      <c r="J121">
        <f t="shared" si="13"/>
        <v>935.19999999999993</v>
      </c>
      <c r="M121">
        <v>0</v>
      </c>
      <c r="N121">
        <v>1</v>
      </c>
      <c r="O121" s="37">
        <f t="shared" si="10"/>
        <v>-1</v>
      </c>
      <c r="P121">
        <f t="shared" si="16"/>
        <v>96.200000000000031</v>
      </c>
      <c r="Q121">
        <v>80</v>
      </c>
      <c r="R121" s="38">
        <f t="shared" si="9"/>
        <v>0.9805970149253731</v>
      </c>
      <c r="S121" s="38">
        <f t="shared" si="11"/>
        <v>0.9805970149253731</v>
      </c>
      <c r="T121" s="38">
        <f t="shared" si="12"/>
        <v>-0.9805970149253731</v>
      </c>
      <c r="U121" s="38">
        <f t="shared" si="15"/>
        <v>115.43141791044775</v>
      </c>
      <c r="W121">
        <v>670.9</v>
      </c>
      <c r="Y121">
        <f t="shared" si="14"/>
        <v>57514.999999999971</v>
      </c>
      <c r="AA121" s="44">
        <v>8.2317750190681327</v>
      </c>
    </row>
    <row r="122" spans="1:28" x14ac:dyDescent="0.25">
      <c r="A122">
        <v>6440</v>
      </c>
      <c r="B122">
        <v>26330</v>
      </c>
      <c r="C122" s="1">
        <v>42700</v>
      </c>
      <c r="F122" s="61"/>
      <c r="G122">
        <v>6.1</v>
      </c>
      <c r="H122">
        <v>5.2</v>
      </c>
      <c r="I122">
        <v>7.3</v>
      </c>
      <c r="J122">
        <f t="shared" si="13"/>
        <v>941.3</v>
      </c>
      <c r="M122">
        <v>0</v>
      </c>
      <c r="N122">
        <v>0.5</v>
      </c>
      <c r="O122" s="37">
        <f t="shared" si="10"/>
        <v>-0.5</v>
      </c>
      <c r="P122">
        <f t="shared" si="16"/>
        <v>95.700000000000031</v>
      </c>
      <c r="Q122">
        <v>81</v>
      </c>
      <c r="R122" s="38">
        <f t="shared" ref="R122:R123" si="17">0.35+((Q122-15)/67)*(1-0.35)</f>
        <v>0.99029850746268655</v>
      </c>
      <c r="S122" s="38">
        <f t="shared" si="11"/>
        <v>0.49514925373134328</v>
      </c>
      <c r="T122" s="38">
        <f t="shared" si="12"/>
        <v>-0.49514925373134328</v>
      </c>
      <c r="U122" s="38">
        <f t="shared" si="15"/>
        <v>114.93626865671641</v>
      </c>
      <c r="W122">
        <v>132.80000000000001</v>
      </c>
      <c r="Y122">
        <f t="shared" si="14"/>
        <v>57647.799999999974</v>
      </c>
      <c r="AA122" s="44">
        <v>8.1955259147395338</v>
      </c>
    </row>
    <row r="123" spans="1:28" s="13" customFormat="1" ht="15.75" thickBot="1" x14ac:dyDescent="0.3">
      <c r="A123" s="13">
        <v>6440</v>
      </c>
      <c r="B123" s="13">
        <v>26330</v>
      </c>
      <c r="C123" s="14">
        <v>42701</v>
      </c>
      <c r="F123" s="62"/>
      <c r="G123" s="13">
        <v>5.3</v>
      </c>
      <c r="H123" s="13">
        <v>3</v>
      </c>
      <c r="I123" s="13">
        <v>9</v>
      </c>
      <c r="J123" s="13">
        <f t="shared" si="13"/>
        <v>946.59999999999991</v>
      </c>
      <c r="L123" s="26"/>
      <c r="M123" s="13">
        <v>0</v>
      </c>
      <c r="N123" s="13">
        <v>0.5</v>
      </c>
      <c r="O123" s="19">
        <f t="shared" si="10"/>
        <v>-0.5</v>
      </c>
      <c r="P123" s="17">
        <f t="shared" si="16"/>
        <v>95.200000000000031</v>
      </c>
      <c r="Q123" s="17">
        <v>82</v>
      </c>
      <c r="R123" s="43">
        <f t="shared" si="17"/>
        <v>1</v>
      </c>
      <c r="S123" s="43">
        <f t="shared" si="11"/>
        <v>0.5</v>
      </c>
      <c r="T123" s="43">
        <f t="shared" si="12"/>
        <v>-0.5</v>
      </c>
      <c r="U123" s="38">
        <f t="shared" si="15"/>
        <v>114.43626865671641</v>
      </c>
      <c r="W123" s="13">
        <v>204.4</v>
      </c>
      <c r="Y123" s="13">
        <f t="shared" si="14"/>
        <v>57852.199999999975</v>
      </c>
      <c r="AA123" s="45">
        <v>8.1604577419234996</v>
      </c>
    </row>
    <row r="124" spans="1:28" x14ac:dyDescent="0.25">
      <c r="A124">
        <v>6440</v>
      </c>
      <c r="B124">
        <v>26330</v>
      </c>
      <c r="C124" s="1">
        <v>42702</v>
      </c>
      <c r="D124" t="s">
        <v>19</v>
      </c>
      <c r="E124" s="44">
        <v>1</v>
      </c>
      <c r="F124" s="63" t="s">
        <v>23</v>
      </c>
      <c r="G124">
        <v>2.7</v>
      </c>
      <c r="H124">
        <v>2</v>
      </c>
      <c r="I124">
        <v>5.2</v>
      </c>
      <c r="J124">
        <f t="shared" si="13"/>
        <v>949.3</v>
      </c>
      <c r="K124">
        <f>G124</f>
        <v>2.7</v>
      </c>
      <c r="L124" s="27" t="s">
        <v>29</v>
      </c>
      <c r="M124">
        <v>0</v>
      </c>
      <c r="N124">
        <v>1</v>
      </c>
      <c r="O124" s="37">
        <f t="shared" si="10"/>
        <v>-1</v>
      </c>
      <c r="P124">
        <f t="shared" si="16"/>
        <v>94.200000000000031</v>
      </c>
      <c r="Q124">
        <v>83</v>
      </c>
      <c r="R124">
        <v>1</v>
      </c>
      <c r="S124">
        <f t="shared" si="11"/>
        <v>1</v>
      </c>
      <c r="T124">
        <f t="shared" si="12"/>
        <v>-1</v>
      </c>
      <c r="U124" s="38">
        <f t="shared" si="15"/>
        <v>113.43626865671641</v>
      </c>
      <c r="V124" s="12" t="s">
        <v>51</v>
      </c>
      <c r="W124">
        <v>602.29999999999995</v>
      </c>
      <c r="Y124">
        <f t="shared" si="14"/>
        <v>58454.499999999978</v>
      </c>
      <c r="Z124">
        <f>W124</f>
        <v>602.29999999999995</v>
      </c>
      <c r="AA124" s="44">
        <v>8.1265974612571998</v>
      </c>
      <c r="AB124" s="12" t="s">
        <v>56</v>
      </c>
    </row>
    <row r="125" spans="1:28" x14ac:dyDescent="0.25">
      <c r="A125">
        <v>6440</v>
      </c>
      <c r="B125">
        <v>26330</v>
      </c>
      <c r="C125" s="1">
        <v>42703</v>
      </c>
      <c r="E125" s="44">
        <v>2</v>
      </c>
      <c r="F125" s="64"/>
      <c r="G125">
        <v>-0.3</v>
      </c>
      <c r="H125">
        <v>-2.2000000000000002</v>
      </c>
      <c r="I125">
        <v>2.2999999999999998</v>
      </c>
      <c r="J125">
        <v>949.3</v>
      </c>
      <c r="K125">
        <v>2.7</v>
      </c>
      <c r="L125" s="22">
        <v>277.89999999999998</v>
      </c>
      <c r="M125">
        <v>0</v>
      </c>
      <c r="N125">
        <v>0.7</v>
      </c>
      <c r="O125" s="37">
        <f t="shared" si="10"/>
        <v>-0.7</v>
      </c>
      <c r="P125">
        <f t="shared" si="16"/>
        <v>93.500000000000028</v>
      </c>
      <c r="Q125">
        <v>84</v>
      </c>
      <c r="R125">
        <v>1</v>
      </c>
      <c r="S125">
        <f t="shared" si="11"/>
        <v>0.7</v>
      </c>
      <c r="T125">
        <f t="shared" si="12"/>
        <v>-0.7</v>
      </c>
      <c r="U125" s="38">
        <f t="shared" si="15"/>
        <v>112.7362686567164</v>
      </c>
      <c r="V125">
        <v>0</v>
      </c>
      <c r="W125">
        <v>658</v>
      </c>
      <c r="Y125">
        <f t="shared" si="14"/>
        <v>59112.499999999978</v>
      </c>
      <c r="Z125">
        <f>Z124+W125</f>
        <v>1260.3</v>
      </c>
      <c r="AA125" s="44">
        <v>8.0939716401532422</v>
      </c>
      <c r="AB125">
        <v>26464.1</v>
      </c>
    </row>
    <row r="126" spans="1:28" x14ac:dyDescent="0.25">
      <c r="A126">
        <v>6440</v>
      </c>
      <c r="B126">
        <v>26330</v>
      </c>
      <c r="C126" s="1">
        <v>42704</v>
      </c>
      <c r="E126" s="44">
        <v>3</v>
      </c>
      <c r="F126" s="64"/>
      <c r="G126">
        <v>-0.6</v>
      </c>
      <c r="H126">
        <v>-5.3</v>
      </c>
      <c r="I126">
        <v>4.3</v>
      </c>
      <c r="J126">
        <v>949.3</v>
      </c>
      <c r="K126">
        <v>2.7</v>
      </c>
      <c r="L126" s="27" t="s">
        <v>30</v>
      </c>
      <c r="M126">
        <v>0</v>
      </c>
      <c r="N126">
        <v>0.4</v>
      </c>
      <c r="O126" s="37">
        <f t="shared" si="10"/>
        <v>-0.4</v>
      </c>
      <c r="P126">
        <f t="shared" si="16"/>
        <v>93.100000000000023</v>
      </c>
      <c r="Q126">
        <v>85</v>
      </c>
      <c r="R126">
        <v>1</v>
      </c>
      <c r="S126">
        <f t="shared" si="11"/>
        <v>0.4</v>
      </c>
      <c r="T126">
        <f t="shared" si="12"/>
        <v>-0.4</v>
      </c>
      <c r="U126" s="38">
        <f t="shared" si="15"/>
        <v>112.3362686567164</v>
      </c>
      <c r="V126" s="12" t="s">
        <v>52</v>
      </c>
      <c r="W126">
        <v>647.70000000000005</v>
      </c>
      <c r="Y126">
        <f t="shared" si="14"/>
        <v>59760.199999999975</v>
      </c>
      <c r="Z126">
        <f t="shared" ref="Z126:Z189" si="18">Z125+W126</f>
        <v>1908</v>
      </c>
      <c r="AA126" s="44">
        <v>8.0626063852877632</v>
      </c>
      <c r="AB126" s="12" t="s">
        <v>57</v>
      </c>
    </row>
    <row r="127" spans="1:28" x14ac:dyDescent="0.25">
      <c r="A127">
        <v>6440</v>
      </c>
      <c r="B127">
        <v>26330</v>
      </c>
      <c r="C127" s="1">
        <v>42705</v>
      </c>
      <c r="E127" s="44">
        <v>4</v>
      </c>
      <c r="F127" s="64"/>
      <c r="G127">
        <v>3.5</v>
      </c>
      <c r="H127">
        <v>-1.2</v>
      </c>
      <c r="I127">
        <v>7.9</v>
      </c>
      <c r="J127">
        <f t="shared" si="13"/>
        <v>952.8</v>
      </c>
      <c r="K127">
        <f t="shared" ref="K127:K190" si="19">K126+G127</f>
        <v>6.2</v>
      </c>
      <c r="L127" s="22">
        <f>AVERAGE(G124:G200)</f>
        <v>3.2857142857142847</v>
      </c>
      <c r="M127">
        <v>0.1</v>
      </c>
      <c r="N127">
        <v>0.6</v>
      </c>
      <c r="O127" s="37">
        <f t="shared" si="10"/>
        <v>-0.5</v>
      </c>
      <c r="P127">
        <f t="shared" si="16"/>
        <v>92.600000000000023</v>
      </c>
      <c r="Q127">
        <v>86</v>
      </c>
      <c r="R127">
        <v>1</v>
      </c>
      <c r="S127">
        <f t="shared" si="11"/>
        <v>0.6</v>
      </c>
      <c r="T127">
        <f t="shared" si="12"/>
        <v>-0.5</v>
      </c>
      <c r="U127" s="38">
        <f t="shared" si="15"/>
        <v>111.8362686567164</v>
      </c>
      <c r="V127">
        <v>0</v>
      </c>
      <c r="W127">
        <v>611.5</v>
      </c>
      <c r="Y127">
        <f t="shared" si="14"/>
        <v>60371.699999999975</v>
      </c>
      <c r="Z127">
        <f t="shared" si="18"/>
        <v>2519.5</v>
      </c>
      <c r="AA127" s="44">
        <v>8.0325272738822058</v>
      </c>
      <c r="AB127">
        <f>(AB125/100)/L125</f>
        <v>0.95228859301907154</v>
      </c>
    </row>
    <row r="128" spans="1:28" x14ac:dyDescent="0.25">
      <c r="A128">
        <v>6440</v>
      </c>
      <c r="B128">
        <v>26330</v>
      </c>
      <c r="C128" s="1">
        <v>42706</v>
      </c>
      <c r="F128" s="64"/>
      <c r="G128">
        <v>6.2</v>
      </c>
      <c r="H128">
        <v>4.2</v>
      </c>
      <c r="I128">
        <v>8</v>
      </c>
      <c r="J128">
        <f t="shared" si="13"/>
        <v>959</v>
      </c>
      <c r="K128">
        <f t="shared" si="19"/>
        <v>12.4</v>
      </c>
      <c r="L128" s="27" t="s">
        <v>31</v>
      </c>
      <c r="M128">
        <v>0.2</v>
      </c>
      <c r="N128">
        <v>0.2</v>
      </c>
      <c r="O128" s="37">
        <f t="shared" si="10"/>
        <v>0</v>
      </c>
      <c r="P128">
        <f t="shared" si="16"/>
        <v>92.600000000000023</v>
      </c>
      <c r="Q128">
        <v>87</v>
      </c>
      <c r="R128">
        <v>1</v>
      </c>
      <c r="S128">
        <f t="shared" si="11"/>
        <v>0.2</v>
      </c>
      <c r="T128">
        <f t="shared" si="12"/>
        <v>0</v>
      </c>
      <c r="U128" s="38">
        <f t="shared" si="15"/>
        <v>111.8362686567164</v>
      </c>
      <c r="V128" s="12" t="s">
        <v>53</v>
      </c>
      <c r="W128">
        <v>124.3</v>
      </c>
      <c r="Y128">
        <f t="shared" si="14"/>
        <v>60495.999999999978</v>
      </c>
      <c r="Z128">
        <f t="shared" si="18"/>
        <v>2643.8</v>
      </c>
      <c r="AA128" s="44">
        <v>8.0037592840860761</v>
      </c>
      <c r="AB128" s="12" t="s">
        <v>58</v>
      </c>
    </row>
    <row r="129" spans="1:28" x14ac:dyDescent="0.25">
      <c r="A129">
        <v>6440</v>
      </c>
      <c r="B129">
        <v>26330</v>
      </c>
      <c r="C129" s="1">
        <v>42707</v>
      </c>
      <c r="E129" s="44">
        <v>5</v>
      </c>
      <c r="F129" s="64"/>
      <c r="G129">
        <v>2.2999999999999998</v>
      </c>
      <c r="H129">
        <v>1.5</v>
      </c>
      <c r="I129">
        <v>3.3</v>
      </c>
      <c r="J129">
        <f t="shared" si="13"/>
        <v>961.3</v>
      </c>
      <c r="K129">
        <f t="shared" si="19"/>
        <v>14.7</v>
      </c>
      <c r="L129" s="25">
        <f>MIN(H124:H200)</f>
        <v>-5.7</v>
      </c>
      <c r="M129">
        <v>0</v>
      </c>
      <c r="N129">
        <v>0.2</v>
      </c>
      <c r="O129" s="37">
        <f t="shared" si="10"/>
        <v>-0.2</v>
      </c>
      <c r="P129">
        <f t="shared" si="16"/>
        <v>92.40000000000002</v>
      </c>
      <c r="Q129">
        <v>88</v>
      </c>
      <c r="R129">
        <v>1</v>
      </c>
      <c r="S129">
        <f t="shared" si="11"/>
        <v>0.2</v>
      </c>
      <c r="T129">
        <f t="shared" si="12"/>
        <v>-0.2</v>
      </c>
      <c r="U129" s="38">
        <f t="shared" si="15"/>
        <v>111.6362686567164</v>
      </c>
      <c r="V129" s="38">
        <f>MIN(U124:U200)</f>
        <v>107.8362686567164</v>
      </c>
      <c r="W129">
        <v>595.4</v>
      </c>
      <c r="Y129">
        <f t="shared" si="14"/>
        <v>61091.39999999998</v>
      </c>
      <c r="Z129">
        <f t="shared" si="18"/>
        <v>3239.2000000000003</v>
      </c>
      <c r="AA129" s="44">
        <v>7.9763267247929264</v>
      </c>
      <c r="AB129">
        <v>77</v>
      </c>
    </row>
    <row r="130" spans="1:28" x14ac:dyDescent="0.25">
      <c r="A130">
        <v>6440</v>
      </c>
      <c r="B130">
        <v>26330</v>
      </c>
      <c r="C130" s="1">
        <v>42708</v>
      </c>
      <c r="E130" s="44">
        <v>6</v>
      </c>
      <c r="F130" s="64"/>
      <c r="G130">
        <v>1.3</v>
      </c>
      <c r="H130">
        <v>-0.9</v>
      </c>
      <c r="I130">
        <v>4.2</v>
      </c>
      <c r="J130">
        <f t="shared" si="13"/>
        <v>962.59999999999991</v>
      </c>
      <c r="K130">
        <f t="shared" si="19"/>
        <v>16</v>
      </c>
      <c r="L130" s="27" t="s">
        <v>32</v>
      </c>
      <c r="M130">
        <v>0</v>
      </c>
      <c r="N130">
        <v>0.8</v>
      </c>
      <c r="O130" s="37">
        <f t="shared" si="10"/>
        <v>-0.8</v>
      </c>
      <c r="P130">
        <f t="shared" si="16"/>
        <v>91.600000000000023</v>
      </c>
      <c r="Q130">
        <v>89</v>
      </c>
      <c r="R130">
        <v>1</v>
      </c>
      <c r="S130">
        <f t="shared" si="11"/>
        <v>0.8</v>
      </c>
      <c r="T130">
        <f t="shared" si="12"/>
        <v>-0.8</v>
      </c>
      <c r="U130" s="38">
        <f t="shared" si="15"/>
        <v>110.8362686567164</v>
      </c>
      <c r="V130" s="12" t="s">
        <v>54</v>
      </c>
      <c r="W130">
        <v>624.70000000000005</v>
      </c>
      <c r="Y130">
        <f t="shared" si="14"/>
        <v>61716.099999999977</v>
      </c>
      <c r="Z130">
        <f t="shared" si="18"/>
        <v>3863.9000000000005</v>
      </c>
      <c r="AA130" s="44">
        <v>7.9502531652450337</v>
      </c>
      <c r="AB130" t="s">
        <v>61</v>
      </c>
    </row>
    <row r="131" spans="1:28" x14ac:dyDescent="0.25">
      <c r="A131">
        <v>6440</v>
      </c>
      <c r="B131">
        <v>26330</v>
      </c>
      <c r="C131" s="1">
        <v>42709</v>
      </c>
      <c r="E131" s="44">
        <v>7</v>
      </c>
      <c r="F131" s="64"/>
      <c r="G131">
        <v>1.7</v>
      </c>
      <c r="H131">
        <v>-1.7</v>
      </c>
      <c r="I131">
        <v>4.3</v>
      </c>
      <c r="J131">
        <f t="shared" si="13"/>
        <v>964.3</v>
      </c>
      <c r="K131">
        <f t="shared" si="19"/>
        <v>17.7</v>
      </c>
      <c r="L131" s="22">
        <f>MAX(I124:I200)</f>
        <v>12.2</v>
      </c>
      <c r="M131">
        <v>0</v>
      </c>
      <c r="N131">
        <v>0.3</v>
      </c>
      <c r="O131" s="37">
        <f t="shared" si="10"/>
        <v>-0.3</v>
      </c>
      <c r="P131">
        <f t="shared" si="16"/>
        <v>91.300000000000026</v>
      </c>
      <c r="Q131">
        <v>90</v>
      </c>
      <c r="R131">
        <v>1</v>
      </c>
      <c r="S131">
        <f t="shared" si="11"/>
        <v>0.3</v>
      </c>
      <c r="T131">
        <f t="shared" si="12"/>
        <v>-0.3</v>
      </c>
      <c r="U131" s="38">
        <f t="shared" si="15"/>
        <v>110.5362686567164</v>
      </c>
      <c r="V131" s="38">
        <f>MAX(U124:U200)</f>
        <v>153.6</v>
      </c>
      <c r="W131">
        <v>588</v>
      </c>
      <c r="Y131">
        <f t="shared" si="14"/>
        <v>62304.099999999977</v>
      </c>
      <c r="Z131">
        <f t="shared" si="18"/>
        <v>4451.9000000000005</v>
      </c>
      <c r="AA131" s="44">
        <v>7.9255613648033085</v>
      </c>
      <c r="AB131">
        <v>42</v>
      </c>
    </row>
    <row r="132" spans="1:28" x14ac:dyDescent="0.25">
      <c r="A132">
        <v>6440</v>
      </c>
      <c r="B132">
        <v>26330</v>
      </c>
      <c r="C132" s="1">
        <v>42710</v>
      </c>
      <c r="E132" s="44">
        <v>8</v>
      </c>
      <c r="F132" s="64"/>
      <c r="G132">
        <v>3.1</v>
      </c>
      <c r="H132">
        <v>0.1</v>
      </c>
      <c r="I132">
        <v>6.1</v>
      </c>
      <c r="J132">
        <f t="shared" si="13"/>
        <v>967.4</v>
      </c>
      <c r="K132">
        <f t="shared" si="19"/>
        <v>20.8</v>
      </c>
      <c r="L132" s="27" t="s">
        <v>33</v>
      </c>
      <c r="M132">
        <v>0</v>
      </c>
      <c r="N132">
        <v>0.5</v>
      </c>
      <c r="O132" s="37">
        <f t="shared" si="10"/>
        <v>-0.5</v>
      </c>
      <c r="P132">
        <f t="shared" si="16"/>
        <v>90.800000000000026</v>
      </c>
      <c r="Q132">
        <v>91</v>
      </c>
      <c r="R132">
        <v>1</v>
      </c>
      <c r="S132">
        <f t="shared" si="11"/>
        <v>0.5</v>
      </c>
      <c r="T132">
        <f t="shared" si="12"/>
        <v>-0.5</v>
      </c>
      <c r="U132" s="38">
        <f t="shared" si="15"/>
        <v>110.0362686567164</v>
      </c>
      <c r="V132" s="12" t="s">
        <v>55</v>
      </c>
      <c r="W132">
        <v>611.6</v>
      </c>
      <c r="Y132">
        <f t="shared" si="14"/>
        <v>62915.699999999975</v>
      </c>
      <c r="Z132">
        <f t="shared" si="18"/>
        <v>5063.5000000000009</v>
      </c>
      <c r="AA132" s="44">
        <v>7.9022732032773471</v>
      </c>
    </row>
    <row r="133" spans="1:28" x14ac:dyDescent="0.25">
      <c r="A133">
        <v>6440</v>
      </c>
      <c r="B133">
        <v>26330</v>
      </c>
      <c r="C133" s="1">
        <v>42711</v>
      </c>
      <c r="F133" s="64"/>
      <c r="G133">
        <v>5.5</v>
      </c>
      <c r="H133">
        <v>2.2000000000000002</v>
      </c>
      <c r="I133">
        <v>8.6999999999999993</v>
      </c>
      <c r="J133">
        <f t="shared" si="13"/>
        <v>972.9</v>
      </c>
      <c r="K133">
        <f t="shared" si="19"/>
        <v>26.3</v>
      </c>
      <c r="L133" s="22">
        <v>0</v>
      </c>
      <c r="M133">
        <v>0</v>
      </c>
      <c r="N133">
        <v>0.7</v>
      </c>
      <c r="O133" s="37">
        <f t="shared" si="10"/>
        <v>-0.7</v>
      </c>
      <c r="P133">
        <f t="shared" si="16"/>
        <v>90.100000000000023</v>
      </c>
      <c r="Q133">
        <v>92</v>
      </c>
      <c r="R133">
        <v>1</v>
      </c>
      <c r="S133">
        <f t="shared" si="11"/>
        <v>0.7</v>
      </c>
      <c r="T133">
        <f t="shared" si="12"/>
        <v>-0.7</v>
      </c>
      <c r="U133" s="38">
        <f t="shared" si="15"/>
        <v>109.3362686567164</v>
      </c>
      <c r="V133" s="38">
        <f>AVERAGE(U124:U200)</f>
        <v>131.07642760224849</v>
      </c>
      <c r="W133">
        <v>564.79999999999995</v>
      </c>
      <c r="Y133">
        <f t="shared" si="14"/>
        <v>63480.499999999978</v>
      </c>
      <c r="Z133">
        <f t="shared" si="18"/>
        <v>5628.3000000000011</v>
      </c>
      <c r="AA133" s="44">
        <v>7.8804096122258587</v>
      </c>
    </row>
    <row r="134" spans="1:28" x14ac:dyDescent="0.25">
      <c r="A134">
        <v>6440</v>
      </c>
      <c r="B134">
        <v>26330</v>
      </c>
      <c r="C134" s="1">
        <v>42712</v>
      </c>
      <c r="F134" s="64"/>
      <c r="G134">
        <v>6.4</v>
      </c>
      <c r="H134">
        <v>2.8</v>
      </c>
      <c r="I134">
        <v>8.1999999999999993</v>
      </c>
      <c r="J134">
        <f t="shared" si="13"/>
        <v>979.3</v>
      </c>
      <c r="K134">
        <f t="shared" si="19"/>
        <v>32.700000000000003</v>
      </c>
      <c r="L134" s="27" t="s">
        <v>34</v>
      </c>
      <c r="M134">
        <v>0</v>
      </c>
      <c r="N134">
        <v>0.6</v>
      </c>
      <c r="O134" s="37">
        <f t="shared" si="10"/>
        <v>-0.6</v>
      </c>
      <c r="P134">
        <f t="shared" si="16"/>
        <v>89.500000000000028</v>
      </c>
      <c r="Q134">
        <v>93</v>
      </c>
      <c r="R134">
        <v>1</v>
      </c>
      <c r="S134">
        <f t="shared" si="11"/>
        <v>0.6</v>
      </c>
      <c r="T134">
        <f t="shared" si="12"/>
        <v>-0.6</v>
      </c>
      <c r="U134" s="38">
        <f t="shared" si="15"/>
        <v>108.7362686567164</v>
      </c>
      <c r="W134">
        <v>171.6</v>
      </c>
      <c r="Y134">
        <f t="shared" si="14"/>
        <v>63652.099999999977</v>
      </c>
      <c r="Z134">
        <f t="shared" si="18"/>
        <v>5799.9000000000015</v>
      </c>
      <c r="AA134" s="44">
        <v>7.8599905076495613</v>
      </c>
    </row>
    <row r="135" spans="1:28" x14ac:dyDescent="0.25">
      <c r="A135">
        <v>6440</v>
      </c>
      <c r="B135">
        <v>26330</v>
      </c>
      <c r="C135" s="1">
        <v>42713</v>
      </c>
      <c r="F135" s="64"/>
      <c r="G135">
        <v>8.3000000000000007</v>
      </c>
      <c r="H135">
        <v>7.5</v>
      </c>
      <c r="I135">
        <v>10.9</v>
      </c>
      <c r="J135">
        <f t="shared" si="13"/>
        <v>987.59999999999991</v>
      </c>
      <c r="K135">
        <f t="shared" si="19"/>
        <v>41</v>
      </c>
      <c r="L135" s="22">
        <v>35</v>
      </c>
      <c r="M135">
        <v>0</v>
      </c>
      <c r="N135">
        <v>0.9</v>
      </c>
      <c r="O135" s="37">
        <f t="shared" si="10"/>
        <v>-0.9</v>
      </c>
      <c r="P135">
        <f t="shared" si="16"/>
        <v>88.600000000000023</v>
      </c>
      <c r="Q135">
        <v>94</v>
      </c>
      <c r="R135">
        <v>1</v>
      </c>
      <c r="S135">
        <f t="shared" si="11"/>
        <v>0.9</v>
      </c>
      <c r="T135">
        <f t="shared" si="12"/>
        <v>-0.9</v>
      </c>
      <c r="U135" s="38">
        <f t="shared" si="15"/>
        <v>107.8362686567164</v>
      </c>
      <c r="V135">
        <f>(V133*100)/153.6</f>
        <v>85.336215886880524</v>
      </c>
      <c r="W135">
        <v>429.1</v>
      </c>
      <c r="Y135">
        <f t="shared" si="14"/>
        <v>64081.199999999975</v>
      </c>
      <c r="Z135">
        <f t="shared" si="18"/>
        <v>6229.0000000000018</v>
      </c>
      <c r="AA135" s="44">
        <v>7.8410347245063958</v>
      </c>
    </row>
    <row r="136" spans="1:28" x14ac:dyDescent="0.25">
      <c r="A136">
        <v>6440</v>
      </c>
      <c r="B136">
        <v>26330</v>
      </c>
      <c r="C136" s="1">
        <v>42714</v>
      </c>
      <c r="F136" s="64"/>
      <c r="G136">
        <v>7.5</v>
      </c>
      <c r="H136">
        <v>5.3</v>
      </c>
      <c r="I136">
        <v>10.3</v>
      </c>
      <c r="J136">
        <f t="shared" si="13"/>
        <v>995.09999999999991</v>
      </c>
      <c r="K136">
        <f t="shared" si="19"/>
        <v>48.5</v>
      </c>
      <c r="L136" s="27" t="s">
        <v>35</v>
      </c>
      <c r="M136">
        <v>2</v>
      </c>
      <c r="N136">
        <v>0.5</v>
      </c>
      <c r="O136" s="37">
        <f t="shared" si="10"/>
        <v>1.5</v>
      </c>
      <c r="P136">
        <f t="shared" si="16"/>
        <v>90.100000000000023</v>
      </c>
      <c r="Q136">
        <v>95</v>
      </c>
      <c r="R136">
        <v>1</v>
      </c>
      <c r="S136">
        <f t="shared" si="11"/>
        <v>0.5</v>
      </c>
      <c r="T136">
        <f t="shared" si="12"/>
        <v>1.5</v>
      </c>
      <c r="U136" s="38">
        <f t="shared" si="15"/>
        <v>109.3362686567164</v>
      </c>
      <c r="W136">
        <v>120.7</v>
      </c>
      <c r="Y136">
        <f t="shared" si="14"/>
        <v>64201.899999999972</v>
      </c>
      <c r="Z136">
        <f t="shared" si="18"/>
        <v>6349.7000000000016</v>
      </c>
      <c r="AA136" s="44">
        <v>7.8235599534826346</v>
      </c>
    </row>
    <row r="137" spans="1:28" x14ac:dyDescent="0.25">
      <c r="A137">
        <v>6440</v>
      </c>
      <c r="B137">
        <v>26330</v>
      </c>
      <c r="C137" s="1">
        <v>42715</v>
      </c>
      <c r="F137" s="64"/>
      <c r="G137">
        <v>7.7</v>
      </c>
      <c r="H137">
        <v>5.4</v>
      </c>
      <c r="I137">
        <v>10.3</v>
      </c>
      <c r="J137">
        <f t="shared" si="13"/>
        <v>1002.8</v>
      </c>
      <c r="K137">
        <f t="shared" si="19"/>
        <v>56.2</v>
      </c>
      <c r="L137" s="22">
        <v>29</v>
      </c>
      <c r="M137">
        <v>0</v>
      </c>
      <c r="N137">
        <v>0.6</v>
      </c>
      <c r="O137" s="37">
        <f t="shared" si="10"/>
        <v>-0.6</v>
      </c>
      <c r="P137">
        <f t="shared" si="16"/>
        <v>89.500000000000028</v>
      </c>
      <c r="Q137">
        <v>96</v>
      </c>
      <c r="R137">
        <v>1</v>
      </c>
      <c r="S137">
        <f t="shared" si="11"/>
        <v>0.6</v>
      </c>
      <c r="T137">
        <f t="shared" si="12"/>
        <v>-0.6</v>
      </c>
      <c r="U137" s="38">
        <f t="shared" si="15"/>
        <v>108.7362686567164</v>
      </c>
      <c r="W137">
        <v>550.4</v>
      </c>
      <c r="Y137">
        <f t="shared" si="14"/>
        <v>64752.299999999974</v>
      </c>
      <c r="Z137">
        <f t="shared" si="18"/>
        <v>6900.1000000000013</v>
      </c>
      <c r="AA137" s="44">
        <v>7.8075826804523523</v>
      </c>
    </row>
    <row r="138" spans="1:28" x14ac:dyDescent="0.25">
      <c r="A138">
        <v>6440</v>
      </c>
      <c r="B138">
        <v>26330</v>
      </c>
      <c r="C138" s="1">
        <v>42716</v>
      </c>
      <c r="E138" s="44">
        <v>9</v>
      </c>
      <c r="F138" s="64"/>
      <c r="G138">
        <v>4.9000000000000004</v>
      </c>
      <c r="H138">
        <v>4.3</v>
      </c>
      <c r="I138">
        <v>5.9</v>
      </c>
      <c r="J138">
        <f t="shared" si="13"/>
        <v>1007.6999999999999</v>
      </c>
      <c r="K138">
        <f t="shared" si="19"/>
        <v>61.1</v>
      </c>
      <c r="M138">
        <v>3.3</v>
      </c>
      <c r="N138">
        <v>0.2</v>
      </c>
      <c r="O138" s="37">
        <f t="shared" si="10"/>
        <v>3.0999999999999996</v>
      </c>
      <c r="P138">
        <f t="shared" si="16"/>
        <v>92.600000000000023</v>
      </c>
      <c r="Q138">
        <v>97</v>
      </c>
      <c r="R138">
        <v>1</v>
      </c>
      <c r="S138">
        <f t="shared" si="11"/>
        <v>0.2</v>
      </c>
      <c r="T138">
        <f t="shared" si="12"/>
        <v>3.0999999999999996</v>
      </c>
      <c r="U138" s="38">
        <f t="shared" si="15"/>
        <v>111.8362686567164</v>
      </c>
      <c r="W138">
        <v>113.7</v>
      </c>
      <c r="Y138">
        <f t="shared" si="14"/>
        <v>64865.999999999971</v>
      </c>
      <c r="Z138">
        <f t="shared" si="18"/>
        <v>7013.8000000000011</v>
      </c>
      <c r="AA138" s="44">
        <v>7.7931181290520053</v>
      </c>
    </row>
    <row r="139" spans="1:28" x14ac:dyDescent="0.25">
      <c r="A139">
        <v>6440</v>
      </c>
      <c r="B139">
        <v>26330</v>
      </c>
      <c r="C139" s="1">
        <v>42717</v>
      </c>
      <c r="F139" s="64"/>
      <c r="G139">
        <v>6.5</v>
      </c>
      <c r="H139">
        <v>5</v>
      </c>
      <c r="I139">
        <v>7.7</v>
      </c>
      <c r="J139">
        <f t="shared" si="13"/>
        <v>1014.1999999999999</v>
      </c>
      <c r="K139">
        <f t="shared" si="19"/>
        <v>67.599999999999994</v>
      </c>
      <c r="M139">
        <v>0.1</v>
      </c>
      <c r="N139">
        <v>0.1</v>
      </c>
      <c r="O139" s="37">
        <f t="shared" si="10"/>
        <v>0</v>
      </c>
      <c r="P139">
        <f t="shared" si="16"/>
        <v>92.600000000000023</v>
      </c>
      <c r="Q139">
        <v>98</v>
      </c>
      <c r="R139">
        <v>1</v>
      </c>
      <c r="S139">
        <f t="shared" si="11"/>
        <v>0.1</v>
      </c>
      <c r="T139">
        <f t="shared" si="12"/>
        <v>0</v>
      </c>
      <c r="U139" s="38">
        <f t="shared" si="15"/>
        <v>111.8362686567164</v>
      </c>
      <c r="W139">
        <v>103.8</v>
      </c>
      <c r="Y139">
        <f t="shared" si="14"/>
        <v>64969.799999999974</v>
      </c>
      <c r="Z139">
        <f t="shared" si="18"/>
        <v>7117.6000000000013</v>
      </c>
      <c r="AA139" s="44">
        <v>7.7801802067859986</v>
      </c>
    </row>
    <row r="140" spans="1:28" x14ac:dyDescent="0.25">
      <c r="A140">
        <v>6440</v>
      </c>
      <c r="B140">
        <v>26330</v>
      </c>
      <c r="C140" s="1">
        <v>42718</v>
      </c>
      <c r="F140" s="64"/>
      <c r="G140">
        <v>6.1</v>
      </c>
      <c r="H140">
        <v>3</v>
      </c>
      <c r="I140">
        <v>9.5</v>
      </c>
      <c r="J140">
        <f t="shared" si="13"/>
        <v>1020.3</v>
      </c>
      <c r="K140">
        <f t="shared" si="19"/>
        <v>73.699999999999989</v>
      </c>
      <c r="M140">
        <v>0.1</v>
      </c>
      <c r="N140">
        <v>0.4</v>
      </c>
      <c r="O140" s="37">
        <f t="shared" si="10"/>
        <v>-0.30000000000000004</v>
      </c>
      <c r="P140">
        <f t="shared" si="16"/>
        <v>92.300000000000026</v>
      </c>
      <c r="Q140">
        <v>99</v>
      </c>
      <c r="R140">
        <v>1</v>
      </c>
      <c r="S140">
        <f t="shared" si="11"/>
        <v>0.4</v>
      </c>
      <c r="T140">
        <f t="shared" si="12"/>
        <v>-0.30000000000000004</v>
      </c>
      <c r="U140" s="38">
        <f t="shared" si="15"/>
        <v>111.5362686567164</v>
      </c>
      <c r="W140">
        <v>565.20000000000005</v>
      </c>
      <c r="Y140">
        <f t="shared" si="14"/>
        <v>65534.999999999971</v>
      </c>
      <c r="Z140">
        <f t="shared" si="18"/>
        <v>7682.8000000000011</v>
      </c>
      <c r="AA140" s="44">
        <v>7.7687814550633361</v>
      </c>
    </row>
    <row r="141" spans="1:28" x14ac:dyDescent="0.25">
      <c r="A141">
        <v>6440</v>
      </c>
      <c r="B141">
        <v>26330</v>
      </c>
      <c r="C141" s="1">
        <v>42719</v>
      </c>
      <c r="F141" s="64"/>
      <c r="G141">
        <v>5.0999999999999996</v>
      </c>
      <c r="H141">
        <v>3.9</v>
      </c>
      <c r="I141">
        <v>7.1</v>
      </c>
      <c r="J141">
        <f t="shared" si="13"/>
        <v>1025.3999999999999</v>
      </c>
      <c r="K141">
        <f t="shared" si="19"/>
        <v>78.799999999999983</v>
      </c>
      <c r="M141">
        <v>0</v>
      </c>
      <c r="N141">
        <v>0.5</v>
      </c>
      <c r="O141" s="37">
        <f t="shared" si="10"/>
        <v>-0.5</v>
      </c>
      <c r="P141">
        <f t="shared" si="16"/>
        <v>91.800000000000026</v>
      </c>
      <c r="Q141">
        <v>100</v>
      </c>
      <c r="R141">
        <v>1</v>
      </c>
      <c r="S141">
        <f t="shared" si="11"/>
        <v>0.5</v>
      </c>
      <c r="T141">
        <f t="shared" si="12"/>
        <v>-0.5</v>
      </c>
      <c r="U141" s="38">
        <f t="shared" si="15"/>
        <v>111.0362686567164</v>
      </c>
      <c r="W141">
        <v>521.5</v>
      </c>
      <c r="Y141">
        <f t="shared" si="14"/>
        <v>66056.499999999971</v>
      </c>
      <c r="Z141">
        <f t="shared" si="18"/>
        <v>8204.3000000000011</v>
      </c>
      <c r="AA141" s="44">
        <v>7.7589330035444917</v>
      </c>
    </row>
    <row r="142" spans="1:28" x14ac:dyDescent="0.25">
      <c r="A142">
        <v>6440</v>
      </c>
      <c r="B142">
        <v>26330</v>
      </c>
      <c r="C142" s="1">
        <v>42720</v>
      </c>
      <c r="F142" s="64"/>
      <c r="G142">
        <v>6.1</v>
      </c>
      <c r="H142">
        <v>4.5999999999999996</v>
      </c>
      <c r="I142">
        <v>9.3000000000000007</v>
      </c>
      <c r="J142">
        <f t="shared" si="13"/>
        <v>1031.4999999999998</v>
      </c>
      <c r="K142">
        <f t="shared" si="19"/>
        <v>84.899999999999977</v>
      </c>
      <c r="M142">
        <v>0</v>
      </c>
      <c r="N142">
        <v>0.8</v>
      </c>
      <c r="O142" s="37">
        <f t="shared" si="10"/>
        <v>-0.8</v>
      </c>
      <c r="P142">
        <f t="shared" si="16"/>
        <v>91.000000000000028</v>
      </c>
      <c r="Q142">
        <v>101</v>
      </c>
      <c r="R142">
        <v>1</v>
      </c>
      <c r="S142">
        <f t="shared" si="11"/>
        <v>0.8</v>
      </c>
      <c r="T142">
        <f t="shared" si="12"/>
        <v>-0.8</v>
      </c>
      <c r="U142" s="38">
        <f t="shared" si="15"/>
        <v>110.2362686567164</v>
      </c>
      <c r="W142">
        <v>324.3</v>
      </c>
      <c r="Y142">
        <f t="shared" si="14"/>
        <v>66380.799999999974</v>
      </c>
      <c r="Z142">
        <f t="shared" si="18"/>
        <v>8528.6</v>
      </c>
      <c r="AA142" s="44">
        <v>7.7506445291518045</v>
      </c>
    </row>
    <row r="143" spans="1:28" x14ac:dyDescent="0.25">
      <c r="A143">
        <v>6440</v>
      </c>
      <c r="B143">
        <v>26330</v>
      </c>
      <c r="C143" s="1">
        <v>42721</v>
      </c>
      <c r="E143" s="44">
        <v>10</v>
      </c>
      <c r="F143" s="64"/>
      <c r="G143">
        <v>4.4000000000000004</v>
      </c>
      <c r="H143">
        <v>1.5</v>
      </c>
      <c r="I143">
        <v>6.6</v>
      </c>
      <c r="J143">
        <f t="shared" si="13"/>
        <v>1035.8999999999999</v>
      </c>
      <c r="K143">
        <f t="shared" si="19"/>
        <v>89.299999999999983</v>
      </c>
      <c r="M143">
        <v>0</v>
      </c>
      <c r="N143">
        <v>0.3</v>
      </c>
      <c r="O143" s="37">
        <f t="shared" si="10"/>
        <v>-0.3</v>
      </c>
      <c r="P143">
        <f t="shared" si="16"/>
        <v>90.700000000000031</v>
      </c>
      <c r="Q143">
        <v>102</v>
      </c>
      <c r="R143">
        <v>1</v>
      </c>
      <c r="S143">
        <f t="shared" si="11"/>
        <v>0.3</v>
      </c>
      <c r="T143">
        <f t="shared" si="12"/>
        <v>-0.3</v>
      </c>
      <c r="U143" s="38">
        <f t="shared" si="15"/>
        <v>109.93626865671641</v>
      </c>
      <c r="W143">
        <v>148</v>
      </c>
      <c r="Y143">
        <f t="shared" si="14"/>
        <v>66528.799999999974</v>
      </c>
      <c r="Z143">
        <f t="shared" si="18"/>
        <v>8676.6</v>
      </c>
      <c r="AA143" s="44">
        <v>7.743924220066206</v>
      </c>
    </row>
    <row r="144" spans="1:28" x14ac:dyDescent="0.25">
      <c r="A144">
        <v>6440</v>
      </c>
      <c r="B144">
        <v>26330</v>
      </c>
      <c r="C144" s="1">
        <v>42722</v>
      </c>
      <c r="F144" s="64"/>
      <c r="G144">
        <v>6.4</v>
      </c>
      <c r="H144">
        <v>6.1</v>
      </c>
      <c r="I144">
        <v>6.8</v>
      </c>
      <c r="J144">
        <f t="shared" si="13"/>
        <v>1042.3</v>
      </c>
      <c r="K144">
        <f t="shared" si="19"/>
        <v>95.699999999999989</v>
      </c>
      <c r="M144">
        <v>0.1</v>
      </c>
      <c r="N144">
        <v>0.3</v>
      </c>
      <c r="O144" s="37">
        <f t="shared" si="10"/>
        <v>-0.19999999999999998</v>
      </c>
      <c r="P144">
        <f t="shared" si="16"/>
        <v>90.500000000000028</v>
      </c>
      <c r="Q144">
        <v>103</v>
      </c>
      <c r="R144">
        <v>1</v>
      </c>
      <c r="S144">
        <f t="shared" si="11"/>
        <v>0.3</v>
      </c>
      <c r="T144">
        <f t="shared" si="12"/>
        <v>-0.19999999999999998</v>
      </c>
      <c r="U144" s="38">
        <f t="shared" si="15"/>
        <v>109.7362686567164</v>
      </c>
      <c r="W144">
        <v>136.6</v>
      </c>
      <c r="Y144">
        <f t="shared" si="14"/>
        <v>66665.39999999998</v>
      </c>
      <c r="Z144">
        <f t="shared" si="18"/>
        <v>8813.2000000000007</v>
      </c>
      <c r="AA144" s="44">
        <v>7.738778744997953</v>
      </c>
    </row>
    <row r="145" spans="1:27" x14ac:dyDescent="0.25">
      <c r="A145">
        <v>6440</v>
      </c>
      <c r="B145">
        <v>26330</v>
      </c>
      <c r="C145" s="1">
        <v>42723</v>
      </c>
      <c r="F145" s="64"/>
      <c r="G145">
        <v>5.9</v>
      </c>
      <c r="H145">
        <v>5.7</v>
      </c>
      <c r="I145">
        <v>7.1</v>
      </c>
      <c r="J145">
        <f t="shared" si="13"/>
        <v>1048.2</v>
      </c>
      <c r="K145">
        <f t="shared" si="19"/>
        <v>101.6</v>
      </c>
      <c r="M145">
        <v>0.1</v>
      </c>
      <c r="N145">
        <v>0.4</v>
      </c>
      <c r="O145" s="37">
        <f t="shared" si="10"/>
        <v>-0.30000000000000004</v>
      </c>
      <c r="P145">
        <f t="shared" si="16"/>
        <v>90.200000000000031</v>
      </c>
      <c r="Q145">
        <v>104</v>
      </c>
      <c r="R145">
        <v>1</v>
      </c>
      <c r="S145">
        <f t="shared" si="11"/>
        <v>0.4</v>
      </c>
      <c r="T145">
        <f t="shared" si="12"/>
        <v>-0.30000000000000004</v>
      </c>
      <c r="U145" s="38">
        <f t="shared" si="15"/>
        <v>109.43626865671641</v>
      </c>
      <c r="W145">
        <v>132.1</v>
      </c>
      <c r="Y145">
        <f t="shared" si="14"/>
        <v>66797.499999999985</v>
      </c>
      <c r="Z145">
        <f t="shared" si="18"/>
        <v>8945.3000000000011</v>
      </c>
      <c r="AA145" s="44">
        <v>7.7352132279801493</v>
      </c>
    </row>
    <row r="146" spans="1:27" x14ac:dyDescent="0.25">
      <c r="A146">
        <v>6440</v>
      </c>
      <c r="B146">
        <v>26330</v>
      </c>
      <c r="C146" s="1">
        <v>42724</v>
      </c>
      <c r="E146" s="44">
        <v>11</v>
      </c>
      <c r="F146" s="64"/>
      <c r="G146">
        <v>2.7</v>
      </c>
      <c r="H146">
        <v>0.7</v>
      </c>
      <c r="I146">
        <v>4.5999999999999996</v>
      </c>
      <c r="J146">
        <f t="shared" si="13"/>
        <v>1050.9000000000001</v>
      </c>
      <c r="K146">
        <f t="shared" si="19"/>
        <v>104.3</v>
      </c>
      <c r="M146">
        <v>0</v>
      </c>
      <c r="N146">
        <v>0.4</v>
      </c>
      <c r="O146" s="37">
        <f t="shared" si="10"/>
        <v>-0.4</v>
      </c>
      <c r="P146">
        <f t="shared" si="16"/>
        <v>89.800000000000026</v>
      </c>
      <c r="Q146">
        <v>105</v>
      </c>
      <c r="R146">
        <v>1</v>
      </c>
      <c r="S146">
        <f t="shared" si="11"/>
        <v>0.4</v>
      </c>
      <c r="T146">
        <f t="shared" si="12"/>
        <v>-0.4</v>
      </c>
      <c r="U146" s="38">
        <f t="shared" si="15"/>
        <v>109.0362686567164</v>
      </c>
      <c r="W146">
        <v>371.7</v>
      </c>
      <c r="Y146">
        <f t="shared" si="14"/>
        <v>67169.199999999983</v>
      </c>
      <c r="Z146">
        <f t="shared" si="18"/>
        <v>9317.0000000000018</v>
      </c>
      <c r="AA146" s="44">
        <v>7.7332312288912126</v>
      </c>
    </row>
    <row r="147" spans="1:27" x14ac:dyDescent="0.25">
      <c r="A147">
        <v>6440</v>
      </c>
      <c r="B147">
        <v>26330</v>
      </c>
      <c r="C147" s="1">
        <v>42725</v>
      </c>
      <c r="F147" s="64"/>
      <c r="G147">
        <v>5.0999999999999996</v>
      </c>
      <c r="H147">
        <v>2.5</v>
      </c>
      <c r="I147">
        <v>6.4</v>
      </c>
      <c r="J147">
        <f t="shared" si="13"/>
        <v>1056</v>
      </c>
      <c r="K147">
        <f t="shared" si="19"/>
        <v>109.39999999999999</v>
      </c>
      <c r="M147">
        <v>14.5</v>
      </c>
      <c r="N147">
        <v>0.5</v>
      </c>
      <c r="O147" s="37">
        <f t="shared" si="10"/>
        <v>14</v>
      </c>
      <c r="P147">
        <f t="shared" si="16"/>
        <v>103.80000000000003</v>
      </c>
      <c r="Q147">
        <v>106</v>
      </c>
      <c r="R147">
        <v>1</v>
      </c>
      <c r="S147">
        <f t="shared" si="11"/>
        <v>0.5</v>
      </c>
      <c r="T147">
        <f t="shared" si="12"/>
        <v>14</v>
      </c>
      <c r="U147" s="38">
        <f t="shared" si="15"/>
        <v>123.0362686567164</v>
      </c>
      <c r="W147">
        <v>326.3</v>
      </c>
      <c r="Y147">
        <f t="shared" si="14"/>
        <v>67495.499999999985</v>
      </c>
      <c r="Z147">
        <f t="shared" si="18"/>
        <v>9643.3000000000011</v>
      </c>
      <c r="AA147" s="44">
        <v>7.7328347298668527</v>
      </c>
    </row>
    <row r="148" spans="1:27" x14ac:dyDescent="0.25">
      <c r="A148">
        <v>6440</v>
      </c>
      <c r="B148">
        <v>26330</v>
      </c>
      <c r="C148" s="1">
        <v>42726</v>
      </c>
      <c r="F148" s="64"/>
      <c r="G148">
        <v>5.6</v>
      </c>
      <c r="H148">
        <v>5.8</v>
      </c>
      <c r="I148">
        <v>6.4</v>
      </c>
      <c r="J148">
        <f t="shared" si="13"/>
        <v>1061.5999999999999</v>
      </c>
      <c r="K148">
        <f t="shared" si="19"/>
        <v>114.99999999999999</v>
      </c>
      <c r="M148">
        <v>0.4</v>
      </c>
      <c r="N148">
        <v>0.3</v>
      </c>
      <c r="O148" s="37">
        <f t="shared" si="10"/>
        <v>0.10000000000000003</v>
      </c>
      <c r="P148">
        <f t="shared" si="16"/>
        <v>103.90000000000002</v>
      </c>
      <c r="Q148">
        <v>107</v>
      </c>
      <c r="R148">
        <v>1</v>
      </c>
      <c r="S148">
        <f t="shared" si="11"/>
        <v>0.3</v>
      </c>
      <c r="T148">
        <f t="shared" si="12"/>
        <v>0.10000000000000003</v>
      </c>
      <c r="U148" s="38">
        <f t="shared" si="15"/>
        <v>123.1362686567164</v>
      </c>
      <c r="W148">
        <v>225.4</v>
      </c>
      <c r="Y148">
        <f t="shared" si="14"/>
        <v>67720.89999999998</v>
      </c>
      <c r="Z148">
        <f t="shared" si="18"/>
        <v>9868.7000000000007</v>
      </c>
      <c r="AA148" s="44">
        <v>7.734024127714334</v>
      </c>
    </row>
    <row r="149" spans="1:27" x14ac:dyDescent="0.25">
      <c r="A149">
        <v>6440</v>
      </c>
      <c r="B149">
        <v>26330</v>
      </c>
      <c r="C149" s="1">
        <v>42727</v>
      </c>
      <c r="F149" s="64"/>
      <c r="G149">
        <v>5.5</v>
      </c>
      <c r="H149">
        <v>2.2000000000000002</v>
      </c>
      <c r="I149">
        <v>7.6</v>
      </c>
      <c r="J149">
        <f t="shared" si="13"/>
        <v>1067.0999999999999</v>
      </c>
      <c r="K149">
        <f t="shared" si="19"/>
        <v>120.49999999999999</v>
      </c>
      <c r="M149">
        <v>0.4</v>
      </c>
      <c r="N149">
        <v>0.3</v>
      </c>
      <c r="O149" s="37">
        <f t="shared" si="10"/>
        <v>0.10000000000000003</v>
      </c>
      <c r="P149">
        <f t="shared" si="16"/>
        <v>104.00000000000001</v>
      </c>
      <c r="Q149">
        <v>108</v>
      </c>
      <c r="R149">
        <v>1</v>
      </c>
      <c r="S149">
        <f t="shared" si="11"/>
        <v>0.3</v>
      </c>
      <c r="T149">
        <f t="shared" si="12"/>
        <v>0.10000000000000003</v>
      </c>
      <c r="U149" s="38">
        <f t="shared" si="15"/>
        <v>123.23626865671639</v>
      </c>
      <c r="W149">
        <v>223.3</v>
      </c>
      <c r="Y149">
        <f t="shared" si="14"/>
        <v>67944.199999999983</v>
      </c>
      <c r="Z149">
        <f t="shared" si="18"/>
        <v>10092</v>
      </c>
      <c r="AA149" s="44">
        <v>7.7367982323921458</v>
      </c>
    </row>
    <row r="150" spans="1:27" x14ac:dyDescent="0.25">
      <c r="A150">
        <v>6440</v>
      </c>
      <c r="B150">
        <v>26330</v>
      </c>
      <c r="C150" s="1">
        <v>42728</v>
      </c>
      <c r="F150" s="64"/>
      <c r="G150">
        <v>7.8</v>
      </c>
      <c r="H150">
        <v>6</v>
      </c>
      <c r="I150">
        <v>9.8000000000000007</v>
      </c>
      <c r="J150">
        <f t="shared" si="13"/>
        <v>1074.8999999999999</v>
      </c>
      <c r="K150">
        <f t="shared" si="19"/>
        <v>128.29999999999998</v>
      </c>
      <c r="M150">
        <v>0.4</v>
      </c>
      <c r="N150">
        <v>0.7</v>
      </c>
      <c r="O150" s="37">
        <f t="shared" si="10"/>
        <v>-0.29999999999999993</v>
      </c>
      <c r="P150">
        <f t="shared" si="16"/>
        <v>103.70000000000002</v>
      </c>
      <c r="Q150">
        <v>109</v>
      </c>
      <c r="R150">
        <v>1</v>
      </c>
      <c r="S150">
        <f t="shared" si="11"/>
        <v>0.7</v>
      </c>
      <c r="T150">
        <f t="shared" si="12"/>
        <v>-0.29999999999999993</v>
      </c>
      <c r="U150" s="38">
        <f t="shared" si="15"/>
        <v>122.93626865671639</v>
      </c>
      <c r="W150">
        <v>435.5</v>
      </c>
      <c r="Y150">
        <f t="shared" si="14"/>
        <v>68379.699999999983</v>
      </c>
      <c r="Z150">
        <f t="shared" si="18"/>
        <v>10527.5</v>
      </c>
      <c r="AA150" s="44">
        <v>7.7411542715678028</v>
      </c>
    </row>
    <row r="151" spans="1:27" x14ac:dyDescent="0.25">
      <c r="A151">
        <v>6440</v>
      </c>
      <c r="B151">
        <v>26330</v>
      </c>
      <c r="C151" s="1">
        <v>42729</v>
      </c>
      <c r="F151" s="64"/>
      <c r="G151">
        <v>10.199999999999999</v>
      </c>
      <c r="H151">
        <v>8.1999999999999993</v>
      </c>
      <c r="I151">
        <v>11</v>
      </c>
      <c r="J151">
        <f t="shared" si="13"/>
        <v>1085.0999999999999</v>
      </c>
      <c r="K151">
        <f t="shared" si="19"/>
        <v>138.49999999999997</v>
      </c>
      <c r="M151">
        <v>0.7</v>
      </c>
      <c r="N151">
        <v>0.4</v>
      </c>
      <c r="O151" s="37">
        <f t="shared" si="10"/>
        <v>0.29999999999999993</v>
      </c>
      <c r="P151">
        <f t="shared" si="16"/>
        <v>104.00000000000001</v>
      </c>
      <c r="Q151">
        <v>110</v>
      </c>
      <c r="R151">
        <v>1</v>
      </c>
      <c r="S151">
        <f t="shared" si="11"/>
        <v>0.4</v>
      </c>
      <c r="T151">
        <f t="shared" si="12"/>
        <v>0.29999999999999993</v>
      </c>
      <c r="U151" s="38">
        <f t="shared" si="15"/>
        <v>123.23626865671639</v>
      </c>
      <c r="W151">
        <v>106</v>
      </c>
      <c r="Y151">
        <f t="shared" si="14"/>
        <v>68485.699999999983</v>
      </c>
      <c r="Z151">
        <f t="shared" si="18"/>
        <v>10633.5</v>
      </c>
      <c r="AA151" s="44">
        <v>7.7470879012157301</v>
      </c>
    </row>
    <row r="152" spans="1:27" x14ac:dyDescent="0.25">
      <c r="A152">
        <v>6440</v>
      </c>
      <c r="B152">
        <v>26330</v>
      </c>
      <c r="C152" s="1">
        <v>42730</v>
      </c>
      <c r="F152" s="64"/>
      <c r="G152">
        <v>7.4</v>
      </c>
      <c r="H152">
        <v>3.4</v>
      </c>
      <c r="I152">
        <v>10.8</v>
      </c>
      <c r="J152">
        <f t="shared" si="13"/>
        <v>1092.5</v>
      </c>
      <c r="K152">
        <f t="shared" si="19"/>
        <v>145.89999999999998</v>
      </c>
      <c r="M152">
        <v>1.7</v>
      </c>
      <c r="N152">
        <v>0.4</v>
      </c>
      <c r="O152" s="37">
        <f t="shared" si="10"/>
        <v>1.2999999999999998</v>
      </c>
      <c r="P152">
        <f t="shared" si="16"/>
        <v>105.30000000000001</v>
      </c>
      <c r="Q152">
        <v>111</v>
      </c>
      <c r="R152">
        <v>1</v>
      </c>
      <c r="S152">
        <f t="shared" si="11"/>
        <v>0.4</v>
      </c>
      <c r="T152">
        <f t="shared" si="12"/>
        <v>1.2999999999999998</v>
      </c>
      <c r="U152" s="38">
        <f t="shared" si="15"/>
        <v>124.53626865671639</v>
      </c>
      <c r="W152">
        <v>411.9</v>
      </c>
      <c r="Y152">
        <f t="shared" si="14"/>
        <v>68897.599999999977</v>
      </c>
      <c r="Z152">
        <f t="shared" si="18"/>
        <v>11045.4</v>
      </c>
      <c r="AA152" s="44">
        <v>7.7545932221671805</v>
      </c>
    </row>
    <row r="153" spans="1:27" x14ac:dyDescent="0.25">
      <c r="A153">
        <v>6440</v>
      </c>
      <c r="B153">
        <v>26330</v>
      </c>
      <c r="C153" s="1">
        <v>42731</v>
      </c>
      <c r="E153" s="44">
        <v>12</v>
      </c>
      <c r="F153" s="64"/>
      <c r="G153">
        <v>2.1</v>
      </c>
      <c r="H153">
        <v>-0.1</v>
      </c>
      <c r="I153">
        <v>6.4</v>
      </c>
      <c r="J153">
        <f t="shared" si="13"/>
        <v>1094.5999999999999</v>
      </c>
      <c r="K153">
        <f t="shared" si="19"/>
        <v>147.99999999999997</v>
      </c>
      <c r="M153">
        <v>0</v>
      </c>
      <c r="N153">
        <v>0.5</v>
      </c>
      <c r="O153" s="37">
        <f t="shared" si="10"/>
        <v>-0.5</v>
      </c>
      <c r="P153">
        <f t="shared" si="16"/>
        <v>104.80000000000001</v>
      </c>
      <c r="Q153">
        <v>112</v>
      </c>
      <c r="R153">
        <v>1</v>
      </c>
      <c r="S153">
        <f t="shared" si="11"/>
        <v>0.5</v>
      </c>
      <c r="T153">
        <f t="shared" si="12"/>
        <v>-0.5</v>
      </c>
      <c r="U153" s="38">
        <f t="shared" si="15"/>
        <v>124.03626865671639</v>
      </c>
      <c r="W153">
        <v>579.6</v>
      </c>
      <c r="Y153">
        <f t="shared" si="14"/>
        <v>69477.199999999983</v>
      </c>
      <c r="Z153">
        <f t="shared" si="18"/>
        <v>11625</v>
      </c>
      <c r="AA153" s="44">
        <v>7.7636628024752365</v>
      </c>
    </row>
    <row r="154" spans="1:27" x14ac:dyDescent="0.25">
      <c r="A154">
        <v>6440</v>
      </c>
      <c r="B154">
        <v>26330</v>
      </c>
      <c r="C154" s="1">
        <v>42732</v>
      </c>
      <c r="E154" s="44">
        <v>13</v>
      </c>
      <c r="F154" s="64"/>
      <c r="G154">
        <v>-1.2</v>
      </c>
      <c r="H154">
        <v>-2.5</v>
      </c>
      <c r="I154">
        <v>0.7</v>
      </c>
      <c r="J154">
        <v>1094.5999999999999</v>
      </c>
      <c r="K154">
        <v>148</v>
      </c>
      <c r="M154">
        <v>0</v>
      </c>
      <c r="N154">
        <v>0.5</v>
      </c>
      <c r="O154" s="37">
        <f t="shared" si="10"/>
        <v>-0.5</v>
      </c>
      <c r="P154">
        <f t="shared" si="16"/>
        <v>104.30000000000001</v>
      </c>
      <c r="Q154">
        <v>113</v>
      </c>
      <c r="R154">
        <v>1</v>
      </c>
      <c r="S154">
        <f t="shared" si="11"/>
        <v>0.5</v>
      </c>
      <c r="T154">
        <f t="shared" si="12"/>
        <v>-0.5</v>
      </c>
      <c r="U154" s="38">
        <f t="shared" si="15"/>
        <v>123.53626865671639</v>
      </c>
      <c r="W154">
        <v>334.5</v>
      </c>
      <c r="Y154">
        <f t="shared" si="14"/>
        <v>69811.699999999983</v>
      </c>
      <c r="Z154">
        <f t="shared" si="18"/>
        <v>11959.5</v>
      </c>
      <c r="AA154" s="44">
        <v>7.7742877054111732</v>
      </c>
    </row>
    <row r="155" spans="1:27" x14ac:dyDescent="0.25">
      <c r="A155">
        <v>6440</v>
      </c>
      <c r="B155">
        <v>26330</v>
      </c>
      <c r="C155" s="1">
        <v>42733</v>
      </c>
      <c r="E155" s="44">
        <v>14</v>
      </c>
      <c r="F155" s="64"/>
      <c r="G155">
        <v>-2.2999999999999998</v>
      </c>
      <c r="H155">
        <v>-2.6</v>
      </c>
      <c r="I155">
        <v>-1.6</v>
      </c>
      <c r="J155">
        <v>1094.5999999999999</v>
      </c>
      <c r="K155">
        <v>148</v>
      </c>
      <c r="M155">
        <v>0</v>
      </c>
      <c r="N155">
        <v>0.5</v>
      </c>
      <c r="O155" s="37">
        <f t="shared" si="10"/>
        <v>-0.5</v>
      </c>
      <c r="P155">
        <f t="shared" si="16"/>
        <v>103.80000000000001</v>
      </c>
      <c r="Q155">
        <v>114</v>
      </c>
      <c r="R155">
        <v>1</v>
      </c>
      <c r="S155">
        <f t="shared" si="11"/>
        <v>0.5</v>
      </c>
      <c r="T155">
        <f t="shared" si="12"/>
        <v>-0.5</v>
      </c>
      <c r="U155" s="38">
        <f t="shared" si="15"/>
        <v>123.03626865671639</v>
      </c>
      <c r="W155">
        <v>339.9</v>
      </c>
      <c r="Y155">
        <f t="shared" si="14"/>
        <v>70151.599999999977</v>
      </c>
      <c r="Z155">
        <f t="shared" si="18"/>
        <v>12299.4</v>
      </c>
      <c r="AA155" s="44">
        <v>7.7864575228643478</v>
      </c>
    </row>
    <row r="156" spans="1:27" x14ac:dyDescent="0.25">
      <c r="A156">
        <v>6440</v>
      </c>
      <c r="B156">
        <v>26330</v>
      </c>
      <c r="C156" s="1">
        <v>42734</v>
      </c>
      <c r="E156" s="44">
        <v>15</v>
      </c>
      <c r="F156" s="64"/>
      <c r="G156">
        <v>-2.7</v>
      </c>
      <c r="H156">
        <v>-4.9000000000000004</v>
      </c>
      <c r="I156">
        <v>-0.8</v>
      </c>
      <c r="J156">
        <v>1094.5999999999999</v>
      </c>
      <c r="K156">
        <v>148</v>
      </c>
      <c r="M156">
        <v>0</v>
      </c>
      <c r="N156">
        <v>0.3</v>
      </c>
      <c r="O156" s="37">
        <f t="shared" si="10"/>
        <v>-0.3</v>
      </c>
      <c r="P156">
        <f t="shared" si="16"/>
        <v>103.50000000000001</v>
      </c>
      <c r="Q156">
        <v>115</v>
      </c>
      <c r="R156">
        <v>1</v>
      </c>
      <c r="S156">
        <f t="shared" si="11"/>
        <v>0.3</v>
      </c>
      <c r="T156">
        <f t="shared" si="12"/>
        <v>-0.3</v>
      </c>
      <c r="U156" s="38">
        <f t="shared" si="15"/>
        <v>122.73626865671639</v>
      </c>
      <c r="W156">
        <v>249.1</v>
      </c>
      <c r="Y156">
        <f t="shared" si="14"/>
        <v>70400.699999999983</v>
      </c>
      <c r="Z156">
        <f t="shared" si="18"/>
        <v>12548.5</v>
      </c>
      <c r="AA156" s="44">
        <v>7.8001604138769141</v>
      </c>
    </row>
    <row r="157" spans="1:27" x14ac:dyDescent="0.25">
      <c r="A157">
        <v>6440</v>
      </c>
      <c r="B157">
        <v>26330</v>
      </c>
      <c r="C157" s="1">
        <v>42735</v>
      </c>
      <c r="E157" s="44">
        <v>16</v>
      </c>
      <c r="F157" s="64"/>
      <c r="G157">
        <v>-2.7</v>
      </c>
      <c r="H157">
        <v>-3</v>
      </c>
      <c r="I157">
        <v>-2.2999999999999998</v>
      </c>
      <c r="J157">
        <v>1094.5999999999999</v>
      </c>
      <c r="K157">
        <v>148</v>
      </c>
      <c r="M157">
        <v>0</v>
      </c>
      <c r="N157">
        <v>0.3</v>
      </c>
      <c r="O157" s="37">
        <f t="shared" si="10"/>
        <v>-0.3</v>
      </c>
      <c r="P157">
        <f t="shared" si="16"/>
        <v>103.20000000000002</v>
      </c>
      <c r="Q157">
        <v>116</v>
      </c>
      <c r="R157">
        <v>1</v>
      </c>
      <c r="S157">
        <f t="shared" si="11"/>
        <v>0.3</v>
      </c>
      <c r="T157">
        <f t="shared" si="12"/>
        <v>-0.3</v>
      </c>
      <c r="U157" s="38">
        <f t="shared" si="15"/>
        <v>122.43626865671639</v>
      </c>
      <c r="W157">
        <v>313.3</v>
      </c>
      <c r="Y157">
        <f t="shared" si="14"/>
        <v>70713.999999999985</v>
      </c>
      <c r="Z157">
        <f t="shared" si="18"/>
        <v>12861.8</v>
      </c>
      <c r="AA157" s="44">
        <v>7.8153831480075224</v>
      </c>
    </row>
    <row r="158" spans="1:27" x14ac:dyDescent="0.25">
      <c r="A158">
        <v>6440</v>
      </c>
      <c r="B158">
        <v>26330</v>
      </c>
      <c r="C158" s="1">
        <v>42736</v>
      </c>
      <c r="E158" s="44">
        <v>17</v>
      </c>
      <c r="F158" s="64"/>
      <c r="G158">
        <v>-1.5</v>
      </c>
      <c r="H158">
        <v>-2.9</v>
      </c>
      <c r="I158">
        <v>0.5</v>
      </c>
      <c r="J158">
        <v>1094.5999999999999</v>
      </c>
      <c r="K158">
        <v>148</v>
      </c>
      <c r="M158">
        <v>0</v>
      </c>
      <c r="N158">
        <v>0.2</v>
      </c>
      <c r="O158" s="37">
        <f t="shared" si="10"/>
        <v>-0.2</v>
      </c>
      <c r="P158">
        <f t="shared" si="16"/>
        <v>103.00000000000001</v>
      </c>
      <c r="Q158">
        <v>117</v>
      </c>
      <c r="R158">
        <v>1</v>
      </c>
      <c r="S158">
        <f t="shared" si="11"/>
        <v>0.2</v>
      </c>
      <c r="T158">
        <f t="shared" si="12"/>
        <v>-0.2</v>
      </c>
      <c r="U158" s="38">
        <f t="shared" si="15"/>
        <v>122.23626865671639</v>
      </c>
      <c r="W158">
        <v>59.8</v>
      </c>
      <c r="Y158">
        <f t="shared" si="14"/>
        <v>70773.799999999988</v>
      </c>
      <c r="Z158">
        <f t="shared" si="18"/>
        <v>12921.599999999999</v>
      </c>
      <c r="AA158" s="44">
        <v>7.8321111531854797</v>
      </c>
    </row>
    <row r="159" spans="1:27" x14ac:dyDescent="0.25">
      <c r="A159">
        <v>6440</v>
      </c>
      <c r="B159">
        <v>26330</v>
      </c>
      <c r="C159" s="1">
        <v>42737</v>
      </c>
      <c r="E159" s="44">
        <v>18</v>
      </c>
      <c r="F159" s="64"/>
      <c r="G159">
        <v>1.9</v>
      </c>
      <c r="H159">
        <v>-0.4</v>
      </c>
      <c r="I159">
        <v>5.5</v>
      </c>
      <c r="J159">
        <f t="shared" si="13"/>
        <v>1096.5</v>
      </c>
      <c r="K159">
        <f t="shared" si="19"/>
        <v>149.9</v>
      </c>
      <c r="M159">
        <v>0.6</v>
      </c>
      <c r="N159">
        <v>0.3</v>
      </c>
      <c r="O159" s="37">
        <f t="shared" si="10"/>
        <v>0.3</v>
      </c>
      <c r="P159">
        <f t="shared" si="16"/>
        <v>103.30000000000001</v>
      </c>
      <c r="Q159">
        <v>118</v>
      </c>
      <c r="R159">
        <v>1</v>
      </c>
      <c r="S159">
        <f t="shared" si="11"/>
        <v>0.3</v>
      </c>
      <c r="T159">
        <f t="shared" si="12"/>
        <v>0.3</v>
      </c>
      <c r="U159" s="38">
        <f t="shared" si="15"/>
        <v>122.53626865671639</v>
      </c>
      <c r="W159">
        <v>437.4</v>
      </c>
      <c r="Y159">
        <f t="shared" si="14"/>
        <v>71211.199999999983</v>
      </c>
      <c r="Z159">
        <f t="shared" si="18"/>
        <v>13358.999999999998</v>
      </c>
      <c r="AA159" s="44">
        <v>7.8503285676884396</v>
      </c>
    </row>
    <row r="160" spans="1:27" x14ac:dyDescent="0.25">
      <c r="A160">
        <v>6440</v>
      </c>
      <c r="B160">
        <v>26330</v>
      </c>
      <c r="C160" s="1">
        <v>42738</v>
      </c>
      <c r="E160" s="44">
        <v>19</v>
      </c>
      <c r="F160" s="64"/>
      <c r="G160">
        <v>1.6</v>
      </c>
      <c r="H160">
        <v>-2.5</v>
      </c>
      <c r="I160">
        <v>4.7</v>
      </c>
      <c r="J160">
        <f t="shared" si="13"/>
        <v>1098.0999999999999</v>
      </c>
      <c r="K160">
        <f t="shared" si="19"/>
        <v>151.5</v>
      </c>
      <c r="M160">
        <v>0.4</v>
      </c>
      <c r="N160">
        <v>0.3</v>
      </c>
      <c r="O160" s="37">
        <f t="shared" si="10"/>
        <v>0.10000000000000003</v>
      </c>
      <c r="P160">
        <f t="shared" si="16"/>
        <v>103.4</v>
      </c>
      <c r="Q160">
        <v>119</v>
      </c>
      <c r="R160">
        <v>1</v>
      </c>
      <c r="S160">
        <f t="shared" si="11"/>
        <v>0.3</v>
      </c>
      <c r="T160">
        <f t="shared" si="12"/>
        <v>0.10000000000000003</v>
      </c>
      <c r="U160" s="38">
        <f t="shared" si="15"/>
        <v>122.63626865671638</v>
      </c>
      <c r="W160">
        <v>426.9</v>
      </c>
      <c r="Y160">
        <f t="shared" si="14"/>
        <v>71638.099999999977</v>
      </c>
      <c r="Z160">
        <f t="shared" si="18"/>
        <v>13785.899999999998</v>
      </c>
      <c r="AA160" s="44">
        <v>7.8700182958534635</v>
      </c>
    </row>
    <row r="161" spans="1:27" x14ac:dyDescent="0.25">
      <c r="A161">
        <v>6440</v>
      </c>
      <c r="B161">
        <v>26330</v>
      </c>
      <c r="C161" s="1">
        <v>42739</v>
      </c>
      <c r="E161" s="44">
        <v>20</v>
      </c>
      <c r="F161" s="64"/>
      <c r="G161">
        <v>4.2</v>
      </c>
      <c r="H161">
        <v>3</v>
      </c>
      <c r="I161">
        <v>6</v>
      </c>
      <c r="J161">
        <f t="shared" si="13"/>
        <v>1102.3</v>
      </c>
      <c r="K161">
        <f t="shared" si="19"/>
        <v>155.69999999999999</v>
      </c>
      <c r="M161">
        <v>1.6</v>
      </c>
      <c r="N161">
        <v>0.5</v>
      </c>
      <c r="O161" s="37">
        <f t="shared" si="10"/>
        <v>1.1000000000000001</v>
      </c>
      <c r="P161">
        <f t="shared" si="16"/>
        <v>104.5</v>
      </c>
      <c r="Q161">
        <v>120</v>
      </c>
      <c r="R161">
        <v>1</v>
      </c>
      <c r="S161">
        <f t="shared" si="11"/>
        <v>0.5</v>
      </c>
      <c r="T161">
        <f t="shared" si="12"/>
        <v>1.1000000000000001</v>
      </c>
      <c r="U161" s="38">
        <f t="shared" si="15"/>
        <v>123.73626865671638</v>
      </c>
      <c r="W161">
        <v>148</v>
      </c>
      <c r="Y161">
        <f t="shared" si="14"/>
        <v>71786.099999999977</v>
      </c>
      <c r="Z161">
        <f t="shared" si="18"/>
        <v>13933.899999999998</v>
      </c>
      <c r="AA161" s="44">
        <v>7.8911620671127523</v>
      </c>
    </row>
    <row r="162" spans="1:27" x14ac:dyDescent="0.25">
      <c r="A162">
        <v>6440</v>
      </c>
      <c r="B162">
        <v>26330</v>
      </c>
      <c r="C162" s="1">
        <v>42740</v>
      </c>
      <c r="E162" s="44">
        <v>21</v>
      </c>
      <c r="F162" s="64"/>
      <c r="G162">
        <v>2</v>
      </c>
      <c r="H162">
        <v>0.7</v>
      </c>
      <c r="I162">
        <v>6.3</v>
      </c>
      <c r="J162">
        <f t="shared" si="13"/>
        <v>1104.3</v>
      </c>
      <c r="K162">
        <f t="shared" si="19"/>
        <v>157.69999999999999</v>
      </c>
      <c r="M162">
        <v>0</v>
      </c>
      <c r="N162">
        <v>0.8</v>
      </c>
      <c r="O162" s="37">
        <f t="shared" si="10"/>
        <v>-0.8</v>
      </c>
      <c r="P162">
        <f t="shared" si="16"/>
        <v>103.7</v>
      </c>
      <c r="Q162">
        <v>121</v>
      </c>
      <c r="R162">
        <v>1</v>
      </c>
      <c r="S162">
        <f t="shared" si="11"/>
        <v>0.8</v>
      </c>
      <c r="T162">
        <f t="shared" si="12"/>
        <v>-0.8</v>
      </c>
      <c r="U162" s="38">
        <f t="shared" si="15"/>
        <v>122.93626865671638</v>
      </c>
      <c r="W162">
        <v>575.70000000000005</v>
      </c>
      <c r="Y162">
        <f t="shared" si="14"/>
        <v>72361.799999999974</v>
      </c>
      <c r="Z162">
        <f t="shared" si="18"/>
        <v>14509.599999999999</v>
      </c>
      <c r="AA162" s="44">
        <v>7.9137404979322072</v>
      </c>
    </row>
    <row r="163" spans="1:27" x14ac:dyDescent="0.25">
      <c r="A163">
        <v>6440</v>
      </c>
      <c r="B163">
        <v>26330</v>
      </c>
      <c r="C163" s="1">
        <v>42741</v>
      </c>
      <c r="E163" s="44">
        <v>22</v>
      </c>
      <c r="F163" s="64"/>
      <c r="G163">
        <v>-1.6</v>
      </c>
      <c r="H163">
        <v>-3.8</v>
      </c>
      <c r="I163">
        <v>0.8</v>
      </c>
      <c r="J163">
        <v>1104.3</v>
      </c>
      <c r="K163">
        <v>157.69999999999999</v>
      </c>
      <c r="M163">
        <v>0</v>
      </c>
      <c r="N163">
        <v>0.5</v>
      </c>
      <c r="O163" s="37">
        <f t="shared" si="10"/>
        <v>-0.5</v>
      </c>
      <c r="P163">
        <f t="shared" si="16"/>
        <v>103.2</v>
      </c>
      <c r="Q163">
        <v>122</v>
      </c>
      <c r="R163">
        <v>1</v>
      </c>
      <c r="S163">
        <f t="shared" si="11"/>
        <v>0.5</v>
      </c>
      <c r="T163">
        <f t="shared" si="12"/>
        <v>-0.5</v>
      </c>
      <c r="U163" s="38">
        <f t="shared" si="15"/>
        <v>122.43626865671638</v>
      </c>
      <c r="W163">
        <v>523.20000000000005</v>
      </c>
      <c r="Y163">
        <f t="shared" si="14"/>
        <v>72884.999999999971</v>
      </c>
      <c r="Z163">
        <f t="shared" si="18"/>
        <v>15032.8</v>
      </c>
      <c r="AA163" s="44">
        <v>7.9377331562224835</v>
      </c>
    </row>
    <row r="164" spans="1:27" x14ac:dyDescent="0.25">
      <c r="A164">
        <v>6440</v>
      </c>
      <c r="B164">
        <v>26330</v>
      </c>
      <c r="C164" s="1">
        <v>42742</v>
      </c>
      <c r="E164" s="44">
        <v>23</v>
      </c>
      <c r="F164" s="64"/>
      <c r="G164">
        <v>0.4</v>
      </c>
      <c r="H164">
        <v>-1.6</v>
      </c>
      <c r="I164">
        <v>3.9</v>
      </c>
      <c r="J164">
        <f t="shared" si="13"/>
        <v>1104.7</v>
      </c>
      <c r="K164">
        <f t="shared" si="19"/>
        <v>158.1</v>
      </c>
      <c r="M164">
        <v>1.2</v>
      </c>
      <c r="N164">
        <v>0.5</v>
      </c>
      <c r="O164" s="37">
        <f t="shared" si="10"/>
        <v>0.7</v>
      </c>
      <c r="P164">
        <f t="shared" si="16"/>
        <v>103.9</v>
      </c>
      <c r="Q164">
        <v>123</v>
      </c>
      <c r="R164">
        <v>1</v>
      </c>
      <c r="S164">
        <f t="shared" si="11"/>
        <v>0.5</v>
      </c>
      <c r="T164">
        <f t="shared" si="12"/>
        <v>0.7</v>
      </c>
      <c r="U164" s="38">
        <f t="shared" si="15"/>
        <v>123.13626865671638</v>
      </c>
      <c r="W164">
        <v>71.2</v>
      </c>
      <c r="Y164">
        <f t="shared" si="14"/>
        <v>72956.199999999968</v>
      </c>
      <c r="Z164">
        <f t="shared" si="18"/>
        <v>15104</v>
      </c>
      <c r="AA164" s="44">
        <v>7.9631186277890036</v>
      </c>
    </row>
    <row r="165" spans="1:27" x14ac:dyDescent="0.25">
      <c r="A165">
        <v>6440</v>
      </c>
      <c r="B165">
        <v>26330</v>
      </c>
      <c r="C165" s="1">
        <v>42743</v>
      </c>
      <c r="F165" s="64"/>
      <c r="G165">
        <v>5.2</v>
      </c>
      <c r="H165">
        <v>1.5</v>
      </c>
      <c r="I165">
        <v>7.4</v>
      </c>
      <c r="J165">
        <f t="shared" si="13"/>
        <v>1109.9000000000001</v>
      </c>
      <c r="K165">
        <f t="shared" si="19"/>
        <v>163.29999999999998</v>
      </c>
      <c r="M165">
        <v>0.5</v>
      </c>
      <c r="N165">
        <v>0.5</v>
      </c>
      <c r="O165" s="37">
        <f t="shared" si="10"/>
        <v>0</v>
      </c>
      <c r="P165">
        <f t="shared" si="16"/>
        <v>103.9</v>
      </c>
      <c r="Q165">
        <v>124</v>
      </c>
      <c r="R165">
        <v>1</v>
      </c>
      <c r="S165">
        <f t="shared" si="11"/>
        <v>0.5</v>
      </c>
      <c r="T165">
        <f t="shared" si="12"/>
        <v>0</v>
      </c>
      <c r="U165" s="38">
        <f t="shared" si="15"/>
        <v>123.13626865671638</v>
      </c>
      <c r="W165">
        <v>302.39999999999998</v>
      </c>
      <c r="Y165">
        <f t="shared" si="14"/>
        <v>73258.599999999962</v>
      </c>
      <c r="Z165">
        <f t="shared" si="18"/>
        <v>15406.4</v>
      </c>
      <c r="AA165" s="44">
        <v>7.9898745843886498</v>
      </c>
    </row>
    <row r="166" spans="1:27" x14ac:dyDescent="0.25">
      <c r="A166">
        <v>6440</v>
      </c>
      <c r="B166">
        <v>26330</v>
      </c>
      <c r="C166" s="1">
        <v>42744</v>
      </c>
      <c r="F166" s="64"/>
      <c r="G166">
        <v>5.8</v>
      </c>
      <c r="H166">
        <v>4.7</v>
      </c>
      <c r="I166">
        <v>7</v>
      </c>
      <c r="J166">
        <f t="shared" si="13"/>
        <v>1115.7</v>
      </c>
      <c r="K166">
        <f t="shared" si="19"/>
        <v>169.1</v>
      </c>
      <c r="M166">
        <v>6.6</v>
      </c>
      <c r="N166">
        <v>0.2</v>
      </c>
      <c r="O166" s="37">
        <f t="shared" si="10"/>
        <v>6.3999999999999995</v>
      </c>
      <c r="P166">
        <f t="shared" si="16"/>
        <v>110.30000000000001</v>
      </c>
      <c r="Q166">
        <v>125</v>
      </c>
      <c r="R166">
        <v>1</v>
      </c>
      <c r="S166">
        <f t="shared" si="11"/>
        <v>0.2</v>
      </c>
      <c r="T166">
        <f t="shared" si="12"/>
        <v>6.3999999999999995</v>
      </c>
      <c r="U166" s="38">
        <f t="shared" si="15"/>
        <v>129.53626865671637</v>
      </c>
      <c r="W166">
        <v>136.30000000000001</v>
      </c>
      <c r="Y166">
        <f t="shared" si="14"/>
        <v>73394.899999999965</v>
      </c>
      <c r="Z166">
        <f t="shared" si="18"/>
        <v>15542.699999999999</v>
      </c>
      <c r="AA166" s="44">
        <v>8.0179778529666184</v>
      </c>
    </row>
    <row r="167" spans="1:27" x14ac:dyDescent="0.25">
      <c r="A167">
        <v>6440</v>
      </c>
      <c r="B167">
        <v>26330</v>
      </c>
      <c r="C167" s="1">
        <v>42745</v>
      </c>
      <c r="F167" s="64"/>
      <c r="G167">
        <v>5.2</v>
      </c>
      <c r="H167">
        <v>2.6</v>
      </c>
      <c r="I167">
        <v>6.7</v>
      </c>
      <c r="J167">
        <f t="shared" si="13"/>
        <v>1120.9000000000001</v>
      </c>
      <c r="K167">
        <f t="shared" si="19"/>
        <v>174.29999999999998</v>
      </c>
      <c r="M167">
        <v>0.7</v>
      </c>
      <c r="N167">
        <v>0.2</v>
      </c>
      <c r="O167" s="37">
        <f t="shared" si="10"/>
        <v>0.49999999999999994</v>
      </c>
      <c r="P167">
        <f t="shared" si="16"/>
        <v>110.80000000000001</v>
      </c>
      <c r="Q167">
        <v>126</v>
      </c>
      <c r="R167">
        <v>1</v>
      </c>
      <c r="S167">
        <f t="shared" si="11"/>
        <v>0.2</v>
      </c>
      <c r="T167">
        <f t="shared" si="12"/>
        <v>0.49999999999999994</v>
      </c>
      <c r="U167" s="38">
        <f t="shared" si="15"/>
        <v>130.03626865671637</v>
      </c>
      <c r="W167">
        <v>137.4</v>
      </c>
      <c r="Y167">
        <f t="shared" si="14"/>
        <v>73532.299999999959</v>
      </c>
      <c r="Z167">
        <f t="shared" si="18"/>
        <v>15680.099999999999</v>
      </c>
      <c r="AA167" s="44">
        <v>8.0474044856568572</v>
      </c>
    </row>
    <row r="168" spans="1:27" x14ac:dyDescent="0.25">
      <c r="A168">
        <v>6440</v>
      </c>
      <c r="B168">
        <v>26330</v>
      </c>
      <c r="C168" s="1">
        <v>42746</v>
      </c>
      <c r="F168" s="64"/>
      <c r="G168">
        <v>7.6</v>
      </c>
      <c r="H168">
        <v>5.8</v>
      </c>
      <c r="I168">
        <v>11.1</v>
      </c>
      <c r="J168">
        <f t="shared" si="13"/>
        <v>1128.5</v>
      </c>
      <c r="K168">
        <f t="shared" si="19"/>
        <v>181.89999999999998</v>
      </c>
      <c r="M168">
        <v>0.7</v>
      </c>
      <c r="N168">
        <v>1</v>
      </c>
      <c r="O168" s="37">
        <f t="shared" si="10"/>
        <v>-0.30000000000000004</v>
      </c>
      <c r="P168">
        <f t="shared" si="16"/>
        <v>110.50000000000001</v>
      </c>
      <c r="Q168">
        <v>127</v>
      </c>
      <c r="R168">
        <v>1</v>
      </c>
      <c r="S168">
        <f t="shared" si="11"/>
        <v>1</v>
      </c>
      <c r="T168">
        <f t="shared" si="12"/>
        <v>-0.30000000000000004</v>
      </c>
      <c r="U168" s="38">
        <f t="shared" si="15"/>
        <v>129.73626865671636</v>
      </c>
      <c r="W168">
        <v>353.5</v>
      </c>
      <c r="Y168">
        <f t="shared" si="14"/>
        <v>73885.799999999959</v>
      </c>
      <c r="Z168">
        <f t="shared" si="18"/>
        <v>16033.599999999999</v>
      </c>
      <c r="AA168" s="44">
        <v>8.0781298301430358</v>
      </c>
    </row>
    <row r="169" spans="1:27" x14ac:dyDescent="0.25">
      <c r="A169">
        <v>6440</v>
      </c>
      <c r="B169">
        <v>26330</v>
      </c>
      <c r="C169" s="1">
        <v>42747</v>
      </c>
      <c r="F169" s="64"/>
      <c r="G169">
        <v>5.0999999999999996</v>
      </c>
      <c r="H169">
        <v>4.7</v>
      </c>
      <c r="I169">
        <v>6.7</v>
      </c>
      <c r="J169">
        <f t="shared" si="13"/>
        <v>1133.5999999999999</v>
      </c>
      <c r="K169">
        <f t="shared" si="19"/>
        <v>186.99999999999997</v>
      </c>
      <c r="M169">
        <v>18.100000000000001</v>
      </c>
      <c r="N169">
        <v>0.8</v>
      </c>
      <c r="O169" s="37">
        <f t="shared" si="10"/>
        <v>17.3</v>
      </c>
      <c r="P169">
        <f t="shared" si="16"/>
        <v>127.80000000000001</v>
      </c>
      <c r="Q169">
        <v>128</v>
      </c>
      <c r="R169">
        <v>1</v>
      </c>
      <c r="S169">
        <f t="shared" si="11"/>
        <v>0.8</v>
      </c>
      <c r="T169">
        <f t="shared" si="12"/>
        <v>17.3</v>
      </c>
      <c r="U169" s="38">
        <f t="shared" si="15"/>
        <v>147.03626865671637</v>
      </c>
      <c r="W169">
        <v>93.7</v>
      </c>
      <c r="Y169">
        <f t="shared" si="14"/>
        <v>73979.499999999956</v>
      </c>
      <c r="Z169">
        <f t="shared" si="18"/>
        <v>16127.3</v>
      </c>
      <c r="AA169" s="44">
        <v>8.1101285999940345</v>
      </c>
    </row>
    <row r="170" spans="1:27" x14ac:dyDescent="0.25">
      <c r="A170">
        <v>6440</v>
      </c>
      <c r="B170">
        <v>26330</v>
      </c>
      <c r="C170" s="1">
        <v>42748</v>
      </c>
      <c r="E170" s="44">
        <v>24</v>
      </c>
      <c r="F170" s="64"/>
      <c r="G170">
        <v>3.1</v>
      </c>
      <c r="H170">
        <v>1.8</v>
      </c>
      <c r="I170">
        <v>4.9000000000000004</v>
      </c>
      <c r="J170">
        <f t="shared" si="13"/>
        <v>1136.6999999999998</v>
      </c>
      <c r="K170">
        <f t="shared" si="19"/>
        <v>190.09999999999997</v>
      </c>
      <c r="M170">
        <v>3.4</v>
      </c>
      <c r="N170">
        <v>1</v>
      </c>
      <c r="O170" s="37">
        <f t="shared" si="10"/>
        <v>2.4</v>
      </c>
      <c r="P170">
        <f t="shared" si="16"/>
        <v>130.20000000000002</v>
      </c>
      <c r="Q170">
        <v>129</v>
      </c>
      <c r="R170">
        <v>1</v>
      </c>
      <c r="S170">
        <f t="shared" si="11"/>
        <v>1</v>
      </c>
      <c r="T170">
        <f t="shared" si="12"/>
        <v>2.4</v>
      </c>
      <c r="U170" s="38">
        <f t="shared" si="15"/>
        <v>149.43626865671638</v>
      </c>
      <c r="W170">
        <v>105.9</v>
      </c>
      <c r="Y170">
        <f t="shared" si="14"/>
        <v>74085.399999999951</v>
      </c>
      <c r="Z170">
        <f t="shared" si="18"/>
        <v>16233.199999999999</v>
      </c>
      <c r="AA170" s="44">
        <v>8.1433749446075936</v>
      </c>
    </row>
    <row r="171" spans="1:27" x14ac:dyDescent="0.25">
      <c r="A171">
        <v>6440</v>
      </c>
      <c r="B171">
        <v>26330</v>
      </c>
      <c r="C171" s="1">
        <v>42749</v>
      </c>
      <c r="E171" s="44">
        <v>25</v>
      </c>
      <c r="F171" s="64"/>
      <c r="G171">
        <v>2.2000000000000002</v>
      </c>
      <c r="H171">
        <v>0.4</v>
      </c>
      <c r="I171">
        <v>4</v>
      </c>
      <c r="J171">
        <f t="shared" si="13"/>
        <v>1138.8999999999999</v>
      </c>
      <c r="K171">
        <f t="shared" si="19"/>
        <v>192.29999999999995</v>
      </c>
      <c r="M171">
        <v>1.3</v>
      </c>
      <c r="N171">
        <v>0.5</v>
      </c>
      <c r="O171" s="37">
        <f t="shared" ref="O171:O234" si="20">M171-N171</f>
        <v>0.8</v>
      </c>
      <c r="P171">
        <f t="shared" si="16"/>
        <v>131.00000000000003</v>
      </c>
      <c r="Q171">
        <v>130</v>
      </c>
      <c r="R171">
        <v>1</v>
      </c>
      <c r="S171">
        <f t="shared" ref="S171:S234" si="21">R171*N171</f>
        <v>0.5</v>
      </c>
      <c r="T171">
        <f t="shared" ref="T171:T234" si="22">M171-S171</f>
        <v>0.8</v>
      </c>
      <c r="U171" s="38">
        <f t="shared" si="15"/>
        <v>150.23626865671639</v>
      </c>
      <c r="W171">
        <v>251.2</v>
      </c>
      <c r="Y171">
        <f t="shared" si="14"/>
        <v>74336.599999999948</v>
      </c>
      <c r="Z171">
        <f t="shared" si="18"/>
        <v>16484.399999999998</v>
      </c>
      <c r="AA171" s="44">
        <v>8.1778425184180623</v>
      </c>
    </row>
    <row r="172" spans="1:27" x14ac:dyDescent="0.25">
      <c r="A172">
        <v>6440</v>
      </c>
      <c r="B172">
        <v>26330</v>
      </c>
      <c r="C172" s="1">
        <v>42750</v>
      </c>
      <c r="E172" s="44">
        <v>26</v>
      </c>
      <c r="F172" s="64"/>
      <c r="G172">
        <v>1.6</v>
      </c>
      <c r="H172">
        <v>0.4</v>
      </c>
      <c r="I172">
        <v>3.1</v>
      </c>
      <c r="J172">
        <f t="shared" ref="J172:J235" si="23">J171+G172</f>
        <v>1140.4999999999998</v>
      </c>
      <c r="K172">
        <f t="shared" si="19"/>
        <v>193.89999999999995</v>
      </c>
      <c r="M172">
        <v>1.7</v>
      </c>
      <c r="N172">
        <v>0.2</v>
      </c>
      <c r="O172" s="37">
        <f t="shared" si="20"/>
        <v>1.5</v>
      </c>
      <c r="P172">
        <f t="shared" si="16"/>
        <v>132.50000000000003</v>
      </c>
      <c r="Q172">
        <v>131</v>
      </c>
      <c r="R172">
        <v>1</v>
      </c>
      <c r="S172">
        <f t="shared" si="21"/>
        <v>0.2</v>
      </c>
      <c r="T172">
        <f t="shared" si="22"/>
        <v>1.5</v>
      </c>
      <c r="U172" s="38">
        <f t="shared" si="15"/>
        <v>151.73626865671639</v>
      </c>
      <c r="W172">
        <v>95</v>
      </c>
      <c r="Y172">
        <f t="shared" ref="Y172:Y235" si="24">Y171+W172</f>
        <v>74431.599999999948</v>
      </c>
      <c r="Z172">
        <f t="shared" si="18"/>
        <v>16579.399999999998</v>
      </c>
      <c r="AA172" s="44">
        <v>8.2135045490482419</v>
      </c>
    </row>
    <row r="173" spans="1:27" x14ac:dyDescent="0.25">
      <c r="A173">
        <v>6440</v>
      </c>
      <c r="B173">
        <v>26330</v>
      </c>
      <c r="C173" s="1">
        <v>42751</v>
      </c>
      <c r="E173" s="44">
        <v>27</v>
      </c>
      <c r="F173" s="64"/>
      <c r="G173">
        <v>0.1</v>
      </c>
      <c r="H173">
        <v>-0.4</v>
      </c>
      <c r="I173">
        <v>2</v>
      </c>
      <c r="J173">
        <f t="shared" si="23"/>
        <v>1140.5999999999997</v>
      </c>
      <c r="K173">
        <f t="shared" si="19"/>
        <v>193.99999999999994</v>
      </c>
      <c r="M173">
        <v>0</v>
      </c>
      <c r="N173">
        <v>0.3</v>
      </c>
      <c r="O173" s="37">
        <f t="shared" si="20"/>
        <v>-0.3</v>
      </c>
      <c r="P173">
        <f t="shared" si="16"/>
        <v>132.20000000000002</v>
      </c>
      <c r="Q173">
        <v>132</v>
      </c>
      <c r="R173">
        <v>1</v>
      </c>
      <c r="S173">
        <f t="shared" si="21"/>
        <v>0.3</v>
      </c>
      <c r="T173">
        <f t="shared" si="22"/>
        <v>-0.3</v>
      </c>
      <c r="U173" s="38">
        <f t="shared" si="15"/>
        <v>151.43626865671638</v>
      </c>
      <c r="W173">
        <v>241.3</v>
      </c>
      <c r="Y173">
        <f t="shared" si="24"/>
        <v>74672.899999999951</v>
      </c>
      <c r="Z173">
        <f t="shared" si="18"/>
        <v>16820.699999999997</v>
      </c>
      <c r="AA173" s="44">
        <v>8.2503339041110824</v>
      </c>
    </row>
    <row r="174" spans="1:27" x14ac:dyDescent="0.25">
      <c r="A174">
        <v>6440</v>
      </c>
      <c r="B174">
        <v>26330</v>
      </c>
      <c r="C174" s="1">
        <v>42752</v>
      </c>
      <c r="E174" s="44">
        <v>28</v>
      </c>
      <c r="F174" s="64"/>
      <c r="G174">
        <v>-2.1</v>
      </c>
      <c r="H174">
        <v>-2.6</v>
      </c>
      <c r="I174">
        <v>-1.4</v>
      </c>
      <c r="J174">
        <v>1140.5999999999999</v>
      </c>
      <c r="K174">
        <v>194</v>
      </c>
      <c r="M174">
        <v>0</v>
      </c>
      <c r="N174">
        <v>0.4</v>
      </c>
      <c r="O174" s="37">
        <f t="shared" si="20"/>
        <v>-0.4</v>
      </c>
      <c r="P174">
        <f t="shared" si="16"/>
        <v>131.80000000000001</v>
      </c>
      <c r="Q174">
        <v>133</v>
      </c>
      <c r="R174">
        <v>1</v>
      </c>
      <c r="S174">
        <f t="shared" si="21"/>
        <v>0.4</v>
      </c>
      <c r="T174">
        <f t="shared" si="22"/>
        <v>-0.4</v>
      </c>
      <c r="U174" s="38">
        <f t="shared" si="15"/>
        <v>151.03626865671637</v>
      </c>
      <c r="W174">
        <v>551.79999999999995</v>
      </c>
      <c r="Y174">
        <f t="shared" si="24"/>
        <v>75224.699999999953</v>
      </c>
      <c r="Z174">
        <f t="shared" si="18"/>
        <v>17372.499999999996</v>
      </c>
      <c r="AA174" s="44">
        <v>8.2883031563934875</v>
      </c>
    </row>
    <row r="175" spans="1:27" x14ac:dyDescent="0.25">
      <c r="A175">
        <v>6440</v>
      </c>
      <c r="B175">
        <v>26330</v>
      </c>
      <c r="C175" s="1">
        <v>42753</v>
      </c>
      <c r="E175" s="44">
        <v>29</v>
      </c>
      <c r="F175" s="64"/>
      <c r="G175">
        <v>-2.4</v>
      </c>
      <c r="H175">
        <v>-4.2</v>
      </c>
      <c r="I175">
        <v>-0.8</v>
      </c>
      <c r="J175">
        <v>1140.5999999999999</v>
      </c>
      <c r="K175">
        <v>194</v>
      </c>
      <c r="M175">
        <v>0</v>
      </c>
      <c r="N175">
        <v>0.3</v>
      </c>
      <c r="O175" s="37">
        <f t="shared" si="20"/>
        <v>-0.3</v>
      </c>
      <c r="P175">
        <f t="shared" si="16"/>
        <v>131.5</v>
      </c>
      <c r="Q175">
        <v>134</v>
      </c>
      <c r="R175">
        <v>1</v>
      </c>
      <c r="S175">
        <f t="shared" si="21"/>
        <v>0.3</v>
      </c>
      <c r="T175">
        <f t="shared" si="22"/>
        <v>-0.3</v>
      </c>
      <c r="U175" s="38">
        <f t="shared" si="15"/>
        <v>150.73626865671636</v>
      </c>
      <c r="W175">
        <v>714.9</v>
      </c>
      <c r="Y175">
        <f t="shared" si="24"/>
        <v>75939.599999999948</v>
      </c>
      <c r="Z175">
        <f t="shared" si="18"/>
        <v>18087.399999999998</v>
      </c>
      <c r="AA175" s="44">
        <v>8.3273846471819777</v>
      </c>
    </row>
    <row r="176" spans="1:27" x14ac:dyDescent="0.25">
      <c r="A176">
        <v>6440</v>
      </c>
      <c r="B176">
        <v>26330</v>
      </c>
      <c r="C176" s="1">
        <v>42754</v>
      </c>
      <c r="E176" s="44">
        <v>30</v>
      </c>
      <c r="F176" s="64"/>
      <c r="G176">
        <v>-1.1000000000000001</v>
      </c>
      <c r="H176">
        <v>-3.7</v>
      </c>
      <c r="I176">
        <v>0.8</v>
      </c>
      <c r="J176">
        <v>1140.5999999999999</v>
      </c>
      <c r="K176">
        <v>194</v>
      </c>
      <c r="M176">
        <v>0</v>
      </c>
      <c r="N176">
        <v>0.6</v>
      </c>
      <c r="O176" s="37">
        <f t="shared" si="20"/>
        <v>-0.6</v>
      </c>
      <c r="P176">
        <f t="shared" si="16"/>
        <v>130.9</v>
      </c>
      <c r="Q176">
        <v>135</v>
      </c>
      <c r="R176">
        <v>1</v>
      </c>
      <c r="S176">
        <f t="shared" si="21"/>
        <v>0.6</v>
      </c>
      <c r="T176">
        <f t="shared" si="22"/>
        <v>-0.6</v>
      </c>
      <c r="U176" s="38">
        <f t="shared" si="15"/>
        <v>150.13626865671637</v>
      </c>
      <c r="W176">
        <v>726.5</v>
      </c>
      <c r="Y176">
        <f t="shared" si="24"/>
        <v>76666.099999999948</v>
      </c>
      <c r="Z176">
        <f t="shared" si="18"/>
        <v>18813.899999999998</v>
      </c>
      <c r="AA176" s="44">
        <v>8.3675505475174585</v>
      </c>
    </row>
    <row r="177" spans="1:27" x14ac:dyDescent="0.25">
      <c r="A177">
        <v>6440</v>
      </c>
      <c r="B177">
        <v>26330</v>
      </c>
      <c r="C177" s="1">
        <v>42755</v>
      </c>
      <c r="E177" s="44">
        <v>31</v>
      </c>
      <c r="F177" s="64"/>
      <c r="G177">
        <v>-0.4</v>
      </c>
      <c r="H177">
        <v>-3.2</v>
      </c>
      <c r="I177">
        <v>2.2999999999999998</v>
      </c>
      <c r="J177">
        <v>1140.5999999999999</v>
      </c>
      <c r="K177">
        <v>194</v>
      </c>
      <c r="M177">
        <v>0</v>
      </c>
      <c r="N177">
        <v>1</v>
      </c>
      <c r="O177" s="37">
        <f t="shared" si="20"/>
        <v>-1</v>
      </c>
      <c r="P177">
        <f t="shared" si="16"/>
        <v>129.9</v>
      </c>
      <c r="Q177">
        <v>136</v>
      </c>
      <c r="R177">
        <v>1</v>
      </c>
      <c r="S177">
        <f t="shared" si="21"/>
        <v>1</v>
      </c>
      <c r="T177">
        <f t="shared" si="22"/>
        <v>-1</v>
      </c>
      <c r="U177" s="38">
        <f t="shared" si="15"/>
        <v>149.13626865671637</v>
      </c>
      <c r="W177">
        <v>738</v>
      </c>
      <c r="Y177">
        <f t="shared" si="24"/>
        <v>77404.099999999948</v>
      </c>
      <c r="Z177">
        <f t="shared" si="18"/>
        <v>19551.899999999998</v>
      </c>
      <c r="AA177" s="44">
        <v>8.4087729171937369</v>
      </c>
    </row>
    <row r="178" spans="1:27" x14ac:dyDescent="0.25">
      <c r="A178">
        <v>6440</v>
      </c>
      <c r="B178">
        <v>26330</v>
      </c>
      <c r="C178" s="1">
        <v>42756</v>
      </c>
      <c r="E178" s="44">
        <v>32</v>
      </c>
      <c r="F178" s="64"/>
      <c r="G178">
        <v>-1.8</v>
      </c>
      <c r="H178">
        <v>-4</v>
      </c>
      <c r="I178">
        <v>1.4</v>
      </c>
      <c r="J178">
        <v>1140.5999999999999</v>
      </c>
      <c r="K178">
        <v>194</v>
      </c>
      <c r="M178">
        <v>0</v>
      </c>
      <c r="N178">
        <v>0.7</v>
      </c>
      <c r="O178" s="37">
        <f t="shared" si="20"/>
        <v>-0.7</v>
      </c>
      <c r="P178">
        <f t="shared" si="16"/>
        <v>129.20000000000002</v>
      </c>
      <c r="Q178">
        <v>137</v>
      </c>
      <c r="R178">
        <v>1</v>
      </c>
      <c r="S178">
        <f t="shared" si="21"/>
        <v>0.7</v>
      </c>
      <c r="T178">
        <f t="shared" si="22"/>
        <v>-0.7</v>
      </c>
      <c r="U178" s="38">
        <f t="shared" si="15"/>
        <v>148.43626865671638</v>
      </c>
      <c r="W178">
        <v>750</v>
      </c>
      <c r="Y178">
        <f t="shared" si="24"/>
        <v>78154.099999999948</v>
      </c>
      <c r="Z178">
        <f t="shared" si="18"/>
        <v>20301.899999999998</v>
      </c>
      <c r="AA178" s="44">
        <v>8.4510237613415562</v>
      </c>
    </row>
    <row r="179" spans="1:27" x14ac:dyDescent="0.25">
      <c r="A179">
        <v>6440</v>
      </c>
      <c r="B179">
        <v>26330</v>
      </c>
      <c r="C179" s="1">
        <v>42757</v>
      </c>
      <c r="E179" s="44">
        <v>33</v>
      </c>
      <c r="F179" s="64"/>
      <c r="G179">
        <v>-1.8</v>
      </c>
      <c r="H179">
        <v>-5.7</v>
      </c>
      <c r="I179">
        <v>2.4</v>
      </c>
      <c r="J179">
        <v>1140.5999999999999</v>
      </c>
      <c r="K179">
        <v>194</v>
      </c>
      <c r="M179">
        <v>0</v>
      </c>
      <c r="N179">
        <v>0.5</v>
      </c>
      <c r="O179" s="37">
        <f t="shared" si="20"/>
        <v>-0.5</v>
      </c>
      <c r="P179">
        <f t="shared" si="16"/>
        <v>128.70000000000002</v>
      </c>
      <c r="Q179">
        <v>138</v>
      </c>
      <c r="R179">
        <v>1</v>
      </c>
      <c r="S179">
        <f t="shared" si="21"/>
        <v>0.5</v>
      </c>
      <c r="T179">
        <f t="shared" si="22"/>
        <v>-0.5</v>
      </c>
      <c r="U179" s="38">
        <f t="shared" ref="U179:U242" si="25">MIN(T179+U178,153.6)</f>
        <v>147.93626865671638</v>
      </c>
      <c r="W179">
        <v>727.4</v>
      </c>
      <c r="Y179">
        <f t="shared" si="24"/>
        <v>78881.499999999942</v>
      </c>
      <c r="Z179">
        <f t="shared" si="18"/>
        <v>21029.3</v>
      </c>
      <c r="AA179" s="44">
        <v>8.4942750844660946</v>
      </c>
    </row>
    <row r="180" spans="1:27" x14ac:dyDescent="0.25">
      <c r="A180">
        <v>6440</v>
      </c>
      <c r="B180">
        <v>26330</v>
      </c>
      <c r="C180" s="1">
        <v>42758</v>
      </c>
      <c r="E180" s="44">
        <v>34</v>
      </c>
      <c r="F180" s="64"/>
      <c r="G180">
        <v>0</v>
      </c>
      <c r="H180">
        <v>-3.2</v>
      </c>
      <c r="I180">
        <v>1.7</v>
      </c>
      <c r="J180">
        <f t="shared" si="23"/>
        <v>1140.5999999999999</v>
      </c>
      <c r="K180">
        <f t="shared" si="19"/>
        <v>194</v>
      </c>
      <c r="M180">
        <v>0</v>
      </c>
      <c r="N180">
        <v>0.4</v>
      </c>
      <c r="O180" s="37">
        <f t="shared" si="20"/>
        <v>-0.4</v>
      </c>
      <c r="P180">
        <f t="shared" ref="P180:P243" si="26">P179+O180</f>
        <v>128.30000000000001</v>
      </c>
      <c r="Q180">
        <v>139</v>
      </c>
      <c r="R180">
        <v>1</v>
      </c>
      <c r="S180">
        <f t="shared" si="21"/>
        <v>0.4</v>
      </c>
      <c r="T180">
        <f t="shared" si="22"/>
        <v>-0.4</v>
      </c>
      <c r="U180" s="38">
        <f t="shared" si="25"/>
        <v>147.53626865671637</v>
      </c>
      <c r="W180">
        <v>229.8</v>
      </c>
      <c r="Y180">
        <f t="shared" si="24"/>
        <v>79111.299999999945</v>
      </c>
      <c r="Z180">
        <f t="shared" si="18"/>
        <v>21259.1</v>
      </c>
      <c r="AA180" s="44">
        <v>8.5384989418313193</v>
      </c>
    </row>
    <row r="181" spans="1:27" x14ac:dyDescent="0.25">
      <c r="A181">
        <v>6440</v>
      </c>
      <c r="B181">
        <v>26330</v>
      </c>
      <c r="C181" s="1">
        <v>42759</v>
      </c>
      <c r="E181" s="44">
        <v>35</v>
      </c>
      <c r="F181" s="64"/>
      <c r="G181">
        <v>0.2</v>
      </c>
      <c r="H181">
        <v>-0.8</v>
      </c>
      <c r="I181">
        <v>1.5</v>
      </c>
      <c r="J181">
        <f t="shared" si="23"/>
        <v>1140.8</v>
      </c>
      <c r="K181">
        <f t="shared" si="19"/>
        <v>194.2</v>
      </c>
      <c r="M181">
        <v>0</v>
      </c>
      <c r="N181">
        <v>0.5</v>
      </c>
      <c r="O181" s="37">
        <f t="shared" si="20"/>
        <v>-0.5</v>
      </c>
      <c r="P181">
        <f t="shared" si="26"/>
        <v>127.80000000000001</v>
      </c>
      <c r="Q181">
        <v>140</v>
      </c>
      <c r="R181">
        <v>1</v>
      </c>
      <c r="S181">
        <f t="shared" si="21"/>
        <v>0.5</v>
      </c>
      <c r="T181">
        <f t="shared" si="22"/>
        <v>-0.5</v>
      </c>
      <c r="U181" s="38">
        <f t="shared" si="25"/>
        <v>147.03626865671637</v>
      </c>
      <c r="W181">
        <v>425.2</v>
      </c>
      <c r="Y181">
        <f t="shared" si="24"/>
        <v>79536.499999999942</v>
      </c>
      <c r="Z181">
        <f t="shared" si="18"/>
        <v>21684.3</v>
      </c>
      <c r="AA181" s="44">
        <v>8.583667488108631</v>
      </c>
    </row>
    <row r="182" spans="1:27" x14ac:dyDescent="0.25">
      <c r="A182">
        <v>6440</v>
      </c>
      <c r="B182">
        <v>26330</v>
      </c>
      <c r="C182" s="1">
        <v>42760</v>
      </c>
      <c r="E182" s="44">
        <v>36</v>
      </c>
      <c r="F182" s="64"/>
      <c r="G182">
        <v>-0.7</v>
      </c>
      <c r="H182">
        <v>-1</v>
      </c>
      <c r="I182">
        <v>0.1</v>
      </c>
      <c r="J182">
        <v>1140.8</v>
      </c>
      <c r="K182">
        <v>194.2</v>
      </c>
      <c r="M182">
        <v>0</v>
      </c>
      <c r="N182">
        <v>0.4</v>
      </c>
      <c r="O182" s="37">
        <f t="shared" si="20"/>
        <v>-0.4</v>
      </c>
      <c r="P182">
        <f t="shared" si="26"/>
        <v>127.4</v>
      </c>
      <c r="Q182">
        <v>141</v>
      </c>
      <c r="R182">
        <v>1</v>
      </c>
      <c r="S182">
        <f t="shared" si="21"/>
        <v>0.4</v>
      </c>
      <c r="T182">
        <f t="shared" si="22"/>
        <v>-0.4</v>
      </c>
      <c r="U182" s="38">
        <f t="shared" si="25"/>
        <v>146.63626865671637</v>
      </c>
      <c r="W182">
        <v>156.30000000000001</v>
      </c>
      <c r="Y182">
        <f t="shared" si="24"/>
        <v>79692.799999999945</v>
      </c>
      <c r="Z182">
        <f t="shared" si="18"/>
        <v>21840.6</v>
      </c>
      <c r="AA182" s="44">
        <v>8.6297530232301956</v>
      </c>
    </row>
    <row r="183" spans="1:27" x14ac:dyDescent="0.25">
      <c r="A183">
        <v>6440</v>
      </c>
      <c r="B183">
        <v>26330</v>
      </c>
      <c r="C183" s="1">
        <v>42761</v>
      </c>
      <c r="E183" s="44">
        <v>37</v>
      </c>
      <c r="F183" s="64"/>
      <c r="G183">
        <v>-1.3</v>
      </c>
      <c r="H183">
        <v>-2.5</v>
      </c>
      <c r="I183">
        <v>0.5</v>
      </c>
      <c r="J183">
        <v>1140.8</v>
      </c>
      <c r="K183">
        <v>194.2</v>
      </c>
      <c r="M183">
        <v>0</v>
      </c>
      <c r="N183">
        <v>0.7</v>
      </c>
      <c r="O183" s="37">
        <f t="shared" si="20"/>
        <v>-0.7</v>
      </c>
      <c r="P183">
        <f t="shared" si="26"/>
        <v>126.7</v>
      </c>
      <c r="Q183">
        <v>142</v>
      </c>
      <c r="R183">
        <v>1</v>
      </c>
      <c r="S183">
        <f t="shared" si="21"/>
        <v>0.7</v>
      </c>
      <c r="T183">
        <f t="shared" si="22"/>
        <v>-0.7</v>
      </c>
      <c r="U183" s="38">
        <f t="shared" si="25"/>
        <v>145.93626865671638</v>
      </c>
      <c r="W183">
        <v>675.4</v>
      </c>
      <c r="Y183">
        <f t="shared" si="24"/>
        <v>80368.199999999939</v>
      </c>
      <c r="Z183">
        <f t="shared" si="18"/>
        <v>22516</v>
      </c>
      <c r="AA183" s="44">
        <v>8.6767280354086118</v>
      </c>
    </row>
    <row r="184" spans="1:27" x14ac:dyDescent="0.25">
      <c r="A184">
        <v>6440</v>
      </c>
      <c r="B184">
        <v>26330</v>
      </c>
      <c r="C184" s="1">
        <v>42762</v>
      </c>
      <c r="E184" s="44">
        <v>38</v>
      </c>
      <c r="F184" s="64"/>
      <c r="G184">
        <v>3</v>
      </c>
      <c r="H184">
        <v>-2.1</v>
      </c>
      <c r="I184">
        <v>6.5</v>
      </c>
      <c r="J184">
        <f t="shared" si="23"/>
        <v>1143.8</v>
      </c>
      <c r="K184">
        <f t="shared" si="19"/>
        <v>197.2</v>
      </c>
      <c r="M184">
        <v>0</v>
      </c>
      <c r="N184">
        <v>0.8</v>
      </c>
      <c r="O184" s="37">
        <f t="shared" si="20"/>
        <v>-0.8</v>
      </c>
      <c r="P184">
        <f t="shared" si="26"/>
        <v>125.9</v>
      </c>
      <c r="Q184">
        <v>143</v>
      </c>
      <c r="R184">
        <v>1</v>
      </c>
      <c r="S184">
        <f t="shared" si="21"/>
        <v>0.8</v>
      </c>
      <c r="T184">
        <f t="shared" si="22"/>
        <v>-0.8</v>
      </c>
      <c r="U184" s="38">
        <f t="shared" si="25"/>
        <v>145.13626865671637</v>
      </c>
      <c r="W184">
        <v>485.6</v>
      </c>
      <c r="Y184">
        <f t="shared" si="24"/>
        <v>80853.799999999945</v>
      </c>
      <c r="Z184">
        <f t="shared" si="18"/>
        <v>23001.599999999999</v>
      </c>
      <c r="AA184" s="44">
        <v>8.7245652413044876</v>
      </c>
    </row>
    <row r="185" spans="1:27" x14ac:dyDescent="0.25">
      <c r="A185">
        <v>6440</v>
      </c>
      <c r="B185">
        <v>26330</v>
      </c>
      <c r="C185" s="1">
        <v>42763</v>
      </c>
      <c r="F185" s="64"/>
      <c r="G185">
        <v>6.4</v>
      </c>
      <c r="H185">
        <v>5.4</v>
      </c>
      <c r="I185">
        <v>9.1</v>
      </c>
      <c r="J185">
        <f t="shared" si="23"/>
        <v>1150.2</v>
      </c>
      <c r="K185">
        <f t="shared" si="19"/>
        <v>203.6</v>
      </c>
      <c r="M185">
        <v>0.4</v>
      </c>
      <c r="N185">
        <v>1.4</v>
      </c>
      <c r="O185" s="37">
        <f t="shared" si="20"/>
        <v>-0.99999999999999989</v>
      </c>
      <c r="P185">
        <f t="shared" si="26"/>
        <v>124.9</v>
      </c>
      <c r="Q185">
        <v>144</v>
      </c>
      <c r="R185">
        <v>1</v>
      </c>
      <c r="S185">
        <f t="shared" si="21"/>
        <v>1.4</v>
      </c>
      <c r="T185">
        <f t="shared" si="22"/>
        <v>-0.99999999999999989</v>
      </c>
      <c r="U185" s="38">
        <f t="shared" si="25"/>
        <v>144.13626865671637</v>
      </c>
      <c r="W185">
        <v>200.5</v>
      </c>
      <c r="Y185">
        <f t="shared" si="24"/>
        <v>81054.299999999945</v>
      </c>
      <c r="Z185">
        <f t="shared" si="18"/>
        <v>23202.1</v>
      </c>
      <c r="AA185" s="44">
        <v>8.7732376233415827</v>
      </c>
    </row>
    <row r="186" spans="1:27" x14ac:dyDescent="0.25">
      <c r="A186">
        <v>6440</v>
      </c>
      <c r="B186">
        <v>26330</v>
      </c>
      <c r="C186" s="1">
        <v>42764</v>
      </c>
      <c r="E186" s="44">
        <v>39</v>
      </c>
      <c r="F186" s="64"/>
      <c r="G186">
        <v>4.5999999999999996</v>
      </c>
      <c r="H186">
        <v>2.1</v>
      </c>
      <c r="I186">
        <v>6.9</v>
      </c>
      <c r="J186">
        <f t="shared" si="23"/>
        <v>1154.8</v>
      </c>
      <c r="K186">
        <f t="shared" si="19"/>
        <v>208.2</v>
      </c>
      <c r="M186">
        <v>9.5</v>
      </c>
      <c r="N186">
        <v>0.4</v>
      </c>
      <c r="O186" s="37">
        <f t="shared" si="20"/>
        <v>9.1</v>
      </c>
      <c r="P186">
        <f t="shared" si="26"/>
        <v>134</v>
      </c>
      <c r="Q186">
        <v>145</v>
      </c>
      <c r="R186">
        <v>1</v>
      </c>
      <c r="S186">
        <f t="shared" si="21"/>
        <v>0.4</v>
      </c>
      <c r="T186">
        <f t="shared" si="22"/>
        <v>9.1</v>
      </c>
      <c r="U186" s="38">
        <f t="shared" si="25"/>
        <v>153.23626865671636</v>
      </c>
      <c r="W186">
        <v>286.8</v>
      </c>
      <c r="Y186">
        <f t="shared" si="24"/>
        <v>81341.099999999948</v>
      </c>
      <c r="Z186">
        <f t="shared" si="18"/>
        <v>23488.899999999998</v>
      </c>
      <c r="AA186" s="44">
        <v>8.8227184641858756</v>
      </c>
    </row>
    <row r="187" spans="1:27" x14ac:dyDescent="0.25">
      <c r="A187">
        <v>6440</v>
      </c>
      <c r="B187">
        <v>26330</v>
      </c>
      <c r="C187" s="1">
        <v>42765</v>
      </c>
      <c r="F187" s="64"/>
      <c r="G187">
        <v>6.8</v>
      </c>
      <c r="H187">
        <v>5.7</v>
      </c>
      <c r="I187">
        <v>8.1</v>
      </c>
      <c r="J187">
        <f t="shared" si="23"/>
        <v>1161.5999999999999</v>
      </c>
      <c r="K187">
        <f t="shared" si="19"/>
        <v>215</v>
      </c>
      <c r="M187">
        <v>1</v>
      </c>
      <c r="N187">
        <v>0.3</v>
      </c>
      <c r="O187" s="37">
        <f t="shared" si="20"/>
        <v>0.7</v>
      </c>
      <c r="P187">
        <f t="shared" si="26"/>
        <v>134.69999999999999</v>
      </c>
      <c r="Q187">
        <v>146</v>
      </c>
      <c r="R187">
        <v>1</v>
      </c>
      <c r="S187">
        <f t="shared" si="21"/>
        <v>0.3</v>
      </c>
      <c r="T187">
        <f t="shared" si="22"/>
        <v>0.7</v>
      </c>
      <c r="U187" s="38">
        <f t="shared" si="25"/>
        <v>153.6</v>
      </c>
      <c r="W187">
        <v>135.5</v>
      </c>
      <c r="Y187">
        <f t="shared" si="24"/>
        <v>81476.599999999948</v>
      </c>
      <c r="Z187">
        <f t="shared" si="18"/>
        <v>23624.399999999998</v>
      </c>
      <c r="AA187" s="44">
        <v>8.8729813784196292</v>
      </c>
    </row>
    <row r="188" spans="1:27" x14ac:dyDescent="0.25">
      <c r="A188">
        <v>6440</v>
      </c>
      <c r="B188">
        <v>26330</v>
      </c>
      <c r="C188" s="1">
        <v>42766</v>
      </c>
      <c r="E188" s="44">
        <v>40</v>
      </c>
      <c r="F188" s="64"/>
      <c r="G188">
        <v>4.5</v>
      </c>
      <c r="H188">
        <v>4.0999999999999996</v>
      </c>
      <c r="I188">
        <v>6.6</v>
      </c>
      <c r="J188">
        <f t="shared" si="23"/>
        <v>1166.0999999999999</v>
      </c>
      <c r="K188">
        <f t="shared" si="19"/>
        <v>219.5</v>
      </c>
      <c r="M188">
        <v>0.2</v>
      </c>
      <c r="N188">
        <v>0.6</v>
      </c>
      <c r="O188" s="37">
        <f t="shared" si="20"/>
        <v>-0.39999999999999997</v>
      </c>
      <c r="P188">
        <f t="shared" si="26"/>
        <v>134.29999999999998</v>
      </c>
      <c r="Q188">
        <v>147</v>
      </c>
      <c r="R188">
        <v>1</v>
      </c>
      <c r="S188">
        <f t="shared" si="21"/>
        <v>0.6</v>
      </c>
      <c r="T188">
        <f t="shared" si="22"/>
        <v>-0.39999999999999997</v>
      </c>
      <c r="U188" s="38">
        <f t="shared" si="25"/>
        <v>153.19999999999999</v>
      </c>
      <c r="W188">
        <v>256.39999999999998</v>
      </c>
      <c r="Y188">
        <f t="shared" si="24"/>
        <v>81732.999999999942</v>
      </c>
      <c r="Z188">
        <f t="shared" si="18"/>
        <v>23880.799999999999</v>
      </c>
      <c r="AA188" s="44">
        <v>8.9240003414549776</v>
      </c>
    </row>
    <row r="189" spans="1:27" x14ac:dyDescent="0.25">
      <c r="A189">
        <v>6440</v>
      </c>
      <c r="B189">
        <v>26330</v>
      </c>
      <c r="C189" s="1">
        <v>42767</v>
      </c>
      <c r="E189" t="s">
        <v>59</v>
      </c>
      <c r="F189" s="64"/>
      <c r="G189">
        <v>7.5</v>
      </c>
      <c r="H189">
        <v>4.5</v>
      </c>
      <c r="I189">
        <v>8.5</v>
      </c>
      <c r="J189">
        <f t="shared" si="23"/>
        <v>1173.5999999999999</v>
      </c>
      <c r="K189">
        <f t="shared" si="19"/>
        <v>227</v>
      </c>
      <c r="M189">
        <v>2</v>
      </c>
      <c r="N189">
        <v>0</v>
      </c>
      <c r="O189" s="37">
        <f t="shared" si="20"/>
        <v>2</v>
      </c>
      <c r="P189">
        <f t="shared" si="26"/>
        <v>136.29999999999998</v>
      </c>
      <c r="Q189">
        <v>148</v>
      </c>
      <c r="R189">
        <v>1</v>
      </c>
      <c r="S189">
        <f t="shared" si="21"/>
        <v>0</v>
      </c>
      <c r="T189">
        <f t="shared" si="22"/>
        <v>2</v>
      </c>
      <c r="U189" s="38">
        <f t="shared" si="25"/>
        <v>153.6</v>
      </c>
      <c r="W189">
        <v>128.19999999999999</v>
      </c>
      <c r="Y189">
        <f t="shared" si="24"/>
        <v>81861.199999999939</v>
      </c>
      <c r="Z189">
        <f t="shared" si="18"/>
        <v>24009</v>
      </c>
      <c r="AA189" s="44">
        <v>8.9757497157430404</v>
      </c>
    </row>
    <row r="190" spans="1:27" x14ac:dyDescent="0.25">
      <c r="A190">
        <v>6440</v>
      </c>
      <c r="B190">
        <v>26330</v>
      </c>
      <c r="C190" s="1">
        <v>42768</v>
      </c>
      <c r="F190" s="64"/>
      <c r="G190">
        <v>10.4</v>
      </c>
      <c r="H190">
        <v>8.1999999999999993</v>
      </c>
      <c r="I190">
        <v>12.2</v>
      </c>
      <c r="J190">
        <f t="shared" si="23"/>
        <v>1184</v>
      </c>
      <c r="K190">
        <f t="shared" si="19"/>
        <v>237.4</v>
      </c>
      <c r="M190">
        <v>0.5</v>
      </c>
      <c r="N190">
        <v>1</v>
      </c>
      <c r="O190" s="37">
        <f t="shared" si="20"/>
        <v>-0.5</v>
      </c>
      <c r="P190">
        <f t="shared" si="26"/>
        <v>135.79999999999998</v>
      </c>
      <c r="Q190">
        <v>149</v>
      </c>
      <c r="R190">
        <v>1</v>
      </c>
      <c r="S190">
        <f t="shared" si="21"/>
        <v>1</v>
      </c>
      <c r="T190">
        <f t="shared" si="22"/>
        <v>-0.5</v>
      </c>
      <c r="U190" s="38">
        <f t="shared" si="25"/>
        <v>153.1</v>
      </c>
      <c r="W190">
        <v>560</v>
      </c>
      <c r="Y190">
        <f t="shared" si="24"/>
        <v>82421.199999999939</v>
      </c>
      <c r="Z190">
        <f t="shared" ref="Z190:Z253" si="27">Z189+W190</f>
        <v>24569</v>
      </c>
      <c r="AA190">
        <v>9.0282042743448194</v>
      </c>
    </row>
    <row r="191" spans="1:27" x14ac:dyDescent="0.25">
      <c r="A191">
        <v>6440</v>
      </c>
      <c r="B191">
        <v>26330</v>
      </c>
      <c r="C191" s="1">
        <v>42769</v>
      </c>
      <c r="F191" s="64"/>
      <c r="G191">
        <v>9.1</v>
      </c>
      <c r="H191">
        <v>8.1</v>
      </c>
      <c r="I191">
        <v>10.5</v>
      </c>
      <c r="J191">
        <f t="shared" si="23"/>
        <v>1193.0999999999999</v>
      </c>
      <c r="K191">
        <f t="shared" ref="K191:K200" si="28">K190+G191</f>
        <v>246.5</v>
      </c>
      <c r="M191">
        <v>0.3</v>
      </c>
      <c r="N191">
        <v>1.1000000000000001</v>
      </c>
      <c r="O191" s="37">
        <f t="shared" si="20"/>
        <v>-0.8</v>
      </c>
      <c r="P191">
        <f t="shared" si="26"/>
        <v>134.99999999999997</v>
      </c>
      <c r="Q191">
        <v>150</v>
      </c>
      <c r="R191">
        <v>1</v>
      </c>
      <c r="S191">
        <f t="shared" si="21"/>
        <v>1.1000000000000001</v>
      </c>
      <c r="T191">
        <f t="shared" si="22"/>
        <v>-0.8</v>
      </c>
      <c r="U191" s="38">
        <f t="shared" si="25"/>
        <v>152.29999999999998</v>
      </c>
      <c r="W191">
        <v>186.3</v>
      </c>
      <c r="Y191">
        <f t="shared" si="24"/>
        <v>82607.499999999942</v>
      </c>
      <c r="Z191">
        <f t="shared" si="27"/>
        <v>24755.3</v>
      </c>
      <c r="AA191">
        <v>9.0813392219386717</v>
      </c>
    </row>
    <row r="192" spans="1:27" x14ac:dyDescent="0.25">
      <c r="A192">
        <v>6440</v>
      </c>
      <c r="B192">
        <v>26330</v>
      </c>
      <c r="C192" s="1">
        <v>42770</v>
      </c>
      <c r="F192" s="64"/>
      <c r="G192">
        <v>5.0999999999999996</v>
      </c>
      <c r="H192">
        <v>4</v>
      </c>
      <c r="I192">
        <v>5.9</v>
      </c>
      <c r="J192">
        <f t="shared" si="23"/>
        <v>1198.1999999999998</v>
      </c>
      <c r="K192">
        <f t="shared" si="28"/>
        <v>251.6</v>
      </c>
      <c r="M192">
        <v>7.7</v>
      </c>
      <c r="N192">
        <v>0.2</v>
      </c>
      <c r="O192" s="37">
        <f t="shared" si="20"/>
        <v>7.5</v>
      </c>
      <c r="P192">
        <f t="shared" si="26"/>
        <v>142.49999999999997</v>
      </c>
      <c r="Q192">
        <v>151</v>
      </c>
      <c r="R192">
        <v>1</v>
      </c>
      <c r="S192">
        <f t="shared" si="21"/>
        <v>0.2</v>
      </c>
      <c r="T192">
        <f t="shared" si="22"/>
        <v>7.5</v>
      </c>
      <c r="U192" s="38">
        <f t="shared" si="25"/>
        <v>153.6</v>
      </c>
      <c r="W192">
        <v>155.1</v>
      </c>
      <c r="Y192">
        <f t="shared" si="24"/>
        <v>82762.599999999948</v>
      </c>
      <c r="Z192">
        <f t="shared" si="27"/>
        <v>24910.399999999998</v>
      </c>
      <c r="AA192">
        <v>9.1351302133464038</v>
      </c>
    </row>
    <row r="193" spans="1:28" x14ac:dyDescent="0.25">
      <c r="A193">
        <v>6440</v>
      </c>
      <c r="B193">
        <v>26330</v>
      </c>
      <c r="C193" s="1">
        <v>42771</v>
      </c>
      <c r="F193" s="64"/>
      <c r="G193">
        <v>5.4</v>
      </c>
      <c r="H193">
        <v>4.0999999999999996</v>
      </c>
      <c r="I193">
        <v>6.5</v>
      </c>
      <c r="J193">
        <f t="shared" si="23"/>
        <v>1203.5999999999999</v>
      </c>
      <c r="K193">
        <f t="shared" si="28"/>
        <v>257</v>
      </c>
      <c r="M193">
        <v>17.100000000000001</v>
      </c>
      <c r="N193">
        <v>0.2</v>
      </c>
      <c r="O193" s="37">
        <f t="shared" si="20"/>
        <v>16.900000000000002</v>
      </c>
      <c r="P193">
        <f t="shared" si="26"/>
        <v>159.39999999999998</v>
      </c>
      <c r="Q193">
        <v>152</v>
      </c>
      <c r="R193">
        <v>1</v>
      </c>
      <c r="S193">
        <f t="shared" si="21"/>
        <v>0.2</v>
      </c>
      <c r="T193">
        <f t="shared" si="22"/>
        <v>16.900000000000002</v>
      </c>
      <c r="U193" s="38">
        <f t="shared" si="25"/>
        <v>153.6</v>
      </c>
      <c r="W193">
        <v>123.4</v>
      </c>
      <c r="Y193">
        <f t="shared" si="24"/>
        <v>82885.999999999942</v>
      </c>
      <c r="Z193">
        <f t="shared" si="27"/>
        <v>25033.8</v>
      </c>
      <c r="AA193">
        <v>9.1895533696659246</v>
      </c>
    </row>
    <row r="194" spans="1:28" x14ac:dyDescent="0.25">
      <c r="A194">
        <v>6440</v>
      </c>
      <c r="B194">
        <v>26330</v>
      </c>
      <c r="C194" s="1">
        <v>42772</v>
      </c>
      <c r="F194" s="64"/>
      <c r="G194">
        <v>5.7</v>
      </c>
      <c r="H194">
        <v>4.5999999999999996</v>
      </c>
      <c r="I194">
        <v>7.1</v>
      </c>
      <c r="J194">
        <f t="shared" si="23"/>
        <v>1209.3</v>
      </c>
      <c r="K194">
        <f t="shared" si="28"/>
        <v>262.7</v>
      </c>
      <c r="M194">
        <v>2.4</v>
      </c>
      <c r="N194">
        <v>0.5</v>
      </c>
      <c r="O194" s="37">
        <f t="shared" si="20"/>
        <v>1.9</v>
      </c>
      <c r="P194">
        <f t="shared" si="26"/>
        <v>161.29999999999998</v>
      </c>
      <c r="Q194">
        <v>153</v>
      </c>
      <c r="R194">
        <v>1</v>
      </c>
      <c r="S194">
        <f t="shared" si="21"/>
        <v>0.5</v>
      </c>
      <c r="T194">
        <f t="shared" si="22"/>
        <v>1.9</v>
      </c>
      <c r="U194" s="38">
        <f t="shared" si="25"/>
        <v>153.6</v>
      </c>
      <c r="W194">
        <v>208.9</v>
      </c>
      <c r="Y194">
        <f t="shared" si="24"/>
        <v>83094.899999999936</v>
      </c>
      <c r="Z194">
        <f t="shared" si="27"/>
        <v>25242.7</v>
      </c>
      <c r="AA194">
        <v>9.2445852921030767</v>
      </c>
    </row>
    <row r="195" spans="1:28" x14ac:dyDescent="0.25">
      <c r="A195">
        <v>6440</v>
      </c>
      <c r="B195">
        <v>26330</v>
      </c>
      <c r="C195" s="1">
        <v>42773</v>
      </c>
      <c r="F195" s="64"/>
      <c r="G195">
        <v>5.7</v>
      </c>
      <c r="H195">
        <v>4.7</v>
      </c>
      <c r="I195">
        <v>7</v>
      </c>
      <c r="J195">
        <f t="shared" si="23"/>
        <v>1215</v>
      </c>
      <c r="K195">
        <f t="shared" si="28"/>
        <v>268.39999999999998</v>
      </c>
      <c r="M195">
        <v>1.2</v>
      </c>
      <c r="N195">
        <v>0.4</v>
      </c>
      <c r="O195" s="37">
        <f t="shared" si="20"/>
        <v>0.79999999999999993</v>
      </c>
      <c r="P195">
        <f t="shared" si="26"/>
        <v>162.1</v>
      </c>
      <c r="Q195">
        <v>154</v>
      </c>
      <c r="R195">
        <v>1</v>
      </c>
      <c r="S195">
        <f t="shared" si="21"/>
        <v>0.4</v>
      </c>
      <c r="T195">
        <f t="shared" si="22"/>
        <v>0.79999999999999993</v>
      </c>
      <c r="U195" s="38">
        <f t="shared" si="25"/>
        <v>153.6</v>
      </c>
      <c r="W195">
        <v>176.2</v>
      </c>
      <c r="Y195">
        <f t="shared" si="24"/>
        <v>83271.099999999933</v>
      </c>
      <c r="Z195">
        <f t="shared" si="27"/>
        <v>25418.9</v>
      </c>
      <c r="AA195">
        <v>9.3002030735987677</v>
      </c>
    </row>
    <row r="196" spans="1:28" x14ac:dyDescent="0.25">
      <c r="A196">
        <v>6440</v>
      </c>
      <c r="B196">
        <v>26330</v>
      </c>
      <c r="C196" s="1">
        <v>42774</v>
      </c>
      <c r="F196" s="64"/>
      <c r="G196">
        <v>4</v>
      </c>
      <c r="H196">
        <v>2.9</v>
      </c>
      <c r="I196">
        <v>4.9000000000000004</v>
      </c>
      <c r="J196">
        <f t="shared" si="23"/>
        <v>1219</v>
      </c>
      <c r="K196">
        <f t="shared" si="28"/>
        <v>272.39999999999998</v>
      </c>
      <c r="M196">
        <v>0.2</v>
      </c>
      <c r="N196">
        <v>0.4</v>
      </c>
      <c r="O196" s="37">
        <f t="shared" si="20"/>
        <v>-0.2</v>
      </c>
      <c r="P196">
        <f t="shared" si="26"/>
        <v>161.9</v>
      </c>
      <c r="Q196">
        <v>155</v>
      </c>
      <c r="R196">
        <v>1</v>
      </c>
      <c r="S196">
        <f t="shared" si="21"/>
        <v>0.4</v>
      </c>
      <c r="T196">
        <f t="shared" si="22"/>
        <v>-0.2</v>
      </c>
      <c r="U196" s="38">
        <f t="shared" si="25"/>
        <v>153.4</v>
      </c>
      <c r="W196">
        <v>218.5</v>
      </c>
      <c r="Y196">
        <f t="shared" si="24"/>
        <v>83489.599999999933</v>
      </c>
      <c r="Z196">
        <f t="shared" si="27"/>
        <v>25637.4</v>
      </c>
      <c r="AA196">
        <v>9.3563843083500462</v>
      </c>
    </row>
    <row r="197" spans="1:28" x14ac:dyDescent="0.25">
      <c r="A197">
        <v>6440</v>
      </c>
      <c r="B197">
        <v>26330</v>
      </c>
      <c r="C197" s="1">
        <v>42775</v>
      </c>
      <c r="F197" s="64"/>
      <c r="G197">
        <v>1.5</v>
      </c>
      <c r="H197">
        <v>1.3</v>
      </c>
      <c r="I197">
        <v>1.9</v>
      </c>
      <c r="J197">
        <f t="shared" si="23"/>
        <v>1220.5</v>
      </c>
      <c r="K197">
        <f t="shared" si="28"/>
        <v>273.89999999999998</v>
      </c>
      <c r="M197">
        <v>0.1</v>
      </c>
      <c r="N197">
        <v>0.4</v>
      </c>
      <c r="O197" s="37">
        <f t="shared" si="20"/>
        <v>-0.30000000000000004</v>
      </c>
      <c r="P197">
        <f t="shared" si="26"/>
        <v>161.6</v>
      </c>
      <c r="Q197">
        <v>156</v>
      </c>
      <c r="R197">
        <v>1</v>
      </c>
      <c r="S197">
        <f t="shared" si="21"/>
        <v>0.4</v>
      </c>
      <c r="T197">
        <f t="shared" si="22"/>
        <v>-0.30000000000000004</v>
      </c>
      <c r="U197" s="38">
        <f t="shared" si="25"/>
        <v>153.1</v>
      </c>
      <c r="W197">
        <v>253.6</v>
      </c>
      <c r="Y197">
        <f t="shared" si="24"/>
        <v>83743.199999999939</v>
      </c>
      <c r="Z197">
        <f t="shared" si="27"/>
        <v>25891</v>
      </c>
      <c r="AA197">
        <v>9.4131070993252699</v>
      </c>
    </row>
    <row r="198" spans="1:28" x14ac:dyDescent="0.25">
      <c r="A198">
        <v>6440</v>
      </c>
      <c r="B198">
        <v>26330</v>
      </c>
      <c r="C198" s="1">
        <v>42776</v>
      </c>
      <c r="F198" s="64"/>
      <c r="G198">
        <v>-0.4</v>
      </c>
      <c r="H198">
        <v>-1.3</v>
      </c>
      <c r="I198">
        <v>0</v>
      </c>
      <c r="J198">
        <v>1220.5</v>
      </c>
      <c r="K198">
        <v>273.89999999999998</v>
      </c>
      <c r="M198">
        <v>0</v>
      </c>
      <c r="N198">
        <v>0.3</v>
      </c>
      <c r="O198" s="37">
        <f t="shared" si="20"/>
        <v>-0.3</v>
      </c>
      <c r="P198">
        <f t="shared" si="26"/>
        <v>161.29999999999998</v>
      </c>
      <c r="Q198">
        <v>157</v>
      </c>
      <c r="R198">
        <v>1</v>
      </c>
      <c r="S198">
        <f t="shared" si="21"/>
        <v>0.3</v>
      </c>
      <c r="T198">
        <f t="shared" si="22"/>
        <v>-0.3</v>
      </c>
      <c r="U198" s="38">
        <f t="shared" si="25"/>
        <v>152.79999999999998</v>
      </c>
      <c r="W198">
        <v>199.9</v>
      </c>
      <c r="Y198">
        <f t="shared" si="24"/>
        <v>83943.099999999933</v>
      </c>
      <c r="Z198">
        <f t="shared" si="27"/>
        <v>26090.9</v>
      </c>
      <c r="AA198">
        <v>9.4703500638742444</v>
      </c>
    </row>
    <row r="199" spans="1:28" x14ac:dyDescent="0.25">
      <c r="A199">
        <v>6440</v>
      </c>
      <c r="B199">
        <v>26330</v>
      </c>
      <c r="C199" s="1">
        <v>42777</v>
      </c>
      <c r="F199" s="64"/>
      <c r="G199">
        <v>0.6</v>
      </c>
      <c r="H199">
        <v>-0.2</v>
      </c>
      <c r="I199">
        <v>1.6</v>
      </c>
      <c r="J199">
        <f t="shared" si="23"/>
        <v>1221.0999999999999</v>
      </c>
      <c r="K199">
        <f t="shared" si="28"/>
        <v>274.5</v>
      </c>
      <c r="M199">
        <v>0</v>
      </c>
      <c r="N199">
        <v>0.3</v>
      </c>
      <c r="O199" s="37">
        <f t="shared" si="20"/>
        <v>-0.3</v>
      </c>
      <c r="P199" s="41">
        <f t="shared" si="26"/>
        <v>160.99999999999997</v>
      </c>
      <c r="Q199" s="41">
        <v>158</v>
      </c>
      <c r="R199" s="41">
        <v>1</v>
      </c>
      <c r="S199" s="41">
        <f t="shared" si="21"/>
        <v>0.3</v>
      </c>
      <c r="T199" s="41">
        <f t="shared" si="22"/>
        <v>-0.3</v>
      </c>
      <c r="U199" s="38">
        <f t="shared" si="25"/>
        <v>152.49999999999997</v>
      </c>
      <c r="V199" s="41"/>
      <c r="W199" s="41">
        <v>101.8</v>
      </c>
      <c r="X199" s="41"/>
      <c r="Y199" s="41">
        <f t="shared" si="24"/>
        <v>84044.899999999936</v>
      </c>
      <c r="Z199" s="41">
        <f t="shared" si="27"/>
        <v>26192.7</v>
      </c>
      <c r="AA199">
        <v>9.52809233753411</v>
      </c>
    </row>
    <row r="200" spans="1:28" s="13" customFormat="1" ht="15.75" thickBot="1" x14ac:dyDescent="0.3">
      <c r="A200" s="13">
        <v>6440</v>
      </c>
      <c r="B200" s="13">
        <v>26330</v>
      </c>
      <c r="C200" s="14">
        <v>42778</v>
      </c>
      <c r="D200" s="13" t="s">
        <v>20</v>
      </c>
      <c r="F200" s="65"/>
      <c r="G200" s="13">
        <v>3.4</v>
      </c>
      <c r="H200" s="13">
        <v>0.8</v>
      </c>
      <c r="I200" s="13">
        <v>5.9</v>
      </c>
      <c r="J200" s="13">
        <f t="shared" si="23"/>
        <v>1224.5</v>
      </c>
      <c r="K200">
        <f t="shared" si="28"/>
        <v>277.89999999999998</v>
      </c>
      <c r="L200" s="26"/>
      <c r="M200" s="13">
        <v>0</v>
      </c>
      <c r="N200" s="13">
        <v>0.4</v>
      </c>
      <c r="O200" s="19">
        <f t="shared" si="20"/>
        <v>-0.4</v>
      </c>
      <c r="P200" s="17">
        <f t="shared" si="26"/>
        <v>160.59999999999997</v>
      </c>
      <c r="Q200" s="17">
        <v>159</v>
      </c>
      <c r="R200" s="17">
        <v>1</v>
      </c>
      <c r="S200" s="17">
        <f t="shared" si="21"/>
        <v>0.4</v>
      </c>
      <c r="T200" s="17">
        <f t="shared" si="22"/>
        <v>-0.4</v>
      </c>
      <c r="U200" s="38">
        <f t="shared" si="25"/>
        <v>152.09999999999997</v>
      </c>
      <c r="W200" s="13">
        <v>271.39999999999998</v>
      </c>
      <c r="Y200" s="17">
        <f t="shared" si="24"/>
        <v>84316.29999999993</v>
      </c>
      <c r="Z200" s="13">
        <f t="shared" si="27"/>
        <v>26464.100000000002</v>
      </c>
      <c r="AA200" s="13">
        <v>9.5863135761309994</v>
      </c>
    </row>
    <row r="201" spans="1:28" ht="15" customHeight="1" x14ac:dyDescent="0.25">
      <c r="A201">
        <v>6440</v>
      </c>
      <c r="B201">
        <v>26330</v>
      </c>
      <c r="C201" s="1">
        <v>42779</v>
      </c>
      <c r="F201" s="66" t="s">
        <v>24</v>
      </c>
      <c r="G201">
        <v>5.4</v>
      </c>
      <c r="H201">
        <v>2.8</v>
      </c>
      <c r="I201">
        <v>8.3000000000000007</v>
      </c>
      <c r="J201">
        <f t="shared" si="23"/>
        <v>1229.9000000000001</v>
      </c>
      <c r="K201">
        <v>5.4</v>
      </c>
      <c r="L201" s="28" t="s">
        <v>29</v>
      </c>
      <c r="M201">
        <v>0</v>
      </c>
      <c r="N201">
        <v>1.2</v>
      </c>
      <c r="O201" s="37">
        <f t="shared" si="20"/>
        <v>-1.2</v>
      </c>
      <c r="P201">
        <f t="shared" si="26"/>
        <v>159.39999999999998</v>
      </c>
      <c r="Q201">
        <v>160</v>
      </c>
      <c r="R201" s="38">
        <f>1+((Q201-159)/47)*(1.15-1)</f>
        <v>1.0031914893617022</v>
      </c>
      <c r="S201" s="38">
        <f t="shared" si="21"/>
        <v>1.2038297872340427</v>
      </c>
      <c r="T201" s="38">
        <f t="shared" si="22"/>
        <v>-1.2038297872340427</v>
      </c>
      <c r="U201" s="38">
        <f t="shared" si="25"/>
        <v>150.89617021276592</v>
      </c>
      <c r="V201" s="11" t="s">
        <v>51</v>
      </c>
      <c r="W201">
        <v>1087.5999999999999</v>
      </c>
      <c r="Y201">
        <f t="shared" si="24"/>
        <v>85403.899999999936</v>
      </c>
      <c r="Z201">
        <f>W201</f>
        <v>1087.5999999999999</v>
      </c>
      <c r="AA201">
        <v>9.6449939562762026</v>
      </c>
      <c r="AB201" s="11" t="s">
        <v>56</v>
      </c>
    </row>
    <row r="202" spans="1:28" x14ac:dyDescent="0.25">
      <c r="A202">
        <v>6440</v>
      </c>
      <c r="B202">
        <v>26330</v>
      </c>
      <c r="C202" s="1">
        <v>42780</v>
      </c>
      <c r="F202" s="67"/>
      <c r="G202">
        <v>7.4</v>
      </c>
      <c r="H202">
        <v>2.6</v>
      </c>
      <c r="I202">
        <v>12.5</v>
      </c>
      <c r="J202">
        <f t="shared" si="23"/>
        <v>1237.3000000000002</v>
      </c>
      <c r="K202">
        <f t="shared" ref="K202:K265" si="29">K201+G202</f>
        <v>12.8</v>
      </c>
      <c r="L202" s="22">
        <v>422.3</v>
      </c>
      <c r="M202">
        <v>0</v>
      </c>
      <c r="N202">
        <v>1.6</v>
      </c>
      <c r="O202" s="37">
        <f t="shared" si="20"/>
        <v>-1.6</v>
      </c>
      <c r="P202">
        <f t="shared" si="26"/>
        <v>157.79999999999998</v>
      </c>
      <c r="Q202">
        <v>161</v>
      </c>
      <c r="R202" s="38">
        <f t="shared" ref="R202:R247" si="30">1+((Q202-159)/47)*(1.15-1)</f>
        <v>1.0063829787234042</v>
      </c>
      <c r="S202" s="38">
        <f t="shared" si="21"/>
        <v>1.6102127659574468</v>
      </c>
      <c r="T202" s="38">
        <f t="shared" si="22"/>
        <v>-1.6102127659574468</v>
      </c>
      <c r="U202" s="38">
        <f t="shared" si="25"/>
        <v>149.28595744680848</v>
      </c>
      <c r="V202">
        <v>0</v>
      </c>
      <c r="W202">
        <v>1104.2</v>
      </c>
      <c r="Y202">
        <f t="shared" si="24"/>
        <v>86508.099999999933</v>
      </c>
      <c r="Z202">
        <f t="shared" si="27"/>
        <v>2191.8000000000002</v>
      </c>
      <c r="AA202">
        <v>9.7041141743536574</v>
      </c>
      <c r="AB202">
        <v>34849.4</v>
      </c>
    </row>
    <row r="203" spans="1:28" x14ac:dyDescent="0.25">
      <c r="A203">
        <v>6440</v>
      </c>
      <c r="B203">
        <v>26330</v>
      </c>
      <c r="C203" s="1">
        <v>42781</v>
      </c>
      <c r="F203" s="67"/>
      <c r="G203">
        <v>8.6999999999999993</v>
      </c>
      <c r="H203">
        <v>3.8</v>
      </c>
      <c r="I203">
        <v>13.5</v>
      </c>
      <c r="J203">
        <f t="shared" si="23"/>
        <v>1246.0000000000002</v>
      </c>
      <c r="K203">
        <f t="shared" si="29"/>
        <v>21.5</v>
      </c>
      <c r="L203" s="28" t="s">
        <v>30</v>
      </c>
      <c r="M203">
        <v>0</v>
      </c>
      <c r="N203">
        <v>1</v>
      </c>
      <c r="O203" s="37">
        <f t="shared" si="20"/>
        <v>-1</v>
      </c>
      <c r="P203">
        <f t="shared" si="26"/>
        <v>156.79999999999998</v>
      </c>
      <c r="Q203">
        <v>162</v>
      </c>
      <c r="R203" s="38">
        <f t="shared" si="30"/>
        <v>1.0095744680851064</v>
      </c>
      <c r="S203" s="38">
        <f t="shared" si="21"/>
        <v>1.0095744680851064</v>
      </c>
      <c r="T203" s="38">
        <f t="shared" si="22"/>
        <v>-1.0095744680851064</v>
      </c>
      <c r="U203" s="38">
        <f t="shared" si="25"/>
        <v>148.27638297872338</v>
      </c>
      <c r="V203" s="11" t="s">
        <v>52</v>
      </c>
      <c r="W203">
        <v>836.5</v>
      </c>
      <c r="Y203">
        <f t="shared" si="24"/>
        <v>87344.599999999933</v>
      </c>
      <c r="Z203">
        <f t="shared" si="27"/>
        <v>3028.3</v>
      </c>
      <c r="AA203">
        <v>9.7636554440933807</v>
      </c>
      <c r="AB203" s="11" t="s">
        <v>57</v>
      </c>
    </row>
    <row r="204" spans="1:28" x14ac:dyDescent="0.25">
      <c r="A204">
        <v>6440</v>
      </c>
      <c r="B204">
        <v>26330</v>
      </c>
      <c r="C204" s="1">
        <v>42782</v>
      </c>
      <c r="F204" s="67"/>
      <c r="G204">
        <v>5.8</v>
      </c>
      <c r="H204">
        <v>1.9</v>
      </c>
      <c r="I204">
        <v>8.3000000000000007</v>
      </c>
      <c r="J204">
        <f t="shared" si="23"/>
        <v>1251.8000000000002</v>
      </c>
      <c r="K204">
        <f t="shared" si="29"/>
        <v>27.3</v>
      </c>
      <c r="L204" s="22">
        <f>AVERAGE(G201:G247)</f>
        <v>8.9851063829787243</v>
      </c>
      <c r="M204">
        <v>0.1</v>
      </c>
      <c r="N204">
        <v>0.1</v>
      </c>
      <c r="O204" s="37">
        <f t="shared" si="20"/>
        <v>0</v>
      </c>
      <c r="P204">
        <f t="shared" si="26"/>
        <v>156.79999999999998</v>
      </c>
      <c r="Q204">
        <v>163</v>
      </c>
      <c r="R204" s="38">
        <f t="shared" si="30"/>
        <v>1.0127659574468084</v>
      </c>
      <c r="S204" s="38">
        <f t="shared" si="21"/>
        <v>0.10127659574468084</v>
      </c>
      <c r="T204" s="38">
        <f t="shared" si="22"/>
        <v>-1.2765957446808363E-3</v>
      </c>
      <c r="U204" s="38">
        <f t="shared" si="25"/>
        <v>148.27510638297869</v>
      </c>
      <c r="V204">
        <v>0</v>
      </c>
      <c r="W204">
        <v>404.8</v>
      </c>
      <c r="Y204">
        <f t="shared" si="24"/>
        <v>87749.399999999936</v>
      </c>
      <c r="Z204">
        <f t="shared" si="27"/>
        <v>3433.1000000000004</v>
      </c>
      <c r="AA204">
        <v>9.8235994928227068</v>
      </c>
      <c r="AB204">
        <f>(AB202/100)/L202</f>
        <v>0.82522851053753266</v>
      </c>
    </row>
    <row r="205" spans="1:28" x14ac:dyDescent="0.25">
      <c r="A205">
        <v>6440</v>
      </c>
      <c r="B205">
        <v>26330</v>
      </c>
      <c r="C205" s="1">
        <v>42783</v>
      </c>
      <c r="F205" s="67"/>
      <c r="G205">
        <v>8.4</v>
      </c>
      <c r="H205">
        <v>6.1</v>
      </c>
      <c r="I205">
        <v>11.1</v>
      </c>
      <c r="J205">
        <f t="shared" si="23"/>
        <v>1260.2000000000003</v>
      </c>
      <c r="K205">
        <f t="shared" si="29"/>
        <v>35.700000000000003</v>
      </c>
      <c r="L205" s="28" t="s">
        <v>31</v>
      </c>
      <c r="M205">
        <v>0</v>
      </c>
      <c r="N205">
        <v>0.7</v>
      </c>
      <c r="O205" s="37">
        <f t="shared" si="20"/>
        <v>-0.7</v>
      </c>
      <c r="P205">
        <f t="shared" si="26"/>
        <v>156.1</v>
      </c>
      <c r="Q205">
        <v>164</v>
      </c>
      <c r="R205" s="38">
        <f t="shared" si="30"/>
        <v>1.0159574468085106</v>
      </c>
      <c r="S205" s="38">
        <f t="shared" si="21"/>
        <v>0.71117021276595738</v>
      </c>
      <c r="T205" s="38">
        <f t="shared" si="22"/>
        <v>-0.71117021276595738</v>
      </c>
      <c r="U205" s="38">
        <f t="shared" si="25"/>
        <v>147.56393617021274</v>
      </c>
      <c r="V205" s="11" t="s">
        <v>53</v>
      </c>
      <c r="W205">
        <v>343.5</v>
      </c>
      <c r="Y205">
        <f t="shared" si="24"/>
        <v>88092.899999999936</v>
      </c>
      <c r="Z205">
        <f t="shared" si="27"/>
        <v>3776.6000000000004</v>
      </c>
      <c r="AA205">
        <v>9.8839285564843795</v>
      </c>
      <c r="AB205" s="11" t="s">
        <v>58</v>
      </c>
    </row>
    <row r="206" spans="1:28" x14ac:dyDescent="0.25">
      <c r="A206">
        <v>6440</v>
      </c>
      <c r="B206">
        <v>26330</v>
      </c>
      <c r="C206" s="1">
        <v>42784</v>
      </c>
      <c r="F206" s="67"/>
      <c r="G206">
        <v>4.9000000000000004</v>
      </c>
      <c r="H206">
        <v>2.6</v>
      </c>
      <c r="I206">
        <v>6.6</v>
      </c>
      <c r="J206">
        <f t="shared" si="23"/>
        <v>1265.1000000000004</v>
      </c>
      <c r="K206">
        <f t="shared" si="29"/>
        <v>40.6</v>
      </c>
      <c r="L206" s="25">
        <f>MIN(H201:H247)</f>
        <v>0.6</v>
      </c>
      <c r="M206">
        <v>0</v>
      </c>
      <c r="N206">
        <v>0.6</v>
      </c>
      <c r="O206" s="37">
        <f t="shared" si="20"/>
        <v>-0.6</v>
      </c>
      <c r="P206">
        <f t="shared" si="26"/>
        <v>155.5</v>
      </c>
      <c r="Q206">
        <v>165</v>
      </c>
      <c r="R206" s="38">
        <f t="shared" si="30"/>
        <v>1.0191489361702128</v>
      </c>
      <c r="S206" s="38">
        <f t="shared" si="21"/>
        <v>0.61148936170212764</v>
      </c>
      <c r="T206" s="38">
        <f t="shared" si="22"/>
        <v>-0.61148936170212764</v>
      </c>
      <c r="U206" s="38">
        <f t="shared" si="25"/>
        <v>146.95244680851062</v>
      </c>
      <c r="V206" s="38">
        <f>MIN(U201:U247)</f>
        <v>117.81414893617016</v>
      </c>
      <c r="W206">
        <v>486.2</v>
      </c>
      <c r="Y206">
        <f t="shared" si="24"/>
        <v>88579.099999999933</v>
      </c>
      <c r="Z206">
        <f t="shared" si="27"/>
        <v>4262.8</v>
      </c>
      <c r="AA206">
        <v>9.9446253735072005</v>
      </c>
      <c r="AB206">
        <v>33</v>
      </c>
    </row>
    <row r="207" spans="1:28" x14ac:dyDescent="0.25">
      <c r="A207">
        <v>6440</v>
      </c>
      <c r="B207">
        <v>26330</v>
      </c>
      <c r="C207" s="1">
        <v>42785</v>
      </c>
      <c r="F207" s="67"/>
      <c r="G207">
        <v>6.9</v>
      </c>
      <c r="H207">
        <v>3</v>
      </c>
      <c r="I207">
        <v>9.6999999999999993</v>
      </c>
      <c r="J207">
        <f t="shared" si="23"/>
        <v>1272.0000000000005</v>
      </c>
      <c r="K207">
        <f t="shared" si="29"/>
        <v>47.5</v>
      </c>
      <c r="L207" s="28" t="s">
        <v>32</v>
      </c>
      <c r="M207">
        <v>0.2</v>
      </c>
      <c r="N207">
        <v>0.4</v>
      </c>
      <c r="O207" s="37">
        <f t="shared" si="20"/>
        <v>-0.2</v>
      </c>
      <c r="P207">
        <f t="shared" si="26"/>
        <v>155.30000000000001</v>
      </c>
      <c r="Q207">
        <v>166</v>
      </c>
      <c r="R207" s="38">
        <f t="shared" si="30"/>
        <v>1.0223404255319148</v>
      </c>
      <c r="S207" s="38">
        <f t="shared" si="21"/>
        <v>0.40893617021276596</v>
      </c>
      <c r="T207" s="38">
        <f t="shared" si="22"/>
        <v>-0.20893617021276595</v>
      </c>
      <c r="U207" s="38">
        <f t="shared" si="25"/>
        <v>146.74351063829786</v>
      </c>
      <c r="V207" s="11" t="s">
        <v>54</v>
      </c>
      <c r="W207">
        <v>345.1</v>
      </c>
      <c r="Y207">
        <f t="shared" si="24"/>
        <v>88924.199999999939</v>
      </c>
      <c r="Z207">
        <f t="shared" si="27"/>
        <v>4607.9000000000005</v>
      </c>
      <c r="AA207">
        <v>10.005673177611628</v>
      </c>
    </row>
    <row r="208" spans="1:28" x14ac:dyDescent="0.25">
      <c r="A208">
        <v>6440</v>
      </c>
      <c r="B208">
        <v>26330</v>
      </c>
      <c r="C208" s="1">
        <v>42786</v>
      </c>
      <c r="F208" s="67"/>
      <c r="G208">
        <v>9.9</v>
      </c>
      <c r="H208">
        <v>8.3000000000000007</v>
      </c>
      <c r="I208">
        <v>10.8</v>
      </c>
      <c r="J208">
        <f t="shared" si="23"/>
        <v>1281.9000000000005</v>
      </c>
      <c r="K208">
        <f t="shared" si="29"/>
        <v>57.4</v>
      </c>
      <c r="L208" s="22">
        <f>MAX(I201:I247)</f>
        <v>21.2</v>
      </c>
      <c r="M208">
        <v>1.7</v>
      </c>
      <c r="N208">
        <v>0.1</v>
      </c>
      <c r="O208" s="37">
        <f t="shared" si="20"/>
        <v>1.5999999999999999</v>
      </c>
      <c r="P208">
        <f t="shared" si="26"/>
        <v>156.9</v>
      </c>
      <c r="Q208">
        <v>167</v>
      </c>
      <c r="R208" s="38">
        <f t="shared" si="30"/>
        <v>1.0255319148936171</v>
      </c>
      <c r="S208" s="38">
        <f t="shared" si="21"/>
        <v>0.10255319148936171</v>
      </c>
      <c r="T208" s="38">
        <f t="shared" si="22"/>
        <v>1.5974468085106381</v>
      </c>
      <c r="U208" s="38">
        <f t="shared" si="25"/>
        <v>148.34095744680849</v>
      </c>
      <c r="V208" s="38">
        <f>MAX(U201:U247)</f>
        <v>153.6</v>
      </c>
      <c r="W208">
        <v>181.3</v>
      </c>
      <c r="Y208">
        <f t="shared" si="24"/>
        <v>89105.499999999942</v>
      </c>
      <c r="Z208">
        <f t="shared" si="27"/>
        <v>4789.2000000000007</v>
      </c>
      <c r="AA208">
        <v>10.067055689629226</v>
      </c>
    </row>
    <row r="209" spans="1:27" x14ac:dyDescent="0.25">
      <c r="A209">
        <v>6440</v>
      </c>
      <c r="B209">
        <v>26330</v>
      </c>
      <c r="C209" s="1">
        <v>42787</v>
      </c>
      <c r="F209" s="67"/>
      <c r="G209">
        <v>10.3</v>
      </c>
      <c r="H209">
        <v>10</v>
      </c>
      <c r="I209">
        <v>10.8</v>
      </c>
      <c r="J209">
        <f t="shared" si="23"/>
        <v>1292.2000000000005</v>
      </c>
      <c r="K209">
        <f t="shared" si="29"/>
        <v>67.7</v>
      </c>
      <c r="L209" s="28" t="s">
        <v>33</v>
      </c>
      <c r="M209">
        <v>3.9</v>
      </c>
      <c r="N209">
        <v>0.4</v>
      </c>
      <c r="O209" s="37">
        <f t="shared" si="20"/>
        <v>3.5</v>
      </c>
      <c r="P209">
        <f t="shared" si="26"/>
        <v>160.4</v>
      </c>
      <c r="Q209">
        <v>168</v>
      </c>
      <c r="R209" s="38">
        <f t="shared" si="30"/>
        <v>1.0287234042553191</v>
      </c>
      <c r="S209" s="38">
        <f t="shared" si="21"/>
        <v>0.41148936170212763</v>
      </c>
      <c r="T209" s="38">
        <f t="shared" si="22"/>
        <v>3.4885106382978721</v>
      </c>
      <c r="U209" s="38">
        <f t="shared" si="25"/>
        <v>151.82946808510636</v>
      </c>
      <c r="V209" s="11" t="s">
        <v>55</v>
      </c>
      <c r="W209">
        <v>209.5</v>
      </c>
      <c r="Y209">
        <f t="shared" si="24"/>
        <v>89314.999999999942</v>
      </c>
      <c r="Z209">
        <f t="shared" si="27"/>
        <v>4998.7000000000007</v>
      </c>
      <c r="AA209">
        <v>10.128757108411088</v>
      </c>
    </row>
    <row r="210" spans="1:27" x14ac:dyDescent="0.25">
      <c r="A210">
        <v>6440</v>
      </c>
      <c r="B210">
        <v>26330</v>
      </c>
      <c r="C210" s="1">
        <v>42788</v>
      </c>
      <c r="F210" s="67"/>
      <c r="G210">
        <v>10.4</v>
      </c>
      <c r="H210">
        <v>10.199999999999999</v>
      </c>
      <c r="I210">
        <v>10.6</v>
      </c>
      <c r="J210">
        <f t="shared" si="23"/>
        <v>1302.6000000000006</v>
      </c>
      <c r="K210">
        <f t="shared" si="29"/>
        <v>78.100000000000009</v>
      </c>
      <c r="L210" s="22">
        <v>0</v>
      </c>
      <c r="M210">
        <v>0.1</v>
      </c>
      <c r="N210">
        <v>0.8</v>
      </c>
      <c r="O210" s="37">
        <f t="shared" si="20"/>
        <v>-0.70000000000000007</v>
      </c>
      <c r="P210">
        <f t="shared" si="26"/>
        <v>159.70000000000002</v>
      </c>
      <c r="Q210">
        <v>169</v>
      </c>
      <c r="R210" s="38">
        <f t="shared" si="30"/>
        <v>1.0319148936170213</v>
      </c>
      <c r="S210" s="38">
        <f t="shared" si="21"/>
        <v>0.8255319148936171</v>
      </c>
      <c r="T210" s="38">
        <f t="shared" si="22"/>
        <v>-0.72553191489361712</v>
      </c>
      <c r="U210" s="38">
        <f t="shared" si="25"/>
        <v>151.10393617021273</v>
      </c>
      <c r="V210" s="38">
        <f>AVERAGE(U201:U247)</f>
        <v>145.26590765052052</v>
      </c>
      <c r="W210">
        <v>148.1</v>
      </c>
      <c r="Y210">
        <f t="shared" si="24"/>
        <v>89463.099999999948</v>
      </c>
      <c r="Z210">
        <f t="shared" si="27"/>
        <v>5146.8000000000011</v>
      </c>
      <c r="AA210">
        <v>10.190762100896785</v>
      </c>
    </row>
    <row r="211" spans="1:27" x14ac:dyDescent="0.25">
      <c r="A211">
        <v>6440</v>
      </c>
      <c r="B211">
        <v>26330</v>
      </c>
      <c r="C211" s="1">
        <v>42789</v>
      </c>
      <c r="F211" s="67"/>
      <c r="G211">
        <v>9.3000000000000007</v>
      </c>
      <c r="H211">
        <v>8.9</v>
      </c>
      <c r="I211">
        <v>11.2</v>
      </c>
      <c r="J211">
        <f t="shared" si="23"/>
        <v>1311.9000000000005</v>
      </c>
      <c r="K211">
        <f t="shared" si="29"/>
        <v>87.4</v>
      </c>
      <c r="L211" s="28" t="s">
        <v>34</v>
      </c>
      <c r="M211">
        <v>0.7</v>
      </c>
      <c r="N211">
        <v>1.9</v>
      </c>
      <c r="O211" s="37">
        <f t="shared" si="20"/>
        <v>-1.2</v>
      </c>
      <c r="P211">
        <f t="shared" si="26"/>
        <v>158.50000000000003</v>
      </c>
      <c r="Q211">
        <v>170</v>
      </c>
      <c r="R211" s="38">
        <f t="shared" si="30"/>
        <v>1.0351063829787235</v>
      </c>
      <c r="S211" s="38">
        <f t="shared" si="21"/>
        <v>1.9667021276595744</v>
      </c>
      <c r="T211" s="38">
        <f t="shared" si="22"/>
        <v>-1.2667021276595745</v>
      </c>
      <c r="U211" s="38">
        <f t="shared" si="25"/>
        <v>149.83723404255315</v>
      </c>
      <c r="W211">
        <v>211</v>
      </c>
      <c r="Y211">
        <f t="shared" si="24"/>
        <v>89674.099999999948</v>
      </c>
      <c r="Z211">
        <f t="shared" si="27"/>
        <v>5357.8000000000011</v>
      </c>
      <c r="AA211">
        <v>10.253055791411679</v>
      </c>
    </row>
    <row r="212" spans="1:27" x14ac:dyDescent="0.25">
      <c r="A212">
        <v>6440</v>
      </c>
      <c r="B212">
        <v>26330</v>
      </c>
      <c r="C212" s="1">
        <v>42790</v>
      </c>
      <c r="F212" s="67"/>
      <c r="G212">
        <v>4.4000000000000004</v>
      </c>
      <c r="H212">
        <v>4.5999999999999996</v>
      </c>
      <c r="I212">
        <v>5</v>
      </c>
      <c r="J212">
        <f t="shared" si="23"/>
        <v>1316.3000000000006</v>
      </c>
      <c r="K212">
        <f t="shared" si="29"/>
        <v>91.800000000000011</v>
      </c>
      <c r="L212" s="22">
        <v>20</v>
      </c>
      <c r="M212">
        <v>2.1</v>
      </c>
      <c r="N212">
        <v>0.7</v>
      </c>
      <c r="O212" s="37">
        <f t="shared" si="20"/>
        <v>1.4000000000000001</v>
      </c>
      <c r="P212">
        <f t="shared" si="26"/>
        <v>159.90000000000003</v>
      </c>
      <c r="Q212">
        <v>171</v>
      </c>
      <c r="R212" s="38">
        <f t="shared" si="30"/>
        <v>1.0382978723404255</v>
      </c>
      <c r="S212" s="38">
        <f t="shared" si="21"/>
        <v>0.72680851063829777</v>
      </c>
      <c r="T212" s="38">
        <f t="shared" si="22"/>
        <v>1.3731914893617023</v>
      </c>
      <c r="U212" s="38">
        <f t="shared" si="25"/>
        <v>151.21042553191486</v>
      </c>
      <c r="V212" s="52">
        <f>(V210*100)/153.6</f>
        <v>94.574158626640966</v>
      </c>
      <c r="W212">
        <v>225.9</v>
      </c>
      <c r="Y212">
        <f t="shared" si="24"/>
        <v>89899.999999999942</v>
      </c>
      <c r="Z212">
        <f t="shared" si="27"/>
        <v>5583.7000000000007</v>
      </c>
      <c r="AA212">
        <v>10.315623750256522</v>
      </c>
    </row>
    <row r="213" spans="1:27" x14ac:dyDescent="0.25">
      <c r="A213">
        <v>6440</v>
      </c>
      <c r="B213">
        <v>26330</v>
      </c>
      <c r="C213" s="1">
        <v>42791</v>
      </c>
      <c r="F213" s="67"/>
      <c r="G213">
        <v>6.1</v>
      </c>
      <c r="H213">
        <v>0.6</v>
      </c>
      <c r="I213">
        <v>8.6</v>
      </c>
      <c r="J213">
        <f t="shared" si="23"/>
        <v>1322.4000000000005</v>
      </c>
      <c r="K213">
        <f t="shared" si="29"/>
        <v>97.9</v>
      </c>
      <c r="L213" s="28" t="s">
        <v>35</v>
      </c>
      <c r="M213">
        <v>0</v>
      </c>
      <c r="N213">
        <v>0.7</v>
      </c>
      <c r="O213" s="37">
        <f t="shared" si="20"/>
        <v>-0.7</v>
      </c>
      <c r="P213">
        <f t="shared" si="26"/>
        <v>159.20000000000005</v>
      </c>
      <c r="Q213">
        <v>172</v>
      </c>
      <c r="R213" s="38">
        <f t="shared" si="30"/>
        <v>1.0414893617021277</v>
      </c>
      <c r="S213" s="38">
        <f t="shared" si="21"/>
        <v>0.72904255319148936</v>
      </c>
      <c r="T213" s="38">
        <f t="shared" si="22"/>
        <v>-0.72904255319148936</v>
      </c>
      <c r="U213" s="38">
        <f t="shared" si="25"/>
        <v>150.48138297872339</v>
      </c>
      <c r="W213">
        <v>795.7</v>
      </c>
      <c r="Y213">
        <f t="shared" si="24"/>
        <v>90695.699999999939</v>
      </c>
      <c r="Z213">
        <f t="shared" si="27"/>
        <v>6379.4000000000005</v>
      </c>
      <c r="AA213">
        <v>10.378451981649842</v>
      </c>
    </row>
    <row r="214" spans="1:27" x14ac:dyDescent="0.25">
      <c r="A214">
        <v>6440</v>
      </c>
      <c r="B214">
        <v>26330</v>
      </c>
      <c r="C214" s="1">
        <v>42792</v>
      </c>
      <c r="F214" s="67"/>
      <c r="G214">
        <v>9.9</v>
      </c>
      <c r="H214">
        <v>7.8</v>
      </c>
      <c r="I214">
        <v>11.1</v>
      </c>
      <c r="J214">
        <f t="shared" si="23"/>
        <v>1332.3000000000006</v>
      </c>
      <c r="K214">
        <f t="shared" si="29"/>
        <v>107.80000000000001</v>
      </c>
      <c r="L214" s="22">
        <v>0</v>
      </c>
      <c r="M214">
        <v>0</v>
      </c>
      <c r="N214">
        <v>1.3</v>
      </c>
      <c r="O214" s="37">
        <f t="shared" si="20"/>
        <v>-1.3</v>
      </c>
      <c r="P214">
        <f t="shared" si="26"/>
        <v>157.90000000000003</v>
      </c>
      <c r="Q214">
        <v>173</v>
      </c>
      <c r="R214" s="38">
        <f t="shared" si="30"/>
        <v>1.0446808510638297</v>
      </c>
      <c r="S214" s="38">
        <f t="shared" si="21"/>
        <v>1.3580851063829786</v>
      </c>
      <c r="T214" s="38">
        <f t="shared" si="22"/>
        <v>-1.3580851063829786</v>
      </c>
      <c r="U214" s="38">
        <f t="shared" si="25"/>
        <v>149.1232978723404</v>
      </c>
      <c r="W214">
        <v>282.10000000000002</v>
      </c>
      <c r="Y214">
        <f t="shared" si="24"/>
        <v>90977.799999999945</v>
      </c>
      <c r="Z214">
        <f t="shared" si="27"/>
        <v>6661.5000000000009</v>
      </c>
      <c r="AA214">
        <v>10.441526911079748</v>
      </c>
    </row>
    <row r="215" spans="1:27" x14ac:dyDescent="0.25">
      <c r="A215">
        <v>6440</v>
      </c>
      <c r="B215">
        <v>26330</v>
      </c>
      <c r="C215" s="1">
        <v>42793</v>
      </c>
      <c r="F215" s="67"/>
      <c r="G215">
        <v>8.6</v>
      </c>
      <c r="H215">
        <v>7.4</v>
      </c>
      <c r="I215">
        <v>9.8000000000000007</v>
      </c>
      <c r="J215">
        <f t="shared" si="23"/>
        <v>1340.9000000000005</v>
      </c>
      <c r="K215">
        <f t="shared" si="29"/>
        <v>116.4</v>
      </c>
      <c r="M215">
        <v>13.5</v>
      </c>
      <c r="N215">
        <v>1.3</v>
      </c>
      <c r="O215" s="37">
        <f t="shared" si="20"/>
        <v>12.2</v>
      </c>
      <c r="P215">
        <f t="shared" si="26"/>
        <v>170.10000000000002</v>
      </c>
      <c r="Q215">
        <v>174</v>
      </c>
      <c r="R215" s="38">
        <f t="shared" si="30"/>
        <v>1.0478723404255319</v>
      </c>
      <c r="S215" s="38">
        <f t="shared" si="21"/>
        <v>1.3622340425531916</v>
      </c>
      <c r="T215" s="38">
        <f t="shared" si="22"/>
        <v>12.137765957446808</v>
      </c>
      <c r="U215" s="38">
        <f t="shared" si="25"/>
        <v>153.6</v>
      </c>
      <c r="W215">
        <v>210.2</v>
      </c>
      <c r="Y215">
        <f t="shared" si="24"/>
        <v>91187.999999999942</v>
      </c>
      <c r="Z215">
        <f t="shared" si="27"/>
        <v>6871.7000000000007</v>
      </c>
      <c r="AA215">
        <v>10.504835372118293</v>
      </c>
    </row>
    <row r="216" spans="1:27" x14ac:dyDescent="0.25">
      <c r="A216">
        <v>6440</v>
      </c>
      <c r="B216">
        <v>26330</v>
      </c>
      <c r="C216" s="1">
        <v>42794</v>
      </c>
      <c r="F216" s="67"/>
      <c r="G216">
        <v>5.6</v>
      </c>
      <c r="H216">
        <v>4.3</v>
      </c>
      <c r="I216">
        <v>7.3</v>
      </c>
      <c r="J216">
        <f t="shared" si="23"/>
        <v>1346.5000000000005</v>
      </c>
      <c r="K216">
        <f t="shared" si="29"/>
        <v>122</v>
      </c>
      <c r="M216">
        <v>6.9</v>
      </c>
      <c r="N216">
        <v>1.1000000000000001</v>
      </c>
      <c r="O216" s="37">
        <f t="shared" si="20"/>
        <v>5.8000000000000007</v>
      </c>
      <c r="P216">
        <f t="shared" si="26"/>
        <v>175.90000000000003</v>
      </c>
      <c r="Q216">
        <v>175</v>
      </c>
      <c r="R216" s="38">
        <f t="shared" si="30"/>
        <v>1.0510638297872341</v>
      </c>
      <c r="S216" s="38">
        <f t="shared" si="21"/>
        <v>1.1561702127659577</v>
      </c>
      <c r="T216" s="38">
        <f t="shared" si="22"/>
        <v>5.7438297872340431</v>
      </c>
      <c r="U216" s="38">
        <f t="shared" si="25"/>
        <v>153.6</v>
      </c>
      <c r="W216">
        <v>161.30000000000001</v>
      </c>
      <c r="Y216">
        <f t="shared" si="24"/>
        <v>91349.299999999945</v>
      </c>
      <c r="Z216">
        <f t="shared" si="27"/>
        <v>7033.0000000000009</v>
      </c>
      <c r="AA216">
        <v>10.568364592748104</v>
      </c>
    </row>
    <row r="217" spans="1:27" x14ac:dyDescent="0.25">
      <c r="A217">
        <v>6440</v>
      </c>
      <c r="B217">
        <v>26330</v>
      </c>
      <c r="C217" s="1">
        <v>42795</v>
      </c>
      <c r="F217" s="67"/>
      <c r="G217">
        <v>7.6</v>
      </c>
      <c r="H217">
        <v>6.2</v>
      </c>
      <c r="I217">
        <v>8.5</v>
      </c>
      <c r="J217">
        <f t="shared" si="23"/>
        <v>1354.1000000000004</v>
      </c>
      <c r="K217">
        <f t="shared" si="29"/>
        <v>129.6</v>
      </c>
      <c r="M217">
        <v>3.2</v>
      </c>
      <c r="N217">
        <v>0.7</v>
      </c>
      <c r="O217" s="37">
        <f t="shared" si="20"/>
        <v>2.5</v>
      </c>
      <c r="P217">
        <f t="shared" si="26"/>
        <v>178.40000000000003</v>
      </c>
      <c r="Q217">
        <v>176</v>
      </c>
      <c r="R217" s="38">
        <f t="shared" si="30"/>
        <v>1.0542553191489361</v>
      </c>
      <c r="S217" s="38">
        <f t="shared" si="21"/>
        <v>0.73797872340425519</v>
      </c>
      <c r="T217" s="38">
        <f t="shared" si="22"/>
        <v>2.462021276595745</v>
      </c>
      <c r="U217" s="38">
        <f t="shared" si="25"/>
        <v>153.6</v>
      </c>
      <c r="W217">
        <v>201</v>
      </c>
      <c r="Y217">
        <f t="shared" si="24"/>
        <v>91550.299999999945</v>
      </c>
      <c r="Z217">
        <f t="shared" si="27"/>
        <v>7234.0000000000009</v>
      </c>
      <c r="AA217">
        <v>10.632102181247404</v>
      </c>
    </row>
    <row r="218" spans="1:27" x14ac:dyDescent="0.25">
      <c r="A218">
        <v>6440</v>
      </c>
      <c r="B218">
        <v>26330</v>
      </c>
      <c r="C218" s="1">
        <v>42796</v>
      </c>
      <c r="F218" s="67"/>
      <c r="G218">
        <v>7.5</v>
      </c>
      <c r="H218">
        <v>6.7</v>
      </c>
      <c r="I218">
        <v>9.9</v>
      </c>
      <c r="J218">
        <f t="shared" si="23"/>
        <v>1361.6000000000004</v>
      </c>
      <c r="K218">
        <f t="shared" si="29"/>
        <v>137.1</v>
      </c>
      <c r="M218">
        <v>0</v>
      </c>
      <c r="N218">
        <v>2.7</v>
      </c>
      <c r="O218" s="37">
        <f t="shared" si="20"/>
        <v>-2.7</v>
      </c>
      <c r="P218">
        <f t="shared" si="26"/>
        <v>175.70000000000005</v>
      </c>
      <c r="Q218">
        <v>177</v>
      </c>
      <c r="R218" s="38">
        <f t="shared" si="30"/>
        <v>1.0574468085106383</v>
      </c>
      <c r="S218" s="38">
        <f t="shared" si="21"/>
        <v>2.8551063829787235</v>
      </c>
      <c r="T218" s="38">
        <f t="shared" si="22"/>
        <v>-2.8551063829787235</v>
      </c>
      <c r="U218" s="38">
        <f t="shared" si="25"/>
        <v>150.74489361702126</v>
      </c>
      <c r="W218">
        <v>371.1</v>
      </c>
      <c r="Y218">
        <f t="shared" si="24"/>
        <v>91921.399999999951</v>
      </c>
      <c r="Z218">
        <f t="shared" si="27"/>
        <v>7605.1000000000013</v>
      </c>
      <c r="AA218">
        <v>10.696036111676555</v>
      </c>
    </row>
    <row r="219" spans="1:27" x14ac:dyDescent="0.25">
      <c r="A219">
        <v>6440</v>
      </c>
      <c r="B219">
        <v>26330</v>
      </c>
      <c r="C219" s="1">
        <v>42797</v>
      </c>
      <c r="F219" s="67"/>
      <c r="G219">
        <v>8.3000000000000007</v>
      </c>
      <c r="H219">
        <v>3.8</v>
      </c>
      <c r="I219">
        <v>11.4</v>
      </c>
      <c r="J219">
        <f t="shared" si="23"/>
        <v>1369.9000000000003</v>
      </c>
      <c r="K219">
        <f t="shared" si="29"/>
        <v>145.4</v>
      </c>
      <c r="M219">
        <v>2.5</v>
      </c>
      <c r="N219">
        <v>1.1000000000000001</v>
      </c>
      <c r="O219" s="37">
        <f t="shared" si="20"/>
        <v>1.4</v>
      </c>
      <c r="P219">
        <f t="shared" si="26"/>
        <v>177.10000000000005</v>
      </c>
      <c r="Q219">
        <v>178</v>
      </c>
      <c r="R219" s="38">
        <f t="shared" si="30"/>
        <v>1.0606382978723403</v>
      </c>
      <c r="S219" s="38">
        <f t="shared" si="21"/>
        <v>1.1667021276595744</v>
      </c>
      <c r="T219" s="38">
        <f t="shared" si="22"/>
        <v>1.3332978723404256</v>
      </c>
      <c r="U219" s="38">
        <f t="shared" si="25"/>
        <v>152.0781914893617</v>
      </c>
      <c r="W219">
        <v>866.1</v>
      </c>
      <c r="Y219">
        <f t="shared" si="24"/>
        <v>92787.499999999956</v>
      </c>
      <c r="Z219">
        <f t="shared" si="27"/>
        <v>8471.2000000000007</v>
      </c>
      <c r="AA219">
        <v>10.7601547090058</v>
      </c>
    </row>
    <row r="220" spans="1:27" x14ac:dyDescent="0.25">
      <c r="A220">
        <v>6440</v>
      </c>
      <c r="B220">
        <v>26330</v>
      </c>
      <c r="C220" s="1">
        <v>42798</v>
      </c>
      <c r="F220" s="67"/>
      <c r="G220">
        <v>8.6</v>
      </c>
      <c r="H220">
        <v>7.3</v>
      </c>
      <c r="I220">
        <v>9.6</v>
      </c>
      <c r="J220">
        <f t="shared" si="23"/>
        <v>1378.5000000000002</v>
      </c>
      <c r="K220">
        <f t="shared" si="29"/>
        <v>154</v>
      </c>
      <c r="M220">
        <v>4.8</v>
      </c>
      <c r="N220">
        <v>0.4</v>
      </c>
      <c r="O220" s="37">
        <f t="shared" si="20"/>
        <v>4.3999999999999995</v>
      </c>
      <c r="P220">
        <f t="shared" si="26"/>
        <v>181.50000000000006</v>
      </c>
      <c r="Q220">
        <v>179</v>
      </c>
      <c r="R220" s="38">
        <f t="shared" si="30"/>
        <v>1.0638297872340425</v>
      </c>
      <c r="S220" s="38">
        <f t="shared" si="21"/>
        <v>0.42553191489361702</v>
      </c>
      <c r="T220" s="38">
        <f t="shared" si="22"/>
        <v>4.3744680851063826</v>
      </c>
      <c r="U220" s="38">
        <f t="shared" si="25"/>
        <v>153.6</v>
      </c>
      <c r="W220">
        <v>188.9</v>
      </c>
      <c r="Y220">
        <f t="shared" si="24"/>
        <v>92976.399999999951</v>
      </c>
      <c r="Z220">
        <f t="shared" si="27"/>
        <v>8660.1</v>
      </c>
      <c r="AA220">
        <v>10.824446633921049</v>
      </c>
    </row>
    <row r="221" spans="1:27" x14ac:dyDescent="0.25">
      <c r="A221">
        <v>6440</v>
      </c>
      <c r="B221">
        <v>26330</v>
      </c>
      <c r="C221" s="1">
        <v>42799</v>
      </c>
      <c r="F221" s="67"/>
      <c r="G221">
        <v>5.9</v>
      </c>
      <c r="H221">
        <v>4.4000000000000004</v>
      </c>
      <c r="I221">
        <v>7.3</v>
      </c>
      <c r="J221">
        <f t="shared" si="23"/>
        <v>1384.4000000000003</v>
      </c>
      <c r="K221">
        <f t="shared" si="29"/>
        <v>159.9</v>
      </c>
      <c r="M221">
        <v>12.2</v>
      </c>
      <c r="N221">
        <v>0.7</v>
      </c>
      <c r="O221" s="37">
        <f t="shared" si="20"/>
        <v>11.5</v>
      </c>
      <c r="P221">
        <f t="shared" si="26"/>
        <v>193.00000000000006</v>
      </c>
      <c r="Q221">
        <v>180</v>
      </c>
      <c r="R221" s="38">
        <f t="shared" si="30"/>
        <v>1.0670212765957445</v>
      </c>
      <c r="S221" s="38">
        <f t="shared" si="21"/>
        <v>0.74691489361702113</v>
      </c>
      <c r="T221" s="38">
        <f t="shared" si="22"/>
        <v>11.453085106382979</v>
      </c>
      <c r="U221" s="38">
        <f t="shared" si="25"/>
        <v>153.6</v>
      </c>
      <c r="W221">
        <v>244.4</v>
      </c>
      <c r="Y221">
        <f t="shared" si="24"/>
        <v>93220.799999999945</v>
      </c>
      <c r="Z221">
        <f t="shared" si="27"/>
        <v>8904.5</v>
      </c>
      <c r="AA221">
        <v>10.888900867341604</v>
      </c>
    </row>
    <row r="222" spans="1:27" x14ac:dyDescent="0.25">
      <c r="A222">
        <v>6440</v>
      </c>
      <c r="B222">
        <v>26330</v>
      </c>
      <c r="C222" s="1">
        <v>42800</v>
      </c>
      <c r="F222" s="67"/>
      <c r="G222">
        <v>7.4</v>
      </c>
      <c r="H222">
        <v>6.5</v>
      </c>
      <c r="I222">
        <v>9.8000000000000007</v>
      </c>
      <c r="J222">
        <f t="shared" si="23"/>
        <v>1391.8000000000004</v>
      </c>
      <c r="K222">
        <f t="shared" si="29"/>
        <v>167.3</v>
      </c>
      <c r="M222">
        <v>0.9</v>
      </c>
      <c r="N222">
        <v>1.4</v>
      </c>
      <c r="O222" s="37">
        <f t="shared" si="20"/>
        <v>-0.49999999999999989</v>
      </c>
      <c r="P222">
        <f t="shared" si="26"/>
        <v>192.50000000000006</v>
      </c>
      <c r="Q222">
        <v>181</v>
      </c>
      <c r="R222" s="38">
        <f t="shared" si="30"/>
        <v>1.0702127659574467</v>
      </c>
      <c r="S222" s="38">
        <f t="shared" si="21"/>
        <v>1.4982978723404254</v>
      </c>
      <c r="T222" s="38">
        <f t="shared" si="22"/>
        <v>-0.59829787234042542</v>
      </c>
      <c r="U222" s="38">
        <f t="shared" si="25"/>
        <v>153.00170212765957</v>
      </c>
      <c r="W222">
        <v>376.7</v>
      </c>
      <c r="Y222">
        <f t="shared" si="24"/>
        <v>93597.499999999942</v>
      </c>
      <c r="Z222">
        <f t="shared" si="27"/>
        <v>9281.2000000000007</v>
      </c>
      <c r="AA222">
        <v>10.953506694680897</v>
      </c>
    </row>
    <row r="223" spans="1:27" x14ac:dyDescent="0.25">
      <c r="A223">
        <v>6440</v>
      </c>
      <c r="B223">
        <v>26330</v>
      </c>
      <c r="C223" s="1">
        <v>42801</v>
      </c>
      <c r="F223" s="67"/>
      <c r="G223">
        <v>6.4</v>
      </c>
      <c r="H223">
        <v>3.7</v>
      </c>
      <c r="I223">
        <v>9.6</v>
      </c>
      <c r="J223">
        <f t="shared" si="23"/>
        <v>1398.2000000000005</v>
      </c>
      <c r="K223">
        <f t="shared" si="29"/>
        <v>173.70000000000002</v>
      </c>
      <c r="M223">
        <v>3.9</v>
      </c>
      <c r="N223">
        <v>1.1000000000000001</v>
      </c>
      <c r="O223" s="37">
        <f t="shared" si="20"/>
        <v>2.8</v>
      </c>
      <c r="P223">
        <f t="shared" si="26"/>
        <v>195.30000000000007</v>
      </c>
      <c r="Q223">
        <v>182</v>
      </c>
      <c r="R223" s="38">
        <f t="shared" si="30"/>
        <v>1.073404255319149</v>
      </c>
      <c r="S223" s="38">
        <f t="shared" si="21"/>
        <v>1.180744680851064</v>
      </c>
      <c r="T223" s="38">
        <f t="shared" si="22"/>
        <v>2.7192553191489361</v>
      </c>
      <c r="U223" s="38">
        <f t="shared" si="25"/>
        <v>153.6</v>
      </c>
      <c r="W223">
        <v>895.9</v>
      </c>
      <c r="Y223">
        <f t="shared" si="24"/>
        <v>94493.399999999936</v>
      </c>
      <c r="Z223">
        <f t="shared" si="27"/>
        <v>10177.1</v>
      </c>
      <c r="AA223">
        <v>11.018253689878785</v>
      </c>
    </row>
    <row r="224" spans="1:27" x14ac:dyDescent="0.25">
      <c r="A224">
        <v>6440</v>
      </c>
      <c r="B224">
        <v>26330</v>
      </c>
      <c r="C224" s="1">
        <v>42802</v>
      </c>
      <c r="F224" s="67"/>
      <c r="G224">
        <v>9.1</v>
      </c>
      <c r="H224">
        <v>3.2</v>
      </c>
      <c r="I224">
        <v>11.4</v>
      </c>
      <c r="J224">
        <f t="shared" si="23"/>
        <v>1407.3000000000004</v>
      </c>
      <c r="K224">
        <f t="shared" si="29"/>
        <v>182.8</v>
      </c>
      <c r="M224">
        <v>5.3</v>
      </c>
      <c r="N224">
        <v>0.2</v>
      </c>
      <c r="O224" s="37">
        <f t="shared" si="20"/>
        <v>5.0999999999999996</v>
      </c>
      <c r="P224">
        <f t="shared" si="26"/>
        <v>200.40000000000006</v>
      </c>
      <c r="Q224">
        <v>183</v>
      </c>
      <c r="R224" s="38">
        <f t="shared" si="30"/>
        <v>1.076595744680851</v>
      </c>
      <c r="S224" s="38">
        <f t="shared" si="21"/>
        <v>0.21531914893617021</v>
      </c>
      <c r="T224" s="38">
        <f t="shared" si="22"/>
        <v>5.0846808510638297</v>
      </c>
      <c r="U224" s="38">
        <f t="shared" si="25"/>
        <v>153.6</v>
      </c>
      <c r="W224">
        <v>165</v>
      </c>
      <c r="Y224">
        <f t="shared" si="24"/>
        <v>94658.399999999936</v>
      </c>
      <c r="Z224">
        <f t="shared" si="27"/>
        <v>10342.1</v>
      </c>
      <c r="AA224">
        <v>11.083131699231464</v>
      </c>
    </row>
    <row r="225" spans="1:27" x14ac:dyDescent="0.25">
      <c r="A225">
        <v>6440</v>
      </c>
      <c r="B225">
        <v>26330</v>
      </c>
      <c r="C225" s="1">
        <v>42803</v>
      </c>
      <c r="F225" s="67"/>
      <c r="G225">
        <v>10.6</v>
      </c>
      <c r="H225">
        <v>10.6</v>
      </c>
      <c r="I225">
        <v>13.3</v>
      </c>
      <c r="J225">
        <f t="shared" si="23"/>
        <v>1417.9000000000003</v>
      </c>
      <c r="K225">
        <f t="shared" si="29"/>
        <v>193.4</v>
      </c>
      <c r="M225">
        <v>0.2</v>
      </c>
      <c r="N225">
        <v>1.1000000000000001</v>
      </c>
      <c r="O225" s="37">
        <f t="shared" si="20"/>
        <v>-0.90000000000000013</v>
      </c>
      <c r="P225">
        <f t="shared" si="26"/>
        <v>199.50000000000006</v>
      </c>
      <c r="Q225">
        <v>184</v>
      </c>
      <c r="R225" s="38">
        <f t="shared" si="30"/>
        <v>1.0797872340425532</v>
      </c>
      <c r="S225" s="38">
        <f t="shared" si="21"/>
        <v>1.1877659574468087</v>
      </c>
      <c r="T225" s="38">
        <f t="shared" si="22"/>
        <v>-0.98776595744680873</v>
      </c>
      <c r="U225" s="38">
        <f t="shared" si="25"/>
        <v>152.61223404255318</v>
      </c>
      <c r="W225">
        <v>364.2</v>
      </c>
      <c r="Y225">
        <f t="shared" si="24"/>
        <v>95022.599999999933</v>
      </c>
      <c r="Z225">
        <f t="shared" si="27"/>
        <v>10706.300000000001</v>
      </c>
      <c r="AA225">
        <v>11.148130825042612</v>
      </c>
    </row>
    <row r="226" spans="1:27" x14ac:dyDescent="0.25">
      <c r="A226">
        <v>6440</v>
      </c>
      <c r="B226">
        <v>26330</v>
      </c>
      <c r="C226" s="1">
        <v>42804</v>
      </c>
      <c r="F226" s="67"/>
      <c r="G226">
        <v>7.7</v>
      </c>
      <c r="H226">
        <v>3.5</v>
      </c>
      <c r="I226">
        <v>12.3</v>
      </c>
      <c r="J226">
        <f t="shared" si="23"/>
        <v>1425.6000000000004</v>
      </c>
      <c r="K226">
        <f t="shared" si="29"/>
        <v>201.1</v>
      </c>
      <c r="M226">
        <v>0</v>
      </c>
      <c r="N226">
        <v>1.4</v>
      </c>
      <c r="O226" s="37">
        <f t="shared" si="20"/>
        <v>-1.4</v>
      </c>
      <c r="P226">
        <f t="shared" si="26"/>
        <v>198.10000000000005</v>
      </c>
      <c r="Q226">
        <v>185</v>
      </c>
      <c r="R226" s="38">
        <f t="shared" si="30"/>
        <v>1.0829787234042554</v>
      </c>
      <c r="S226" s="38">
        <f t="shared" si="21"/>
        <v>1.5161702127659575</v>
      </c>
      <c r="T226" s="38">
        <f t="shared" si="22"/>
        <v>-1.5161702127659575</v>
      </c>
      <c r="U226" s="38">
        <f t="shared" si="25"/>
        <v>151.09606382978723</v>
      </c>
      <c r="W226">
        <v>1202</v>
      </c>
      <c r="Y226">
        <f t="shared" si="24"/>
        <v>96224.599999999933</v>
      </c>
      <c r="Z226">
        <f t="shared" si="27"/>
        <v>11908.300000000001</v>
      </c>
      <c r="AA226">
        <v>11.213241409117408</v>
      </c>
    </row>
    <row r="227" spans="1:27" x14ac:dyDescent="0.25">
      <c r="A227">
        <v>6440</v>
      </c>
      <c r="B227">
        <v>26330</v>
      </c>
      <c r="C227" s="1">
        <v>42805</v>
      </c>
      <c r="F227" s="67"/>
      <c r="G227">
        <v>9.1999999999999993</v>
      </c>
      <c r="H227">
        <v>3.1</v>
      </c>
      <c r="I227">
        <v>14.3</v>
      </c>
      <c r="J227">
        <f t="shared" si="23"/>
        <v>1434.8000000000004</v>
      </c>
      <c r="K227">
        <f t="shared" si="29"/>
        <v>210.29999999999998</v>
      </c>
      <c r="M227">
        <v>0</v>
      </c>
      <c r="N227">
        <v>1.8</v>
      </c>
      <c r="O227" s="37">
        <f t="shared" si="20"/>
        <v>-1.8</v>
      </c>
      <c r="P227">
        <f t="shared" si="26"/>
        <v>196.30000000000004</v>
      </c>
      <c r="Q227">
        <v>186</v>
      </c>
      <c r="R227" s="38">
        <f t="shared" si="30"/>
        <v>1.0861702127659574</v>
      </c>
      <c r="S227" s="38">
        <f t="shared" si="21"/>
        <v>1.9551063829787234</v>
      </c>
      <c r="T227" s="38">
        <f t="shared" si="22"/>
        <v>-1.9551063829787234</v>
      </c>
      <c r="U227" s="38">
        <f t="shared" si="25"/>
        <v>149.1409574468085</v>
      </c>
      <c r="W227">
        <v>1505</v>
      </c>
      <c r="Y227">
        <f t="shared" si="24"/>
        <v>97729.599999999933</v>
      </c>
      <c r="Z227">
        <f t="shared" si="27"/>
        <v>13413.300000000001</v>
      </c>
      <c r="AA227">
        <v>11.278454016118832</v>
      </c>
    </row>
    <row r="228" spans="1:27" x14ac:dyDescent="0.25">
      <c r="A228">
        <v>6440</v>
      </c>
      <c r="B228">
        <v>26330</v>
      </c>
      <c r="C228" s="1">
        <v>42806</v>
      </c>
      <c r="F228" s="67"/>
      <c r="G228">
        <v>9.6999999999999993</v>
      </c>
      <c r="H228">
        <v>5.7</v>
      </c>
      <c r="I228">
        <v>14.3</v>
      </c>
      <c r="J228">
        <f t="shared" si="23"/>
        <v>1444.5000000000005</v>
      </c>
      <c r="K228">
        <f t="shared" si="29"/>
        <v>219.99999999999997</v>
      </c>
      <c r="M228">
        <v>0</v>
      </c>
      <c r="N228">
        <v>1.6</v>
      </c>
      <c r="O228" s="37">
        <f t="shared" si="20"/>
        <v>-1.6</v>
      </c>
      <c r="P228">
        <f t="shared" si="26"/>
        <v>194.70000000000005</v>
      </c>
      <c r="Q228">
        <v>187</v>
      </c>
      <c r="R228" s="38">
        <f t="shared" si="30"/>
        <v>1.0893617021276596</v>
      </c>
      <c r="S228" s="38">
        <f t="shared" si="21"/>
        <v>1.7429787234042555</v>
      </c>
      <c r="T228" s="38">
        <f t="shared" si="22"/>
        <v>-1.7429787234042555</v>
      </c>
      <c r="U228" s="38">
        <f t="shared" si="25"/>
        <v>147.39797872340424</v>
      </c>
      <c r="W228">
        <v>1229.9000000000001</v>
      </c>
      <c r="Y228">
        <f t="shared" si="24"/>
        <v>98959.499999999927</v>
      </c>
      <c r="Z228">
        <f t="shared" si="27"/>
        <v>14643.2</v>
      </c>
      <c r="AA228">
        <v>11.34375941680385</v>
      </c>
    </row>
    <row r="229" spans="1:27" x14ac:dyDescent="0.25">
      <c r="A229">
        <v>6440</v>
      </c>
      <c r="B229">
        <v>26330</v>
      </c>
      <c r="C229" s="1">
        <v>42807</v>
      </c>
      <c r="F229" s="67"/>
      <c r="G229">
        <v>7.6</v>
      </c>
      <c r="H229">
        <v>4.0999999999999996</v>
      </c>
      <c r="I229">
        <v>12.2</v>
      </c>
      <c r="J229">
        <f t="shared" si="23"/>
        <v>1452.1000000000004</v>
      </c>
      <c r="K229">
        <f t="shared" si="29"/>
        <v>227.59999999999997</v>
      </c>
      <c r="M229">
        <v>0.1</v>
      </c>
      <c r="N229">
        <v>0.8</v>
      </c>
      <c r="O229" s="37">
        <f t="shared" si="20"/>
        <v>-0.70000000000000007</v>
      </c>
      <c r="P229">
        <f t="shared" si="26"/>
        <v>194.00000000000006</v>
      </c>
      <c r="Q229">
        <v>188</v>
      </c>
      <c r="R229" s="38">
        <f t="shared" si="30"/>
        <v>1.0925531914893616</v>
      </c>
      <c r="S229" s="38">
        <f t="shared" si="21"/>
        <v>0.87404255319148927</v>
      </c>
      <c r="T229" s="38">
        <f t="shared" si="22"/>
        <v>-0.77404255319148929</v>
      </c>
      <c r="U229" s="38">
        <f t="shared" si="25"/>
        <v>146.62393617021274</v>
      </c>
      <c r="W229">
        <v>597.20000000000005</v>
      </c>
      <c r="Y229">
        <f t="shared" si="24"/>
        <v>99556.699999999924</v>
      </c>
      <c r="Z229">
        <f t="shared" si="27"/>
        <v>15240.400000000001</v>
      </c>
      <c r="AA229">
        <v>11.409148571155381</v>
      </c>
    </row>
    <row r="230" spans="1:27" x14ac:dyDescent="0.25">
      <c r="A230">
        <v>6440</v>
      </c>
      <c r="B230">
        <v>26330</v>
      </c>
      <c r="C230" s="1">
        <v>42808</v>
      </c>
      <c r="F230" s="67"/>
      <c r="G230">
        <v>8.4</v>
      </c>
      <c r="H230">
        <v>4.0999999999999996</v>
      </c>
      <c r="I230">
        <v>11.1</v>
      </c>
      <c r="J230">
        <f t="shared" si="23"/>
        <v>1460.5000000000005</v>
      </c>
      <c r="K230">
        <f t="shared" si="29"/>
        <v>235.99999999999997</v>
      </c>
      <c r="M230">
        <v>0</v>
      </c>
      <c r="N230">
        <v>0.3</v>
      </c>
      <c r="O230" s="37">
        <f t="shared" si="20"/>
        <v>-0.3</v>
      </c>
      <c r="P230">
        <f t="shared" si="26"/>
        <v>193.70000000000005</v>
      </c>
      <c r="Q230">
        <v>189</v>
      </c>
      <c r="R230" s="38">
        <f t="shared" si="30"/>
        <v>1.0957446808510638</v>
      </c>
      <c r="S230" s="38">
        <f t="shared" si="21"/>
        <v>0.32872340425531915</v>
      </c>
      <c r="T230" s="38">
        <f t="shared" si="22"/>
        <v>-0.32872340425531915</v>
      </c>
      <c r="U230" s="38">
        <f t="shared" si="25"/>
        <v>146.29521276595742</v>
      </c>
      <c r="W230">
        <v>417.3</v>
      </c>
      <c r="Y230">
        <f t="shared" si="24"/>
        <v>99973.999999999927</v>
      </c>
      <c r="Z230">
        <f t="shared" si="27"/>
        <v>15657.7</v>
      </c>
      <c r="AA230">
        <v>11.474612611424222</v>
      </c>
    </row>
    <row r="231" spans="1:27" x14ac:dyDescent="0.25">
      <c r="A231">
        <v>6440</v>
      </c>
      <c r="B231">
        <v>26330</v>
      </c>
      <c r="C231" s="1">
        <v>42809</v>
      </c>
      <c r="F231" s="67"/>
      <c r="G231">
        <v>11.9</v>
      </c>
      <c r="H231">
        <v>9.1</v>
      </c>
      <c r="I231">
        <v>16</v>
      </c>
      <c r="J231">
        <f t="shared" si="23"/>
        <v>1472.4000000000005</v>
      </c>
      <c r="K231">
        <f t="shared" si="29"/>
        <v>247.89999999999998</v>
      </c>
      <c r="M231">
        <v>0</v>
      </c>
      <c r="N231">
        <v>1.5</v>
      </c>
      <c r="O231" s="37">
        <f t="shared" si="20"/>
        <v>-1.5</v>
      </c>
      <c r="P231">
        <f t="shared" si="26"/>
        <v>192.20000000000005</v>
      </c>
      <c r="Q231">
        <v>190</v>
      </c>
      <c r="R231" s="38">
        <f t="shared" si="30"/>
        <v>1.0989361702127658</v>
      </c>
      <c r="S231" s="38">
        <f t="shared" si="21"/>
        <v>1.6484042553191487</v>
      </c>
      <c r="T231" s="38">
        <f t="shared" si="22"/>
        <v>-1.6484042553191487</v>
      </c>
      <c r="U231" s="38">
        <f t="shared" si="25"/>
        <v>144.64680851063827</v>
      </c>
      <c r="W231">
        <v>1135.5999999999999</v>
      </c>
      <c r="Y231">
        <f t="shared" si="24"/>
        <v>101109.59999999993</v>
      </c>
      <c r="Z231">
        <f t="shared" si="27"/>
        <v>16793.3</v>
      </c>
      <c r="AA231">
        <v>11.540142825093756</v>
      </c>
    </row>
    <row r="232" spans="1:27" x14ac:dyDescent="0.25">
      <c r="A232">
        <v>6440</v>
      </c>
      <c r="B232">
        <v>26330</v>
      </c>
      <c r="C232" s="1">
        <v>42810</v>
      </c>
      <c r="F232" s="67"/>
      <c r="G232">
        <v>11.1</v>
      </c>
      <c r="H232">
        <v>4.0999999999999996</v>
      </c>
      <c r="I232">
        <v>16.899999999999999</v>
      </c>
      <c r="J232">
        <f t="shared" si="23"/>
        <v>1483.5000000000005</v>
      </c>
      <c r="K232">
        <f t="shared" si="29"/>
        <v>259</v>
      </c>
      <c r="M232">
        <v>0</v>
      </c>
      <c r="N232">
        <v>2.2999999999999998</v>
      </c>
      <c r="O232" s="37">
        <f t="shared" si="20"/>
        <v>-2.2999999999999998</v>
      </c>
      <c r="P232">
        <f t="shared" si="26"/>
        <v>189.90000000000003</v>
      </c>
      <c r="Q232">
        <v>191</v>
      </c>
      <c r="R232" s="38">
        <f t="shared" si="30"/>
        <v>1.102127659574468</v>
      </c>
      <c r="S232" s="38">
        <f t="shared" si="21"/>
        <v>2.5348936170212761</v>
      </c>
      <c r="T232" s="38">
        <f t="shared" si="22"/>
        <v>-2.5348936170212761</v>
      </c>
      <c r="U232" s="38">
        <f t="shared" si="25"/>
        <v>142.11191489361698</v>
      </c>
      <c r="W232">
        <v>1742.2</v>
      </c>
      <c r="Y232">
        <f t="shared" si="24"/>
        <v>102851.79999999993</v>
      </c>
      <c r="Z232">
        <f t="shared" si="27"/>
        <v>18535.5</v>
      </c>
      <c r="AA232">
        <v>11.60573063777888</v>
      </c>
    </row>
    <row r="233" spans="1:27" x14ac:dyDescent="0.25">
      <c r="A233">
        <v>6440</v>
      </c>
      <c r="B233">
        <v>26330</v>
      </c>
      <c r="C233" s="1">
        <v>42811</v>
      </c>
      <c r="F233" s="67"/>
      <c r="G233">
        <v>9.3000000000000007</v>
      </c>
      <c r="H233">
        <v>8.3000000000000007</v>
      </c>
      <c r="I233">
        <v>11.4</v>
      </c>
      <c r="J233">
        <f t="shared" si="23"/>
        <v>1492.8000000000004</v>
      </c>
      <c r="K233">
        <f t="shared" si="29"/>
        <v>268.3</v>
      </c>
      <c r="M233">
        <v>4.8</v>
      </c>
      <c r="N233">
        <v>2</v>
      </c>
      <c r="O233" s="37">
        <f t="shared" si="20"/>
        <v>2.8</v>
      </c>
      <c r="P233">
        <f t="shared" si="26"/>
        <v>192.70000000000005</v>
      </c>
      <c r="Q233">
        <v>192</v>
      </c>
      <c r="R233" s="38">
        <f t="shared" si="30"/>
        <v>1.1053191489361702</v>
      </c>
      <c r="S233" s="38">
        <f t="shared" si="21"/>
        <v>2.2106382978723405</v>
      </c>
      <c r="T233" s="38">
        <f t="shared" si="22"/>
        <v>2.5893617021276594</v>
      </c>
      <c r="U233" s="38">
        <f t="shared" si="25"/>
        <v>144.70127659574464</v>
      </c>
      <c r="W233">
        <v>495.9</v>
      </c>
      <c r="Y233">
        <f t="shared" si="24"/>
        <v>103347.69999999992</v>
      </c>
      <c r="Z233">
        <f t="shared" si="27"/>
        <v>19031.400000000001</v>
      </c>
      <c r="AA233">
        <v>11.671367596069402</v>
      </c>
    </row>
    <row r="234" spans="1:27" x14ac:dyDescent="0.25">
      <c r="A234">
        <v>6440</v>
      </c>
      <c r="B234">
        <v>26330</v>
      </c>
      <c r="C234" s="1">
        <v>42812</v>
      </c>
      <c r="F234" s="67"/>
      <c r="G234">
        <v>11.3</v>
      </c>
      <c r="H234">
        <v>8.6</v>
      </c>
      <c r="I234">
        <v>13.4</v>
      </c>
      <c r="J234">
        <f t="shared" si="23"/>
        <v>1504.1000000000004</v>
      </c>
      <c r="K234">
        <f t="shared" si="29"/>
        <v>279.60000000000002</v>
      </c>
      <c r="M234">
        <v>3.8</v>
      </c>
      <c r="N234">
        <v>0.7</v>
      </c>
      <c r="O234" s="37">
        <f t="shared" si="20"/>
        <v>3.0999999999999996</v>
      </c>
      <c r="P234">
        <f t="shared" si="26"/>
        <v>195.80000000000004</v>
      </c>
      <c r="Q234">
        <v>193</v>
      </c>
      <c r="R234" s="38">
        <f t="shared" si="30"/>
        <v>1.1085106382978722</v>
      </c>
      <c r="S234" s="38">
        <f t="shared" si="21"/>
        <v>0.77595744680851053</v>
      </c>
      <c r="T234" s="38">
        <f t="shared" si="22"/>
        <v>3.0240425531914892</v>
      </c>
      <c r="U234" s="38">
        <f t="shared" si="25"/>
        <v>147.72531914893614</v>
      </c>
      <c r="W234">
        <v>297.7</v>
      </c>
      <c r="Y234">
        <f t="shared" si="24"/>
        <v>103645.39999999992</v>
      </c>
      <c r="Z234">
        <f t="shared" si="27"/>
        <v>19329.100000000002</v>
      </c>
      <c r="AA234">
        <v>11.737045350327168</v>
      </c>
    </row>
    <row r="235" spans="1:27" x14ac:dyDescent="0.25">
      <c r="A235">
        <v>6440</v>
      </c>
      <c r="B235">
        <v>26330</v>
      </c>
      <c r="C235" s="1">
        <v>42813</v>
      </c>
      <c r="F235" s="67"/>
      <c r="G235">
        <v>11.4</v>
      </c>
      <c r="H235">
        <v>10.9</v>
      </c>
      <c r="I235">
        <v>12.3</v>
      </c>
      <c r="J235">
        <f t="shared" si="23"/>
        <v>1515.5000000000005</v>
      </c>
      <c r="K235">
        <f t="shared" si="29"/>
        <v>291</v>
      </c>
      <c r="M235">
        <v>0</v>
      </c>
      <c r="N235">
        <v>1.4</v>
      </c>
      <c r="O235" s="37">
        <f t="shared" ref="O235:O298" si="31">M235-N235</f>
        <v>-1.4</v>
      </c>
      <c r="P235">
        <f t="shared" si="26"/>
        <v>194.40000000000003</v>
      </c>
      <c r="Q235">
        <v>194</v>
      </c>
      <c r="R235" s="38">
        <f t="shared" si="30"/>
        <v>1.1117021276595744</v>
      </c>
      <c r="S235" s="38">
        <f t="shared" ref="S235:S298" si="32">R235*N235</f>
        <v>1.556382978723404</v>
      </c>
      <c r="T235" s="38">
        <f t="shared" ref="T235:T298" si="33">M235-S235</f>
        <v>-1.556382978723404</v>
      </c>
      <c r="U235" s="38">
        <f t="shared" si="25"/>
        <v>146.16893617021273</v>
      </c>
      <c r="W235">
        <v>312</v>
      </c>
      <c r="Y235">
        <f t="shared" si="24"/>
        <v>103957.39999999992</v>
      </c>
      <c r="Z235">
        <f t="shared" si="27"/>
        <v>19641.100000000002</v>
      </c>
      <c r="AA235">
        <v>11.802755637445159</v>
      </c>
    </row>
    <row r="236" spans="1:27" x14ac:dyDescent="0.25">
      <c r="A236">
        <v>6440</v>
      </c>
      <c r="B236">
        <v>26330</v>
      </c>
      <c r="C236" s="1">
        <v>42814</v>
      </c>
      <c r="F236" s="67"/>
      <c r="G236">
        <v>11.2</v>
      </c>
      <c r="H236">
        <v>10.199999999999999</v>
      </c>
      <c r="I236">
        <v>12.2</v>
      </c>
      <c r="J236">
        <f t="shared" ref="J236:J299" si="34">J235+G236</f>
        <v>1526.7000000000005</v>
      </c>
      <c r="K236">
        <f t="shared" si="29"/>
        <v>302.2</v>
      </c>
      <c r="M236">
        <v>2.1</v>
      </c>
      <c r="N236">
        <v>1.6</v>
      </c>
      <c r="O236" s="37">
        <f t="shared" si="31"/>
        <v>0.5</v>
      </c>
      <c r="P236">
        <f t="shared" si="26"/>
        <v>194.90000000000003</v>
      </c>
      <c r="Q236">
        <v>195</v>
      </c>
      <c r="R236" s="38">
        <f t="shared" si="30"/>
        <v>1.1148936170212764</v>
      </c>
      <c r="S236" s="38">
        <f t="shared" si="32"/>
        <v>1.7838297872340423</v>
      </c>
      <c r="T236" s="38">
        <f t="shared" si="33"/>
        <v>0.3161702127659578</v>
      </c>
      <c r="U236" s="38">
        <f t="shared" si="25"/>
        <v>146.4851063829787</v>
      </c>
      <c r="W236">
        <v>178.4</v>
      </c>
      <c r="Y236">
        <f t="shared" ref="Y236:Y299" si="35">Y235+W236</f>
        <v>104135.79999999992</v>
      </c>
      <c r="Z236">
        <f t="shared" si="27"/>
        <v>19819.500000000004</v>
      </c>
      <c r="AA236">
        <v>11.868490263576144</v>
      </c>
    </row>
    <row r="237" spans="1:27" x14ac:dyDescent="0.25">
      <c r="A237">
        <v>6440</v>
      </c>
      <c r="B237">
        <v>26330</v>
      </c>
      <c r="C237" s="1">
        <v>42815</v>
      </c>
      <c r="F237" s="67"/>
      <c r="G237">
        <v>7.7</v>
      </c>
      <c r="H237">
        <v>8</v>
      </c>
      <c r="I237">
        <v>9.1999999999999993</v>
      </c>
      <c r="J237">
        <f t="shared" si="34"/>
        <v>1534.4000000000005</v>
      </c>
      <c r="K237">
        <f t="shared" si="29"/>
        <v>309.89999999999998</v>
      </c>
      <c r="M237">
        <v>0.1</v>
      </c>
      <c r="N237">
        <v>1.9</v>
      </c>
      <c r="O237" s="37">
        <f t="shared" si="31"/>
        <v>-1.7999999999999998</v>
      </c>
      <c r="P237">
        <f t="shared" si="26"/>
        <v>193.10000000000002</v>
      </c>
      <c r="Q237">
        <v>196</v>
      </c>
      <c r="R237" s="38">
        <f t="shared" si="30"/>
        <v>1.1180851063829786</v>
      </c>
      <c r="S237" s="38">
        <f t="shared" si="32"/>
        <v>2.1243617021276595</v>
      </c>
      <c r="T237" s="38">
        <f t="shared" si="33"/>
        <v>-2.0243617021276594</v>
      </c>
      <c r="U237" s="38">
        <f t="shared" si="25"/>
        <v>144.46074468085104</v>
      </c>
      <c r="W237">
        <v>607.70000000000005</v>
      </c>
      <c r="Y237">
        <f t="shared" si="35"/>
        <v>104743.49999999991</v>
      </c>
      <c r="Z237">
        <f t="shared" si="27"/>
        <v>20427.200000000004</v>
      </c>
      <c r="AA237">
        <v>11.9342410868377</v>
      </c>
    </row>
    <row r="238" spans="1:27" x14ac:dyDescent="0.25">
      <c r="A238">
        <v>6440</v>
      </c>
      <c r="B238">
        <v>26330</v>
      </c>
      <c r="C238" s="1">
        <v>42816</v>
      </c>
      <c r="F238" s="67"/>
      <c r="G238">
        <v>6.2</v>
      </c>
      <c r="H238">
        <v>2</v>
      </c>
      <c r="I238">
        <v>9.6</v>
      </c>
      <c r="J238">
        <f t="shared" si="34"/>
        <v>1540.6000000000006</v>
      </c>
      <c r="K238">
        <f t="shared" si="29"/>
        <v>316.09999999999997</v>
      </c>
      <c r="M238">
        <v>0</v>
      </c>
      <c r="N238">
        <v>1</v>
      </c>
      <c r="O238" s="37">
        <f t="shared" si="31"/>
        <v>-1</v>
      </c>
      <c r="P238">
        <f t="shared" si="26"/>
        <v>192.10000000000002</v>
      </c>
      <c r="Q238">
        <v>197</v>
      </c>
      <c r="R238" s="38">
        <f t="shared" si="30"/>
        <v>1.1212765957446809</v>
      </c>
      <c r="S238" s="38">
        <f t="shared" si="32"/>
        <v>1.1212765957446809</v>
      </c>
      <c r="T238" s="38">
        <f t="shared" si="33"/>
        <v>-1.1212765957446809</v>
      </c>
      <c r="U238" s="38">
        <f t="shared" si="25"/>
        <v>143.33946808510635</v>
      </c>
      <c r="W238">
        <v>628.1</v>
      </c>
      <c r="Y238">
        <f t="shared" si="35"/>
        <v>105371.59999999992</v>
      </c>
      <c r="Z238">
        <f t="shared" si="27"/>
        <v>21055.300000000003</v>
      </c>
      <c r="AA238">
        <v>12</v>
      </c>
    </row>
    <row r="239" spans="1:27" x14ac:dyDescent="0.25">
      <c r="A239">
        <v>6440</v>
      </c>
      <c r="B239">
        <v>26330</v>
      </c>
      <c r="C239" s="1">
        <v>42817</v>
      </c>
      <c r="F239" s="67"/>
      <c r="G239">
        <v>9.5</v>
      </c>
      <c r="H239">
        <v>4.0999999999999996</v>
      </c>
      <c r="I239">
        <v>13.4</v>
      </c>
      <c r="J239">
        <f t="shared" si="34"/>
        <v>1550.1000000000006</v>
      </c>
      <c r="K239">
        <f t="shared" si="29"/>
        <v>325.59999999999997</v>
      </c>
      <c r="M239">
        <v>0</v>
      </c>
      <c r="N239">
        <v>1.5</v>
      </c>
      <c r="O239" s="37">
        <f t="shared" si="31"/>
        <v>-1.5</v>
      </c>
      <c r="P239">
        <f t="shared" si="26"/>
        <v>190.60000000000002</v>
      </c>
      <c r="Q239">
        <v>198</v>
      </c>
      <c r="R239" s="38">
        <f t="shared" si="30"/>
        <v>1.1244680851063829</v>
      </c>
      <c r="S239" s="38">
        <f t="shared" si="32"/>
        <v>1.6867021276595744</v>
      </c>
      <c r="T239" s="38">
        <f t="shared" si="33"/>
        <v>-1.6867021276595744</v>
      </c>
      <c r="U239" s="38">
        <f t="shared" si="25"/>
        <v>141.65276595744677</v>
      </c>
      <c r="W239">
        <v>863.7</v>
      </c>
      <c r="Y239">
        <f t="shared" si="35"/>
        <v>106235.29999999992</v>
      </c>
      <c r="Z239">
        <f t="shared" si="27"/>
        <v>21919.000000000004</v>
      </c>
      <c r="AA239">
        <v>12.065758913162298</v>
      </c>
    </row>
    <row r="240" spans="1:27" x14ac:dyDescent="0.25">
      <c r="A240">
        <v>6440</v>
      </c>
      <c r="B240">
        <v>26330</v>
      </c>
      <c r="C240" s="1">
        <v>42818</v>
      </c>
      <c r="F240" s="67"/>
      <c r="G240">
        <v>10.1</v>
      </c>
      <c r="H240">
        <v>6.9</v>
      </c>
      <c r="I240">
        <v>12.4</v>
      </c>
      <c r="J240">
        <f t="shared" si="34"/>
        <v>1560.2000000000005</v>
      </c>
      <c r="K240">
        <f t="shared" si="29"/>
        <v>335.7</v>
      </c>
      <c r="M240">
        <v>0</v>
      </c>
      <c r="N240">
        <v>2.6</v>
      </c>
      <c r="O240" s="37">
        <f t="shared" si="31"/>
        <v>-2.6</v>
      </c>
      <c r="P240">
        <f t="shared" si="26"/>
        <v>188.00000000000003</v>
      </c>
      <c r="Q240">
        <v>199</v>
      </c>
      <c r="R240" s="38">
        <f t="shared" si="30"/>
        <v>1.1276595744680851</v>
      </c>
      <c r="S240" s="38">
        <f t="shared" si="32"/>
        <v>2.9319148936170212</v>
      </c>
      <c r="T240" s="38">
        <f t="shared" si="33"/>
        <v>-2.9319148936170212</v>
      </c>
      <c r="U240" s="38">
        <f t="shared" si="25"/>
        <v>138.72085106382974</v>
      </c>
      <c r="W240">
        <v>1750</v>
      </c>
      <c r="Y240">
        <f t="shared" si="35"/>
        <v>107985.29999999992</v>
      </c>
      <c r="Z240">
        <f t="shared" si="27"/>
        <v>23669.000000000004</v>
      </c>
      <c r="AA240">
        <v>12.131509736423856</v>
      </c>
    </row>
    <row r="241" spans="1:28" x14ac:dyDescent="0.25">
      <c r="A241">
        <v>6440</v>
      </c>
      <c r="B241">
        <v>26330</v>
      </c>
      <c r="C241" s="1">
        <v>42819</v>
      </c>
      <c r="F241" s="67"/>
      <c r="G241">
        <v>10.7</v>
      </c>
      <c r="H241">
        <v>5.2</v>
      </c>
      <c r="I241">
        <v>14.4</v>
      </c>
      <c r="J241">
        <f t="shared" si="34"/>
        <v>1570.9000000000005</v>
      </c>
      <c r="K241">
        <f t="shared" si="29"/>
        <v>346.4</v>
      </c>
      <c r="M241">
        <v>0</v>
      </c>
      <c r="N241">
        <v>3.9</v>
      </c>
      <c r="O241" s="37">
        <f t="shared" si="31"/>
        <v>-3.9</v>
      </c>
      <c r="P241">
        <f t="shared" si="26"/>
        <v>184.10000000000002</v>
      </c>
      <c r="Q241">
        <v>200</v>
      </c>
      <c r="R241" s="38">
        <f t="shared" si="30"/>
        <v>1.1308510638297871</v>
      </c>
      <c r="S241" s="38">
        <f t="shared" si="32"/>
        <v>4.4103191489361695</v>
      </c>
      <c r="T241" s="38">
        <f t="shared" si="33"/>
        <v>-4.4103191489361695</v>
      </c>
      <c r="U241" s="38">
        <f t="shared" si="25"/>
        <v>134.31053191489357</v>
      </c>
      <c r="W241">
        <v>1984.2</v>
      </c>
      <c r="Y241">
        <f t="shared" si="35"/>
        <v>109969.49999999991</v>
      </c>
      <c r="Z241">
        <f t="shared" si="27"/>
        <v>25653.200000000004</v>
      </c>
      <c r="AA241">
        <v>12.197244362554839</v>
      </c>
    </row>
    <row r="242" spans="1:28" x14ac:dyDescent="0.25">
      <c r="A242">
        <v>6440</v>
      </c>
      <c r="B242">
        <v>26330</v>
      </c>
      <c r="C242" s="1">
        <v>42820</v>
      </c>
      <c r="F242" s="67"/>
      <c r="G242">
        <v>11.1</v>
      </c>
      <c r="H242">
        <v>6.2</v>
      </c>
      <c r="I242">
        <v>15.1</v>
      </c>
      <c r="J242">
        <f t="shared" si="34"/>
        <v>1582.0000000000005</v>
      </c>
      <c r="K242">
        <f t="shared" si="29"/>
        <v>357.5</v>
      </c>
      <c r="M242">
        <v>0</v>
      </c>
      <c r="N242">
        <v>3.4</v>
      </c>
      <c r="O242" s="37">
        <f t="shared" si="31"/>
        <v>-3.4</v>
      </c>
      <c r="P242">
        <f t="shared" si="26"/>
        <v>180.70000000000002</v>
      </c>
      <c r="Q242">
        <v>201</v>
      </c>
      <c r="R242" s="38">
        <f t="shared" si="30"/>
        <v>1.1340425531914893</v>
      </c>
      <c r="S242" s="38">
        <f t="shared" si="32"/>
        <v>3.8557446808510636</v>
      </c>
      <c r="T242" s="38">
        <f t="shared" si="33"/>
        <v>-3.8557446808510636</v>
      </c>
      <c r="U242" s="38">
        <f t="shared" si="25"/>
        <v>130.4547872340425</v>
      </c>
      <c r="W242">
        <v>2010.2</v>
      </c>
      <c r="Y242">
        <f t="shared" si="35"/>
        <v>111979.69999999991</v>
      </c>
      <c r="Z242">
        <f t="shared" si="27"/>
        <v>27663.400000000005</v>
      </c>
      <c r="AA242">
        <v>12.262954649672832</v>
      </c>
    </row>
    <row r="243" spans="1:28" x14ac:dyDescent="0.25">
      <c r="A243">
        <v>6440</v>
      </c>
      <c r="B243">
        <v>26330</v>
      </c>
      <c r="C243" s="1">
        <v>42821</v>
      </c>
      <c r="F243" s="67"/>
      <c r="G243">
        <v>11.3</v>
      </c>
      <c r="H243">
        <v>5.7</v>
      </c>
      <c r="I243">
        <v>16.600000000000001</v>
      </c>
      <c r="J243">
        <f t="shared" si="34"/>
        <v>1593.3000000000004</v>
      </c>
      <c r="K243">
        <f t="shared" si="29"/>
        <v>368.8</v>
      </c>
      <c r="M243">
        <v>0</v>
      </c>
      <c r="N243">
        <v>3</v>
      </c>
      <c r="O243" s="37">
        <f t="shared" si="31"/>
        <v>-3</v>
      </c>
      <c r="P243">
        <f t="shared" si="26"/>
        <v>177.70000000000002</v>
      </c>
      <c r="Q243">
        <v>202</v>
      </c>
      <c r="R243" s="38">
        <f t="shared" si="30"/>
        <v>1.1372340425531915</v>
      </c>
      <c r="S243" s="38">
        <f t="shared" si="32"/>
        <v>3.4117021276595745</v>
      </c>
      <c r="T243" s="38">
        <f t="shared" si="33"/>
        <v>-3.4117021276595745</v>
      </c>
      <c r="U243" s="38">
        <f t="shared" ref="U243:U303" si="36">MIN(T243+U242,153.6)</f>
        <v>127.04308510638292</v>
      </c>
      <c r="W243">
        <v>2035.3</v>
      </c>
      <c r="Y243">
        <f t="shared" si="35"/>
        <v>114014.99999999991</v>
      </c>
      <c r="Z243">
        <f t="shared" si="27"/>
        <v>29698.700000000004</v>
      </c>
      <c r="AA243">
        <v>12.328632403930596</v>
      </c>
    </row>
    <row r="244" spans="1:28" x14ac:dyDescent="0.25">
      <c r="A244">
        <v>6440</v>
      </c>
      <c r="B244">
        <v>26330</v>
      </c>
      <c r="C244" s="1">
        <v>42822</v>
      </c>
      <c r="F244" s="67"/>
      <c r="G244">
        <v>11.8</v>
      </c>
      <c r="H244">
        <v>5.0999999999999996</v>
      </c>
      <c r="I244">
        <v>19.5</v>
      </c>
      <c r="J244">
        <f t="shared" si="34"/>
        <v>1605.1000000000004</v>
      </c>
      <c r="K244">
        <f t="shared" si="29"/>
        <v>380.6</v>
      </c>
      <c r="M244">
        <v>0.3</v>
      </c>
      <c r="N244">
        <v>3.1</v>
      </c>
      <c r="O244" s="37">
        <f t="shared" si="31"/>
        <v>-2.8000000000000003</v>
      </c>
      <c r="P244">
        <f t="shared" ref="P244:P307" si="37">P243+O244</f>
        <v>174.9</v>
      </c>
      <c r="Q244">
        <v>203</v>
      </c>
      <c r="R244" s="38">
        <f t="shared" si="30"/>
        <v>1.1404255319148935</v>
      </c>
      <c r="S244" s="38">
        <f t="shared" si="32"/>
        <v>3.5353191489361699</v>
      </c>
      <c r="T244" s="38">
        <f t="shared" si="33"/>
        <v>-3.2353191489361701</v>
      </c>
      <c r="U244" s="38">
        <f t="shared" si="36"/>
        <v>123.80776595744675</v>
      </c>
      <c r="W244">
        <v>1913.2</v>
      </c>
      <c r="Y244">
        <f t="shared" si="35"/>
        <v>115928.19999999991</v>
      </c>
      <c r="Z244">
        <f t="shared" si="27"/>
        <v>31611.900000000005</v>
      </c>
      <c r="AA244">
        <v>12.394269362221118</v>
      </c>
    </row>
    <row r="245" spans="1:28" x14ac:dyDescent="0.25">
      <c r="A245">
        <v>6440</v>
      </c>
      <c r="B245">
        <v>26330</v>
      </c>
      <c r="C245" s="1">
        <v>42823</v>
      </c>
      <c r="F245" s="67"/>
      <c r="G245">
        <v>13.2</v>
      </c>
      <c r="H245">
        <v>9.6</v>
      </c>
      <c r="I245">
        <v>16.399999999999999</v>
      </c>
      <c r="J245">
        <f t="shared" si="34"/>
        <v>1618.3000000000004</v>
      </c>
      <c r="K245">
        <f t="shared" si="29"/>
        <v>393.8</v>
      </c>
      <c r="M245">
        <v>0</v>
      </c>
      <c r="N245">
        <v>1.7</v>
      </c>
      <c r="O245" s="37">
        <f t="shared" si="31"/>
        <v>-1.7</v>
      </c>
      <c r="P245">
        <f t="shared" si="37"/>
        <v>173.20000000000002</v>
      </c>
      <c r="Q245">
        <v>204</v>
      </c>
      <c r="R245" s="38">
        <f t="shared" si="30"/>
        <v>1.1436170212765957</v>
      </c>
      <c r="S245" s="38">
        <f t="shared" si="32"/>
        <v>1.9441489361702127</v>
      </c>
      <c r="T245" s="38">
        <f t="shared" si="33"/>
        <v>-1.9441489361702127</v>
      </c>
      <c r="U245" s="38">
        <f t="shared" si="36"/>
        <v>121.86361702127654</v>
      </c>
      <c r="W245">
        <v>715.5</v>
      </c>
      <c r="Y245">
        <f t="shared" si="35"/>
        <v>116643.69999999991</v>
      </c>
      <c r="Z245">
        <f t="shared" si="27"/>
        <v>32327.400000000005</v>
      </c>
      <c r="AA245">
        <v>12.459857174906244</v>
      </c>
    </row>
    <row r="246" spans="1:28" x14ac:dyDescent="0.25">
      <c r="A246">
        <v>6440</v>
      </c>
      <c r="B246">
        <v>26330</v>
      </c>
      <c r="C246" s="1">
        <v>42824</v>
      </c>
      <c r="F246" s="67"/>
      <c r="G246">
        <v>15.6</v>
      </c>
      <c r="H246">
        <v>9.9</v>
      </c>
      <c r="I246">
        <v>21.2</v>
      </c>
      <c r="J246">
        <f t="shared" si="34"/>
        <v>1633.9000000000003</v>
      </c>
      <c r="K246">
        <f t="shared" si="29"/>
        <v>409.40000000000003</v>
      </c>
      <c r="M246">
        <v>0</v>
      </c>
      <c r="N246">
        <v>3.3</v>
      </c>
      <c r="O246" s="37">
        <f t="shared" si="31"/>
        <v>-3.3</v>
      </c>
      <c r="P246">
        <f t="shared" si="37"/>
        <v>169.9</v>
      </c>
      <c r="Q246">
        <v>205</v>
      </c>
      <c r="R246" s="38">
        <f t="shared" si="30"/>
        <v>1.1468085106382977</v>
      </c>
      <c r="S246" s="38">
        <f t="shared" si="32"/>
        <v>3.7844680851063823</v>
      </c>
      <c r="T246" s="38">
        <f t="shared" si="33"/>
        <v>-3.7844680851063823</v>
      </c>
      <c r="U246" s="38">
        <f t="shared" si="36"/>
        <v>118.07914893617016</v>
      </c>
      <c r="W246">
        <v>1605.1</v>
      </c>
      <c r="Y246">
        <f t="shared" si="35"/>
        <v>118248.79999999992</v>
      </c>
      <c r="Z246">
        <f t="shared" si="27"/>
        <v>33932.500000000007</v>
      </c>
      <c r="AA246">
        <v>12.525387388575778</v>
      </c>
    </row>
    <row r="247" spans="1:28" s="13" customFormat="1" ht="15.75" thickBot="1" x14ac:dyDescent="0.3">
      <c r="A247" s="13">
        <v>6440</v>
      </c>
      <c r="B247" s="13">
        <v>26330</v>
      </c>
      <c r="C247" s="14">
        <v>42825</v>
      </c>
      <c r="F247" s="74"/>
      <c r="G247" s="13">
        <v>12.9</v>
      </c>
      <c r="H247" s="13">
        <v>11</v>
      </c>
      <c r="I247" s="13">
        <v>15</v>
      </c>
      <c r="J247" s="13">
        <f t="shared" si="34"/>
        <v>1646.8000000000004</v>
      </c>
      <c r="K247" s="13">
        <f t="shared" si="29"/>
        <v>422.3</v>
      </c>
      <c r="L247" s="26"/>
      <c r="M247" s="13">
        <v>1</v>
      </c>
      <c r="N247" s="13">
        <v>1.1000000000000001</v>
      </c>
      <c r="O247" s="15">
        <f t="shared" si="31"/>
        <v>-0.10000000000000009</v>
      </c>
      <c r="P247" s="13">
        <f t="shared" si="37"/>
        <v>169.8</v>
      </c>
      <c r="Q247" s="13">
        <v>206</v>
      </c>
      <c r="R247" s="38">
        <f t="shared" si="30"/>
        <v>1.1499999999999999</v>
      </c>
      <c r="S247" s="47">
        <f t="shared" si="32"/>
        <v>1.2649999999999999</v>
      </c>
      <c r="T247" s="47">
        <f t="shared" si="33"/>
        <v>-0.2649999999999999</v>
      </c>
      <c r="U247" s="38">
        <f t="shared" si="36"/>
        <v>117.81414893617016</v>
      </c>
      <c r="W247" s="13">
        <v>916.9</v>
      </c>
      <c r="Y247" s="13">
        <f t="shared" si="35"/>
        <v>119165.69999999991</v>
      </c>
      <c r="Z247" s="13">
        <f t="shared" si="27"/>
        <v>34849.400000000009</v>
      </c>
      <c r="AA247" s="13">
        <v>12.590851428844617</v>
      </c>
    </row>
    <row r="248" spans="1:28" x14ac:dyDescent="0.25">
      <c r="A248">
        <v>6440</v>
      </c>
      <c r="B248">
        <v>26330</v>
      </c>
      <c r="C248" s="1">
        <v>42826</v>
      </c>
      <c r="D248" t="s">
        <v>62</v>
      </c>
      <c r="F248" s="75" t="s">
        <v>25</v>
      </c>
      <c r="G248">
        <v>11.5</v>
      </c>
      <c r="H248">
        <v>8.9</v>
      </c>
      <c r="I248">
        <v>14.7</v>
      </c>
      <c r="J248">
        <f t="shared" si="34"/>
        <v>1658.3000000000004</v>
      </c>
      <c r="K248">
        <f>G248</f>
        <v>11.5</v>
      </c>
      <c r="L248" s="30" t="s">
        <v>29</v>
      </c>
      <c r="M248">
        <v>0.1</v>
      </c>
      <c r="N248">
        <v>1.2</v>
      </c>
      <c r="O248" s="37">
        <f t="shared" si="31"/>
        <v>-1.0999999999999999</v>
      </c>
      <c r="P248">
        <f t="shared" si="37"/>
        <v>168.70000000000002</v>
      </c>
      <c r="Q248">
        <v>207</v>
      </c>
      <c r="R248" s="38">
        <v>1.1499999999999999</v>
      </c>
      <c r="S248" s="38">
        <f t="shared" si="32"/>
        <v>1.38</v>
      </c>
      <c r="T248" s="38">
        <f t="shared" si="33"/>
        <v>-1.2799999999999998</v>
      </c>
      <c r="U248" s="38">
        <f t="shared" si="36"/>
        <v>116.53414893617015</v>
      </c>
      <c r="V248" s="6" t="s">
        <v>51</v>
      </c>
      <c r="W248">
        <v>813.2</v>
      </c>
      <c r="Y248">
        <f t="shared" si="35"/>
        <v>119978.89999999991</v>
      </c>
      <c r="Z248">
        <f>W248</f>
        <v>813.2</v>
      </c>
      <c r="AA248">
        <v>12.656240583196148</v>
      </c>
      <c r="AB248" s="6" t="s">
        <v>56</v>
      </c>
    </row>
    <row r="249" spans="1:28" x14ac:dyDescent="0.25">
      <c r="A249">
        <v>6440</v>
      </c>
      <c r="B249">
        <v>26330</v>
      </c>
      <c r="C249" s="1">
        <v>42827</v>
      </c>
      <c r="D249" s="4"/>
      <c r="F249" s="68"/>
      <c r="G249">
        <v>10.4</v>
      </c>
      <c r="H249">
        <v>4.7</v>
      </c>
      <c r="I249">
        <v>16.600000000000001</v>
      </c>
      <c r="J249">
        <f t="shared" si="34"/>
        <v>1668.7000000000005</v>
      </c>
      <c r="K249">
        <f t="shared" si="29"/>
        <v>21.9</v>
      </c>
      <c r="L249" s="22">
        <v>207.1</v>
      </c>
      <c r="M249">
        <v>0</v>
      </c>
      <c r="N249">
        <v>1.8</v>
      </c>
      <c r="O249" s="37">
        <f t="shared" si="31"/>
        <v>-1.8</v>
      </c>
      <c r="P249" s="41">
        <f t="shared" si="37"/>
        <v>166.9</v>
      </c>
      <c r="Q249" s="41">
        <v>208</v>
      </c>
      <c r="R249" s="42">
        <v>1.1499999999999999</v>
      </c>
      <c r="S249" s="42">
        <f t="shared" si="32"/>
        <v>2.0699999999999998</v>
      </c>
      <c r="T249" s="42">
        <f t="shared" si="33"/>
        <v>-2.0699999999999998</v>
      </c>
      <c r="U249" s="38">
        <f t="shared" si="36"/>
        <v>114.46414893617016</v>
      </c>
      <c r="V249">
        <v>0</v>
      </c>
      <c r="W249" s="41">
        <v>1295.2</v>
      </c>
      <c r="X249" s="41"/>
      <c r="Y249" s="41">
        <f t="shared" si="35"/>
        <v>121274.0999999999</v>
      </c>
      <c r="Z249" s="41">
        <f t="shared" si="27"/>
        <v>2108.4</v>
      </c>
      <c r="AA249" s="41">
        <v>12.721545983881166</v>
      </c>
      <c r="AB249">
        <v>26063.5</v>
      </c>
    </row>
    <row r="250" spans="1:28" s="48" customFormat="1" x14ac:dyDescent="0.25">
      <c r="A250" s="48">
        <v>6440</v>
      </c>
      <c r="B250" s="48">
        <v>26330</v>
      </c>
      <c r="C250" s="49">
        <v>42828</v>
      </c>
      <c r="F250" s="68"/>
      <c r="G250" s="48">
        <v>10.9</v>
      </c>
      <c r="H250" s="48">
        <v>4.7</v>
      </c>
      <c r="I250" s="48">
        <v>15.5</v>
      </c>
      <c r="J250" s="48">
        <f t="shared" si="34"/>
        <v>1679.6000000000006</v>
      </c>
      <c r="K250">
        <f t="shared" si="29"/>
        <v>32.799999999999997</v>
      </c>
      <c r="L250" s="30" t="s">
        <v>30</v>
      </c>
      <c r="M250" s="48">
        <v>0</v>
      </c>
      <c r="N250" s="48">
        <v>2.7</v>
      </c>
      <c r="O250" s="50">
        <f t="shared" si="31"/>
        <v>-2.7</v>
      </c>
      <c r="P250" s="48">
        <f t="shared" si="37"/>
        <v>164.20000000000002</v>
      </c>
      <c r="Q250" s="48">
        <v>209</v>
      </c>
      <c r="R250" s="51">
        <v>1.1499999999999999</v>
      </c>
      <c r="S250" s="51">
        <f t="shared" si="32"/>
        <v>3.105</v>
      </c>
      <c r="T250" s="51">
        <f t="shared" si="33"/>
        <v>-3.105</v>
      </c>
      <c r="U250" s="38">
        <f t="shared" si="36"/>
        <v>111.35914893617016</v>
      </c>
      <c r="V250" s="6" t="s">
        <v>52</v>
      </c>
      <c r="W250" s="48">
        <v>1863.6</v>
      </c>
      <c r="Y250" s="48">
        <f t="shared" si="35"/>
        <v>123137.69999999991</v>
      </c>
      <c r="Z250" s="41">
        <f t="shared" si="27"/>
        <v>3972</v>
      </c>
      <c r="AA250" s="48">
        <v>12.78675859088259</v>
      </c>
      <c r="AB250" s="6" t="s">
        <v>57</v>
      </c>
    </row>
    <row r="251" spans="1:28" ht="15" customHeight="1" x14ac:dyDescent="0.25">
      <c r="A251">
        <v>6440</v>
      </c>
      <c r="B251">
        <v>26330</v>
      </c>
      <c r="C251" s="1">
        <v>42829</v>
      </c>
      <c r="F251" s="68"/>
      <c r="G251">
        <v>10.4</v>
      </c>
      <c r="H251">
        <v>5.6</v>
      </c>
      <c r="I251">
        <v>14.8</v>
      </c>
      <c r="J251">
        <f t="shared" si="34"/>
        <v>1690.0000000000007</v>
      </c>
      <c r="K251">
        <f t="shared" si="29"/>
        <v>43.199999999999996</v>
      </c>
      <c r="L251" s="22">
        <f>AVERAGE(G248:G268)</f>
        <v>9.8619047619047624</v>
      </c>
      <c r="M251">
        <v>0.3</v>
      </c>
      <c r="N251">
        <v>1.9</v>
      </c>
      <c r="O251" s="37">
        <f t="shared" si="31"/>
        <v>-1.5999999999999999</v>
      </c>
      <c r="P251">
        <f t="shared" si="37"/>
        <v>162.60000000000002</v>
      </c>
      <c r="Q251">
        <v>210</v>
      </c>
      <c r="R251">
        <v>1.1499999999999999</v>
      </c>
      <c r="S251" s="38">
        <f t="shared" si="32"/>
        <v>2.1849999999999996</v>
      </c>
      <c r="T251" s="38">
        <f t="shared" si="33"/>
        <v>-1.8849999999999996</v>
      </c>
      <c r="U251" s="38">
        <f t="shared" si="36"/>
        <v>109.47414893617015</v>
      </c>
      <c r="V251">
        <v>0</v>
      </c>
      <c r="W251">
        <v>1091.8</v>
      </c>
      <c r="Y251">
        <f t="shared" si="35"/>
        <v>124229.49999999991</v>
      </c>
      <c r="Z251" s="41">
        <f t="shared" si="27"/>
        <v>5063.8</v>
      </c>
      <c r="AA251">
        <v>12.851869174957388</v>
      </c>
      <c r="AB251" s="38">
        <f>(AB249/100)/L249</f>
        <v>1.2584983099951714</v>
      </c>
    </row>
    <row r="252" spans="1:28" x14ac:dyDescent="0.25">
      <c r="A252">
        <v>6440</v>
      </c>
      <c r="B252">
        <v>26330</v>
      </c>
      <c r="C252" s="1">
        <v>42830</v>
      </c>
      <c r="F252" s="68"/>
      <c r="G252">
        <v>10.1</v>
      </c>
      <c r="H252">
        <v>8.1999999999999993</v>
      </c>
      <c r="I252">
        <v>13.9</v>
      </c>
      <c r="J252">
        <f t="shared" si="34"/>
        <v>1700.1000000000006</v>
      </c>
      <c r="K252">
        <f t="shared" si="29"/>
        <v>53.3</v>
      </c>
      <c r="L252" s="30" t="s">
        <v>31</v>
      </c>
      <c r="M252">
        <v>0</v>
      </c>
      <c r="N252">
        <v>1.8</v>
      </c>
      <c r="O252" s="37">
        <f t="shared" si="31"/>
        <v>-1.8</v>
      </c>
      <c r="P252">
        <f t="shared" si="37"/>
        <v>160.80000000000001</v>
      </c>
      <c r="Q252">
        <v>211</v>
      </c>
      <c r="R252">
        <v>1.1499999999999999</v>
      </c>
      <c r="S252" s="38">
        <f t="shared" si="32"/>
        <v>2.0699999999999998</v>
      </c>
      <c r="T252" s="38">
        <f t="shared" si="33"/>
        <v>-2.0699999999999998</v>
      </c>
      <c r="U252" s="38">
        <f t="shared" si="36"/>
        <v>107.40414893617016</v>
      </c>
      <c r="V252" s="6" t="s">
        <v>53</v>
      </c>
      <c r="W252">
        <v>902.5</v>
      </c>
      <c r="Y252">
        <f t="shared" si="35"/>
        <v>125131.99999999991</v>
      </c>
      <c r="Z252" s="41">
        <f t="shared" si="27"/>
        <v>5966.3</v>
      </c>
      <c r="AA252">
        <v>12.916868300768535</v>
      </c>
      <c r="AB252" s="6" t="s">
        <v>58</v>
      </c>
    </row>
    <row r="253" spans="1:28" x14ac:dyDescent="0.25">
      <c r="A253">
        <v>6440</v>
      </c>
      <c r="B253">
        <v>26330</v>
      </c>
      <c r="C253" s="1">
        <v>42831</v>
      </c>
      <c r="F253" s="68"/>
      <c r="G253">
        <v>8.3000000000000007</v>
      </c>
      <c r="H253">
        <v>4.4000000000000004</v>
      </c>
      <c r="I253">
        <v>12.4</v>
      </c>
      <c r="J253">
        <f t="shared" si="34"/>
        <v>1708.4000000000005</v>
      </c>
      <c r="K253">
        <f t="shared" si="29"/>
        <v>61.599999999999994</v>
      </c>
      <c r="L253" s="25">
        <f>MIN(H248:H268)</f>
        <v>-0.1</v>
      </c>
      <c r="M253">
        <v>0</v>
      </c>
      <c r="N253">
        <v>1.3</v>
      </c>
      <c r="O253" s="37">
        <f t="shared" si="31"/>
        <v>-1.3</v>
      </c>
      <c r="P253">
        <f t="shared" si="37"/>
        <v>159.5</v>
      </c>
      <c r="Q253">
        <v>212</v>
      </c>
      <c r="R253">
        <v>1.1499999999999999</v>
      </c>
      <c r="S253" s="38">
        <f t="shared" si="32"/>
        <v>1.4949999999999999</v>
      </c>
      <c r="T253" s="38">
        <f t="shared" si="33"/>
        <v>-1.4949999999999999</v>
      </c>
      <c r="U253" s="38">
        <f t="shared" si="36"/>
        <v>105.90914893617015</v>
      </c>
      <c r="V253" s="38">
        <f>MIN(U248:U268)</f>
        <v>72.934148936170132</v>
      </c>
      <c r="W253">
        <v>849.9</v>
      </c>
      <c r="Y253">
        <f t="shared" si="35"/>
        <v>125981.89999999991</v>
      </c>
      <c r="Z253" s="41">
        <f t="shared" si="27"/>
        <v>6816.2</v>
      </c>
      <c r="AA253">
        <v>12.981746310121213</v>
      </c>
      <c r="AB253">
        <v>8</v>
      </c>
    </row>
    <row r="254" spans="1:28" x14ac:dyDescent="0.25">
      <c r="A254">
        <v>6440</v>
      </c>
      <c r="B254">
        <v>26330</v>
      </c>
      <c r="C254" s="1">
        <v>42832</v>
      </c>
      <c r="F254" s="68"/>
      <c r="G254">
        <v>9</v>
      </c>
      <c r="H254">
        <v>2.9</v>
      </c>
      <c r="I254">
        <v>15.3</v>
      </c>
      <c r="J254">
        <f t="shared" si="34"/>
        <v>1717.4000000000005</v>
      </c>
      <c r="K254">
        <f t="shared" si="29"/>
        <v>70.599999999999994</v>
      </c>
      <c r="L254" s="30" t="s">
        <v>32</v>
      </c>
      <c r="M254">
        <v>0</v>
      </c>
      <c r="N254">
        <v>1.9</v>
      </c>
      <c r="O254" s="37">
        <f t="shared" si="31"/>
        <v>-1.9</v>
      </c>
      <c r="P254">
        <f t="shared" si="37"/>
        <v>157.6</v>
      </c>
      <c r="Q254">
        <v>213</v>
      </c>
      <c r="R254">
        <v>1.1499999999999999</v>
      </c>
      <c r="S254" s="38">
        <f t="shared" si="32"/>
        <v>2.1849999999999996</v>
      </c>
      <c r="T254" s="38">
        <f t="shared" si="33"/>
        <v>-2.1849999999999996</v>
      </c>
      <c r="U254" s="38">
        <f t="shared" si="36"/>
        <v>103.72414893617015</v>
      </c>
      <c r="V254" s="6" t="s">
        <v>54</v>
      </c>
      <c r="W254">
        <v>1509.3</v>
      </c>
      <c r="Y254">
        <f t="shared" si="35"/>
        <v>127491.19999999991</v>
      </c>
      <c r="Z254" s="41">
        <f t="shared" ref="Z254:Z317" si="38">Z253+W254</f>
        <v>8325.5</v>
      </c>
      <c r="AA254">
        <v>13.046493305319103</v>
      </c>
    </row>
    <row r="255" spans="1:28" x14ac:dyDescent="0.25">
      <c r="A255">
        <v>6440</v>
      </c>
      <c r="B255">
        <v>26330</v>
      </c>
      <c r="C255" s="1">
        <v>42833</v>
      </c>
      <c r="F255" s="68"/>
      <c r="G255">
        <v>9.8000000000000007</v>
      </c>
      <c r="H255">
        <v>1.6</v>
      </c>
      <c r="I255">
        <v>15.5</v>
      </c>
      <c r="J255">
        <f t="shared" si="34"/>
        <v>1727.2000000000005</v>
      </c>
      <c r="K255">
        <f t="shared" si="29"/>
        <v>80.399999999999991</v>
      </c>
      <c r="L255" s="22">
        <f>MAX(I248:I268)</f>
        <v>20.8</v>
      </c>
      <c r="M255">
        <v>0</v>
      </c>
      <c r="N255">
        <v>2.8</v>
      </c>
      <c r="O255" s="37">
        <f t="shared" si="31"/>
        <v>-2.8</v>
      </c>
      <c r="P255">
        <f t="shared" si="37"/>
        <v>154.79999999999998</v>
      </c>
      <c r="Q255">
        <v>214</v>
      </c>
      <c r="R255">
        <v>1.1499999999999999</v>
      </c>
      <c r="S255" s="38">
        <f t="shared" si="32"/>
        <v>3.2199999999999998</v>
      </c>
      <c r="T255" s="38">
        <f t="shared" si="33"/>
        <v>-3.2199999999999998</v>
      </c>
      <c r="U255" s="38">
        <f t="shared" si="36"/>
        <v>100.50414893617015</v>
      </c>
      <c r="V255" s="38">
        <f>MAX(U248:U268)</f>
        <v>116.53414893617015</v>
      </c>
      <c r="W255">
        <v>2180.3000000000002</v>
      </c>
      <c r="Y255">
        <f t="shared" si="35"/>
        <v>129671.49999999991</v>
      </c>
      <c r="Z255" s="41">
        <f t="shared" si="38"/>
        <v>10505.8</v>
      </c>
      <c r="AA255">
        <v>13.111099132658394</v>
      </c>
    </row>
    <row r="256" spans="1:28" x14ac:dyDescent="0.25">
      <c r="A256">
        <v>6440</v>
      </c>
      <c r="B256">
        <v>26330</v>
      </c>
      <c r="C256" s="1">
        <v>42834</v>
      </c>
      <c r="F256" s="68"/>
      <c r="G256">
        <v>14.5</v>
      </c>
      <c r="H256">
        <v>5.5</v>
      </c>
      <c r="I256">
        <v>20.8</v>
      </c>
      <c r="J256">
        <f t="shared" si="34"/>
        <v>1741.7000000000005</v>
      </c>
      <c r="K256">
        <f t="shared" si="29"/>
        <v>94.899999999999991</v>
      </c>
      <c r="L256" s="30" t="s">
        <v>33</v>
      </c>
      <c r="M256">
        <v>0</v>
      </c>
      <c r="N256">
        <v>3.8</v>
      </c>
      <c r="O256" s="37">
        <f t="shared" si="31"/>
        <v>-3.8</v>
      </c>
      <c r="P256">
        <f t="shared" si="37"/>
        <v>150.99999999999997</v>
      </c>
      <c r="Q256">
        <v>215</v>
      </c>
      <c r="R256">
        <v>1.1499999999999999</v>
      </c>
      <c r="S256" s="38">
        <f t="shared" si="32"/>
        <v>4.3699999999999992</v>
      </c>
      <c r="T256" s="38">
        <f t="shared" si="33"/>
        <v>-4.3699999999999992</v>
      </c>
      <c r="U256" s="38">
        <f t="shared" si="36"/>
        <v>96.134148936170149</v>
      </c>
      <c r="V256" s="6" t="s">
        <v>55</v>
      </c>
      <c r="W256">
        <v>2306.6</v>
      </c>
      <c r="Y256">
        <f t="shared" si="35"/>
        <v>131978.09999999992</v>
      </c>
      <c r="Z256" s="41">
        <f t="shared" si="38"/>
        <v>12812.4</v>
      </c>
      <c r="AA256">
        <v>13.175553366078949</v>
      </c>
    </row>
    <row r="257" spans="1:28" x14ac:dyDescent="0.25">
      <c r="A257">
        <v>6440</v>
      </c>
      <c r="B257">
        <v>26330</v>
      </c>
      <c r="C257" s="1">
        <v>42835</v>
      </c>
      <c r="F257" s="68"/>
      <c r="G257">
        <v>11</v>
      </c>
      <c r="H257">
        <v>10.9</v>
      </c>
      <c r="I257">
        <v>13.3</v>
      </c>
      <c r="J257">
        <f t="shared" si="34"/>
        <v>1752.7000000000005</v>
      </c>
      <c r="K257">
        <f t="shared" si="29"/>
        <v>105.89999999999999</v>
      </c>
      <c r="L257" s="22">
        <v>0</v>
      </c>
      <c r="M257">
        <v>0</v>
      </c>
      <c r="N257">
        <v>2</v>
      </c>
      <c r="O257" s="37">
        <f t="shared" si="31"/>
        <v>-2</v>
      </c>
      <c r="P257">
        <f t="shared" si="37"/>
        <v>148.99999999999997</v>
      </c>
      <c r="Q257">
        <v>216</v>
      </c>
      <c r="R257">
        <v>1.1499999999999999</v>
      </c>
      <c r="S257" s="38">
        <f t="shared" si="32"/>
        <v>2.2999999999999998</v>
      </c>
      <c r="T257" s="38">
        <f t="shared" si="33"/>
        <v>-2.2999999999999998</v>
      </c>
      <c r="U257" s="38">
        <f t="shared" si="36"/>
        <v>93.834148936170152</v>
      </c>
      <c r="V257" s="38">
        <f>AVERAGE(U248:U268)</f>
        <v>93.590101317122546</v>
      </c>
      <c r="W257">
        <v>652.20000000000005</v>
      </c>
      <c r="Y257">
        <f t="shared" si="35"/>
        <v>132630.29999999993</v>
      </c>
      <c r="Z257" s="41">
        <f t="shared" si="38"/>
        <v>13464.6</v>
      </c>
      <c r="AA257">
        <v>13.2398452909942</v>
      </c>
    </row>
    <row r="258" spans="1:28" x14ac:dyDescent="0.25">
      <c r="A258">
        <v>6440</v>
      </c>
      <c r="B258">
        <v>26330</v>
      </c>
      <c r="C258" s="1">
        <v>42836</v>
      </c>
      <c r="F258" s="68"/>
      <c r="G258">
        <v>9.9</v>
      </c>
      <c r="H258">
        <v>5.3</v>
      </c>
      <c r="I258">
        <v>14.3</v>
      </c>
      <c r="J258">
        <f t="shared" si="34"/>
        <v>1762.6000000000006</v>
      </c>
      <c r="K258">
        <f t="shared" si="29"/>
        <v>115.8</v>
      </c>
      <c r="L258" s="30" t="s">
        <v>34</v>
      </c>
      <c r="M258">
        <v>0</v>
      </c>
      <c r="N258">
        <v>2.1</v>
      </c>
      <c r="O258" s="37">
        <f t="shared" si="31"/>
        <v>-2.1</v>
      </c>
      <c r="P258">
        <f t="shared" si="37"/>
        <v>146.89999999999998</v>
      </c>
      <c r="Q258">
        <v>217</v>
      </c>
      <c r="R258">
        <v>1.1499999999999999</v>
      </c>
      <c r="S258" s="38">
        <f t="shared" si="32"/>
        <v>2.415</v>
      </c>
      <c r="T258" s="38">
        <f t="shared" si="33"/>
        <v>-2.415</v>
      </c>
      <c r="U258" s="38">
        <f t="shared" si="36"/>
        <v>91.419148936170146</v>
      </c>
      <c r="W258">
        <v>1198.4000000000001</v>
      </c>
      <c r="Y258">
        <f t="shared" si="35"/>
        <v>133828.69999999992</v>
      </c>
      <c r="Z258" s="41">
        <f t="shared" si="38"/>
        <v>14663</v>
      </c>
      <c r="AA258">
        <v>13.303963888323443</v>
      </c>
    </row>
    <row r="259" spans="1:28" x14ac:dyDescent="0.25">
      <c r="A259">
        <v>6440</v>
      </c>
      <c r="B259">
        <v>26330</v>
      </c>
      <c r="C259" s="1">
        <v>42837</v>
      </c>
      <c r="F259" s="68"/>
      <c r="G259">
        <v>10.7</v>
      </c>
      <c r="H259">
        <v>7.7</v>
      </c>
      <c r="I259">
        <v>14.7</v>
      </c>
      <c r="J259">
        <f t="shared" si="34"/>
        <v>1773.3000000000006</v>
      </c>
      <c r="K259">
        <f t="shared" si="29"/>
        <v>126.5</v>
      </c>
      <c r="L259" s="22">
        <v>7</v>
      </c>
      <c r="M259">
        <v>0</v>
      </c>
      <c r="N259">
        <v>2</v>
      </c>
      <c r="O259" s="37">
        <f t="shared" si="31"/>
        <v>-2</v>
      </c>
      <c r="P259">
        <f t="shared" si="37"/>
        <v>144.89999999999998</v>
      </c>
      <c r="Q259">
        <v>218</v>
      </c>
      <c r="R259">
        <v>1.1499999999999999</v>
      </c>
      <c r="S259" s="38">
        <f t="shared" si="32"/>
        <v>2.2999999999999998</v>
      </c>
      <c r="T259" s="38">
        <f t="shared" si="33"/>
        <v>-2.2999999999999998</v>
      </c>
      <c r="U259" s="38">
        <f t="shared" si="36"/>
        <v>89.119148936170149</v>
      </c>
      <c r="V259" s="52">
        <f>(V257*100)/153.6</f>
        <v>60.931055545001662</v>
      </c>
      <c r="W259">
        <v>1149.9000000000001</v>
      </c>
      <c r="Y259">
        <f t="shared" si="35"/>
        <v>134978.59999999992</v>
      </c>
      <c r="Z259" s="41">
        <f t="shared" si="38"/>
        <v>15812.9</v>
      </c>
      <c r="AA259">
        <v>13.367897818752596</v>
      </c>
    </row>
    <row r="260" spans="1:28" x14ac:dyDescent="0.25">
      <c r="A260">
        <v>6440</v>
      </c>
      <c r="B260">
        <v>26330</v>
      </c>
      <c r="C260" s="1">
        <v>42838</v>
      </c>
      <c r="F260" s="68"/>
      <c r="G260">
        <v>10.3</v>
      </c>
      <c r="H260">
        <v>6.8</v>
      </c>
      <c r="I260">
        <v>13.1</v>
      </c>
      <c r="J260">
        <f t="shared" si="34"/>
        <v>1783.6000000000006</v>
      </c>
      <c r="K260">
        <f t="shared" si="29"/>
        <v>136.80000000000001</v>
      </c>
      <c r="L260" s="30" t="s">
        <v>35</v>
      </c>
      <c r="M260">
        <v>0</v>
      </c>
      <c r="N260">
        <v>1.9</v>
      </c>
      <c r="O260" s="37">
        <f t="shared" si="31"/>
        <v>-1.9</v>
      </c>
      <c r="P260">
        <f t="shared" si="37"/>
        <v>142.99999999999997</v>
      </c>
      <c r="Q260">
        <v>219</v>
      </c>
      <c r="R260">
        <v>1.1499999999999999</v>
      </c>
      <c r="S260" s="38">
        <f t="shared" si="32"/>
        <v>2.1849999999999996</v>
      </c>
      <c r="T260" s="38">
        <f t="shared" si="33"/>
        <v>-2.1849999999999996</v>
      </c>
      <c r="U260" s="38">
        <f t="shared" si="36"/>
        <v>86.934148936170146</v>
      </c>
      <c r="W260">
        <v>914.1</v>
      </c>
      <c r="Y260">
        <f t="shared" si="35"/>
        <v>135892.69999999992</v>
      </c>
      <c r="Z260" s="41">
        <f t="shared" si="38"/>
        <v>16727</v>
      </c>
      <c r="AA260">
        <v>13.431635407251896</v>
      </c>
    </row>
    <row r="261" spans="1:28" x14ac:dyDescent="0.25">
      <c r="A261">
        <v>6440</v>
      </c>
      <c r="B261">
        <v>26330</v>
      </c>
      <c r="C261" s="1">
        <v>42839</v>
      </c>
      <c r="F261" s="68"/>
      <c r="G261">
        <v>10.6</v>
      </c>
      <c r="H261">
        <v>8</v>
      </c>
      <c r="I261">
        <v>13.2</v>
      </c>
      <c r="J261">
        <f t="shared" si="34"/>
        <v>1794.2000000000005</v>
      </c>
      <c r="K261">
        <f t="shared" si="29"/>
        <v>147.4</v>
      </c>
      <c r="L261" s="31">
        <v>1</v>
      </c>
      <c r="M261">
        <v>0</v>
      </c>
      <c r="N261">
        <v>1.6</v>
      </c>
      <c r="O261" s="37">
        <f t="shared" si="31"/>
        <v>-1.6</v>
      </c>
      <c r="P261">
        <f t="shared" si="37"/>
        <v>141.39999999999998</v>
      </c>
      <c r="Q261">
        <v>220</v>
      </c>
      <c r="R261">
        <v>1.1499999999999999</v>
      </c>
      <c r="S261" s="38">
        <f t="shared" si="32"/>
        <v>1.8399999999999999</v>
      </c>
      <c r="T261" s="38">
        <f t="shared" si="33"/>
        <v>-1.8399999999999999</v>
      </c>
      <c r="U261" s="38">
        <f t="shared" si="36"/>
        <v>85.094148936170143</v>
      </c>
      <c r="W261">
        <v>708.3</v>
      </c>
      <c r="Y261">
        <f t="shared" si="35"/>
        <v>136600.99999999991</v>
      </c>
      <c r="Z261" s="41">
        <f t="shared" si="38"/>
        <v>17435.3</v>
      </c>
      <c r="AA261">
        <v>13.495164627881705</v>
      </c>
    </row>
    <row r="262" spans="1:28" x14ac:dyDescent="0.25">
      <c r="A262">
        <v>6440</v>
      </c>
      <c r="B262">
        <v>26330</v>
      </c>
      <c r="C262" s="1">
        <v>42840</v>
      </c>
      <c r="F262" s="68"/>
      <c r="G262">
        <v>10.1</v>
      </c>
      <c r="H262">
        <v>8.5</v>
      </c>
      <c r="I262">
        <v>11.3</v>
      </c>
      <c r="J262">
        <f t="shared" si="34"/>
        <v>1804.3000000000004</v>
      </c>
      <c r="K262">
        <f t="shared" si="29"/>
        <v>157.5</v>
      </c>
      <c r="M262">
        <v>0</v>
      </c>
      <c r="N262">
        <v>1.2</v>
      </c>
      <c r="O262" s="37">
        <f t="shared" si="31"/>
        <v>-1.2</v>
      </c>
      <c r="P262">
        <f t="shared" si="37"/>
        <v>140.19999999999999</v>
      </c>
      <c r="Q262">
        <v>221</v>
      </c>
      <c r="R262">
        <v>1.1499999999999999</v>
      </c>
      <c r="S262" s="38">
        <f t="shared" si="32"/>
        <v>1.38</v>
      </c>
      <c r="T262" s="38">
        <f t="shared" si="33"/>
        <v>-1.38</v>
      </c>
      <c r="U262" s="38">
        <f t="shared" si="36"/>
        <v>83.714148936170147</v>
      </c>
      <c r="W262">
        <v>425</v>
      </c>
      <c r="Y262">
        <f t="shared" si="35"/>
        <v>137025.99999999991</v>
      </c>
      <c r="Z262" s="41">
        <f t="shared" si="38"/>
        <v>17860.3</v>
      </c>
      <c r="AA262">
        <v>13.558473088920252</v>
      </c>
    </row>
    <row r="263" spans="1:28" x14ac:dyDescent="0.25">
      <c r="A263">
        <v>6440</v>
      </c>
      <c r="B263">
        <v>26330</v>
      </c>
      <c r="C263" s="1">
        <v>42841</v>
      </c>
      <c r="F263" s="68"/>
      <c r="G263">
        <v>10.1</v>
      </c>
      <c r="H263">
        <v>6.2</v>
      </c>
      <c r="I263">
        <v>13.1</v>
      </c>
      <c r="J263">
        <f t="shared" si="34"/>
        <v>1814.4000000000003</v>
      </c>
      <c r="K263">
        <f t="shared" si="29"/>
        <v>167.6</v>
      </c>
      <c r="M263">
        <v>0.5</v>
      </c>
      <c r="N263">
        <v>2.7</v>
      </c>
      <c r="O263" s="37">
        <f t="shared" si="31"/>
        <v>-2.2000000000000002</v>
      </c>
      <c r="P263">
        <f t="shared" si="37"/>
        <v>138</v>
      </c>
      <c r="Q263">
        <v>222</v>
      </c>
      <c r="R263">
        <v>1.1499999999999999</v>
      </c>
      <c r="S263" s="38">
        <f t="shared" si="32"/>
        <v>3.105</v>
      </c>
      <c r="T263" s="38">
        <f t="shared" si="33"/>
        <v>-2.605</v>
      </c>
      <c r="U263" s="38">
        <f t="shared" si="36"/>
        <v>81.109148936170143</v>
      </c>
      <c r="W263">
        <v>1678.1</v>
      </c>
      <c r="Y263">
        <f t="shared" si="35"/>
        <v>138704.09999999992</v>
      </c>
      <c r="Z263" s="41">
        <f t="shared" si="38"/>
        <v>19538.399999999998</v>
      </c>
      <c r="AA263">
        <v>13.621548018350156</v>
      </c>
    </row>
    <row r="264" spans="1:28" x14ac:dyDescent="0.25">
      <c r="A264">
        <v>6440</v>
      </c>
      <c r="B264">
        <v>26330</v>
      </c>
      <c r="C264" s="1">
        <v>42842</v>
      </c>
      <c r="F264" s="68"/>
      <c r="G264">
        <v>8.4</v>
      </c>
      <c r="H264">
        <v>9.1</v>
      </c>
      <c r="I264">
        <v>9.6</v>
      </c>
      <c r="J264">
        <f t="shared" si="34"/>
        <v>1822.8000000000004</v>
      </c>
      <c r="K264">
        <f t="shared" si="29"/>
        <v>176</v>
      </c>
      <c r="M264">
        <v>1.9</v>
      </c>
      <c r="N264">
        <v>1.5</v>
      </c>
      <c r="O264" s="37">
        <f t="shared" si="31"/>
        <v>0.39999999999999991</v>
      </c>
      <c r="P264">
        <f t="shared" si="37"/>
        <v>138.4</v>
      </c>
      <c r="Q264">
        <v>223</v>
      </c>
      <c r="R264">
        <v>1.1499999999999999</v>
      </c>
      <c r="S264" s="38">
        <f t="shared" si="32"/>
        <v>1.7249999999999999</v>
      </c>
      <c r="T264" s="38">
        <f t="shared" si="33"/>
        <v>0.17500000000000004</v>
      </c>
      <c r="U264" s="38">
        <f t="shared" si="36"/>
        <v>81.284148936170141</v>
      </c>
      <c r="W264">
        <v>693.2</v>
      </c>
      <c r="Y264">
        <f t="shared" si="35"/>
        <v>139397.29999999993</v>
      </c>
      <c r="Z264" s="41">
        <f t="shared" si="38"/>
        <v>20231.599999999999</v>
      </c>
      <c r="AA264">
        <v>13.684376249743476</v>
      </c>
    </row>
    <row r="265" spans="1:28" x14ac:dyDescent="0.25">
      <c r="A265">
        <v>6440</v>
      </c>
      <c r="B265">
        <v>26330</v>
      </c>
      <c r="C265" s="1">
        <v>42843</v>
      </c>
      <c r="F265" s="68"/>
      <c r="G265">
        <v>6.6</v>
      </c>
      <c r="H265">
        <v>2.5</v>
      </c>
      <c r="I265">
        <v>9.6999999999999993</v>
      </c>
      <c r="J265">
        <f t="shared" si="34"/>
        <v>1829.4000000000003</v>
      </c>
      <c r="K265">
        <f t="shared" si="29"/>
        <v>182.6</v>
      </c>
      <c r="L265" s="31"/>
      <c r="M265">
        <v>2</v>
      </c>
      <c r="N265">
        <v>1.3</v>
      </c>
      <c r="O265" s="37">
        <f t="shared" si="31"/>
        <v>0.7</v>
      </c>
      <c r="P265">
        <f t="shared" si="37"/>
        <v>139.1</v>
      </c>
      <c r="Q265">
        <v>224</v>
      </c>
      <c r="R265">
        <v>1.1499999999999999</v>
      </c>
      <c r="S265" s="38">
        <f t="shared" si="32"/>
        <v>1.4949999999999999</v>
      </c>
      <c r="T265" s="38">
        <f t="shared" si="33"/>
        <v>0.50500000000000012</v>
      </c>
      <c r="U265" s="38">
        <f t="shared" si="36"/>
        <v>81.789148936170136</v>
      </c>
      <c r="W265">
        <v>770</v>
      </c>
      <c r="Y265">
        <f t="shared" si="35"/>
        <v>140167.29999999993</v>
      </c>
      <c r="Z265" s="41">
        <f t="shared" si="38"/>
        <v>21001.599999999999</v>
      </c>
      <c r="AA265">
        <v>13.746944208588319</v>
      </c>
    </row>
    <row r="266" spans="1:28" x14ac:dyDescent="0.25">
      <c r="A266">
        <v>6440</v>
      </c>
      <c r="B266">
        <v>26330</v>
      </c>
      <c r="C266" s="1">
        <v>42844</v>
      </c>
      <c r="F266" s="68"/>
      <c r="G266">
        <v>6.1</v>
      </c>
      <c r="H266">
        <v>3.2</v>
      </c>
      <c r="I266">
        <v>9.1</v>
      </c>
      <c r="J266">
        <f t="shared" si="34"/>
        <v>1835.5000000000002</v>
      </c>
      <c r="K266">
        <f t="shared" ref="K266:K329" si="39">K265+G266</f>
        <v>188.7</v>
      </c>
      <c r="L266" s="31"/>
      <c r="M266">
        <v>0</v>
      </c>
      <c r="N266">
        <v>3.2</v>
      </c>
      <c r="O266" s="37">
        <f t="shared" si="31"/>
        <v>-3.2</v>
      </c>
      <c r="P266">
        <f t="shared" si="37"/>
        <v>135.9</v>
      </c>
      <c r="Q266">
        <v>225</v>
      </c>
      <c r="R266">
        <v>1.1499999999999999</v>
      </c>
      <c r="S266" s="38">
        <f t="shared" si="32"/>
        <v>3.6799999999999997</v>
      </c>
      <c r="T266" s="38">
        <f t="shared" si="33"/>
        <v>-3.6799999999999997</v>
      </c>
      <c r="U266" s="38">
        <f t="shared" si="36"/>
        <v>78.109148936170129</v>
      </c>
      <c r="W266">
        <v>2086.6</v>
      </c>
      <c r="Y266">
        <f t="shared" si="35"/>
        <v>142253.89999999994</v>
      </c>
      <c r="Z266" s="41">
        <f t="shared" si="38"/>
        <v>23088.199999999997</v>
      </c>
      <c r="AA266">
        <v>13.809237899103213</v>
      </c>
    </row>
    <row r="267" spans="1:28" x14ac:dyDescent="0.25">
      <c r="A267">
        <v>6440</v>
      </c>
      <c r="B267">
        <v>26330</v>
      </c>
      <c r="C267" s="1">
        <v>42845</v>
      </c>
      <c r="D267" s="4"/>
      <c r="F267" s="68"/>
      <c r="G267">
        <v>7</v>
      </c>
      <c r="H267">
        <v>-0.1</v>
      </c>
      <c r="I267">
        <v>12</v>
      </c>
      <c r="J267">
        <f t="shared" si="34"/>
        <v>1842.5000000000002</v>
      </c>
      <c r="K267">
        <f t="shared" si="39"/>
        <v>195.7</v>
      </c>
      <c r="L267" s="31"/>
      <c r="M267">
        <v>0</v>
      </c>
      <c r="N267">
        <v>3.1</v>
      </c>
      <c r="O267" s="37">
        <f t="shared" si="31"/>
        <v>-3.1</v>
      </c>
      <c r="P267">
        <f t="shared" si="37"/>
        <v>132.80000000000001</v>
      </c>
      <c r="Q267">
        <v>226</v>
      </c>
      <c r="R267">
        <v>1.1499999999999999</v>
      </c>
      <c r="S267" s="38">
        <f t="shared" si="32"/>
        <v>3.5649999999999999</v>
      </c>
      <c r="T267" s="38">
        <f t="shared" si="33"/>
        <v>-3.5649999999999999</v>
      </c>
      <c r="U267" s="38">
        <f t="shared" si="36"/>
        <v>74.544148936170131</v>
      </c>
      <c r="W267">
        <v>2405.8000000000002</v>
      </c>
      <c r="Y267">
        <f t="shared" si="35"/>
        <v>144659.69999999992</v>
      </c>
      <c r="Z267" s="41">
        <f t="shared" si="38"/>
        <v>25493.999999999996</v>
      </c>
      <c r="AA267">
        <v>13.871242891588912</v>
      </c>
    </row>
    <row r="268" spans="1:28" s="13" customFormat="1" ht="15.75" thickBot="1" x14ac:dyDescent="0.3">
      <c r="A268" s="13">
        <v>6440</v>
      </c>
      <c r="B268" s="13">
        <v>26330</v>
      </c>
      <c r="C268" s="14">
        <v>42846</v>
      </c>
      <c r="D268" s="13" t="s">
        <v>21</v>
      </c>
      <c r="F268" s="69"/>
      <c r="G268" s="13">
        <v>11.4</v>
      </c>
      <c r="H268" s="13">
        <v>6.6</v>
      </c>
      <c r="I268" s="13">
        <v>14.5</v>
      </c>
      <c r="J268" s="13">
        <f t="shared" si="34"/>
        <v>1853.9000000000003</v>
      </c>
      <c r="K268" s="13">
        <f t="shared" si="39"/>
        <v>207.1</v>
      </c>
      <c r="L268" s="29"/>
      <c r="M268" s="13">
        <v>0</v>
      </c>
      <c r="N268" s="13">
        <v>1.4</v>
      </c>
      <c r="O268" s="15">
        <f t="shared" si="31"/>
        <v>-1.4</v>
      </c>
      <c r="P268" s="13">
        <f t="shared" si="37"/>
        <v>131.4</v>
      </c>
      <c r="Q268" s="13">
        <v>227</v>
      </c>
      <c r="R268" s="13">
        <v>1.1499999999999999</v>
      </c>
      <c r="S268" s="47">
        <f t="shared" si="32"/>
        <v>1.6099999999999999</v>
      </c>
      <c r="T268" s="47">
        <f t="shared" si="33"/>
        <v>-1.6099999999999999</v>
      </c>
      <c r="U268" s="38">
        <f t="shared" si="36"/>
        <v>72.934148936170132</v>
      </c>
      <c r="W268" s="13">
        <v>569.5</v>
      </c>
      <c r="Y268" s="13">
        <f t="shared" si="35"/>
        <v>145229.19999999992</v>
      </c>
      <c r="Z268" s="13">
        <f t="shared" si="38"/>
        <v>26063.499999999996</v>
      </c>
      <c r="AA268" s="13">
        <v>13.932944310370772</v>
      </c>
    </row>
    <row r="269" spans="1:28" x14ac:dyDescent="0.25">
      <c r="A269">
        <v>6440</v>
      </c>
      <c r="B269">
        <v>26330</v>
      </c>
      <c r="C269" s="1">
        <v>42847</v>
      </c>
      <c r="F269" s="70" t="s">
        <v>26</v>
      </c>
      <c r="G269">
        <v>9.9</v>
      </c>
      <c r="H269">
        <v>10.7</v>
      </c>
      <c r="I269">
        <v>11</v>
      </c>
      <c r="J269">
        <f t="shared" si="34"/>
        <v>1863.8000000000004</v>
      </c>
      <c r="K269">
        <f>G269</f>
        <v>9.9</v>
      </c>
      <c r="L269" s="32" t="s">
        <v>29</v>
      </c>
      <c r="M269">
        <v>0.1</v>
      </c>
      <c r="N269">
        <v>1.9</v>
      </c>
      <c r="O269" s="37">
        <f t="shared" si="31"/>
        <v>-1.7999999999999998</v>
      </c>
      <c r="P269">
        <f t="shared" si="37"/>
        <v>129.6</v>
      </c>
      <c r="Q269">
        <v>228</v>
      </c>
      <c r="R269">
        <v>1.1499999999999999</v>
      </c>
      <c r="S269" s="38">
        <f t="shared" si="32"/>
        <v>2.1849999999999996</v>
      </c>
      <c r="T269" s="38">
        <f t="shared" si="33"/>
        <v>-2.0849999999999995</v>
      </c>
      <c r="U269" s="38">
        <f t="shared" si="36"/>
        <v>70.849148936170138</v>
      </c>
      <c r="V269" s="7" t="s">
        <v>51</v>
      </c>
      <c r="W269">
        <v>1159.8</v>
      </c>
      <c r="Y269">
        <f t="shared" si="35"/>
        <v>146388.99999999991</v>
      </c>
      <c r="Z269" s="41">
        <f>W269</f>
        <v>1159.8</v>
      </c>
      <c r="AA269">
        <v>13.99432682238837</v>
      </c>
      <c r="AB269" s="7" t="s">
        <v>56</v>
      </c>
    </row>
    <row r="270" spans="1:28" x14ac:dyDescent="0.25">
      <c r="A270">
        <v>6440</v>
      </c>
      <c r="B270">
        <v>26330</v>
      </c>
      <c r="C270" s="1">
        <v>42848</v>
      </c>
      <c r="F270" s="71"/>
      <c r="G270">
        <v>8</v>
      </c>
      <c r="H270">
        <v>4.2</v>
      </c>
      <c r="I270">
        <v>12</v>
      </c>
      <c r="J270">
        <f t="shared" si="34"/>
        <v>1871.8000000000004</v>
      </c>
      <c r="K270">
        <f t="shared" si="39"/>
        <v>17.899999999999999</v>
      </c>
      <c r="L270" s="22">
        <v>311</v>
      </c>
      <c r="M270">
        <v>0</v>
      </c>
      <c r="N270">
        <v>1.4</v>
      </c>
      <c r="O270" s="37">
        <f t="shared" si="31"/>
        <v>-1.4</v>
      </c>
      <c r="P270" s="41">
        <f t="shared" si="37"/>
        <v>128.19999999999999</v>
      </c>
      <c r="Q270" s="41">
        <v>229</v>
      </c>
      <c r="R270" s="41">
        <v>1.1499999999999999</v>
      </c>
      <c r="S270" s="42">
        <f t="shared" si="32"/>
        <v>1.6099999999999999</v>
      </c>
      <c r="T270" s="42">
        <f t="shared" si="33"/>
        <v>-1.6099999999999999</v>
      </c>
      <c r="U270" s="38">
        <f t="shared" si="36"/>
        <v>69.239148936170139</v>
      </c>
      <c r="V270">
        <v>0</v>
      </c>
      <c r="W270" s="41">
        <v>1054.3</v>
      </c>
      <c r="X270" s="41"/>
      <c r="Y270" s="41">
        <f t="shared" si="35"/>
        <v>147443.2999999999</v>
      </c>
      <c r="Z270" s="41">
        <f t="shared" si="38"/>
        <v>2214.1</v>
      </c>
      <c r="AA270">
        <v>14.055374626492798</v>
      </c>
      <c r="AB270">
        <v>38364.199999999997</v>
      </c>
    </row>
    <row r="271" spans="1:28" s="48" customFormat="1" x14ac:dyDescent="0.25">
      <c r="A271" s="48">
        <v>6440</v>
      </c>
      <c r="B271" s="48">
        <v>26330</v>
      </c>
      <c r="C271" s="49">
        <v>42849</v>
      </c>
      <c r="F271" s="71"/>
      <c r="G271" s="48">
        <v>9.6999999999999993</v>
      </c>
      <c r="H271" s="48">
        <v>3.7</v>
      </c>
      <c r="I271" s="48">
        <v>14.6</v>
      </c>
      <c r="J271" s="48">
        <f t="shared" si="34"/>
        <v>1881.5000000000005</v>
      </c>
      <c r="K271">
        <f t="shared" si="39"/>
        <v>27.599999999999998</v>
      </c>
      <c r="L271" s="32" t="s">
        <v>30</v>
      </c>
      <c r="M271" s="48">
        <v>0.6</v>
      </c>
      <c r="N271" s="48">
        <v>1.5</v>
      </c>
      <c r="O271" s="50">
        <f t="shared" si="31"/>
        <v>-0.9</v>
      </c>
      <c r="P271" s="48">
        <f t="shared" si="37"/>
        <v>127.29999999999998</v>
      </c>
      <c r="Q271" s="48">
        <v>230</v>
      </c>
      <c r="R271" s="48">
        <v>1.1499999999999999</v>
      </c>
      <c r="S271" s="51">
        <f t="shared" si="32"/>
        <v>1.7249999999999999</v>
      </c>
      <c r="T271" s="51">
        <f t="shared" si="33"/>
        <v>-1.125</v>
      </c>
      <c r="U271" s="38">
        <f t="shared" si="36"/>
        <v>68.114148936170139</v>
      </c>
      <c r="V271" s="7" t="s">
        <v>52</v>
      </c>
      <c r="W271" s="48">
        <v>815.5</v>
      </c>
      <c r="Y271" s="48">
        <f t="shared" si="35"/>
        <v>148258.7999999999</v>
      </c>
      <c r="Z271" s="41">
        <f t="shared" si="38"/>
        <v>3029.6</v>
      </c>
      <c r="AA271" s="48">
        <v>14.116071443515619</v>
      </c>
      <c r="AB271" s="7" t="s">
        <v>57</v>
      </c>
    </row>
    <row r="272" spans="1:28" ht="15" customHeight="1" x14ac:dyDescent="0.25">
      <c r="A272">
        <v>6440</v>
      </c>
      <c r="B272">
        <v>26330</v>
      </c>
      <c r="C272" s="1">
        <v>42850</v>
      </c>
      <c r="F272" s="71"/>
      <c r="G272">
        <v>6.8</v>
      </c>
      <c r="H272">
        <v>3.8</v>
      </c>
      <c r="I272">
        <v>10.1</v>
      </c>
      <c r="J272">
        <f t="shared" si="34"/>
        <v>1888.3000000000004</v>
      </c>
      <c r="K272">
        <f t="shared" si="39"/>
        <v>34.4</v>
      </c>
      <c r="L272" s="22">
        <f>AVERAGE(G269:G294)</f>
        <v>11.961538461538462</v>
      </c>
      <c r="M272">
        <v>0</v>
      </c>
      <c r="N272">
        <v>2.7</v>
      </c>
      <c r="O272" s="37">
        <f t="shared" si="31"/>
        <v>-2.7</v>
      </c>
      <c r="P272">
        <f t="shared" si="37"/>
        <v>124.59999999999998</v>
      </c>
      <c r="Q272">
        <v>231</v>
      </c>
      <c r="R272">
        <v>1.1499999999999999</v>
      </c>
      <c r="S272" s="38">
        <f t="shared" si="32"/>
        <v>3.105</v>
      </c>
      <c r="T272" s="38">
        <f t="shared" si="33"/>
        <v>-3.105</v>
      </c>
      <c r="U272" s="38">
        <f t="shared" si="36"/>
        <v>65.009148936170135</v>
      </c>
      <c r="V272">
        <v>10</v>
      </c>
      <c r="W272">
        <v>2008.3</v>
      </c>
      <c r="Y272">
        <f t="shared" si="35"/>
        <v>150267.09999999989</v>
      </c>
      <c r="Z272" s="41">
        <f t="shared" si="38"/>
        <v>5037.8999999999996</v>
      </c>
      <c r="AA272">
        <v>14.176400507177291</v>
      </c>
      <c r="AB272">
        <f>(AB270/100)/L270</f>
        <v>1.2335755627009646</v>
      </c>
    </row>
    <row r="273" spans="1:28" x14ac:dyDescent="0.25">
      <c r="A273">
        <v>6440</v>
      </c>
      <c r="B273">
        <v>26330</v>
      </c>
      <c r="C273" s="1">
        <v>42851</v>
      </c>
      <c r="F273" s="71"/>
      <c r="G273">
        <v>5.2</v>
      </c>
      <c r="H273">
        <v>2.9</v>
      </c>
      <c r="I273">
        <v>8.6</v>
      </c>
      <c r="J273">
        <f t="shared" si="34"/>
        <v>1893.5000000000005</v>
      </c>
      <c r="K273">
        <f t="shared" si="39"/>
        <v>39.6</v>
      </c>
      <c r="L273" s="32" t="s">
        <v>31</v>
      </c>
      <c r="M273">
        <v>1.5</v>
      </c>
      <c r="N273">
        <v>1.4</v>
      </c>
      <c r="O273" s="37">
        <f t="shared" si="31"/>
        <v>0.10000000000000009</v>
      </c>
      <c r="P273">
        <f t="shared" si="37"/>
        <v>124.69999999999997</v>
      </c>
      <c r="Q273">
        <v>232</v>
      </c>
      <c r="R273">
        <v>1.1499999999999999</v>
      </c>
      <c r="S273" s="38">
        <f t="shared" si="32"/>
        <v>1.6099999999999999</v>
      </c>
      <c r="T273" s="38">
        <f t="shared" si="33"/>
        <v>-0.10999999999999988</v>
      </c>
      <c r="U273" s="38">
        <f t="shared" si="36"/>
        <v>64.899148936170135</v>
      </c>
      <c r="V273" s="7" t="s">
        <v>53</v>
      </c>
      <c r="W273">
        <v>879.5</v>
      </c>
      <c r="Y273">
        <f t="shared" si="35"/>
        <v>151146.59999999989</v>
      </c>
      <c r="Z273" s="41">
        <f t="shared" si="38"/>
        <v>5917.4</v>
      </c>
      <c r="AA273">
        <v>14.236344555906619</v>
      </c>
      <c r="AB273" s="7" t="s">
        <v>58</v>
      </c>
    </row>
    <row r="274" spans="1:28" x14ac:dyDescent="0.25">
      <c r="A274">
        <v>6440</v>
      </c>
      <c r="B274">
        <v>26330</v>
      </c>
      <c r="C274" s="1">
        <v>42852</v>
      </c>
      <c r="F274" s="71"/>
      <c r="G274">
        <v>6.6</v>
      </c>
      <c r="H274">
        <v>3.1</v>
      </c>
      <c r="I274">
        <v>9.3000000000000007</v>
      </c>
      <c r="J274">
        <f t="shared" si="34"/>
        <v>1900.1000000000004</v>
      </c>
      <c r="K274">
        <f t="shared" si="39"/>
        <v>46.2</v>
      </c>
      <c r="L274" s="25">
        <f>MIN(H269:H294)</f>
        <v>2.9</v>
      </c>
      <c r="M274">
        <v>0.1</v>
      </c>
      <c r="N274">
        <v>2.5</v>
      </c>
      <c r="O274" s="37">
        <f t="shared" si="31"/>
        <v>-2.4</v>
      </c>
      <c r="P274">
        <f t="shared" si="37"/>
        <v>122.29999999999997</v>
      </c>
      <c r="Q274">
        <v>233</v>
      </c>
      <c r="R274">
        <v>1.1499999999999999</v>
      </c>
      <c r="S274" s="38">
        <f t="shared" si="32"/>
        <v>2.875</v>
      </c>
      <c r="T274" s="38">
        <f t="shared" si="33"/>
        <v>-2.7749999999999999</v>
      </c>
      <c r="U274" s="38">
        <f t="shared" si="36"/>
        <v>62.124148936170137</v>
      </c>
      <c r="V274" s="38">
        <f>MIN(U269:U294)</f>
        <v>22.739148936170139</v>
      </c>
      <c r="W274">
        <v>2064.6</v>
      </c>
      <c r="Y274">
        <f t="shared" si="35"/>
        <v>153211.1999999999</v>
      </c>
      <c r="Z274" s="41">
        <f t="shared" si="38"/>
        <v>7982</v>
      </c>
      <c r="AA274">
        <v>14.295885825646341</v>
      </c>
      <c r="AB274">
        <v>7</v>
      </c>
    </row>
    <row r="275" spans="1:28" x14ac:dyDescent="0.25">
      <c r="A275">
        <v>6440</v>
      </c>
      <c r="B275">
        <v>26330</v>
      </c>
      <c r="C275" s="1">
        <v>42853</v>
      </c>
      <c r="F275" s="71"/>
      <c r="G275">
        <v>8.9</v>
      </c>
      <c r="H275">
        <v>6.8</v>
      </c>
      <c r="I275">
        <v>11.4</v>
      </c>
      <c r="J275">
        <f t="shared" si="34"/>
        <v>1909.0000000000005</v>
      </c>
      <c r="K275">
        <f t="shared" si="39"/>
        <v>55.1</v>
      </c>
      <c r="L275" s="32" t="s">
        <v>32</v>
      </c>
      <c r="M275">
        <v>0.2</v>
      </c>
      <c r="N275">
        <v>2.6</v>
      </c>
      <c r="O275" s="37">
        <f t="shared" si="31"/>
        <v>-2.4</v>
      </c>
      <c r="P275">
        <f t="shared" si="37"/>
        <v>119.89999999999996</v>
      </c>
      <c r="Q275">
        <v>234</v>
      </c>
      <c r="R275">
        <v>1.1499999999999999</v>
      </c>
      <c r="S275" s="38">
        <f t="shared" si="32"/>
        <v>2.9899999999999998</v>
      </c>
      <c r="T275" s="38">
        <f t="shared" si="33"/>
        <v>-2.7899999999999996</v>
      </c>
      <c r="U275" s="38">
        <f t="shared" si="36"/>
        <v>59.334148936170138</v>
      </c>
      <c r="V275" s="7" t="s">
        <v>54</v>
      </c>
      <c r="W275">
        <v>1785.6</v>
      </c>
      <c r="Y275">
        <f t="shared" si="35"/>
        <v>154996.7999999999</v>
      </c>
      <c r="Z275" s="41">
        <f t="shared" si="38"/>
        <v>9767.6</v>
      </c>
      <c r="AA275">
        <v>14.355006043723797</v>
      </c>
    </row>
    <row r="276" spans="1:28" x14ac:dyDescent="0.25">
      <c r="A276">
        <v>6440</v>
      </c>
      <c r="B276">
        <v>26330</v>
      </c>
      <c r="C276" s="1">
        <v>42854</v>
      </c>
      <c r="F276" s="71"/>
      <c r="G276">
        <v>10.6</v>
      </c>
      <c r="H276">
        <v>6</v>
      </c>
      <c r="I276">
        <v>14.4</v>
      </c>
      <c r="J276">
        <f t="shared" si="34"/>
        <v>1919.6000000000004</v>
      </c>
      <c r="K276">
        <f t="shared" si="39"/>
        <v>65.7</v>
      </c>
      <c r="L276" s="22">
        <f>MAX(I269:I294)</f>
        <v>28.1</v>
      </c>
      <c r="M276">
        <v>0</v>
      </c>
      <c r="N276">
        <v>3.1</v>
      </c>
      <c r="O276" s="37">
        <f t="shared" si="31"/>
        <v>-3.1</v>
      </c>
      <c r="P276">
        <f t="shared" si="37"/>
        <v>116.79999999999997</v>
      </c>
      <c r="Q276">
        <v>235</v>
      </c>
      <c r="R276">
        <v>1.1499999999999999</v>
      </c>
      <c r="S276" s="38">
        <f t="shared" si="32"/>
        <v>3.5649999999999999</v>
      </c>
      <c r="T276" s="38">
        <f t="shared" si="33"/>
        <v>-3.5649999999999999</v>
      </c>
      <c r="U276" s="38">
        <f t="shared" si="36"/>
        <v>55.76914893617014</v>
      </c>
      <c r="V276" s="38">
        <f>MAX(U269:U294)</f>
        <v>70.849148936170138</v>
      </c>
      <c r="W276">
        <v>1966.3</v>
      </c>
      <c r="Y276">
        <f t="shared" si="35"/>
        <v>156963.09999999989</v>
      </c>
      <c r="Z276" s="41">
        <f t="shared" si="38"/>
        <v>11733.9</v>
      </c>
      <c r="AA276">
        <v>14.413686423868999</v>
      </c>
    </row>
    <row r="277" spans="1:28" x14ac:dyDescent="0.25">
      <c r="A277">
        <v>6440</v>
      </c>
      <c r="B277">
        <v>26330</v>
      </c>
      <c r="C277" s="1">
        <v>42855</v>
      </c>
      <c r="F277" s="71"/>
      <c r="G277">
        <v>13.6</v>
      </c>
      <c r="H277">
        <v>7.8</v>
      </c>
      <c r="I277">
        <v>18.5</v>
      </c>
      <c r="J277">
        <f t="shared" si="34"/>
        <v>1933.2000000000003</v>
      </c>
      <c r="K277">
        <f t="shared" si="39"/>
        <v>79.3</v>
      </c>
      <c r="L277" s="32" t="s">
        <v>33</v>
      </c>
      <c r="M277">
        <v>0.1</v>
      </c>
      <c r="N277">
        <v>3.8</v>
      </c>
      <c r="O277" s="37">
        <f t="shared" si="31"/>
        <v>-3.6999999999999997</v>
      </c>
      <c r="P277">
        <f t="shared" si="37"/>
        <v>113.09999999999997</v>
      </c>
      <c r="Q277">
        <v>236</v>
      </c>
      <c r="R277">
        <v>1.1499999999999999</v>
      </c>
      <c r="S277" s="38">
        <f t="shared" si="32"/>
        <v>4.3699999999999992</v>
      </c>
      <c r="T277" s="38">
        <f t="shared" si="33"/>
        <v>-4.2699999999999996</v>
      </c>
      <c r="U277" s="38">
        <f t="shared" si="36"/>
        <v>51.499148936170144</v>
      </c>
      <c r="V277" s="7" t="s">
        <v>55</v>
      </c>
      <c r="W277">
        <v>1574.5</v>
      </c>
      <c r="Y277">
        <f t="shared" si="35"/>
        <v>158537.59999999989</v>
      </c>
      <c r="Z277" s="41">
        <f t="shared" si="38"/>
        <v>13308.4</v>
      </c>
      <c r="AA277">
        <v>14.47190766246589</v>
      </c>
    </row>
    <row r="278" spans="1:28" x14ac:dyDescent="0.25">
      <c r="A278">
        <v>6440</v>
      </c>
      <c r="B278">
        <v>26330</v>
      </c>
      <c r="C278" s="1">
        <v>42856</v>
      </c>
      <c r="F278" s="71"/>
      <c r="G278">
        <v>10.4</v>
      </c>
      <c r="H278">
        <v>9</v>
      </c>
      <c r="I278">
        <v>12.2</v>
      </c>
      <c r="J278">
        <f t="shared" si="34"/>
        <v>1943.6000000000004</v>
      </c>
      <c r="K278">
        <f t="shared" si="39"/>
        <v>89.7</v>
      </c>
      <c r="L278" s="22">
        <v>2</v>
      </c>
      <c r="M278">
        <v>1.8</v>
      </c>
      <c r="N278">
        <v>1.4</v>
      </c>
      <c r="O278" s="37">
        <f t="shared" si="31"/>
        <v>0.40000000000000013</v>
      </c>
      <c r="P278">
        <f t="shared" si="37"/>
        <v>113.49999999999997</v>
      </c>
      <c r="Q278">
        <v>237</v>
      </c>
      <c r="R278">
        <v>1.1499999999999999</v>
      </c>
      <c r="S278" s="38">
        <f t="shared" si="32"/>
        <v>1.6099999999999999</v>
      </c>
      <c r="T278" s="38">
        <f t="shared" si="33"/>
        <v>0.19000000000000017</v>
      </c>
      <c r="U278" s="38">
        <f t="shared" si="36"/>
        <v>51.689148936170142</v>
      </c>
      <c r="V278" s="38">
        <f>AVERAGE(U269:U294)</f>
        <v>50.261264320785514</v>
      </c>
      <c r="W278">
        <v>658.3</v>
      </c>
      <c r="Y278">
        <f t="shared" si="35"/>
        <v>159195.89999999988</v>
      </c>
      <c r="Z278" s="41">
        <f t="shared" si="38"/>
        <v>13966.699999999999</v>
      </c>
      <c r="AA278">
        <v>14.529649936125756</v>
      </c>
    </row>
    <row r="279" spans="1:28" x14ac:dyDescent="0.25">
      <c r="A279">
        <v>6440</v>
      </c>
      <c r="B279">
        <v>26330</v>
      </c>
      <c r="C279" s="1">
        <v>42857</v>
      </c>
      <c r="F279" s="71"/>
      <c r="G279">
        <v>9.9</v>
      </c>
      <c r="H279">
        <v>6.5</v>
      </c>
      <c r="I279">
        <v>14.4</v>
      </c>
      <c r="J279">
        <f t="shared" si="34"/>
        <v>1953.5000000000005</v>
      </c>
      <c r="K279">
        <f t="shared" si="39"/>
        <v>99.600000000000009</v>
      </c>
      <c r="L279" s="32" t="s">
        <v>34</v>
      </c>
      <c r="M279">
        <v>1.1000000000000001</v>
      </c>
      <c r="N279">
        <v>1.9</v>
      </c>
      <c r="O279" s="37">
        <f t="shared" si="31"/>
        <v>-0.79999999999999982</v>
      </c>
      <c r="P279">
        <f t="shared" si="37"/>
        <v>112.69999999999997</v>
      </c>
      <c r="Q279">
        <v>238</v>
      </c>
      <c r="R279">
        <v>1.1499999999999999</v>
      </c>
      <c r="S279" s="38">
        <f t="shared" si="32"/>
        <v>2.1849999999999996</v>
      </c>
      <c r="T279" s="38">
        <f t="shared" si="33"/>
        <v>-1.0849999999999995</v>
      </c>
      <c r="U279" s="38">
        <f t="shared" si="36"/>
        <v>50.604148936170141</v>
      </c>
      <c r="W279">
        <v>1097.8</v>
      </c>
      <c r="Y279">
        <f t="shared" si="35"/>
        <v>160293.69999999987</v>
      </c>
      <c r="Z279" s="41">
        <f t="shared" si="38"/>
        <v>15064.499999999998</v>
      </c>
      <c r="AA279">
        <v>14.58689290067473</v>
      </c>
    </row>
    <row r="280" spans="1:28" x14ac:dyDescent="0.25">
      <c r="A280">
        <v>6440</v>
      </c>
      <c r="B280">
        <v>26330</v>
      </c>
      <c r="C280" s="1">
        <v>42858</v>
      </c>
      <c r="F280" s="71"/>
      <c r="G280">
        <v>10.3</v>
      </c>
      <c r="H280">
        <v>8.5</v>
      </c>
      <c r="I280">
        <v>12.1</v>
      </c>
      <c r="J280">
        <f t="shared" si="34"/>
        <v>1963.8000000000004</v>
      </c>
      <c r="K280">
        <f t="shared" si="39"/>
        <v>109.9</v>
      </c>
      <c r="L280" s="22">
        <v>5</v>
      </c>
      <c r="M280">
        <v>5.3</v>
      </c>
      <c r="N280">
        <v>0.8</v>
      </c>
      <c r="O280" s="37">
        <f t="shared" si="31"/>
        <v>4.5</v>
      </c>
      <c r="P280">
        <f t="shared" si="37"/>
        <v>117.19999999999997</v>
      </c>
      <c r="Q280">
        <v>239</v>
      </c>
      <c r="R280">
        <v>1.1499999999999999</v>
      </c>
      <c r="S280" s="38">
        <f t="shared" si="32"/>
        <v>0.91999999999999993</v>
      </c>
      <c r="T280" s="38">
        <f t="shared" si="33"/>
        <v>4.38</v>
      </c>
      <c r="U280" s="38">
        <f t="shared" si="36"/>
        <v>54.984148936170143</v>
      </c>
      <c r="V280" s="52">
        <f>(V278*100)/153.6</f>
        <v>32.722177292178067</v>
      </c>
      <c r="W280">
        <v>598.1</v>
      </c>
      <c r="Y280">
        <f t="shared" si="35"/>
        <v>160891.79999999987</v>
      </c>
      <c r="Z280" s="41">
        <f t="shared" si="38"/>
        <v>15662.599999999999</v>
      </c>
      <c r="AA280">
        <v>14.643615691649952</v>
      </c>
    </row>
    <row r="281" spans="1:28" x14ac:dyDescent="0.25">
      <c r="A281">
        <v>6440</v>
      </c>
      <c r="B281">
        <v>26330</v>
      </c>
      <c r="C281" s="1">
        <v>42859</v>
      </c>
      <c r="F281" s="71"/>
      <c r="G281">
        <v>11.7</v>
      </c>
      <c r="H281">
        <v>10.199999999999999</v>
      </c>
      <c r="I281">
        <v>13.6</v>
      </c>
      <c r="J281">
        <f t="shared" si="34"/>
        <v>1975.5000000000005</v>
      </c>
      <c r="K281">
        <f t="shared" si="39"/>
        <v>121.60000000000001</v>
      </c>
      <c r="L281" s="32" t="s">
        <v>35</v>
      </c>
      <c r="M281">
        <v>2.7</v>
      </c>
      <c r="N281">
        <v>1.2</v>
      </c>
      <c r="O281" s="37">
        <f t="shared" si="31"/>
        <v>1.5000000000000002</v>
      </c>
      <c r="P281">
        <f t="shared" si="37"/>
        <v>118.69999999999997</v>
      </c>
      <c r="Q281">
        <v>240</v>
      </c>
      <c r="R281">
        <v>1.1499999999999999</v>
      </c>
      <c r="S281" s="38">
        <f t="shared" si="32"/>
        <v>1.38</v>
      </c>
      <c r="T281" s="38">
        <f t="shared" si="33"/>
        <v>1.3200000000000003</v>
      </c>
      <c r="U281" s="38">
        <f t="shared" si="36"/>
        <v>56.304148936170144</v>
      </c>
      <c r="W281">
        <v>778.9</v>
      </c>
      <c r="Y281">
        <f t="shared" si="35"/>
        <v>161670.69999999987</v>
      </c>
      <c r="Z281" s="41">
        <f t="shared" si="38"/>
        <v>16441.5</v>
      </c>
      <c r="AA281">
        <v>14.69979692640123</v>
      </c>
    </row>
    <row r="282" spans="1:28" x14ac:dyDescent="0.25">
      <c r="A282">
        <v>6440</v>
      </c>
      <c r="B282">
        <v>26330</v>
      </c>
      <c r="C282" s="1">
        <v>42860</v>
      </c>
      <c r="F282" s="71"/>
      <c r="G282">
        <v>11</v>
      </c>
      <c r="H282">
        <v>9.4</v>
      </c>
      <c r="I282">
        <v>12.6</v>
      </c>
      <c r="J282">
        <f t="shared" si="34"/>
        <v>1986.5000000000005</v>
      </c>
      <c r="K282">
        <f t="shared" si="39"/>
        <v>132.60000000000002</v>
      </c>
      <c r="L282" s="31">
        <v>0</v>
      </c>
      <c r="M282">
        <v>0</v>
      </c>
      <c r="N282">
        <v>1.4</v>
      </c>
      <c r="O282" s="37">
        <f t="shared" si="31"/>
        <v>-1.4</v>
      </c>
      <c r="P282">
        <f t="shared" si="37"/>
        <v>117.29999999999997</v>
      </c>
      <c r="Q282">
        <v>241</v>
      </c>
      <c r="R282">
        <v>1.1499999999999999</v>
      </c>
      <c r="S282" s="38">
        <f t="shared" si="32"/>
        <v>1.6099999999999999</v>
      </c>
      <c r="T282" s="38">
        <f t="shared" si="33"/>
        <v>-1.6099999999999999</v>
      </c>
      <c r="U282" s="38">
        <f t="shared" si="36"/>
        <v>54.694148936170144</v>
      </c>
      <c r="W282">
        <v>947.4</v>
      </c>
      <c r="Y282">
        <f t="shared" si="35"/>
        <v>162618.09999999986</v>
      </c>
      <c r="Z282" s="41">
        <f t="shared" si="38"/>
        <v>17388.900000000001</v>
      </c>
      <c r="AA282">
        <v>14.755414707896922</v>
      </c>
    </row>
    <row r="283" spans="1:28" x14ac:dyDescent="0.25">
      <c r="A283">
        <v>6440</v>
      </c>
      <c r="B283">
        <v>26330</v>
      </c>
      <c r="C283" s="1">
        <v>42861</v>
      </c>
      <c r="F283" s="71"/>
      <c r="G283">
        <v>12.7</v>
      </c>
      <c r="H283">
        <v>8</v>
      </c>
      <c r="I283">
        <v>17.7</v>
      </c>
      <c r="J283">
        <f t="shared" si="34"/>
        <v>1999.2000000000005</v>
      </c>
      <c r="K283">
        <f t="shared" si="39"/>
        <v>145.30000000000001</v>
      </c>
      <c r="M283">
        <v>2</v>
      </c>
      <c r="N283">
        <v>3</v>
      </c>
      <c r="O283" s="37">
        <f t="shared" si="31"/>
        <v>-1</v>
      </c>
      <c r="P283">
        <f t="shared" si="37"/>
        <v>116.29999999999997</v>
      </c>
      <c r="Q283">
        <v>242</v>
      </c>
      <c r="R283">
        <v>1.1499999999999999</v>
      </c>
      <c r="S283" s="38">
        <f t="shared" si="32"/>
        <v>3.4499999999999997</v>
      </c>
      <c r="T283" s="38">
        <f t="shared" si="33"/>
        <v>-1.4499999999999997</v>
      </c>
      <c r="U283" s="38">
        <f t="shared" si="36"/>
        <v>53.244148936170141</v>
      </c>
      <c r="W283">
        <v>1992.9</v>
      </c>
      <c r="Y283">
        <f t="shared" si="35"/>
        <v>164610.99999999985</v>
      </c>
      <c r="Z283" s="41">
        <f t="shared" si="38"/>
        <v>19381.800000000003</v>
      </c>
      <c r="AA283">
        <v>14.810446630334074</v>
      </c>
    </row>
    <row r="284" spans="1:28" x14ac:dyDescent="0.25">
      <c r="A284">
        <v>6440</v>
      </c>
      <c r="B284">
        <v>26330</v>
      </c>
      <c r="C284" s="1">
        <v>42862</v>
      </c>
      <c r="F284" s="71"/>
      <c r="G284">
        <v>10.9</v>
      </c>
      <c r="H284">
        <v>10.8</v>
      </c>
      <c r="I284">
        <v>11.2</v>
      </c>
      <c r="J284">
        <f t="shared" si="34"/>
        <v>2010.1000000000006</v>
      </c>
      <c r="K284">
        <f t="shared" si="39"/>
        <v>156.20000000000002</v>
      </c>
      <c r="M284">
        <v>0.1</v>
      </c>
      <c r="N284">
        <v>1</v>
      </c>
      <c r="O284" s="37">
        <f t="shared" si="31"/>
        <v>-0.9</v>
      </c>
      <c r="P284">
        <f t="shared" si="37"/>
        <v>115.39999999999996</v>
      </c>
      <c r="Q284">
        <v>243</v>
      </c>
      <c r="R284">
        <v>1.1499999999999999</v>
      </c>
      <c r="S284" s="38">
        <f t="shared" si="32"/>
        <v>1.1499999999999999</v>
      </c>
      <c r="T284" s="38">
        <f t="shared" si="33"/>
        <v>-1.0499999999999998</v>
      </c>
      <c r="U284" s="38">
        <f t="shared" si="36"/>
        <v>52.194148936170144</v>
      </c>
      <c r="W284">
        <v>583.29999999999995</v>
      </c>
      <c r="Y284">
        <f t="shared" si="35"/>
        <v>165194.29999999984</v>
      </c>
      <c r="Z284" s="41">
        <f t="shared" si="38"/>
        <v>19965.100000000002</v>
      </c>
      <c r="AA284">
        <v>14.864869786653596</v>
      </c>
    </row>
    <row r="285" spans="1:28" x14ac:dyDescent="0.25">
      <c r="A285">
        <v>6440</v>
      </c>
      <c r="B285">
        <v>26330</v>
      </c>
      <c r="C285" s="1">
        <v>42863</v>
      </c>
      <c r="F285" s="71"/>
      <c r="G285">
        <v>9.4</v>
      </c>
      <c r="H285">
        <v>8.4</v>
      </c>
      <c r="I285">
        <v>11.4</v>
      </c>
      <c r="J285">
        <f t="shared" si="34"/>
        <v>2019.5000000000007</v>
      </c>
      <c r="K285">
        <f t="shared" si="39"/>
        <v>165.60000000000002</v>
      </c>
      <c r="M285">
        <v>1.1000000000000001</v>
      </c>
      <c r="N285">
        <v>0.9</v>
      </c>
      <c r="O285" s="37">
        <f t="shared" si="31"/>
        <v>0.20000000000000007</v>
      </c>
      <c r="P285">
        <f t="shared" si="37"/>
        <v>115.59999999999997</v>
      </c>
      <c r="Q285">
        <v>244</v>
      </c>
      <c r="R285">
        <v>1.1499999999999999</v>
      </c>
      <c r="S285" s="38">
        <f t="shared" si="32"/>
        <v>1.0349999999999999</v>
      </c>
      <c r="T285" s="38">
        <f t="shared" si="33"/>
        <v>6.5000000000000169E-2</v>
      </c>
      <c r="U285" s="38">
        <f t="shared" si="36"/>
        <v>52.259148936170142</v>
      </c>
      <c r="W285">
        <v>638.5</v>
      </c>
      <c r="Y285">
        <f t="shared" si="35"/>
        <v>165832.79999999984</v>
      </c>
      <c r="Z285" s="41">
        <f t="shared" si="38"/>
        <v>20603.600000000002</v>
      </c>
      <c r="AA285">
        <v>14.918660778061328</v>
      </c>
    </row>
    <row r="286" spans="1:28" x14ac:dyDescent="0.25">
      <c r="A286">
        <v>6440</v>
      </c>
      <c r="B286">
        <v>26330</v>
      </c>
      <c r="C286" s="1">
        <v>42864</v>
      </c>
      <c r="F286" s="71"/>
      <c r="G286">
        <v>10.1</v>
      </c>
      <c r="H286">
        <v>6</v>
      </c>
      <c r="I286">
        <v>13.7</v>
      </c>
      <c r="J286">
        <f t="shared" si="34"/>
        <v>2029.6000000000006</v>
      </c>
      <c r="K286">
        <f t="shared" si="39"/>
        <v>175.70000000000002</v>
      </c>
      <c r="L286" s="31"/>
      <c r="M286">
        <v>0</v>
      </c>
      <c r="N286">
        <v>4</v>
      </c>
      <c r="O286" s="37">
        <f t="shared" si="31"/>
        <v>-4</v>
      </c>
      <c r="P286">
        <f t="shared" si="37"/>
        <v>111.59999999999997</v>
      </c>
      <c r="Q286">
        <v>245</v>
      </c>
      <c r="R286">
        <v>1.1499999999999999</v>
      </c>
      <c r="S286" s="38">
        <f t="shared" si="32"/>
        <v>4.5999999999999996</v>
      </c>
      <c r="T286" s="38">
        <f t="shared" si="33"/>
        <v>-4.5999999999999996</v>
      </c>
      <c r="U286" s="38">
        <f t="shared" si="36"/>
        <v>47.659148936170141</v>
      </c>
      <c r="W286">
        <v>2990.4</v>
      </c>
      <c r="Y286">
        <f t="shared" si="35"/>
        <v>168823.19999999984</v>
      </c>
      <c r="Z286" s="41">
        <f t="shared" si="38"/>
        <v>23594.000000000004</v>
      </c>
      <c r="AA286">
        <v>14.971795725655181</v>
      </c>
    </row>
    <row r="287" spans="1:28" x14ac:dyDescent="0.25">
      <c r="A287">
        <v>6440</v>
      </c>
      <c r="B287">
        <v>26330</v>
      </c>
      <c r="C287" s="1">
        <v>42865</v>
      </c>
      <c r="F287" s="71"/>
      <c r="G287">
        <v>13</v>
      </c>
      <c r="H287">
        <v>6.6</v>
      </c>
      <c r="I287">
        <v>18.7</v>
      </c>
      <c r="J287">
        <f t="shared" si="34"/>
        <v>2042.6000000000006</v>
      </c>
      <c r="K287">
        <f t="shared" si="39"/>
        <v>188.70000000000002</v>
      </c>
      <c r="L287" s="31"/>
      <c r="M287">
        <v>0</v>
      </c>
      <c r="N287">
        <v>4.7</v>
      </c>
      <c r="O287" s="37">
        <f t="shared" si="31"/>
        <v>-4.7</v>
      </c>
      <c r="P287">
        <f t="shared" si="37"/>
        <v>106.89999999999996</v>
      </c>
      <c r="Q287">
        <v>246</v>
      </c>
      <c r="R287">
        <v>1.1499999999999999</v>
      </c>
      <c r="S287" s="38">
        <f t="shared" si="32"/>
        <v>5.4049999999999994</v>
      </c>
      <c r="T287" s="38">
        <f t="shared" si="33"/>
        <v>-5.4049999999999994</v>
      </c>
      <c r="U287" s="38">
        <f t="shared" si="36"/>
        <v>42.254148936170139</v>
      </c>
      <c r="W287">
        <v>2996.7</v>
      </c>
      <c r="Y287">
        <f t="shared" si="35"/>
        <v>171819.89999999985</v>
      </c>
      <c r="Z287" s="41">
        <f t="shared" si="38"/>
        <v>26590.700000000004</v>
      </c>
      <c r="AA287">
        <v>15.02425028425696</v>
      </c>
    </row>
    <row r="288" spans="1:28" x14ac:dyDescent="0.25">
      <c r="A288">
        <v>6440</v>
      </c>
      <c r="B288">
        <v>26330</v>
      </c>
      <c r="C288" s="1">
        <v>42866</v>
      </c>
      <c r="F288" s="71"/>
      <c r="G288">
        <v>16.399999999999999</v>
      </c>
      <c r="H288">
        <v>10</v>
      </c>
      <c r="I288">
        <v>22.3</v>
      </c>
      <c r="J288">
        <f t="shared" si="34"/>
        <v>2059.0000000000005</v>
      </c>
      <c r="K288">
        <f t="shared" si="39"/>
        <v>205.10000000000002</v>
      </c>
      <c r="L288" s="31"/>
      <c r="M288">
        <v>1</v>
      </c>
      <c r="N288">
        <v>3.2</v>
      </c>
      <c r="O288" s="37">
        <f t="shared" si="31"/>
        <v>-2.2000000000000002</v>
      </c>
      <c r="P288">
        <f t="shared" si="37"/>
        <v>104.69999999999996</v>
      </c>
      <c r="Q288">
        <v>247</v>
      </c>
      <c r="R288">
        <v>1.1499999999999999</v>
      </c>
      <c r="S288" s="38">
        <f t="shared" si="32"/>
        <v>3.6799999999999997</v>
      </c>
      <c r="T288" s="38">
        <f t="shared" si="33"/>
        <v>-2.6799999999999997</v>
      </c>
      <c r="U288" s="38">
        <f t="shared" si="36"/>
        <v>39.57414893617014</v>
      </c>
      <c r="W288">
        <v>1495.4</v>
      </c>
      <c r="Y288">
        <f t="shared" si="35"/>
        <v>173315.29999999984</v>
      </c>
      <c r="Z288" s="41">
        <f t="shared" si="38"/>
        <v>28086.100000000006</v>
      </c>
      <c r="AA288">
        <v>15.075999658545021</v>
      </c>
    </row>
    <row r="289" spans="1:28" x14ac:dyDescent="0.25">
      <c r="A289">
        <v>6440</v>
      </c>
      <c r="B289">
        <v>26330</v>
      </c>
      <c r="C289" s="1">
        <v>42867</v>
      </c>
      <c r="F289" s="71"/>
      <c r="G289">
        <v>16.8</v>
      </c>
      <c r="H289">
        <v>14.2</v>
      </c>
      <c r="I289">
        <v>21.2</v>
      </c>
      <c r="J289">
        <f t="shared" si="34"/>
        <v>2075.8000000000006</v>
      </c>
      <c r="K289">
        <f t="shared" si="39"/>
        <v>221.90000000000003</v>
      </c>
      <c r="L289" s="31"/>
      <c r="M289">
        <v>3.6</v>
      </c>
      <c r="N289">
        <v>3.4</v>
      </c>
      <c r="O289" s="37">
        <f t="shared" si="31"/>
        <v>0.20000000000000018</v>
      </c>
      <c r="P289">
        <f t="shared" si="37"/>
        <v>104.89999999999996</v>
      </c>
      <c r="Q289">
        <v>248</v>
      </c>
      <c r="R289">
        <v>1.1499999999999999</v>
      </c>
      <c r="S289" s="38">
        <f t="shared" si="32"/>
        <v>3.9099999999999997</v>
      </c>
      <c r="T289" s="38">
        <f t="shared" si="33"/>
        <v>-0.30999999999999961</v>
      </c>
      <c r="U289" s="38">
        <f t="shared" si="36"/>
        <v>39.264148936170137</v>
      </c>
      <c r="W289">
        <v>1527.4</v>
      </c>
      <c r="Y289">
        <f t="shared" si="35"/>
        <v>174842.69999999984</v>
      </c>
      <c r="Z289" s="41">
        <f t="shared" si="38"/>
        <v>29613.500000000007</v>
      </c>
      <c r="AA289">
        <v>15.127018621580369</v>
      </c>
    </row>
    <row r="290" spans="1:28" x14ac:dyDescent="0.25">
      <c r="A290">
        <v>6440</v>
      </c>
      <c r="B290">
        <v>26330</v>
      </c>
      <c r="C290" s="1">
        <v>42868</v>
      </c>
      <c r="F290" s="71"/>
      <c r="G290">
        <v>15</v>
      </c>
      <c r="H290">
        <v>12.6</v>
      </c>
      <c r="I290">
        <v>18</v>
      </c>
      <c r="J290">
        <f t="shared" si="34"/>
        <v>2090.8000000000006</v>
      </c>
      <c r="K290">
        <f t="shared" si="39"/>
        <v>236.90000000000003</v>
      </c>
      <c r="L290" s="31"/>
      <c r="M290">
        <v>0</v>
      </c>
      <c r="N290">
        <v>3.5</v>
      </c>
      <c r="O290" s="37">
        <f t="shared" si="31"/>
        <v>-3.5</v>
      </c>
      <c r="P290">
        <f t="shared" si="37"/>
        <v>101.39999999999996</v>
      </c>
      <c r="Q290">
        <v>249</v>
      </c>
      <c r="R290">
        <v>1.1499999999999999</v>
      </c>
      <c r="S290" s="38">
        <f t="shared" si="32"/>
        <v>4.0249999999999995</v>
      </c>
      <c r="T290" s="38">
        <f t="shared" si="33"/>
        <v>-4.0249999999999995</v>
      </c>
      <c r="U290" s="38">
        <f t="shared" si="36"/>
        <v>35.239148936170139</v>
      </c>
      <c r="W290">
        <v>2186.6</v>
      </c>
      <c r="Y290">
        <f t="shared" si="35"/>
        <v>177029.29999999984</v>
      </c>
      <c r="Z290" s="41">
        <f t="shared" si="38"/>
        <v>31800.100000000006</v>
      </c>
      <c r="AA290">
        <v>15.177281535814124</v>
      </c>
    </row>
    <row r="291" spans="1:28" x14ac:dyDescent="0.25">
      <c r="A291">
        <v>6440</v>
      </c>
      <c r="B291">
        <v>26330</v>
      </c>
      <c r="C291" s="1">
        <v>42869</v>
      </c>
      <c r="F291" s="71"/>
      <c r="G291">
        <v>14.1</v>
      </c>
      <c r="H291">
        <v>11</v>
      </c>
      <c r="I291">
        <v>17.600000000000001</v>
      </c>
      <c r="J291">
        <f t="shared" si="34"/>
        <v>2104.9000000000005</v>
      </c>
      <c r="K291">
        <f t="shared" si="39"/>
        <v>251.00000000000003</v>
      </c>
      <c r="L291" s="31"/>
      <c r="M291">
        <v>0.4</v>
      </c>
      <c r="N291">
        <v>2.4</v>
      </c>
      <c r="O291" s="37">
        <f t="shared" si="31"/>
        <v>-2</v>
      </c>
      <c r="P291">
        <f t="shared" si="37"/>
        <v>99.399999999999963</v>
      </c>
      <c r="Q291">
        <v>250</v>
      </c>
      <c r="R291">
        <v>1.1499999999999999</v>
      </c>
      <c r="S291" s="38">
        <f t="shared" si="32"/>
        <v>2.76</v>
      </c>
      <c r="T291" s="38">
        <f t="shared" si="33"/>
        <v>-2.36</v>
      </c>
      <c r="U291" s="38">
        <f t="shared" si="36"/>
        <v>32.879148936170139</v>
      </c>
      <c r="W291">
        <v>1345.5</v>
      </c>
      <c r="Y291">
        <f t="shared" si="35"/>
        <v>178374.79999999984</v>
      </c>
      <c r="Z291" s="41">
        <f t="shared" si="38"/>
        <v>33145.600000000006</v>
      </c>
      <c r="AA291">
        <v>15.226762376658415</v>
      </c>
    </row>
    <row r="292" spans="1:28" x14ac:dyDescent="0.25">
      <c r="A292">
        <v>6440</v>
      </c>
      <c r="B292">
        <v>26330</v>
      </c>
      <c r="C292" s="1">
        <v>42870</v>
      </c>
      <c r="F292" s="71"/>
      <c r="G292">
        <v>16</v>
      </c>
      <c r="H292">
        <v>7.7</v>
      </c>
      <c r="I292">
        <v>20.7</v>
      </c>
      <c r="J292">
        <f t="shared" si="34"/>
        <v>2120.9000000000005</v>
      </c>
      <c r="K292">
        <f t="shared" si="39"/>
        <v>267</v>
      </c>
      <c r="L292" s="31"/>
      <c r="M292">
        <v>0</v>
      </c>
      <c r="N292">
        <v>3.5</v>
      </c>
      <c r="O292" s="37">
        <f t="shared" si="31"/>
        <v>-3.5</v>
      </c>
      <c r="P292">
        <f t="shared" si="37"/>
        <v>95.899999999999963</v>
      </c>
      <c r="Q292">
        <v>251</v>
      </c>
      <c r="R292">
        <v>1.1499999999999999</v>
      </c>
      <c r="S292" s="38">
        <f t="shared" si="32"/>
        <v>4.0249999999999995</v>
      </c>
      <c r="T292" s="38">
        <f t="shared" si="33"/>
        <v>-4.0249999999999995</v>
      </c>
      <c r="U292" s="38">
        <f t="shared" si="36"/>
        <v>28.854148936170141</v>
      </c>
      <c r="W292">
        <v>2239.6</v>
      </c>
      <c r="Y292">
        <f t="shared" si="35"/>
        <v>180614.39999999985</v>
      </c>
      <c r="Z292" s="41">
        <f t="shared" si="38"/>
        <v>35385.200000000004</v>
      </c>
      <c r="AA292">
        <v>15.275434758695512</v>
      </c>
    </row>
    <row r="293" spans="1:28" x14ac:dyDescent="0.25">
      <c r="A293">
        <v>6440</v>
      </c>
      <c r="B293">
        <v>26330</v>
      </c>
      <c r="C293" s="1">
        <v>42871</v>
      </c>
      <c r="F293" s="71"/>
      <c r="G293">
        <v>21.5</v>
      </c>
      <c r="H293">
        <v>16.5</v>
      </c>
      <c r="I293" s="2">
        <v>25.6</v>
      </c>
      <c r="J293">
        <f t="shared" si="34"/>
        <v>2142.4000000000005</v>
      </c>
      <c r="K293">
        <f t="shared" si="39"/>
        <v>288.5</v>
      </c>
      <c r="L293" s="31"/>
      <c r="M293">
        <v>0</v>
      </c>
      <c r="N293">
        <v>2.9</v>
      </c>
      <c r="O293" s="37">
        <f t="shared" si="31"/>
        <v>-2.9</v>
      </c>
      <c r="P293">
        <f t="shared" si="37"/>
        <v>92.999999999999957</v>
      </c>
      <c r="Q293">
        <v>252</v>
      </c>
      <c r="R293">
        <v>1.1499999999999999</v>
      </c>
      <c r="S293" s="38">
        <f t="shared" si="32"/>
        <v>3.3349999999999995</v>
      </c>
      <c r="T293" s="38">
        <f t="shared" si="33"/>
        <v>-3.3349999999999995</v>
      </c>
      <c r="U293" s="38">
        <f t="shared" si="36"/>
        <v>25.51914893617014</v>
      </c>
      <c r="W293">
        <v>978.4</v>
      </c>
      <c r="Y293">
        <f t="shared" si="35"/>
        <v>181592.79999999984</v>
      </c>
      <c r="Z293" s="41">
        <f t="shared" si="38"/>
        <v>36363.600000000006</v>
      </c>
      <c r="AA293">
        <v>15.323271964591386</v>
      </c>
    </row>
    <row r="294" spans="1:28" s="13" customFormat="1" ht="15.75" thickBot="1" x14ac:dyDescent="0.3">
      <c r="A294" s="13">
        <v>6440</v>
      </c>
      <c r="B294" s="13">
        <v>26330</v>
      </c>
      <c r="C294" s="14">
        <v>42872</v>
      </c>
      <c r="F294" s="72"/>
      <c r="G294" s="13">
        <v>22.5</v>
      </c>
      <c r="H294" s="13">
        <v>17.8</v>
      </c>
      <c r="I294" s="16">
        <v>28.1</v>
      </c>
      <c r="J294" s="13">
        <f t="shared" si="34"/>
        <v>2164.9000000000005</v>
      </c>
      <c r="K294" s="13">
        <f t="shared" si="39"/>
        <v>311</v>
      </c>
      <c r="L294" s="29"/>
      <c r="M294" s="13">
        <v>3.2</v>
      </c>
      <c r="N294" s="13">
        <v>5.2</v>
      </c>
      <c r="O294" s="15">
        <f t="shared" si="31"/>
        <v>-2</v>
      </c>
      <c r="P294" s="13">
        <f t="shared" si="37"/>
        <v>90.999999999999957</v>
      </c>
      <c r="Q294" s="13">
        <v>253</v>
      </c>
      <c r="R294" s="13">
        <v>1.1499999999999999</v>
      </c>
      <c r="S294" s="47">
        <f t="shared" si="32"/>
        <v>5.9799999999999995</v>
      </c>
      <c r="T294" s="47">
        <f t="shared" si="33"/>
        <v>-2.7799999999999994</v>
      </c>
      <c r="U294" s="38">
        <f t="shared" si="36"/>
        <v>22.739148936170139</v>
      </c>
      <c r="W294" s="13">
        <v>2000.6</v>
      </c>
      <c r="Y294" s="13">
        <f t="shared" si="35"/>
        <v>183593.39999999985</v>
      </c>
      <c r="Z294" s="13">
        <f t="shared" si="38"/>
        <v>38364.200000000004</v>
      </c>
      <c r="AA294" s="13">
        <v>15.370246976769803</v>
      </c>
    </row>
    <row r="295" spans="1:28" x14ac:dyDescent="0.25">
      <c r="A295">
        <v>6440</v>
      </c>
      <c r="B295">
        <v>26330</v>
      </c>
      <c r="C295" s="1">
        <v>42873</v>
      </c>
      <c r="F295" s="53" t="s">
        <v>27</v>
      </c>
      <c r="G295">
        <v>15.8</v>
      </c>
      <c r="H295">
        <v>14.5</v>
      </c>
      <c r="I295">
        <v>17.600000000000001</v>
      </c>
      <c r="J295">
        <f t="shared" si="34"/>
        <v>2180.7000000000007</v>
      </c>
      <c r="K295">
        <f>G295</f>
        <v>15.8</v>
      </c>
      <c r="L295" s="33" t="s">
        <v>29</v>
      </c>
      <c r="M295">
        <v>15.3</v>
      </c>
      <c r="N295">
        <v>1.2</v>
      </c>
      <c r="O295" s="37">
        <f t="shared" si="31"/>
        <v>14.100000000000001</v>
      </c>
      <c r="P295">
        <f t="shared" si="37"/>
        <v>105.09999999999997</v>
      </c>
      <c r="Q295">
        <v>254</v>
      </c>
      <c r="R295" s="38">
        <f>1.15+((Q295-253)/64)*(0.35-1.15)</f>
        <v>1.1375</v>
      </c>
      <c r="S295" s="38">
        <f t="shared" si="32"/>
        <v>1.365</v>
      </c>
      <c r="T295" s="38">
        <f t="shared" si="33"/>
        <v>13.935</v>
      </c>
      <c r="U295" s="38">
        <f t="shared" si="36"/>
        <v>36.674148936170141</v>
      </c>
      <c r="V295" s="8" t="s">
        <v>51</v>
      </c>
      <c r="W295">
        <v>561.5</v>
      </c>
      <c r="Y295">
        <f t="shared" si="35"/>
        <v>184154.89999999985</v>
      </c>
      <c r="Z295" s="41">
        <f>W295</f>
        <v>561.5</v>
      </c>
      <c r="AA295">
        <v>15.416332511891369</v>
      </c>
      <c r="AB295" s="8" t="s">
        <v>56</v>
      </c>
    </row>
    <row r="296" spans="1:28" s="48" customFormat="1" x14ac:dyDescent="0.25">
      <c r="A296" s="48">
        <v>6440</v>
      </c>
      <c r="B296" s="48">
        <v>26330</v>
      </c>
      <c r="C296" s="49">
        <v>42874</v>
      </c>
      <c r="F296" s="54"/>
      <c r="G296" s="48">
        <v>12.6</v>
      </c>
      <c r="H296" s="48">
        <v>10.7</v>
      </c>
      <c r="I296" s="48">
        <v>14.8</v>
      </c>
      <c r="J296" s="48">
        <f t="shared" si="34"/>
        <v>2193.3000000000006</v>
      </c>
      <c r="K296">
        <f t="shared" si="39"/>
        <v>28.4</v>
      </c>
      <c r="L296" s="22">
        <v>316</v>
      </c>
      <c r="M296" s="48">
        <v>2.2000000000000002</v>
      </c>
      <c r="N296" s="48">
        <v>1.7</v>
      </c>
      <c r="O296" s="50">
        <f t="shared" si="31"/>
        <v>0.50000000000000022</v>
      </c>
      <c r="P296" s="48">
        <f t="shared" si="37"/>
        <v>105.59999999999997</v>
      </c>
      <c r="Q296" s="48">
        <v>255</v>
      </c>
      <c r="R296" s="38">
        <f t="shared" ref="R296:R358" si="40">1.15+((Q296-253)/64)*(0.35-1.15)</f>
        <v>1.125</v>
      </c>
      <c r="S296" s="51">
        <f t="shared" si="32"/>
        <v>1.9124999999999999</v>
      </c>
      <c r="T296" s="51">
        <f t="shared" si="33"/>
        <v>0.28750000000000031</v>
      </c>
      <c r="U296" s="38">
        <f t="shared" si="36"/>
        <v>36.961648936170143</v>
      </c>
      <c r="V296">
        <v>8</v>
      </c>
      <c r="W296" s="48">
        <v>1277</v>
      </c>
      <c r="Y296" s="48">
        <f t="shared" si="35"/>
        <v>185431.89999999985</v>
      </c>
      <c r="Z296" s="41">
        <f t="shared" si="38"/>
        <v>1838.5</v>
      </c>
      <c r="AA296" s="48">
        <v>15.461501058168679</v>
      </c>
      <c r="AB296">
        <v>35570.9</v>
      </c>
    </row>
    <row r="297" spans="1:28" ht="15" customHeight="1" x14ac:dyDescent="0.25">
      <c r="A297">
        <v>6440</v>
      </c>
      <c r="B297">
        <v>26330</v>
      </c>
      <c r="C297" s="1">
        <v>42875</v>
      </c>
      <c r="F297" s="54"/>
      <c r="G297">
        <v>13.2</v>
      </c>
      <c r="H297">
        <v>10.7</v>
      </c>
      <c r="I297">
        <v>16.5</v>
      </c>
      <c r="J297">
        <f t="shared" si="34"/>
        <v>2206.5000000000005</v>
      </c>
      <c r="K297">
        <f t="shared" si="39"/>
        <v>41.599999999999994</v>
      </c>
      <c r="L297" s="33" t="s">
        <v>30</v>
      </c>
      <c r="M297">
        <v>0.4</v>
      </c>
      <c r="N297">
        <v>3.5</v>
      </c>
      <c r="O297" s="37">
        <f t="shared" si="31"/>
        <v>-3.1</v>
      </c>
      <c r="P297">
        <f t="shared" si="37"/>
        <v>102.49999999999997</v>
      </c>
      <c r="Q297">
        <v>256</v>
      </c>
      <c r="R297" s="38">
        <f t="shared" si="40"/>
        <v>1.1124999999999998</v>
      </c>
      <c r="S297" s="38">
        <f t="shared" si="32"/>
        <v>3.8937499999999994</v>
      </c>
      <c r="T297" s="38">
        <f t="shared" si="33"/>
        <v>-3.4937499999999995</v>
      </c>
      <c r="U297" s="38">
        <f t="shared" si="36"/>
        <v>33.467898936170144</v>
      </c>
      <c r="V297" s="8" t="s">
        <v>52</v>
      </c>
      <c r="W297">
        <v>2137.3000000000002</v>
      </c>
      <c r="Y297">
        <f t="shared" si="35"/>
        <v>187569.19999999984</v>
      </c>
      <c r="Z297" s="41">
        <f t="shared" si="38"/>
        <v>3975.8</v>
      </c>
      <c r="AA297">
        <v>15.505724915533904</v>
      </c>
      <c r="AB297" s="8" t="s">
        <v>57</v>
      </c>
    </row>
    <row r="298" spans="1:28" x14ac:dyDescent="0.25">
      <c r="A298">
        <v>6440</v>
      </c>
      <c r="B298">
        <v>26330</v>
      </c>
      <c r="C298" s="1">
        <v>42876</v>
      </c>
      <c r="F298" s="54"/>
      <c r="G298">
        <v>15.8</v>
      </c>
      <c r="H298">
        <v>10.1</v>
      </c>
      <c r="I298">
        <v>20</v>
      </c>
      <c r="J298">
        <f t="shared" si="34"/>
        <v>2222.3000000000006</v>
      </c>
      <c r="K298">
        <f t="shared" si="39"/>
        <v>57.399999999999991</v>
      </c>
      <c r="L298" s="22">
        <f>AVERAGE(G295:G311)</f>
        <v>18.588235294117652</v>
      </c>
      <c r="M298">
        <v>0</v>
      </c>
      <c r="N298">
        <v>3.4</v>
      </c>
      <c r="O298" s="37">
        <f t="shared" si="31"/>
        <v>-3.4</v>
      </c>
      <c r="P298">
        <f t="shared" si="37"/>
        <v>99.099999999999966</v>
      </c>
      <c r="Q298">
        <v>257</v>
      </c>
      <c r="R298" s="38">
        <f t="shared" si="40"/>
        <v>1.0999999999999999</v>
      </c>
      <c r="S298" s="38">
        <f t="shared" si="32"/>
        <v>3.7399999999999993</v>
      </c>
      <c r="T298" s="38">
        <f t="shared" si="33"/>
        <v>-3.7399999999999993</v>
      </c>
      <c r="U298" s="38">
        <f t="shared" si="36"/>
        <v>29.727898936170146</v>
      </c>
      <c r="V298">
        <v>9</v>
      </c>
      <c r="W298">
        <v>2083.8000000000002</v>
      </c>
      <c r="Y298">
        <f t="shared" si="35"/>
        <v>189652.99999999983</v>
      </c>
      <c r="Z298" s="41">
        <f t="shared" si="38"/>
        <v>6059.6</v>
      </c>
      <c r="AA298">
        <v>15.548976238658444</v>
      </c>
      <c r="AB298">
        <f>(AB296/100)/L296</f>
        <v>1.1256613924050634</v>
      </c>
    </row>
    <row r="299" spans="1:28" x14ac:dyDescent="0.25">
      <c r="A299">
        <v>6440</v>
      </c>
      <c r="B299">
        <v>26330</v>
      </c>
      <c r="C299" s="1">
        <v>42877</v>
      </c>
      <c r="F299" s="54"/>
      <c r="G299">
        <v>18.600000000000001</v>
      </c>
      <c r="H299">
        <v>13.2</v>
      </c>
      <c r="I299">
        <v>23.6</v>
      </c>
      <c r="J299">
        <f t="shared" si="34"/>
        <v>2240.9000000000005</v>
      </c>
      <c r="K299">
        <f t="shared" si="39"/>
        <v>76</v>
      </c>
      <c r="L299" s="33" t="s">
        <v>31</v>
      </c>
      <c r="M299">
        <v>0</v>
      </c>
      <c r="N299">
        <v>5.6</v>
      </c>
      <c r="O299" s="37">
        <f t="shared" ref="O299:O358" si="41">M299-N299</f>
        <v>-5.6</v>
      </c>
      <c r="P299">
        <f t="shared" si="37"/>
        <v>93.499999999999972</v>
      </c>
      <c r="Q299">
        <v>258</v>
      </c>
      <c r="R299" s="38">
        <f t="shared" si="40"/>
        <v>1.0874999999999999</v>
      </c>
      <c r="S299" s="38">
        <f t="shared" ref="S299:S358" si="42">R299*N299</f>
        <v>6.089999999999999</v>
      </c>
      <c r="T299" s="38">
        <f t="shared" ref="T299:T358" si="43">M299-S299</f>
        <v>-6.089999999999999</v>
      </c>
      <c r="U299" s="38">
        <f t="shared" si="36"/>
        <v>23.637898936170146</v>
      </c>
      <c r="V299" s="8" t="s">
        <v>53</v>
      </c>
      <c r="W299">
        <v>2900.4</v>
      </c>
      <c r="Y299">
        <f t="shared" si="35"/>
        <v>192553.39999999982</v>
      </c>
      <c r="Z299" s="41">
        <f t="shared" si="38"/>
        <v>8960</v>
      </c>
      <c r="AA299">
        <v>15.591227082806263</v>
      </c>
      <c r="AB299" s="8" t="s">
        <v>58</v>
      </c>
    </row>
    <row r="300" spans="1:28" x14ac:dyDescent="0.25">
      <c r="A300">
        <v>6440</v>
      </c>
      <c r="B300">
        <v>26330</v>
      </c>
      <c r="C300" s="1">
        <v>42878</v>
      </c>
      <c r="F300" s="54"/>
      <c r="G300">
        <v>17.8</v>
      </c>
      <c r="H300">
        <v>14.5</v>
      </c>
      <c r="I300">
        <v>21.3</v>
      </c>
      <c r="J300">
        <f t="shared" ref="J300:J358" si="44">J299+G300</f>
        <v>2258.7000000000007</v>
      </c>
      <c r="K300">
        <f t="shared" si="39"/>
        <v>93.8</v>
      </c>
      <c r="L300" s="25">
        <f>MIN(H295:H311)</f>
        <v>10.1</v>
      </c>
      <c r="M300">
        <v>0</v>
      </c>
      <c r="N300">
        <v>3.6</v>
      </c>
      <c r="O300" s="37">
        <f t="shared" si="41"/>
        <v>-3.6</v>
      </c>
      <c r="P300">
        <f t="shared" si="37"/>
        <v>89.899999999999977</v>
      </c>
      <c r="Q300">
        <v>259</v>
      </c>
      <c r="R300" s="38">
        <f t="shared" si="40"/>
        <v>1.075</v>
      </c>
      <c r="S300" s="38">
        <f t="shared" si="42"/>
        <v>3.87</v>
      </c>
      <c r="T300" s="38">
        <f t="shared" si="43"/>
        <v>-3.87</v>
      </c>
      <c r="U300" s="38">
        <f t="shared" si="36"/>
        <v>19.767898936170145</v>
      </c>
      <c r="V300">
        <v>0</v>
      </c>
      <c r="W300">
        <v>1934.7</v>
      </c>
      <c r="Y300">
        <f t="shared" ref="Y300:Y358" si="45">Y299+W300</f>
        <v>194488.09999999983</v>
      </c>
      <c r="Z300" s="41">
        <f t="shared" si="38"/>
        <v>10894.7</v>
      </c>
      <c r="AA300">
        <v>15.63244945248254</v>
      </c>
      <c r="AB300">
        <v>1</v>
      </c>
    </row>
    <row r="301" spans="1:28" x14ac:dyDescent="0.25">
      <c r="A301">
        <v>6440</v>
      </c>
      <c r="B301">
        <v>26330</v>
      </c>
      <c r="C301" s="1">
        <v>42879</v>
      </c>
      <c r="F301" s="54"/>
      <c r="G301">
        <v>18</v>
      </c>
      <c r="H301">
        <v>13.9</v>
      </c>
      <c r="I301">
        <v>22.1</v>
      </c>
      <c r="J301">
        <f t="shared" si="44"/>
        <v>2276.7000000000007</v>
      </c>
      <c r="K301">
        <f t="shared" si="39"/>
        <v>111.8</v>
      </c>
      <c r="L301" s="33" t="s">
        <v>32</v>
      </c>
      <c r="M301">
        <v>0</v>
      </c>
      <c r="N301">
        <v>2.9</v>
      </c>
      <c r="O301" s="37">
        <f t="shared" si="41"/>
        <v>-2.9</v>
      </c>
      <c r="P301">
        <f t="shared" si="37"/>
        <v>86.999999999999972</v>
      </c>
      <c r="Q301">
        <v>260</v>
      </c>
      <c r="R301" s="38">
        <f t="shared" si="40"/>
        <v>1.0625</v>
      </c>
      <c r="S301" s="38">
        <f t="shared" si="42"/>
        <v>3.0812499999999998</v>
      </c>
      <c r="T301" s="38">
        <f t="shared" si="43"/>
        <v>-3.0812499999999998</v>
      </c>
      <c r="U301" s="38">
        <f t="shared" si="36"/>
        <v>16.686648936170144</v>
      </c>
      <c r="V301" s="8" t="s">
        <v>54</v>
      </c>
      <c r="W301">
        <v>1568.4</v>
      </c>
      <c r="Y301">
        <f t="shared" si="45"/>
        <v>196056.49999999983</v>
      </c>
      <c r="Z301" s="41">
        <f t="shared" si="38"/>
        <v>12463.1</v>
      </c>
      <c r="AA301">
        <v>15.672615352818021</v>
      </c>
    </row>
    <row r="302" spans="1:28" x14ac:dyDescent="0.25">
      <c r="A302">
        <v>6440</v>
      </c>
      <c r="B302">
        <v>26330</v>
      </c>
      <c r="C302" s="1">
        <v>42880</v>
      </c>
      <c r="F302" s="54"/>
      <c r="G302">
        <v>19.7</v>
      </c>
      <c r="H302">
        <v>14.4</v>
      </c>
      <c r="I302">
        <v>24.5</v>
      </c>
      <c r="J302">
        <f t="shared" si="44"/>
        <v>2296.4000000000005</v>
      </c>
      <c r="K302">
        <f t="shared" si="39"/>
        <v>131.5</v>
      </c>
      <c r="L302" s="22">
        <f>MAX(I295:I311)</f>
        <v>29.9</v>
      </c>
      <c r="M302">
        <v>0</v>
      </c>
      <c r="N302">
        <v>6.2</v>
      </c>
      <c r="O302" s="37">
        <f t="shared" si="41"/>
        <v>-6.2</v>
      </c>
      <c r="P302">
        <f t="shared" si="37"/>
        <v>80.799999999999969</v>
      </c>
      <c r="Q302">
        <v>261</v>
      </c>
      <c r="R302" s="38">
        <f t="shared" si="40"/>
        <v>1.0499999999999998</v>
      </c>
      <c r="S302" s="38">
        <f t="shared" si="42"/>
        <v>6.5099999999999989</v>
      </c>
      <c r="T302" s="38">
        <f t="shared" si="43"/>
        <v>-6.5099999999999989</v>
      </c>
      <c r="U302" s="38">
        <f t="shared" si="36"/>
        <v>10.176648936170146</v>
      </c>
      <c r="V302" s="38">
        <f>MAX(U295:U312)</f>
        <v>36.961648936170143</v>
      </c>
      <c r="W302">
        <v>3162.8</v>
      </c>
      <c r="Y302">
        <f t="shared" si="45"/>
        <v>199219.29999999981</v>
      </c>
      <c r="Z302" s="41">
        <f t="shared" si="38"/>
        <v>15625.900000000001</v>
      </c>
      <c r="AA302">
        <v>15.711696843606513</v>
      </c>
    </row>
    <row r="303" spans="1:28" x14ac:dyDescent="0.25">
      <c r="A303">
        <v>6440</v>
      </c>
      <c r="B303">
        <v>26330</v>
      </c>
      <c r="C303" s="1">
        <v>42881</v>
      </c>
      <c r="F303" s="54"/>
      <c r="G303">
        <v>22.4</v>
      </c>
      <c r="H303">
        <v>17.2</v>
      </c>
      <c r="I303" s="2">
        <v>27.5</v>
      </c>
      <c r="J303">
        <f t="shared" si="44"/>
        <v>2318.8000000000006</v>
      </c>
      <c r="K303">
        <f t="shared" si="39"/>
        <v>153.9</v>
      </c>
      <c r="L303" s="33" t="s">
        <v>33</v>
      </c>
      <c r="M303">
        <v>0</v>
      </c>
      <c r="N303">
        <v>7.5</v>
      </c>
      <c r="O303" s="37">
        <f t="shared" si="41"/>
        <v>-7.5</v>
      </c>
      <c r="P303">
        <f t="shared" si="37"/>
        <v>73.299999999999969</v>
      </c>
      <c r="Q303">
        <v>262</v>
      </c>
      <c r="R303" s="38">
        <f t="shared" si="40"/>
        <v>1.0374999999999999</v>
      </c>
      <c r="S303" s="38">
        <f t="shared" si="42"/>
        <v>7.7812499999999991</v>
      </c>
      <c r="T303" s="38">
        <f t="shared" si="43"/>
        <v>-7.7812499999999991</v>
      </c>
      <c r="U303" s="38">
        <f t="shared" si="36"/>
        <v>2.3953989361701469</v>
      </c>
      <c r="V303" s="8" t="s">
        <v>55</v>
      </c>
      <c r="W303">
        <v>3167.6</v>
      </c>
      <c r="Y303">
        <f t="shared" si="45"/>
        <v>202386.89999999982</v>
      </c>
      <c r="Z303" s="41">
        <f t="shared" si="38"/>
        <v>18793.5</v>
      </c>
      <c r="AA303">
        <v>15.749666095888916</v>
      </c>
    </row>
    <row r="304" spans="1:28" x14ac:dyDescent="0.25">
      <c r="A304">
        <v>6440</v>
      </c>
      <c r="B304">
        <v>26330</v>
      </c>
      <c r="C304" s="1">
        <v>42882</v>
      </c>
      <c r="F304" s="54"/>
      <c r="G304">
        <v>22.2</v>
      </c>
      <c r="H304">
        <v>17.3</v>
      </c>
      <c r="I304" s="2">
        <v>29.1</v>
      </c>
      <c r="J304">
        <f t="shared" si="44"/>
        <v>2341.0000000000005</v>
      </c>
      <c r="K304">
        <f t="shared" si="39"/>
        <v>176.1</v>
      </c>
      <c r="L304" s="22">
        <v>6</v>
      </c>
      <c r="M304">
        <v>0.5</v>
      </c>
      <c r="N304">
        <v>4.8</v>
      </c>
      <c r="O304" s="37">
        <f t="shared" si="41"/>
        <v>-4.3</v>
      </c>
      <c r="P304">
        <f t="shared" si="37"/>
        <v>68.999999999999972</v>
      </c>
      <c r="Q304">
        <v>263</v>
      </c>
      <c r="R304" s="38">
        <f t="shared" si="40"/>
        <v>1.0249999999999999</v>
      </c>
      <c r="S304" s="38">
        <f t="shared" si="42"/>
        <v>4.919999999999999</v>
      </c>
      <c r="T304" s="38">
        <f t="shared" si="43"/>
        <v>-4.419999999999999</v>
      </c>
      <c r="U304" s="38">
        <v>0</v>
      </c>
      <c r="V304" s="38">
        <f>AVERAGE(U295:U311)</f>
        <v>12.323299436795958</v>
      </c>
      <c r="W304">
        <v>1910.3</v>
      </c>
      <c r="Y304">
        <f t="shared" si="45"/>
        <v>204297.19999999981</v>
      </c>
      <c r="Z304" s="41">
        <f t="shared" si="38"/>
        <v>20703.8</v>
      </c>
      <c r="AA304">
        <v>15.786495450951758</v>
      </c>
    </row>
    <row r="305" spans="1:28" x14ac:dyDescent="0.25">
      <c r="A305">
        <v>6440</v>
      </c>
      <c r="B305">
        <v>26330</v>
      </c>
      <c r="C305" s="1">
        <v>42883</v>
      </c>
      <c r="F305" s="54"/>
      <c r="G305">
        <v>22.3</v>
      </c>
      <c r="H305">
        <v>16.899999999999999</v>
      </c>
      <c r="I305" s="2">
        <v>26.3</v>
      </c>
      <c r="J305">
        <f t="shared" si="44"/>
        <v>2363.3000000000006</v>
      </c>
      <c r="K305">
        <f t="shared" si="39"/>
        <v>198.4</v>
      </c>
      <c r="L305" s="33" t="s">
        <v>34</v>
      </c>
      <c r="M305">
        <v>0</v>
      </c>
      <c r="N305">
        <v>3.7</v>
      </c>
      <c r="O305" s="37">
        <f t="shared" si="41"/>
        <v>-3.7</v>
      </c>
      <c r="P305">
        <f t="shared" si="37"/>
        <v>65.299999999999969</v>
      </c>
      <c r="Q305">
        <v>264</v>
      </c>
      <c r="R305" s="38">
        <f t="shared" si="40"/>
        <v>1.0125</v>
      </c>
      <c r="S305" s="38">
        <f t="shared" si="42"/>
        <v>3.7462499999999999</v>
      </c>
      <c r="T305" s="38">
        <f t="shared" si="43"/>
        <v>-3.7462499999999999</v>
      </c>
      <c r="U305" s="38">
        <v>0</v>
      </c>
      <c r="W305">
        <v>1809</v>
      </c>
      <c r="Y305">
        <f t="shared" si="45"/>
        <v>206106.19999999981</v>
      </c>
      <c r="Z305" s="41">
        <f t="shared" si="38"/>
        <v>22512.799999999999</v>
      </c>
      <c r="AA305">
        <v>15.822157481581936</v>
      </c>
    </row>
    <row r="306" spans="1:28" x14ac:dyDescent="0.25">
      <c r="A306">
        <v>6440</v>
      </c>
      <c r="B306">
        <v>26330</v>
      </c>
      <c r="C306" s="1">
        <v>42884</v>
      </c>
      <c r="F306" s="54"/>
      <c r="G306">
        <v>23</v>
      </c>
      <c r="H306">
        <v>19</v>
      </c>
      <c r="I306" s="2">
        <v>29.9</v>
      </c>
      <c r="J306">
        <f t="shared" si="44"/>
        <v>2386.3000000000006</v>
      </c>
      <c r="K306">
        <f t="shared" si="39"/>
        <v>221.4</v>
      </c>
      <c r="L306" s="22">
        <v>0</v>
      </c>
      <c r="M306">
        <v>0.6</v>
      </c>
      <c r="N306">
        <v>5.8</v>
      </c>
      <c r="O306" s="37">
        <f t="shared" si="41"/>
        <v>-5.2</v>
      </c>
      <c r="P306">
        <f t="shared" si="37"/>
        <v>60.099999999999966</v>
      </c>
      <c r="Q306">
        <v>265</v>
      </c>
      <c r="R306" s="38">
        <f t="shared" si="40"/>
        <v>0.99999999999999989</v>
      </c>
      <c r="S306" s="38">
        <f t="shared" si="42"/>
        <v>5.7999999999999989</v>
      </c>
      <c r="T306" s="38">
        <f t="shared" si="43"/>
        <v>-5.1999999999999993</v>
      </c>
      <c r="U306" s="38">
        <v>0</v>
      </c>
      <c r="V306" s="52">
        <f>(V304*100)/153.6</f>
        <v>8.0229814041640353</v>
      </c>
      <c r="W306">
        <v>2464.1</v>
      </c>
      <c r="Y306">
        <f t="shared" si="45"/>
        <v>208570.29999999981</v>
      </c>
      <c r="Z306" s="41">
        <f t="shared" si="38"/>
        <v>24976.899999999998</v>
      </c>
      <c r="AA306">
        <v>15.856625055392405</v>
      </c>
    </row>
    <row r="307" spans="1:28" x14ac:dyDescent="0.25">
      <c r="A307">
        <v>6440</v>
      </c>
      <c r="B307">
        <v>26330</v>
      </c>
      <c r="C307" s="1">
        <v>42885</v>
      </c>
      <c r="F307" s="54"/>
      <c r="G307">
        <v>17.3</v>
      </c>
      <c r="H307">
        <v>16.5</v>
      </c>
      <c r="I307">
        <v>19.5</v>
      </c>
      <c r="J307">
        <f t="shared" si="44"/>
        <v>2403.6000000000008</v>
      </c>
      <c r="K307">
        <f t="shared" si="39"/>
        <v>238.70000000000002</v>
      </c>
      <c r="L307" s="33" t="s">
        <v>35</v>
      </c>
      <c r="M307">
        <v>0</v>
      </c>
      <c r="N307">
        <v>2.8</v>
      </c>
      <c r="O307" s="37">
        <f t="shared" si="41"/>
        <v>-2.8</v>
      </c>
      <c r="P307">
        <f t="shared" si="37"/>
        <v>57.299999999999969</v>
      </c>
      <c r="Q307">
        <v>266</v>
      </c>
      <c r="R307" s="38">
        <f t="shared" si="40"/>
        <v>0.98749999999999993</v>
      </c>
      <c r="S307" s="38">
        <f t="shared" si="42"/>
        <v>2.7649999999999997</v>
      </c>
      <c r="T307" s="38">
        <f t="shared" si="43"/>
        <v>-2.7649999999999997</v>
      </c>
      <c r="U307" s="38">
        <v>0</v>
      </c>
      <c r="W307">
        <v>1020.2</v>
      </c>
      <c r="Y307">
        <f t="shared" si="45"/>
        <v>209590.49999999983</v>
      </c>
      <c r="Z307" s="41">
        <f t="shared" si="38"/>
        <v>25997.1</v>
      </c>
      <c r="AA307">
        <v>15.889871400005964</v>
      </c>
    </row>
    <row r="308" spans="1:28" x14ac:dyDescent="0.25">
      <c r="A308">
        <v>6440</v>
      </c>
      <c r="B308">
        <v>26330</v>
      </c>
      <c r="C308" s="1">
        <v>42886</v>
      </c>
      <c r="F308" s="54"/>
      <c r="G308">
        <v>17.5</v>
      </c>
      <c r="H308">
        <v>12.1</v>
      </c>
      <c r="I308">
        <v>22.1</v>
      </c>
      <c r="J308">
        <f t="shared" si="44"/>
        <v>2421.1000000000008</v>
      </c>
      <c r="K308">
        <f t="shared" si="39"/>
        <v>256.20000000000005</v>
      </c>
      <c r="L308" s="31">
        <v>0</v>
      </c>
      <c r="M308">
        <v>0</v>
      </c>
      <c r="N308">
        <v>3.5</v>
      </c>
      <c r="O308" s="37">
        <f t="shared" si="41"/>
        <v>-3.5</v>
      </c>
      <c r="P308">
        <f t="shared" ref="P308:P358" si="46">P307+O308</f>
        <v>53.799999999999969</v>
      </c>
      <c r="Q308">
        <v>267</v>
      </c>
      <c r="R308" s="38">
        <f t="shared" si="40"/>
        <v>0.97499999999999987</v>
      </c>
      <c r="S308" s="38">
        <f t="shared" si="42"/>
        <v>3.4124999999999996</v>
      </c>
      <c r="T308" s="38">
        <f t="shared" si="43"/>
        <v>-3.4124999999999996</v>
      </c>
      <c r="U308" s="38">
        <v>0</v>
      </c>
      <c r="W308">
        <v>2040</v>
      </c>
      <c r="Y308">
        <f t="shared" si="45"/>
        <v>211630.49999999983</v>
      </c>
      <c r="Z308" s="41">
        <f t="shared" si="38"/>
        <v>28037.1</v>
      </c>
      <c r="AA308">
        <v>15.921870169856962</v>
      </c>
    </row>
    <row r="309" spans="1:28" x14ac:dyDescent="0.25">
      <c r="A309">
        <v>6440</v>
      </c>
      <c r="B309">
        <v>26330</v>
      </c>
      <c r="C309" s="1">
        <v>42887</v>
      </c>
      <c r="F309" s="54"/>
      <c r="G309">
        <v>20.5</v>
      </c>
      <c r="H309">
        <v>14.1</v>
      </c>
      <c r="I309" s="2">
        <v>25.6</v>
      </c>
      <c r="J309">
        <f t="shared" si="44"/>
        <v>2441.6000000000008</v>
      </c>
      <c r="K309">
        <f t="shared" si="39"/>
        <v>276.70000000000005</v>
      </c>
      <c r="M309">
        <v>0</v>
      </c>
      <c r="N309">
        <v>5.2</v>
      </c>
      <c r="O309" s="37">
        <f t="shared" si="41"/>
        <v>-5.2</v>
      </c>
      <c r="P309">
        <f t="shared" si="46"/>
        <v>48.599999999999966</v>
      </c>
      <c r="Q309">
        <v>268</v>
      </c>
      <c r="R309" s="38">
        <f t="shared" si="40"/>
        <v>0.96249999999999991</v>
      </c>
      <c r="S309" s="38">
        <f t="shared" si="42"/>
        <v>5.0049999999999999</v>
      </c>
      <c r="T309" s="38">
        <f t="shared" si="43"/>
        <v>-5.0049999999999999</v>
      </c>
      <c r="U309" s="38">
        <v>0</v>
      </c>
      <c r="W309">
        <v>2702</v>
      </c>
      <c r="Y309">
        <f t="shared" si="45"/>
        <v>214332.49999999983</v>
      </c>
      <c r="Z309" s="41">
        <f t="shared" si="38"/>
        <v>30739.1</v>
      </c>
      <c r="AA309">
        <v>15.952595514343143</v>
      </c>
    </row>
    <row r="310" spans="1:28" x14ac:dyDescent="0.25">
      <c r="A310">
        <v>6440</v>
      </c>
      <c r="B310">
        <v>26330</v>
      </c>
      <c r="C310" s="1">
        <v>42888</v>
      </c>
      <c r="F310" s="54"/>
      <c r="G310">
        <v>21.7</v>
      </c>
      <c r="H310">
        <v>16.8</v>
      </c>
      <c r="I310" s="2">
        <v>27.4</v>
      </c>
      <c r="J310">
        <f t="shared" si="44"/>
        <v>2463.3000000000006</v>
      </c>
      <c r="K310">
        <f t="shared" si="39"/>
        <v>298.40000000000003</v>
      </c>
      <c r="M310">
        <v>5</v>
      </c>
      <c r="N310">
        <v>5.4</v>
      </c>
      <c r="O310" s="37">
        <f t="shared" si="41"/>
        <v>-0.40000000000000036</v>
      </c>
      <c r="P310">
        <f t="shared" si="46"/>
        <v>48.199999999999967</v>
      </c>
      <c r="Q310">
        <v>269</v>
      </c>
      <c r="R310" s="38">
        <f t="shared" si="40"/>
        <v>0.95</v>
      </c>
      <c r="S310" s="38">
        <f t="shared" si="42"/>
        <v>5.13</v>
      </c>
      <c r="T310" s="38">
        <f t="shared" si="43"/>
        <v>-0.12999999999999989</v>
      </c>
      <c r="U310" s="38">
        <v>0</v>
      </c>
      <c r="W310">
        <v>2629.7</v>
      </c>
      <c r="Y310">
        <f t="shared" si="45"/>
        <v>216962.19999999984</v>
      </c>
      <c r="Z310" s="41">
        <f t="shared" si="38"/>
        <v>33368.799999999996</v>
      </c>
      <c r="AA310">
        <v>15.98202214703338</v>
      </c>
    </row>
    <row r="311" spans="1:28" s="13" customFormat="1" ht="15.75" thickBot="1" x14ac:dyDescent="0.3">
      <c r="A311" s="13">
        <v>6440</v>
      </c>
      <c r="B311" s="13">
        <v>26330</v>
      </c>
      <c r="C311" s="14">
        <v>42889</v>
      </c>
      <c r="F311" s="55"/>
      <c r="G311" s="13">
        <v>17.600000000000001</v>
      </c>
      <c r="H311" s="13">
        <v>16.8</v>
      </c>
      <c r="I311" s="13">
        <v>21.8</v>
      </c>
      <c r="J311" s="13">
        <f t="shared" si="44"/>
        <v>2480.9000000000005</v>
      </c>
      <c r="K311" s="13">
        <f t="shared" si="39"/>
        <v>316.00000000000006</v>
      </c>
      <c r="L311" s="29"/>
      <c r="M311" s="13">
        <v>0</v>
      </c>
      <c r="N311" s="13">
        <v>4.4000000000000004</v>
      </c>
      <c r="O311" s="15">
        <f t="shared" si="41"/>
        <v>-4.4000000000000004</v>
      </c>
      <c r="P311" s="13">
        <f t="shared" si="46"/>
        <v>43.799999999999969</v>
      </c>
      <c r="Q311" s="13">
        <v>270</v>
      </c>
      <c r="R311" s="38">
        <f t="shared" si="40"/>
        <v>0.93749999999999989</v>
      </c>
      <c r="S311" s="47">
        <f t="shared" si="42"/>
        <v>4.125</v>
      </c>
      <c r="T311" s="47">
        <f t="shared" si="43"/>
        <v>-4.125</v>
      </c>
      <c r="U311" s="38">
        <v>0</v>
      </c>
      <c r="W311" s="13">
        <v>2202.1</v>
      </c>
      <c r="Y311" s="13">
        <f t="shared" si="45"/>
        <v>219164.29999999984</v>
      </c>
      <c r="Z311" s="13">
        <f t="shared" si="38"/>
        <v>35570.899999999994</v>
      </c>
      <c r="AA311" s="13">
        <v>16.010125415611348</v>
      </c>
    </row>
    <row r="312" spans="1:28" s="48" customFormat="1" x14ac:dyDescent="0.25">
      <c r="A312" s="48">
        <v>6440</v>
      </c>
      <c r="B312" s="48">
        <v>26330</v>
      </c>
      <c r="C312" s="49">
        <v>42890</v>
      </c>
      <c r="F312" s="56" t="s">
        <v>28</v>
      </c>
      <c r="G312" s="48">
        <v>15.8</v>
      </c>
      <c r="H312" s="48">
        <v>12</v>
      </c>
      <c r="I312" s="48">
        <v>18.7</v>
      </c>
      <c r="J312" s="48">
        <f t="shared" si="44"/>
        <v>2496.7000000000007</v>
      </c>
      <c r="K312">
        <f>G312</f>
        <v>15.8</v>
      </c>
      <c r="L312" s="34" t="s">
        <v>29</v>
      </c>
      <c r="M312" s="48">
        <v>0</v>
      </c>
      <c r="N312" s="48">
        <v>3.4</v>
      </c>
      <c r="O312" s="50">
        <f t="shared" si="41"/>
        <v>-3.4</v>
      </c>
      <c r="P312" s="48">
        <f t="shared" si="46"/>
        <v>40.39999999999997</v>
      </c>
      <c r="Q312" s="48">
        <v>271</v>
      </c>
      <c r="R312" s="38">
        <f t="shared" si="40"/>
        <v>0.92499999999999993</v>
      </c>
      <c r="S312" s="51">
        <f t="shared" si="42"/>
        <v>3.1449999999999996</v>
      </c>
      <c r="T312" s="51">
        <f t="shared" si="43"/>
        <v>-3.1449999999999996</v>
      </c>
      <c r="U312" s="38">
        <v>0</v>
      </c>
      <c r="V312" s="9" t="s">
        <v>51</v>
      </c>
      <c r="W312" s="48">
        <v>1731.1</v>
      </c>
      <c r="Y312" s="48">
        <f t="shared" si="45"/>
        <v>220895.39999999985</v>
      </c>
      <c r="Z312" s="41">
        <f>W312</f>
        <v>1731.1</v>
      </c>
      <c r="AA312" s="48">
        <v>16.036881372210996</v>
      </c>
      <c r="AB312" s="9" t="s">
        <v>56</v>
      </c>
    </row>
    <row r="313" spans="1:28" ht="15" customHeight="1" x14ac:dyDescent="0.25">
      <c r="A313">
        <v>6440</v>
      </c>
      <c r="B313">
        <v>26330</v>
      </c>
      <c r="C313" s="1">
        <v>42891</v>
      </c>
      <c r="F313" s="57"/>
      <c r="G313">
        <v>17.600000000000001</v>
      </c>
      <c r="H313">
        <v>12.2</v>
      </c>
      <c r="I313">
        <v>21.2</v>
      </c>
      <c r="J313">
        <f t="shared" si="44"/>
        <v>2514.3000000000006</v>
      </c>
      <c r="K313">
        <f t="shared" si="39"/>
        <v>33.400000000000006</v>
      </c>
      <c r="L313" s="22">
        <v>416.2</v>
      </c>
      <c r="M313">
        <v>6</v>
      </c>
      <c r="N313">
        <v>4.3</v>
      </c>
      <c r="O313" s="37">
        <f t="shared" si="41"/>
        <v>1.7000000000000002</v>
      </c>
      <c r="P313">
        <f t="shared" si="46"/>
        <v>42.099999999999973</v>
      </c>
      <c r="Q313">
        <v>272</v>
      </c>
      <c r="R313" s="38">
        <f t="shared" si="40"/>
        <v>0.91249999999999987</v>
      </c>
      <c r="S313" s="38">
        <f t="shared" si="42"/>
        <v>3.9237499999999992</v>
      </c>
      <c r="T313" s="38">
        <f t="shared" si="43"/>
        <v>2.0762500000000008</v>
      </c>
      <c r="U313" s="38">
        <f t="shared" ref="U313:U358" si="47">MIN(T313+U312,153.6)</f>
        <v>2.0762500000000008</v>
      </c>
      <c r="V313">
        <v>17</v>
      </c>
      <c r="W313">
        <v>1999</v>
      </c>
      <c r="Y313">
        <f t="shared" si="45"/>
        <v>222894.39999999985</v>
      </c>
      <c r="Z313" s="41">
        <f t="shared" si="38"/>
        <v>3730.1</v>
      </c>
      <c r="AA313">
        <v>16.062266843777515</v>
      </c>
      <c r="AB313">
        <v>43237.5</v>
      </c>
    </row>
    <row r="314" spans="1:28" x14ac:dyDescent="0.25">
      <c r="A314">
        <v>6440</v>
      </c>
      <c r="B314">
        <v>26330</v>
      </c>
      <c r="C314" s="1">
        <v>42892</v>
      </c>
      <c r="F314" s="57"/>
      <c r="G314">
        <v>14.4</v>
      </c>
      <c r="H314">
        <v>12.7</v>
      </c>
      <c r="I314">
        <v>15.5</v>
      </c>
      <c r="J314">
        <f t="shared" si="44"/>
        <v>2528.7000000000007</v>
      </c>
      <c r="K314">
        <f t="shared" si="39"/>
        <v>47.800000000000004</v>
      </c>
      <c r="L314" s="34" t="s">
        <v>30</v>
      </c>
      <c r="M314">
        <v>2.6</v>
      </c>
      <c r="N314">
        <v>2.2999999999999998</v>
      </c>
      <c r="O314" s="37">
        <f t="shared" si="41"/>
        <v>0.30000000000000027</v>
      </c>
      <c r="P314">
        <f t="shared" si="46"/>
        <v>42.39999999999997</v>
      </c>
      <c r="Q314">
        <v>273</v>
      </c>
      <c r="R314" s="38">
        <f t="shared" si="40"/>
        <v>0.89999999999999991</v>
      </c>
      <c r="S314" s="38">
        <f t="shared" si="42"/>
        <v>2.0699999999999998</v>
      </c>
      <c r="T314" s="38">
        <f t="shared" si="43"/>
        <v>0.53000000000000025</v>
      </c>
      <c r="U314" s="38">
        <f t="shared" si="47"/>
        <v>2.6062500000000011</v>
      </c>
      <c r="V314" s="9" t="s">
        <v>52</v>
      </c>
      <c r="W314">
        <v>768.6</v>
      </c>
      <c r="Y314">
        <f t="shared" si="45"/>
        <v>223662.99999999985</v>
      </c>
      <c r="Z314" s="41">
        <f t="shared" si="38"/>
        <v>4498.7</v>
      </c>
      <c r="AA314">
        <v>16.08625950206779</v>
      </c>
      <c r="AB314" s="9" t="s">
        <v>57</v>
      </c>
    </row>
    <row r="315" spans="1:28" x14ac:dyDescent="0.25">
      <c r="A315">
        <v>6440</v>
      </c>
      <c r="B315">
        <v>26330</v>
      </c>
      <c r="C315" s="1">
        <v>42893</v>
      </c>
      <c r="F315" s="57"/>
      <c r="G315">
        <v>15</v>
      </c>
      <c r="H315">
        <v>12.8</v>
      </c>
      <c r="I315">
        <v>17.399999999999999</v>
      </c>
      <c r="J315">
        <f t="shared" si="44"/>
        <v>2543.7000000000007</v>
      </c>
      <c r="K315">
        <f t="shared" si="39"/>
        <v>62.800000000000004</v>
      </c>
      <c r="L315" s="22">
        <f>AVERAGE(G312:G332)</f>
        <v>19.81904761904762</v>
      </c>
      <c r="M315">
        <v>0.8</v>
      </c>
      <c r="N315">
        <v>3.9</v>
      </c>
      <c r="O315" s="37">
        <f t="shared" si="41"/>
        <v>-3.0999999999999996</v>
      </c>
      <c r="P315">
        <f t="shared" si="46"/>
        <v>39.299999999999969</v>
      </c>
      <c r="Q315">
        <v>274</v>
      </c>
      <c r="R315" s="38">
        <f t="shared" si="40"/>
        <v>0.88749999999999996</v>
      </c>
      <c r="S315" s="38">
        <f t="shared" si="42"/>
        <v>3.4612499999999997</v>
      </c>
      <c r="T315" s="38">
        <f t="shared" si="43"/>
        <v>-2.6612499999999999</v>
      </c>
      <c r="U315" s="38">
        <v>0</v>
      </c>
      <c r="V315">
        <v>4</v>
      </c>
      <c r="W315">
        <v>1437.8</v>
      </c>
      <c r="Y315">
        <f t="shared" si="45"/>
        <v>225100.79999999984</v>
      </c>
      <c r="Z315" s="41">
        <f t="shared" si="38"/>
        <v>5936.5</v>
      </c>
      <c r="AA315">
        <v>16.108837932887248</v>
      </c>
      <c r="AB315">
        <f>(AB313/100)/L313</f>
        <v>1.0388635271504085</v>
      </c>
    </row>
    <row r="316" spans="1:28" x14ac:dyDescent="0.25">
      <c r="A316">
        <v>6440</v>
      </c>
      <c r="B316">
        <v>26330</v>
      </c>
      <c r="C316" s="1">
        <v>42894</v>
      </c>
      <c r="F316" s="57"/>
      <c r="G316">
        <v>18.899999999999999</v>
      </c>
      <c r="H316">
        <v>13.1</v>
      </c>
      <c r="I316">
        <v>24.5</v>
      </c>
      <c r="J316">
        <f t="shared" si="44"/>
        <v>2562.6000000000008</v>
      </c>
      <c r="K316">
        <f t="shared" si="39"/>
        <v>81.7</v>
      </c>
      <c r="L316" s="34" t="s">
        <v>31</v>
      </c>
      <c r="M316">
        <v>8.3000000000000007</v>
      </c>
      <c r="N316">
        <v>3.6</v>
      </c>
      <c r="O316" s="37">
        <f t="shared" si="41"/>
        <v>4.7000000000000011</v>
      </c>
      <c r="P316">
        <f t="shared" si="46"/>
        <v>43.999999999999972</v>
      </c>
      <c r="Q316">
        <v>275</v>
      </c>
      <c r="R316" s="38">
        <f t="shared" si="40"/>
        <v>0.875</v>
      </c>
      <c r="S316" s="38">
        <f t="shared" si="42"/>
        <v>3.15</v>
      </c>
      <c r="T316" s="38">
        <f t="shared" si="43"/>
        <v>5.15</v>
      </c>
      <c r="U316" s="38">
        <f t="shared" si="47"/>
        <v>5.15</v>
      </c>
      <c r="V316" s="9" t="s">
        <v>53</v>
      </c>
      <c r="W316">
        <v>1427.2</v>
      </c>
      <c r="Y316">
        <f t="shared" si="45"/>
        <v>226527.99999999985</v>
      </c>
      <c r="Z316" s="41">
        <f t="shared" si="38"/>
        <v>7363.7</v>
      </c>
      <c r="AA316">
        <v>16.129981704146537</v>
      </c>
      <c r="AB316" s="9" t="s">
        <v>58</v>
      </c>
    </row>
    <row r="317" spans="1:28" x14ac:dyDescent="0.25">
      <c r="A317">
        <v>6440</v>
      </c>
      <c r="B317">
        <v>26330</v>
      </c>
      <c r="C317" s="1">
        <v>42895</v>
      </c>
      <c r="F317" s="57"/>
      <c r="G317">
        <v>16.600000000000001</v>
      </c>
      <c r="H317">
        <v>15</v>
      </c>
      <c r="I317">
        <v>19.7</v>
      </c>
      <c r="J317">
        <f t="shared" si="44"/>
        <v>2579.2000000000007</v>
      </c>
      <c r="K317">
        <f t="shared" si="39"/>
        <v>98.300000000000011</v>
      </c>
      <c r="L317" s="25">
        <f>MIN(H312:H332)</f>
        <v>11.2</v>
      </c>
      <c r="M317">
        <v>1</v>
      </c>
      <c r="N317">
        <v>3.7</v>
      </c>
      <c r="O317" s="37">
        <f t="shared" si="41"/>
        <v>-2.7</v>
      </c>
      <c r="P317">
        <f t="shared" si="46"/>
        <v>41.299999999999969</v>
      </c>
      <c r="Q317">
        <v>276</v>
      </c>
      <c r="R317" s="38">
        <f t="shared" si="40"/>
        <v>0.86249999999999993</v>
      </c>
      <c r="S317" s="38">
        <f t="shared" si="42"/>
        <v>3.1912499999999997</v>
      </c>
      <c r="T317" s="38">
        <f t="shared" si="43"/>
        <v>-2.1912499999999997</v>
      </c>
      <c r="U317" s="38">
        <f t="shared" si="47"/>
        <v>2.9587500000000007</v>
      </c>
      <c r="V317">
        <v>0</v>
      </c>
      <c r="W317">
        <v>1422.8</v>
      </c>
      <c r="Y317">
        <f t="shared" si="45"/>
        <v>227950.79999999984</v>
      </c>
      <c r="Z317" s="41">
        <f t="shared" si="38"/>
        <v>8786.5</v>
      </c>
      <c r="AA317">
        <v>16.14967143231156</v>
      </c>
      <c r="AB317">
        <v>2</v>
      </c>
    </row>
    <row r="318" spans="1:28" x14ac:dyDescent="0.25">
      <c r="A318">
        <v>6440</v>
      </c>
      <c r="B318">
        <v>26330</v>
      </c>
      <c r="C318" s="1">
        <v>42896</v>
      </c>
      <c r="F318" s="57"/>
      <c r="G318">
        <v>20.2</v>
      </c>
      <c r="H318">
        <v>11.2</v>
      </c>
      <c r="I318" s="2">
        <v>26</v>
      </c>
      <c r="J318">
        <f t="shared" si="44"/>
        <v>2599.4000000000005</v>
      </c>
      <c r="K318">
        <f t="shared" si="39"/>
        <v>118.50000000000001</v>
      </c>
      <c r="L318" s="34" t="s">
        <v>32</v>
      </c>
      <c r="M318">
        <v>0</v>
      </c>
      <c r="N318">
        <v>4</v>
      </c>
      <c r="O318" s="37">
        <f t="shared" si="41"/>
        <v>-4</v>
      </c>
      <c r="P318">
        <f t="shared" si="46"/>
        <v>37.299999999999969</v>
      </c>
      <c r="Q318">
        <v>277</v>
      </c>
      <c r="R318" s="38">
        <f t="shared" si="40"/>
        <v>0.84999999999999987</v>
      </c>
      <c r="S318" s="38">
        <f t="shared" si="42"/>
        <v>3.3999999999999995</v>
      </c>
      <c r="T318" s="38">
        <f t="shared" si="43"/>
        <v>-3.3999999999999995</v>
      </c>
      <c r="U318" s="38">
        <v>0</v>
      </c>
      <c r="V318" s="9" t="s">
        <v>54</v>
      </c>
      <c r="W318">
        <v>1764.7</v>
      </c>
      <c r="Y318">
        <f t="shared" si="45"/>
        <v>229715.49999999985</v>
      </c>
      <c r="Z318" s="41">
        <f t="shared" ref="Z318:Z332" si="48">Z317+W318</f>
        <v>10551.2</v>
      </c>
      <c r="AA318">
        <v>16.16788884681452</v>
      </c>
    </row>
    <row r="319" spans="1:28" x14ac:dyDescent="0.25">
      <c r="A319">
        <v>6440</v>
      </c>
      <c r="B319">
        <v>26330</v>
      </c>
      <c r="C319" s="1">
        <v>42897</v>
      </c>
      <c r="F319" s="57"/>
      <c r="G319">
        <v>20.8</v>
      </c>
      <c r="H319">
        <v>18.5</v>
      </c>
      <c r="I319" s="2">
        <v>27.6</v>
      </c>
      <c r="J319">
        <f t="shared" si="44"/>
        <v>2620.2000000000007</v>
      </c>
      <c r="K319">
        <f t="shared" si="39"/>
        <v>139.30000000000001</v>
      </c>
      <c r="L319" s="22">
        <f>MAX(I312:I332)</f>
        <v>32.9</v>
      </c>
      <c r="M319">
        <v>0</v>
      </c>
      <c r="N319">
        <v>6.6</v>
      </c>
      <c r="O319" s="37">
        <f t="shared" si="41"/>
        <v>-6.6</v>
      </c>
      <c r="P319">
        <f t="shared" si="46"/>
        <v>30.699999999999967</v>
      </c>
      <c r="Q319">
        <v>278</v>
      </c>
      <c r="R319" s="38">
        <f t="shared" si="40"/>
        <v>0.83749999999999991</v>
      </c>
      <c r="S319" s="38">
        <f t="shared" si="42"/>
        <v>5.527499999999999</v>
      </c>
      <c r="T319" s="38">
        <f t="shared" si="43"/>
        <v>-5.527499999999999</v>
      </c>
      <c r="U319" s="38">
        <v>0</v>
      </c>
      <c r="V319">
        <v>5.09</v>
      </c>
      <c r="W319">
        <v>2727.2</v>
      </c>
      <c r="Y319">
        <f t="shared" si="45"/>
        <v>232442.69999999987</v>
      </c>
      <c r="Z319" s="41">
        <f t="shared" si="48"/>
        <v>13278.400000000001</v>
      </c>
      <c r="AA319">
        <v>16.184616851992473</v>
      </c>
    </row>
    <row r="320" spans="1:28" x14ac:dyDescent="0.25">
      <c r="A320">
        <v>6440</v>
      </c>
      <c r="B320">
        <v>26330</v>
      </c>
      <c r="C320" s="1">
        <v>42898</v>
      </c>
      <c r="F320" s="57"/>
      <c r="G320">
        <v>15.7</v>
      </c>
      <c r="H320">
        <v>13.8</v>
      </c>
      <c r="I320">
        <v>17.899999999999999</v>
      </c>
      <c r="J320">
        <f t="shared" si="44"/>
        <v>2635.9000000000005</v>
      </c>
      <c r="K320">
        <f t="shared" si="39"/>
        <v>155</v>
      </c>
      <c r="L320" s="34" t="s">
        <v>33</v>
      </c>
      <c r="M320">
        <v>0</v>
      </c>
      <c r="N320">
        <v>2.8</v>
      </c>
      <c r="O320" s="37">
        <f t="shared" si="41"/>
        <v>-2.8</v>
      </c>
      <c r="P320">
        <f t="shared" si="46"/>
        <v>27.899999999999967</v>
      </c>
      <c r="Q320">
        <v>279</v>
      </c>
      <c r="R320" s="38">
        <f t="shared" si="40"/>
        <v>0.82499999999999996</v>
      </c>
      <c r="S320" s="38">
        <f t="shared" si="42"/>
        <v>2.3099999999999996</v>
      </c>
      <c r="T320" s="38">
        <f t="shared" si="43"/>
        <v>-2.3099999999999996</v>
      </c>
      <c r="U320" s="38">
        <v>0</v>
      </c>
      <c r="V320" s="9" t="s">
        <v>55</v>
      </c>
      <c r="W320">
        <v>1015.3</v>
      </c>
      <c r="Y320">
        <f t="shared" si="45"/>
        <v>233457.99999999985</v>
      </c>
      <c r="Z320" s="41">
        <f t="shared" si="48"/>
        <v>14293.7</v>
      </c>
      <c r="AA320">
        <v>16.199839586123087</v>
      </c>
    </row>
    <row r="321" spans="1:27" x14ac:dyDescent="0.25">
      <c r="A321">
        <v>6440</v>
      </c>
      <c r="B321">
        <v>26330</v>
      </c>
      <c r="C321" s="1">
        <v>42899</v>
      </c>
      <c r="F321" s="57"/>
      <c r="G321">
        <v>17.399999999999999</v>
      </c>
      <c r="H321">
        <v>11.5</v>
      </c>
      <c r="I321">
        <v>21.4</v>
      </c>
      <c r="J321">
        <f t="shared" si="44"/>
        <v>2653.3000000000006</v>
      </c>
      <c r="K321">
        <f t="shared" si="39"/>
        <v>172.4</v>
      </c>
      <c r="L321" s="22">
        <v>10</v>
      </c>
      <c r="M321">
        <v>0</v>
      </c>
      <c r="N321">
        <v>2.7</v>
      </c>
      <c r="O321" s="37">
        <f t="shared" si="41"/>
        <v>-2.7</v>
      </c>
      <c r="P321">
        <f t="shared" si="46"/>
        <v>25.199999999999967</v>
      </c>
      <c r="Q321">
        <v>280</v>
      </c>
      <c r="R321" s="38">
        <f t="shared" si="40"/>
        <v>0.8125</v>
      </c>
      <c r="S321" s="38">
        <f t="shared" si="42"/>
        <v>2.1937500000000001</v>
      </c>
      <c r="T321" s="38">
        <f t="shared" si="43"/>
        <v>-2.1937500000000001</v>
      </c>
      <c r="U321" s="38">
        <v>0</v>
      </c>
      <c r="V321" s="38">
        <f>AVERAGE(U312:U332)</f>
        <v>0.60910714285714307</v>
      </c>
      <c r="W321">
        <v>1602.4</v>
      </c>
      <c r="Y321">
        <f t="shared" si="45"/>
        <v>235060.39999999985</v>
      </c>
      <c r="Z321" s="41">
        <f t="shared" si="48"/>
        <v>15896.1</v>
      </c>
      <c r="AA321">
        <v>16.21354247713565</v>
      </c>
    </row>
    <row r="322" spans="1:27" x14ac:dyDescent="0.25">
      <c r="A322">
        <v>6440</v>
      </c>
      <c r="B322">
        <v>26330</v>
      </c>
      <c r="C322" s="1">
        <v>42900</v>
      </c>
      <c r="F322" s="57"/>
      <c r="G322">
        <v>21.3</v>
      </c>
      <c r="H322">
        <v>15.3</v>
      </c>
      <c r="I322" s="2">
        <v>26.6</v>
      </c>
      <c r="J322">
        <f t="shared" si="44"/>
        <v>2674.6000000000008</v>
      </c>
      <c r="K322">
        <f t="shared" si="39"/>
        <v>193.70000000000002</v>
      </c>
      <c r="L322" s="34" t="s">
        <v>34</v>
      </c>
      <c r="M322">
        <v>0</v>
      </c>
      <c r="N322">
        <v>6.9</v>
      </c>
      <c r="O322" s="37">
        <f t="shared" si="41"/>
        <v>-6.9</v>
      </c>
      <c r="P322">
        <f t="shared" si="46"/>
        <v>18.299999999999969</v>
      </c>
      <c r="Q322">
        <v>281</v>
      </c>
      <c r="R322" s="38">
        <f t="shared" si="40"/>
        <v>0.79999999999999993</v>
      </c>
      <c r="S322" s="38">
        <f t="shared" si="42"/>
        <v>5.52</v>
      </c>
      <c r="T322" s="38">
        <f t="shared" si="43"/>
        <v>-5.52</v>
      </c>
      <c r="U322" s="38">
        <v>0</v>
      </c>
      <c r="W322">
        <v>3297.9</v>
      </c>
      <c r="Y322">
        <f t="shared" si="45"/>
        <v>238358.29999999984</v>
      </c>
      <c r="Z322" s="41">
        <f t="shared" si="48"/>
        <v>19194</v>
      </c>
      <c r="AA322">
        <v>16.225712294588824</v>
      </c>
    </row>
    <row r="323" spans="1:27" x14ac:dyDescent="0.25">
      <c r="A323">
        <v>6440</v>
      </c>
      <c r="B323">
        <v>26330</v>
      </c>
      <c r="C323" s="1">
        <v>42901</v>
      </c>
      <c r="F323" s="57"/>
      <c r="G323">
        <v>21.1</v>
      </c>
      <c r="H323">
        <v>18.899999999999999</v>
      </c>
      <c r="I323" s="2">
        <v>27</v>
      </c>
      <c r="J323">
        <f t="shared" si="44"/>
        <v>2695.7000000000007</v>
      </c>
      <c r="K323">
        <f t="shared" si="39"/>
        <v>214.8</v>
      </c>
      <c r="L323" s="22">
        <v>0</v>
      </c>
      <c r="M323">
        <v>0</v>
      </c>
      <c r="N323">
        <v>6.8</v>
      </c>
      <c r="O323" s="37">
        <f t="shared" si="41"/>
        <v>-6.8</v>
      </c>
      <c r="P323">
        <f t="shared" si="46"/>
        <v>11.499999999999968</v>
      </c>
      <c r="Q323">
        <v>282</v>
      </c>
      <c r="R323" s="38">
        <f t="shared" si="40"/>
        <v>0.78749999999999987</v>
      </c>
      <c r="S323" s="38">
        <f t="shared" si="42"/>
        <v>5.3549999999999986</v>
      </c>
      <c r="T323" s="38">
        <f t="shared" si="43"/>
        <v>-5.3549999999999986</v>
      </c>
      <c r="U323" s="38">
        <v>0</v>
      </c>
      <c r="V323" s="52">
        <f>(V321*100)/153.6</f>
        <v>0.39655412946428586</v>
      </c>
      <c r="W323">
        <v>2610.8000000000002</v>
      </c>
      <c r="Y323">
        <f t="shared" si="45"/>
        <v>240969.09999999983</v>
      </c>
      <c r="Z323" s="41">
        <f t="shared" si="48"/>
        <v>21804.799999999999</v>
      </c>
      <c r="AA323">
        <v>16.236337197524762</v>
      </c>
    </row>
    <row r="324" spans="1:27" x14ac:dyDescent="0.25">
      <c r="A324">
        <v>6440</v>
      </c>
      <c r="B324">
        <v>26330</v>
      </c>
      <c r="C324" s="1">
        <v>42902</v>
      </c>
      <c r="F324" s="57"/>
      <c r="G324">
        <v>17.899999999999999</v>
      </c>
      <c r="H324">
        <v>14.7</v>
      </c>
      <c r="I324">
        <v>20.9</v>
      </c>
      <c r="J324">
        <f t="shared" si="44"/>
        <v>2713.6000000000008</v>
      </c>
      <c r="K324">
        <f t="shared" si="39"/>
        <v>232.70000000000002</v>
      </c>
      <c r="L324" s="34" t="s">
        <v>35</v>
      </c>
      <c r="M324">
        <v>0</v>
      </c>
      <c r="N324">
        <v>4.8</v>
      </c>
      <c r="O324" s="37">
        <f t="shared" si="41"/>
        <v>-4.8</v>
      </c>
      <c r="P324">
        <f t="shared" si="46"/>
        <v>6.6999999999999682</v>
      </c>
      <c r="Q324">
        <v>283</v>
      </c>
      <c r="R324" s="38">
        <f t="shared" si="40"/>
        <v>0.77499999999999991</v>
      </c>
      <c r="S324" s="38">
        <f t="shared" si="42"/>
        <v>3.7199999999999993</v>
      </c>
      <c r="T324" s="38">
        <f t="shared" si="43"/>
        <v>-3.7199999999999993</v>
      </c>
      <c r="U324" s="38">
        <v>0</v>
      </c>
      <c r="W324">
        <v>2388.1999999999998</v>
      </c>
      <c r="Y324">
        <f t="shared" si="45"/>
        <v>243357.29999999984</v>
      </c>
      <c r="Z324" s="41">
        <f t="shared" si="48"/>
        <v>24193</v>
      </c>
      <c r="AA324">
        <v>16.245406777832816</v>
      </c>
    </row>
    <row r="325" spans="1:27" x14ac:dyDescent="0.25">
      <c r="A325">
        <v>6440</v>
      </c>
      <c r="B325">
        <v>26330</v>
      </c>
      <c r="C325" s="1">
        <v>42903</v>
      </c>
      <c r="F325" s="57"/>
      <c r="G325">
        <v>21.2</v>
      </c>
      <c r="H325">
        <v>16</v>
      </c>
      <c r="I325" s="2">
        <v>25.7</v>
      </c>
      <c r="J325">
        <f t="shared" si="44"/>
        <v>2734.8000000000006</v>
      </c>
      <c r="K325">
        <f t="shared" si="39"/>
        <v>253.9</v>
      </c>
      <c r="L325" s="31">
        <v>0</v>
      </c>
      <c r="M325">
        <v>0</v>
      </c>
      <c r="N325">
        <v>3.8</v>
      </c>
      <c r="O325" s="37">
        <f t="shared" si="41"/>
        <v>-3.8</v>
      </c>
      <c r="P325">
        <f t="shared" si="46"/>
        <v>2.8999999999999684</v>
      </c>
      <c r="Q325">
        <v>284</v>
      </c>
      <c r="R325" s="38">
        <f t="shared" si="40"/>
        <v>0.76249999999999996</v>
      </c>
      <c r="S325" s="38">
        <f t="shared" si="42"/>
        <v>2.8974999999999995</v>
      </c>
      <c r="T325" s="38">
        <f t="shared" si="43"/>
        <v>-2.8974999999999995</v>
      </c>
      <c r="U325" s="38">
        <v>0</v>
      </c>
      <c r="W325">
        <v>1577.1</v>
      </c>
      <c r="Y325">
        <f t="shared" si="45"/>
        <v>244934.39999999985</v>
      </c>
      <c r="Z325" s="41">
        <f t="shared" si="48"/>
        <v>25770.1</v>
      </c>
      <c r="AA325">
        <v>16.252912098784268</v>
      </c>
    </row>
    <row r="326" spans="1:27" x14ac:dyDescent="0.25">
      <c r="A326">
        <v>6440</v>
      </c>
      <c r="B326">
        <v>26330</v>
      </c>
      <c r="C326" s="1">
        <v>42904</v>
      </c>
      <c r="F326" s="57"/>
      <c r="G326">
        <v>23.3</v>
      </c>
      <c r="H326">
        <v>17.899999999999999</v>
      </c>
      <c r="I326" s="2">
        <v>27.8</v>
      </c>
      <c r="J326">
        <f t="shared" si="44"/>
        <v>2758.1000000000008</v>
      </c>
      <c r="K326">
        <f t="shared" si="39"/>
        <v>277.2</v>
      </c>
      <c r="M326">
        <v>0</v>
      </c>
      <c r="N326">
        <v>5.7</v>
      </c>
      <c r="O326" s="37">
        <f t="shared" si="41"/>
        <v>-5.7</v>
      </c>
      <c r="P326">
        <f t="shared" si="46"/>
        <v>-2.8000000000000318</v>
      </c>
      <c r="Q326">
        <v>285</v>
      </c>
      <c r="R326" s="38">
        <f t="shared" si="40"/>
        <v>0.75</v>
      </c>
      <c r="S326" s="38">
        <f t="shared" si="42"/>
        <v>4.2750000000000004</v>
      </c>
      <c r="T326" s="38">
        <f t="shared" si="43"/>
        <v>-4.2750000000000004</v>
      </c>
      <c r="U326" s="38">
        <v>0</v>
      </c>
      <c r="W326">
        <v>2514.4</v>
      </c>
      <c r="Y326">
        <f t="shared" si="45"/>
        <v>247448.79999999984</v>
      </c>
      <c r="Z326" s="41">
        <f t="shared" si="48"/>
        <v>28284.5</v>
      </c>
      <c r="AA326">
        <v>16.258845728432195</v>
      </c>
    </row>
    <row r="327" spans="1:27" x14ac:dyDescent="0.25">
      <c r="A327">
        <v>6440</v>
      </c>
      <c r="B327">
        <v>26330</v>
      </c>
      <c r="C327" s="1">
        <v>42905</v>
      </c>
      <c r="F327" s="57"/>
      <c r="G327">
        <v>25.6</v>
      </c>
      <c r="H327">
        <v>20.2</v>
      </c>
      <c r="I327" s="2">
        <v>30.2</v>
      </c>
      <c r="J327">
        <f t="shared" si="44"/>
        <v>2783.7000000000007</v>
      </c>
      <c r="K327">
        <f t="shared" si="39"/>
        <v>302.8</v>
      </c>
      <c r="L327" s="31"/>
      <c r="M327">
        <v>0</v>
      </c>
      <c r="N327">
        <v>7.4</v>
      </c>
      <c r="O327" s="37">
        <f t="shared" si="41"/>
        <v>-7.4</v>
      </c>
      <c r="P327">
        <f t="shared" si="46"/>
        <v>-10.200000000000031</v>
      </c>
      <c r="Q327">
        <v>286</v>
      </c>
      <c r="R327" s="38">
        <f t="shared" si="40"/>
        <v>0.73749999999999993</v>
      </c>
      <c r="S327" s="38">
        <f t="shared" si="42"/>
        <v>5.4574999999999996</v>
      </c>
      <c r="T327" s="38">
        <f t="shared" si="43"/>
        <v>-5.4574999999999996</v>
      </c>
      <c r="U327" s="38">
        <v>0</v>
      </c>
      <c r="W327">
        <v>3288.1</v>
      </c>
      <c r="Y327">
        <f t="shared" si="45"/>
        <v>250736.89999999985</v>
      </c>
      <c r="Z327" s="41">
        <f t="shared" si="48"/>
        <v>31572.6</v>
      </c>
      <c r="AA327">
        <v>16.263201767607853</v>
      </c>
    </row>
    <row r="328" spans="1:27" x14ac:dyDescent="0.25">
      <c r="A328">
        <v>6440</v>
      </c>
      <c r="B328">
        <v>26330</v>
      </c>
      <c r="C328" s="1">
        <v>42906</v>
      </c>
      <c r="F328" s="57"/>
      <c r="G328">
        <v>26</v>
      </c>
      <c r="H328">
        <v>21.4</v>
      </c>
      <c r="I328" s="2">
        <v>30.7</v>
      </c>
      <c r="J328">
        <f t="shared" si="44"/>
        <v>2809.7000000000007</v>
      </c>
      <c r="K328">
        <f t="shared" si="39"/>
        <v>328.8</v>
      </c>
      <c r="L328" s="31"/>
      <c r="M328">
        <v>0</v>
      </c>
      <c r="N328">
        <v>7.8</v>
      </c>
      <c r="O328" s="37">
        <f t="shared" si="41"/>
        <v>-7.8</v>
      </c>
      <c r="P328">
        <f t="shared" si="46"/>
        <v>-18.000000000000032</v>
      </c>
      <c r="Q328">
        <v>287</v>
      </c>
      <c r="R328" s="38">
        <f t="shared" si="40"/>
        <v>0.72499999999999987</v>
      </c>
      <c r="S328" s="38">
        <f t="shared" si="42"/>
        <v>5.6549999999999985</v>
      </c>
      <c r="T328" s="38">
        <f t="shared" si="43"/>
        <v>-5.6549999999999985</v>
      </c>
      <c r="U328" s="38">
        <v>0</v>
      </c>
      <c r="W328">
        <v>3293.8</v>
      </c>
      <c r="Y328">
        <f t="shared" si="45"/>
        <v>254030.69999999984</v>
      </c>
      <c r="Z328" s="41">
        <f t="shared" si="48"/>
        <v>34866.400000000001</v>
      </c>
      <c r="AA328">
        <v>16.265975872285665</v>
      </c>
    </row>
    <row r="329" spans="1:27" x14ac:dyDescent="0.25">
      <c r="A329">
        <v>6440</v>
      </c>
      <c r="B329">
        <v>26330</v>
      </c>
      <c r="C329" s="1">
        <v>42907</v>
      </c>
      <c r="F329" s="57"/>
      <c r="G329">
        <v>27.3</v>
      </c>
      <c r="H329">
        <v>21.6</v>
      </c>
      <c r="I329" s="2">
        <v>32.9</v>
      </c>
      <c r="J329">
        <f t="shared" si="44"/>
        <v>2837.0000000000009</v>
      </c>
      <c r="K329">
        <f t="shared" si="39"/>
        <v>356.1</v>
      </c>
      <c r="L329" s="31"/>
      <c r="M329">
        <v>0</v>
      </c>
      <c r="N329">
        <v>8</v>
      </c>
      <c r="O329" s="37">
        <f t="shared" si="41"/>
        <v>-8</v>
      </c>
      <c r="P329">
        <f t="shared" si="46"/>
        <v>-26.000000000000032</v>
      </c>
      <c r="Q329">
        <v>288</v>
      </c>
      <c r="R329" s="38">
        <f t="shared" si="40"/>
        <v>0.71249999999999991</v>
      </c>
      <c r="S329" s="38">
        <f t="shared" si="42"/>
        <v>5.6999999999999993</v>
      </c>
      <c r="T329" s="38">
        <f t="shared" si="43"/>
        <v>-5.6999999999999993</v>
      </c>
      <c r="U329" s="38">
        <v>0</v>
      </c>
      <c r="W329">
        <v>3285.9</v>
      </c>
      <c r="Y329">
        <f t="shared" si="45"/>
        <v>257316.59999999983</v>
      </c>
      <c r="Z329" s="41">
        <f t="shared" si="48"/>
        <v>38152.300000000003</v>
      </c>
      <c r="AA329">
        <v>16.267165270133145</v>
      </c>
    </row>
    <row r="330" spans="1:27" x14ac:dyDescent="0.25">
      <c r="A330">
        <v>6440</v>
      </c>
      <c r="B330">
        <v>26330</v>
      </c>
      <c r="C330" s="1">
        <v>42908</v>
      </c>
      <c r="F330" s="57"/>
      <c r="G330">
        <v>23.6</v>
      </c>
      <c r="H330">
        <v>21.1</v>
      </c>
      <c r="I330" s="2">
        <v>29.5</v>
      </c>
      <c r="J330">
        <f t="shared" si="44"/>
        <v>2860.6000000000008</v>
      </c>
      <c r="K330">
        <f t="shared" ref="K330:K358" si="49">K329+G330</f>
        <v>379.70000000000005</v>
      </c>
      <c r="L330" s="31"/>
      <c r="M330">
        <v>0</v>
      </c>
      <c r="N330">
        <v>6.5</v>
      </c>
      <c r="O330" s="37">
        <f t="shared" si="41"/>
        <v>-6.5</v>
      </c>
      <c r="P330">
        <f t="shared" si="46"/>
        <v>-32.500000000000028</v>
      </c>
      <c r="Q330">
        <v>289</v>
      </c>
      <c r="R330" s="38">
        <f t="shared" si="40"/>
        <v>0.7</v>
      </c>
      <c r="S330" s="38">
        <f t="shared" si="42"/>
        <v>4.55</v>
      </c>
      <c r="T330" s="38">
        <f t="shared" si="43"/>
        <v>-4.55</v>
      </c>
      <c r="U330" s="38">
        <v>0</v>
      </c>
      <c r="W330">
        <v>2324.3000000000002</v>
      </c>
      <c r="Y330">
        <f t="shared" si="45"/>
        <v>259640.89999999982</v>
      </c>
      <c r="Z330" s="41">
        <f t="shared" si="48"/>
        <v>40476.600000000006</v>
      </c>
      <c r="AA330">
        <v>16.266768771108786</v>
      </c>
    </row>
    <row r="331" spans="1:27" x14ac:dyDescent="0.25">
      <c r="A331">
        <v>6440</v>
      </c>
      <c r="B331">
        <v>26330</v>
      </c>
      <c r="C331" s="1">
        <v>42909</v>
      </c>
      <c r="F331" s="57"/>
      <c r="G331">
        <v>18.600000000000001</v>
      </c>
      <c r="H331">
        <v>16.2</v>
      </c>
      <c r="I331">
        <v>22</v>
      </c>
      <c r="J331">
        <f t="shared" si="44"/>
        <v>2879.2000000000007</v>
      </c>
      <c r="K331">
        <f t="shared" si="49"/>
        <v>398.30000000000007</v>
      </c>
      <c r="L331" s="31"/>
      <c r="M331">
        <v>0</v>
      </c>
      <c r="N331">
        <v>4.7</v>
      </c>
      <c r="O331" s="37">
        <f t="shared" si="41"/>
        <v>-4.7</v>
      </c>
      <c r="P331" s="41">
        <f t="shared" si="46"/>
        <v>-37.200000000000031</v>
      </c>
      <c r="Q331" s="41">
        <v>290</v>
      </c>
      <c r="R331" s="38">
        <f t="shared" si="40"/>
        <v>0.6875</v>
      </c>
      <c r="S331" s="42">
        <f t="shared" si="42"/>
        <v>3.2312500000000002</v>
      </c>
      <c r="T331" s="42">
        <f t="shared" si="43"/>
        <v>-3.2312500000000002</v>
      </c>
      <c r="U331" s="38">
        <v>0</v>
      </c>
      <c r="V331" s="41"/>
      <c r="W331" s="41">
        <v>2121.3000000000002</v>
      </c>
      <c r="X331" s="41"/>
      <c r="Y331" s="41">
        <f t="shared" si="45"/>
        <v>261762.19999999981</v>
      </c>
      <c r="Z331" s="41">
        <f t="shared" si="48"/>
        <v>42597.900000000009</v>
      </c>
      <c r="AA331">
        <v>16.26478677201985</v>
      </c>
    </row>
    <row r="332" spans="1:27" s="13" customFormat="1" ht="15.75" thickBot="1" x14ac:dyDescent="0.3">
      <c r="A332" s="13">
        <v>6440</v>
      </c>
      <c r="B332" s="13">
        <v>26330</v>
      </c>
      <c r="C332" s="14">
        <v>42910</v>
      </c>
      <c r="F332" s="73"/>
      <c r="G332" s="13">
        <v>17.899999999999999</v>
      </c>
      <c r="H332" s="13">
        <v>15</v>
      </c>
      <c r="I332" s="13">
        <v>19.3</v>
      </c>
      <c r="J332" s="13">
        <f t="shared" si="44"/>
        <v>2897.1000000000008</v>
      </c>
      <c r="K332" s="13">
        <f t="shared" si="49"/>
        <v>416.20000000000005</v>
      </c>
      <c r="L332" s="15"/>
      <c r="M332" s="13">
        <v>0.1</v>
      </c>
      <c r="N332" s="13">
        <v>2</v>
      </c>
      <c r="O332" s="15">
        <f t="shared" si="41"/>
        <v>-1.9</v>
      </c>
      <c r="P332" s="13">
        <f t="shared" si="46"/>
        <v>-39.10000000000003</v>
      </c>
      <c r="Q332" s="13">
        <v>291</v>
      </c>
      <c r="R332" s="38">
        <f t="shared" si="40"/>
        <v>0.67499999999999993</v>
      </c>
      <c r="S332" s="47">
        <f t="shared" si="42"/>
        <v>1.3499999999999999</v>
      </c>
      <c r="T332" s="47">
        <f t="shared" si="43"/>
        <v>-1.2499999999999998</v>
      </c>
      <c r="U332" s="38">
        <v>0</v>
      </c>
      <c r="W332" s="13">
        <v>639.6</v>
      </c>
      <c r="Y332" s="13">
        <f t="shared" si="45"/>
        <v>262401.79999999981</v>
      </c>
      <c r="Z332" s="13">
        <f t="shared" si="48"/>
        <v>43237.500000000007</v>
      </c>
      <c r="AA332" s="13">
        <v>16.261221255002045</v>
      </c>
    </row>
    <row r="333" spans="1:27" x14ac:dyDescent="0.25">
      <c r="A333">
        <v>6440</v>
      </c>
      <c r="B333">
        <v>26330</v>
      </c>
      <c r="C333" s="1">
        <v>42911</v>
      </c>
      <c r="D333" s="3"/>
      <c r="E333" s="3"/>
      <c r="F333" s="3"/>
      <c r="G333">
        <v>18.600000000000001</v>
      </c>
      <c r="H333">
        <v>16.600000000000001</v>
      </c>
      <c r="I333">
        <v>21.8</v>
      </c>
      <c r="J333">
        <f t="shared" si="44"/>
        <v>2915.7000000000007</v>
      </c>
      <c r="K333">
        <f t="shared" si="49"/>
        <v>434.80000000000007</v>
      </c>
      <c r="L333" s="31"/>
      <c r="M333">
        <v>0</v>
      </c>
      <c r="N333">
        <v>3.4</v>
      </c>
      <c r="O333" s="37">
        <f t="shared" si="41"/>
        <v>-3.4</v>
      </c>
      <c r="P333">
        <f t="shared" si="46"/>
        <v>-42.500000000000028</v>
      </c>
      <c r="Q333">
        <v>292</v>
      </c>
      <c r="R333" s="38">
        <f t="shared" si="40"/>
        <v>0.66249999999999998</v>
      </c>
      <c r="S333" s="38">
        <f t="shared" si="42"/>
        <v>2.2524999999999999</v>
      </c>
      <c r="T333" s="38">
        <f t="shared" si="43"/>
        <v>-2.2524999999999999</v>
      </c>
      <c r="U333" s="38">
        <f t="shared" si="47"/>
        <v>-2.2524999999999999</v>
      </c>
      <c r="W333">
        <v>975.3</v>
      </c>
      <c r="Y333">
        <f t="shared" si="45"/>
        <v>263377.0999999998</v>
      </c>
      <c r="AA333">
        <v>16.256075779933791</v>
      </c>
    </row>
    <row r="334" spans="1:27" x14ac:dyDescent="0.25">
      <c r="A334">
        <v>6440</v>
      </c>
      <c r="B334">
        <v>26330</v>
      </c>
      <c r="C334" s="1">
        <v>42912</v>
      </c>
      <c r="G334">
        <v>19.899999999999999</v>
      </c>
      <c r="H334">
        <v>16.2</v>
      </c>
      <c r="I334">
        <v>23.9</v>
      </c>
      <c r="J334">
        <f t="shared" si="44"/>
        <v>2935.6000000000008</v>
      </c>
      <c r="K334">
        <f t="shared" si="49"/>
        <v>454.70000000000005</v>
      </c>
      <c r="L334" s="31"/>
      <c r="M334">
        <v>0</v>
      </c>
      <c r="N334">
        <v>3.4</v>
      </c>
      <c r="O334" s="37">
        <f t="shared" si="41"/>
        <v>-3.4</v>
      </c>
      <c r="P334">
        <f t="shared" si="46"/>
        <v>-45.900000000000027</v>
      </c>
      <c r="Q334">
        <v>293</v>
      </c>
      <c r="R334" s="38">
        <f t="shared" si="40"/>
        <v>0.64999999999999991</v>
      </c>
      <c r="S334" s="38">
        <f t="shared" si="42"/>
        <v>2.2099999999999995</v>
      </c>
      <c r="T334" s="38">
        <f t="shared" si="43"/>
        <v>-2.2099999999999995</v>
      </c>
      <c r="U334" s="38">
        <f t="shared" si="47"/>
        <v>-4.4624999999999995</v>
      </c>
      <c r="W334">
        <v>1455.8</v>
      </c>
      <c r="Y334">
        <f t="shared" si="45"/>
        <v>264832.89999999979</v>
      </c>
      <c r="AA334">
        <v>16.249355470848194</v>
      </c>
    </row>
    <row r="335" spans="1:27" x14ac:dyDescent="0.25">
      <c r="A335">
        <v>6440</v>
      </c>
      <c r="B335">
        <v>26330</v>
      </c>
      <c r="C335" s="1">
        <v>42913</v>
      </c>
      <c r="G335">
        <v>19.7</v>
      </c>
      <c r="H335">
        <v>15.5</v>
      </c>
      <c r="I335">
        <v>24.1</v>
      </c>
      <c r="J335">
        <f t="shared" si="44"/>
        <v>2955.3000000000006</v>
      </c>
      <c r="K335">
        <f t="shared" si="49"/>
        <v>474.40000000000003</v>
      </c>
      <c r="L335" s="31"/>
      <c r="M335">
        <v>2.1</v>
      </c>
      <c r="N335">
        <v>2.8</v>
      </c>
      <c r="O335" s="37">
        <f t="shared" si="41"/>
        <v>-0.69999999999999973</v>
      </c>
      <c r="P335">
        <f t="shared" si="46"/>
        <v>-46.60000000000003</v>
      </c>
      <c r="Q335">
        <v>294</v>
      </c>
      <c r="R335" s="38">
        <f t="shared" si="40"/>
        <v>0.63749999999999996</v>
      </c>
      <c r="S335" s="38">
        <f t="shared" si="42"/>
        <v>1.7849999999999997</v>
      </c>
      <c r="T335" s="38">
        <f t="shared" si="43"/>
        <v>0.31500000000000039</v>
      </c>
      <c r="U335" s="38">
        <f t="shared" si="47"/>
        <v>-4.1474999999999991</v>
      </c>
      <c r="W335">
        <v>1173.2</v>
      </c>
      <c r="Y335">
        <f t="shared" si="45"/>
        <v>266006.0999999998</v>
      </c>
      <c r="AA335">
        <v>16.241066996455508</v>
      </c>
    </row>
    <row r="336" spans="1:27" x14ac:dyDescent="0.25">
      <c r="A336">
        <v>6440</v>
      </c>
      <c r="B336">
        <v>26330</v>
      </c>
      <c r="C336" s="1">
        <v>42914</v>
      </c>
      <c r="G336">
        <v>19</v>
      </c>
      <c r="H336">
        <v>17.2</v>
      </c>
      <c r="I336">
        <v>22.3</v>
      </c>
      <c r="J336">
        <f t="shared" si="44"/>
        <v>2974.3000000000006</v>
      </c>
      <c r="K336">
        <f t="shared" si="49"/>
        <v>493.40000000000003</v>
      </c>
      <c r="L336" s="31"/>
      <c r="M336">
        <v>1.1000000000000001</v>
      </c>
      <c r="N336">
        <v>1.7</v>
      </c>
      <c r="O336" s="37">
        <f t="shared" si="41"/>
        <v>-0.59999999999999987</v>
      </c>
      <c r="P336">
        <f t="shared" si="46"/>
        <v>-47.200000000000031</v>
      </c>
      <c r="Q336">
        <v>295</v>
      </c>
      <c r="R336" s="38">
        <f t="shared" si="40"/>
        <v>0.625</v>
      </c>
      <c r="S336" s="38">
        <f t="shared" si="42"/>
        <v>1.0625</v>
      </c>
      <c r="T336" s="38">
        <f t="shared" si="43"/>
        <v>3.7500000000000089E-2</v>
      </c>
      <c r="U336" s="38">
        <f t="shared" si="47"/>
        <v>-4.1099999999999994</v>
      </c>
      <c r="W336">
        <v>653.6</v>
      </c>
      <c r="Y336">
        <f t="shared" si="45"/>
        <v>266659.69999999978</v>
      </c>
      <c r="AA336">
        <v>16.231218544936663</v>
      </c>
    </row>
    <row r="337" spans="1:27" x14ac:dyDescent="0.25">
      <c r="A337">
        <v>6440</v>
      </c>
      <c r="B337">
        <v>26330</v>
      </c>
      <c r="C337" s="1">
        <v>42915</v>
      </c>
      <c r="G337">
        <v>18</v>
      </c>
      <c r="H337">
        <v>15.7</v>
      </c>
      <c r="I337">
        <v>21.8</v>
      </c>
      <c r="J337">
        <f t="shared" si="44"/>
        <v>2992.3000000000006</v>
      </c>
      <c r="K337">
        <f t="shared" si="49"/>
        <v>511.40000000000003</v>
      </c>
      <c r="L337" s="31"/>
      <c r="M337">
        <v>0.1</v>
      </c>
      <c r="N337">
        <v>2.8</v>
      </c>
      <c r="O337" s="37">
        <f t="shared" si="41"/>
        <v>-2.6999999999999997</v>
      </c>
      <c r="P337">
        <f t="shared" si="46"/>
        <v>-49.900000000000034</v>
      </c>
      <c r="Q337">
        <v>296</v>
      </c>
      <c r="R337" s="38">
        <f t="shared" si="40"/>
        <v>0.61249999999999993</v>
      </c>
      <c r="S337" s="38">
        <f t="shared" si="42"/>
        <v>1.7149999999999996</v>
      </c>
      <c r="T337" s="38">
        <f t="shared" si="43"/>
        <v>-1.6149999999999995</v>
      </c>
      <c r="U337" s="38">
        <f t="shared" si="47"/>
        <v>-5.7249999999999988</v>
      </c>
      <c r="W337">
        <v>1251.9000000000001</v>
      </c>
      <c r="Y337">
        <f t="shared" si="45"/>
        <v>267911.5999999998</v>
      </c>
      <c r="AA337">
        <v>16.219819793214004</v>
      </c>
    </row>
    <row r="338" spans="1:27" x14ac:dyDescent="0.25">
      <c r="A338">
        <v>6440</v>
      </c>
      <c r="B338">
        <v>26330</v>
      </c>
      <c r="C338" s="1">
        <v>42916</v>
      </c>
      <c r="G338">
        <v>18.399999999999999</v>
      </c>
      <c r="H338">
        <v>15.5</v>
      </c>
      <c r="I338">
        <v>22.5</v>
      </c>
      <c r="J338">
        <f t="shared" si="44"/>
        <v>3010.7000000000007</v>
      </c>
      <c r="K338">
        <f t="shared" si="49"/>
        <v>529.80000000000007</v>
      </c>
      <c r="L338" s="31"/>
      <c r="M338">
        <v>12.1</v>
      </c>
      <c r="N338">
        <v>4.2</v>
      </c>
      <c r="O338" s="37">
        <f t="shared" si="41"/>
        <v>7.8999999999999995</v>
      </c>
      <c r="P338">
        <f t="shared" si="46"/>
        <v>-42.000000000000036</v>
      </c>
      <c r="Q338">
        <v>297</v>
      </c>
      <c r="R338" s="38">
        <f t="shared" si="40"/>
        <v>0.6</v>
      </c>
      <c r="S338" s="38">
        <f t="shared" si="42"/>
        <v>2.52</v>
      </c>
      <c r="T338" s="38">
        <f t="shared" si="43"/>
        <v>9.58</v>
      </c>
      <c r="U338" s="38">
        <f t="shared" si="47"/>
        <v>3.8550000000000013</v>
      </c>
      <c r="W338">
        <v>2095.1</v>
      </c>
      <c r="Y338">
        <f t="shared" si="45"/>
        <v>270006.69999999978</v>
      </c>
      <c r="AA338">
        <v>16.206881870947992</v>
      </c>
    </row>
    <row r="339" spans="1:27" x14ac:dyDescent="0.25">
      <c r="A339">
        <v>6440</v>
      </c>
      <c r="B339">
        <v>26330</v>
      </c>
      <c r="C339" s="1">
        <v>42917</v>
      </c>
      <c r="G339">
        <v>17.3</v>
      </c>
      <c r="H339">
        <v>13.8</v>
      </c>
      <c r="I339">
        <v>20.9</v>
      </c>
      <c r="J339">
        <f t="shared" si="44"/>
        <v>3028.0000000000009</v>
      </c>
      <c r="K339">
        <f t="shared" si="49"/>
        <v>547.1</v>
      </c>
      <c r="L339" s="31"/>
      <c r="M339">
        <v>4.3</v>
      </c>
      <c r="N339">
        <v>2.6</v>
      </c>
      <c r="O339" s="37">
        <f t="shared" si="41"/>
        <v>1.6999999999999997</v>
      </c>
      <c r="P339">
        <f t="shared" si="46"/>
        <v>-40.300000000000033</v>
      </c>
      <c r="Q339">
        <v>298</v>
      </c>
      <c r="R339" s="38">
        <f t="shared" si="40"/>
        <v>0.58749999999999991</v>
      </c>
      <c r="S339" s="38">
        <f t="shared" si="42"/>
        <v>1.5274999999999999</v>
      </c>
      <c r="T339" s="38">
        <f t="shared" si="43"/>
        <v>2.7725</v>
      </c>
      <c r="U339" s="38">
        <f t="shared" si="47"/>
        <v>6.6275000000000013</v>
      </c>
      <c r="W339">
        <v>1011.2</v>
      </c>
      <c r="Y339">
        <f t="shared" si="45"/>
        <v>271017.89999999979</v>
      </c>
      <c r="AA339">
        <v>16.192417319547648</v>
      </c>
    </row>
    <row r="340" spans="1:27" x14ac:dyDescent="0.25">
      <c r="A340">
        <v>6440</v>
      </c>
      <c r="B340">
        <v>26330</v>
      </c>
      <c r="C340" s="1">
        <v>42918</v>
      </c>
      <c r="G340">
        <v>17.2</v>
      </c>
      <c r="H340">
        <v>15.3</v>
      </c>
      <c r="I340">
        <v>20.399999999999999</v>
      </c>
      <c r="J340">
        <f t="shared" si="44"/>
        <v>3045.2000000000007</v>
      </c>
      <c r="K340">
        <f t="shared" si="49"/>
        <v>564.30000000000007</v>
      </c>
      <c r="L340" s="31"/>
      <c r="M340">
        <v>0.4</v>
      </c>
      <c r="N340">
        <v>2.4</v>
      </c>
      <c r="O340" s="37">
        <f t="shared" si="41"/>
        <v>-2</v>
      </c>
      <c r="P340">
        <f t="shared" si="46"/>
        <v>-42.300000000000033</v>
      </c>
      <c r="Q340">
        <v>299</v>
      </c>
      <c r="R340" s="38">
        <f t="shared" si="40"/>
        <v>0.57499999999999996</v>
      </c>
      <c r="S340" s="38">
        <f t="shared" si="42"/>
        <v>1.38</v>
      </c>
      <c r="T340" s="38">
        <f t="shared" si="43"/>
        <v>-0.97999999999999987</v>
      </c>
      <c r="U340" s="38">
        <f t="shared" si="47"/>
        <v>5.6475000000000017</v>
      </c>
      <c r="W340">
        <v>1196.8</v>
      </c>
      <c r="Y340">
        <f t="shared" si="45"/>
        <v>272214.69999999978</v>
      </c>
      <c r="AA340">
        <v>16.176440046517364</v>
      </c>
    </row>
    <row r="341" spans="1:27" x14ac:dyDescent="0.25">
      <c r="A341">
        <v>6440</v>
      </c>
      <c r="B341">
        <v>26330</v>
      </c>
      <c r="C341" s="1">
        <v>42919</v>
      </c>
      <c r="G341">
        <v>17.5</v>
      </c>
      <c r="H341">
        <v>12.3</v>
      </c>
      <c r="I341">
        <v>21.1</v>
      </c>
      <c r="J341">
        <f t="shared" si="44"/>
        <v>3062.7000000000007</v>
      </c>
      <c r="K341">
        <f t="shared" si="49"/>
        <v>581.80000000000007</v>
      </c>
      <c r="L341" s="31"/>
      <c r="M341">
        <v>0</v>
      </c>
      <c r="N341">
        <v>3.1</v>
      </c>
      <c r="O341" s="37">
        <f t="shared" si="41"/>
        <v>-3.1</v>
      </c>
      <c r="P341">
        <f t="shared" si="46"/>
        <v>-45.400000000000034</v>
      </c>
      <c r="Q341">
        <v>300</v>
      </c>
      <c r="R341" s="38">
        <f t="shared" si="40"/>
        <v>0.5625</v>
      </c>
      <c r="S341" s="38">
        <f t="shared" si="42"/>
        <v>1.7437500000000001</v>
      </c>
      <c r="T341" s="38">
        <f t="shared" si="43"/>
        <v>-1.7437500000000001</v>
      </c>
      <c r="U341" s="38">
        <f t="shared" si="47"/>
        <v>3.9037500000000014</v>
      </c>
      <c r="W341">
        <v>1835.8</v>
      </c>
      <c r="Y341">
        <f t="shared" si="45"/>
        <v>274050.49999999977</v>
      </c>
      <c r="AA341">
        <v>16.158965275493603</v>
      </c>
    </row>
    <row r="342" spans="1:27" x14ac:dyDescent="0.25">
      <c r="A342">
        <v>6440</v>
      </c>
      <c r="B342">
        <v>26330</v>
      </c>
      <c r="C342" s="1">
        <v>42920</v>
      </c>
      <c r="G342">
        <v>20</v>
      </c>
      <c r="H342">
        <v>15.4</v>
      </c>
      <c r="I342">
        <v>24.5</v>
      </c>
      <c r="J342">
        <f t="shared" si="44"/>
        <v>3082.7000000000007</v>
      </c>
      <c r="K342">
        <f t="shared" si="49"/>
        <v>601.80000000000007</v>
      </c>
      <c r="L342" s="31"/>
      <c r="M342">
        <v>0</v>
      </c>
      <c r="N342">
        <v>3.5</v>
      </c>
      <c r="O342" s="37">
        <f t="shared" si="41"/>
        <v>-3.5</v>
      </c>
      <c r="P342">
        <f t="shared" si="46"/>
        <v>-48.900000000000034</v>
      </c>
      <c r="Q342">
        <v>301</v>
      </c>
      <c r="R342" s="38">
        <f t="shared" si="40"/>
        <v>0.54999999999999993</v>
      </c>
      <c r="S342" s="38">
        <f t="shared" si="42"/>
        <v>1.9249999999999998</v>
      </c>
      <c r="T342" s="38">
        <f t="shared" si="43"/>
        <v>-1.9249999999999998</v>
      </c>
      <c r="U342" s="38">
        <f t="shared" si="47"/>
        <v>1.9787500000000016</v>
      </c>
      <c r="W342">
        <v>1778.4</v>
      </c>
      <c r="Y342">
        <f t="shared" si="45"/>
        <v>275828.89999999979</v>
      </c>
      <c r="AA342">
        <v>16.140009492350437</v>
      </c>
    </row>
    <row r="343" spans="1:27" x14ac:dyDescent="0.25">
      <c r="A343">
        <v>6440</v>
      </c>
      <c r="B343">
        <v>26330</v>
      </c>
      <c r="C343" s="1">
        <v>42921</v>
      </c>
      <c r="G343">
        <v>21.8</v>
      </c>
      <c r="H343">
        <v>15.7</v>
      </c>
      <c r="I343">
        <v>27.2</v>
      </c>
      <c r="J343">
        <f t="shared" si="44"/>
        <v>3104.5000000000009</v>
      </c>
      <c r="K343">
        <f t="shared" si="49"/>
        <v>623.6</v>
      </c>
      <c r="L343" s="31"/>
      <c r="M343">
        <v>0</v>
      </c>
      <c r="N343">
        <v>6.4</v>
      </c>
      <c r="O343" s="37">
        <f t="shared" si="41"/>
        <v>-6.4</v>
      </c>
      <c r="P343">
        <f t="shared" si="46"/>
        <v>-55.300000000000033</v>
      </c>
      <c r="Q343">
        <v>302</v>
      </c>
      <c r="R343" s="38">
        <f t="shared" si="40"/>
        <v>0.53749999999999998</v>
      </c>
      <c r="S343" s="38">
        <f t="shared" si="42"/>
        <v>3.44</v>
      </c>
      <c r="T343" s="38">
        <f t="shared" si="43"/>
        <v>-3.44</v>
      </c>
      <c r="U343" s="38">
        <f t="shared" si="47"/>
        <v>-1.4612499999999984</v>
      </c>
      <c r="W343">
        <v>3143.1</v>
      </c>
      <c r="Y343">
        <f t="shared" si="45"/>
        <v>278971.99999999977</v>
      </c>
      <c r="AA343">
        <v>16.119590387774142</v>
      </c>
    </row>
    <row r="344" spans="1:27" x14ac:dyDescent="0.25">
      <c r="A344">
        <v>6440</v>
      </c>
      <c r="B344">
        <v>26330</v>
      </c>
      <c r="C344" s="1">
        <v>42922</v>
      </c>
      <c r="G344">
        <v>22.6</v>
      </c>
      <c r="H344">
        <v>17.8</v>
      </c>
      <c r="I344">
        <v>26.8</v>
      </c>
      <c r="J344">
        <f t="shared" si="44"/>
        <v>3127.1000000000008</v>
      </c>
      <c r="K344">
        <f t="shared" si="49"/>
        <v>646.20000000000005</v>
      </c>
      <c r="L344" s="31"/>
      <c r="M344">
        <v>4</v>
      </c>
      <c r="N344">
        <v>4.4000000000000004</v>
      </c>
      <c r="O344" s="37">
        <f t="shared" si="41"/>
        <v>-0.40000000000000036</v>
      </c>
      <c r="P344">
        <f t="shared" si="46"/>
        <v>-55.700000000000031</v>
      </c>
      <c r="Q344">
        <v>303</v>
      </c>
      <c r="R344" s="38">
        <f t="shared" si="40"/>
        <v>0.52499999999999991</v>
      </c>
      <c r="S344" s="38">
        <f t="shared" si="42"/>
        <v>2.3099999999999996</v>
      </c>
      <c r="T344" s="38">
        <f t="shared" si="43"/>
        <v>1.6900000000000004</v>
      </c>
      <c r="U344" s="38">
        <f t="shared" si="47"/>
        <v>0.22875000000000201</v>
      </c>
      <c r="W344">
        <v>2200</v>
      </c>
      <c r="Y344">
        <f t="shared" si="45"/>
        <v>281171.99999999977</v>
      </c>
      <c r="AA344">
        <v>16.097726796722657</v>
      </c>
    </row>
    <row r="345" spans="1:27" x14ac:dyDescent="0.25">
      <c r="A345">
        <v>6440</v>
      </c>
      <c r="B345">
        <v>26330</v>
      </c>
      <c r="C345" s="1">
        <v>42923</v>
      </c>
      <c r="G345">
        <v>23.6</v>
      </c>
      <c r="H345">
        <v>20</v>
      </c>
      <c r="I345">
        <v>28.8</v>
      </c>
      <c r="J345">
        <f t="shared" si="44"/>
        <v>3150.7000000000007</v>
      </c>
      <c r="K345">
        <f t="shared" si="49"/>
        <v>669.80000000000007</v>
      </c>
      <c r="L345" s="31"/>
      <c r="M345">
        <v>0</v>
      </c>
      <c r="N345">
        <v>7.7</v>
      </c>
      <c r="O345" s="37">
        <f t="shared" si="41"/>
        <v>-7.7</v>
      </c>
      <c r="P345">
        <f t="shared" si="46"/>
        <v>-63.400000000000034</v>
      </c>
      <c r="Q345">
        <v>304</v>
      </c>
      <c r="R345" s="38">
        <f t="shared" si="40"/>
        <v>0.51249999999999996</v>
      </c>
      <c r="S345" s="38">
        <f t="shared" si="42"/>
        <v>3.9462499999999996</v>
      </c>
      <c r="T345" s="38">
        <f t="shared" si="43"/>
        <v>-3.9462499999999996</v>
      </c>
      <c r="U345" s="38">
        <f t="shared" si="47"/>
        <v>-3.7174999999999976</v>
      </c>
      <c r="W345">
        <v>3010.8</v>
      </c>
      <c r="Y345">
        <f t="shared" si="45"/>
        <v>284182.79999999976</v>
      </c>
      <c r="AA345">
        <v>16.074438635196692</v>
      </c>
    </row>
    <row r="346" spans="1:27" x14ac:dyDescent="0.25">
      <c r="A346">
        <v>6440</v>
      </c>
      <c r="B346">
        <v>26330</v>
      </c>
      <c r="C346" s="1">
        <v>42924</v>
      </c>
      <c r="G346">
        <v>20.8</v>
      </c>
      <c r="H346">
        <v>17.3</v>
      </c>
      <c r="I346">
        <v>24.9</v>
      </c>
      <c r="J346">
        <f t="shared" si="44"/>
        <v>3171.5000000000009</v>
      </c>
      <c r="K346">
        <f t="shared" si="49"/>
        <v>690.6</v>
      </c>
      <c r="L346" s="31"/>
      <c r="M346">
        <v>0</v>
      </c>
      <c r="N346">
        <v>4.7</v>
      </c>
      <c r="O346" s="37">
        <f t="shared" si="41"/>
        <v>-4.7</v>
      </c>
      <c r="P346">
        <f t="shared" si="46"/>
        <v>-68.100000000000037</v>
      </c>
      <c r="Q346">
        <v>305</v>
      </c>
      <c r="R346" s="38">
        <f t="shared" si="40"/>
        <v>0.5</v>
      </c>
      <c r="S346" s="38">
        <f t="shared" si="42"/>
        <v>2.35</v>
      </c>
      <c r="T346" s="38">
        <f t="shared" si="43"/>
        <v>-2.35</v>
      </c>
      <c r="U346" s="38">
        <f t="shared" si="47"/>
        <v>-6.0674999999999972</v>
      </c>
      <c r="W346">
        <v>2229.6</v>
      </c>
      <c r="Y346">
        <f t="shared" si="45"/>
        <v>286412.39999999973</v>
      </c>
      <c r="AA346">
        <v>16.04974683475497</v>
      </c>
    </row>
    <row r="347" spans="1:27" x14ac:dyDescent="0.25">
      <c r="A347">
        <v>6440</v>
      </c>
      <c r="B347">
        <v>26330</v>
      </c>
      <c r="C347" s="1">
        <v>42925</v>
      </c>
      <c r="G347">
        <v>21.5</v>
      </c>
      <c r="H347">
        <v>16.8</v>
      </c>
      <c r="I347">
        <v>25.7</v>
      </c>
      <c r="J347">
        <f t="shared" si="44"/>
        <v>3193.0000000000009</v>
      </c>
      <c r="K347">
        <f t="shared" si="49"/>
        <v>712.1</v>
      </c>
      <c r="L347" s="31"/>
      <c r="M347">
        <v>0</v>
      </c>
      <c r="N347">
        <v>5.8</v>
      </c>
      <c r="O347" s="37">
        <f t="shared" si="41"/>
        <v>-5.8</v>
      </c>
      <c r="P347">
        <f t="shared" si="46"/>
        <v>-73.900000000000034</v>
      </c>
      <c r="Q347">
        <v>306</v>
      </c>
      <c r="R347" s="38">
        <f t="shared" si="40"/>
        <v>0.48749999999999993</v>
      </c>
      <c r="S347" s="38">
        <f t="shared" si="42"/>
        <v>2.8274999999999997</v>
      </c>
      <c r="T347" s="38">
        <f t="shared" si="43"/>
        <v>-2.8274999999999997</v>
      </c>
      <c r="U347" s="38">
        <f t="shared" si="47"/>
        <v>-8.894999999999996</v>
      </c>
      <c r="W347">
        <v>2633.6</v>
      </c>
      <c r="Y347">
        <f t="shared" si="45"/>
        <v>289045.99999999971</v>
      </c>
      <c r="AA347">
        <v>16.023673275207074</v>
      </c>
    </row>
    <row r="348" spans="1:27" x14ac:dyDescent="0.25">
      <c r="A348">
        <v>6440</v>
      </c>
      <c r="B348">
        <v>26330</v>
      </c>
      <c r="C348" s="1">
        <v>42926</v>
      </c>
      <c r="G348">
        <v>18.7</v>
      </c>
      <c r="H348">
        <v>17.7</v>
      </c>
      <c r="I348">
        <v>21.1</v>
      </c>
      <c r="J348">
        <f t="shared" si="44"/>
        <v>3211.7000000000007</v>
      </c>
      <c r="K348">
        <f t="shared" si="49"/>
        <v>730.80000000000007</v>
      </c>
      <c r="L348" s="31"/>
      <c r="M348">
        <v>4.5</v>
      </c>
      <c r="N348">
        <v>3</v>
      </c>
      <c r="O348" s="37">
        <f t="shared" si="41"/>
        <v>1.5</v>
      </c>
      <c r="P348">
        <f t="shared" si="46"/>
        <v>-72.400000000000034</v>
      </c>
      <c r="Q348">
        <v>307</v>
      </c>
      <c r="R348" s="38">
        <f t="shared" si="40"/>
        <v>0.47499999999999998</v>
      </c>
      <c r="S348" s="38">
        <f t="shared" si="42"/>
        <v>1.4249999999999998</v>
      </c>
      <c r="T348" s="38">
        <f t="shared" si="43"/>
        <v>3.0750000000000002</v>
      </c>
      <c r="U348" s="38">
        <f t="shared" si="47"/>
        <v>-5.8199999999999958</v>
      </c>
      <c r="W348">
        <v>1414.5</v>
      </c>
      <c r="Y348">
        <f t="shared" si="45"/>
        <v>290460.49999999971</v>
      </c>
      <c r="AA348">
        <v>15.99624071591392</v>
      </c>
    </row>
    <row r="349" spans="1:27" x14ac:dyDescent="0.25">
      <c r="A349">
        <v>6440</v>
      </c>
      <c r="B349">
        <v>26330</v>
      </c>
      <c r="C349" s="1">
        <v>42927</v>
      </c>
      <c r="G349">
        <v>17.399999999999999</v>
      </c>
      <c r="H349">
        <v>15.3</v>
      </c>
      <c r="I349">
        <v>20.2</v>
      </c>
      <c r="J349">
        <f t="shared" si="44"/>
        <v>3229.1000000000008</v>
      </c>
      <c r="K349">
        <f t="shared" si="49"/>
        <v>748.2</v>
      </c>
      <c r="L349" s="31"/>
      <c r="M349">
        <v>5</v>
      </c>
      <c r="N349">
        <v>2.2999999999999998</v>
      </c>
      <c r="O349" s="37">
        <f t="shared" si="41"/>
        <v>2.7</v>
      </c>
      <c r="P349">
        <f t="shared" si="46"/>
        <v>-69.700000000000031</v>
      </c>
      <c r="Q349">
        <v>308</v>
      </c>
      <c r="R349" s="38">
        <f t="shared" si="40"/>
        <v>0.46250000000000002</v>
      </c>
      <c r="S349" s="38">
        <f t="shared" si="42"/>
        <v>1.06375</v>
      </c>
      <c r="T349" s="38">
        <f t="shared" si="43"/>
        <v>3.9362500000000002</v>
      </c>
      <c r="U349" s="38">
        <f t="shared" si="47"/>
        <v>-1.8837499999999956</v>
      </c>
      <c r="W349">
        <v>1128.2</v>
      </c>
      <c r="Y349">
        <f t="shared" si="45"/>
        <v>291588.69999999972</v>
      </c>
      <c r="AA349">
        <v>15.967472726117792</v>
      </c>
    </row>
    <row r="350" spans="1:27" x14ac:dyDescent="0.25">
      <c r="A350">
        <v>6440</v>
      </c>
      <c r="B350">
        <v>26330</v>
      </c>
      <c r="C350" s="1">
        <v>42928</v>
      </c>
      <c r="G350">
        <v>16.8</v>
      </c>
      <c r="H350">
        <v>14.9</v>
      </c>
      <c r="I350">
        <v>18.8</v>
      </c>
      <c r="J350">
        <f t="shared" si="44"/>
        <v>3245.900000000001</v>
      </c>
      <c r="K350">
        <f t="shared" si="49"/>
        <v>765</v>
      </c>
      <c r="L350" s="31"/>
      <c r="M350">
        <v>1</v>
      </c>
      <c r="N350">
        <v>2.2999999999999998</v>
      </c>
      <c r="O350" s="37">
        <f t="shared" si="41"/>
        <v>-1.2999999999999998</v>
      </c>
      <c r="P350">
        <f t="shared" si="46"/>
        <v>-71.000000000000028</v>
      </c>
      <c r="Q350">
        <v>309</v>
      </c>
      <c r="R350" s="38">
        <f t="shared" si="40"/>
        <v>0.44999999999999996</v>
      </c>
      <c r="S350" s="38">
        <f t="shared" si="42"/>
        <v>1.0349999999999999</v>
      </c>
      <c r="T350" s="38">
        <f t="shared" si="43"/>
        <v>-3.499999999999992E-2</v>
      </c>
      <c r="U350" s="38">
        <f t="shared" si="47"/>
        <v>-1.9187499999999955</v>
      </c>
      <c r="W350">
        <v>993.8</v>
      </c>
      <c r="Y350">
        <f t="shared" si="45"/>
        <v>292582.49999999971</v>
      </c>
      <c r="AA350">
        <v>15.937393614712239</v>
      </c>
    </row>
    <row r="351" spans="1:27" x14ac:dyDescent="0.25">
      <c r="A351">
        <v>6440</v>
      </c>
      <c r="B351">
        <v>26330</v>
      </c>
      <c r="C351" s="1">
        <v>42929</v>
      </c>
      <c r="G351">
        <v>17.3</v>
      </c>
      <c r="H351">
        <v>11.5</v>
      </c>
      <c r="I351">
        <v>21.9</v>
      </c>
      <c r="J351">
        <f t="shared" si="44"/>
        <v>3263.2000000000012</v>
      </c>
      <c r="K351">
        <f t="shared" si="49"/>
        <v>782.3</v>
      </c>
      <c r="L351" s="31"/>
      <c r="M351">
        <v>0</v>
      </c>
      <c r="N351">
        <v>4.9000000000000004</v>
      </c>
      <c r="O351" s="37">
        <f t="shared" si="41"/>
        <v>-4.9000000000000004</v>
      </c>
      <c r="P351">
        <f t="shared" si="46"/>
        <v>-75.900000000000034</v>
      </c>
      <c r="Q351">
        <v>310</v>
      </c>
      <c r="R351" s="38">
        <f t="shared" si="40"/>
        <v>0.4375</v>
      </c>
      <c r="S351" s="38">
        <f t="shared" si="42"/>
        <v>2.1437500000000003</v>
      </c>
      <c r="T351" s="38">
        <f t="shared" si="43"/>
        <v>-2.1437500000000003</v>
      </c>
      <c r="U351" s="38">
        <f t="shared" si="47"/>
        <v>-4.0624999999999956</v>
      </c>
      <c r="W351">
        <v>2828.7</v>
      </c>
      <c r="Y351">
        <f t="shared" si="45"/>
        <v>295411.19999999972</v>
      </c>
      <c r="AA351">
        <v>15.906028359846756</v>
      </c>
    </row>
    <row r="352" spans="1:27" x14ac:dyDescent="0.25">
      <c r="A352">
        <v>6440</v>
      </c>
      <c r="B352">
        <v>26330</v>
      </c>
      <c r="C352" s="1">
        <v>42930</v>
      </c>
      <c r="G352">
        <v>17.3</v>
      </c>
      <c r="H352">
        <v>14.4</v>
      </c>
      <c r="I352">
        <v>22.7</v>
      </c>
      <c r="J352">
        <f t="shared" si="44"/>
        <v>3280.5000000000014</v>
      </c>
      <c r="K352">
        <f t="shared" si="49"/>
        <v>799.59999999999991</v>
      </c>
      <c r="L352" s="31"/>
      <c r="M352">
        <v>0.9</v>
      </c>
      <c r="N352">
        <v>4.2</v>
      </c>
      <c r="O352" s="37">
        <f t="shared" si="41"/>
        <v>-3.3000000000000003</v>
      </c>
      <c r="P352">
        <f t="shared" si="46"/>
        <v>-79.200000000000031</v>
      </c>
      <c r="Q352">
        <v>311</v>
      </c>
      <c r="R352" s="38">
        <f t="shared" si="40"/>
        <v>0.42499999999999993</v>
      </c>
      <c r="S352" s="38">
        <f t="shared" si="42"/>
        <v>1.7849999999999997</v>
      </c>
      <c r="T352" s="38">
        <f t="shared" si="43"/>
        <v>-0.88499999999999968</v>
      </c>
      <c r="U352" s="38">
        <f t="shared" si="47"/>
        <v>-4.9474999999999953</v>
      </c>
      <c r="W352">
        <v>1936.2</v>
      </c>
      <c r="Y352">
        <f t="shared" si="45"/>
        <v>297347.39999999973</v>
      </c>
      <c r="AA352">
        <v>15.873402538742795</v>
      </c>
    </row>
    <row r="353" spans="1:27" x14ac:dyDescent="0.25">
      <c r="A353">
        <v>6440</v>
      </c>
      <c r="B353">
        <v>26330</v>
      </c>
      <c r="C353" s="1">
        <v>42931</v>
      </c>
      <c r="G353">
        <v>18.100000000000001</v>
      </c>
      <c r="H353">
        <v>11.9</v>
      </c>
      <c r="I353">
        <v>22.5</v>
      </c>
      <c r="J353">
        <f t="shared" si="44"/>
        <v>3298.6000000000013</v>
      </c>
      <c r="K353">
        <f t="shared" si="49"/>
        <v>817.69999999999993</v>
      </c>
      <c r="L353" s="31"/>
      <c r="M353">
        <v>0</v>
      </c>
      <c r="N353">
        <v>1.8</v>
      </c>
      <c r="O353" s="37">
        <f t="shared" si="41"/>
        <v>-1.8</v>
      </c>
      <c r="P353">
        <f t="shared" si="46"/>
        <v>-81.000000000000028</v>
      </c>
      <c r="Q353">
        <v>312</v>
      </c>
      <c r="R353" s="38">
        <f t="shared" si="40"/>
        <v>0.41249999999999998</v>
      </c>
      <c r="S353" s="38">
        <f t="shared" si="42"/>
        <v>0.74249999999999994</v>
      </c>
      <c r="T353" s="38">
        <f t="shared" si="43"/>
        <v>-0.74249999999999994</v>
      </c>
      <c r="U353" s="38">
        <f t="shared" si="47"/>
        <v>-5.6899999999999951</v>
      </c>
      <c r="W353">
        <v>617.20000000000005</v>
      </c>
      <c r="Y353">
        <f t="shared" si="45"/>
        <v>297964.59999999974</v>
      </c>
      <c r="AA353">
        <v>15.839542258076499</v>
      </c>
    </row>
    <row r="354" spans="1:27" x14ac:dyDescent="0.25">
      <c r="A354">
        <v>6440</v>
      </c>
      <c r="B354">
        <v>26330</v>
      </c>
      <c r="C354" s="1">
        <v>42932</v>
      </c>
      <c r="G354">
        <v>20</v>
      </c>
      <c r="H354">
        <v>17.5</v>
      </c>
      <c r="I354">
        <v>22.9</v>
      </c>
      <c r="J354">
        <f t="shared" si="44"/>
        <v>3318.6000000000013</v>
      </c>
      <c r="K354">
        <f t="shared" si="49"/>
        <v>837.69999999999993</v>
      </c>
      <c r="L354" s="31"/>
      <c r="M354">
        <v>0</v>
      </c>
      <c r="N354">
        <v>2.2999999999999998</v>
      </c>
      <c r="O354" s="37">
        <f t="shared" si="41"/>
        <v>-2.2999999999999998</v>
      </c>
      <c r="P354">
        <f t="shared" si="46"/>
        <v>-83.300000000000026</v>
      </c>
      <c r="Q354">
        <v>313</v>
      </c>
      <c r="R354" s="38">
        <f t="shared" si="40"/>
        <v>0.4</v>
      </c>
      <c r="S354" s="38">
        <f t="shared" si="42"/>
        <v>0.91999999999999993</v>
      </c>
      <c r="T354" s="38">
        <f t="shared" si="43"/>
        <v>-0.91999999999999993</v>
      </c>
      <c r="U354" s="38">
        <f t="shared" si="47"/>
        <v>-6.609999999999995</v>
      </c>
      <c r="W354">
        <v>1042.7</v>
      </c>
      <c r="Y354">
        <f t="shared" si="45"/>
        <v>299007.29999999976</v>
      </c>
      <c r="AA354">
        <v>15.804474085260464</v>
      </c>
    </row>
    <row r="355" spans="1:27" x14ac:dyDescent="0.25">
      <c r="A355">
        <v>6440</v>
      </c>
      <c r="B355">
        <v>26330</v>
      </c>
      <c r="C355" s="1">
        <v>42933</v>
      </c>
      <c r="G355">
        <v>19.899999999999999</v>
      </c>
      <c r="H355">
        <v>15.5</v>
      </c>
      <c r="I355">
        <v>24.3</v>
      </c>
      <c r="J355">
        <f t="shared" si="44"/>
        <v>3338.5000000000014</v>
      </c>
      <c r="K355">
        <f t="shared" si="49"/>
        <v>857.59999999999991</v>
      </c>
      <c r="L355" s="31"/>
      <c r="M355">
        <v>0</v>
      </c>
      <c r="N355">
        <v>2.1</v>
      </c>
      <c r="O355" s="37">
        <f t="shared" si="41"/>
        <v>-2.1</v>
      </c>
      <c r="P355">
        <f t="shared" si="46"/>
        <v>-85.40000000000002</v>
      </c>
      <c r="Q355">
        <v>314</v>
      </c>
      <c r="R355" s="38">
        <f t="shared" si="40"/>
        <v>0.38749999999999996</v>
      </c>
      <c r="S355" s="38">
        <f t="shared" si="42"/>
        <v>0.81374999999999997</v>
      </c>
      <c r="T355" s="38">
        <f t="shared" si="43"/>
        <v>-0.81374999999999997</v>
      </c>
      <c r="U355" s="38">
        <f t="shared" si="47"/>
        <v>-7.4237499999999947</v>
      </c>
      <c r="W355">
        <v>1087.0999999999999</v>
      </c>
      <c r="Y355">
        <f t="shared" si="45"/>
        <v>300094.39999999973</v>
      </c>
      <c r="AA355">
        <v>15.768224980931866</v>
      </c>
    </row>
    <row r="356" spans="1:27" x14ac:dyDescent="0.25">
      <c r="A356">
        <v>6440</v>
      </c>
      <c r="B356">
        <v>26330</v>
      </c>
      <c r="C356" s="1">
        <v>42934</v>
      </c>
      <c r="G356">
        <v>24</v>
      </c>
      <c r="H356">
        <v>17.3</v>
      </c>
      <c r="I356">
        <v>28.8</v>
      </c>
      <c r="J356">
        <f t="shared" si="44"/>
        <v>3362.5000000000014</v>
      </c>
      <c r="K356">
        <f t="shared" si="49"/>
        <v>881.59999999999991</v>
      </c>
      <c r="L356" s="31"/>
      <c r="M356">
        <v>0</v>
      </c>
      <c r="N356">
        <v>6</v>
      </c>
      <c r="O356" s="37">
        <f t="shared" si="41"/>
        <v>-6</v>
      </c>
      <c r="P356">
        <f t="shared" si="46"/>
        <v>-91.40000000000002</v>
      </c>
      <c r="Q356">
        <v>315</v>
      </c>
      <c r="R356" s="38">
        <f t="shared" si="40"/>
        <v>0.375</v>
      </c>
      <c r="S356" s="38">
        <f t="shared" si="42"/>
        <v>2.25</v>
      </c>
      <c r="T356" s="38">
        <f t="shared" si="43"/>
        <v>-2.25</v>
      </c>
      <c r="U356" s="38">
        <f t="shared" si="47"/>
        <v>-9.6737499999999947</v>
      </c>
      <c r="W356">
        <v>2291.4</v>
      </c>
      <c r="Y356">
        <f t="shared" si="45"/>
        <v>302385.79999999976</v>
      </c>
      <c r="AA356">
        <v>15.730822232927936</v>
      </c>
    </row>
    <row r="357" spans="1:27" x14ac:dyDescent="0.25">
      <c r="A357">
        <v>6440</v>
      </c>
      <c r="B357">
        <v>26330</v>
      </c>
      <c r="C357" s="1">
        <v>42935</v>
      </c>
      <c r="G357">
        <v>25</v>
      </c>
      <c r="H357">
        <v>22.8</v>
      </c>
      <c r="I357">
        <v>29.3</v>
      </c>
      <c r="J357">
        <f t="shared" si="44"/>
        <v>3387.5000000000014</v>
      </c>
      <c r="K357">
        <f t="shared" si="49"/>
        <v>906.59999999999991</v>
      </c>
      <c r="L357" s="31"/>
      <c r="M357">
        <v>0.7</v>
      </c>
      <c r="N357">
        <v>5.9</v>
      </c>
      <c r="O357" s="37">
        <f t="shared" si="41"/>
        <v>-5.2</v>
      </c>
      <c r="P357">
        <f t="shared" si="46"/>
        <v>-96.600000000000023</v>
      </c>
      <c r="Q357">
        <v>316</v>
      </c>
      <c r="R357" s="38">
        <f t="shared" si="40"/>
        <v>0.36249999999999993</v>
      </c>
      <c r="S357" s="38">
        <f t="shared" si="42"/>
        <v>2.1387499999999999</v>
      </c>
      <c r="T357" s="38">
        <f t="shared" si="43"/>
        <v>-1.43875</v>
      </c>
      <c r="U357" s="38">
        <f t="shared" si="47"/>
        <v>-11.112499999999995</v>
      </c>
      <c r="W357">
        <v>2006.9</v>
      </c>
      <c r="Y357">
        <f t="shared" si="45"/>
        <v>304392.69999999978</v>
      </c>
      <c r="AA357">
        <v>15.692293392002897</v>
      </c>
    </row>
    <row r="358" spans="1:27" s="17" customFormat="1" ht="15.75" thickBot="1" x14ac:dyDescent="0.3">
      <c r="A358" s="17">
        <v>6440</v>
      </c>
      <c r="B358" s="17">
        <v>26330</v>
      </c>
      <c r="C358" s="18">
        <v>42936</v>
      </c>
      <c r="G358" s="17">
        <v>19.399999999999999</v>
      </c>
      <c r="H358" s="17">
        <v>19.2</v>
      </c>
      <c r="I358" s="17">
        <v>22.7</v>
      </c>
      <c r="J358" s="17">
        <f t="shared" si="44"/>
        <v>3406.9000000000015</v>
      </c>
      <c r="K358">
        <f t="shared" si="49"/>
        <v>925.99999999999989</v>
      </c>
      <c r="L358" s="35"/>
      <c r="M358" s="17">
        <v>3</v>
      </c>
      <c r="N358" s="17">
        <v>4.0999999999999996</v>
      </c>
      <c r="O358" s="37">
        <f t="shared" si="41"/>
        <v>-1.0999999999999996</v>
      </c>
      <c r="P358">
        <f t="shared" si="46"/>
        <v>-97.700000000000017</v>
      </c>
      <c r="Q358">
        <v>317</v>
      </c>
      <c r="R358" s="38">
        <f t="shared" si="40"/>
        <v>0.35</v>
      </c>
      <c r="S358" s="38">
        <f t="shared" si="42"/>
        <v>1.4349999999999998</v>
      </c>
      <c r="T358" s="38">
        <f t="shared" si="43"/>
        <v>1.5650000000000002</v>
      </c>
      <c r="U358" s="38">
        <f t="shared" si="47"/>
        <v>-9.5474999999999959</v>
      </c>
      <c r="W358" s="17">
        <v>1425.3</v>
      </c>
      <c r="Y358">
        <f t="shared" si="45"/>
        <v>305817.99999999977</v>
      </c>
      <c r="AA358" s="17">
        <v>15.652666209512887</v>
      </c>
    </row>
    <row r="359" spans="1:27" s="20" customFormat="1" ht="15.75" thickBot="1" x14ac:dyDescent="0.3">
      <c r="A359" s="46" t="s">
        <v>17</v>
      </c>
      <c r="B359" s="46"/>
      <c r="C359" s="46"/>
      <c r="D359" s="46"/>
      <c r="E359" s="46"/>
      <c r="F359" s="46"/>
      <c r="K359" s="21"/>
      <c r="L359" s="36"/>
    </row>
    <row r="360" spans="1:27" x14ac:dyDescent="0.25">
      <c r="A360">
        <v>6440</v>
      </c>
      <c r="B360">
        <v>26330</v>
      </c>
      <c r="C360" s="1">
        <v>42937</v>
      </c>
      <c r="G360">
        <v>19.100000000000001</v>
      </c>
      <c r="H360">
        <v>12.4</v>
      </c>
      <c r="I360">
        <v>25.6</v>
      </c>
      <c r="K360" s="4"/>
      <c r="M360">
        <v>0</v>
      </c>
      <c r="N360">
        <v>4.0999999999999996</v>
      </c>
      <c r="W360">
        <v>1519.6</v>
      </c>
    </row>
    <row r="361" spans="1:27" x14ac:dyDescent="0.25">
      <c r="A361">
        <v>6440</v>
      </c>
      <c r="B361">
        <v>26330</v>
      </c>
      <c r="C361" s="1">
        <v>42938</v>
      </c>
      <c r="G361">
        <v>17.899999999999999</v>
      </c>
      <c r="H361">
        <v>14.6</v>
      </c>
      <c r="I361">
        <v>20.9</v>
      </c>
      <c r="K361" s="4"/>
      <c r="M361">
        <v>1.5</v>
      </c>
      <c r="N361">
        <v>2.8</v>
      </c>
      <c r="W361">
        <v>1307.0999999999999</v>
      </c>
    </row>
    <row r="362" spans="1:27" x14ac:dyDescent="0.25">
      <c r="A362">
        <v>6440</v>
      </c>
      <c r="B362">
        <v>26330</v>
      </c>
      <c r="C362" s="1">
        <v>42939</v>
      </c>
      <c r="G362">
        <v>16.899999999999999</v>
      </c>
      <c r="H362">
        <v>13</v>
      </c>
      <c r="I362">
        <v>20.100000000000001</v>
      </c>
      <c r="K362" s="4"/>
      <c r="M362">
        <v>0.9</v>
      </c>
      <c r="N362">
        <v>3.2</v>
      </c>
      <c r="W362">
        <v>1315.7</v>
      </c>
    </row>
    <row r="363" spans="1:27" x14ac:dyDescent="0.25">
      <c r="A363">
        <v>6440</v>
      </c>
      <c r="B363">
        <v>26330</v>
      </c>
      <c r="C363" s="1">
        <v>42940</v>
      </c>
      <c r="G363">
        <v>17.8</v>
      </c>
      <c r="H363">
        <v>14.3</v>
      </c>
      <c r="I363">
        <v>20.8</v>
      </c>
      <c r="K363" s="4"/>
      <c r="M363">
        <v>2.2999999999999998</v>
      </c>
      <c r="N363">
        <v>3.6</v>
      </c>
      <c r="W363">
        <v>1901</v>
      </c>
    </row>
    <row r="364" spans="1:27" x14ac:dyDescent="0.25">
      <c r="A364">
        <v>6440</v>
      </c>
      <c r="B364">
        <v>26330</v>
      </c>
      <c r="C364" s="1">
        <v>42941</v>
      </c>
      <c r="G364">
        <v>17.2</v>
      </c>
      <c r="H364">
        <v>14.7</v>
      </c>
      <c r="I364">
        <v>20.8</v>
      </c>
      <c r="K364" s="4"/>
      <c r="M364">
        <v>0.1</v>
      </c>
      <c r="N364">
        <v>4.0999999999999996</v>
      </c>
      <c r="W364">
        <v>2173</v>
      </c>
    </row>
    <row r="365" spans="1:27" x14ac:dyDescent="0.25">
      <c r="A365">
        <v>6440</v>
      </c>
      <c r="B365">
        <v>26330</v>
      </c>
      <c r="C365" s="1">
        <v>42942</v>
      </c>
      <c r="G365">
        <v>19.100000000000001</v>
      </c>
      <c r="H365">
        <v>14.1</v>
      </c>
      <c r="I365">
        <v>25.6</v>
      </c>
      <c r="K365" s="4"/>
      <c r="M365">
        <v>1.5</v>
      </c>
      <c r="N365">
        <v>3.8</v>
      </c>
      <c r="W365">
        <v>1626.2</v>
      </c>
    </row>
    <row r="366" spans="1:27" x14ac:dyDescent="0.25">
      <c r="A366">
        <v>6440</v>
      </c>
      <c r="B366">
        <v>26330</v>
      </c>
      <c r="C366" s="1">
        <v>42943</v>
      </c>
      <c r="G366">
        <v>17.7</v>
      </c>
      <c r="H366">
        <v>15.6</v>
      </c>
      <c r="I366">
        <v>20.2</v>
      </c>
      <c r="K366" s="4"/>
      <c r="M366">
        <v>0</v>
      </c>
      <c r="N366">
        <v>2.8</v>
      </c>
      <c r="W366">
        <v>1200.4000000000001</v>
      </c>
    </row>
    <row r="367" spans="1:27" x14ac:dyDescent="0.25">
      <c r="A367">
        <v>6440</v>
      </c>
      <c r="B367">
        <v>26330</v>
      </c>
      <c r="C367" s="1">
        <v>42944</v>
      </c>
      <c r="G367">
        <v>17.399999999999999</v>
      </c>
      <c r="H367">
        <v>13.6</v>
      </c>
      <c r="I367">
        <v>20.3</v>
      </c>
      <c r="K367" s="4"/>
      <c r="M367">
        <v>0.1</v>
      </c>
      <c r="N367">
        <v>3.6</v>
      </c>
      <c r="W367">
        <v>1710.6</v>
      </c>
    </row>
    <row r="368" spans="1:27" x14ac:dyDescent="0.25">
      <c r="A368">
        <v>6440</v>
      </c>
      <c r="B368">
        <v>26330</v>
      </c>
      <c r="C368" s="1">
        <v>42945</v>
      </c>
      <c r="G368">
        <v>22.3</v>
      </c>
      <c r="H368">
        <v>18.3</v>
      </c>
      <c r="I368">
        <v>26.2</v>
      </c>
      <c r="K368" s="4"/>
      <c r="M368">
        <v>0.2</v>
      </c>
      <c r="N368">
        <v>3.7</v>
      </c>
      <c r="W368">
        <v>742.9</v>
      </c>
    </row>
    <row r="369" spans="1:23" x14ac:dyDescent="0.25">
      <c r="A369">
        <v>6440</v>
      </c>
      <c r="B369">
        <v>26330</v>
      </c>
      <c r="C369" s="1">
        <v>42946</v>
      </c>
      <c r="G369">
        <v>20.5</v>
      </c>
      <c r="H369">
        <v>20.7</v>
      </c>
      <c r="I369">
        <v>22.5</v>
      </c>
      <c r="K369" s="4"/>
      <c r="M369">
        <v>0.2</v>
      </c>
      <c r="N369">
        <v>4.5</v>
      </c>
      <c r="W369">
        <v>1113.3</v>
      </c>
    </row>
    <row r="370" spans="1:23" x14ac:dyDescent="0.25">
      <c r="A370">
        <v>6440</v>
      </c>
      <c r="B370">
        <v>26330</v>
      </c>
      <c r="C370" s="1">
        <v>42947</v>
      </c>
      <c r="G370">
        <v>19.2</v>
      </c>
      <c r="H370">
        <v>14.7</v>
      </c>
      <c r="I370">
        <v>23</v>
      </c>
      <c r="K370" s="4"/>
      <c r="M370">
        <v>0</v>
      </c>
      <c r="N370">
        <v>3.6</v>
      </c>
      <c r="W370">
        <v>1618.9</v>
      </c>
    </row>
    <row r="371" spans="1:23" x14ac:dyDescent="0.25">
      <c r="A371">
        <v>6440</v>
      </c>
      <c r="B371">
        <v>26330</v>
      </c>
      <c r="C371" s="1">
        <v>42948</v>
      </c>
      <c r="G371">
        <v>19.600000000000001</v>
      </c>
      <c r="H371">
        <v>14</v>
      </c>
      <c r="I371">
        <v>23.6</v>
      </c>
      <c r="K371" s="4"/>
      <c r="M371">
        <v>0</v>
      </c>
      <c r="N371">
        <v>2.7</v>
      </c>
      <c r="W371">
        <v>1333.8</v>
      </c>
    </row>
    <row r="372" spans="1:23" x14ac:dyDescent="0.25">
      <c r="A372">
        <v>6440</v>
      </c>
      <c r="B372">
        <v>26330</v>
      </c>
      <c r="C372" s="1">
        <v>42949</v>
      </c>
      <c r="G372">
        <v>17.7</v>
      </c>
      <c r="H372">
        <v>15.7</v>
      </c>
      <c r="I372">
        <v>19.3</v>
      </c>
      <c r="K372" s="4"/>
      <c r="M372">
        <v>4.8</v>
      </c>
      <c r="N372">
        <v>1.6</v>
      </c>
      <c r="W372">
        <v>785.4</v>
      </c>
    </row>
    <row r="373" spans="1:23" x14ac:dyDescent="0.25">
      <c r="A373">
        <v>6440</v>
      </c>
      <c r="B373">
        <v>26330</v>
      </c>
      <c r="C373" s="1">
        <v>42950</v>
      </c>
      <c r="G373">
        <v>19.899999999999999</v>
      </c>
      <c r="H373">
        <v>16.899999999999999</v>
      </c>
      <c r="I373">
        <v>23.4</v>
      </c>
      <c r="K373" s="4"/>
      <c r="M373">
        <v>0.6</v>
      </c>
      <c r="N373">
        <v>3.8</v>
      </c>
      <c r="W373">
        <v>940.9</v>
      </c>
    </row>
    <row r="374" spans="1:23" x14ac:dyDescent="0.25">
      <c r="A374">
        <v>6440</v>
      </c>
      <c r="B374">
        <v>26330</v>
      </c>
      <c r="C374" s="1">
        <v>42951</v>
      </c>
      <c r="G374">
        <v>19.5</v>
      </c>
      <c r="H374">
        <v>17.399999999999999</v>
      </c>
      <c r="I374">
        <v>21.9</v>
      </c>
      <c r="K374" s="4"/>
      <c r="M374">
        <v>1.7</v>
      </c>
      <c r="N374">
        <v>3.8</v>
      </c>
      <c r="W374">
        <v>1279.2</v>
      </c>
    </row>
    <row r="375" spans="1:23" x14ac:dyDescent="0.25">
      <c r="A375">
        <v>6440</v>
      </c>
      <c r="B375">
        <v>26330</v>
      </c>
      <c r="C375" s="1">
        <v>42952</v>
      </c>
      <c r="G375">
        <v>17.3</v>
      </c>
      <c r="H375">
        <v>15.4</v>
      </c>
      <c r="I375">
        <v>19.7</v>
      </c>
      <c r="K375" s="4"/>
      <c r="M375">
        <v>1.1000000000000001</v>
      </c>
      <c r="N375">
        <v>2.2999999999999998</v>
      </c>
      <c r="W375">
        <v>1071.0999999999999</v>
      </c>
    </row>
    <row r="376" spans="1:23" x14ac:dyDescent="0.25">
      <c r="A376">
        <v>6440</v>
      </c>
      <c r="B376">
        <v>26330</v>
      </c>
      <c r="C376" s="1">
        <v>42953</v>
      </c>
      <c r="G376">
        <v>16.5</v>
      </c>
      <c r="H376">
        <v>11.4</v>
      </c>
      <c r="I376">
        <v>21.4</v>
      </c>
      <c r="K376" s="4"/>
      <c r="M376">
        <v>0.3</v>
      </c>
      <c r="N376">
        <v>3.2</v>
      </c>
      <c r="W376">
        <v>1500.6</v>
      </c>
    </row>
    <row r="377" spans="1:23" x14ac:dyDescent="0.25">
      <c r="A377">
        <v>6440</v>
      </c>
      <c r="B377">
        <v>26330</v>
      </c>
      <c r="C377" s="1">
        <v>42954</v>
      </c>
      <c r="G377">
        <v>17.899999999999999</v>
      </c>
      <c r="H377">
        <v>11.6</v>
      </c>
      <c r="I377">
        <v>22.9</v>
      </c>
      <c r="K377" s="4"/>
      <c r="M377">
        <v>0</v>
      </c>
      <c r="N377">
        <v>4.5999999999999996</v>
      </c>
      <c r="W377">
        <v>2641.7</v>
      </c>
    </row>
    <row r="378" spans="1:23" x14ac:dyDescent="0.25">
      <c r="A378">
        <v>6440</v>
      </c>
      <c r="B378">
        <v>26330</v>
      </c>
      <c r="C378" s="1">
        <v>42955</v>
      </c>
      <c r="G378">
        <v>16.5</v>
      </c>
      <c r="H378">
        <v>15.7</v>
      </c>
      <c r="I378">
        <v>19.399999999999999</v>
      </c>
      <c r="K378" s="4"/>
      <c r="M378">
        <v>9.9</v>
      </c>
      <c r="N378">
        <v>1.4</v>
      </c>
      <c r="W378">
        <v>723.7</v>
      </c>
    </row>
    <row r="379" spans="1:23" x14ac:dyDescent="0.25">
      <c r="A379">
        <v>6440</v>
      </c>
      <c r="B379">
        <v>26330</v>
      </c>
      <c r="C379" s="1">
        <v>42956</v>
      </c>
      <c r="G379">
        <v>17.2</v>
      </c>
      <c r="H379">
        <v>12.4</v>
      </c>
      <c r="I379">
        <v>21.2</v>
      </c>
      <c r="K379" s="4"/>
      <c r="M379">
        <v>2.2000000000000002</v>
      </c>
      <c r="N379">
        <v>3.7</v>
      </c>
      <c r="W379">
        <v>1970.3</v>
      </c>
    </row>
    <row r="380" spans="1:23" x14ac:dyDescent="0.25">
      <c r="A380">
        <v>6440</v>
      </c>
      <c r="B380">
        <v>26330</v>
      </c>
      <c r="C380" s="1">
        <v>42957</v>
      </c>
      <c r="G380">
        <v>15.2</v>
      </c>
      <c r="H380">
        <v>14.2</v>
      </c>
      <c r="I380">
        <v>16.8</v>
      </c>
      <c r="K380" s="4"/>
      <c r="M380">
        <v>7.4</v>
      </c>
      <c r="N380">
        <v>1.4</v>
      </c>
      <c r="W380">
        <v>963.8</v>
      </c>
    </row>
    <row r="381" spans="1:23" x14ac:dyDescent="0.25">
      <c r="A381">
        <v>6440</v>
      </c>
      <c r="B381">
        <v>26330</v>
      </c>
      <c r="C381" s="1">
        <v>42958</v>
      </c>
      <c r="G381">
        <v>17.2</v>
      </c>
      <c r="H381">
        <v>14.4</v>
      </c>
      <c r="I381">
        <v>20</v>
      </c>
      <c r="K381" s="4"/>
      <c r="M381">
        <v>3.8</v>
      </c>
      <c r="N381">
        <v>2.6</v>
      </c>
      <c r="W381">
        <v>1175.4000000000001</v>
      </c>
    </row>
    <row r="382" spans="1:23" x14ac:dyDescent="0.25">
      <c r="A382">
        <v>6440</v>
      </c>
      <c r="B382">
        <v>26330</v>
      </c>
      <c r="C382" s="1">
        <v>42959</v>
      </c>
      <c r="G382">
        <v>17.2</v>
      </c>
      <c r="H382">
        <v>14.5</v>
      </c>
      <c r="I382">
        <v>19.7</v>
      </c>
      <c r="K382" s="4"/>
      <c r="M382">
        <v>1.8</v>
      </c>
      <c r="N382">
        <v>1.7</v>
      </c>
      <c r="W382">
        <v>826.5</v>
      </c>
    </row>
    <row r="383" spans="1:23" x14ac:dyDescent="0.25">
      <c r="A383">
        <v>6440</v>
      </c>
      <c r="B383">
        <v>26330</v>
      </c>
      <c r="C383" s="1">
        <v>42960</v>
      </c>
      <c r="G383">
        <v>17.5</v>
      </c>
      <c r="H383">
        <v>13.5</v>
      </c>
      <c r="I383">
        <v>20.5</v>
      </c>
      <c r="K383" s="4"/>
      <c r="M383">
        <v>0</v>
      </c>
      <c r="N383">
        <v>3.1</v>
      </c>
      <c r="W383">
        <v>1850.4</v>
      </c>
    </row>
    <row r="384" spans="1:23" x14ac:dyDescent="0.25">
      <c r="A384">
        <v>6440</v>
      </c>
      <c r="B384">
        <v>26330</v>
      </c>
      <c r="C384" s="1">
        <v>42961</v>
      </c>
      <c r="G384">
        <v>19.899999999999999</v>
      </c>
      <c r="H384">
        <v>13.9</v>
      </c>
      <c r="I384">
        <v>24.4</v>
      </c>
      <c r="K384" s="4"/>
      <c r="M384">
        <v>8.4</v>
      </c>
      <c r="N384">
        <v>2.8</v>
      </c>
      <c r="W384">
        <v>1346.8</v>
      </c>
    </row>
    <row r="385" spans="1:23" x14ac:dyDescent="0.25">
      <c r="A385">
        <v>6440</v>
      </c>
      <c r="B385">
        <v>26330</v>
      </c>
      <c r="C385" s="1">
        <v>42962</v>
      </c>
      <c r="G385">
        <v>19.3</v>
      </c>
      <c r="H385">
        <v>16.3</v>
      </c>
      <c r="I385">
        <v>22.8</v>
      </c>
      <c r="K385" s="4"/>
      <c r="M385">
        <v>3.7</v>
      </c>
      <c r="N385">
        <v>2.2000000000000002</v>
      </c>
      <c r="W385">
        <v>1137.3</v>
      </c>
    </row>
    <row r="386" spans="1:23" x14ac:dyDescent="0.25">
      <c r="A386">
        <v>6440</v>
      </c>
      <c r="B386">
        <v>26330</v>
      </c>
      <c r="C386" s="1">
        <v>42963</v>
      </c>
      <c r="G386">
        <v>18.600000000000001</v>
      </c>
      <c r="H386">
        <v>13.2</v>
      </c>
      <c r="I386">
        <v>23.2</v>
      </c>
      <c r="K386" s="4"/>
      <c r="M386">
        <v>0.6</v>
      </c>
      <c r="N386">
        <v>3.1</v>
      </c>
      <c r="W386">
        <v>1568.1</v>
      </c>
    </row>
    <row r="387" spans="1:23" x14ac:dyDescent="0.25">
      <c r="A387">
        <v>6440</v>
      </c>
      <c r="B387">
        <v>26330</v>
      </c>
      <c r="C387" s="1">
        <v>42964</v>
      </c>
      <c r="G387">
        <v>19.3</v>
      </c>
      <c r="H387">
        <v>16.2</v>
      </c>
      <c r="I387">
        <v>21.1</v>
      </c>
      <c r="K387" s="4"/>
      <c r="M387">
        <v>8.5</v>
      </c>
      <c r="N387">
        <v>1.5</v>
      </c>
      <c r="W387">
        <v>743.2</v>
      </c>
    </row>
    <row r="388" spans="1:23" x14ac:dyDescent="0.25">
      <c r="A388">
        <v>6440</v>
      </c>
      <c r="B388">
        <v>26330</v>
      </c>
      <c r="C388" s="1">
        <v>42965</v>
      </c>
      <c r="G388">
        <v>17.8</v>
      </c>
      <c r="H388">
        <v>16.8</v>
      </c>
      <c r="I388">
        <v>20.5</v>
      </c>
      <c r="K388" s="4"/>
      <c r="M388">
        <v>3.4</v>
      </c>
      <c r="N388">
        <v>2.9</v>
      </c>
      <c r="W388">
        <v>1147.9000000000001</v>
      </c>
    </row>
    <row r="389" spans="1:23" x14ac:dyDescent="0.25">
      <c r="A389">
        <v>6440</v>
      </c>
      <c r="B389">
        <v>26330</v>
      </c>
      <c r="C389" s="1">
        <v>42966</v>
      </c>
      <c r="G389">
        <v>16.100000000000001</v>
      </c>
      <c r="H389">
        <v>12.8</v>
      </c>
      <c r="I389">
        <v>20.2</v>
      </c>
      <c r="K389" s="4"/>
      <c r="M389">
        <v>0.9</v>
      </c>
      <c r="N389">
        <v>3.3</v>
      </c>
      <c r="W389">
        <v>1557</v>
      </c>
    </row>
    <row r="390" spans="1:23" x14ac:dyDescent="0.25">
      <c r="A390">
        <v>6440</v>
      </c>
      <c r="B390">
        <v>26330</v>
      </c>
      <c r="C390" s="1">
        <v>42967</v>
      </c>
      <c r="G390">
        <v>16.3</v>
      </c>
      <c r="H390">
        <v>11.7</v>
      </c>
      <c r="I390">
        <v>20.399999999999999</v>
      </c>
      <c r="K390" s="4"/>
      <c r="M390">
        <v>1.7</v>
      </c>
      <c r="N390">
        <v>3.5</v>
      </c>
      <c r="W390">
        <v>1740.9</v>
      </c>
    </row>
    <row r="391" spans="1:23" x14ac:dyDescent="0.25">
      <c r="A391">
        <v>6440</v>
      </c>
      <c r="B391">
        <v>26330</v>
      </c>
      <c r="C391" s="1">
        <v>42968</v>
      </c>
      <c r="G391">
        <v>16.5</v>
      </c>
      <c r="H391">
        <v>13.5</v>
      </c>
      <c r="I391">
        <v>18.2</v>
      </c>
      <c r="K391" s="4"/>
      <c r="M391">
        <v>0.9</v>
      </c>
      <c r="N391">
        <v>1</v>
      </c>
      <c r="W391">
        <v>456.4</v>
      </c>
    </row>
    <row r="392" spans="1:23" x14ac:dyDescent="0.25">
      <c r="A392">
        <v>6440</v>
      </c>
      <c r="B392">
        <v>26330</v>
      </c>
      <c r="C392" s="1">
        <v>42969</v>
      </c>
      <c r="G392">
        <v>19.600000000000001</v>
      </c>
      <c r="H392">
        <v>16.600000000000001</v>
      </c>
      <c r="I392">
        <v>22.4</v>
      </c>
      <c r="K392" s="4"/>
      <c r="M392">
        <v>0</v>
      </c>
      <c r="N392">
        <v>1.7</v>
      </c>
      <c r="W392">
        <v>899.1</v>
      </c>
    </row>
    <row r="393" spans="1:23" x14ac:dyDescent="0.25">
      <c r="A393">
        <v>6440</v>
      </c>
      <c r="B393">
        <v>26330</v>
      </c>
      <c r="C393" s="1">
        <v>42970</v>
      </c>
      <c r="G393">
        <v>20.2</v>
      </c>
      <c r="H393">
        <v>16.600000000000001</v>
      </c>
      <c r="I393">
        <v>28.1</v>
      </c>
      <c r="K393" s="4"/>
      <c r="M393">
        <v>0</v>
      </c>
      <c r="N393">
        <v>4.3</v>
      </c>
      <c r="W393">
        <v>1656</v>
      </c>
    </row>
    <row r="394" spans="1:23" x14ac:dyDescent="0.25">
      <c r="A394">
        <v>6440</v>
      </c>
      <c r="B394">
        <v>26330</v>
      </c>
      <c r="C394" s="1">
        <v>42971</v>
      </c>
      <c r="G394">
        <v>18.5</v>
      </c>
      <c r="H394">
        <v>15.3</v>
      </c>
      <c r="I394">
        <v>22.8</v>
      </c>
      <c r="K394" s="4"/>
      <c r="M394">
        <v>0</v>
      </c>
      <c r="N394">
        <v>2.5</v>
      </c>
      <c r="W394">
        <v>1208.0999999999999</v>
      </c>
    </row>
    <row r="395" spans="1:23" x14ac:dyDescent="0.25">
      <c r="A395">
        <v>6440</v>
      </c>
      <c r="B395">
        <v>26330</v>
      </c>
      <c r="C395" s="1">
        <v>42972</v>
      </c>
      <c r="G395">
        <v>19.8</v>
      </c>
      <c r="H395">
        <v>14.4</v>
      </c>
      <c r="I395">
        <v>24.6</v>
      </c>
      <c r="K395" s="4"/>
      <c r="M395">
        <v>0</v>
      </c>
      <c r="N395">
        <v>2.4</v>
      </c>
      <c r="W395">
        <v>1232.2</v>
      </c>
    </row>
    <row r="396" spans="1:23" x14ac:dyDescent="0.25">
      <c r="A396">
        <v>6440</v>
      </c>
      <c r="B396">
        <v>26330</v>
      </c>
      <c r="C396" s="1">
        <v>42973</v>
      </c>
      <c r="G396">
        <v>21.2</v>
      </c>
      <c r="H396">
        <v>17</v>
      </c>
      <c r="I396">
        <v>26.2</v>
      </c>
      <c r="K396" s="4"/>
      <c r="M396">
        <v>0</v>
      </c>
      <c r="N396">
        <v>3.4</v>
      </c>
      <c r="W396">
        <v>1535.8</v>
      </c>
    </row>
    <row r="397" spans="1:23" x14ac:dyDescent="0.25">
      <c r="A397">
        <v>6440</v>
      </c>
      <c r="B397">
        <v>26330</v>
      </c>
      <c r="C397" s="1">
        <v>42974</v>
      </c>
      <c r="G397">
        <v>21.2</v>
      </c>
      <c r="H397">
        <v>17.3</v>
      </c>
      <c r="I397">
        <v>25.3</v>
      </c>
      <c r="K397" s="4"/>
      <c r="M397">
        <v>0</v>
      </c>
      <c r="N397">
        <v>3.2</v>
      </c>
      <c r="W397">
        <v>1449.3</v>
      </c>
    </row>
    <row r="398" spans="1:23" x14ac:dyDescent="0.25">
      <c r="A398">
        <v>6440</v>
      </c>
      <c r="B398">
        <v>26330</v>
      </c>
      <c r="C398" s="1">
        <v>42975</v>
      </c>
      <c r="G398">
        <v>22.3</v>
      </c>
      <c r="H398">
        <v>15.6</v>
      </c>
      <c r="I398">
        <v>27.9</v>
      </c>
      <c r="K398" s="4"/>
      <c r="M398">
        <v>0</v>
      </c>
      <c r="N398">
        <v>4.2</v>
      </c>
      <c r="W398">
        <v>1986.1</v>
      </c>
    </row>
    <row r="399" spans="1:23" x14ac:dyDescent="0.25">
      <c r="A399">
        <v>6440</v>
      </c>
      <c r="B399">
        <v>26330</v>
      </c>
      <c r="C399" s="1">
        <v>42976</v>
      </c>
      <c r="G399">
        <v>24.9</v>
      </c>
      <c r="H399">
        <v>17.8</v>
      </c>
      <c r="I399">
        <v>31.4</v>
      </c>
      <c r="K399" s="4"/>
      <c r="M399">
        <v>4.9000000000000004</v>
      </c>
      <c r="N399">
        <v>3.8</v>
      </c>
      <c r="W399">
        <v>1521.6</v>
      </c>
    </row>
    <row r="400" spans="1:23" x14ac:dyDescent="0.25">
      <c r="A400">
        <v>6440</v>
      </c>
      <c r="B400">
        <v>26330</v>
      </c>
      <c r="C400" s="1">
        <v>42977</v>
      </c>
      <c r="G400">
        <v>17.600000000000001</v>
      </c>
      <c r="H400">
        <v>14.6</v>
      </c>
      <c r="I400">
        <v>20</v>
      </c>
      <c r="K400" s="4"/>
      <c r="M400">
        <v>16.100000000000001</v>
      </c>
      <c r="N400">
        <v>0.7</v>
      </c>
      <c r="W400">
        <v>411.9</v>
      </c>
    </row>
    <row r="401" spans="1:23" x14ac:dyDescent="0.25">
      <c r="A401">
        <v>6440</v>
      </c>
      <c r="B401">
        <v>26330</v>
      </c>
      <c r="C401" s="1">
        <v>42978</v>
      </c>
      <c r="G401">
        <v>14.9</v>
      </c>
      <c r="H401">
        <v>11.7</v>
      </c>
      <c r="I401">
        <v>19.5</v>
      </c>
      <c r="K401" s="4"/>
      <c r="M401">
        <v>1.2</v>
      </c>
      <c r="N401">
        <v>3.3</v>
      </c>
      <c r="W401">
        <v>1728.8</v>
      </c>
    </row>
  </sheetData>
  <mergeCells count="12">
    <mergeCell ref="F42:F123"/>
    <mergeCell ref="G1:L1"/>
    <mergeCell ref="M1:P1"/>
    <mergeCell ref="Q1:U1"/>
    <mergeCell ref="W1:AB1"/>
    <mergeCell ref="A41:F41"/>
    <mergeCell ref="F312:F332"/>
    <mergeCell ref="F124:F200"/>
    <mergeCell ref="F201:F247"/>
    <mergeCell ref="F248:F268"/>
    <mergeCell ref="F269:F294"/>
    <mergeCell ref="F295:F311"/>
  </mergeCells>
  <conditionalFormatting sqref="G3:I401 L43 L125 L202 L249 L270 L296 L313 L323 L51 L278 L306 L280 L282 L261 L259 L257 L210 L214 L212 L133 L137 L135 L55 L53">
    <cfRule type="cellIs" dxfId="6" priority="6" operator="lessThanOrEqual">
      <formula>0</formula>
    </cfRule>
    <cfRule type="cellIs" dxfId="5" priority="7" operator="lessThanOrEqual">
      <formula>5</formula>
    </cfRule>
  </conditionalFormatting>
  <conditionalFormatting sqref="O2:O1048576 P43">
    <cfRule type="cellIs" dxfId="4" priority="5" operator="lessThan">
      <formula>0</formula>
    </cfRule>
  </conditionalFormatting>
  <conditionalFormatting sqref="T42:T358">
    <cfRule type="cellIs" dxfId="3" priority="4" operator="lessThan">
      <formula>0</formula>
    </cfRule>
  </conditionalFormatting>
  <conditionalFormatting sqref="W42:W358">
    <cfRule type="cellIs" dxfId="2" priority="3" operator="lessThan">
      <formula>900</formula>
    </cfRule>
  </conditionalFormatting>
  <conditionalFormatting sqref="V43 V45 V47 U42:U358">
    <cfRule type="cellIs" dxfId="1" priority="1" operator="equal">
      <formula>0</formula>
    </cfRule>
    <cfRule type="cellIs" dxfId="0" priority="2" operator="lessThan">
      <formula>51.2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N+</vt:lpstr>
      <vt:lpstr>N-</vt:lpstr>
    </vt:vector>
  </TitlesOfParts>
  <Company>INRA - RENNES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adminigepp</cp:lastModifiedBy>
  <dcterms:created xsi:type="dcterms:W3CDTF">2018-10-30T14:39:15Z</dcterms:created>
  <dcterms:modified xsi:type="dcterms:W3CDTF">2019-11-27T14:29:48Z</dcterms:modified>
</cp:coreProperties>
</file>