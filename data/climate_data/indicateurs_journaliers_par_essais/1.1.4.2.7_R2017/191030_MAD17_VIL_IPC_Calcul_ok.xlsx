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19200" windowHeight="10860"/>
  </bookViews>
  <sheets>
    <sheet name="MAI_VIL" sheetId="1" r:id="rId1"/>
  </sheets>
  <calcPr calcId="162913"/>
</workbook>
</file>

<file path=xl/calcChain.xml><?xml version="1.0" encoding="utf-8"?>
<calcChain xmlns="http://schemas.openxmlformats.org/spreadsheetml/2006/main">
  <c r="AB244" i="1" l="1"/>
  <c r="AB218" i="1"/>
  <c r="AB236" i="1"/>
  <c r="AB226" i="1"/>
  <c r="AC244" i="1" s="1"/>
  <c r="AC242" i="1"/>
  <c r="AC240" i="1"/>
  <c r="AC238" i="1"/>
  <c r="AC236" i="1" l="1"/>
  <c r="L318" i="1"/>
  <c r="L316" i="1"/>
  <c r="L314" i="1"/>
  <c r="Y311" i="1"/>
  <c r="Y294" i="1"/>
  <c r="L301" i="1"/>
  <c r="L299" i="1"/>
  <c r="L297" i="1"/>
  <c r="L271" i="1"/>
  <c r="L269" i="1"/>
  <c r="L267" i="1"/>
  <c r="Y264" i="1"/>
  <c r="Y243" i="1"/>
  <c r="L250" i="1"/>
  <c r="L248" i="1"/>
  <c r="L246" i="1"/>
  <c r="AA188" i="1"/>
  <c r="Y185" i="1"/>
  <c r="L192" i="1"/>
  <c r="L190" i="1"/>
  <c r="L188" i="1"/>
  <c r="Y125" i="1"/>
  <c r="L132" i="1"/>
  <c r="L130" i="1"/>
  <c r="L128" i="1"/>
  <c r="AA53" i="1"/>
  <c r="L57" i="1"/>
  <c r="L55" i="1"/>
  <c r="L53" i="1"/>
  <c r="AA314" i="1" l="1"/>
  <c r="AA297" i="1"/>
  <c r="AA267" i="1"/>
  <c r="AA246" i="1"/>
  <c r="AA128" i="1"/>
  <c r="R295" i="1"/>
  <c r="R296" i="1"/>
  <c r="R297" i="1"/>
  <c r="R298" i="1"/>
  <c r="S298" i="1" s="1"/>
  <c r="T298" i="1" s="1"/>
  <c r="R299" i="1"/>
  <c r="R300" i="1"/>
  <c r="R301" i="1"/>
  <c r="R302" i="1"/>
  <c r="R303" i="1"/>
  <c r="S303" i="1" s="1"/>
  <c r="T303" i="1" s="1"/>
  <c r="R304" i="1"/>
  <c r="R305" i="1"/>
  <c r="R306" i="1"/>
  <c r="S306" i="1" s="1"/>
  <c r="T306" i="1" s="1"/>
  <c r="R307" i="1"/>
  <c r="R308" i="1"/>
  <c r="R309" i="1"/>
  <c r="R310" i="1"/>
  <c r="S310" i="1" s="1"/>
  <c r="T310" i="1" s="1"/>
  <c r="R311" i="1"/>
  <c r="S311" i="1" s="1"/>
  <c r="T311" i="1" s="1"/>
  <c r="R312" i="1"/>
  <c r="R313" i="1"/>
  <c r="R314" i="1"/>
  <c r="S314" i="1" s="1"/>
  <c r="T314" i="1" s="1"/>
  <c r="R315" i="1"/>
  <c r="R316" i="1"/>
  <c r="R317" i="1"/>
  <c r="R318" i="1"/>
  <c r="S318" i="1" s="1"/>
  <c r="T318" i="1" s="1"/>
  <c r="R319" i="1"/>
  <c r="S319" i="1" s="1"/>
  <c r="T319" i="1" s="1"/>
  <c r="R320" i="1"/>
  <c r="R321" i="1"/>
  <c r="R322" i="1"/>
  <c r="S322" i="1" s="1"/>
  <c r="T322" i="1" s="1"/>
  <c r="R323" i="1"/>
  <c r="R324" i="1"/>
  <c r="S324" i="1" s="1"/>
  <c r="T324" i="1" s="1"/>
  <c r="R325" i="1"/>
  <c r="R326" i="1"/>
  <c r="S326" i="1" s="1"/>
  <c r="T326" i="1" s="1"/>
  <c r="R327" i="1"/>
  <c r="S327" i="1" s="1"/>
  <c r="T327" i="1" s="1"/>
  <c r="R328" i="1"/>
  <c r="R329" i="1"/>
  <c r="R330" i="1"/>
  <c r="S330" i="1" s="1"/>
  <c r="T330" i="1" s="1"/>
  <c r="R331" i="1"/>
  <c r="R332" i="1"/>
  <c r="S332" i="1" s="1"/>
  <c r="T332" i="1" s="1"/>
  <c r="R333" i="1"/>
  <c r="R334" i="1"/>
  <c r="S334" i="1" s="1"/>
  <c r="T334" i="1" s="1"/>
  <c r="R335" i="1"/>
  <c r="S335" i="1" s="1"/>
  <c r="T335" i="1" s="1"/>
  <c r="R336" i="1"/>
  <c r="R337" i="1"/>
  <c r="R338" i="1"/>
  <c r="S338" i="1" s="1"/>
  <c r="T338" i="1" s="1"/>
  <c r="R339" i="1"/>
  <c r="R340" i="1"/>
  <c r="R341" i="1"/>
  <c r="R342" i="1"/>
  <c r="S342" i="1" s="1"/>
  <c r="T342" i="1" s="1"/>
  <c r="R343" i="1"/>
  <c r="S343" i="1" s="1"/>
  <c r="T343" i="1" s="1"/>
  <c r="R344" i="1"/>
  <c r="R345" i="1"/>
  <c r="R346" i="1"/>
  <c r="S346" i="1" s="1"/>
  <c r="T346" i="1" s="1"/>
  <c r="R347" i="1"/>
  <c r="R348" i="1"/>
  <c r="S348" i="1" s="1"/>
  <c r="T348" i="1" s="1"/>
  <c r="R349" i="1"/>
  <c r="R294" i="1"/>
  <c r="S295" i="1"/>
  <c r="T295" i="1" s="1"/>
  <c r="S300" i="1"/>
  <c r="T300" i="1" s="1"/>
  <c r="S308" i="1"/>
  <c r="T308" i="1" s="1"/>
  <c r="S316" i="1"/>
  <c r="T316" i="1" s="1"/>
  <c r="S340" i="1"/>
  <c r="T340" i="1" s="1"/>
  <c r="K311" i="1"/>
  <c r="K294" i="1"/>
  <c r="K264" i="1"/>
  <c r="K243" i="1"/>
  <c r="K185" i="1"/>
  <c r="K125" i="1"/>
  <c r="Y50" i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K51" i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50" i="1"/>
  <c r="J50" i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60" i="1" s="1"/>
  <c r="J162" i="1" s="1"/>
  <c r="J163" i="1" s="1"/>
  <c r="J166" i="1" s="1"/>
  <c r="J167" i="1" s="1"/>
  <c r="J168" i="1" s="1"/>
  <c r="J169" i="1" s="1"/>
  <c r="J170" i="1" s="1"/>
  <c r="J171" i="1" s="1"/>
  <c r="J172" i="1" s="1"/>
  <c r="J173" i="1" s="1"/>
  <c r="J17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X50" i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R186" i="1"/>
  <c r="R187" i="1"/>
  <c r="R188" i="1"/>
  <c r="R189" i="1"/>
  <c r="S189" i="1" s="1"/>
  <c r="T189" i="1" s="1"/>
  <c r="R190" i="1"/>
  <c r="R191" i="1"/>
  <c r="R192" i="1"/>
  <c r="R193" i="1"/>
  <c r="S193" i="1" s="1"/>
  <c r="T193" i="1" s="1"/>
  <c r="R194" i="1"/>
  <c r="R195" i="1"/>
  <c r="R196" i="1"/>
  <c r="R197" i="1"/>
  <c r="R198" i="1"/>
  <c r="R199" i="1"/>
  <c r="R200" i="1"/>
  <c r="R201" i="1"/>
  <c r="S201" i="1" s="1"/>
  <c r="T201" i="1" s="1"/>
  <c r="R202" i="1"/>
  <c r="R203" i="1"/>
  <c r="R204" i="1"/>
  <c r="R205" i="1"/>
  <c r="S205" i="1" s="1"/>
  <c r="T205" i="1" s="1"/>
  <c r="R206" i="1"/>
  <c r="R207" i="1"/>
  <c r="R208" i="1"/>
  <c r="R209" i="1"/>
  <c r="S209" i="1" s="1"/>
  <c r="T209" i="1" s="1"/>
  <c r="R210" i="1"/>
  <c r="R211" i="1"/>
  <c r="R212" i="1"/>
  <c r="R213" i="1"/>
  <c r="S213" i="1" s="1"/>
  <c r="T213" i="1" s="1"/>
  <c r="R214" i="1"/>
  <c r="R215" i="1"/>
  <c r="R216" i="1"/>
  <c r="R217" i="1"/>
  <c r="S217" i="1" s="1"/>
  <c r="T217" i="1" s="1"/>
  <c r="R218" i="1"/>
  <c r="R219" i="1"/>
  <c r="R220" i="1"/>
  <c r="R221" i="1"/>
  <c r="S221" i="1" s="1"/>
  <c r="T221" i="1" s="1"/>
  <c r="R222" i="1"/>
  <c r="R223" i="1"/>
  <c r="R224" i="1"/>
  <c r="R225" i="1"/>
  <c r="S225" i="1" s="1"/>
  <c r="T225" i="1" s="1"/>
  <c r="R226" i="1"/>
  <c r="R227" i="1"/>
  <c r="R228" i="1"/>
  <c r="R229" i="1"/>
  <c r="S229" i="1" s="1"/>
  <c r="T229" i="1" s="1"/>
  <c r="R230" i="1"/>
  <c r="R231" i="1"/>
  <c r="R232" i="1"/>
  <c r="R233" i="1"/>
  <c r="S233" i="1" s="1"/>
  <c r="T233" i="1" s="1"/>
  <c r="R234" i="1"/>
  <c r="R235" i="1"/>
  <c r="R236" i="1"/>
  <c r="R237" i="1"/>
  <c r="S237" i="1" s="1"/>
  <c r="T237" i="1" s="1"/>
  <c r="R238" i="1"/>
  <c r="R239" i="1"/>
  <c r="R240" i="1"/>
  <c r="R241" i="1"/>
  <c r="S241" i="1" s="1"/>
  <c r="T241" i="1" s="1"/>
  <c r="R242" i="1"/>
  <c r="R185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58" i="1"/>
  <c r="P1" i="1"/>
  <c r="O5" i="1"/>
  <c r="O6" i="1"/>
  <c r="O7" i="1"/>
  <c r="O8" i="1"/>
  <c r="P8" i="1" s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" i="1"/>
  <c r="T5" i="1"/>
  <c r="T13" i="1"/>
  <c r="T21" i="1"/>
  <c r="T29" i="1"/>
  <c r="T37" i="1"/>
  <c r="T45" i="1"/>
  <c r="T141" i="1"/>
  <c r="T236" i="1"/>
  <c r="T353" i="1"/>
  <c r="T361" i="1"/>
  <c r="T369" i="1"/>
  <c r="T377" i="1"/>
  <c r="T385" i="1"/>
  <c r="T393" i="1"/>
  <c r="T401" i="1"/>
  <c r="S5" i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S46" i="1"/>
  <c r="T46" i="1" s="1"/>
  <c r="S47" i="1"/>
  <c r="T47" i="1" s="1"/>
  <c r="S48" i="1"/>
  <c r="T48" i="1" s="1"/>
  <c r="S50" i="1"/>
  <c r="T50" i="1" s="1"/>
  <c r="U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90" i="1"/>
  <c r="T190" i="1" s="1"/>
  <c r="S191" i="1"/>
  <c r="T191" i="1" s="1"/>
  <c r="S192" i="1"/>
  <c r="T192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2" i="1"/>
  <c r="T202" i="1" s="1"/>
  <c r="S203" i="1"/>
  <c r="T203" i="1" s="1"/>
  <c r="S204" i="1"/>
  <c r="T204" i="1" s="1"/>
  <c r="S206" i="1"/>
  <c r="T206" i="1" s="1"/>
  <c r="S207" i="1"/>
  <c r="T207" i="1" s="1"/>
  <c r="S208" i="1"/>
  <c r="T208" i="1" s="1"/>
  <c r="S210" i="1"/>
  <c r="T210" i="1" s="1"/>
  <c r="S211" i="1"/>
  <c r="T211" i="1" s="1"/>
  <c r="S212" i="1"/>
  <c r="T212" i="1" s="1"/>
  <c r="S214" i="1"/>
  <c r="T214" i="1" s="1"/>
  <c r="S215" i="1"/>
  <c r="T215" i="1" s="1"/>
  <c r="S216" i="1"/>
  <c r="T216" i="1" s="1"/>
  <c r="S218" i="1"/>
  <c r="T218" i="1" s="1"/>
  <c r="S219" i="1"/>
  <c r="T219" i="1" s="1"/>
  <c r="S220" i="1"/>
  <c r="T220" i="1" s="1"/>
  <c r="S222" i="1"/>
  <c r="T222" i="1" s="1"/>
  <c r="S223" i="1"/>
  <c r="T223" i="1" s="1"/>
  <c r="S224" i="1"/>
  <c r="T224" i="1" s="1"/>
  <c r="S226" i="1"/>
  <c r="T226" i="1" s="1"/>
  <c r="S227" i="1"/>
  <c r="T227" i="1" s="1"/>
  <c r="S228" i="1"/>
  <c r="T228" i="1" s="1"/>
  <c r="S230" i="1"/>
  <c r="T230" i="1" s="1"/>
  <c r="S231" i="1"/>
  <c r="T231" i="1" s="1"/>
  <c r="S232" i="1"/>
  <c r="T232" i="1" s="1"/>
  <c r="S234" i="1"/>
  <c r="T234" i="1" s="1"/>
  <c r="S235" i="1"/>
  <c r="T235" i="1" s="1"/>
  <c r="S236" i="1"/>
  <c r="S238" i="1"/>
  <c r="T238" i="1" s="1"/>
  <c r="S239" i="1"/>
  <c r="T239" i="1" s="1"/>
  <c r="S240" i="1"/>
  <c r="T240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6" i="1"/>
  <c r="T296" i="1" s="1"/>
  <c r="S297" i="1"/>
  <c r="T297" i="1" s="1"/>
  <c r="S299" i="1"/>
  <c r="T299" i="1" s="1"/>
  <c r="S301" i="1"/>
  <c r="T301" i="1" s="1"/>
  <c r="S302" i="1"/>
  <c r="T302" i="1" s="1"/>
  <c r="S304" i="1"/>
  <c r="T304" i="1" s="1"/>
  <c r="S305" i="1"/>
  <c r="T305" i="1" s="1"/>
  <c r="S307" i="1"/>
  <c r="T307" i="1" s="1"/>
  <c r="S309" i="1"/>
  <c r="T309" i="1" s="1"/>
  <c r="S312" i="1"/>
  <c r="T312" i="1" s="1"/>
  <c r="S313" i="1"/>
  <c r="T313" i="1" s="1"/>
  <c r="S315" i="1"/>
  <c r="T315" i="1" s="1"/>
  <c r="S317" i="1"/>
  <c r="T317" i="1" s="1"/>
  <c r="S320" i="1"/>
  <c r="T320" i="1" s="1"/>
  <c r="S321" i="1"/>
  <c r="T321" i="1" s="1"/>
  <c r="S323" i="1"/>
  <c r="T323" i="1" s="1"/>
  <c r="S325" i="1"/>
  <c r="T325" i="1" s="1"/>
  <c r="S328" i="1"/>
  <c r="T328" i="1" s="1"/>
  <c r="S329" i="1"/>
  <c r="T329" i="1" s="1"/>
  <c r="S331" i="1"/>
  <c r="T331" i="1" s="1"/>
  <c r="S333" i="1"/>
  <c r="T333" i="1" s="1"/>
  <c r="S336" i="1"/>
  <c r="T336" i="1" s="1"/>
  <c r="S337" i="1"/>
  <c r="T337" i="1" s="1"/>
  <c r="S339" i="1"/>
  <c r="T339" i="1" s="1"/>
  <c r="S341" i="1"/>
  <c r="T341" i="1" s="1"/>
  <c r="S344" i="1"/>
  <c r="T344" i="1" s="1"/>
  <c r="S345" i="1"/>
  <c r="T345" i="1" s="1"/>
  <c r="S347" i="1"/>
  <c r="T347" i="1" s="1"/>
  <c r="S349" i="1"/>
  <c r="T349" i="1" s="1"/>
  <c r="S350" i="1"/>
  <c r="T350" i="1" s="1"/>
  <c r="S351" i="1"/>
  <c r="T351" i="1" s="1"/>
  <c r="S352" i="1"/>
  <c r="T352" i="1" s="1"/>
  <c r="S353" i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S4" i="1"/>
  <c r="T4" i="1" s="1"/>
  <c r="P9" i="1" l="1"/>
  <c r="U51" i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K126" i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60" i="1" s="1"/>
  <c r="K162" i="1" s="1"/>
  <c r="K163" i="1" s="1"/>
  <c r="K166" i="1" s="1"/>
  <c r="K167" i="1" s="1"/>
  <c r="K168" i="1" s="1"/>
  <c r="K169" i="1" s="1"/>
  <c r="K170" i="1" s="1"/>
  <c r="K171" i="1" s="1"/>
  <c r="K172" i="1" s="1"/>
  <c r="K173" i="1" s="1"/>
  <c r="K174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U126" i="1" l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V57" i="1"/>
  <c r="V59" i="1"/>
  <c r="V61" i="1" s="1"/>
  <c r="V55" i="1"/>
  <c r="V130" i="1" l="1"/>
  <c r="V132" i="1"/>
  <c r="V134" i="1"/>
  <c r="V136" i="1" s="1"/>
  <c r="U186" i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V190" i="1" l="1"/>
  <c r="V192" i="1"/>
  <c r="V194" i="1"/>
  <c r="V196" i="1" s="1"/>
  <c r="U244" i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l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V248" i="1"/>
  <c r="V250" i="1"/>
  <c r="V252" i="1"/>
  <c r="V254" i="1" s="1"/>
  <c r="V269" i="1" l="1"/>
  <c r="V271" i="1"/>
  <c r="V273" i="1"/>
  <c r="V275" i="1" s="1"/>
  <c r="U295" i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V301" i="1" l="1"/>
  <c r="V299" i="1"/>
  <c r="V303" i="1"/>
  <c r="V305" i="1" s="1"/>
  <c r="U312" i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V318" i="1" l="1"/>
  <c r="V320" i="1"/>
  <c r="V322" i="1" s="1"/>
</calcChain>
</file>

<file path=xl/sharedStrings.xml><?xml version="1.0" encoding="utf-8"?>
<sst xmlns="http://schemas.openxmlformats.org/spreadsheetml/2006/main" count="169" uniqueCount="68">
  <si>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</si>
  <si>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</si>
  <si>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</si>
  <si>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</si>
  <si>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</si>
  <si>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</si>
  <si>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</si>
  <si>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</si>
  <si>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</si>
  <si>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</si>
  <si>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Vernalisation</t>
  </si>
  <si>
    <t>Période</t>
  </si>
  <si>
    <t>GDD_Cumul</t>
  </si>
  <si>
    <t>GDD/Période</t>
  </si>
  <si>
    <t>IPC</t>
  </si>
  <si>
    <t>P-ETP</t>
  </si>
  <si>
    <t>RU avant semis</t>
  </si>
  <si>
    <t>i</t>
  </si>
  <si>
    <t>kc</t>
  </si>
  <si>
    <t>ETM</t>
  </si>
  <si>
    <t>P-ETM</t>
  </si>
  <si>
    <t>WSCi</t>
  </si>
  <si>
    <t>SSI_Cumul</t>
  </si>
  <si>
    <t>SSI/période</t>
  </si>
  <si>
    <t>Photopériode</t>
  </si>
  <si>
    <t>TEMPERATURE</t>
  </si>
  <si>
    <t>EAU</t>
  </si>
  <si>
    <t>SOLAIRE</t>
  </si>
  <si>
    <t>Semis</t>
  </si>
  <si>
    <t>Récolte</t>
  </si>
  <si>
    <t>levée</t>
  </si>
  <si>
    <t>RU</t>
  </si>
  <si>
    <t>1/3</t>
  </si>
  <si>
    <t>FLO</t>
  </si>
  <si>
    <t>Fin FLO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</si>
  <si>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</si>
  <si>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</si>
  <si>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</si>
  <si>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</si>
  <si>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</si>
  <si>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</si>
  <si>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</si>
  <si>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</si>
  <si>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</si>
  <si>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</si>
  <si>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</si>
  <si>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</si>
  <si>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</si>
  <si>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</si>
  <si>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</si>
  <si>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</si>
  <si>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S</t>
  </si>
  <si>
    <t>F</t>
  </si>
  <si>
    <t>FALL</t>
  </si>
  <si>
    <t>WINTER</t>
  </si>
  <si>
    <t>BOLTING</t>
  </si>
  <si>
    <t>FLOWERING</t>
  </si>
  <si>
    <t>P300</t>
  </si>
  <si>
    <t>P600</t>
  </si>
  <si>
    <t>P1000</t>
  </si>
  <si>
    <t>N21</t>
  </si>
  <si>
    <t>N31</t>
  </si>
  <si>
    <t>WSC_I</t>
  </si>
  <si>
    <t>BI</t>
  </si>
  <si>
    <t>DRF</t>
  </si>
  <si>
    <t>TS</t>
  </si>
  <si>
    <t>IRF</t>
  </si>
  <si>
    <t>WSC_i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</si>
</sst>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0" borderId="0" xfId="0" applyNumberFormat="1"/>
    <xf numFmtId="0" fontId="16" fillId="0" borderId="0" xfId="0" applyFont="1"/>
    <xf numFmtId="0" fontId="16" fillId="0" borderId="10" xfId="0" applyFont="1" applyBorder="1"/>
    <xf numFmtId="14" fontId="16" fillId="0" borderId="10" xfId="0" applyNumberFormat="1" applyFont="1" applyBorder="1"/>
    <xf numFmtId="2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0" fontId="0" fillId="0" borderId="11" xfId="0" applyFont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16" fillId="36" borderId="0" xfId="0" applyFont="1" applyFill="1"/>
    <xf numFmtId="0" fontId="16" fillId="37" borderId="11" xfId="0" applyFont="1" applyFill="1" applyBorder="1"/>
    <xf numFmtId="0" fontId="0" fillId="0" borderId="11" xfId="0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40" borderId="11" xfId="0" applyFont="1" applyFill="1" applyBorder="1"/>
    <xf numFmtId="0" fontId="16" fillId="40" borderId="0" xfId="0" applyFont="1" applyFill="1"/>
    <xf numFmtId="0" fontId="16" fillId="0" borderId="0" xfId="0" quotePrefix="1" applyFont="1"/>
    <xf numFmtId="0" fontId="16" fillId="0" borderId="0" xfId="0" applyFont="1" applyAlignment="1">
      <alignment horizontal="center"/>
    </xf>
    <xf numFmtId="0" fontId="16" fillId="34" borderId="11" xfId="0" applyFont="1" applyFill="1" applyBorder="1" applyAlignment="1">
      <alignment horizontal="center" vertical="center" textRotation="255"/>
    </xf>
    <xf numFmtId="0" fontId="16" fillId="35" borderId="0" xfId="0" applyFont="1" applyFill="1" applyBorder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Border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Border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40" borderId="12" xfId="0" applyFont="1" applyFill="1" applyBorder="1" applyAlignment="1">
      <alignment horizontal="center" vertical="center" textRotation="255"/>
    </xf>
    <xf numFmtId="0" fontId="16" fillId="40" borderId="0" xfId="0" applyFont="1" applyFill="1" applyBorder="1" applyAlignment="1">
      <alignment horizontal="center" vertical="center" textRotation="255"/>
    </xf>
    <xf numFmtId="0" fontId="16" fillId="40" borderId="10" xfId="0" applyFont="1" applyFill="1" applyBorder="1" applyAlignment="1">
      <alignment horizontal="center" vertical="center" textRotation="255"/>
    </xf>
    <xf numFmtId="0" fontId="0" fillId="41" borderId="0" xfId="0" applyFill="1"/>
    <xf numFmtId="14" fontId="0" fillId="41" borderId="0" xfId="0" applyNumberFormat="1" applyFill="1"/>
    <xf numFmtId="2" fontId="0" fillId="41" borderId="0" xfId="0" applyNumberFormat="1" applyFill="1"/>
    <xf numFmtId="0" fontId="0" fillId="42" borderId="0" xfId="0" applyFill="1"/>
    <xf numFmtId="0" fontId="16" fillId="42" borderId="10" xfId="0" applyFont="1" applyFill="1" applyBorder="1"/>
    <xf numFmtId="2" fontId="0" fillId="42" borderId="0" xfId="0" applyNumberFormat="1" applyFill="1"/>
    <xf numFmtId="2" fontId="16" fillId="42" borderId="10" xfId="0" applyNumberFormat="1" applyFont="1" applyFill="1" applyBorder="1"/>
    <xf numFmtId="167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6">
    <dxf>
      <fill>
        <patternFill>
          <bgColor theme="0" tint="-0.24994659260841701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1"/>
  <sheetViews>
    <sheetView tabSelected="1" zoomScale="80" zoomScaleNormal="80" workbookViewId="0">
      <pane xSplit="6" ySplit="3" topLeftCell="G211" activePane="bottomRight" state="frozen"/>
      <selection pane="topRight" activeCell="G1" sqref="G1"/>
      <selection pane="bottomLeft" activeCell="A4" sqref="A4"/>
      <selection pane="bottomRight" activeCell="AC236" sqref="AC236"/>
    </sheetView>
  </sheetViews>
  <sheetFormatPr baseColWidth="10" defaultRowHeight="15" x14ac:dyDescent="0.25"/>
  <sheetData>
    <row r="1" spans="1:27" s="5" customFormat="1" x14ac:dyDescent="0.25">
      <c r="M1" s="5" t="s">
        <v>31</v>
      </c>
      <c r="N1" s="5">
        <v>138.9</v>
      </c>
      <c r="O1" s="26" t="s">
        <v>32</v>
      </c>
      <c r="P1" s="5">
        <f>N1/3</f>
        <v>46.300000000000004</v>
      </c>
    </row>
    <row r="2" spans="1:27" s="5" customFormat="1" x14ac:dyDescent="0.25">
      <c r="G2" s="27" t="s">
        <v>25</v>
      </c>
      <c r="H2" s="27"/>
      <c r="I2" s="27"/>
      <c r="J2" s="27"/>
      <c r="K2" s="27"/>
      <c r="L2" s="27"/>
      <c r="M2" s="27" t="s">
        <v>26</v>
      </c>
      <c r="N2" s="27"/>
      <c r="O2" s="27"/>
      <c r="P2" s="27"/>
      <c r="Q2" s="27"/>
      <c r="R2" s="27"/>
      <c r="S2" s="27"/>
      <c r="T2" s="27"/>
      <c r="U2" s="27"/>
      <c r="V2" s="27"/>
      <c r="W2" s="27" t="s">
        <v>27</v>
      </c>
      <c r="X2" s="27"/>
      <c r="Y2" s="27"/>
      <c r="Z2" s="27"/>
      <c r="AA2" s="27"/>
    </row>
    <row r="3" spans="1:27" s="5" customFormat="1" x14ac:dyDescent="0.25">
      <c r="A3" s="5" t="s">
        <v>0</v>
      </c>
      <c r="B3" s="5" t="s">
        <v>1</v>
      </c>
      <c r="C3" s="5" t="s">
        <v>2</v>
      </c>
      <c r="D3" s="5" t="s">
        <v>9</v>
      </c>
      <c r="E3" s="5" t="s">
        <v>10</v>
      </c>
      <c r="F3" s="5" t="s">
        <v>11</v>
      </c>
      <c r="G3" s="5" t="s">
        <v>4</v>
      </c>
      <c r="H3" s="5" t="s">
        <v>7</v>
      </c>
      <c r="I3" s="5" t="s">
        <v>8</v>
      </c>
      <c r="J3" s="5" t="s">
        <v>12</v>
      </c>
      <c r="K3" s="5" t="s">
        <v>13</v>
      </c>
      <c r="L3" s="5" t="s">
        <v>14</v>
      </c>
      <c r="M3" s="5" t="s">
        <v>3</v>
      </c>
      <c r="N3" s="5" t="s">
        <v>6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14</v>
      </c>
      <c r="W3" s="5" t="s">
        <v>5</v>
      </c>
      <c r="X3" s="5" t="s">
        <v>22</v>
      </c>
      <c r="Y3" s="5" t="s">
        <v>23</v>
      </c>
      <c r="Z3" s="5" t="s">
        <v>24</v>
      </c>
      <c r="AA3" s="5" t="s">
        <v>14</v>
      </c>
    </row>
    <row r="4" spans="1:27" x14ac:dyDescent="0.25">
      <c r="A4">
        <v>5160</v>
      </c>
      <c r="B4">
        <v>23050</v>
      </c>
      <c r="C4" s="1">
        <v>42582</v>
      </c>
      <c r="G4">
        <v>20.3</v>
      </c>
      <c r="H4">
        <v>15.7</v>
      </c>
      <c r="I4">
        <v>25.1</v>
      </c>
      <c r="M4">
        <v>0</v>
      </c>
      <c r="N4">
        <v>4.0999999999999996</v>
      </c>
      <c r="O4">
        <f>M4-N4</f>
        <v>-4.0999999999999996</v>
      </c>
      <c r="S4">
        <f>R4*N4</f>
        <v>0</v>
      </c>
      <c r="T4">
        <f>M4-S4</f>
        <v>0</v>
      </c>
      <c r="W4">
        <v>1787.7</v>
      </c>
    </row>
    <row r="5" spans="1:27" x14ac:dyDescent="0.25">
      <c r="A5">
        <v>5160</v>
      </c>
      <c r="B5">
        <v>23050</v>
      </c>
      <c r="C5" s="1">
        <v>42583</v>
      </c>
      <c r="G5">
        <v>19.5</v>
      </c>
      <c r="H5">
        <v>14.5</v>
      </c>
      <c r="I5">
        <v>23.8</v>
      </c>
      <c r="M5">
        <v>0</v>
      </c>
      <c r="N5">
        <v>4.4000000000000004</v>
      </c>
      <c r="O5">
        <f t="shared" ref="O5:O69" si="0">M5-N5</f>
        <v>-4.4000000000000004</v>
      </c>
      <c r="P5">
        <v>0</v>
      </c>
      <c r="S5">
        <f t="shared" ref="S5:S69" si="1">R5*N5</f>
        <v>0</v>
      </c>
      <c r="T5">
        <f t="shared" ref="T5:T69" si="2">M5-S5</f>
        <v>0</v>
      </c>
      <c r="W5">
        <v>1923.8</v>
      </c>
    </row>
    <row r="6" spans="1:27" x14ac:dyDescent="0.25">
      <c r="A6">
        <v>5160</v>
      </c>
      <c r="B6">
        <v>23050</v>
      </c>
      <c r="C6" s="1">
        <v>42584</v>
      </c>
      <c r="G6">
        <v>20.399999999999999</v>
      </c>
      <c r="H6">
        <v>17.5</v>
      </c>
      <c r="I6">
        <v>24.2</v>
      </c>
      <c r="M6">
        <v>0</v>
      </c>
      <c r="N6">
        <v>3.2</v>
      </c>
      <c r="O6">
        <f t="shared" si="0"/>
        <v>-3.2</v>
      </c>
      <c r="P6">
        <v>0</v>
      </c>
      <c r="S6">
        <f t="shared" si="1"/>
        <v>0</v>
      </c>
      <c r="T6">
        <f t="shared" si="2"/>
        <v>0</v>
      </c>
      <c r="W6">
        <v>881.8</v>
      </c>
    </row>
    <row r="7" spans="1:27" x14ac:dyDescent="0.25">
      <c r="A7">
        <v>5160</v>
      </c>
      <c r="B7">
        <v>23050</v>
      </c>
      <c r="C7" s="1">
        <v>42585</v>
      </c>
      <c r="G7">
        <v>20.9</v>
      </c>
      <c r="H7">
        <v>16.899999999999999</v>
      </c>
      <c r="I7">
        <v>26.3</v>
      </c>
      <c r="M7">
        <v>0</v>
      </c>
      <c r="N7">
        <v>4.5</v>
      </c>
      <c r="O7">
        <f t="shared" si="0"/>
        <v>-4.5</v>
      </c>
      <c r="P7">
        <v>0</v>
      </c>
      <c r="S7">
        <f t="shared" si="1"/>
        <v>0</v>
      </c>
      <c r="T7">
        <f t="shared" si="2"/>
        <v>0</v>
      </c>
      <c r="W7">
        <v>1674.8</v>
      </c>
    </row>
    <row r="8" spans="1:27" x14ac:dyDescent="0.25">
      <c r="A8">
        <v>5160</v>
      </c>
      <c r="B8">
        <v>23050</v>
      </c>
      <c r="C8" s="1">
        <v>42586</v>
      </c>
      <c r="G8">
        <v>17.3</v>
      </c>
      <c r="H8">
        <v>17</v>
      </c>
      <c r="I8">
        <v>19.100000000000001</v>
      </c>
      <c r="M8">
        <v>5.4</v>
      </c>
      <c r="N8">
        <v>2</v>
      </c>
      <c r="O8">
        <f t="shared" si="0"/>
        <v>3.4000000000000004</v>
      </c>
      <c r="P8">
        <f>O8</f>
        <v>3.4000000000000004</v>
      </c>
      <c r="S8">
        <f t="shared" si="1"/>
        <v>0</v>
      </c>
      <c r="T8">
        <f t="shared" si="2"/>
        <v>5.4</v>
      </c>
      <c r="W8">
        <v>1491</v>
      </c>
    </row>
    <row r="9" spans="1:27" x14ac:dyDescent="0.25">
      <c r="A9">
        <v>5160</v>
      </c>
      <c r="B9">
        <v>23050</v>
      </c>
      <c r="C9" s="1">
        <v>42587</v>
      </c>
      <c r="G9">
        <v>17.100000000000001</v>
      </c>
      <c r="H9">
        <v>12.9</v>
      </c>
      <c r="I9">
        <v>22.1</v>
      </c>
      <c r="M9">
        <v>0</v>
      </c>
      <c r="N9">
        <v>2.9</v>
      </c>
      <c r="O9">
        <f t="shared" si="0"/>
        <v>-2.9</v>
      </c>
      <c r="P9">
        <f>O9+P8</f>
        <v>0.50000000000000044</v>
      </c>
      <c r="S9">
        <f t="shared" si="1"/>
        <v>0</v>
      </c>
      <c r="T9">
        <f t="shared" si="2"/>
        <v>0</v>
      </c>
      <c r="W9">
        <v>1363.1</v>
      </c>
    </row>
    <row r="10" spans="1:27" x14ac:dyDescent="0.25">
      <c r="A10">
        <v>5160</v>
      </c>
      <c r="B10">
        <v>23050</v>
      </c>
      <c r="C10" s="1">
        <v>42588</v>
      </c>
      <c r="G10">
        <v>18</v>
      </c>
      <c r="H10">
        <v>10.8</v>
      </c>
      <c r="I10">
        <v>24.6</v>
      </c>
      <c r="M10">
        <v>0</v>
      </c>
      <c r="N10">
        <v>3.9</v>
      </c>
      <c r="O10">
        <f t="shared" si="0"/>
        <v>-3.9</v>
      </c>
      <c r="P10">
        <v>0</v>
      </c>
      <c r="S10">
        <f t="shared" si="1"/>
        <v>0</v>
      </c>
      <c r="T10">
        <f t="shared" si="2"/>
        <v>0</v>
      </c>
      <c r="W10">
        <v>2004.1</v>
      </c>
    </row>
    <row r="11" spans="1:27" x14ac:dyDescent="0.25">
      <c r="A11">
        <v>5160</v>
      </c>
      <c r="B11">
        <v>23050</v>
      </c>
      <c r="C11" s="1">
        <v>42589</v>
      </c>
      <c r="G11">
        <v>21.5</v>
      </c>
      <c r="H11">
        <v>13.7</v>
      </c>
      <c r="I11">
        <v>28</v>
      </c>
      <c r="M11">
        <v>0</v>
      </c>
      <c r="N11">
        <v>5.7</v>
      </c>
      <c r="O11">
        <f t="shared" si="0"/>
        <v>-5.7</v>
      </c>
      <c r="P11">
        <v>0</v>
      </c>
      <c r="S11">
        <f t="shared" si="1"/>
        <v>0</v>
      </c>
      <c r="T11">
        <f t="shared" si="2"/>
        <v>0</v>
      </c>
      <c r="W11">
        <v>2790.1</v>
      </c>
    </row>
    <row r="12" spans="1:27" x14ac:dyDescent="0.25">
      <c r="A12">
        <v>5160</v>
      </c>
      <c r="B12">
        <v>23050</v>
      </c>
      <c r="C12" s="1">
        <v>42590</v>
      </c>
      <c r="G12">
        <v>19.600000000000001</v>
      </c>
      <c r="H12">
        <v>17.399999999999999</v>
      </c>
      <c r="I12">
        <v>23.1</v>
      </c>
      <c r="M12">
        <v>0</v>
      </c>
      <c r="N12">
        <v>3.8</v>
      </c>
      <c r="O12">
        <f t="shared" si="0"/>
        <v>-3.8</v>
      </c>
      <c r="P12">
        <v>0</v>
      </c>
      <c r="S12">
        <f t="shared" si="1"/>
        <v>0</v>
      </c>
      <c r="T12">
        <f t="shared" si="2"/>
        <v>0</v>
      </c>
      <c r="W12">
        <v>1425.9</v>
      </c>
    </row>
    <row r="13" spans="1:27" x14ac:dyDescent="0.25">
      <c r="A13">
        <v>5160</v>
      </c>
      <c r="B13">
        <v>23050</v>
      </c>
      <c r="C13" s="1">
        <v>42591</v>
      </c>
      <c r="G13">
        <v>17</v>
      </c>
      <c r="H13">
        <v>12.3</v>
      </c>
      <c r="I13">
        <v>21.5</v>
      </c>
      <c r="M13">
        <v>0</v>
      </c>
      <c r="N13">
        <v>2.9</v>
      </c>
      <c r="O13">
        <f t="shared" si="0"/>
        <v>-2.9</v>
      </c>
      <c r="P13">
        <v>0</v>
      </c>
      <c r="S13">
        <f t="shared" si="1"/>
        <v>0</v>
      </c>
      <c r="T13">
        <f t="shared" si="2"/>
        <v>0</v>
      </c>
      <c r="W13">
        <v>1241.9000000000001</v>
      </c>
    </row>
    <row r="14" spans="1:27" x14ac:dyDescent="0.25">
      <c r="A14">
        <v>5160</v>
      </c>
      <c r="B14">
        <v>23050</v>
      </c>
      <c r="C14" s="1">
        <v>42592</v>
      </c>
      <c r="G14">
        <v>14.1</v>
      </c>
      <c r="H14">
        <v>9.4</v>
      </c>
      <c r="I14">
        <v>19.5</v>
      </c>
      <c r="M14">
        <v>0</v>
      </c>
      <c r="N14">
        <v>2.5</v>
      </c>
      <c r="O14">
        <f t="shared" si="0"/>
        <v>-2.5</v>
      </c>
      <c r="P14">
        <v>0</v>
      </c>
      <c r="S14">
        <f t="shared" si="1"/>
        <v>0</v>
      </c>
      <c r="T14">
        <f t="shared" si="2"/>
        <v>0</v>
      </c>
      <c r="W14">
        <v>1280.3</v>
      </c>
    </row>
    <row r="15" spans="1:27" x14ac:dyDescent="0.25">
      <c r="A15">
        <v>5160</v>
      </c>
      <c r="B15">
        <v>23050</v>
      </c>
      <c r="C15" s="1">
        <v>42593</v>
      </c>
      <c r="G15">
        <v>15.4</v>
      </c>
      <c r="H15">
        <v>7.8</v>
      </c>
      <c r="I15">
        <v>22.1</v>
      </c>
      <c r="M15">
        <v>0</v>
      </c>
      <c r="N15">
        <v>3.1</v>
      </c>
      <c r="O15">
        <f t="shared" si="0"/>
        <v>-3.1</v>
      </c>
      <c r="P15">
        <v>0</v>
      </c>
      <c r="S15">
        <f t="shared" si="1"/>
        <v>0</v>
      </c>
      <c r="T15">
        <f t="shared" si="2"/>
        <v>0</v>
      </c>
      <c r="W15">
        <v>1615.3</v>
      </c>
    </row>
    <row r="16" spans="1:27" x14ac:dyDescent="0.25">
      <c r="A16">
        <v>5160</v>
      </c>
      <c r="B16">
        <v>23050</v>
      </c>
      <c r="C16" s="1">
        <v>42594</v>
      </c>
      <c r="G16">
        <v>19.100000000000001</v>
      </c>
      <c r="H16">
        <v>11.6</v>
      </c>
      <c r="I16">
        <v>26.6</v>
      </c>
      <c r="M16">
        <v>0</v>
      </c>
      <c r="N16">
        <v>5.6</v>
      </c>
      <c r="O16">
        <f t="shared" si="0"/>
        <v>-5.6</v>
      </c>
      <c r="P16">
        <v>0</v>
      </c>
      <c r="S16">
        <f t="shared" si="1"/>
        <v>0</v>
      </c>
      <c r="T16">
        <f t="shared" si="2"/>
        <v>0</v>
      </c>
      <c r="W16">
        <v>2760</v>
      </c>
    </row>
    <row r="17" spans="1:23" x14ac:dyDescent="0.25">
      <c r="A17">
        <v>5160</v>
      </c>
      <c r="B17">
        <v>23050</v>
      </c>
      <c r="C17" s="1">
        <v>42595</v>
      </c>
      <c r="G17">
        <v>21.5</v>
      </c>
      <c r="H17">
        <v>12.8</v>
      </c>
      <c r="I17">
        <v>28.8</v>
      </c>
      <c r="M17">
        <v>0</v>
      </c>
      <c r="N17">
        <v>5.8</v>
      </c>
      <c r="O17">
        <f t="shared" si="0"/>
        <v>-5.8</v>
      </c>
      <c r="P17">
        <v>0</v>
      </c>
      <c r="S17">
        <f t="shared" si="1"/>
        <v>0</v>
      </c>
      <c r="T17">
        <f t="shared" si="2"/>
        <v>0</v>
      </c>
      <c r="W17">
        <v>2681.9</v>
      </c>
    </row>
    <row r="18" spans="1:23" x14ac:dyDescent="0.25">
      <c r="A18">
        <v>5160</v>
      </c>
      <c r="B18">
        <v>23050</v>
      </c>
      <c r="C18" s="1">
        <v>42596</v>
      </c>
      <c r="G18">
        <v>22.7</v>
      </c>
      <c r="H18">
        <v>15.6</v>
      </c>
      <c r="I18">
        <v>28.6</v>
      </c>
      <c r="M18">
        <v>0</v>
      </c>
      <c r="N18">
        <v>5.8</v>
      </c>
      <c r="O18">
        <f t="shared" si="0"/>
        <v>-5.8</v>
      </c>
      <c r="P18">
        <v>0</v>
      </c>
      <c r="S18">
        <f t="shared" si="1"/>
        <v>0</v>
      </c>
      <c r="T18">
        <f t="shared" si="2"/>
        <v>0</v>
      </c>
      <c r="W18">
        <v>2267.6999999999998</v>
      </c>
    </row>
    <row r="19" spans="1:23" x14ac:dyDescent="0.25">
      <c r="A19">
        <v>5160</v>
      </c>
      <c r="B19">
        <v>23050</v>
      </c>
      <c r="C19" s="1">
        <v>42597</v>
      </c>
      <c r="G19">
        <v>22.7</v>
      </c>
      <c r="H19">
        <v>15.9</v>
      </c>
      <c r="I19">
        <v>28.4</v>
      </c>
      <c r="M19">
        <v>0</v>
      </c>
      <c r="N19">
        <v>6.3</v>
      </c>
      <c r="O19">
        <f t="shared" si="0"/>
        <v>-6.3</v>
      </c>
      <c r="P19">
        <v>0</v>
      </c>
      <c r="S19">
        <f t="shared" si="1"/>
        <v>0</v>
      </c>
      <c r="T19">
        <f t="shared" si="2"/>
        <v>0</v>
      </c>
      <c r="W19">
        <v>2714.2</v>
      </c>
    </row>
    <row r="20" spans="1:23" x14ac:dyDescent="0.25">
      <c r="A20">
        <v>5160</v>
      </c>
      <c r="B20">
        <v>23050</v>
      </c>
      <c r="C20" s="1">
        <v>42598</v>
      </c>
      <c r="G20">
        <v>23.2</v>
      </c>
      <c r="H20">
        <v>15.9</v>
      </c>
      <c r="I20">
        <v>29.8</v>
      </c>
      <c r="M20">
        <v>0</v>
      </c>
      <c r="N20">
        <v>6.2</v>
      </c>
      <c r="O20">
        <f t="shared" si="0"/>
        <v>-6.2</v>
      </c>
      <c r="P20">
        <v>0</v>
      </c>
      <c r="S20">
        <f t="shared" si="1"/>
        <v>0</v>
      </c>
      <c r="T20">
        <f t="shared" si="2"/>
        <v>0</v>
      </c>
      <c r="W20">
        <v>2740.7</v>
      </c>
    </row>
    <row r="21" spans="1:23" x14ac:dyDescent="0.25">
      <c r="A21">
        <v>5160</v>
      </c>
      <c r="B21">
        <v>23050</v>
      </c>
      <c r="C21" s="1">
        <v>42599</v>
      </c>
      <c r="G21">
        <v>23.7</v>
      </c>
      <c r="H21">
        <v>15</v>
      </c>
      <c r="I21">
        <v>31.2</v>
      </c>
      <c r="M21">
        <v>3.5</v>
      </c>
      <c r="N21">
        <v>5.3</v>
      </c>
      <c r="O21">
        <f t="shared" si="0"/>
        <v>-1.7999999999999998</v>
      </c>
      <c r="P21">
        <v>0</v>
      </c>
      <c r="S21">
        <f t="shared" si="1"/>
        <v>0</v>
      </c>
      <c r="T21">
        <f t="shared" si="2"/>
        <v>3.5</v>
      </c>
      <c r="W21">
        <v>2259.8000000000002</v>
      </c>
    </row>
    <row r="22" spans="1:23" x14ac:dyDescent="0.25">
      <c r="A22">
        <v>5160</v>
      </c>
      <c r="B22">
        <v>23050</v>
      </c>
      <c r="C22" s="1">
        <v>42600</v>
      </c>
      <c r="G22">
        <v>19.8</v>
      </c>
      <c r="H22">
        <v>18.7</v>
      </c>
      <c r="I22">
        <v>22.4</v>
      </c>
      <c r="M22">
        <v>1.2</v>
      </c>
      <c r="N22">
        <v>2.1</v>
      </c>
      <c r="O22">
        <f t="shared" si="0"/>
        <v>-0.90000000000000013</v>
      </c>
      <c r="P22">
        <v>0</v>
      </c>
      <c r="S22">
        <f t="shared" si="1"/>
        <v>0</v>
      </c>
      <c r="T22">
        <f t="shared" si="2"/>
        <v>1.2</v>
      </c>
      <c r="W22">
        <v>586.20000000000005</v>
      </c>
    </row>
    <row r="23" spans="1:23" x14ac:dyDescent="0.25">
      <c r="A23">
        <v>5160</v>
      </c>
      <c r="B23">
        <v>23050</v>
      </c>
      <c r="C23" s="1">
        <v>42601</v>
      </c>
      <c r="G23">
        <v>16.7</v>
      </c>
      <c r="H23">
        <v>13.3</v>
      </c>
      <c r="I23">
        <v>20.8</v>
      </c>
      <c r="M23">
        <v>1.2</v>
      </c>
      <c r="N23">
        <v>1.9</v>
      </c>
      <c r="O23">
        <f t="shared" si="0"/>
        <v>-0.7</v>
      </c>
      <c r="P23">
        <v>0</v>
      </c>
      <c r="S23">
        <f t="shared" si="1"/>
        <v>0</v>
      </c>
      <c r="T23">
        <f t="shared" si="2"/>
        <v>1.2</v>
      </c>
      <c r="W23">
        <v>1159.2</v>
      </c>
    </row>
    <row r="24" spans="1:23" x14ac:dyDescent="0.25">
      <c r="A24">
        <v>5160</v>
      </c>
      <c r="B24">
        <v>23050</v>
      </c>
      <c r="C24" s="1">
        <v>42602</v>
      </c>
      <c r="G24">
        <v>18.600000000000001</v>
      </c>
      <c r="H24">
        <v>14.6</v>
      </c>
      <c r="I24">
        <v>23.6</v>
      </c>
      <c r="M24">
        <v>0</v>
      </c>
      <c r="N24">
        <v>4.0999999999999996</v>
      </c>
      <c r="O24">
        <f t="shared" si="0"/>
        <v>-4.0999999999999996</v>
      </c>
      <c r="P24">
        <v>0</v>
      </c>
      <c r="S24">
        <f t="shared" si="1"/>
        <v>0</v>
      </c>
      <c r="T24">
        <f t="shared" si="2"/>
        <v>0</v>
      </c>
      <c r="W24">
        <v>1329.2</v>
      </c>
    </row>
    <row r="25" spans="1:23" x14ac:dyDescent="0.25">
      <c r="A25">
        <v>5160</v>
      </c>
      <c r="B25">
        <v>23050</v>
      </c>
      <c r="C25" s="1">
        <v>42603</v>
      </c>
      <c r="G25">
        <v>17.100000000000001</v>
      </c>
      <c r="H25">
        <v>12.3</v>
      </c>
      <c r="I25">
        <v>21.7</v>
      </c>
      <c r="M25">
        <v>0</v>
      </c>
      <c r="N25">
        <v>3.5</v>
      </c>
      <c r="O25">
        <f t="shared" si="0"/>
        <v>-3.5</v>
      </c>
      <c r="P25">
        <v>0</v>
      </c>
      <c r="S25">
        <f t="shared" si="1"/>
        <v>0</v>
      </c>
      <c r="T25">
        <f t="shared" si="2"/>
        <v>0</v>
      </c>
      <c r="W25">
        <v>1229.5</v>
      </c>
    </row>
    <row r="26" spans="1:23" x14ac:dyDescent="0.25">
      <c r="A26">
        <v>5160</v>
      </c>
      <c r="B26">
        <v>23050</v>
      </c>
      <c r="C26" s="1">
        <v>42604</v>
      </c>
      <c r="G26">
        <v>20.3</v>
      </c>
      <c r="H26">
        <v>11.9</v>
      </c>
      <c r="I26">
        <v>27</v>
      </c>
      <c r="M26">
        <v>0</v>
      </c>
      <c r="N26">
        <v>5.2</v>
      </c>
      <c r="O26">
        <f t="shared" si="0"/>
        <v>-5.2</v>
      </c>
      <c r="P26">
        <v>0</v>
      </c>
      <c r="S26">
        <f t="shared" si="1"/>
        <v>0</v>
      </c>
      <c r="T26">
        <f t="shared" si="2"/>
        <v>0</v>
      </c>
      <c r="W26">
        <v>2494.3000000000002</v>
      </c>
    </row>
    <row r="27" spans="1:23" x14ac:dyDescent="0.25">
      <c r="A27">
        <v>5160</v>
      </c>
      <c r="B27">
        <v>23050</v>
      </c>
      <c r="C27" s="1">
        <v>42605</v>
      </c>
      <c r="G27">
        <v>24.4</v>
      </c>
      <c r="H27">
        <v>16.8</v>
      </c>
      <c r="I27">
        <v>32.200000000000003</v>
      </c>
      <c r="M27">
        <v>0</v>
      </c>
      <c r="N27">
        <v>7.1</v>
      </c>
      <c r="O27">
        <f t="shared" si="0"/>
        <v>-7.1</v>
      </c>
      <c r="P27">
        <v>0</v>
      </c>
      <c r="S27">
        <f t="shared" si="1"/>
        <v>0</v>
      </c>
      <c r="T27">
        <f t="shared" si="2"/>
        <v>0</v>
      </c>
      <c r="W27">
        <v>2573.4</v>
      </c>
    </row>
    <row r="28" spans="1:23" x14ac:dyDescent="0.25">
      <c r="A28">
        <v>5160</v>
      </c>
      <c r="B28">
        <v>23050</v>
      </c>
      <c r="C28" s="1">
        <v>42606</v>
      </c>
      <c r="G28">
        <v>26.7</v>
      </c>
      <c r="H28">
        <v>18.399999999999999</v>
      </c>
      <c r="I28">
        <v>34.799999999999997</v>
      </c>
      <c r="M28">
        <v>0</v>
      </c>
      <c r="N28">
        <v>6.4</v>
      </c>
      <c r="O28">
        <f t="shared" si="0"/>
        <v>-6.4</v>
      </c>
      <c r="P28">
        <v>0</v>
      </c>
      <c r="S28">
        <f t="shared" si="1"/>
        <v>0</v>
      </c>
      <c r="T28">
        <f t="shared" si="2"/>
        <v>0</v>
      </c>
      <c r="W28">
        <v>2554.6</v>
      </c>
    </row>
    <row r="29" spans="1:23" x14ac:dyDescent="0.25">
      <c r="A29">
        <v>5160</v>
      </c>
      <c r="B29">
        <v>23050</v>
      </c>
      <c r="C29" s="1">
        <v>42607</v>
      </c>
      <c r="G29">
        <v>25.7</v>
      </c>
      <c r="H29">
        <v>17.3</v>
      </c>
      <c r="I29">
        <v>33.6</v>
      </c>
      <c r="M29">
        <v>0</v>
      </c>
      <c r="N29">
        <v>6.1</v>
      </c>
      <c r="O29">
        <f t="shared" si="0"/>
        <v>-6.1</v>
      </c>
      <c r="P29">
        <v>0</v>
      </c>
      <c r="S29">
        <f t="shared" si="1"/>
        <v>0</v>
      </c>
      <c r="T29">
        <f t="shared" si="2"/>
        <v>0</v>
      </c>
      <c r="W29">
        <v>2480.8000000000002</v>
      </c>
    </row>
    <row r="30" spans="1:23" x14ac:dyDescent="0.25">
      <c r="A30">
        <v>5160</v>
      </c>
      <c r="B30">
        <v>23050</v>
      </c>
      <c r="C30" s="1">
        <v>42608</v>
      </c>
      <c r="G30">
        <v>25.8</v>
      </c>
      <c r="H30">
        <v>18.899999999999999</v>
      </c>
      <c r="I30">
        <v>33.299999999999997</v>
      </c>
      <c r="M30">
        <v>0</v>
      </c>
      <c r="N30">
        <v>4.9000000000000004</v>
      </c>
      <c r="O30">
        <f t="shared" si="0"/>
        <v>-4.9000000000000004</v>
      </c>
      <c r="P30">
        <v>0</v>
      </c>
      <c r="S30">
        <f t="shared" si="1"/>
        <v>0</v>
      </c>
      <c r="T30">
        <f t="shared" si="2"/>
        <v>0</v>
      </c>
      <c r="W30">
        <v>2068.1999999999998</v>
      </c>
    </row>
    <row r="31" spans="1:23" x14ac:dyDescent="0.25">
      <c r="A31">
        <v>5160</v>
      </c>
      <c r="B31">
        <v>23050</v>
      </c>
      <c r="C31" s="1">
        <v>42609</v>
      </c>
      <c r="G31">
        <v>25.1</v>
      </c>
      <c r="H31">
        <v>16.3</v>
      </c>
      <c r="I31">
        <v>32.700000000000003</v>
      </c>
      <c r="M31">
        <v>0</v>
      </c>
      <c r="N31">
        <v>5.7</v>
      </c>
      <c r="O31">
        <f t="shared" si="0"/>
        <v>-5.7</v>
      </c>
      <c r="P31">
        <v>0</v>
      </c>
      <c r="S31">
        <f t="shared" si="1"/>
        <v>0</v>
      </c>
      <c r="T31">
        <f t="shared" si="2"/>
        <v>0</v>
      </c>
      <c r="W31">
        <v>2346.1999999999998</v>
      </c>
    </row>
    <row r="32" spans="1:23" x14ac:dyDescent="0.25">
      <c r="A32">
        <v>5160</v>
      </c>
      <c r="B32">
        <v>23050</v>
      </c>
      <c r="C32" s="1">
        <v>42610</v>
      </c>
      <c r="G32">
        <v>21.4</v>
      </c>
      <c r="H32">
        <v>17.3</v>
      </c>
      <c r="I32">
        <v>24.6</v>
      </c>
      <c r="M32">
        <v>0</v>
      </c>
      <c r="N32">
        <v>3.6</v>
      </c>
      <c r="O32">
        <f t="shared" si="0"/>
        <v>-3.6</v>
      </c>
      <c r="P32">
        <v>0</v>
      </c>
      <c r="S32">
        <f t="shared" si="1"/>
        <v>0</v>
      </c>
      <c r="T32">
        <f t="shared" si="2"/>
        <v>0</v>
      </c>
      <c r="W32">
        <v>1309.4000000000001</v>
      </c>
    </row>
    <row r="33" spans="1:23" x14ac:dyDescent="0.25">
      <c r="A33">
        <v>5160</v>
      </c>
      <c r="B33">
        <v>23050</v>
      </c>
      <c r="C33" s="1">
        <v>42611</v>
      </c>
      <c r="G33">
        <v>19.600000000000001</v>
      </c>
      <c r="H33">
        <v>17.7</v>
      </c>
      <c r="I33">
        <v>22</v>
      </c>
      <c r="M33">
        <v>0.2</v>
      </c>
      <c r="N33">
        <v>2.9</v>
      </c>
      <c r="O33">
        <f t="shared" si="0"/>
        <v>-2.6999999999999997</v>
      </c>
      <c r="P33">
        <v>0</v>
      </c>
      <c r="S33">
        <f t="shared" si="1"/>
        <v>0</v>
      </c>
      <c r="T33">
        <f t="shared" si="2"/>
        <v>0.2</v>
      </c>
      <c r="W33">
        <v>1364</v>
      </c>
    </row>
    <row r="34" spans="1:23" x14ac:dyDescent="0.25">
      <c r="A34">
        <v>5160</v>
      </c>
      <c r="B34">
        <v>23050</v>
      </c>
      <c r="C34" s="1">
        <v>42612</v>
      </c>
      <c r="G34">
        <v>20.2</v>
      </c>
      <c r="H34">
        <v>14.3</v>
      </c>
      <c r="I34">
        <v>25.4</v>
      </c>
      <c r="M34">
        <v>0</v>
      </c>
      <c r="N34">
        <v>4.0999999999999996</v>
      </c>
      <c r="O34">
        <f t="shared" si="0"/>
        <v>-4.0999999999999996</v>
      </c>
      <c r="P34">
        <v>0</v>
      </c>
      <c r="S34">
        <f t="shared" si="1"/>
        <v>0</v>
      </c>
      <c r="T34">
        <f t="shared" si="2"/>
        <v>0</v>
      </c>
      <c r="W34">
        <v>1918.3</v>
      </c>
    </row>
    <row r="35" spans="1:23" x14ac:dyDescent="0.25">
      <c r="A35">
        <v>5160</v>
      </c>
      <c r="B35">
        <v>23050</v>
      </c>
      <c r="C35" s="1">
        <v>42613</v>
      </c>
      <c r="G35">
        <v>21</v>
      </c>
      <c r="H35">
        <v>13.6</v>
      </c>
      <c r="I35">
        <v>27</v>
      </c>
      <c r="M35">
        <v>0</v>
      </c>
      <c r="N35">
        <v>3.2</v>
      </c>
      <c r="O35">
        <f t="shared" si="0"/>
        <v>-3.2</v>
      </c>
      <c r="P35">
        <v>0</v>
      </c>
      <c r="S35">
        <f t="shared" si="1"/>
        <v>0</v>
      </c>
      <c r="T35">
        <f t="shared" si="2"/>
        <v>0</v>
      </c>
      <c r="W35">
        <v>1229.4000000000001</v>
      </c>
    </row>
    <row r="36" spans="1:23" x14ac:dyDescent="0.25">
      <c r="A36">
        <v>5160</v>
      </c>
      <c r="B36">
        <v>23050</v>
      </c>
      <c r="C36" s="1">
        <v>42614</v>
      </c>
      <c r="G36">
        <v>20.8</v>
      </c>
      <c r="H36">
        <v>13.3</v>
      </c>
      <c r="I36">
        <v>26.8</v>
      </c>
      <c r="M36">
        <v>0</v>
      </c>
      <c r="N36">
        <v>3.5</v>
      </c>
      <c r="O36">
        <f t="shared" si="0"/>
        <v>-3.5</v>
      </c>
      <c r="P36">
        <v>0</v>
      </c>
      <c r="S36">
        <f t="shared" si="1"/>
        <v>0</v>
      </c>
      <c r="T36">
        <f t="shared" si="2"/>
        <v>0</v>
      </c>
      <c r="W36">
        <v>1698.5</v>
      </c>
    </row>
    <row r="37" spans="1:23" x14ac:dyDescent="0.25">
      <c r="A37">
        <v>5160</v>
      </c>
      <c r="B37">
        <v>23050</v>
      </c>
      <c r="C37" s="1">
        <v>42615</v>
      </c>
      <c r="G37">
        <v>21.5</v>
      </c>
      <c r="H37">
        <v>13.5</v>
      </c>
      <c r="I37">
        <v>29.3</v>
      </c>
      <c r="M37">
        <v>0</v>
      </c>
      <c r="N37">
        <v>3.5</v>
      </c>
      <c r="O37">
        <f t="shared" si="0"/>
        <v>-3.5</v>
      </c>
      <c r="P37">
        <v>0</v>
      </c>
      <c r="S37">
        <f t="shared" si="1"/>
        <v>0</v>
      </c>
      <c r="T37">
        <f t="shared" si="2"/>
        <v>0</v>
      </c>
      <c r="W37">
        <v>1523.2</v>
      </c>
    </row>
    <row r="38" spans="1:23" x14ac:dyDescent="0.25">
      <c r="A38">
        <v>5160</v>
      </c>
      <c r="B38">
        <v>23050</v>
      </c>
      <c r="C38" s="1">
        <v>42616</v>
      </c>
      <c r="G38">
        <v>21</v>
      </c>
      <c r="H38">
        <v>12.8</v>
      </c>
      <c r="I38">
        <v>27.2</v>
      </c>
      <c r="M38">
        <v>0</v>
      </c>
      <c r="N38">
        <v>3.5</v>
      </c>
      <c r="O38">
        <f t="shared" si="0"/>
        <v>-3.5</v>
      </c>
      <c r="P38">
        <v>0</v>
      </c>
      <c r="S38">
        <f t="shared" si="1"/>
        <v>0</v>
      </c>
      <c r="T38">
        <f t="shared" si="2"/>
        <v>0</v>
      </c>
      <c r="W38">
        <v>1669.3</v>
      </c>
    </row>
    <row r="39" spans="1:23" x14ac:dyDescent="0.25">
      <c r="A39">
        <v>5160</v>
      </c>
      <c r="B39">
        <v>23050</v>
      </c>
      <c r="C39" s="1">
        <v>42617</v>
      </c>
      <c r="G39">
        <v>20.399999999999999</v>
      </c>
      <c r="H39">
        <v>17.5</v>
      </c>
      <c r="I39">
        <v>23.3</v>
      </c>
      <c r="M39">
        <v>0.6</v>
      </c>
      <c r="N39">
        <v>1.7</v>
      </c>
      <c r="O39">
        <f t="shared" si="0"/>
        <v>-1.1000000000000001</v>
      </c>
      <c r="P39">
        <v>0</v>
      </c>
      <c r="S39">
        <f t="shared" si="1"/>
        <v>0</v>
      </c>
      <c r="T39">
        <f t="shared" si="2"/>
        <v>0.6</v>
      </c>
      <c r="W39">
        <v>870.7</v>
      </c>
    </row>
    <row r="40" spans="1:23" x14ac:dyDescent="0.25">
      <c r="A40">
        <v>5160</v>
      </c>
      <c r="B40">
        <v>23050</v>
      </c>
      <c r="C40" s="1">
        <v>42618</v>
      </c>
      <c r="G40">
        <v>21.3</v>
      </c>
      <c r="H40">
        <v>19.3</v>
      </c>
      <c r="I40">
        <v>23.8</v>
      </c>
      <c r="M40">
        <v>0</v>
      </c>
      <c r="N40">
        <v>1.6</v>
      </c>
      <c r="O40">
        <f t="shared" si="0"/>
        <v>-1.6</v>
      </c>
      <c r="P40">
        <v>0</v>
      </c>
      <c r="S40">
        <f t="shared" si="1"/>
        <v>0</v>
      </c>
      <c r="T40">
        <f t="shared" si="2"/>
        <v>0</v>
      </c>
      <c r="W40">
        <v>487.1</v>
      </c>
    </row>
    <row r="41" spans="1:23" x14ac:dyDescent="0.25">
      <c r="A41">
        <v>5160</v>
      </c>
      <c r="B41">
        <v>23050</v>
      </c>
      <c r="C41" s="1">
        <v>42619</v>
      </c>
      <c r="G41">
        <v>20.2</v>
      </c>
      <c r="H41">
        <v>15.9</v>
      </c>
      <c r="I41">
        <v>23.4</v>
      </c>
      <c r="M41">
        <v>0.1</v>
      </c>
      <c r="N41">
        <v>2</v>
      </c>
      <c r="O41">
        <f t="shared" si="0"/>
        <v>-1.9</v>
      </c>
      <c r="P41">
        <v>0</v>
      </c>
      <c r="S41">
        <f t="shared" si="1"/>
        <v>0</v>
      </c>
      <c r="T41">
        <f t="shared" si="2"/>
        <v>0.1</v>
      </c>
      <c r="W41">
        <v>835.4</v>
      </c>
    </row>
    <row r="42" spans="1:23" x14ac:dyDescent="0.25">
      <c r="A42">
        <v>5160</v>
      </c>
      <c r="B42">
        <v>23050</v>
      </c>
      <c r="C42" s="1">
        <v>42620</v>
      </c>
      <c r="G42">
        <v>20.7</v>
      </c>
      <c r="H42">
        <v>14.6</v>
      </c>
      <c r="I42">
        <v>26.7</v>
      </c>
      <c r="M42">
        <v>0</v>
      </c>
      <c r="N42">
        <v>4.5999999999999996</v>
      </c>
      <c r="O42">
        <f t="shared" si="0"/>
        <v>-4.5999999999999996</v>
      </c>
      <c r="P42">
        <v>0</v>
      </c>
      <c r="S42">
        <f t="shared" si="1"/>
        <v>0</v>
      </c>
      <c r="T42">
        <f t="shared" si="2"/>
        <v>0</v>
      </c>
      <c r="W42">
        <v>1894.8</v>
      </c>
    </row>
    <row r="43" spans="1:23" x14ac:dyDescent="0.25">
      <c r="A43">
        <v>5160</v>
      </c>
      <c r="B43">
        <v>23050</v>
      </c>
      <c r="C43" s="1">
        <v>42621</v>
      </c>
      <c r="G43">
        <v>18.7</v>
      </c>
      <c r="H43">
        <v>14.7</v>
      </c>
      <c r="I43">
        <v>23</v>
      </c>
      <c r="M43">
        <v>0</v>
      </c>
      <c r="N43">
        <v>2.6</v>
      </c>
      <c r="O43">
        <f t="shared" si="0"/>
        <v>-2.6</v>
      </c>
      <c r="P43">
        <v>0</v>
      </c>
      <c r="S43">
        <f t="shared" si="1"/>
        <v>0</v>
      </c>
      <c r="T43">
        <f t="shared" si="2"/>
        <v>0</v>
      </c>
      <c r="W43">
        <v>773.2</v>
      </c>
    </row>
    <row r="44" spans="1:23" x14ac:dyDescent="0.25">
      <c r="A44">
        <v>5160</v>
      </c>
      <c r="B44">
        <v>23050</v>
      </c>
      <c r="C44" s="1">
        <v>42622</v>
      </c>
      <c r="G44">
        <v>17.100000000000001</v>
      </c>
      <c r="H44">
        <v>9.6999999999999993</v>
      </c>
      <c r="I44">
        <v>24.3</v>
      </c>
      <c r="M44">
        <v>0</v>
      </c>
      <c r="N44">
        <v>3.2</v>
      </c>
      <c r="O44">
        <f t="shared" si="0"/>
        <v>-3.2</v>
      </c>
      <c r="P44">
        <v>0</v>
      </c>
      <c r="S44">
        <f t="shared" si="1"/>
        <v>0</v>
      </c>
      <c r="T44">
        <f t="shared" si="2"/>
        <v>0</v>
      </c>
      <c r="W44">
        <v>1619.9</v>
      </c>
    </row>
    <row r="45" spans="1:23" x14ac:dyDescent="0.25">
      <c r="A45">
        <v>5160</v>
      </c>
      <c r="B45">
        <v>23050</v>
      </c>
      <c r="C45" s="1">
        <v>42623</v>
      </c>
      <c r="G45">
        <v>17.8</v>
      </c>
      <c r="H45">
        <v>9.3000000000000007</v>
      </c>
      <c r="I45">
        <v>24.1</v>
      </c>
      <c r="M45">
        <v>0</v>
      </c>
      <c r="N45">
        <v>3.1</v>
      </c>
      <c r="O45">
        <f t="shared" si="0"/>
        <v>-3.1</v>
      </c>
      <c r="P45">
        <v>0</v>
      </c>
      <c r="S45">
        <f t="shared" si="1"/>
        <v>0</v>
      </c>
      <c r="T45">
        <f t="shared" si="2"/>
        <v>0</v>
      </c>
      <c r="W45">
        <v>1617.4</v>
      </c>
    </row>
    <row r="46" spans="1:23" x14ac:dyDescent="0.25">
      <c r="A46">
        <v>5160</v>
      </c>
      <c r="B46">
        <v>23050</v>
      </c>
      <c r="C46" s="1">
        <v>42624</v>
      </c>
      <c r="G46">
        <v>20.3</v>
      </c>
      <c r="H46">
        <v>17.600000000000001</v>
      </c>
      <c r="I46">
        <v>23.3</v>
      </c>
      <c r="M46">
        <v>0</v>
      </c>
      <c r="N46">
        <v>1.4</v>
      </c>
      <c r="O46">
        <f t="shared" si="0"/>
        <v>-1.4</v>
      </c>
      <c r="P46">
        <v>0</v>
      </c>
      <c r="S46">
        <f t="shared" si="1"/>
        <v>0</v>
      </c>
      <c r="T46">
        <f t="shared" si="2"/>
        <v>0</v>
      </c>
      <c r="W46">
        <v>490.9</v>
      </c>
    </row>
    <row r="47" spans="1:23" x14ac:dyDescent="0.25">
      <c r="A47">
        <v>5160</v>
      </c>
      <c r="B47">
        <v>23050</v>
      </c>
      <c r="C47" s="1">
        <v>42625</v>
      </c>
      <c r="G47">
        <v>21.8</v>
      </c>
      <c r="H47">
        <v>14.3</v>
      </c>
      <c r="I47">
        <v>29.8</v>
      </c>
      <c r="M47">
        <v>0.4</v>
      </c>
      <c r="N47">
        <v>2.6</v>
      </c>
      <c r="O47">
        <f t="shared" si="0"/>
        <v>-2.2000000000000002</v>
      </c>
      <c r="P47">
        <v>0</v>
      </c>
      <c r="S47">
        <f t="shared" si="1"/>
        <v>0</v>
      </c>
      <c r="T47">
        <f t="shared" si="2"/>
        <v>0.4</v>
      </c>
      <c r="W47">
        <v>1132</v>
      </c>
    </row>
    <row r="48" spans="1:23" x14ac:dyDescent="0.25">
      <c r="A48">
        <v>5160</v>
      </c>
      <c r="B48">
        <v>23050</v>
      </c>
      <c r="C48" s="1">
        <v>42626</v>
      </c>
      <c r="G48">
        <v>23.6</v>
      </c>
      <c r="H48">
        <v>17</v>
      </c>
      <c r="I48">
        <v>31.1</v>
      </c>
      <c r="M48">
        <v>0</v>
      </c>
      <c r="N48">
        <v>4.4000000000000004</v>
      </c>
      <c r="O48">
        <f t="shared" si="0"/>
        <v>-4.4000000000000004</v>
      </c>
      <c r="P48">
        <v>0</v>
      </c>
      <c r="S48">
        <f t="shared" si="1"/>
        <v>0</v>
      </c>
      <c r="T48">
        <f t="shared" si="2"/>
        <v>0</v>
      </c>
      <c r="W48">
        <v>1638.1</v>
      </c>
    </row>
    <row r="49" spans="1:27" s="2" customFormat="1" x14ac:dyDescent="0.25">
      <c r="C49" s="3"/>
    </row>
    <row r="50" spans="1:27" x14ac:dyDescent="0.25">
      <c r="A50">
        <v>5160</v>
      </c>
      <c r="B50">
        <v>23050</v>
      </c>
      <c r="C50" s="1">
        <v>42627</v>
      </c>
      <c r="D50" t="s">
        <v>28</v>
      </c>
      <c r="F50" s="28" t="s">
        <v>53</v>
      </c>
      <c r="G50">
        <v>17.3</v>
      </c>
      <c r="H50">
        <v>14.3</v>
      </c>
      <c r="I50">
        <v>20.7</v>
      </c>
      <c r="J50">
        <f>G50</f>
        <v>17.3</v>
      </c>
      <c r="K50">
        <f>G50</f>
        <v>17.3</v>
      </c>
      <c r="L50" s="9" t="s">
        <v>35</v>
      </c>
      <c r="M50">
        <v>7.9</v>
      </c>
      <c r="N50">
        <v>1.9</v>
      </c>
      <c r="O50">
        <f t="shared" si="0"/>
        <v>6</v>
      </c>
      <c r="Q50">
        <v>1</v>
      </c>
      <c r="R50">
        <v>0.35</v>
      </c>
      <c r="S50">
        <f t="shared" si="1"/>
        <v>0.66499999999999992</v>
      </c>
      <c r="T50">
        <f t="shared" si="2"/>
        <v>7.2350000000000003</v>
      </c>
      <c r="U50" s="4">
        <f>T50</f>
        <v>7.2350000000000003</v>
      </c>
      <c r="V50" s="12" t="s">
        <v>42</v>
      </c>
      <c r="W50">
        <v>1044.7</v>
      </c>
      <c r="X50">
        <f>W50</f>
        <v>1044.7</v>
      </c>
      <c r="Y50">
        <f>W50</f>
        <v>1044.7</v>
      </c>
      <c r="Z50">
        <v>12.325493841203041</v>
      </c>
      <c r="AA50" s="12" t="s">
        <v>47</v>
      </c>
    </row>
    <row r="51" spans="1:27" x14ac:dyDescent="0.25">
      <c r="A51">
        <v>5160</v>
      </c>
      <c r="B51">
        <v>23050</v>
      </c>
      <c r="C51" s="1">
        <v>42628</v>
      </c>
      <c r="F51" s="28"/>
      <c r="G51">
        <v>16</v>
      </c>
      <c r="H51">
        <v>15.4</v>
      </c>
      <c r="I51">
        <v>17</v>
      </c>
      <c r="J51">
        <f>J50+G51</f>
        <v>33.299999999999997</v>
      </c>
      <c r="K51">
        <f>K50+G51</f>
        <v>33.299999999999997</v>
      </c>
      <c r="L51" s="10">
        <v>799.5</v>
      </c>
      <c r="M51">
        <v>1.5</v>
      </c>
      <c r="N51">
        <v>1.1000000000000001</v>
      </c>
      <c r="O51">
        <f t="shared" si="0"/>
        <v>0.39999999999999991</v>
      </c>
      <c r="Q51">
        <v>2</v>
      </c>
      <c r="R51">
        <v>0.35</v>
      </c>
      <c r="S51">
        <f t="shared" si="1"/>
        <v>0.38500000000000001</v>
      </c>
      <c r="T51">
        <f t="shared" si="2"/>
        <v>1.115</v>
      </c>
      <c r="U51" s="4">
        <f>MIN(U50+T51,138.9)</f>
        <v>8.35</v>
      </c>
      <c r="V51">
        <v>0</v>
      </c>
      <c r="W51">
        <v>592.5</v>
      </c>
      <c r="X51">
        <f>X50+W51</f>
        <v>1637.2</v>
      </c>
      <c r="Y51">
        <f>Y50+W51</f>
        <v>1637.2</v>
      </c>
      <c r="Z51">
        <v>12.266374257761216</v>
      </c>
      <c r="AA51">
        <v>45986.400000000001</v>
      </c>
    </row>
    <row r="52" spans="1:27" x14ac:dyDescent="0.25">
      <c r="A52">
        <v>5160</v>
      </c>
      <c r="B52">
        <v>23050</v>
      </c>
      <c r="C52" s="1">
        <v>42629</v>
      </c>
      <c r="F52" s="28"/>
      <c r="G52">
        <v>13.4</v>
      </c>
      <c r="H52">
        <v>11.4</v>
      </c>
      <c r="I52">
        <v>15.6</v>
      </c>
      <c r="J52">
        <f t="shared" ref="J52:J115" si="3">J51+G52</f>
        <v>46.699999999999996</v>
      </c>
      <c r="K52">
        <f t="shared" ref="K52:K115" si="4">K51+G52</f>
        <v>46.699999999999996</v>
      </c>
      <c r="L52" s="9" t="s">
        <v>36</v>
      </c>
      <c r="M52">
        <v>5.8</v>
      </c>
      <c r="N52">
        <v>0.9</v>
      </c>
      <c r="O52">
        <f t="shared" si="0"/>
        <v>4.8999999999999995</v>
      </c>
      <c r="Q52">
        <v>3</v>
      </c>
      <c r="R52">
        <v>0.35</v>
      </c>
      <c r="S52">
        <f t="shared" si="1"/>
        <v>0.315</v>
      </c>
      <c r="T52">
        <f t="shared" si="2"/>
        <v>5.4849999999999994</v>
      </c>
      <c r="U52" s="4">
        <f t="shared" ref="U52:U115" si="5">MIN(U51+T52,138.9)</f>
        <v>13.834999999999999</v>
      </c>
      <c r="V52" s="12" t="s">
        <v>43</v>
      </c>
      <c r="W52">
        <v>499</v>
      </c>
      <c r="X52">
        <f t="shared" ref="X52:X115" si="6">X51+W52</f>
        <v>2136.1999999999998</v>
      </c>
      <c r="Y52">
        <f t="shared" ref="Y52:Y115" si="7">Y51+W52</f>
        <v>2136.1999999999998</v>
      </c>
      <c r="Z52">
        <v>12.207217942511672</v>
      </c>
      <c r="AA52" s="12" t="s">
        <v>48</v>
      </c>
    </row>
    <row r="53" spans="1:27" x14ac:dyDescent="0.25">
      <c r="A53">
        <v>5160</v>
      </c>
      <c r="B53">
        <v>23050</v>
      </c>
      <c r="C53" s="1">
        <v>42630</v>
      </c>
      <c r="F53" s="28"/>
      <c r="G53">
        <v>13.8</v>
      </c>
      <c r="H53">
        <v>10.9</v>
      </c>
      <c r="I53">
        <v>16.899999999999999</v>
      </c>
      <c r="J53">
        <f t="shared" si="3"/>
        <v>60.5</v>
      </c>
      <c r="K53">
        <f t="shared" si="4"/>
        <v>60.5</v>
      </c>
      <c r="L53" s="10">
        <f>AVERAGE(G50:G124)</f>
        <v>10.660000000000002</v>
      </c>
      <c r="M53">
        <v>0.8</v>
      </c>
      <c r="N53">
        <v>1.7</v>
      </c>
      <c r="O53">
        <f t="shared" si="0"/>
        <v>-0.89999999999999991</v>
      </c>
      <c r="Q53">
        <v>4</v>
      </c>
      <c r="R53">
        <v>0.35</v>
      </c>
      <c r="S53">
        <f t="shared" si="1"/>
        <v>0.59499999999999997</v>
      </c>
      <c r="T53">
        <f t="shared" si="2"/>
        <v>0.20500000000000007</v>
      </c>
      <c r="U53" s="4">
        <f t="shared" si="5"/>
        <v>14.04</v>
      </c>
      <c r="V53">
        <v>63</v>
      </c>
      <c r="W53">
        <v>916.1</v>
      </c>
      <c r="X53">
        <f t="shared" si="6"/>
        <v>3052.2999999999997</v>
      </c>
      <c r="Y53">
        <f t="shared" si="7"/>
        <v>3052.2999999999997</v>
      </c>
      <c r="Z53">
        <v>12.148033127882103</v>
      </c>
      <c r="AA53">
        <f>(AA51/100)/L51</f>
        <v>0.57518949343339587</v>
      </c>
    </row>
    <row r="54" spans="1:27" x14ac:dyDescent="0.25">
      <c r="A54">
        <v>5160</v>
      </c>
      <c r="B54">
        <v>23050</v>
      </c>
      <c r="C54" s="1">
        <v>42631</v>
      </c>
      <c r="F54" s="28"/>
      <c r="G54">
        <v>15.8</v>
      </c>
      <c r="H54">
        <v>13.2</v>
      </c>
      <c r="I54">
        <v>18.899999999999999</v>
      </c>
      <c r="J54">
        <f t="shared" si="3"/>
        <v>76.3</v>
      </c>
      <c r="K54">
        <f t="shared" si="4"/>
        <v>76.3</v>
      </c>
      <c r="L54" s="9" t="s">
        <v>37</v>
      </c>
      <c r="M54">
        <v>0.2</v>
      </c>
      <c r="N54">
        <v>0.9</v>
      </c>
      <c r="O54">
        <f t="shared" si="0"/>
        <v>-0.7</v>
      </c>
      <c r="Q54">
        <v>5</v>
      </c>
      <c r="R54">
        <v>0.35</v>
      </c>
      <c r="S54">
        <f t="shared" si="1"/>
        <v>0.315</v>
      </c>
      <c r="T54">
        <f t="shared" si="2"/>
        <v>-0.11499999999999999</v>
      </c>
      <c r="U54" s="4">
        <f t="shared" si="5"/>
        <v>13.924999999999999</v>
      </c>
      <c r="V54" s="12" t="s">
        <v>44</v>
      </c>
      <c r="W54">
        <v>379.5</v>
      </c>
      <c r="X54">
        <f t="shared" si="6"/>
        <v>3431.7999999999997</v>
      </c>
      <c r="Y54">
        <f t="shared" si="7"/>
        <v>3431.7999999999997</v>
      </c>
      <c r="Z54">
        <v>12.088827993965092</v>
      </c>
      <c r="AA54" s="12" t="s">
        <v>49</v>
      </c>
    </row>
    <row r="55" spans="1:27" x14ac:dyDescent="0.25">
      <c r="A55">
        <v>5160</v>
      </c>
      <c r="B55">
        <v>23050</v>
      </c>
      <c r="C55" s="1">
        <v>42632</v>
      </c>
      <c r="F55" s="28"/>
      <c r="G55">
        <v>15.8</v>
      </c>
      <c r="H55">
        <v>12.5</v>
      </c>
      <c r="I55">
        <v>19.5</v>
      </c>
      <c r="J55">
        <f t="shared" si="3"/>
        <v>92.1</v>
      </c>
      <c r="K55">
        <f t="shared" si="4"/>
        <v>92.1</v>
      </c>
      <c r="L55" s="11">
        <f>MIN(H50:H124)</f>
        <v>-0.2</v>
      </c>
      <c r="M55">
        <v>0</v>
      </c>
      <c r="N55">
        <v>1.6</v>
      </c>
      <c r="O55">
        <f t="shared" si="0"/>
        <v>-1.6</v>
      </c>
      <c r="Q55">
        <v>6</v>
      </c>
      <c r="R55">
        <v>0.35</v>
      </c>
      <c r="S55">
        <f t="shared" si="1"/>
        <v>0.55999999999999994</v>
      </c>
      <c r="T55">
        <f t="shared" si="2"/>
        <v>-0.55999999999999994</v>
      </c>
      <c r="U55" s="4">
        <f t="shared" si="5"/>
        <v>13.364999999999998</v>
      </c>
      <c r="V55" s="4">
        <f>MIN(U50:U124)</f>
        <v>6.7246268656716408</v>
      </c>
      <c r="W55">
        <v>1016.3</v>
      </c>
      <c r="X55">
        <f t="shared" si="6"/>
        <v>4448.0999999999995</v>
      </c>
      <c r="Y55">
        <f t="shared" si="7"/>
        <v>4448.0999999999995</v>
      </c>
      <c r="Z55">
        <v>12.02961068344568</v>
      </c>
      <c r="AA55">
        <v>24</v>
      </c>
    </row>
    <row r="56" spans="1:27" x14ac:dyDescent="0.25">
      <c r="A56">
        <v>5160</v>
      </c>
      <c r="B56">
        <v>23050</v>
      </c>
      <c r="C56" s="1">
        <v>42633</v>
      </c>
      <c r="F56" s="28"/>
      <c r="G56">
        <v>14.9</v>
      </c>
      <c r="H56">
        <v>12.4</v>
      </c>
      <c r="I56">
        <v>18.8</v>
      </c>
      <c r="J56">
        <f t="shared" si="3"/>
        <v>107</v>
      </c>
      <c r="K56">
        <f t="shared" si="4"/>
        <v>107</v>
      </c>
      <c r="L56" s="9" t="s">
        <v>38</v>
      </c>
      <c r="M56">
        <v>1</v>
      </c>
      <c r="N56">
        <v>1.6</v>
      </c>
      <c r="O56">
        <f t="shared" si="0"/>
        <v>-0.60000000000000009</v>
      </c>
      <c r="Q56">
        <v>7</v>
      </c>
      <c r="R56">
        <v>0.35</v>
      </c>
      <c r="S56">
        <f t="shared" si="1"/>
        <v>0.55999999999999994</v>
      </c>
      <c r="T56">
        <f t="shared" si="2"/>
        <v>0.44000000000000006</v>
      </c>
      <c r="U56" s="4">
        <f t="shared" si="5"/>
        <v>13.804999999999998</v>
      </c>
      <c r="V56" s="12" t="s">
        <v>45</v>
      </c>
      <c r="W56">
        <v>953.6</v>
      </c>
      <c r="X56">
        <f t="shared" si="6"/>
        <v>5401.7</v>
      </c>
      <c r="Y56">
        <f t="shared" si="7"/>
        <v>5401.7</v>
      </c>
      <c r="Z56">
        <v>11.97038931655432</v>
      </c>
    </row>
    <row r="57" spans="1:27" x14ac:dyDescent="0.25">
      <c r="A57">
        <v>5160</v>
      </c>
      <c r="B57">
        <v>23050</v>
      </c>
      <c r="C57" s="1">
        <v>42634</v>
      </c>
      <c r="D57" t="s">
        <v>30</v>
      </c>
      <c r="F57" s="28"/>
      <c r="G57">
        <v>13.9</v>
      </c>
      <c r="H57">
        <v>7.1</v>
      </c>
      <c r="I57">
        <v>20.5</v>
      </c>
      <c r="J57">
        <f t="shared" si="3"/>
        <v>120.9</v>
      </c>
      <c r="K57">
        <f t="shared" si="4"/>
        <v>120.9</v>
      </c>
      <c r="L57" s="10">
        <f>MAX(I50:I124)</f>
        <v>25.1</v>
      </c>
      <c r="M57">
        <v>0</v>
      </c>
      <c r="N57">
        <v>2.5</v>
      </c>
      <c r="O57">
        <f t="shared" si="0"/>
        <v>-2.5</v>
      </c>
      <c r="Q57">
        <v>8</v>
      </c>
      <c r="R57">
        <v>0.35</v>
      </c>
      <c r="S57">
        <f t="shared" si="1"/>
        <v>0.875</v>
      </c>
      <c r="T57">
        <f t="shared" si="2"/>
        <v>-0.875</v>
      </c>
      <c r="U57" s="4">
        <f t="shared" si="5"/>
        <v>12.929999999999998</v>
      </c>
      <c r="V57" s="4">
        <f>MAX(U50:U124)</f>
        <v>63.119477611940297</v>
      </c>
      <c r="W57">
        <v>1568.2</v>
      </c>
      <c r="X57">
        <f t="shared" si="6"/>
        <v>6969.9</v>
      </c>
      <c r="Y57">
        <f t="shared" si="7"/>
        <v>6969.9</v>
      </c>
      <c r="Z57">
        <v>11.911172006034908</v>
      </c>
    </row>
    <row r="58" spans="1:27" x14ac:dyDescent="0.25">
      <c r="A58">
        <v>5160</v>
      </c>
      <c r="B58">
        <v>23050</v>
      </c>
      <c r="C58" s="1">
        <v>42635</v>
      </c>
      <c r="F58" s="28"/>
      <c r="G58">
        <v>15.9</v>
      </c>
      <c r="H58">
        <v>9.1</v>
      </c>
      <c r="I58">
        <v>22.6</v>
      </c>
      <c r="J58">
        <f t="shared" si="3"/>
        <v>136.80000000000001</v>
      </c>
      <c r="K58">
        <f t="shared" si="4"/>
        <v>136.80000000000001</v>
      </c>
      <c r="L58" s="9" t="s">
        <v>39</v>
      </c>
      <c r="M58">
        <v>0</v>
      </c>
      <c r="N58">
        <v>2.2999999999999998</v>
      </c>
      <c r="O58">
        <f t="shared" si="0"/>
        <v>-2.2999999999999998</v>
      </c>
      <c r="Q58">
        <v>9</v>
      </c>
      <c r="R58">
        <f>0.35+((Q58-8)/67)*(1-0.35)</f>
        <v>0.35970149253731343</v>
      </c>
      <c r="S58">
        <f t="shared" si="1"/>
        <v>0.82731343283582082</v>
      </c>
      <c r="T58">
        <f t="shared" si="2"/>
        <v>-0.82731343283582082</v>
      </c>
      <c r="U58" s="4">
        <f t="shared" si="5"/>
        <v>12.102686567164177</v>
      </c>
      <c r="V58" s="12" t="s">
        <v>46</v>
      </c>
      <c r="W58">
        <v>1298.0999999999999</v>
      </c>
      <c r="X58">
        <f t="shared" si="6"/>
        <v>8268</v>
      </c>
      <c r="Y58">
        <f t="shared" si="7"/>
        <v>8268</v>
      </c>
      <c r="Z58">
        <v>11.851966872117899</v>
      </c>
    </row>
    <row r="59" spans="1:27" x14ac:dyDescent="0.25">
      <c r="A59">
        <v>5160</v>
      </c>
      <c r="B59">
        <v>23050</v>
      </c>
      <c r="C59" s="1">
        <v>42636</v>
      </c>
      <c r="F59" s="28"/>
      <c r="G59">
        <v>16.7</v>
      </c>
      <c r="H59">
        <v>11</v>
      </c>
      <c r="I59">
        <v>23.8</v>
      </c>
      <c r="J59">
        <f t="shared" si="3"/>
        <v>153.5</v>
      </c>
      <c r="K59">
        <f t="shared" si="4"/>
        <v>153.5</v>
      </c>
      <c r="L59" s="10">
        <v>1</v>
      </c>
      <c r="M59">
        <v>0</v>
      </c>
      <c r="N59">
        <v>2.6</v>
      </c>
      <c r="O59">
        <f t="shared" si="0"/>
        <v>-2.6</v>
      </c>
      <c r="Q59">
        <v>10</v>
      </c>
      <c r="R59">
        <f t="shared" ref="R59:R122" si="8">0.35+((Q59-8)/67)*(1-0.35)</f>
        <v>0.36940298507462682</v>
      </c>
      <c r="S59">
        <f t="shared" si="1"/>
        <v>0.96044776119402975</v>
      </c>
      <c r="T59">
        <f t="shared" si="2"/>
        <v>-0.96044776119402975</v>
      </c>
      <c r="U59" s="4">
        <f t="shared" si="5"/>
        <v>11.142238805970148</v>
      </c>
      <c r="V59" s="4">
        <f>AVERAGE(U50:U124)</f>
        <v>24.165537313432839</v>
      </c>
      <c r="W59">
        <v>1394.8</v>
      </c>
      <c r="X59">
        <f t="shared" si="6"/>
        <v>9662.7999999999993</v>
      </c>
      <c r="Y59">
        <f t="shared" si="7"/>
        <v>9662.7999999999993</v>
      </c>
      <c r="Z59">
        <v>11.792782057488328</v>
      </c>
    </row>
    <row r="60" spans="1:27" x14ac:dyDescent="0.25">
      <c r="A60">
        <v>5160</v>
      </c>
      <c r="B60">
        <v>23050</v>
      </c>
      <c r="C60" s="1">
        <v>42637</v>
      </c>
      <c r="F60" s="28"/>
      <c r="G60">
        <v>16.7</v>
      </c>
      <c r="H60">
        <v>9.6</v>
      </c>
      <c r="I60">
        <v>25.1</v>
      </c>
      <c r="J60">
        <f t="shared" si="3"/>
        <v>170.2</v>
      </c>
      <c r="K60">
        <f t="shared" si="4"/>
        <v>170.2</v>
      </c>
      <c r="L60" s="9" t="s">
        <v>40</v>
      </c>
      <c r="M60">
        <v>0</v>
      </c>
      <c r="N60">
        <v>3.6</v>
      </c>
      <c r="O60">
        <f t="shared" si="0"/>
        <v>-3.6</v>
      </c>
      <c r="Q60">
        <v>11</v>
      </c>
      <c r="R60">
        <f t="shared" si="8"/>
        <v>0.37910447761194027</v>
      </c>
      <c r="S60">
        <f t="shared" si="1"/>
        <v>1.364776119402985</v>
      </c>
      <c r="T60">
        <f t="shared" si="2"/>
        <v>-1.364776119402985</v>
      </c>
      <c r="U60" s="4">
        <f t="shared" si="5"/>
        <v>9.7774626865671639</v>
      </c>
      <c r="W60">
        <v>1558.6</v>
      </c>
      <c r="X60">
        <f t="shared" si="6"/>
        <v>11221.4</v>
      </c>
      <c r="Y60">
        <f t="shared" si="7"/>
        <v>11221.4</v>
      </c>
      <c r="Z60">
        <v>11.733625742238784</v>
      </c>
    </row>
    <row r="61" spans="1:27" x14ac:dyDescent="0.25">
      <c r="A61">
        <v>5160</v>
      </c>
      <c r="B61">
        <v>23050</v>
      </c>
      <c r="C61" s="1">
        <v>42638</v>
      </c>
      <c r="F61" s="28"/>
      <c r="G61">
        <v>14.7</v>
      </c>
      <c r="H61">
        <v>13.2</v>
      </c>
      <c r="I61">
        <v>18.8</v>
      </c>
      <c r="J61">
        <f t="shared" si="3"/>
        <v>184.89999999999998</v>
      </c>
      <c r="K61">
        <f t="shared" si="4"/>
        <v>184.89999999999998</v>
      </c>
      <c r="L61" s="10">
        <v>20</v>
      </c>
      <c r="M61">
        <v>0.5</v>
      </c>
      <c r="N61">
        <v>2.2999999999999998</v>
      </c>
      <c r="O61">
        <f t="shared" si="0"/>
        <v>-1.7999999999999998</v>
      </c>
      <c r="Q61">
        <v>12</v>
      </c>
      <c r="R61">
        <f t="shared" si="8"/>
        <v>0.38880597014925372</v>
      </c>
      <c r="S61">
        <f t="shared" si="1"/>
        <v>0.89425373134328345</v>
      </c>
      <c r="T61">
        <f t="shared" si="2"/>
        <v>-0.39425373134328345</v>
      </c>
      <c r="U61" s="4">
        <f t="shared" si="5"/>
        <v>9.3832089552238802</v>
      </c>
      <c r="V61">
        <f>(V59*100)/138.9</f>
        <v>17.397795042068278</v>
      </c>
      <c r="W61">
        <v>1090.5999999999999</v>
      </c>
      <c r="X61">
        <f t="shared" si="6"/>
        <v>12312</v>
      </c>
      <c r="Y61">
        <f t="shared" si="7"/>
        <v>12312</v>
      </c>
      <c r="Z61">
        <v>11.674506158796959</v>
      </c>
    </row>
    <row r="62" spans="1:27" x14ac:dyDescent="0.25">
      <c r="A62">
        <v>5160</v>
      </c>
      <c r="B62">
        <v>23050</v>
      </c>
      <c r="C62" s="1">
        <v>42639</v>
      </c>
      <c r="F62" s="28"/>
      <c r="G62">
        <v>13.8</v>
      </c>
      <c r="H62">
        <v>7.2</v>
      </c>
      <c r="I62">
        <v>21.1</v>
      </c>
      <c r="J62">
        <f t="shared" si="3"/>
        <v>198.7</v>
      </c>
      <c r="K62">
        <f t="shared" si="4"/>
        <v>198.7</v>
      </c>
      <c r="L62" s="9" t="s">
        <v>41</v>
      </c>
      <c r="M62">
        <v>0</v>
      </c>
      <c r="N62">
        <v>1.7</v>
      </c>
      <c r="O62">
        <f t="shared" si="0"/>
        <v>-1.7</v>
      </c>
      <c r="Q62">
        <v>13</v>
      </c>
      <c r="R62">
        <f t="shared" si="8"/>
        <v>0.39850746268656712</v>
      </c>
      <c r="S62">
        <f t="shared" si="1"/>
        <v>0.67746268656716413</v>
      </c>
      <c r="T62">
        <f t="shared" si="2"/>
        <v>-0.67746268656716413</v>
      </c>
      <c r="U62" s="4">
        <f t="shared" si="5"/>
        <v>8.705746268656716</v>
      </c>
      <c r="W62">
        <v>923.1</v>
      </c>
      <c r="X62">
        <f t="shared" si="6"/>
        <v>13235.1</v>
      </c>
      <c r="Y62">
        <f t="shared" si="7"/>
        <v>13235.1</v>
      </c>
      <c r="Z62">
        <v>11.615431606817296</v>
      </c>
    </row>
    <row r="63" spans="1:27" x14ac:dyDescent="0.25">
      <c r="A63">
        <v>5160</v>
      </c>
      <c r="B63">
        <v>23050</v>
      </c>
      <c r="C63" s="1">
        <v>42640</v>
      </c>
      <c r="F63" s="28"/>
      <c r="G63">
        <v>16.3</v>
      </c>
      <c r="H63">
        <v>9.5</v>
      </c>
      <c r="I63">
        <v>23.1</v>
      </c>
      <c r="J63">
        <f t="shared" si="3"/>
        <v>215</v>
      </c>
      <c r="K63">
        <f t="shared" si="4"/>
        <v>215</v>
      </c>
      <c r="L63" s="10">
        <v>1</v>
      </c>
      <c r="M63">
        <v>0</v>
      </c>
      <c r="N63">
        <v>2.2999999999999998</v>
      </c>
      <c r="O63">
        <f t="shared" si="0"/>
        <v>-2.2999999999999998</v>
      </c>
      <c r="Q63">
        <v>14</v>
      </c>
      <c r="R63">
        <f t="shared" si="8"/>
        <v>0.40820895522388057</v>
      </c>
      <c r="S63">
        <f t="shared" si="1"/>
        <v>0.93888059701492521</v>
      </c>
      <c r="T63">
        <f t="shared" si="2"/>
        <v>-0.93888059701492521</v>
      </c>
      <c r="U63" s="4">
        <f t="shared" si="5"/>
        <v>7.7668656716417903</v>
      </c>
      <c r="W63">
        <v>967.4</v>
      </c>
      <c r="X63">
        <f t="shared" si="6"/>
        <v>14202.5</v>
      </c>
      <c r="Y63">
        <f t="shared" si="7"/>
        <v>14202.5</v>
      </c>
      <c r="Z63">
        <v>11.556410468025783</v>
      </c>
    </row>
    <row r="64" spans="1:27" x14ac:dyDescent="0.25">
      <c r="A64">
        <v>5160</v>
      </c>
      <c r="B64">
        <v>23050</v>
      </c>
      <c r="C64" s="1">
        <v>42641</v>
      </c>
      <c r="F64" s="28"/>
      <c r="G64">
        <v>15.8</v>
      </c>
      <c r="H64">
        <v>10.8</v>
      </c>
      <c r="I64">
        <v>21.4</v>
      </c>
      <c r="J64">
        <f t="shared" si="3"/>
        <v>230.8</v>
      </c>
      <c r="K64">
        <f t="shared" si="4"/>
        <v>230.8</v>
      </c>
      <c r="M64">
        <v>0.1</v>
      </c>
      <c r="N64">
        <v>1.2</v>
      </c>
      <c r="O64">
        <f t="shared" si="0"/>
        <v>-1.0999999999999999</v>
      </c>
      <c r="Q64">
        <v>15</v>
      </c>
      <c r="R64">
        <f t="shared" si="8"/>
        <v>0.41791044776119401</v>
      </c>
      <c r="S64">
        <f t="shared" si="1"/>
        <v>0.5014925373134328</v>
      </c>
      <c r="T64">
        <f t="shared" si="2"/>
        <v>-0.40149253731343282</v>
      </c>
      <c r="U64" s="4">
        <f t="shared" si="5"/>
        <v>7.3653731343283573</v>
      </c>
      <c r="W64">
        <v>511.2</v>
      </c>
      <c r="X64">
        <f t="shared" si="6"/>
        <v>14713.7</v>
      </c>
      <c r="Y64">
        <f t="shared" si="7"/>
        <v>14713.7</v>
      </c>
      <c r="Z64">
        <v>11.497451221006479</v>
      </c>
    </row>
    <row r="65" spans="1:26" x14ac:dyDescent="0.25">
      <c r="A65">
        <v>5160</v>
      </c>
      <c r="B65">
        <v>23050</v>
      </c>
      <c r="C65" s="1">
        <v>42642</v>
      </c>
      <c r="F65" s="28"/>
      <c r="G65">
        <v>17.399999999999999</v>
      </c>
      <c r="H65">
        <v>11.6</v>
      </c>
      <c r="I65">
        <v>23.4</v>
      </c>
      <c r="J65">
        <f t="shared" si="3"/>
        <v>248.20000000000002</v>
      </c>
      <c r="K65">
        <f t="shared" si="4"/>
        <v>248.20000000000002</v>
      </c>
      <c r="M65">
        <v>0.3</v>
      </c>
      <c r="N65">
        <v>2.2000000000000002</v>
      </c>
      <c r="O65">
        <f t="shared" si="0"/>
        <v>-1.9000000000000001</v>
      </c>
      <c r="Q65">
        <v>16</v>
      </c>
      <c r="R65">
        <f t="shared" si="8"/>
        <v>0.42761194029850746</v>
      </c>
      <c r="S65">
        <f t="shared" si="1"/>
        <v>0.94074626865671651</v>
      </c>
      <c r="T65">
        <f t="shared" si="2"/>
        <v>-0.64074626865671647</v>
      </c>
      <c r="U65" s="4">
        <f t="shared" si="5"/>
        <v>6.7246268656716408</v>
      </c>
      <c r="W65">
        <v>847.4</v>
      </c>
      <c r="X65">
        <f t="shared" si="6"/>
        <v>15561.1</v>
      </c>
      <c r="Y65">
        <f t="shared" si="7"/>
        <v>15561.1</v>
      </c>
      <c r="Z65">
        <v>11.438562455917694</v>
      </c>
    </row>
    <row r="66" spans="1:26" x14ac:dyDescent="0.25">
      <c r="A66">
        <v>5160</v>
      </c>
      <c r="B66">
        <v>23050</v>
      </c>
      <c r="C66" s="1">
        <v>42643</v>
      </c>
      <c r="F66" s="28"/>
      <c r="G66">
        <v>14.6</v>
      </c>
      <c r="H66">
        <v>13.4</v>
      </c>
      <c r="I66">
        <v>17</v>
      </c>
      <c r="J66">
        <f t="shared" si="3"/>
        <v>262.8</v>
      </c>
      <c r="K66">
        <f t="shared" si="4"/>
        <v>262.8</v>
      </c>
      <c r="M66">
        <v>17.600000000000001</v>
      </c>
      <c r="N66">
        <v>0.8</v>
      </c>
      <c r="O66">
        <f t="shared" si="0"/>
        <v>16.8</v>
      </c>
      <c r="Q66">
        <v>17</v>
      </c>
      <c r="R66">
        <f t="shared" si="8"/>
        <v>0.43731343283582086</v>
      </c>
      <c r="S66">
        <f t="shared" si="1"/>
        <v>0.3498507462686567</v>
      </c>
      <c r="T66">
        <f t="shared" si="2"/>
        <v>17.250149253731344</v>
      </c>
      <c r="U66" s="4">
        <f t="shared" si="5"/>
        <v>23.974776119402986</v>
      </c>
      <c r="W66">
        <v>529</v>
      </c>
      <c r="X66">
        <f t="shared" si="6"/>
        <v>16090.1</v>
      </c>
      <c r="Y66">
        <f t="shared" si="7"/>
        <v>16090.1</v>
      </c>
      <c r="Z66">
        <v>11.379752889125081</v>
      </c>
    </row>
    <row r="67" spans="1:26" x14ac:dyDescent="0.25">
      <c r="A67">
        <v>5160</v>
      </c>
      <c r="B67">
        <v>23050</v>
      </c>
      <c r="C67" s="1">
        <v>42644</v>
      </c>
      <c r="F67" s="28"/>
      <c r="G67">
        <v>13.6</v>
      </c>
      <c r="H67">
        <v>12.3</v>
      </c>
      <c r="I67">
        <v>17.5</v>
      </c>
      <c r="J67">
        <f t="shared" si="3"/>
        <v>276.40000000000003</v>
      </c>
      <c r="K67">
        <f t="shared" si="4"/>
        <v>276.40000000000003</v>
      </c>
      <c r="M67">
        <v>1.3</v>
      </c>
      <c r="N67">
        <v>2</v>
      </c>
      <c r="O67">
        <f t="shared" si="0"/>
        <v>-0.7</v>
      </c>
      <c r="Q67">
        <v>18</v>
      </c>
      <c r="R67">
        <f t="shared" si="8"/>
        <v>0.44701492537313431</v>
      </c>
      <c r="S67">
        <f t="shared" si="1"/>
        <v>0.89402985074626862</v>
      </c>
      <c r="T67">
        <f t="shared" si="2"/>
        <v>0.40597014925373143</v>
      </c>
      <c r="U67" s="4">
        <f t="shared" si="5"/>
        <v>24.380746268656718</v>
      </c>
      <c r="W67">
        <v>801.6</v>
      </c>
      <c r="X67">
        <f t="shared" si="6"/>
        <v>16891.7</v>
      </c>
      <c r="Y67">
        <f t="shared" si="7"/>
        <v>16891.7</v>
      </c>
      <c r="Z67">
        <v>11.32103137773807</v>
      </c>
    </row>
    <row r="68" spans="1:26" x14ac:dyDescent="0.25">
      <c r="A68">
        <v>5160</v>
      </c>
      <c r="B68">
        <v>23050</v>
      </c>
      <c r="C68" s="1">
        <v>42645</v>
      </c>
      <c r="F68" s="28"/>
      <c r="G68">
        <v>10.6</v>
      </c>
      <c r="H68">
        <v>6.4</v>
      </c>
      <c r="I68">
        <v>16.100000000000001</v>
      </c>
      <c r="J68">
        <f t="shared" si="3"/>
        <v>287.00000000000006</v>
      </c>
      <c r="K68">
        <f t="shared" si="4"/>
        <v>287.00000000000006</v>
      </c>
      <c r="M68">
        <v>0</v>
      </c>
      <c r="N68">
        <v>1.5</v>
      </c>
      <c r="O68">
        <f t="shared" si="0"/>
        <v>-1.5</v>
      </c>
      <c r="Q68">
        <v>19</v>
      </c>
      <c r="R68">
        <f t="shared" si="8"/>
        <v>0.45671641791044776</v>
      </c>
      <c r="S68">
        <f t="shared" si="1"/>
        <v>0.68507462686567167</v>
      </c>
      <c r="T68">
        <f t="shared" si="2"/>
        <v>-0.68507462686567167</v>
      </c>
      <c r="U68" s="4">
        <f t="shared" si="5"/>
        <v>23.695671641791048</v>
      </c>
      <c r="W68">
        <v>930.5</v>
      </c>
      <c r="X68">
        <f t="shared" si="6"/>
        <v>17822.2</v>
      </c>
      <c r="Y68">
        <f t="shared" si="7"/>
        <v>17822.2</v>
      </c>
      <c r="Z68">
        <v>11.262406934035015</v>
      </c>
    </row>
    <row r="69" spans="1:26" x14ac:dyDescent="0.25">
      <c r="A69">
        <v>5160</v>
      </c>
      <c r="B69">
        <v>23050</v>
      </c>
      <c r="C69" s="1">
        <v>42646</v>
      </c>
      <c r="F69" s="28"/>
      <c r="G69">
        <v>11</v>
      </c>
      <c r="H69">
        <v>4.5999999999999996</v>
      </c>
      <c r="I69">
        <v>17.399999999999999</v>
      </c>
      <c r="J69">
        <f t="shared" si="3"/>
        <v>298.00000000000006</v>
      </c>
      <c r="K69">
        <f t="shared" si="4"/>
        <v>298.00000000000006</v>
      </c>
      <c r="M69">
        <v>0</v>
      </c>
      <c r="N69">
        <v>2.4</v>
      </c>
      <c r="O69">
        <f t="shared" si="0"/>
        <v>-2.4</v>
      </c>
      <c r="Q69">
        <v>20</v>
      </c>
      <c r="R69">
        <f t="shared" si="8"/>
        <v>0.46641791044776115</v>
      </c>
      <c r="S69">
        <f t="shared" si="1"/>
        <v>1.1194029850746268</v>
      </c>
      <c r="T69">
        <f t="shared" si="2"/>
        <v>-1.1194029850746268</v>
      </c>
      <c r="U69" s="4">
        <f t="shared" si="5"/>
        <v>22.576268656716422</v>
      </c>
      <c r="W69">
        <v>1544.1</v>
      </c>
      <c r="X69">
        <f t="shared" si="6"/>
        <v>19366.3</v>
      </c>
      <c r="Y69">
        <f t="shared" si="7"/>
        <v>19366.3</v>
      </c>
      <c r="Z69">
        <v>11.20388873976156</v>
      </c>
    </row>
    <row r="70" spans="1:26" x14ac:dyDescent="0.25">
      <c r="A70">
        <v>5160</v>
      </c>
      <c r="B70">
        <v>23050</v>
      </c>
      <c r="C70" s="1">
        <v>42647</v>
      </c>
      <c r="F70" s="28"/>
      <c r="G70">
        <v>13</v>
      </c>
      <c r="H70">
        <v>8.1999999999999993</v>
      </c>
      <c r="I70">
        <v>18.8</v>
      </c>
      <c r="J70">
        <f t="shared" si="3"/>
        <v>311.00000000000006</v>
      </c>
      <c r="K70">
        <f t="shared" si="4"/>
        <v>311.00000000000006</v>
      </c>
      <c r="M70">
        <v>0</v>
      </c>
      <c r="N70">
        <v>3.1</v>
      </c>
      <c r="O70">
        <f t="shared" ref="O70:O133" si="9">M70-N70</f>
        <v>-3.1</v>
      </c>
      <c r="Q70">
        <v>21</v>
      </c>
      <c r="R70">
        <f t="shared" si="8"/>
        <v>0.4761194029850746</v>
      </c>
      <c r="S70">
        <f t="shared" ref="S70:S133" si="10">R70*N70</f>
        <v>1.4759701492537314</v>
      </c>
      <c r="T70">
        <f t="shared" ref="T70:T133" si="11">M70-S70</f>
        <v>-1.4759701492537314</v>
      </c>
      <c r="U70" s="4">
        <f t="shared" si="5"/>
        <v>21.100298507462689</v>
      </c>
      <c r="W70">
        <v>1507.1</v>
      </c>
      <c r="X70">
        <f t="shared" si="6"/>
        <v>20873.399999999998</v>
      </c>
      <c r="Y70">
        <f t="shared" si="7"/>
        <v>20873.399999999998</v>
      </c>
      <c r="Z70">
        <v>11.14548616028538</v>
      </c>
    </row>
    <row r="71" spans="1:26" x14ac:dyDescent="0.25">
      <c r="A71">
        <v>5160</v>
      </c>
      <c r="B71">
        <v>23050</v>
      </c>
      <c r="C71" s="1">
        <v>42648</v>
      </c>
      <c r="F71" s="28"/>
      <c r="G71">
        <v>11.8</v>
      </c>
      <c r="H71">
        <v>8.8000000000000007</v>
      </c>
      <c r="I71">
        <v>16.8</v>
      </c>
      <c r="J71">
        <f t="shared" si="3"/>
        <v>322.80000000000007</v>
      </c>
      <c r="K71">
        <f t="shared" si="4"/>
        <v>322.80000000000007</v>
      </c>
      <c r="M71">
        <v>0</v>
      </c>
      <c r="N71">
        <v>2.8</v>
      </c>
      <c r="O71">
        <f t="shared" si="9"/>
        <v>-2.8</v>
      </c>
      <c r="Q71">
        <v>22</v>
      </c>
      <c r="R71">
        <f t="shared" si="8"/>
        <v>0.48582089552238805</v>
      </c>
      <c r="S71">
        <f t="shared" si="10"/>
        <v>1.3602985074626865</v>
      </c>
      <c r="T71">
        <f t="shared" si="11"/>
        <v>-1.3602985074626865</v>
      </c>
      <c r="U71" s="4">
        <f t="shared" si="5"/>
        <v>19.740000000000002</v>
      </c>
      <c r="W71">
        <v>1417.2</v>
      </c>
      <c r="X71">
        <f t="shared" si="6"/>
        <v>22290.6</v>
      </c>
      <c r="Y71">
        <f t="shared" si="7"/>
        <v>22290.6</v>
      </c>
      <c r="Z71">
        <v>11.087208758589348</v>
      </c>
    </row>
    <row r="72" spans="1:26" x14ac:dyDescent="0.25">
      <c r="A72">
        <v>5160</v>
      </c>
      <c r="B72">
        <v>23050</v>
      </c>
      <c r="C72" s="1">
        <v>42649</v>
      </c>
      <c r="F72" s="28"/>
      <c r="G72">
        <v>9.5</v>
      </c>
      <c r="H72">
        <v>4.9000000000000004</v>
      </c>
      <c r="I72">
        <v>14</v>
      </c>
      <c r="J72">
        <f t="shared" si="3"/>
        <v>332.30000000000007</v>
      </c>
      <c r="K72">
        <f t="shared" si="4"/>
        <v>332.30000000000007</v>
      </c>
      <c r="M72">
        <v>0</v>
      </c>
      <c r="N72">
        <v>2.6</v>
      </c>
      <c r="O72">
        <f t="shared" si="9"/>
        <v>-2.6</v>
      </c>
      <c r="Q72">
        <v>23</v>
      </c>
      <c r="R72">
        <f t="shared" si="8"/>
        <v>0.4955223880597015</v>
      </c>
      <c r="S72">
        <f t="shared" si="10"/>
        <v>1.2883582089552239</v>
      </c>
      <c r="T72">
        <f t="shared" si="11"/>
        <v>-1.2883582089552239</v>
      </c>
      <c r="U72" s="4">
        <f t="shared" si="5"/>
        <v>18.451641791044779</v>
      </c>
      <c r="W72">
        <v>1605.5</v>
      </c>
      <c r="X72">
        <f t="shared" si="6"/>
        <v>23896.1</v>
      </c>
      <c r="Y72">
        <f t="shared" si="7"/>
        <v>23896.1</v>
      </c>
      <c r="Z72">
        <v>11.02906630908366</v>
      </c>
    </row>
    <row r="73" spans="1:26" x14ac:dyDescent="0.25">
      <c r="A73">
        <v>5160</v>
      </c>
      <c r="B73">
        <v>23050</v>
      </c>
      <c r="C73" s="1">
        <v>42650</v>
      </c>
      <c r="F73" s="28"/>
      <c r="G73">
        <v>10.3</v>
      </c>
      <c r="H73">
        <v>6.1</v>
      </c>
      <c r="I73">
        <v>13</v>
      </c>
      <c r="J73">
        <f t="shared" si="3"/>
        <v>342.60000000000008</v>
      </c>
      <c r="K73">
        <f t="shared" si="4"/>
        <v>342.60000000000008</v>
      </c>
      <c r="M73">
        <v>0</v>
      </c>
      <c r="N73">
        <v>1</v>
      </c>
      <c r="O73">
        <f t="shared" si="9"/>
        <v>-1</v>
      </c>
      <c r="Q73">
        <v>24</v>
      </c>
      <c r="R73">
        <f t="shared" si="8"/>
        <v>0.50522388059701484</v>
      </c>
      <c r="S73">
        <f t="shared" si="10"/>
        <v>0.50522388059701484</v>
      </c>
      <c r="T73">
        <f t="shared" si="11"/>
        <v>-0.50522388059701484</v>
      </c>
      <c r="U73" s="4">
        <f t="shared" si="5"/>
        <v>17.946417910447764</v>
      </c>
      <c r="W73">
        <v>483.8</v>
      </c>
      <c r="X73">
        <f t="shared" si="6"/>
        <v>24379.899999999998</v>
      </c>
      <c r="Y73">
        <f t="shared" si="7"/>
        <v>24379.899999999998</v>
      </c>
      <c r="Z73">
        <v>10.971068811216071</v>
      </c>
    </row>
    <row r="74" spans="1:26" x14ac:dyDescent="0.25">
      <c r="A74">
        <v>5160</v>
      </c>
      <c r="B74">
        <v>23050</v>
      </c>
      <c r="C74" s="1">
        <v>42651</v>
      </c>
      <c r="F74" s="28"/>
      <c r="G74">
        <v>12</v>
      </c>
      <c r="H74">
        <v>10.7</v>
      </c>
      <c r="I74">
        <v>14.9</v>
      </c>
      <c r="J74">
        <f t="shared" si="3"/>
        <v>354.60000000000008</v>
      </c>
      <c r="K74">
        <f t="shared" si="4"/>
        <v>354.60000000000008</v>
      </c>
      <c r="M74">
        <v>0</v>
      </c>
      <c r="N74">
        <v>1.4</v>
      </c>
      <c r="O74">
        <f t="shared" si="9"/>
        <v>-1.4</v>
      </c>
      <c r="Q74">
        <v>25</v>
      </c>
      <c r="R74">
        <f t="shared" si="8"/>
        <v>0.5149253731343284</v>
      </c>
      <c r="S74">
        <f t="shared" si="10"/>
        <v>0.72089552238805976</v>
      </c>
      <c r="T74">
        <f t="shared" si="11"/>
        <v>-0.72089552238805976</v>
      </c>
      <c r="U74" s="4">
        <f t="shared" si="5"/>
        <v>17.225522388059705</v>
      </c>
      <c r="W74">
        <v>392.6</v>
      </c>
      <c r="X74">
        <f t="shared" si="6"/>
        <v>24772.499999999996</v>
      </c>
      <c r="Y74">
        <f t="shared" si="7"/>
        <v>24772.499999999996</v>
      </c>
      <c r="Z74">
        <v>10.913226502857773</v>
      </c>
    </row>
    <row r="75" spans="1:26" x14ac:dyDescent="0.25">
      <c r="A75">
        <v>5160</v>
      </c>
      <c r="B75">
        <v>23050</v>
      </c>
      <c r="C75" s="1">
        <v>42652</v>
      </c>
      <c r="F75" s="28"/>
      <c r="G75">
        <v>10.5</v>
      </c>
      <c r="H75">
        <v>7.5</v>
      </c>
      <c r="I75">
        <v>15.5</v>
      </c>
      <c r="J75">
        <f t="shared" si="3"/>
        <v>365.10000000000008</v>
      </c>
      <c r="K75">
        <f t="shared" si="4"/>
        <v>365.10000000000008</v>
      </c>
      <c r="M75">
        <v>0</v>
      </c>
      <c r="N75">
        <v>2</v>
      </c>
      <c r="O75">
        <f t="shared" si="9"/>
        <v>-2</v>
      </c>
      <c r="Q75">
        <v>26</v>
      </c>
      <c r="R75">
        <f t="shared" si="8"/>
        <v>0.52462686567164174</v>
      </c>
      <c r="S75">
        <f t="shared" si="10"/>
        <v>1.0492537313432835</v>
      </c>
      <c r="T75">
        <f t="shared" si="11"/>
        <v>-1.0492537313432835</v>
      </c>
      <c r="U75" s="4">
        <f t="shared" si="5"/>
        <v>16.17626865671642</v>
      </c>
      <c r="W75">
        <v>909.2</v>
      </c>
      <c r="X75">
        <f t="shared" si="6"/>
        <v>25681.699999999997</v>
      </c>
      <c r="Y75">
        <f t="shared" si="7"/>
        <v>25681.699999999997</v>
      </c>
      <c r="Z75">
        <v>10.855549873440804</v>
      </c>
    </row>
    <row r="76" spans="1:26" x14ac:dyDescent="0.25">
      <c r="A76">
        <v>5160</v>
      </c>
      <c r="B76">
        <v>23050</v>
      </c>
      <c r="C76" s="1">
        <v>42653</v>
      </c>
      <c r="F76" s="28"/>
      <c r="G76">
        <v>8.6999999999999993</v>
      </c>
      <c r="H76">
        <v>2.7</v>
      </c>
      <c r="I76">
        <v>14.5</v>
      </c>
      <c r="J76">
        <f t="shared" si="3"/>
        <v>373.80000000000007</v>
      </c>
      <c r="K76">
        <f t="shared" si="4"/>
        <v>373.80000000000007</v>
      </c>
      <c r="M76">
        <v>0.1</v>
      </c>
      <c r="N76">
        <v>1.3</v>
      </c>
      <c r="O76">
        <f t="shared" si="9"/>
        <v>-1.2</v>
      </c>
      <c r="Q76">
        <v>27</v>
      </c>
      <c r="R76">
        <f t="shared" si="8"/>
        <v>0.53432835820895519</v>
      </c>
      <c r="S76">
        <f t="shared" si="10"/>
        <v>0.69462686567164178</v>
      </c>
      <c r="T76">
        <f t="shared" si="11"/>
        <v>-0.5946268656716418</v>
      </c>
      <c r="U76" s="4">
        <f t="shared" si="5"/>
        <v>15.581641791044778</v>
      </c>
      <c r="W76">
        <v>817.3</v>
      </c>
      <c r="X76">
        <f t="shared" si="6"/>
        <v>26498.999999999996</v>
      </c>
      <c r="Y76">
        <f t="shared" si="7"/>
        <v>26498.999999999996</v>
      </c>
      <c r="Z76">
        <v>10.798049676821011</v>
      </c>
    </row>
    <row r="77" spans="1:26" x14ac:dyDescent="0.25">
      <c r="A77">
        <v>5160</v>
      </c>
      <c r="B77">
        <v>23050</v>
      </c>
      <c r="C77" s="1">
        <v>42654</v>
      </c>
      <c r="F77" s="28"/>
      <c r="G77">
        <v>7.9</v>
      </c>
      <c r="H77">
        <v>3.7</v>
      </c>
      <c r="I77">
        <v>12.4</v>
      </c>
      <c r="J77">
        <f t="shared" si="3"/>
        <v>381.70000000000005</v>
      </c>
      <c r="K77">
        <f t="shared" si="4"/>
        <v>381.70000000000005</v>
      </c>
      <c r="M77">
        <v>0</v>
      </c>
      <c r="N77">
        <v>1.3</v>
      </c>
      <c r="O77">
        <f t="shared" si="9"/>
        <v>-1.3</v>
      </c>
      <c r="Q77">
        <v>28</v>
      </c>
      <c r="R77">
        <f t="shared" si="8"/>
        <v>0.54402985074626864</v>
      </c>
      <c r="S77">
        <f t="shared" si="10"/>
        <v>0.70723880597014921</v>
      </c>
      <c r="T77">
        <f t="shared" si="11"/>
        <v>-0.70723880597014921</v>
      </c>
      <c r="U77" s="4">
        <f t="shared" si="5"/>
        <v>14.874402985074628</v>
      </c>
      <c r="W77">
        <v>934.8</v>
      </c>
      <c r="X77">
        <f t="shared" si="6"/>
        <v>27433.799999999996</v>
      </c>
      <c r="Y77">
        <f t="shared" si="7"/>
        <v>27433.799999999996</v>
      </c>
      <c r="Z77">
        <v>10.74073694383881</v>
      </c>
    </row>
    <row r="78" spans="1:26" x14ac:dyDescent="0.25">
      <c r="A78">
        <v>5160</v>
      </c>
      <c r="B78">
        <v>23050</v>
      </c>
      <c r="C78" s="1">
        <v>42655</v>
      </c>
      <c r="F78" s="28"/>
      <c r="G78">
        <v>8.6</v>
      </c>
      <c r="H78">
        <v>3.5</v>
      </c>
      <c r="I78">
        <v>14</v>
      </c>
      <c r="J78">
        <f t="shared" si="3"/>
        <v>390.30000000000007</v>
      </c>
      <c r="K78">
        <f t="shared" si="4"/>
        <v>390.30000000000007</v>
      </c>
      <c r="M78">
        <v>0</v>
      </c>
      <c r="N78">
        <v>1.9</v>
      </c>
      <c r="O78">
        <f t="shared" si="9"/>
        <v>-1.9</v>
      </c>
      <c r="Q78">
        <v>29</v>
      </c>
      <c r="R78">
        <f t="shared" si="8"/>
        <v>0.55373134328358209</v>
      </c>
      <c r="S78">
        <f t="shared" si="10"/>
        <v>1.0520895522388058</v>
      </c>
      <c r="T78">
        <f t="shared" si="11"/>
        <v>-1.0520895522388058</v>
      </c>
      <c r="U78" s="4">
        <f t="shared" si="5"/>
        <v>13.822313432835822</v>
      </c>
      <c r="W78">
        <v>1084</v>
      </c>
      <c r="X78">
        <f t="shared" si="6"/>
        <v>28517.799999999996</v>
      </c>
      <c r="Y78">
        <f t="shared" si="7"/>
        <v>28517.799999999996</v>
      </c>
      <c r="Z78">
        <v>10.683622994548047</v>
      </c>
    </row>
    <row r="79" spans="1:26" x14ac:dyDescent="0.25">
      <c r="A79">
        <v>5160</v>
      </c>
      <c r="B79">
        <v>23050</v>
      </c>
      <c r="C79" s="1">
        <v>42656</v>
      </c>
      <c r="F79" s="28"/>
      <c r="G79">
        <v>7.8</v>
      </c>
      <c r="H79">
        <v>4.4000000000000004</v>
      </c>
      <c r="I79">
        <v>9.6</v>
      </c>
      <c r="J79">
        <f t="shared" si="3"/>
        <v>398.10000000000008</v>
      </c>
      <c r="K79">
        <f t="shared" si="4"/>
        <v>398.10000000000008</v>
      </c>
      <c r="M79">
        <v>1.4</v>
      </c>
      <c r="N79">
        <v>0.3</v>
      </c>
      <c r="O79">
        <f t="shared" si="9"/>
        <v>1.0999999999999999</v>
      </c>
      <c r="Q79">
        <v>30</v>
      </c>
      <c r="R79">
        <f t="shared" si="8"/>
        <v>0.56343283582089554</v>
      </c>
      <c r="S79">
        <f t="shared" si="10"/>
        <v>0.16902985074626867</v>
      </c>
      <c r="T79">
        <f t="shared" si="11"/>
        <v>1.2309701492537313</v>
      </c>
      <c r="U79" s="4">
        <f t="shared" si="5"/>
        <v>15.053283582089552</v>
      </c>
      <c r="W79">
        <v>244.3</v>
      </c>
      <c r="X79">
        <f t="shared" si="6"/>
        <v>28762.099999999995</v>
      </c>
      <c r="Y79">
        <f t="shared" si="7"/>
        <v>28762.099999999995</v>
      </c>
      <c r="Z79">
        <v>10.626719450081124</v>
      </c>
    </row>
    <row r="80" spans="1:26" x14ac:dyDescent="0.25">
      <c r="A80">
        <v>5160</v>
      </c>
      <c r="B80">
        <v>23050</v>
      </c>
      <c r="C80" s="1">
        <v>42657</v>
      </c>
      <c r="F80" s="28"/>
      <c r="G80">
        <v>10.199999999999999</v>
      </c>
      <c r="H80">
        <v>9.1999999999999993</v>
      </c>
      <c r="I80">
        <v>11.7</v>
      </c>
      <c r="J80">
        <f t="shared" si="3"/>
        <v>408.30000000000007</v>
      </c>
      <c r="K80">
        <f t="shared" si="4"/>
        <v>408.30000000000007</v>
      </c>
      <c r="M80">
        <v>0</v>
      </c>
      <c r="N80">
        <v>0.6</v>
      </c>
      <c r="O80">
        <f t="shared" si="9"/>
        <v>-0.6</v>
      </c>
      <c r="Q80">
        <v>31</v>
      </c>
      <c r="R80">
        <f t="shared" si="8"/>
        <v>0.57313432835820888</v>
      </c>
      <c r="S80">
        <f t="shared" si="10"/>
        <v>0.34388059701492529</v>
      </c>
      <c r="T80">
        <f t="shared" si="11"/>
        <v>-0.34388059701492529</v>
      </c>
      <c r="U80" s="4">
        <f t="shared" si="5"/>
        <v>14.709402985074627</v>
      </c>
      <c r="W80">
        <v>322.3</v>
      </c>
      <c r="X80">
        <f t="shared" si="6"/>
        <v>29084.399999999994</v>
      </c>
      <c r="Y80">
        <f t="shared" si="7"/>
        <v>29084.399999999994</v>
      </c>
      <c r="Z80">
        <v>10.57003824411653</v>
      </c>
    </row>
    <row r="81" spans="1:26" x14ac:dyDescent="0.25">
      <c r="A81">
        <v>5160</v>
      </c>
      <c r="B81">
        <v>23050</v>
      </c>
      <c r="C81" s="1">
        <v>42658</v>
      </c>
      <c r="F81" s="28"/>
      <c r="G81">
        <v>11.9</v>
      </c>
      <c r="H81">
        <v>6.7</v>
      </c>
      <c r="I81">
        <v>17.8</v>
      </c>
      <c r="J81">
        <f t="shared" si="3"/>
        <v>420.20000000000005</v>
      </c>
      <c r="K81">
        <f t="shared" si="4"/>
        <v>420.20000000000005</v>
      </c>
      <c r="M81">
        <v>0</v>
      </c>
      <c r="N81">
        <v>1.7</v>
      </c>
      <c r="O81">
        <f t="shared" si="9"/>
        <v>-1.7</v>
      </c>
      <c r="Q81">
        <v>32</v>
      </c>
      <c r="R81">
        <f t="shared" si="8"/>
        <v>0.58283582089552233</v>
      </c>
      <c r="S81">
        <f t="shared" si="10"/>
        <v>0.99082089552238795</v>
      </c>
      <c r="T81">
        <f t="shared" si="11"/>
        <v>-0.99082089552238795</v>
      </c>
      <c r="U81" s="4">
        <f t="shared" si="5"/>
        <v>13.718582089552239</v>
      </c>
      <c r="W81">
        <v>750.7</v>
      </c>
      <c r="X81">
        <f t="shared" si="6"/>
        <v>29835.099999999995</v>
      </c>
      <c r="Y81">
        <f t="shared" si="7"/>
        <v>29835.099999999995</v>
      </c>
      <c r="Z81">
        <v>10.513591633912734</v>
      </c>
    </row>
    <row r="82" spans="1:26" x14ac:dyDescent="0.25">
      <c r="A82">
        <v>5160</v>
      </c>
      <c r="B82">
        <v>23050</v>
      </c>
      <c r="C82" s="1">
        <v>42659</v>
      </c>
      <c r="F82" s="28"/>
      <c r="G82">
        <v>13.6</v>
      </c>
      <c r="H82">
        <v>7.5</v>
      </c>
      <c r="I82">
        <v>19.899999999999999</v>
      </c>
      <c r="J82">
        <f t="shared" si="3"/>
        <v>433.80000000000007</v>
      </c>
      <c r="K82">
        <f t="shared" si="4"/>
        <v>433.80000000000007</v>
      </c>
      <c r="M82">
        <v>0.6</v>
      </c>
      <c r="N82">
        <v>1.7</v>
      </c>
      <c r="O82">
        <f t="shared" si="9"/>
        <v>-1.1000000000000001</v>
      </c>
      <c r="Q82">
        <v>33</v>
      </c>
      <c r="R82">
        <f t="shared" si="8"/>
        <v>0.59253731343283578</v>
      </c>
      <c r="S82">
        <f t="shared" si="10"/>
        <v>1.0073134328358209</v>
      </c>
      <c r="T82">
        <f t="shared" si="11"/>
        <v>-0.40731343283582089</v>
      </c>
      <c r="U82" s="4">
        <f t="shared" si="5"/>
        <v>13.311268656716418</v>
      </c>
      <c r="W82">
        <v>863.5</v>
      </c>
      <c r="X82">
        <f t="shared" si="6"/>
        <v>30698.599999999995</v>
      </c>
      <c r="Y82">
        <f t="shared" si="7"/>
        <v>30698.599999999995</v>
      </c>
      <c r="Z82">
        <v>10.45739221087017</v>
      </c>
    </row>
    <row r="83" spans="1:26" x14ac:dyDescent="0.25">
      <c r="A83">
        <v>5160</v>
      </c>
      <c r="B83">
        <v>23050</v>
      </c>
      <c r="C83" s="1">
        <v>42660</v>
      </c>
      <c r="F83" s="28"/>
      <c r="G83">
        <v>12.3</v>
      </c>
      <c r="H83">
        <v>9.1</v>
      </c>
      <c r="I83">
        <v>18.5</v>
      </c>
      <c r="J83">
        <f t="shared" si="3"/>
        <v>446.10000000000008</v>
      </c>
      <c r="K83">
        <f t="shared" si="4"/>
        <v>446.10000000000008</v>
      </c>
      <c r="M83">
        <v>0.6</v>
      </c>
      <c r="N83">
        <v>1.1000000000000001</v>
      </c>
      <c r="O83">
        <f t="shared" si="9"/>
        <v>-0.50000000000000011</v>
      </c>
      <c r="Q83">
        <v>34</v>
      </c>
      <c r="R83">
        <f t="shared" si="8"/>
        <v>0.60223880597014923</v>
      </c>
      <c r="S83">
        <f t="shared" si="10"/>
        <v>0.66246268656716423</v>
      </c>
      <c r="T83">
        <f t="shared" si="11"/>
        <v>-6.2462686567164249E-2</v>
      </c>
      <c r="U83" s="4">
        <f t="shared" si="5"/>
        <v>13.248805970149254</v>
      </c>
      <c r="W83">
        <v>486</v>
      </c>
      <c r="X83">
        <f t="shared" si="6"/>
        <v>31184.599999999995</v>
      </c>
      <c r="Y83">
        <f t="shared" si="7"/>
        <v>31184.599999999995</v>
      </c>
      <c r="Z83">
        <v>10.401452910580696</v>
      </c>
    </row>
    <row r="84" spans="1:26" x14ac:dyDescent="0.25">
      <c r="A84">
        <v>5160</v>
      </c>
      <c r="B84">
        <v>23050</v>
      </c>
      <c r="C84" s="1">
        <v>42661</v>
      </c>
      <c r="F84" s="28"/>
      <c r="G84">
        <v>10.5</v>
      </c>
      <c r="H84">
        <v>4</v>
      </c>
      <c r="I84">
        <v>15.7</v>
      </c>
      <c r="J84">
        <f t="shared" si="3"/>
        <v>456.60000000000008</v>
      </c>
      <c r="K84">
        <f t="shared" si="4"/>
        <v>456.60000000000008</v>
      </c>
      <c r="M84">
        <v>1</v>
      </c>
      <c r="N84">
        <v>1</v>
      </c>
      <c r="O84">
        <f t="shared" si="9"/>
        <v>0</v>
      </c>
      <c r="Q84">
        <v>35</v>
      </c>
      <c r="R84">
        <f t="shared" si="8"/>
        <v>0.61194029850746268</v>
      </c>
      <c r="S84">
        <f t="shared" si="10"/>
        <v>0.61194029850746268</v>
      </c>
      <c r="T84">
        <f t="shared" si="11"/>
        <v>0.38805970149253732</v>
      </c>
      <c r="U84" s="4">
        <f t="shared" si="5"/>
        <v>13.636865671641791</v>
      </c>
      <c r="W84">
        <v>607.6</v>
      </c>
      <c r="X84">
        <f t="shared" si="6"/>
        <v>31792.199999999993</v>
      </c>
      <c r="Y84">
        <f t="shared" si="7"/>
        <v>31792.199999999993</v>
      </c>
      <c r="Z84">
        <v>10.345787022321716</v>
      </c>
    </row>
    <row r="85" spans="1:26" x14ac:dyDescent="0.25">
      <c r="A85">
        <v>5160</v>
      </c>
      <c r="B85">
        <v>23050</v>
      </c>
      <c r="C85" s="1">
        <v>42662</v>
      </c>
      <c r="F85" s="28"/>
      <c r="G85">
        <v>10</v>
      </c>
      <c r="H85">
        <v>6.5</v>
      </c>
      <c r="I85">
        <v>14</v>
      </c>
      <c r="J85">
        <f t="shared" si="3"/>
        <v>466.60000000000008</v>
      </c>
      <c r="K85">
        <f t="shared" si="4"/>
        <v>466.60000000000008</v>
      </c>
      <c r="M85">
        <v>0.1</v>
      </c>
      <c r="N85">
        <v>1.2</v>
      </c>
      <c r="O85">
        <f t="shared" si="9"/>
        <v>-1.0999999999999999</v>
      </c>
      <c r="Q85">
        <v>36</v>
      </c>
      <c r="R85">
        <f t="shared" si="8"/>
        <v>0.62164179104477602</v>
      </c>
      <c r="S85">
        <f t="shared" si="10"/>
        <v>0.74597014925373117</v>
      </c>
      <c r="T85">
        <f t="shared" si="11"/>
        <v>-0.6459701492537312</v>
      </c>
      <c r="U85" s="4">
        <f t="shared" si="5"/>
        <v>12.99089552238806</v>
      </c>
      <c r="W85">
        <v>669.6</v>
      </c>
      <c r="X85">
        <f t="shared" si="6"/>
        <v>32461.799999999992</v>
      </c>
      <c r="Y85">
        <f t="shared" si="7"/>
        <v>32461.799999999992</v>
      </c>
      <c r="Z85">
        <v>10.29040819794972</v>
      </c>
    </row>
    <row r="86" spans="1:26" x14ac:dyDescent="0.25">
      <c r="A86">
        <v>5160</v>
      </c>
      <c r="B86">
        <v>23050</v>
      </c>
      <c r="C86" s="1">
        <v>42663</v>
      </c>
      <c r="F86" s="28"/>
      <c r="G86">
        <v>10.5</v>
      </c>
      <c r="H86">
        <v>7.7</v>
      </c>
      <c r="I86">
        <v>13.6</v>
      </c>
      <c r="J86">
        <f t="shared" si="3"/>
        <v>477.10000000000008</v>
      </c>
      <c r="K86">
        <f t="shared" si="4"/>
        <v>477.10000000000008</v>
      </c>
      <c r="M86">
        <v>0</v>
      </c>
      <c r="N86">
        <v>1.1000000000000001</v>
      </c>
      <c r="O86">
        <f t="shared" si="9"/>
        <v>-1.1000000000000001</v>
      </c>
      <c r="Q86">
        <v>37</v>
      </c>
      <c r="R86">
        <f t="shared" si="8"/>
        <v>0.63134328358208958</v>
      </c>
      <c r="S86">
        <f t="shared" si="10"/>
        <v>0.69447761194029856</v>
      </c>
      <c r="T86">
        <f t="shared" si="11"/>
        <v>-0.69447761194029856</v>
      </c>
      <c r="U86" s="4">
        <f t="shared" si="5"/>
        <v>12.296417910447762</v>
      </c>
      <c r="W86">
        <v>570.20000000000005</v>
      </c>
      <c r="X86">
        <f t="shared" si="6"/>
        <v>33031.999999999993</v>
      </c>
      <c r="Y86">
        <f t="shared" si="7"/>
        <v>33031.999999999993</v>
      </c>
      <c r="Z86">
        <v>10.235330460145747</v>
      </c>
    </row>
    <row r="87" spans="1:26" x14ac:dyDescent="0.25">
      <c r="A87">
        <v>5160</v>
      </c>
      <c r="B87">
        <v>23050</v>
      </c>
      <c r="C87" s="1">
        <v>42664</v>
      </c>
      <c r="F87" s="28"/>
      <c r="G87">
        <v>10</v>
      </c>
      <c r="H87">
        <v>7.2</v>
      </c>
      <c r="I87">
        <v>13.3</v>
      </c>
      <c r="J87">
        <f t="shared" si="3"/>
        <v>487.10000000000008</v>
      </c>
      <c r="K87">
        <f t="shared" si="4"/>
        <v>487.10000000000008</v>
      </c>
      <c r="M87">
        <v>0</v>
      </c>
      <c r="N87">
        <v>0.7</v>
      </c>
      <c r="O87">
        <f t="shared" si="9"/>
        <v>-0.7</v>
      </c>
      <c r="Q87">
        <v>38</v>
      </c>
      <c r="R87">
        <f t="shared" si="8"/>
        <v>0.64104477611940291</v>
      </c>
      <c r="S87">
        <f t="shared" si="10"/>
        <v>0.448731343283582</v>
      </c>
      <c r="T87">
        <f t="shared" si="11"/>
        <v>-0.448731343283582</v>
      </c>
      <c r="U87" s="4">
        <f t="shared" si="5"/>
        <v>11.84768656716418</v>
      </c>
      <c r="W87">
        <v>532.79999999999995</v>
      </c>
      <c r="X87">
        <f t="shared" si="6"/>
        <v>33564.799999999996</v>
      </c>
      <c r="Y87">
        <f t="shared" si="7"/>
        <v>33564.799999999996</v>
      </c>
      <c r="Z87">
        <v>10.180568209962892</v>
      </c>
    </row>
    <row r="88" spans="1:26" x14ac:dyDescent="0.25">
      <c r="A88">
        <v>5160</v>
      </c>
      <c r="B88">
        <v>23050</v>
      </c>
      <c r="C88" s="1">
        <v>42665</v>
      </c>
      <c r="F88" s="28"/>
      <c r="G88">
        <v>7.7</v>
      </c>
      <c r="H88">
        <v>3.2</v>
      </c>
      <c r="I88">
        <v>11.5</v>
      </c>
      <c r="J88">
        <f t="shared" si="3"/>
        <v>494.80000000000007</v>
      </c>
      <c r="K88">
        <f t="shared" si="4"/>
        <v>494.80000000000007</v>
      </c>
      <c r="M88">
        <v>0</v>
      </c>
      <c r="N88">
        <v>0.4</v>
      </c>
      <c r="O88">
        <f t="shared" si="9"/>
        <v>-0.4</v>
      </c>
      <c r="Q88">
        <v>39</v>
      </c>
      <c r="R88">
        <f t="shared" si="8"/>
        <v>0.65074626865671648</v>
      </c>
      <c r="S88">
        <f t="shared" si="10"/>
        <v>0.26029850746268662</v>
      </c>
      <c r="T88">
        <f t="shared" si="11"/>
        <v>-0.26029850746268662</v>
      </c>
      <c r="U88" s="4">
        <f t="shared" si="5"/>
        <v>11.587388059701494</v>
      </c>
      <c r="W88">
        <v>487.5</v>
      </c>
      <c r="X88">
        <f t="shared" si="6"/>
        <v>34052.299999999996</v>
      </c>
      <c r="Y88">
        <f t="shared" si="7"/>
        <v>34052.299999999996</v>
      </c>
      <c r="Z88">
        <v>10.126136233623694</v>
      </c>
    </row>
    <row r="89" spans="1:26" x14ac:dyDescent="0.25">
      <c r="A89">
        <v>5160</v>
      </c>
      <c r="B89">
        <v>23050</v>
      </c>
      <c r="C89" s="1">
        <v>42666</v>
      </c>
      <c r="F89" s="28"/>
      <c r="G89">
        <v>7.7</v>
      </c>
      <c r="H89">
        <v>4.2</v>
      </c>
      <c r="I89">
        <v>10.4</v>
      </c>
      <c r="J89">
        <f t="shared" si="3"/>
        <v>502.50000000000006</v>
      </c>
      <c r="K89">
        <f t="shared" si="4"/>
        <v>502.50000000000006</v>
      </c>
      <c r="M89">
        <v>4.8</v>
      </c>
      <c r="N89">
        <v>0.4</v>
      </c>
      <c r="O89">
        <f t="shared" si="9"/>
        <v>4.3999999999999995</v>
      </c>
      <c r="Q89">
        <v>40</v>
      </c>
      <c r="R89">
        <f t="shared" si="8"/>
        <v>0.66044776119402981</v>
      </c>
      <c r="S89">
        <f t="shared" si="10"/>
        <v>0.26417910447761195</v>
      </c>
      <c r="T89">
        <f t="shared" si="11"/>
        <v>4.535820895522388</v>
      </c>
      <c r="U89" s="4">
        <f t="shared" si="5"/>
        <v>16.12320895522388</v>
      </c>
      <c r="W89">
        <v>225.7</v>
      </c>
      <c r="X89">
        <f t="shared" si="6"/>
        <v>34277.999999999993</v>
      </c>
      <c r="Y89">
        <f t="shared" si="7"/>
        <v>34277.999999999993</v>
      </c>
      <c r="Z89">
        <v>10.072049708513067</v>
      </c>
    </row>
    <row r="90" spans="1:26" x14ac:dyDescent="0.25">
      <c r="A90">
        <v>5160</v>
      </c>
      <c r="B90">
        <v>23050</v>
      </c>
      <c r="C90" s="1">
        <v>42667</v>
      </c>
      <c r="F90" s="28"/>
      <c r="G90">
        <v>12</v>
      </c>
      <c r="H90">
        <v>8</v>
      </c>
      <c r="I90">
        <v>13.4</v>
      </c>
      <c r="J90">
        <f t="shared" si="3"/>
        <v>514.5</v>
      </c>
      <c r="K90">
        <f t="shared" si="4"/>
        <v>514.5</v>
      </c>
      <c r="M90">
        <v>1.5</v>
      </c>
      <c r="N90">
        <v>0</v>
      </c>
      <c r="O90">
        <f t="shared" si="9"/>
        <v>1.5</v>
      </c>
      <c r="Q90">
        <v>41</v>
      </c>
      <c r="R90">
        <f t="shared" si="8"/>
        <v>0.67014925373134326</v>
      </c>
      <c r="S90">
        <f t="shared" si="10"/>
        <v>0</v>
      </c>
      <c r="T90">
        <f t="shared" si="11"/>
        <v>1.5</v>
      </c>
      <c r="U90" s="4">
        <f t="shared" si="5"/>
        <v>17.62320895522388</v>
      </c>
      <c r="W90">
        <v>249.3</v>
      </c>
      <c r="X90">
        <f t="shared" si="6"/>
        <v>34527.299999999996</v>
      </c>
      <c r="Y90">
        <f t="shared" si="7"/>
        <v>34527.299999999996</v>
      </c>
      <c r="Z90">
        <v>10.018324208310217</v>
      </c>
    </row>
    <row r="91" spans="1:26" x14ac:dyDescent="0.25">
      <c r="A91">
        <v>5160</v>
      </c>
      <c r="B91">
        <v>23050</v>
      </c>
      <c r="C91" s="1">
        <v>42668</v>
      </c>
      <c r="F91" s="28"/>
      <c r="G91">
        <v>12.7</v>
      </c>
      <c r="H91">
        <v>12</v>
      </c>
      <c r="I91">
        <v>14.1</v>
      </c>
      <c r="J91">
        <f t="shared" si="3"/>
        <v>527.20000000000005</v>
      </c>
      <c r="K91">
        <f t="shared" si="4"/>
        <v>527.20000000000005</v>
      </c>
      <c r="M91">
        <v>0</v>
      </c>
      <c r="N91">
        <v>0.3</v>
      </c>
      <c r="O91">
        <f t="shared" si="9"/>
        <v>-0.3</v>
      </c>
      <c r="Q91">
        <v>42</v>
      </c>
      <c r="R91">
        <f t="shared" si="8"/>
        <v>0.67985074626865671</v>
      </c>
      <c r="S91">
        <f t="shared" si="10"/>
        <v>0.203955223880597</v>
      </c>
      <c r="T91">
        <f t="shared" si="11"/>
        <v>-0.203955223880597</v>
      </c>
      <c r="U91" s="4">
        <f t="shared" si="5"/>
        <v>17.419253731343282</v>
      </c>
      <c r="W91">
        <v>299.89999999999998</v>
      </c>
      <c r="X91">
        <f t="shared" si="6"/>
        <v>34827.199999999997</v>
      </c>
      <c r="Y91">
        <f t="shared" si="7"/>
        <v>34827.199999999997</v>
      </c>
      <c r="Z91">
        <v>9.9649757072009653</v>
      </c>
    </row>
    <row r="92" spans="1:26" x14ac:dyDescent="0.25">
      <c r="A92">
        <v>5160</v>
      </c>
      <c r="B92">
        <v>23050</v>
      </c>
      <c r="C92" s="1">
        <v>42669</v>
      </c>
      <c r="F92" s="28"/>
      <c r="G92">
        <v>10.3</v>
      </c>
      <c r="H92">
        <v>10.199999999999999</v>
      </c>
      <c r="I92">
        <v>13</v>
      </c>
      <c r="J92">
        <f t="shared" si="3"/>
        <v>537.5</v>
      </c>
      <c r="K92">
        <f t="shared" si="4"/>
        <v>537.5</v>
      </c>
      <c r="M92">
        <v>0.2</v>
      </c>
      <c r="N92">
        <v>0.7</v>
      </c>
      <c r="O92">
        <f t="shared" si="9"/>
        <v>-0.49999999999999994</v>
      </c>
      <c r="Q92">
        <v>43</v>
      </c>
      <c r="R92">
        <f t="shared" si="8"/>
        <v>0.68955223880597005</v>
      </c>
      <c r="S92">
        <f t="shared" si="10"/>
        <v>0.48268656716417901</v>
      </c>
      <c r="T92">
        <f t="shared" si="11"/>
        <v>-0.282686567164179</v>
      </c>
      <c r="U92" s="4">
        <f t="shared" si="5"/>
        <v>17.136567164179102</v>
      </c>
      <c r="W92">
        <v>268</v>
      </c>
      <c r="X92">
        <f t="shared" si="6"/>
        <v>35095.199999999997</v>
      </c>
      <c r="Y92">
        <f t="shared" si="7"/>
        <v>35095.199999999997</v>
      </c>
      <c r="Z92">
        <v>9.9120205831099568</v>
      </c>
    </row>
    <row r="93" spans="1:26" x14ac:dyDescent="0.25">
      <c r="A93">
        <v>5160</v>
      </c>
      <c r="B93">
        <v>23050</v>
      </c>
      <c r="C93" s="1">
        <v>42670</v>
      </c>
      <c r="F93" s="28"/>
      <c r="G93">
        <v>8.1999999999999993</v>
      </c>
      <c r="H93">
        <v>4.3</v>
      </c>
      <c r="I93">
        <v>10.7</v>
      </c>
      <c r="J93">
        <f t="shared" si="3"/>
        <v>545.70000000000005</v>
      </c>
      <c r="K93">
        <f t="shared" si="4"/>
        <v>545.70000000000005</v>
      </c>
      <c r="M93">
        <v>0.1</v>
      </c>
      <c r="N93">
        <v>0.7</v>
      </c>
      <c r="O93">
        <f t="shared" si="9"/>
        <v>-0.6</v>
      </c>
      <c r="Q93">
        <v>44</v>
      </c>
      <c r="R93">
        <f t="shared" si="8"/>
        <v>0.69925373134328361</v>
      </c>
      <c r="S93">
        <f t="shared" si="10"/>
        <v>0.48947761194029848</v>
      </c>
      <c r="T93">
        <f t="shared" si="11"/>
        <v>-0.38947761194029851</v>
      </c>
      <c r="U93" s="4">
        <f t="shared" si="5"/>
        <v>16.747089552238805</v>
      </c>
      <c r="W93">
        <v>501.8</v>
      </c>
      <c r="X93">
        <f t="shared" si="6"/>
        <v>35597</v>
      </c>
      <c r="Y93">
        <f t="shared" si="7"/>
        <v>35597</v>
      </c>
      <c r="Z93">
        <v>9.8594756198905245</v>
      </c>
    </row>
    <row r="94" spans="1:26" x14ac:dyDescent="0.25">
      <c r="A94">
        <v>5160</v>
      </c>
      <c r="B94">
        <v>23050</v>
      </c>
      <c r="C94" s="1">
        <v>42671</v>
      </c>
      <c r="F94" s="28"/>
      <c r="G94">
        <v>8.1</v>
      </c>
      <c r="H94">
        <v>4.7</v>
      </c>
      <c r="I94">
        <v>10.9</v>
      </c>
      <c r="J94">
        <f t="shared" si="3"/>
        <v>553.80000000000007</v>
      </c>
      <c r="K94">
        <f t="shared" si="4"/>
        <v>553.80000000000007</v>
      </c>
      <c r="M94">
        <v>0.1</v>
      </c>
      <c r="N94">
        <v>0.7</v>
      </c>
      <c r="O94">
        <f t="shared" si="9"/>
        <v>-0.6</v>
      </c>
      <c r="Q94">
        <v>45</v>
      </c>
      <c r="R94">
        <f t="shared" si="8"/>
        <v>0.70895522388059695</v>
      </c>
      <c r="S94">
        <f t="shared" si="10"/>
        <v>0.49626865671641784</v>
      </c>
      <c r="T94">
        <f t="shared" si="11"/>
        <v>-0.39626865671641787</v>
      </c>
      <c r="U94" s="4">
        <f t="shared" si="5"/>
        <v>16.350820895522386</v>
      </c>
      <c r="W94">
        <v>470.1</v>
      </c>
      <c r="X94">
        <f t="shared" si="6"/>
        <v>36067.1</v>
      </c>
      <c r="Y94">
        <f t="shared" si="7"/>
        <v>36067.1</v>
      </c>
      <c r="Z94">
        <v>9.8073580084083716</v>
      </c>
    </row>
    <row r="95" spans="1:26" x14ac:dyDescent="0.25">
      <c r="A95">
        <v>5160</v>
      </c>
      <c r="B95">
        <v>23050</v>
      </c>
      <c r="C95" s="1">
        <v>42672</v>
      </c>
      <c r="F95" s="28"/>
      <c r="G95">
        <v>9.1999999999999993</v>
      </c>
      <c r="H95">
        <v>5.9</v>
      </c>
      <c r="I95">
        <v>11.4</v>
      </c>
      <c r="J95">
        <f t="shared" si="3"/>
        <v>563.00000000000011</v>
      </c>
      <c r="K95">
        <f t="shared" si="4"/>
        <v>563.00000000000011</v>
      </c>
      <c r="M95">
        <v>0.1</v>
      </c>
      <c r="N95">
        <v>0.5</v>
      </c>
      <c r="O95">
        <f t="shared" si="9"/>
        <v>-0.4</v>
      </c>
      <c r="Q95">
        <v>46</v>
      </c>
      <c r="R95">
        <f t="shared" si="8"/>
        <v>0.7186567164179104</v>
      </c>
      <c r="S95">
        <f t="shared" si="10"/>
        <v>0.3593283582089552</v>
      </c>
      <c r="T95">
        <f t="shared" si="11"/>
        <v>-0.25932835820895517</v>
      </c>
      <c r="U95" s="4">
        <f t="shared" si="5"/>
        <v>16.091492537313432</v>
      </c>
      <c r="W95">
        <v>244.4</v>
      </c>
      <c r="X95">
        <f t="shared" si="6"/>
        <v>36311.5</v>
      </c>
      <c r="Y95">
        <f t="shared" si="7"/>
        <v>36311.5</v>
      </c>
      <c r="Z95">
        <v>9.7556853464539426</v>
      </c>
    </row>
    <row r="96" spans="1:26" x14ac:dyDescent="0.25">
      <c r="A96">
        <v>5160</v>
      </c>
      <c r="B96">
        <v>23050</v>
      </c>
      <c r="C96" s="1">
        <v>42673</v>
      </c>
      <c r="F96" s="28"/>
      <c r="G96">
        <v>10.8</v>
      </c>
      <c r="H96">
        <v>7</v>
      </c>
      <c r="I96">
        <v>14.8</v>
      </c>
      <c r="J96">
        <f t="shared" si="3"/>
        <v>573.80000000000007</v>
      </c>
      <c r="K96">
        <f t="shared" si="4"/>
        <v>573.80000000000007</v>
      </c>
      <c r="M96">
        <v>0</v>
      </c>
      <c r="N96">
        <v>1.6</v>
      </c>
      <c r="O96">
        <f t="shared" si="9"/>
        <v>-1.6</v>
      </c>
      <c r="Q96">
        <v>47</v>
      </c>
      <c r="R96">
        <f t="shared" si="8"/>
        <v>0.72835820895522385</v>
      </c>
      <c r="S96">
        <f t="shared" si="10"/>
        <v>1.1653731343283582</v>
      </c>
      <c r="T96">
        <f t="shared" si="11"/>
        <v>-1.1653731343283582</v>
      </c>
      <c r="U96" s="4">
        <f t="shared" si="5"/>
        <v>14.926119402985073</v>
      </c>
      <c r="W96">
        <v>1058.3</v>
      </c>
      <c r="X96">
        <f t="shared" si="6"/>
        <v>37369.800000000003</v>
      </c>
      <c r="Y96">
        <f t="shared" si="7"/>
        <v>37369.800000000003</v>
      </c>
      <c r="Z96">
        <v>9.7044756374172838</v>
      </c>
    </row>
    <row r="97" spans="1:26" x14ac:dyDescent="0.25">
      <c r="A97">
        <v>5160</v>
      </c>
      <c r="B97">
        <v>23050</v>
      </c>
      <c r="C97" s="1">
        <v>42674</v>
      </c>
      <c r="F97" s="28"/>
      <c r="G97">
        <v>10.7</v>
      </c>
      <c r="H97">
        <v>6.4</v>
      </c>
      <c r="I97">
        <v>16.3</v>
      </c>
      <c r="J97">
        <f t="shared" si="3"/>
        <v>584.50000000000011</v>
      </c>
      <c r="K97">
        <f t="shared" si="4"/>
        <v>584.50000000000011</v>
      </c>
      <c r="M97">
        <v>0.1</v>
      </c>
      <c r="N97">
        <v>1.8</v>
      </c>
      <c r="O97">
        <f t="shared" si="9"/>
        <v>-1.7</v>
      </c>
      <c r="Q97">
        <v>48</v>
      </c>
      <c r="R97">
        <f t="shared" si="8"/>
        <v>0.73805970149253719</v>
      </c>
      <c r="S97">
        <f t="shared" si="10"/>
        <v>1.3285074626865669</v>
      </c>
      <c r="T97">
        <f t="shared" si="11"/>
        <v>-1.2285074626865669</v>
      </c>
      <c r="U97" s="4">
        <f t="shared" si="5"/>
        <v>13.697611940298506</v>
      </c>
      <c r="W97">
        <v>1102.4000000000001</v>
      </c>
      <c r="X97">
        <f t="shared" si="6"/>
        <v>38472.200000000004</v>
      </c>
      <c r="Y97">
        <f t="shared" si="7"/>
        <v>38472.200000000004</v>
      </c>
      <c r="Z97">
        <v>9.6537472876585166</v>
      </c>
    </row>
    <row r="98" spans="1:26" x14ac:dyDescent="0.25">
      <c r="A98">
        <v>5160</v>
      </c>
      <c r="B98">
        <v>23050</v>
      </c>
      <c r="C98" s="1">
        <v>42675</v>
      </c>
      <c r="F98" s="28"/>
      <c r="G98">
        <v>6.8</v>
      </c>
      <c r="H98">
        <v>4.8</v>
      </c>
      <c r="I98">
        <v>8.8000000000000007</v>
      </c>
      <c r="J98">
        <f t="shared" si="3"/>
        <v>591.30000000000007</v>
      </c>
      <c r="K98">
        <f t="shared" si="4"/>
        <v>591.30000000000007</v>
      </c>
      <c r="M98">
        <v>0.2</v>
      </c>
      <c r="N98">
        <v>0.5</v>
      </c>
      <c r="O98">
        <f t="shared" si="9"/>
        <v>-0.3</v>
      </c>
      <c r="Q98">
        <v>49</v>
      </c>
      <c r="R98">
        <f t="shared" si="8"/>
        <v>0.74776119402985075</v>
      </c>
      <c r="S98">
        <f t="shared" si="10"/>
        <v>0.37388059701492538</v>
      </c>
      <c r="T98">
        <f t="shared" si="11"/>
        <v>-0.17388059701492536</v>
      </c>
      <c r="U98" s="4">
        <f t="shared" si="5"/>
        <v>13.523731343283581</v>
      </c>
      <c r="W98">
        <v>355.8</v>
      </c>
      <c r="X98">
        <f t="shared" si="6"/>
        <v>38828.000000000007</v>
      </c>
      <c r="Y98">
        <f t="shared" si="7"/>
        <v>38828.000000000007</v>
      </c>
      <c r="Z98">
        <v>9.603519102506537</v>
      </c>
    </row>
    <row r="99" spans="1:26" x14ac:dyDescent="0.25">
      <c r="A99">
        <v>5160</v>
      </c>
      <c r="B99">
        <v>23050</v>
      </c>
      <c r="C99" s="1">
        <v>42676</v>
      </c>
      <c r="F99" s="28"/>
      <c r="G99">
        <v>7.4</v>
      </c>
      <c r="H99">
        <v>3.9</v>
      </c>
      <c r="I99">
        <v>10.9</v>
      </c>
      <c r="J99">
        <f t="shared" si="3"/>
        <v>598.70000000000005</v>
      </c>
      <c r="K99">
        <f t="shared" si="4"/>
        <v>598.70000000000005</v>
      </c>
      <c r="M99">
        <v>0</v>
      </c>
      <c r="N99">
        <v>0.2</v>
      </c>
      <c r="O99">
        <f t="shared" si="9"/>
        <v>-0.2</v>
      </c>
      <c r="Q99">
        <v>50</v>
      </c>
      <c r="R99">
        <f t="shared" si="8"/>
        <v>0.7574626865671642</v>
      </c>
      <c r="S99">
        <f t="shared" si="10"/>
        <v>0.15149253731343285</v>
      </c>
      <c r="T99">
        <f t="shared" si="11"/>
        <v>-0.15149253731343285</v>
      </c>
      <c r="U99" s="4">
        <f t="shared" si="5"/>
        <v>13.372238805970149</v>
      </c>
      <c r="W99">
        <v>272</v>
      </c>
      <c r="X99">
        <f t="shared" si="6"/>
        <v>39100.000000000007</v>
      </c>
      <c r="Y99">
        <f t="shared" si="7"/>
        <v>39100.000000000007</v>
      </c>
      <c r="Z99">
        <v>9.5538102808187659</v>
      </c>
    </row>
    <row r="100" spans="1:26" x14ac:dyDescent="0.25">
      <c r="A100">
        <v>5160</v>
      </c>
      <c r="B100">
        <v>23050</v>
      </c>
      <c r="C100" s="1">
        <v>42677</v>
      </c>
      <c r="F100" s="28"/>
      <c r="G100">
        <v>5.4</v>
      </c>
      <c r="H100">
        <v>1.1000000000000001</v>
      </c>
      <c r="I100">
        <v>10.4</v>
      </c>
      <c r="J100">
        <f t="shared" si="3"/>
        <v>604.1</v>
      </c>
      <c r="K100">
        <f t="shared" si="4"/>
        <v>604.1</v>
      </c>
      <c r="M100">
        <v>0</v>
      </c>
      <c r="N100">
        <v>1.2</v>
      </c>
      <c r="O100">
        <f t="shared" si="9"/>
        <v>-1.2</v>
      </c>
      <c r="Q100">
        <v>51</v>
      </c>
      <c r="R100">
        <f t="shared" si="8"/>
        <v>0.76716417910447765</v>
      </c>
      <c r="S100">
        <f t="shared" si="10"/>
        <v>0.92059701492537316</v>
      </c>
      <c r="T100">
        <f t="shared" si="11"/>
        <v>-0.92059701492537316</v>
      </c>
      <c r="U100" s="4">
        <f t="shared" si="5"/>
        <v>12.451641791044775</v>
      </c>
      <c r="W100">
        <v>991.4</v>
      </c>
      <c r="X100">
        <f t="shared" si="6"/>
        <v>40091.400000000009</v>
      </c>
      <c r="Y100">
        <f t="shared" si="7"/>
        <v>40091.400000000009</v>
      </c>
      <c r="Z100">
        <v>9.5046404080350673</v>
      </c>
    </row>
    <row r="101" spans="1:26" x14ac:dyDescent="0.25">
      <c r="A101">
        <v>5160</v>
      </c>
      <c r="B101">
        <v>23050</v>
      </c>
      <c r="C101" s="1">
        <v>42678</v>
      </c>
      <c r="F101" s="28"/>
      <c r="G101">
        <v>7.2</v>
      </c>
      <c r="H101">
        <v>1.3</v>
      </c>
      <c r="I101">
        <v>11</v>
      </c>
      <c r="J101">
        <f t="shared" si="3"/>
        <v>611.30000000000007</v>
      </c>
      <c r="K101">
        <f t="shared" si="4"/>
        <v>611.30000000000007</v>
      </c>
      <c r="M101">
        <v>7.7</v>
      </c>
      <c r="N101">
        <v>0.4</v>
      </c>
      <c r="O101">
        <f t="shared" si="9"/>
        <v>7.3</v>
      </c>
      <c r="Q101">
        <v>52</v>
      </c>
      <c r="R101">
        <f t="shared" si="8"/>
        <v>0.77686567164179099</v>
      </c>
      <c r="S101">
        <f t="shared" si="10"/>
        <v>0.3107462686567164</v>
      </c>
      <c r="T101">
        <f t="shared" si="11"/>
        <v>7.3892537313432838</v>
      </c>
      <c r="U101" s="4">
        <f t="shared" si="5"/>
        <v>19.84089552238806</v>
      </c>
      <c r="W101">
        <v>263</v>
      </c>
      <c r="X101">
        <f t="shared" si="6"/>
        <v>40354.400000000009</v>
      </c>
      <c r="Y101">
        <f t="shared" si="7"/>
        <v>40354.400000000009</v>
      </c>
      <c r="Z101">
        <v>9.4560294476600557</v>
      </c>
    </row>
    <row r="102" spans="1:26" x14ac:dyDescent="0.25">
      <c r="A102">
        <v>5160</v>
      </c>
      <c r="B102">
        <v>23050</v>
      </c>
      <c r="C102" s="1">
        <v>42679</v>
      </c>
      <c r="F102" s="28"/>
      <c r="G102">
        <v>7.9</v>
      </c>
      <c r="H102">
        <v>6.7</v>
      </c>
      <c r="I102">
        <v>10.3</v>
      </c>
      <c r="J102">
        <f t="shared" si="3"/>
        <v>619.20000000000005</v>
      </c>
      <c r="K102">
        <f t="shared" si="4"/>
        <v>619.20000000000005</v>
      </c>
      <c r="M102">
        <v>0.5</v>
      </c>
      <c r="N102">
        <v>0.7</v>
      </c>
      <c r="O102">
        <f t="shared" si="9"/>
        <v>-0.19999999999999996</v>
      </c>
      <c r="Q102">
        <v>53</v>
      </c>
      <c r="R102">
        <f t="shared" si="8"/>
        <v>0.78656716417910455</v>
      </c>
      <c r="S102">
        <f t="shared" si="10"/>
        <v>0.55059701492537316</v>
      </c>
      <c r="T102">
        <f t="shared" si="11"/>
        <v>-5.0597014925373163E-2</v>
      </c>
      <c r="U102" s="4">
        <f t="shared" si="5"/>
        <v>19.790298507462687</v>
      </c>
      <c r="W102">
        <v>400.8</v>
      </c>
      <c r="X102">
        <f t="shared" si="6"/>
        <v>40755.200000000012</v>
      </c>
      <c r="Y102">
        <f t="shared" si="7"/>
        <v>40755.200000000012</v>
      </c>
      <c r="Z102">
        <v>9.4079977311094449</v>
      </c>
    </row>
    <row r="103" spans="1:26" x14ac:dyDescent="0.25">
      <c r="A103">
        <v>5160</v>
      </c>
      <c r="B103">
        <v>23050</v>
      </c>
      <c r="C103" s="1">
        <v>42680</v>
      </c>
      <c r="F103" s="28"/>
      <c r="G103">
        <v>3.9</v>
      </c>
      <c r="H103">
        <v>3.5</v>
      </c>
      <c r="I103">
        <v>6.7</v>
      </c>
      <c r="J103">
        <f t="shared" si="3"/>
        <v>623.1</v>
      </c>
      <c r="K103">
        <f t="shared" si="4"/>
        <v>623.1</v>
      </c>
      <c r="M103">
        <v>1.1000000000000001</v>
      </c>
      <c r="N103">
        <v>0.5</v>
      </c>
      <c r="O103">
        <f t="shared" si="9"/>
        <v>0.60000000000000009</v>
      </c>
      <c r="Q103">
        <v>54</v>
      </c>
      <c r="R103">
        <f t="shared" si="8"/>
        <v>0.79626865671641789</v>
      </c>
      <c r="S103">
        <f t="shared" si="10"/>
        <v>0.39813432835820894</v>
      </c>
      <c r="T103">
        <f t="shared" si="11"/>
        <v>0.70186567164179114</v>
      </c>
      <c r="U103" s="4">
        <f t="shared" si="5"/>
        <v>20.492164179104478</v>
      </c>
      <c r="W103">
        <v>452.4</v>
      </c>
      <c r="X103">
        <f t="shared" si="6"/>
        <v>41207.600000000013</v>
      </c>
      <c r="Y103">
        <f t="shared" si="7"/>
        <v>41207.600000000013</v>
      </c>
      <c r="Z103">
        <v>9.3605659458582782</v>
      </c>
    </row>
    <row r="104" spans="1:26" x14ac:dyDescent="0.25">
      <c r="A104">
        <v>5160</v>
      </c>
      <c r="B104">
        <v>23050</v>
      </c>
      <c r="C104" s="1">
        <v>42681</v>
      </c>
      <c r="F104" s="28"/>
      <c r="G104">
        <v>3.3</v>
      </c>
      <c r="H104">
        <v>-0.2</v>
      </c>
      <c r="I104">
        <v>6</v>
      </c>
      <c r="J104">
        <f t="shared" si="3"/>
        <v>626.4</v>
      </c>
      <c r="K104">
        <f t="shared" si="4"/>
        <v>626.4</v>
      </c>
      <c r="M104">
        <v>5.0999999999999996</v>
      </c>
      <c r="N104">
        <v>0.2</v>
      </c>
      <c r="O104">
        <f t="shared" si="9"/>
        <v>4.8999999999999995</v>
      </c>
      <c r="Q104">
        <v>55</v>
      </c>
      <c r="R104">
        <f t="shared" si="8"/>
        <v>0.80597014925373134</v>
      </c>
      <c r="S104">
        <f t="shared" si="10"/>
        <v>0.16119402985074627</v>
      </c>
      <c r="T104">
        <f t="shared" si="11"/>
        <v>4.9388059701492537</v>
      </c>
      <c r="U104" s="4">
        <f t="shared" si="5"/>
        <v>25.430970149253731</v>
      </c>
      <c r="W104">
        <v>196.3</v>
      </c>
      <c r="X104">
        <f t="shared" si="6"/>
        <v>41403.900000000016</v>
      </c>
      <c r="Y104">
        <f t="shared" si="7"/>
        <v>41403.900000000016</v>
      </c>
      <c r="Z104">
        <v>9.3137551218315782</v>
      </c>
    </row>
    <row r="105" spans="1:26" x14ac:dyDescent="0.25">
      <c r="A105">
        <v>5160</v>
      </c>
      <c r="B105">
        <v>23050</v>
      </c>
      <c r="C105" s="1">
        <v>42682</v>
      </c>
      <c r="F105" s="28"/>
      <c r="G105">
        <v>5</v>
      </c>
      <c r="H105">
        <v>2.8</v>
      </c>
      <c r="I105">
        <v>6.6</v>
      </c>
      <c r="J105">
        <f t="shared" si="3"/>
        <v>631.4</v>
      </c>
      <c r="K105">
        <f t="shared" si="4"/>
        <v>631.4</v>
      </c>
      <c r="M105">
        <v>8.4</v>
      </c>
      <c r="N105">
        <v>0.4</v>
      </c>
      <c r="O105">
        <f t="shared" si="9"/>
        <v>8</v>
      </c>
      <c r="Q105">
        <v>56</v>
      </c>
      <c r="R105">
        <f t="shared" si="8"/>
        <v>0.81567164179104479</v>
      </c>
      <c r="S105">
        <f t="shared" si="10"/>
        <v>0.32626865671641792</v>
      </c>
      <c r="T105">
        <f t="shared" si="11"/>
        <v>8.0737313432835833</v>
      </c>
      <c r="U105" s="4">
        <f t="shared" si="5"/>
        <v>33.504701492537315</v>
      </c>
      <c r="W105">
        <v>449.7</v>
      </c>
      <c r="X105">
        <f t="shared" si="6"/>
        <v>41853.600000000013</v>
      </c>
      <c r="Y105">
        <f t="shared" si="7"/>
        <v>41853.600000000013</v>
      </c>
      <c r="Z105">
        <v>9.2675866159814717</v>
      </c>
    </row>
    <row r="106" spans="1:26" x14ac:dyDescent="0.25">
      <c r="A106">
        <v>5160</v>
      </c>
      <c r="B106">
        <v>23050</v>
      </c>
      <c r="C106" s="1">
        <v>42683</v>
      </c>
      <c r="F106" s="28"/>
      <c r="G106">
        <v>8.1</v>
      </c>
      <c r="H106">
        <v>5.6</v>
      </c>
      <c r="I106">
        <v>10.6</v>
      </c>
      <c r="J106">
        <f t="shared" si="3"/>
        <v>639.5</v>
      </c>
      <c r="K106">
        <f t="shared" si="4"/>
        <v>639.5</v>
      </c>
      <c r="M106">
        <v>1</v>
      </c>
      <c r="N106">
        <v>1</v>
      </c>
      <c r="O106">
        <f t="shared" si="9"/>
        <v>0</v>
      </c>
      <c r="Q106">
        <v>57</v>
      </c>
      <c r="R106">
        <f t="shared" si="8"/>
        <v>0.82537313432835813</v>
      </c>
      <c r="S106">
        <f t="shared" si="10"/>
        <v>0.82537313432835813</v>
      </c>
      <c r="T106">
        <f t="shared" si="11"/>
        <v>0.17462686567164187</v>
      </c>
      <c r="U106" s="4">
        <f t="shared" si="5"/>
        <v>33.679328358208956</v>
      </c>
      <c r="W106">
        <v>213.7</v>
      </c>
      <c r="X106">
        <f t="shared" si="6"/>
        <v>42067.30000000001</v>
      </c>
      <c r="Y106">
        <f t="shared" si="7"/>
        <v>42067.30000000001</v>
      </c>
      <c r="Z106">
        <v>9.2220820949990099</v>
      </c>
    </row>
    <row r="107" spans="1:26" x14ac:dyDescent="0.25">
      <c r="A107">
        <v>5160</v>
      </c>
      <c r="B107">
        <v>23050</v>
      </c>
      <c r="C107" s="1">
        <v>42684</v>
      </c>
      <c r="F107" s="28"/>
      <c r="G107">
        <v>9.3000000000000007</v>
      </c>
      <c r="H107">
        <v>8</v>
      </c>
      <c r="I107">
        <v>10.6</v>
      </c>
      <c r="J107">
        <f t="shared" si="3"/>
        <v>648.79999999999995</v>
      </c>
      <c r="K107">
        <f t="shared" si="4"/>
        <v>648.79999999999995</v>
      </c>
      <c r="M107">
        <v>2.4</v>
      </c>
      <c r="N107">
        <v>0.7</v>
      </c>
      <c r="O107">
        <f t="shared" si="9"/>
        <v>1.7</v>
      </c>
      <c r="Q107">
        <v>58</v>
      </c>
      <c r="R107">
        <f t="shared" si="8"/>
        <v>0.83507462686567169</v>
      </c>
      <c r="S107">
        <f t="shared" si="10"/>
        <v>0.58455223880597018</v>
      </c>
      <c r="T107">
        <f t="shared" si="11"/>
        <v>1.8154477611940298</v>
      </c>
      <c r="U107" s="4">
        <f t="shared" si="5"/>
        <v>35.494776119402985</v>
      </c>
      <c r="W107">
        <v>159.6</v>
      </c>
      <c r="X107">
        <f t="shared" si="6"/>
        <v>42226.900000000009</v>
      </c>
      <c r="Y107">
        <f t="shared" si="7"/>
        <v>42226.900000000009</v>
      </c>
      <c r="Z107">
        <v>9.1772635161139071</v>
      </c>
    </row>
    <row r="108" spans="1:26" x14ac:dyDescent="0.25">
      <c r="A108">
        <v>5160</v>
      </c>
      <c r="B108">
        <v>23050</v>
      </c>
      <c r="C108" s="1">
        <v>42685</v>
      </c>
      <c r="F108" s="28"/>
      <c r="G108">
        <v>5.7</v>
      </c>
      <c r="H108">
        <v>3.6</v>
      </c>
      <c r="I108">
        <v>8.9</v>
      </c>
      <c r="J108">
        <f t="shared" si="3"/>
        <v>654.5</v>
      </c>
      <c r="K108">
        <f t="shared" si="4"/>
        <v>654.5</v>
      </c>
      <c r="M108">
        <v>0</v>
      </c>
      <c r="N108">
        <v>0.7</v>
      </c>
      <c r="O108">
        <f t="shared" si="9"/>
        <v>-0.7</v>
      </c>
      <c r="Q108">
        <v>59</v>
      </c>
      <c r="R108">
        <f t="shared" si="8"/>
        <v>0.84477611940298503</v>
      </c>
      <c r="S108">
        <f t="shared" si="10"/>
        <v>0.59134328358208943</v>
      </c>
      <c r="T108">
        <f t="shared" si="11"/>
        <v>-0.59134328358208943</v>
      </c>
      <c r="U108" s="4">
        <f t="shared" si="5"/>
        <v>34.903432835820894</v>
      </c>
      <c r="W108">
        <v>295.89999999999998</v>
      </c>
      <c r="X108">
        <f t="shared" si="6"/>
        <v>42522.80000000001</v>
      </c>
      <c r="Y108">
        <f t="shared" si="7"/>
        <v>42522.80000000001</v>
      </c>
      <c r="Z108">
        <v>9.1331531059412274</v>
      </c>
    </row>
    <row r="109" spans="1:26" x14ac:dyDescent="0.25">
      <c r="A109">
        <v>5160</v>
      </c>
      <c r="B109">
        <v>23050</v>
      </c>
      <c r="C109" s="1">
        <v>42686</v>
      </c>
      <c r="F109" s="28"/>
      <c r="G109">
        <v>5.0999999999999996</v>
      </c>
      <c r="H109">
        <v>0.3</v>
      </c>
      <c r="I109">
        <v>10.1</v>
      </c>
      <c r="J109">
        <f t="shared" si="3"/>
        <v>659.6</v>
      </c>
      <c r="K109">
        <f t="shared" si="4"/>
        <v>659.6</v>
      </c>
      <c r="M109">
        <v>6</v>
      </c>
      <c r="N109">
        <v>0.3</v>
      </c>
      <c r="O109">
        <f t="shared" si="9"/>
        <v>5.7</v>
      </c>
      <c r="Q109">
        <v>60</v>
      </c>
      <c r="R109">
        <f t="shared" si="8"/>
        <v>0.85447761194029848</v>
      </c>
      <c r="S109">
        <f t="shared" si="10"/>
        <v>0.25634328358208952</v>
      </c>
      <c r="T109">
        <f t="shared" si="11"/>
        <v>5.7436567164179104</v>
      </c>
      <c r="U109" s="4">
        <f t="shared" si="5"/>
        <v>40.647089552238803</v>
      </c>
      <c r="W109">
        <v>163.19999999999999</v>
      </c>
      <c r="X109">
        <f t="shared" si="6"/>
        <v>42686.000000000007</v>
      </c>
      <c r="Y109">
        <f t="shared" si="7"/>
        <v>42686.000000000007</v>
      </c>
      <c r="Z109">
        <v>9.089773337340791</v>
      </c>
    </row>
    <row r="110" spans="1:26" x14ac:dyDescent="0.25">
      <c r="A110">
        <v>5160</v>
      </c>
      <c r="B110">
        <v>23050</v>
      </c>
      <c r="C110" s="1">
        <v>42687</v>
      </c>
      <c r="F110" s="28"/>
      <c r="G110">
        <v>9.4</v>
      </c>
      <c r="H110">
        <v>7.7</v>
      </c>
      <c r="I110">
        <v>10.7</v>
      </c>
      <c r="J110">
        <f t="shared" si="3"/>
        <v>669</v>
      </c>
      <c r="K110">
        <f t="shared" si="4"/>
        <v>669</v>
      </c>
      <c r="M110">
        <v>0.1</v>
      </c>
      <c r="N110">
        <v>0.3</v>
      </c>
      <c r="O110">
        <f t="shared" si="9"/>
        <v>-0.19999999999999998</v>
      </c>
      <c r="Q110">
        <v>61</v>
      </c>
      <c r="R110">
        <f t="shared" si="8"/>
        <v>0.86417910447761193</v>
      </c>
      <c r="S110">
        <f t="shared" si="10"/>
        <v>0.25925373134328356</v>
      </c>
      <c r="T110">
        <f t="shared" si="11"/>
        <v>-0.15925373134328355</v>
      </c>
      <c r="U110" s="4">
        <f t="shared" si="5"/>
        <v>40.487835820895519</v>
      </c>
      <c r="W110">
        <v>171.2</v>
      </c>
      <c r="X110">
        <f t="shared" si="6"/>
        <v>42857.200000000004</v>
      </c>
      <c r="Y110">
        <f t="shared" si="7"/>
        <v>42857.200000000004</v>
      </c>
      <c r="Z110">
        <v>9.0471469042625099</v>
      </c>
    </row>
    <row r="111" spans="1:26" x14ac:dyDescent="0.25">
      <c r="A111">
        <v>5160</v>
      </c>
      <c r="B111">
        <v>23050</v>
      </c>
      <c r="C111" s="1">
        <v>42688</v>
      </c>
      <c r="E111" t="s">
        <v>51</v>
      </c>
      <c r="F111" s="28"/>
      <c r="G111">
        <v>7.4</v>
      </c>
      <c r="H111">
        <v>6.3</v>
      </c>
      <c r="I111">
        <v>8.3000000000000007</v>
      </c>
      <c r="J111">
        <f t="shared" si="3"/>
        <v>676.4</v>
      </c>
      <c r="K111">
        <f t="shared" si="4"/>
        <v>676.4</v>
      </c>
      <c r="M111">
        <v>0</v>
      </c>
      <c r="N111">
        <v>0.4</v>
      </c>
      <c r="O111">
        <f t="shared" si="9"/>
        <v>-0.4</v>
      </c>
      <c r="Q111">
        <v>62</v>
      </c>
      <c r="R111">
        <f t="shared" si="8"/>
        <v>0.87388059701492538</v>
      </c>
      <c r="S111">
        <f t="shared" si="10"/>
        <v>0.34955223880597019</v>
      </c>
      <c r="T111">
        <f t="shared" si="11"/>
        <v>-0.34955223880597019</v>
      </c>
      <c r="U111" s="4">
        <f t="shared" si="5"/>
        <v>40.138283582089549</v>
      </c>
      <c r="W111">
        <v>131.80000000000001</v>
      </c>
      <c r="X111">
        <f t="shared" si="6"/>
        <v>42989.000000000007</v>
      </c>
      <c r="Y111">
        <f t="shared" si="7"/>
        <v>42989.000000000007</v>
      </c>
      <c r="Z111">
        <v>9.0052966945595223</v>
      </c>
    </row>
    <row r="112" spans="1:26" x14ac:dyDescent="0.25">
      <c r="A112">
        <v>5160</v>
      </c>
      <c r="B112">
        <v>23050</v>
      </c>
      <c r="C112" s="1">
        <v>42689</v>
      </c>
      <c r="F112" s="28"/>
      <c r="G112">
        <v>9.5</v>
      </c>
      <c r="H112">
        <v>6.9</v>
      </c>
      <c r="I112">
        <v>11.2</v>
      </c>
      <c r="J112">
        <f t="shared" si="3"/>
        <v>685.9</v>
      </c>
      <c r="K112">
        <f t="shared" si="4"/>
        <v>685.9</v>
      </c>
      <c r="M112">
        <v>4</v>
      </c>
      <c r="N112">
        <v>0.3</v>
      </c>
      <c r="O112">
        <f t="shared" si="9"/>
        <v>3.7</v>
      </c>
      <c r="Q112">
        <v>63</v>
      </c>
      <c r="R112">
        <f t="shared" si="8"/>
        <v>0.88358208955223883</v>
      </c>
      <c r="S112">
        <f t="shared" si="10"/>
        <v>0.26507462686567163</v>
      </c>
      <c r="T112">
        <f t="shared" si="11"/>
        <v>3.7349253731343284</v>
      </c>
      <c r="U112" s="4">
        <f t="shared" si="5"/>
        <v>43.87320895522388</v>
      </c>
      <c r="W112">
        <v>165.5</v>
      </c>
      <c r="X112">
        <f t="shared" si="6"/>
        <v>43154.500000000007</v>
      </c>
      <c r="Y112">
        <f t="shared" si="7"/>
        <v>43154.500000000007</v>
      </c>
      <c r="Z112">
        <v>8.964245760760285</v>
      </c>
    </row>
    <row r="113" spans="1:27" x14ac:dyDescent="0.25">
      <c r="A113">
        <v>5160</v>
      </c>
      <c r="B113">
        <v>23050</v>
      </c>
      <c r="C113" s="1">
        <v>42690</v>
      </c>
      <c r="F113" s="28"/>
      <c r="G113">
        <v>11</v>
      </c>
      <c r="H113">
        <v>10.6</v>
      </c>
      <c r="I113">
        <v>11.4</v>
      </c>
      <c r="J113">
        <f t="shared" si="3"/>
        <v>696.9</v>
      </c>
      <c r="K113">
        <f t="shared" si="4"/>
        <v>696.9</v>
      </c>
      <c r="M113">
        <v>4.3</v>
      </c>
      <c r="N113">
        <v>0.4</v>
      </c>
      <c r="O113">
        <f t="shared" si="9"/>
        <v>3.9</v>
      </c>
      <c r="Q113">
        <v>64</v>
      </c>
      <c r="R113">
        <f t="shared" si="8"/>
        <v>0.89328358208955216</v>
      </c>
      <c r="S113">
        <f t="shared" si="10"/>
        <v>0.3573134328358209</v>
      </c>
      <c r="T113">
        <f t="shared" si="11"/>
        <v>3.9426865671641789</v>
      </c>
      <c r="U113" s="4">
        <f t="shared" si="5"/>
        <v>47.815895522388061</v>
      </c>
      <c r="W113">
        <v>120.1</v>
      </c>
      <c r="X113">
        <f t="shared" si="6"/>
        <v>43274.600000000006</v>
      </c>
      <c r="Y113">
        <f t="shared" si="7"/>
        <v>43274.600000000006</v>
      </c>
      <c r="Z113">
        <v>8.9240172888011955</v>
      </c>
    </row>
    <row r="114" spans="1:27" x14ac:dyDescent="0.25">
      <c r="A114">
        <v>5160</v>
      </c>
      <c r="B114">
        <v>23050</v>
      </c>
      <c r="C114" s="1">
        <v>42691</v>
      </c>
      <c r="F114" s="28"/>
      <c r="G114">
        <v>12.1</v>
      </c>
      <c r="H114">
        <v>11</v>
      </c>
      <c r="I114">
        <v>13.2</v>
      </c>
      <c r="J114">
        <f t="shared" si="3"/>
        <v>709</v>
      </c>
      <c r="K114">
        <f t="shared" si="4"/>
        <v>709</v>
      </c>
      <c r="M114">
        <v>3.7</v>
      </c>
      <c r="N114">
        <v>0.9</v>
      </c>
      <c r="O114">
        <f t="shared" si="9"/>
        <v>2.8000000000000003</v>
      </c>
      <c r="Q114">
        <v>65</v>
      </c>
      <c r="R114">
        <f t="shared" si="8"/>
        <v>0.90298507462686572</v>
      </c>
      <c r="S114">
        <f t="shared" si="10"/>
        <v>0.8126865671641792</v>
      </c>
      <c r="T114">
        <f t="shared" si="11"/>
        <v>2.8873134328358212</v>
      </c>
      <c r="U114" s="4">
        <f t="shared" si="5"/>
        <v>50.703208955223886</v>
      </c>
      <c r="W114">
        <v>233.8</v>
      </c>
      <c r="X114">
        <f t="shared" si="6"/>
        <v>43508.400000000009</v>
      </c>
      <c r="Y114">
        <f t="shared" si="7"/>
        <v>43508.400000000009</v>
      </c>
      <c r="Z114">
        <v>8.8846345647325684</v>
      </c>
    </row>
    <row r="115" spans="1:27" x14ac:dyDescent="0.25">
      <c r="A115">
        <v>5160</v>
      </c>
      <c r="B115">
        <v>23050</v>
      </c>
      <c r="C115" s="1">
        <v>42692</v>
      </c>
      <c r="F115" s="28"/>
      <c r="G115">
        <v>7.5</v>
      </c>
      <c r="H115">
        <v>5.8</v>
      </c>
      <c r="I115">
        <v>8.5</v>
      </c>
      <c r="J115">
        <f t="shared" si="3"/>
        <v>716.5</v>
      </c>
      <c r="K115">
        <f t="shared" si="4"/>
        <v>716.5</v>
      </c>
      <c r="M115">
        <v>2.2999999999999998</v>
      </c>
      <c r="N115">
        <v>0.7</v>
      </c>
      <c r="O115">
        <f t="shared" si="9"/>
        <v>1.5999999999999999</v>
      </c>
      <c r="Q115">
        <v>66</v>
      </c>
      <c r="R115">
        <f t="shared" si="8"/>
        <v>0.91268656716417906</v>
      </c>
      <c r="S115">
        <f t="shared" si="10"/>
        <v>0.63888059701492528</v>
      </c>
      <c r="T115">
        <f t="shared" si="11"/>
        <v>1.6611194029850744</v>
      </c>
      <c r="U115" s="4">
        <f t="shared" si="5"/>
        <v>52.364328358208958</v>
      </c>
      <c r="W115">
        <v>130.80000000000001</v>
      </c>
      <c r="X115">
        <f t="shared" si="6"/>
        <v>43639.200000000012</v>
      </c>
      <c r="Y115">
        <f t="shared" si="7"/>
        <v>43639.200000000012</v>
      </c>
      <c r="Z115">
        <v>8.8461209394229847</v>
      </c>
    </row>
    <row r="116" spans="1:27" x14ac:dyDescent="0.25">
      <c r="A116">
        <v>5160</v>
      </c>
      <c r="B116">
        <v>23050</v>
      </c>
      <c r="C116" s="1">
        <v>42693</v>
      </c>
      <c r="F116" s="28"/>
      <c r="G116">
        <v>7.2</v>
      </c>
      <c r="H116">
        <v>4.3</v>
      </c>
      <c r="I116">
        <v>10.7</v>
      </c>
      <c r="J116">
        <f t="shared" ref="J116:J174" si="12">J115+G116</f>
        <v>723.7</v>
      </c>
      <c r="K116">
        <f t="shared" ref="K116:K174" si="13">K115+G116</f>
        <v>723.7</v>
      </c>
      <c r="M116">
        <v>1.6</v>
      </c>
      <c r="N116">
        <v>1.2</v>
      </c>
      <c r="O116">
        <f t="shared" si="9"/>
        <v>0.40000000000000013</v>
      </c>
      <c r="Q116">
        <v>67</v>
      </c>
      <c r="R116">
        <f t="shared" si="8"/>
        <v>0.92238805970149251</v>
      </c>
      <c r="S116">
        <f t="shared" si="10"/>
        <v>1.1068656716417911</v>
      </c>
      <c r="T116">
        <f t="shared" si="11"/>
        <v>0.49313432835820903</v>
      </c>
      <c r="U116" s="4">
        <f t="shared" ref="U116:U179" si="14">MIN(U115+T116,138.9)</f>
        <v>52.857462686567168</v>
      </c>
      <c r="W116">
        <v>657.1</v>
      </c>
      <c r="X116">
        <f t="shared" ref="X116:X179" si="15">X115+W116</f>
        <v>44296.30000000001</v>
      </c>
      <c r="Y116">
        <f t="shared" ref="Y116:Y179" si="16">Y115+W116</f>
        <v>44296.30000000001</v>
      </c>
      <c r="Z116">
        <v>8.8084997913000773</v>
      </c>
    </row>
    <row r="117" spans="1:27" x14ac:dyDescent="0.25">
      <c r="A117">
        <v>5160</v>
      </c>
      <c r="B117">
        <v>23050</v>
      </c>
      <c r="C117" s="1">
        <v>42694</v>
      </c>
      <c r="F117" s="28"/>
      <c r="G117">
        <v>11.6</v>
      </c>
      <c r="H117">
        <v>8</v>
      </c>
      <c r="I117">
        <v>13.1</v>
      </c>
      <c r="J117">
        <f t="shared" si="12"/>
        <v>735.30000000000007</v>
      </c>
      <c r="K117">
        <f t="shared" si="13"/>
        <v>735.30000000000007</v>
      </c>
      <c r="M117">
        <v>3.2</v>
      </c>
      <c r="N117">
        <v>0.8</v>
      </c>
      <c r="O117">
        <f t="shared" si="9"/>
        <v>2.4000000000000004</v>
      </c>
      <c r="Q117">
        <v>68</v>
      </c>
      <c r="R117">
        <f t="shared" si="8"/>
        <v>0.93208955223880596</v>
      </c>
      <c r="S117">
        <f t="shared" si="10"/>
        <v>0.74567164179104484</v>
      </c>
      <c r="T117">
        <f t="shared" si="11"/>
        <v>2.4543283582089552</v>
      </c>
      <c r="U117" s="4">
        <f t="shared" si="14"/>
        <v>55.311791044776122</v>
      </c>
      <c r="W117">
        <v>169.3</v>
      </c>
      <c r="X117">
        <f t="shared" si="15"/>
        <v>44465.600000000013</v>
      </c>
      <c r="Y117">
        <f t="shared" si="16"/>
        <v>44465.600000000013</v>
      </c>
      <c r="Z117">
        <v>8.7717944871796281</v>
      </c>
    </row>
    <row r="118" spans="1:27" x14ac:dyDescent="0.25">
      <c r="A118">
        <v>5160</v>
      </c>
      <c r="B118">
        <v>23050</v>
      </c>
      <c r="C118" s="1">
        <v>42695</v>
      </c>
      <c r="F118" s="28"/>
      <c r="G118">
        <v>11.3</v>
      </c>
      <c r="H118">
        <v>10.6</v>
      </c>
      <c r="I118">
        <v>11.9</v>
      </c>
      <c r="J118">
        <f t="shared" si="12"/>
        <v>746.6</v>
      </c>
      <c r="K118">
        <f t="shared" si="13"/>
        <v>746.6</v>
      </c>
      <c r="M118">
        <v>0.7</v>
      </c>
      <c r="N118">
        <v>1</v>
      </c>
      <c r="O118">
        <f t="shared" si="9"/>
        <v>-0.30000000000000004</v>
      </c>
      <c r="Q118">
        <v>69</v>
      </c>
      <c r="R118">
        <f t="shared" si="8"/>
        <v>0.94179104477611941</v>
      </c>
      <c r="S118">
        <f t="shared" si="10"/>
        <v>0.94179104477611941</v>
      </c>
      <c r="T118">
        <f t="shared" si="11"/>
        <v>-0.24179104477611946</v>
      </c>
      <c r="U118" s="4">
        <f t="shared" si="14"/>
        <v>55.07</v>
      </c>
      <c r="W118">
        <v>221.5</v>
      </c>
      <c r="X118">
        <f t="shared" si="15"/>
        <v>44687.100000000013</v>
      </c>
      <c r="Y118">
        <f t="shared" si="16"/>
        <v>44687.100000000013</v>
      </c>
      <c r="Z118">
        <v>8.7360283412495789</v>
      </c>
    </row>
    <row r="119" spans="1:27" x14ac:dyDescent="0.25">
      <c r="A119">
        <v>5160</v>
      </c>
      <c r="B119">
        <v>23050</v>
      </c>
      <c r="C119" s="1">
        <v>42696</v>
      </c>
      <c r="F119" s="28"/>
      <c r="G119">
        <v>9.4</v>
      </c>
      <c r="H119">
        <v>8.1</v>
      </c>
      <c r="I119">
        <v>11.6</v>
      </c>
      <c r="J119">
        <f t="shared" si="12"/>
        <v>756</v>
      </c>
      <c r="K119">
        <f t="shared" si="13"/>
        <v>756</v>
      </c>
      <c r="M119">
        <v>8.6999999999999993</v>
      </c>
      <c r="N119">
        <v>0.7</v>
      </c>
      <c r="O119">
        <f t="shared" si="9"/>
        <v>7.9999999999999991</v>
      </c>
      <c r="Q119">
        <v>70</v>
      </c>
      <c r="R119">
        <f t="shared" si="8"/>
        <v>0.95149253731343286</v>
      </c>
      <c r="S119">
        <f t="shared" si="10"/>
        <v>0.66604477611940294</v>
      </c>
      <c r="T119">
        <f t="shared" si="11"/>
        <v>8.0339552238805965</v>
      </c>
      <c r="U119" s="4">
        <f t="shared" si="14"/>
        <v>63.103955223880597</v>
      </c>
      <c r="W119">
        <v>304.7</v>
      </c>
      <c r="X119">
        <f t="shared" si="15"/>
        <v>44991.80000000001</v>
      </c>
      <c r="Y119">
        <f t="shared" si="16"/>
        <v>44991.80000000001</v>
      </c>
      <c r="Z119">
        <v>8.7012245722906627</v>
      </c>
    </row>
    <row r="120" spans="1:27" x14ac:dyDescent="0.25">
      <c r="A120">
        <v>5160</v>
      </c>
      <c r="B120">
        <v>23050</v>
      </c>
      <c r="C120" s="1">
        <v>42697</v>
      </c>
      <c r="F120" s="28"/>
      <c r="G120">
        <v>10.7</v>
      </c>
      <c r="H120">
        <v>8.1999999999999993</v>
      </c>
      <c r="I120">
        <v>13.1</v>
      </c>
      <c r="J120">
        <f t="shared" si="12"/>
        <v>766.7</v>
      </c>
      <c r="K120">
        <f t="shared" si="13"/>
        <v>766.7</v>
      </c>
      <c r="M120">
        <v>0.4</v>
      </c>
      <c r="N120">
        <v>0.4</v>
      </c>
      <c r="O120">
        <f t="shared" si="9"/>
        <v>0</v>
      </c>
      <c r="Q120">
        <v>71</v>
      </c>
      <c r="R120">
        <f t="shared" si="8"/>
        <v>0.96119402985074631</v>
      </c>
      <c r="S120">
        <f t="shared" si="10"/>
        <v>0.38447761194029856</v>
      </c>
      <c r="T120">
        <f t="shared" si="11"/>
        <v>1.5522388059701464E-2</v>
      </c>
      <c r="U120" s="4">
        <f t="shared" si="14"/>
        <v>63.119477611940297</v>
      </c>
      <c r="W120">
        <v>189.7</v>
      </c>
      <c r="X120">
        <f t="shared" si="15"/>
        <v>45181.500000000007</v>
      </c>
      <c r="Y120">
        <f t="shared" si="16"/>
        <v>45181.500000000007</v>
      </c>
      <c r="Z120">
        <v>8.6674062592313454</v>
      </c>
    </row>
    <row r="121" spans="1:27" x14ac:dyDescent="0.25">
      <c r="A121">
        <v>5160</v>
      </c>
      <c r="B121">
        <v>23050</v>
      </c>
      <c r="C121" s="1">
        <v>42698</v>
      </c>
      <c r="F121" s="28"/>
      <c r="G121">
        <v>10.1</v>
      </c>
      <c r="H121">
        <v>9.6</v>
      </c>
      <c r="I121">
        <v>11.1</v>
      </c>
      <c r="J121">
        <f t="shared" si="12"/>
        <v>776.80000000000007</v>
      </c>
      <c r="K121">
        <f t="shared" si="13"/>
        <v>776.80000000000007</v>
      </c>
      <c r="M121">
        <v>0</v>
      </c>
      <c r="N121">
        <v>0.8</v>
      </c>
      <c r="O121">
        <f t="shared" si="9"/>
        <v>-0.8</v>
      </c>
      <c r="Q121">
        <v>72</v>
      </c>
      <c r="R121">
        <f t="shared" si="8"/>
        <v>0.97089552238805965</v>
      </c>
      <c r="S121">
        <f t="shared" si="10"/>
        <v>0.77671641791044777</v>
      </c>
      <c r="T121">
        <f t="shared" si="11"/>
        <v>-0.77671641791044777</v>
      </c>
      <c r="U121" s="4">
        <f t="shared" si="14"/>
        <v>62.342761194029848</v>
      </c>
      <c r="W121">
        <v>139.80000000000001</v>
      </c>
      <c r="X121">
        <f t="shared" si="15"/>
        <v>45321.30000000001</v>
      </c>
      <c r="Y121">
        <f t="shared" si="16"/>
        <v>45321.30000000001</v>
      </c>
      <c r="Z121">
        <v>8.6345962951509563</v>
      </c>
    </row>
    <row r="122" spans="1:27" x14ac:dyDescent="0.25">
      <c r="A122">
        <v>5160</v>
      </c>
      <c r="B122">
        <v>23050</v>
      </c>
      <c r="C122" s="1">
        <v>42699</v>
      </c>
      <c r="F122" s="28"/>
      <c r="G122">
        <v>8.5</v>
      </c>
      <c r="H122">
        <v>8.4</v>
      </c>
      <c r="I122">
        <v>9.1</v>
      </c>
      <c r="J122">
        <f t="shared" si="12"/>
        <v>785.30000000000007</v>
      </c>
      <c r="K122">
        <f t="shared" si="13"/>
        <v>785.30000000000007</v>
      </c>
      <c r="M122">
        <v>0</v>
      </c>
      <c r="N122">
        <v>0.8</v>
      </c>
      <c r="O122">
        <f t="shared" si="9"/>
        <v>-0.8</v>
      </c>
      <c r="Q122">
        <v>73</v>
      </c>
      <c r="R122">
        <f t="shared" si="8"/>
        <v>0.9805970149253731</v>
      </c>
      <c r="S122">
        <f t="shared" si="10"/>
        <v>0.78447761194029852</v>
      </c>
      <c r="T122">
        <f t="shared" si="11"/>
        <v>-0.78447761194029852</v>
      </c>
      <c r="U122" s="4">
        <f t="shared" si="14"/>
        <v>61.558283582089551</v>
      </c>
      <c r="W122">
        <v>106.7</v>
      </c>
      <c r="X122">
        <f t="shared" si="15"/>
        <v>45428.000000000007</v>
      </c>
      <c r="Y122">
        <f t="shared" si="16"/>
        <v>45428.000000000007</v>
      </c>
      <c r="Z122">
        <v>8.6028173398614136</v>
      </c>
    </row>
    <row r="123" spans="1:27" x14ac:dyDescent="0.25">
      <c r="A123">
        <v>5160</v>
      </c>
      <c r="B123">
        <v>23050</v>
      </c>
      <c r="C123" s="1">
        <v>42700</v>
      </c>
      <c r="F123" s="28"/>
      <c r="G123">
        <v>7.5</v>
      </c>
      <c r="H123">
        <v>6.8</v>
      </c>
      <c r="I123">
        <v>8.6</v>
      </c>
      <c r="J123">
        <f t="shared" si="12"/>
        <v>792.80000000000007</v>
      </c>
      <c r="K123">
        <f t="shared" si="13"/>
        <v>792.80000000000007</v>
      </c>
      <c r="M123">
        <v>0.1</v>
      </c>
      <c r="N123">
        <v>0.3</v>
      </c>
      <c r="O123">
        <f t="shared" si="9"/>
        <v>-0.19999999999999998</v>
      </c>
      <c r="Q123">
        <v>74</v>
      </c>
      <c r="R123">
        <f t="shared" ref="R123:R124" si="17">0.35+((Q123-8)/67)*(1-0.35)</f>
        <v>0.99029850746268655</v>
      </c>
      <c r="S123">
        <f t="shared" si="10"/>
        <v>0.29708955223880595</v>
      </c>
      <c r="T123">
        <f t="shared" si="11"/>
        <v>-0.19708955223880595</v>
      </c>
      <c r="U123" s="4">
        <f t="shared" si="14"/>
        <v>61.361194029850743</v>
      </c>
      <c r="W123">
        <v>223.1</v>
      </c>
      <c r="X123">
        <f t="shared" si="15"/>
        <v>45651.100000000006</v>
      </c>
      <c r="Y123">
        <f t="shared" si="16"/>
        <v>45651.100000000006</v>
      </c>
      <c r="Z123">
        <v>8.5720917712147262</v>
      </c>
    </row>
    <row r="124" spans="1:27" s="6" customFormat="1" ht="15.75" thickBot="1" x14ac:dyDescent="0.3">
      <c r="A124" s="6">
        <v>5160</v>
      </c>
      <c r="B124" s="6">
        <v>23050</v>
      </c>
      <c r="C124" s="7">
        <v>42701</v>
      </c>
      <c r="F124" s="28"/>
      <c r="G124" s="6">
        <v>6.7</v>
      </c>
      <c r="H124" s="6">
        <v>5.9</v>
      </c>
      <c r="I124" s="6">
        <v>8.6</v>
      </c>
      <c r="J124" s="6">
        <f t="shared" si="12"/>
        <v>799.50000000000011</v>
      </c>
      <c r="K124" s="6">
        <f t="shared" si="13"/>
        <v>799.50000000000011</v>
      </c>
      <c r="M124" s="6">
        <v>0</v>
      </c>
      <c r="N124" s="6">
        <v>0.7</v>
      </c>
      <c r="O124" s="6">
        <f t="shared" si="9"/>
        <v>-0.7</v>
      </c>
      <c r="Q124" s="6">
        <v>75</v>
      </c>
      <c r="R124" s="6">
        <f t="shared" si="17"/>
        <v>1</v>
      </c>
      <c r="S124" s="6">
        <f t="shared" si="10"/>
        <v>0.7</v>
      </c>
      <c r="T124" s="6">
        <f t="shared" si="11"/>
        <v>-0.7</v>
      </c>
      <c r="U124" s="8">
        <f t="shared" si="14"/>
        <v>60.661194029850741</v>
      </c>
      <c r="W124" s="6">
        <v>335.3</v>
      </c>
      <c r="X124" s="6">
        <f t="shared" si="15"/>
        <v>45986.400000000009</v>
      </c>
      <c r="Y124" s="6">
        <f t="shared" si="16"/>
        <v>45986.400000000009</v>
      </c>
      <c r="Z124" s="6">
        <v>8.5424416353000385</v>
      </c>
    </row>
    <row r="125" spans="1:27" x14ac:dyDescent="0.25">
      <c r="A125">
        <v>5160</v>
      </c>
      <c r="B125">
        <v>23050</v>
      </c>
      <c r="C125" s="1">
        <v>42702</v>
      </c>
      <c r="E125">
        <v>1</v>
      </c>
      <c r="F125" s="29" t="s">
        <v>54</v>
      </c>
      <c r="G125">
        <v>3.8</v>
      </c>
      <c r="H125">
        <v>2.8</v>
      </c>
      <c r="I125">
        <v>6.8</v>
      </c>
      <c r="J125">
        <f t="shared" si="12"/>
        <v>803.30000000000007</v>
      </c>
      <c r="K125">
        <f>G125</f>
        <v>3.8</v>
      </c>
      <c r="L125" s="13" t="s">
        <v>35</v>
      </c>
      <c r="M125">
        <v>0</v>
      </c>
      <c r="N125">
        <v>1.6</v>
      </c>
      <c r="O125">
        <f t="shared" si="9"/>
        <v>-1.6</v>
      </c>
      <c r="Q125">
        <v>76</v>
      </c>
      <c r="R125">
        <v>1</v>
      </c>
      <c r="S125">
        <f t="shared" si="10"/>
        <v>1.6</v>
      </c>
      <c r="T125">
        <f t="shared" si="11"/>
        <v>-1.6</v>
      </c>
      <c r="U125" s="4">
        <f t="shared" si="14"/>
        <v>59.061194029850739</v>
      </c>
      <c r="V125" s="14" t="s">
        <v>42</v>
      </c>
      <c r="W125">
        <v>774</v>
      </c>
      <c r="X125">
        <f t="shared" si="15"/>
        <v>46760.400000000009</v>
      </c>
      <c r="Y125">
        <f>W125</f>
        <v>774</v>
      </c>
      <c r="Z125">
        <v>8.5138885957103856</v>
      </c>
      <c r="AA125" s="14" t="s">
        <v>47</v>
      </c>
    </row>
    <row r="126" spans="1:27" x14ac:dyDescent="0.25">
      <c r="A126">
        <v>5160</v>
      </c>
      <c r="B126">
        <v>23050</v>
      </c>
      <c r="C126" s="1">
        <v>42703</v>
      </c>
      <c r="E126">
        <v>2</v>
      </c>
      <c r="F126" s="29"/>
      <c r="G126">
        <v>0</v>
      </c>
      <c r="H126">
        <v>-1.8</v>
      </c>
      <c r="I126">
        <v>2.6</v>
      </c>
      <c r="J126">
        <f t="shared" si="12"/>
        <v>803.30000000000007</v>
      </c>
      <c r="K126">
        <f t="shared" si="13"/>
        <v>3.8</v>
      </c>
      <c r="L126" s="10">
        <v>162.19999999999999</v>
      </c>
      <c r="M126">
        <v>0</v>
      </c>
      <c r="N126">
        <v>1</v>
      </c>
      <c r="O126">
        <f t="shared" si="9"/>
        <v>-1</v>
      </c>
      <c r="Q126">
        <v>77</v>
      </c>
      <c r="R126">
        <v>1</v>
      </c>
      <c r="S126">
        <f t="shared" si="10"/>
        <v>1</v>
      </c>
      <c r="T126">
        <f t="shared" si="11"/>
        <v>-1</v>
      </c>
      <c r="U126" s="4">
        <f t="shared" si="14"/>
        <v>58.061194029850739</v>
      </c>
      <c r="V126">
        <v>0</v>
      </c>
      <c r="W126">
        <v>790</v>
      </c>
      <c r="X126">
        <f t="shared" si="15"/>
        <v>47550.400000000009</v>
      </c>
      <c r="Y126">
        <f t="shared" si="16"/>
        <v>1564</v>
      </c>
      <c r="Z126">
        <v>8.4864538820753381</v>
      </c>
      <c r="AA126">
        <v>25649.9</v>
      </c>
    </row>
    <row r="127" spans="1:27" x14ac:dyDescent="0.25">
      <c r="A127">
        <v>5160</v>
      </c>
      <c r="B127">
        <v>23050</v>
      </c>
      <c r="C127" s="1">
        <v>42704</v>
      </c>
      <c r="E127">
        <v>3</v>
      </c>
      <c r="F127" s="29"/>
      <c r="G127">
        <v>1</v>
      </c>
      <c r="H127">
        <v>-2.8</v>
      </c>
      <c r="I127">
        <v>5.7</v>
      </c>
      <c r="J127">
        <f t="shared" si="12"/>
        <v>804.30000000000007</v>
      </c>
      <c r="K127">
        <f t="shared" si="13"/>
        <v>4.8</v>
      </c>
      <c r="L127" s="13" t="s">
        <v>36</v>
      </c>
      <c r="M127">
        <v>0</v>
      </c>
      <c r="N127">
        <v>0.8</v>
      </c>
      <c r="O127">
        <f t="shared" si="9"/>
        <v>-0.8</v>
      </c>
      <c r="Q127">
        <v>78</v>
      </c>
      <c r="R127">
        <v>1</v>
      </c>
      <c r="S127">
        <f t="shared" si="10"/>
        <v>0.8</v>
      </c>
      <c r="T127">
        <f t="shared" si="11"/>
        <v>-0.8</v>
      </c>
      <c r="U127" s="4">
        <f t="shared" si="14"/>
        <v>57.261194029850742</v>
      </c>
      <c r="V127" s="14" t="s">
        <v>43</v>
      </c>
      <c r="W127">
        <v>774.3</v>
      </c>
      <c r="X127">
        <f t="shared" si="15"/>
        <v>48324.700000000012</v>
      </c>
      <c r="Y127">
        <f t="shared" si="16"/>
        <v>2338.3000000000002</v>
      </c>
      <c r="Z127">
        <v>8.4601582380709601</v>
      </c>
      <c r="AA127" s="14" t="s">
        <v>48</v>
      </c>
    </row>
    <row r="128" spans="1:27" x14ac:dyDescent="0.25">
      <c r="A128">
        <v>5160</v>
      </c>
      <c r="B128">
        <v>23050</v>
      </c>
      <c r="C128" s="1">
        <v>42705</v>
      </c>
      <c r="E128">
        <v>4</v>
      </c>
      <c r="F128" s="29"/>
      <c r="G128">
        <v>0.7</v>
      </c>
      <c r="H128">
        <v>-2.1</v>
      </c>
      <c r="I128">
        <v>5.3</v>
      </c>
      <c r="J128">
        <f t="shared" si="12"/>
        <v>805.00000000000011</v>
      </c>
      <c r="K128">
        <f t="shared" si="13"/>
        <v>5.5</v>
      </c>
      <c r="L128" s="10">
        <f>AVERAGE(G125:G184)</f>
        <v>2.1199999999999997</v>
      </c>
      <c r="M128">
        <v>0</v>
      </c>
      <c r="N128">
        <v>0.8</v>
      </c>
      <c r="O128">
        <f t="shared" si="9"/>
        <v>-0.8</v>
      </c>
      <c r="Q128">
        <v>79</v>
      </c>
      <c r="R128">
        <v>1</v>
      </c>
      <c r="S128">
        <f t="shared" si="10"/>
        <v>0.8</v>
      </c>
      <c r="T128">
        <f t="shared" si="11"/>
        <v>-0.8</v>
      </c>
      <c r="U128" s="4">
        <f t="shared" si="14"/>
        <v>56.461194029850745</v>
      </c>
      <c r="V128">
        <v>0</v>
      </c>
      <c r="W128">
        <v>760.6</v>
      </c>
      <c r="X128">
        <f t="shared" si="15"/>
        <v>49085.30000000001</v>
      </c>
      <c r="Y128">
        <f t="shared" si="16"/>
        <v>3098.9</v>
      </c>
      <c r="Z128">
        <v>8.4350218691328944</v>
      </c>
      <c r="AA128">
        <f>(AA126/100)/L126</f>
        <v>1.5813748458692973</v>
      </c>
    </row>
    <row r="129" spans="1:27" x14ac:dyDescent="0.25">
      <c r="A129">
        <v>5160</v>
      </c>
      <c r="B129">
        <v>23050</v>
      </c>
      <c r="C129" s="1">
        <v>42706</v>
      </c>
      <c r="E129">
        <v>5</v>
      </c>
      <c r="F129" s="29"/>
      <c r="G129">
        <v>1.7</v>
      </c>
      <c r="H129">
        <v>-1.6</v>
      </c>
      <c r="I129">
        <v>4.3</v>
      </c>
      <c r="J129">
        <f t="shared" si="12"/>
        <v>806.70000000000016</v>
      </c>
      <c r="K129">
        <f t="shared" si="13"/>
        <v>7.2</v>
      </c>
      <c r="L129" s="13" t="s">
        <v>37</v>
      </c>
      <c r="M129">
        <v>0</v>
      </c>
      <c r="N129">
        <v>0.2</v>
      </c>
      <c r="O129">
        <f t="shared" si="9"/>
        <v>-0.2</v>
      </c>
      <c r="Q129">
        <v>80</v>
      </c>
      <c r="R129">
        <v>1</v>
      </c>
      <c r="S129">
        <f t="shared" si="10"/>
        <v>0.2</v>
      </c>
      <c r="T129">
        <f t="shared" si="11"/>
        <v>-0.2</v>
      </c>
      <c r="U129" s="4">
        <f t="shared" si="14"/>
        <v>56.261194029850742</v>
      </c>
      <c r="V129" s="14" t="s">
        <v>44</v>
      </c>
      <c r="W129">
        <v>240</v>
      </c>
      <c r="X129">
        <f t="shared" si="15"/>
        <v>49325.30000000001</v>
      </c>
      <c r="Y129">
        <f t="shared" si="16"/>
        <v>3338.9</v>
      </c>
      <c r="Z129">
        <v>8.4110643901117399</v>
      </c>
      <c r="AA129" s="14" t="s">
        <v>49</v>
      </c>
    </row>
    <row r="130" spans="1:27" x14ac:dyDescent="0.25">
      <c r="A130">
        <v>5160</v>
      </c>
      <c r="B130">
        <v>23050</v>
      </c>
      <c r="C130" s="1">
        <v>42707</v>
      </c>
      <c r="E130">
        <v>6</v>
      </c>
      <c r="F130" s="29"/>
      <c r="G130">
        <v>4.3</v>
      </c>
      <c r="H130">
        <v>3.3</v>
      </c>
      <c r="I130">
        <v>7</v>
      </c>
      <c r="J130">
        <f t="shared" si="12"/>
        <v>811.00000000000011</v>
      </c>
      <c r="K130">
        <f t="shared" si="13"/>
        <v>11.5</v>
      </c>
      <c r="L130" s="11">
        <f>MIN(H125:H184)</f>
        <v>-7.8</v>
      </c>
      <c r="M130">
        <v>0</v>
      </c>
      <c r="N130">
        <v>1</v>
      </c>
      <c r="O130">
        <f t="shared" si="9"/>
        <v>-1</v>
      </c>
      <c r="Q130">
        <v>81</v>
      </c>
      <c r="R130">
        <v>1</v>
      </c>
      <c r="S130">
        <f t="shared" si="10"/>
        <v>1</v>
      </c>
      <c r="T130">
        <f t="shared" si="11"/>
        <v>-1</v>
      </c>
      <c r="U130" s="4">
        <f t="shared" si="14"/>
        <v>55.261194029850742</v>
      </c>
      <c r="V130" s="4">
        <f>MIN(U125:U184)</f>
        <v>47.861194029850751</v>
      </c>
      <c r="W130">
        <v>626.1</v>
      </c>
      <c r="X130">
        <f t="shared" si="15"/>
        <v>49951.400000000009</v>
      </c>
      <c r="Y130">
        <f t="shared" si="16"/>
        <v>3965</v>
      </c>
      <c r="Z130">
        <v>8.3883047731215878</v>
      </c>
      <c r="AA130">
        <v>59</v>
      </c>
    </row>
    <row r="131" spans="1:27" x14ac:dyDescent="0.25">
      <c r="A131">
        <v>5160</v>
      </c>
      <c r="B131">
        <v>23050</v>
      </c>
      <c r="C131" s="1">
        <v>42708</v>
      </c>
      <c r="E131">
        <v>7</v>
      </c>
      <c r="F131" s="29"/>
      <c r="G131">
        <v>0.9</v>
      </c>
      <c r="H131">
        <v>-0.3</v>
      </c>
      <c r="I131">
        <v>2.5</v>
      </c>
      <c r="J131">
        <f t="shared" si="12"/>
        <v>811.90000000000009</v>
      </c>
      <c r="K131">
        <f t="shared" si="13"/>
        <v>12.4</v>
      </c>
      <c r="L131" s="13" t="s">
        <v>38</v>
      </c>
      <c r="M131">
        <v>0.2</v>
      </c>
      <c r="N131">
        <v>0.3</v>
      </c>
      <c r="O131">
        <f t="shared" si="9"/>
        <v>-9.9999999999999978E-2</v>
      </c>
      <c r="Q131">
        <v>82</v>
      </c>
      <c r="R131">
        <v>1</v>
      </c>
      <c r="S131">
        <f t="shared" si="10"/>
        <v>0.3</v>
      </c>
      <c r="T131">
        <f t="shared" si="11"/>
        <v>-9.9999999999999978E-2</v>
      </c>
      <c r="U131" s="4">
        <f t="shared" si="14"/>
        <v>55.161194029850741</v>
      </c>
      <c r="V131" s="14" t="s">
        <v>45</v>
      </c>
      <c r="W131">
        <v>249.7</v>
      </c>
      <c r="X131">
        <f t="shared" si="15"/>
        <v>50201.100000000006</v>
      </c>
      <c r="Y131">
        <f t="shared" si="16"/>
        <v>4214.7</v>
      </c>
      <c r="Z131">
        <v>8.3667612958431103</v>
      </c>
      <c r="AA131" t="s">
        <v>50</v>
      </c>
    </row>
    <row r="132" spans="1:27" x14ac:dyDescent="0.25">
      <c r="A132">
        <v>5160</v>
      </c>
      <c r="B132">
        <v>23050</v>
      </c>
      <c r="C132" s="1">
        <v>42709</v>
      </c>
      <c r="F132" s="29"/>
      <c r="G132">
        <v>5.4</v>
      </c>
      <c r="H132">
        <v>1.1000000000000001</v>
      </c>
      <c r="I132">
        <v>10.7</v>
      </c>
      <c r="J132">
        <f t="shared" si="12"/>
        <v>817.30000000000007</v>
      </c>
      <c r="K132">
        <f t="shared" si="13"/>
        <v>17.8</v>
      </c>
      <c r="L132" s="10">
        <f>MAX(I125:I184)</f>
        <v>11.7</v>
      </c>
      <c r="M132">
        <v>0</v>
      </c>
      <c r="N132">
        <v>0.9</v>
      </c>
      <c r="O132">
        <f t="shared" si="9"/>
        <v>-0.9</v>
      </c>
      <c r="Q132">
        <v>83</v>
      </c>
      <c r="R132">
        <v>1</v>
      </c>
      <c r="S132">
        <f t="shared" si="10"/>
        <v>0.9</v>
      </c>
      <c r="T132">
        <f t="shared" si="11"/>
        <v>-0.9</v>
      </c>
      <c r="U132" s="4">
        <f t="shared" si="14"/>
        <v>54.261194029850742</v>
      </c>
      <c r="V132" s="4">
        <f>MAX(U125:U184)</f>
        <v>77.361194029850751</v>
      </c>
      <c r="W132">
        <v>675.9</v>
      </c>
      <c r="X132">
        <f t="shared" si="15"/>
        <v>50877.000000000007</v>
      </c>
      <c r="Y132">
        <f t="shared" si="16"/>
        <v>4890.5999999999995</v>
      </c>
      <c r="Z132">
        <v>8.3464514905508143</v>
      </c>
      <c r="AA132">
        <v>47</v>
      </c>
    </row>
    <row r="133" spans="1:27" x14ac:dyDescent="0.25">
      <c r="A133">
        <v>5160</v>
      </c>
      <c r="B133">
        <v>23050</v>
      </c>
      <c r="C133" s="1">
        <v>42710</v>
      </c>
      <c r="E133">
        <v>8</v>
      </c>
      <c r="F133" s="29"/>
      <c r="G133">
        <v>4.9000000000000004</v>
      </c>
      <c r="H133">
        <v>1.3</v>
      </c>
      <c r="I133">
        <v>10.1</v>
      </c>
      <c r="J133">
        <f t="shared" si="12"/>
        <v>822.2</v>
      </c>
      <c r="K133">
        <f t="shared" si="13"/>
        <v>22.700000000000003</v>
      </c>
      <c r="L133" s="13" t="s">
        <v>39</v>
      </c>
      <c r="M133">
        <v>0</v>
      </c>
      <c r="N133">
        <v>0.7</v>
      </c>
      <c r="O133">
        <f t="shared" si="9"/>
        <v>-0.7</v>
      </c>
      <c r="Q133">
        <v>84</v>
      </c>
      <c r="R133">
        <v>1</v>
      </c>
      <c r="S133">
        <f t="shared" si="10"/>
        <v>0.7</v>
      </c>
      <c r="T133">
        <f t="shared" si="11"/>
        <v>-0.7</v>
      </c>
      <c r="U133" s="4">
        <f t="shared" si="14"/>
        <v>53.561194029850739</v>
      </c>
      <c r="V133" s="14" t="s">
        <v>46</v>
      </c>
      <c r="W133">
        <v>556.29999999999995</v>
      </c>
      <c r="X133">
        <f t="shared" si="15"/>
        <v>51433.30000000001</v>
      </c>
      <c r="Y133">
        <f t="shared" si="16"/>
        <v>5446.9</v>
      </c>
      <c r="Z133">
        <v>8.3273920941406097</v>
      </c>
    </row>
    <row r="134" spans="1:27" x14ac:dyDescent="0.25">
      <c r="A134">
        <v>5160</v>
      </c>
      <c r="B134">
        <v>23050</v>
      </c>
      <c r="C134" s="1">
        <v>42711</v>
      </c>
      <c r="E134">
        <v>9</v>
      </c>
      <c r="F134" s="29"/>
      <c r="G134">
        <v>4.7</v>
      </c>
      <c r="H134">
        <v>1.7</v>
      </c>
      <c r="I134">
        <v>10.9</v>
      </c>
      <c r="J134">
        <f t="shared" si="12"/>
        <v>826.90000000000009</v>
      </c>
      <c r="K134">
        <f t="shared" si="13"/>
        <v>27.400000000000002</v>
      </c>
      <c r="L134" s="10">
        <v>0</v>
      </c>
      <c r="M134">
        <v>0</v>
      </c>
      <c r="N134">
        <v>1</v>
      </c>
      <c r="O134">
        <f t="shared" ref="O134:O197" si="18">M134-N134</f>
        <v>-1</v>
      </c>
      <c r="Q134">
        <v>85</v>
      </c>
      <c r="R134">
        <v>1</v>
      </c>
      <c r="S134">
        <f t="shared" ref="S134:S197" si="19">R134*N134</f>
        <v>1</v>
      </c>
      <c r="T134">
        <f t="shared" ref="T134:T197" si="20">M134-S134</f>
        <v>-1</v>
      </c>
      <c r="U134" s="4">
        <f t="shared" si="14"/>
        <v>52.561194029850739</v>
      </c>
      <c r="V134" s="4">
        <f>AVERAGE(U125:U184)</f>
        <v>61.451194029850754</v>
      </c>
      <c r="W134">
        <v>650.20000000000005</v>
      </c>
      <c r="X134">
        <f t="shared" si="15"/>
        <v>52083.500000000007</v>
      </c>
      <c r="Y134">
        <f t="shared" si="16"/>
        <v>6097.0999999999995</v>
      </c>
      <c r="Z134">
        <v>8.309598999437922</v>
      </c>
    </row>
    <row r="135" spans="1:27" x14ac:dyDescent="0.25">
      <c r="A135">
        <v>5160</v>
      </c>
      <c r="B135">
        <v>23050</v>
      </c>
      <c r="C135" s="1">
        <v>42712</v>
      </c>
      <c r="E135">
        <v>10</v>
      </c>
      <c r="F135" s="29"/>
      <c r="G135">
        <v>4.2</v>
      </c>
      <c r="H135">
        <v>-0.7</v>
      </c>
      <c r="I135">
        <v>9.6999999999999993</v>
      </c>
      <c r="J135">
        <f t="shared" si="12"/>
        <v>831.10000000000014</v>
      </c>
      <c r="K135">
        <f t="shared" si="13"/>
        <v>31.6</v>
      </c>
      <c r="L135" s="13" t="s">
        <v>40</v>
      </c>
      <c r="M135">
        <v>0</v>
      </c>
      <c r="N135">
        <v>0.8</v>
      </c>
      <c r="O135">
        <f t="shared" si="18"/>
        <v>-0.8</v>
      </c>
      <c r="Q135">
        <v>86</v>
      </c>
      <c r="R135">
        <v>1</v>
      </c>
      <c r="S135">
        <f t="shared" si="19"/>
        <v>0.8</v>
      </c>
      <c r="T135">
        <f t="shared" si="20"/>
        <v>-0.8</v>
      </c>
      <c r="U135" s="4">
        <f t="shared" si="14"/>
        <v>51.761194029850742</v>
      </c>
      <c r="W135">
        <v>611.6</v>
      </c>
      <c r="X135">
        <f t="shared" si="15"/>
        <v>52695.100000000006</v>
      </c>
      <c r="Y135">
        <f t="shared" si="16"/>
        <v>6708.7</v>
      </c>
      <c r="Z135">
        <v>8.2930872080683251</v>
      </c>
    </row>
    <row r="136" spans="1:27" x14ac:dyDescent="0.25">
      <c r="A136">
        <v>5160</v>
      </c>
      <c r="B136">
        <v>23050</v>
      </c>
      <c r="C136" s="1">
        <v>42713</v>
      </c>
      <c r="F136" s="29"/>
      <c r="G136">
        <v>5.0999999999999996</v>
      </c>
      <c r="H136">
        <v>0.3</v>
      </c>
      <c r="I136">
        <v>11.3</v>
      </c>
      <c r="J136">
        <f t="shared" si="12"/>
        <v>836.20000000000016</v>
      </c>
      <c r="K136">
        <f t="shared" si="13"/>
        <v>36.700000000000003</v>
      </c>
      <c r="L136" s="10">
        <v>23</v>
      </c>
      <c r="M136">
        <v>0.1</v>
      </c>
      <c r="N136">
        <v>0.6</v>
      </c>
      <c r="O136">
        <f t="shared" si="18"/>
        <v>-0.5</v>
      </c>
      <c r="Q136">
        <v>87</v>
      </c>
      <c r="R136">
        <v>1</v>
      </c>
      <c r="S136">
        <f t="shared" si="19"/>
        <v>0.6</v>
      </c>
      <c r="T136">
        <f t="shared" si="20"/>
        <v>-0.5</v>
      </c>
      <c r="U136" s="4">
        <f t="shared" si="14"/>
        <v>51.261194029850742</v>
      </c>
      <c r="V136">
        <f>(V134*100)/138.9</f>
        <v>44.241320395860875</v>
      </c>
      <c r="W136">
        <v>461.2</v>
      </c>
      <c r="X136">
        <f t="shared" si="15"/>
        <v>53156.3</v>
      </c>
      <c r="Y136">
        <f t="shared" si="16"/>
        <v>7169.9</v>
      </c>
      <c r="Z136">
        <v>8.2778707851717375</v>
      </c>
    </row>
    <row r="137" spans="1:27" x14ac:dyDescent="0.25">
      <c r="A137">
        <v>5160</v>
      </c>
      <c r="B137">
        <v>23050</v>
      </c>
      <c r="C137" s="1">
        <v>42714</v>
      </c>
      <c r="E137">
        <v>11</v>
      </c>
      <c r="F137" s="29"/>
      <c r="G137">
        <v>2.9</v>
      </c>
      <c r="H137">
        <v>0.4</v>
      </c>
      <c r="I137">
        <v>7.4</v>
      </c>
      <c r="J137">
        <f t="shared" si="12"/>
        <v>839.10000000000014</v>
      </c>
      <c r="K137">
        <f t="shared" si="13"/>
        <v>39.6</v>
      </c>
      <c r="L137" s="13" t="s">
        <v>41</v>
      </c>
      <c r="M137">
        <v>0.4</v>
      </c>
      <c r="N137">
        <v>0.7</v>
      </c>
      <c r="O137">
        <f t="shared" si="18"/>
        <v>-0.29999999999999993</v>
      </c>
      <c r="Q137">
        <v>88</v>
      </c>
      <c r="R137">
        <v>1</v>
      </c>
      <c r="S137">
        <f t="shared" si="19"/>
        <v>0.7</v>
      </c>
      <c r="T137">
        <f t="shared" si="20"/>
        <v>-0.29999999999999993</v>
      </c>
      <c r="U137" s="4">
        <f t="shared" si="14"/>
        <v>50.961194029850745</v>
      </c>
      <c r="W137">
        <v>484</v>
      </c>
      <c r="X137">
        <f t="shared" si="15"/>
        <v>53640.3</v>
      </c>
      <c r="Y137">
        <f t="shared" si="16"/>
        <v>7653.9</v>
      </c>
      <c r="Z137">
        <v>8.2639628162377754</v>
      </c>
    </row>
    <row r="138" spans="1:27" x14ac:dyDescent="0.25">
      <c r="A138">
        <v>5160</v>
      </c>
      <c r="B138">
        <v>23050</v>
      </c>
      <c r="C138" s="1">
        <v>42715</v>
      </c>
      <c r="E138">
        <v>12</v>
      </c>
      <c r="F138" s="29"/>
      <c r="G138">
        <v>5</v>
      </c>
      <c r="H138">
        <v>2</v>
      </c>
      <c r="I138">
        <v>6</v>
      </c>
      <c r="J138">
        <f t="shared" si="12"/>
        <v>844.10000000000014</v>
      </c>
      <c r="K138">
        <f t="shared" si="13"/>
        <v>44.6</v>
      </c>
      <c r="L138" s="10">
        <v>32</v>
      </c>
      <c r="M138">
        <v>0.4</v>
      </c>
      <c r="N138">
        <v>0.4</v>
      </c>
      <c r="O138">
        <f t="shared" si="18"/>
        <v>0</v>
      </c>
      <c r="Q138">
        <v>89</v>
      </c>
      <c r="R138">
        <v>1</v>
      </c>
      <c r="S138">
        <f t="shared" si="19"/>
        <v>0.4</v>
      </c>
      <c r="T138">
        <f t="shared" si="20"/>
        <v>0</v>
      </c>
      <c r="U138" s="4">
        <f t="shared" si="14"/>
        <v>50.961194029850745</v>
      </c>
      <c r="W138">
        <v>281.60000000000002</v>
      </c>
      <c r="X138">
        <f t="shared" si="15"/>
        <v>53921.9</v>
      </c>
      <c r="Y138">
        <f t="shared" si="16"/>
        <v>7935.5</v>
      </c>
      <c r="Z138">
        <v>8.2513753663333826</v>
      </c>
    </row>
    <row r="139" spans="1:27" x14ac:dyDescent="0.25">
      <c r="A139">
        <v>5160</v>
      </c>
      <c r="B139">
        <v>23050</v>
      </c>
      <c r="C139" s="1">
        <v>42716</v>
      </c>
      <c r="E139">
        <v>13</v>
      </c>
      <c r="F139" s="29"/>
      <c r="G139">
        <v>5</v>
      </c>
      <c r="H139">
        <v>4.3</v>
      </c>
      <c r="I139">
        <v>5.6</v>
      </c>
      <c r="J139">
        <f t="shared" si="12"/>
        <v>849.10000000000014</v>
      </c>
      <c r="K139">
        <f t="shared" si="13"/>
        <v>49.6</v>
      </c>
      <c r="M139">
        <v>0.3</v>
      </c>
      <c r="N139">
        <v>0.2</v>
      </c>
      <c r="O139">
        <f t="shared" si="18"/>
        <v>9.9999999999999978E-2</v>
      </c>
      <c r="Q139">
        <v>90</v>
      </c>
      <c r="R139">
        <v>1</v>
      </c>
      <c r="S139">
        <f t="shared" si="19"/>
        <v>0.2</v>
      </c>
      <c r="T139">
        <f t="shared" si="20"/>
        <v>9.9999999999999978E-2</v>
      </c>
      <c r="U139" s="4">
        <f t="shared" si="14"/>
        <v>51.061194029850746</v>
      </c>
      <c r="W139">
        <v>77.2</v>
      </c>
      <c r="X139">
        <f t="shared" si="15"/>
        <v>53999.1</v>
      </c>
      <c r="Y139">
        <f t="shared" si="16"/>
        <v>8012.7</v>
      </c>
      <c r="Z139">
        <v>8.2401194419848203</v>
      </c>
    </row>
    <row r="140" spans="1:27" x14ac:dyDescent="0.25">
      <c r="A140">
        <v>5160</v>
      </c>
      <c r="B140">
        <v>23050</v>
      </c>
      <c r="C140" s="1">
        <v>42717</v>
      </c>
      <c r="F140" s="29"/>
      <c r="G140">
        <v>6.1</v>
      </c>
      <c r="H140">
        <v>4.9000000000000004</v>
      </c>
      <c r="I140">
        <v>10.199999999999999</v>
      </c>
      <c r="J140">
        <f t="shared" si="12"/>
        <v>855.20000000000016</v>
      </c>
      <c r="K140">
        <f t="shared" si="13"/>
        <v>55.7</v>
      </c>
      <c r="M140">
        <v>0</v>
      </c>
      <c r="N140">
        <v>0.8</v>
      </c>
      <c r="O140">
        <f t="shared" si="18"/>
        <v>-0.8</v>
      </c>
      <c r="Q140">
        <v>91</v>
      </c>
      <c r="R140">
        <v>1</v>
      </c>
      <c r="S140">
        <f t="shared" si="19"/>
        <v>0.8</v>
      </c>
      <c r="T140">
        <f t="shared" si="20"/>
        <v>-0.8</v>
      </c>
      <c r="U140" s="4">
        <f t="shared" si="14"/>
        <v>50.261194029850749</v>
      </c>
      <c r="W140">
        <v>257.2</v>
      </c>
      <c r="X140">
        <f t="shared" si="15"/>
        <v>54256.299999999996</v>
      </c>
      <c r="Y140">
        <f t="shared" si="16"/>
        <v>8269.9</v>
      </c>
      <c r="Z140">
        <v>8.2302049559639894</v>
      </c>
    </row>
    <row r="141" spans="1:27" x14ac:dyDescent="0.25">
      <c r="A141">
        <v>5160</v>
      </c>
      <c r="B141">
        <v>23050</v>
      </c>
      <c r="C141" s="1">
        <v>42718</v>
      </c>
      <c r="E141">
        <v>14</v>
      </c>
      <c r="F141" s="29"/>
      <c r="G141">
        <v>3.5</v>
      </c>
      <c r="H141">
        <v>0</v>
      </c>
      <c r="I141">
        <v>7.4</v>
      </c>
      <c r="J141">
        <f t="shared" si="12"/>
        <v>858.70000000000016</v>
      </c>
      <c r="K141">
        <f t="shared" si="13"/>
        <v>59.2</v>
      </c>
      <c r="M141">
        <v>0</v>
      </c>
      <c r="N141">
        <v>0.6</v>
      </c>
      <c r="O141">
        <f t="shared" si="18"/>
        <v>-0.6</v>
      </c>
      <c r="Q141">
        <v>92</v>
      </c>
      <c r="R141">
        <v>1</v>
      </c>
      <c r="S141">
        <f t="shared" si="19"/>
        <v>0.6</v>
      </c>
      <c r="T141">
        <f t="shared" si="20"/>
        <v>-0.6</v>
      </c>
      <c r="U141" s="4">
        <f t="shared" si="14"/>
        <v>49.661194029850748</v>
      </c>
      <c r="W141">
        <v>699.4</v>
      </c>
      <c r="X141">
        <f t="shared" si="15"/>
        <v>54955.7</v>
      </c>
      <c r="Y141">
        <f t="shared" si="16"/>
        <v>8969.2999999999993</v>
      </c>
      <c r="Z141">
        <v>8.2216406952144574</v>
      </c>
    </row>
    <row r="142" spans="1:27" x14ac:dyDescent="0.25">
      <c r="A142">
        <v>5160</v>
      </c>
      <c r="B142">
        <v>23050</v>
      </c>
      <c r="C142" s="1">
        <v>42719</v>
      </c>
      <c r="E142">
        <v>15</v>
      </c>
      <c r="F142" s="29"/>
      <c r="G142">
        <v>2.9</v>
      </c>
      <c r="H142">
        <v>-0.6</v>
      </c>
      <c r="I142">
        <v>5.3</v>
      </c>
      <c r="J142">
        <f t="shared" si="12"/>
        <v>861.60000000000014</v>
      </c>
      <c r="K142">
        <f t="shared" si="13"/>
        <v>62.1</v>
      </c>
      <c r="M142">
        <v>0</v>
      </c>
      <c r="N142">
        <v>0.3</v>
      </c>
      <c r="O142">
        <f t="shared" si="18"/>
        <v>-0.3</v>
      </c>
      <c r="Q142">
        <v>93</v>
      </c>
      <c r="R142">
        <v>1</v>
      </c>
      <c r="S142">
        <f t="shared" si="19"/>
        <v>0.3</v>
      </c>
      <c r="T142">
        <f t="shared" si="20"/>
        <v>-0.3</v>
      </c>
      <c r="U142" s="4">
        <f t="shared" si="14"/>
        <v>49.361194029850751</v>
      </c>
      <c r="W142">
        <v>238.7</v>
      </c>
      <c r="X142">
        <f t="shared" si="15"/>
        <v>55194.399999999994</v>
      </c>
      <c r="Y142">
        <f t="shared" si="16"/>
        <v>9208</v>
      </c>
      <c r="Z142">
        <v>8.2144342921349853</v>
      </c>
    </row>
    <row r="143" spans="1:27" x14ac:dyDescent="0.25">
      <c r="A143">
        <v>5160</v>
      </c>
      <c r="B143">
        <v>23050</v>
      </c>
      <c r="C143" s="1">
        <v>42720</v>
      </c>
      <c r="F143" s="29"/>
      <c r="G143">
        <v>5.2</v>
      </c>
      <c r="H143">
        <v>2.5</v>
      </c>
      <c r="I143">
        <v>10.7</v>
      </c>
      <c r="J143">
        <f t="shared" si="12"/>
        <v>866.80000000000018</v>
      </c>
      <c r="K143">
        <f t="shared" si="13"/>
        <v>67.3</v>
      </c>
      <c r="M143">
        <v>0</v>
      </c>
      <c r="N143">
        <v>0.7</v>
      </c>
      <c r="O143">
        <f t="shared" si="18"/>
        <v>-0.7</v>
      </c>
      <c r="Q143">
        <v>94</v>
      </c>
      <c r="R143">
        <v>1</v>
      </c>
      <c r="S143">
        <f t="shared" si="19"/>
        <v>0.7</v>
      </c>
      <c r="T143">
        <f t="shared" si="20"/>
        <v>-0.7</v>
      </c>
      <c r="U143" s="4">
        <f t="shared" si="14"/>
        <v>48.661194029850748</v>
      </c>
      <c r="W143">
        <v>455.1</v>
      </c>
      <c r="X143">
        <f t="shared" si="15"/>
        <v>55649.499999999993</v>
      </c>
      <c r="Y143">
        <f t="shared" si="16"/>
        <v>9663.1</v>
      </c>
      <c r="Z143">
        <v>8.2085921994185096</v>
      </c>
    </row>
    <row r="144" spans="1:27" x14ac:dyDescent="0.25">
      <c r="A144">
        <v>5160</v>
      </c>
      <c r="B144">
        <v>23050</v>
      </c>
      <c r="C144" s="1">
        <v>42721</v>
      </c>
      <c r="E144">
        <v>16</v>
      </c>
      <c r="F144" s="29"/>
      <c r="G144">
        <v>2.2999999999999998</v>
      </c>
      <c r="H144">
        <v>-1.3</v>
      </c>
      <c r="I144">
        <v>6.2</v>
      </c>
      <c r="J144">
        <f t="shared" si="12"/>
        <v>869.10000000000014</v>
      </c>
      <c r="K144">
        <f t="shared" si="13"/>
        <v>69.599999999999994</v>
      </c>
      <c r="M144">
        <v>0.3</v>
      </c>
      <c r="N144">
        <v>0.6</v>
      </c>
      <c r="O144">
        <f t="shared" si="18"/>
        <v>-0.3</v>
      </c>
      <c r="Q144">
        <v>95</v>
      </c>
      <c r="R144">
        <v>1</v>
      </c>
      <c r="S144">
        <f t="shared" si="19"/>
        <v>0.6</v>
      </c>
      <c r="T144">
        <f t="shared" si="20"/>
        <v>-0.3</v>
      </c>
      <c r="U144" s="4">
        <f t="shared" si="14"/>
        <v>48.361194029850751</v>
      </c>
      <c r="W144">
        <v>536.1</v>
      </c>
      <c r="X144">
        <f t="shared" si="15"/>
        <v>56185.599999999991</v>
      </c>
      <c r="Y144">
        <f t="shared" si="16"/>
        <v>10199.200000000001</v>
      </c>
      <c r="Z144">
        <v>8.2041196686221269</v>
      </c>
    </row>
    <row r="145" spans="1:26" x14ac:dyDescent="0.25">
      <c r="A145">
        <v>5160</v>
      </c>
      <c r="B145">
        <v>23050</v>
      </c>
      <c r="C145" s="1">
        <v>42722</v>
      </c>
      <c r="E145">
        <v>17</v>
      </c>
      <c r="F145" s="29"/>
      <c r="G145">
        <v>1.8</v>
      </c>
      <c r="H145">
        <v>0.8</v>
      </c>
      <c r="I145">
        <v>2.6</v>
      </c>
      <c r="J145">
        <f t="shared" si="12"/>
        <v>870.90000000000009</v>
      </c>
      <c r="K145">
        <f t="shared" si="13"/>
        <v>71.399999999999991</v>
      </c>
      <c r="M145">
        <v>0.1</v>
      </c>
      <c r="N145">
        <v>0.3</v>
      </c>
      <c r="O145">
        <f t="shared" si="18"/>
        <v>-0.19999999999999998</v>
      </c>
      <c r="Q145">
        <v>96</v>
      </c>
      <c r="R145">
        <v>1</v>
      </c>
      <c r="S145">
        <f t="shared" si="19"/>
        <v>0.3</v>
      </c>
      <c r="T145">
        <f t="shared" si="20"/>
        <v>-0.19999999999999998</v>
      </c>
      <c r="U145" s="4">
        <f t="shared" si="14"/>
        <v>48.161194029850748</v>
      </c>
      <c r="W145">
        <v>329.5</v>
      </c>
      <c r="X145">
        <f t="shared" si="15"/>
        <v>56515.099999999991</v>
      </c>
      <c r="Y145">
        <f t="shared" si="16"/>
        <v>10528.7</v>
      </c>
      <c r="Z145">
        <v>8.2010207326192326</v>
      </c>
    </row>
    <row r="146" spans="1:26" x14ac:dyDescent="0.25">
      <c r="A146">
        <v>5160</v>
      </c>
      <c r="B146">
        <v>23050</v>
      </c>
      <c r="C146" s="1">
        <v>42723</v>
      </c>
      <c r="E146">
        <v>18</v>
      </c>
      <c r="F146" s="29"/>
      <c r="G146">
        <v>2.7</v>
      </c>
      <c r="H146">
        <v>0.5</v>
      </c>
      <c r="I146">
        <v>3.9</v>
      </c>
      <c r="J146">
        <f t="shared" si="12"/>
        <v>873.60000000000014</v>
      </c>
      <c r="K146">
        <f t="shared" si="13"/>
        <v>74.099999999999994</v>
      </c>
      <c r="M146">
        <v>0.1</v>
      </c>
      <c r="N146">
        <v>0.1</v>
      </c>
      <c r="O146">
        <f t="shared" si="18"/>
        <v>0</v>
      </c>
      <c r="Q146">
        <v>97</v>
      </c>
      <c r="R146">
        <v>1</v>
      </c>
      <c r="S146">
        <f t="shared" si="19"/>
        <v>0.1</v>
      </c>
      <c r="T146">
        <f t="shared" si="20"/>
        <v>0</v>
      </c>
      <c r="U146" s="4">
        <f t="shared" si="14"/>
        <v>48.161194029850748</v>
      </c>
      <c r="W146">
        <v>127.9</v>
      </c>
      <c r="X146">
        <f t="shared" si="15"/>
        <v>56642.999999999993</v>
      </c>
      <c r="Y146">
        <f t="shared" si="16"/>
        <v>10656.6</v>
      </c>
      <c r="Z146">
        <v>8.1992981920586807</v>
      </c>
    </row>
    <row r="147" spans="1:26" x14ac:dyDescent="0.25">
      <c r="A147">
        <v>5160</v>
      </c>
      <c r="B147">
        <v>23050</v>
      </c>
      <c r="C147" s="1">
        <v>42724</v>
      </c>
      <c r="E147">
        <v>19</v>
      </c>
      <c r="F147" s="29"/>
      <c r="G147">
        <v>2.1</v>
      </c>
      <c r="H147">
        <v>1.7</v>
      </c>
      <c r="I147">
        <v>3.6</v>
      </c>
      <c r="J147">
        <f t="shared" si="12"/>
        <v>875.70000000000016</v>
      </c>
      <c r="K147">
        <f t="shared" si="13"/>
        <v>76.199999999999989</v>
      </c>
      <c r="M147">
        <v>0</v>
      </c>
      <c r="N147">
        <v>0.3</v>
      </c>
      <c r="O147">
        <f t="shared" si="18"/>
        <v>-0.3</v>
      </c>
      <c r="Q147">
        <v>98</v>
      </c>
      <c r="R147">
        <v>1</v>
      </c>
      <c r="S147">
        <f t="shared" si="19"/>
        <v>0.3</v>
      </c>
      <c r="T147">
        <f t="shared" si="20"/>
        <v>-0.3</v>
      </c>
      <c r="U147" s="4">
        <f t="shared" si="14"/>
        <v>47.861194029850751</v>
      </c>
      <c r="W147">
        <v>185.3</v>
      </c>
      <c r="X147">
        <f t="shared" si="15"/>
        <v>56828.299999999996</v>
      </c>
      <c r="Y147">
        <f t="shared" si="16"/>
        <v>10841.9</v>
      </c>
      <c r="Z147">
        <v>8.1989536059279615</v>
      </c>
    </row>
    <row r="148" spans="1:26" x14ac:dyDescent="0.25">
      <c r="A148">
        <v>5160</v>
      </c>
      <c r="B148">
        <v>23050</v>
      </c>
      <c r="C148" s="1">
        <v>42725</v>
      </c>
      <c r="E148">
        <v>20</v>
      </c>
      <c r="F148" s="29"/>
      <c r="G148">
        <v>3.2</v>
      </c>
      <c r="H148">
        <v>-1.3</v>
      </c>
      <c r="I148">
        <v>6.9</v>
      </c>
      <c r="J148">
        <f t="shared" si="12"/>
        <v>878.9000000000002</v>
      </c>
      <c r="K148">
        <f t="shared" si="13"/>
        <v>79.399999999999991</v>
      </c>
      <c r="M148">
        <v>14.8</v>
      </c>
      <c r="N148">
        <v>0.2</v>
      </c>
      <c r="O148">
        <f t="shared" si="18"/>
        <v>14.600000000000001</v>
      </c>
      <c r="Q148">
        <v>99</v>
      </c>
      <c r="R148">
        <v>1</v>
      </c>
      <c r="S148">
        <f t="shared" si="19"/>
        <v>0.2</v>
      </c>
      <c r="T148">
        <f t="shared" si="20"/>
        <v>14.600000000000001</v>
      </c>
      <c r="U148" s="4">
        <f t="shared" si="14"/>
        <v>62.461194029850752</v>
      </c>
      <c r="W148">
        <v>158.80000000000001</v>
      </c>
      <c r="X148">
        <f t="shared" si="15"/>
        <v>56987.1</v>
      </c>
      <c r="Y148">
        <f t="shared" si="16"/>
        <v>11000.699999999999</v>
      </c>
      <c r="Z148">
        <v>8.1999872862883141</v>
      </c>
    </row>
    <row r="149" spans="1:26" x14ac:dyDescent="0.25">
      <c r="A149">
        <v>5160</v>
      </c>
      <c r="B149">
        <v>23050</v>
      </c>
      <c r="C149" s="1">
        <v>42726</v>
      </c>
      <c r="F149" s="29"/>
      <c r="G149">
        <v>6.5</v>
      </c>
      <c r="H149">
        <v>6</v>
      </c>
      <c r="I149">
        <v>7.9</v>
      </c>
      <c r="J149">
        <f t="shared" si="12"/>
        <v>885.4000000000002</v>
      </c>
      <c r="K149">
        <f t="shared" si="13"/>
        <v>85.899999999999991</v>
      </c>
      <c r="M149">
        <v>1.3</v>
      </c>
      <c r="N149">
        <v>0.4</v>
      </c>
      <c r="O149">
        <f t="shared" si="18"/>
        <v>0.9</v>
      </c>
      <c r="Q149">
        <v>100</v>
      </c>
      <c r="R149">
        <v>1</v>
      </c>
      <c r="S149">
        <f t="shared" si="19"/>
        <v>0.4</v>
      </c>
      <c r="T149">
        <f t="shared" si="20"/>
        <v>0.9</v>
      </c>
      <c r="U149" s="4">
        <f t="shared" si="14"/>
        <v>63.361194029850751</v>
      </c>
      <c r="W149">
        <v>110</v>
      </c>
      <c r="X149">
        <f t="shared" si="15"/>
        <v>57097.1</v>
      </c>
      <c r="Y149">
        <f t="shared" si="16"/>
        <v>11110.699999999999</v>
      </c>
      <c r="Z149">
        <v>8.202398297219851</v>
      </c>
    </row>
    <row r="150" spans="1:26" x14ac:dyDescent="0.25">
      <c r="A150">
        <v>5160</v>
      </c>
      <c r="B150">
        <v>23050</v>
      </c>
      <c r="C150" s="1">
        <v>42727</v>
      </c>
      <c r="E150">
        <v>21</v>
      </c>
      <c r="F150" s="29"/>
      <c r="G150">
        <v>5</v>
      </c>
      <c r="H150">
        <v>2.7</v>
      </c>
      <c r="I150">
        <v>9.3000000000000007</v>
      </c>
      <c r="J150">
        <f t="shared" si="12"/>
        <v>890.4000000000002</v>
      </c>
      <c r="K150">
        <f t="shared" si="13"/>
        <v>90.899999999999991</v>
      </c>
      <c r="M150">
        <v>0</v>
      </c>
      <c r="N150">
        <v>0.4</v>
      </c>
      <c r="O150">
        <f t="shared" si="18"/>
        <v>-0.4</v>
      </c>
      <c r="Q150">
        <v>101</v>
      </c>
      <c r="R150">
        <v>1</v>
      </c>
      <c r="S150">
        <f t="shared" si="19"/>
        <v>0.4</v>
      </c>
      <c r="T150">
        <f t="shared" si="20"/>
        <v>-0.4</v>
      </c>
      <c r="U150" s="4">
        <f t="shared" si="14"/>
        <v>62.961194029850752</v>
      </c>
      <c r="W150">
        <v>146.19999999999999</v>
      </c>
      <c r="X150">
        <f t="shared" si="15"/>
        <v>57243.299999999996</v>
      </c>
      <c r="Y150">
        <f t="shared" si="16"/>
        <v>11256.9</v>
      </c>
      <c r="Z150">
        <v>8.2061844579843051</v>
      </c>
    </row>
    <row r="151" spans="1:26" x14ac:dyDescent="0.25">
      <c r="A151">
        <v>5160</v>
      </c>
      <c r="B151">
        <v>23050</v>
      </c>
      <c r="C151" s="1">
        <v>42728</v>
      </c>
      <c r="F151" s="29"/>
      <c r="G151">
        <v>7.7</v>
      </c>
      <c r="H151">
        <v>6</v>
      </c>
      <c r="I151">
        <v>9.1999999999999993</v>
      </c>
      <c r="J151">
        <f t="shared" si="12"/>
        <v>898.10000000000025</v>
      </c>
      <c r="K151">
        <f t="shared" si="13"/>
        <v>98.6</v>
      </c>
      <c r="M151">
        <v>0</v>
      </c>
      <c r="N151">
        <v>0.2</v>
      </c>
      <c r="O151">
        <f t="shared" si="18"/>
        <v>-0.2</v>
      </c>
      <c r="Q151">
        <v>102</v>
      </c>
      <c r="R151">
        <v>1</v>
      </c>
      <c r="S151">
        <f t="shared" si="19"/>
        <v>0.2</v>
      </c>
      <c r="T151">
        <f t="shared" si="20"/>
        <v>-0.2</v>
      </c>
      <c r="U151" s="4">
        <f t="shared" si="14"/>
        <v>62.761194029850749</v>
      </c>
      <c r="W151">
        <v>328.5</v>
      </c>
      <c r="X151">
        <f t="shared" si="15"/>
        <v>57571.799999999996</v>
      </c>
      <c r="Y151">
        <f t="shared" si="16"/>
        <v>11585.4</v>
      </c>
      <c r="Z151">
        <v>8.2113423503825054</v>
      </c>
    </row>
    <row r="152" spans="1:26" x14ac:dyDescent="0.25">
      <c r="A152">
        <v>5160</v>
      </c>
      <c r="B152">
        <v>23050</v>
      </c>
      <c r="C152" s="1">
        <v>42729</v>
      </c>
      <c r="F152" s="29"/>
      <c r="G152">
        <v>8.6999999999999993</v>
      </c>
      <c r="H152">
        <v>6.2</v>
      </c>
      <c r="I152">
        <v>10.1</v>
      </c>
      <c r="J152">
        <f t="shared" si="12"/>
        <v>906.8000000000003</v>
      </c>
      <c r="K152">
        <f t="shared" si="13"/>
        <v>107.3</v>
      </c>
      <c r="M152">
        <v>0.4</v>
      </c>
      <c r="N152">
        <v>0.3</v>
      </c>
      <c r="O152">
        <f t="shared" si="18"/>
        <v>0.10000000000000003</v>
      </c>
      <c r="Q152">
        <v>103</v>
      </c>
      <c r="R152">
        <v>1</v>
      </c>
      <c r="S152">
        <f t="shared" si="19"/>
        <v>0.3</v>
      </c>
      <c r="T152">
        <f t="shared" si="20"/>
        <v>0.10000000000000003</v>
      </c>
      <c r="U152" s="4">
        <f t="shared" si="14"/>
        <v>62.861194029850751</v>
      </c>
      <c r="W152">
        <v>95.2</v>
      </c>
      <c r="X152">
        <f t="shared" si="15"/>
        <v>57666.999999999993</v>
      </c>
      <c r="Y152">
        <f t="shared" si="16"/>
        <v>11680.6</v>
      </c>
      <c r="Z152">
        <v>8.2178673302535508</v>
      </c>
    </row>
    <row r="153" spans="1:26" x14ac:dyDescent="0.25">
      <c r="A153">
        <v>5160</v>
      </c>
      <c r="B153">
        <v>23050</v>
      </c>
      <c r="C153" s="1">
        <v>42730</v>
      </c>
      <c r="F153" s="29"/>
      <c r="G153">
        <v>8.1999999999999993</v>
      </c>
      <c r="H153">
        <v>5.9</v>
      </c>
      <c r="I153">
        <v>11.7</v>
      </c>
      <c r="J153">
        <f t="shared" si="12"/>
        <v>915.00000000000034</v>
      </c>
      <c r="K153">
        <f t="shared" si="13"/>
        <v>115.5</v>
      </c>
      <c r="M153">
        <v>0.1</v>
      </c>
      <c r="N153">
        <v>0.3</v>
      </c>
      <c r="O153">
        <f t="shared" si="18"/>
        <v>-0.19999999999999998</v>
      </c>
      <c r="Q153">
        <v>104</v>
      </c>
      <c r="R153">
        <v>1</v>
      </c>
      <c r="S153">
        <f t="shared" si="19"/>
        <v>0.3</v>
      </c>
      <c r="T153">
        <f t="shared" si="20"/>
        <v>-0.19999999999999998</v>
      </c>
      <c r="U153" s="4">
        <f t="shared" si="14"/>
        <v>62.661194029850748</v>
      </c>
      <c r="W153">
        <v>121.4</v>
      </c>
      <c r="X153">
        <f t="shared" si="15"/>
        <v>57788.399999999994</v>
      </c>
      <c r="Y153">
        <f t="shared" si="16"/>
        <v>11802</v>
      </c>
      <c r="Z153">
        <v>8.2257535430330737</v>
      </c>
    </row>
    <row r="154" spans="1:26" x14ac:dyDescent="0.25">
      <c r="A154">
        <v>5160</v>
      </c>
      <c r="B154">
        <v>23050</v>
      </c>
      <c r="C154" s="1">
        <v>42731</v>
      </c>
      <c r="E154">
        <v>22</v>
      </c>
      <c r="F154" s="29"/>
      <c r="G154">
        <v>2.6</v>
      </c>
      <c r="H154">
        <v>0</v>
      </c>
      <c r="I154">
        <v>5.7</v>
      </c>
      <c r="J154">
        <f t="shared" si="12"/>
        <v>917.60000000000036</v>
      </c>
      <c r="K154">
        <f t="shared" si="13"/>
        <v>118.1</v>
      </c>
      <c r="M154">
        <v>0.1</v>
      </c>
      <c r="N154">
        <v>0.5</v>
      </c>
      <c r="O154">
        <f t="shared" si="18"/>
        <v>-0.4</v>
      </c>
      <c r="Q154">
        <v>105</v>
      </c>
      <c r="R154">
        <v>1</v>
      </c>
      <c r="S154">
        <f t="shared" si="19"/>
        <v>0.5</v>
      </c>
      <c r="T154">
        <f t="shared" si="20"/>
        <v>-0.4</v>
      </c>
      <c r="U154" s="4">
        <f t="shared" si="14"/>
        <v>62.261194029850749</v>
      </c>
      <c r="W154">
        <v>676.8</v>
      </c>
      <c r="X154">
        <f t="shared" si="15"/>
        <v>58465.2</v>
      </c>
      <c r="Y154">
        <f t="shared" si="16"/>
        <v>12478.8</v>
      </c>
      <c r="Z154">
        <v>8.2349939432594415</v>
      </c>
    </row>
    <row r="155" spans="1:26" x14ac:dyDescent="0.25">
      <c r="A155">
        <v>5160</v>
      </c>
      <c r="B155">
        <v>23050</v>
      </c>
      <c r="C155" s="1">
        <v>42732</v>
      </c>
      <c r="E155">
        <v>23</v>
      </c>
      <c r="F155" s="29"/>
      <c r="G155">
        <v>1.8</v>
      </c>
      <c r="H155">
        <v>-0.1</v>
      </c>
      <c r="I155">
        <v>4.0999999999999996</v>
      </c>
      <c r="J155">
        <f t="shared" si="12"/>
        <v>919.40000000000032</v>
      </c>
      <c r="K155">
        <f t="shared" si="13"/>
        <v>119.89999999999999</v>
      </c>
      <c r="M155">
        <v>0.1</v>
      </c>
      <c r="N155">
        <v>0.6</v>
      </c>
      <c r="O155">
        <f t="shared" si="18"/>
        <v>-0.5</v>
      </c>
      <c r="Q155">
        <v>106</v>
      </c>
      <c r="R155">
        <v>1</v>
      </c>
      <c r="S155">
        <f t="shared" si="19"/>
        <v>0.6</v>
      </c>
      <c r="T155">
        <f t="shared" si="20"/>
        <v>-0.5</v>
      </c>
      <c r="U155" s="4">
        <f t="shared" si="14"/>
        <v>61.761194029850749</v>
      </c>
      <c r="W155">
        <v>591.5</v>
      </c>
      <c r="X155">
        <f t="shared" si="15"/>
        <v>59056.7</v>
      </c>
      <c r="Y155">
        <f t="shared" si="16"/>
        <v>13070.3</v>
      </c>
      <c r="Z155">
        <v>8.2455803178897611</v>
      </c>
    </row>
    <row r="156" spans="1:26" x14ac:dyDescent="0.25">
      <c r="A156">
        <v>5160</v>
      </c>
      <c r="B156">
        <v>23050</v>
      </c>
      <c r="C156" s="1">
        <v>42733</v>
      </c>
      <c r="E156">
        <v>24</v>
      </c>
      <c r="F156" s="29"/>
      <c r="G156">
        <v>-1.6</v>
      </c>
      <c r="H156">
        <v>-2.1</v>
      </c>
      <c r="I156">
        <v>-1.3</v>
      </c>
      <c r="J156">
        <v>919.4</v>
      </c>
      <c r="K156">
        <v>119.9</v>
      </c>
      <c r="M156">
        <v>0</v>
      </c>
      <c r="N156">
        <v>0.3</v>
      </c>
      <c r="O156">
        <f t="shared" si="18"/>
        <v>-0.3</v>
      </c>
      <c r="Q156">
        <v>107</v>
      </c>
      <c r="R156">
        <v>1</v>
      </c>
      <c r="S156">
        <f t="shared" si="19"/>
        <v>0.3</v>
      </c>
      <c r="T156">
        <f t="shared" si="20"/>
        <v>-0.3</v>
      </c>
      <c r="U156" s="4">
        <f t="shared" si="14"/>
        <v>61.461194029850752</v>
      </c>
      <c r="W156">
        <v>365.2</v>
      </c>
      <c r="X156">
        <f t="shared" si="15"/>
        <v>59421.899999999994</v>
      </c>
      <c r="Y156">
        <f t="shared" si="16"/>
        <v>13435.5</v>
      </c>
      <c r="Z156">
        <v>8.2575033132620099</v>
      </c>
    </row>
    <row r="157" spans="1:26" x14ac:dyDescent="0.25">
      <c r="A157">
        <v>5160</v>
      </c>
      <c r="B157">
        <v>23050</v>
      </c>
      <c r="C157" s="1">
        <v>42734</v>
      </c>
      <c r="E157">
        <v>25</v>
      </c>
      <c r="F157" s="29"/>
      <c r="G157">
        <v>-3.3</v>
      </c>
      <c r="H157">
        <v>-3.8</v>
      </c>
      <c r="I157">
        <v>-3.1</v>
      </c>
      <c r="J157">
        <v>919.4</v>
      </c>
      <c r="K157">
        <v>119.9</v>
      </c>
      <c r="M157">
        <v>0</v>
      </c>
      <c r="N157">
        <v>0.3</v>
      </c>
      <c r="O157">
        <f t="shared" si="18"/>
        <v>-0.3</v>
      </c>
      <c r="Q157">
        <v>108</v>
      </c>
      <c r="R157">
        <v>1</v>
      </c>
      <c r="S157">
        <f t="shared" si="19"/>
        <v>0.3</v>
      </c>
      <c r="T157">
        <f t="shared" si="20"/>
        <v>-0.3</v>
      </c>
      <c r="U157" s="4">
        <f t="shared" si="14"/>
        <v>61.161194029850755</v>
      </c>
      <c r="W157">
        <v>385.5</v>
      </c>
      <c r="X157">
        <f t="shared" si="15"/>
        <v>59807.399999999994</v>
      </c>
      <c r="Y157">
        <f t="shared" si="16"/>
        <v>13821</v>
      </c>
      <c r="Z157">
        <v>8.2707524655163063</v>
      </c>
    </row>
    <row r="158" spans="1:26" x14ac:dyDescent="0.25">
      <c r="A158">
        <v>5160</v>
      </c>
      <c r="B158">
        <v>23050</v>
      </c>
      <c r="C158" s="1">
        <v>42735</v>
      </c>
      <c r="E158">
        <v>26</v>
      </c>
      <c r="F158" s="29"/>
      <c r="G158">
        <v>-3.9</v>
      </c>
      <c r="H158">
        <v>-4.5</v>
      </c>
      <c r="I158">
        <v>-3.5</v>
      </c>
      <c r="J158">
        <v>919.4</v>
      </c>
      <c r="K158">
        <v>119.9</v>
      </c>
      <c r="M158">
        <v>0.1</v>
      </c>
      <c r="N158">
        <v>0.3</v>
      </c>
      <c r="O158">
        <f t="shared" si="18"/>
        <v>-0.19999999999999998</v>
      </c>
      <c r="Q158">
        <v>109</v>
      </c>
      <c r="R158">
        <v>1</v>
      </c>
      <c r="S158">
        <f t="shared" si="19"/>
        <v>0.3</v>
      </c>
      <c r="T158">
        <f t="shared" si="20"/>
        <v>-0.19999999999999998</v>
      </c>
      <c r="U158" s="4">
        <f t="shared" si="14"/>
        <v>60.961194029850752</v>
      </c>
      <c r="W158">
        <v>386.5</v>
      </c>
      <c r="X158">
        <f t="shared" si="15"/>
        <v>60193.899999999994</v>
      </c>
      <c r="Y158">
        <f t="shared" si="16"/>
        <v>14207.5</v>
      </c>
      <c r="Z158">
        <v>8.2853162342671176</v>
      </c>
    </row>
    <row r="159" spans="1:26" x14ac:dyDescent="0.25">
      <c r="A159">
        <v>5160</v>
      </c>
      <c r="B159">
        <v>23050</v>
      </c>
      <c r="C159" s="1">
        <v>42736</v>
      </c>
      <c r="E159">
        <v>27</v>
      </c>
      <c r="F159" s="29"/>
      <c r="G159">
        <v>-1.7</v>
      </c>
      <c r="H159">
        <v>-3.8</v>
      </c>
      <c r="I159">
        <v>0.7</v>
      </c>
      <c r="J159">
        <v>919.4</v>
      </c>
      <c r="K159">
        <v>119.9</v>
      </c>
      <c r="M159">
        <v>0.2</v>
      </c>
      <c r="N159">
        <v>0.2</v>
      </c>
      <c r="O159">
        <f t="shared" si="18"/>
        <v>0</v>
      </c>
      <c r="Q159">
        <v>110</v>
      </c>
      <c r="R159">
        <v>1</v>
      </c>
      <c r="S159">
        <f t="shared" si="19"/>
        <v>0.2</v>
      </c>
      <c r="T159">
        <f t="shared" si="20"/>
        <v>0</v>
      </c>
      <c r="U159" s="4">
        <f t="shared" si="14"/>
        <v>60.961194029850752</v>
      </c>
      <c r="W159">
        <v>213.6</v>
      </c>
      <c r="X159">
        <f t="shared" si="15"/>
        <v>60407.499999999993</v>
      </c>
      <c r="Y159">
        <f t="shared" si="16"/>
        <v>14421.1</v>
      </c>
      <c r="Z159">
        <v>8.2853162342671176</v>
      </c>
    </row>
    <row r="160" spans="1:26" x14ac:dyDescent="0.25">
      <c r="A160">
        <v>5160</v>
      </c>
      <c r="B160">
        <v>23050</v>
      </c>
      <c r="C160" s="1">
        <v>42737</v>
      </c>
      <c r="E160">
        <v>28</v>
      </c>
      <c r="F160" s="29"/>
      <c r="G160">
        <v>0.9</v>
      </c>
      <c r="H160">
        <v>-0.2</v>
      </c>
      <c r="I160">
        <v>2</v>
      </c>
      <c r="J160">
        <f t="shared" si="12"/>
        <v>920.3</v>
      </c>
      <c r="K160">
        <f t="shared" si="13"/>
        <v>120.80000000000001</v>
      </c>
      <c r="M160">
        <v>0.1</v>
      </c>
      <c r="N160">
        <v>0.1</v>
      </c>
      <c r="O160">
        <f t="shared" si="18"/>
        <v>0</v>
      </c>
      <c r="Q160">
        <v>111</v>
      </c>
      <c r="R160">
        <v>1</v>
      </c>
      <c r="S160">
        <f t="shared" si="19"/>
        <v>0.1</v>
      </c>
      <c r="T160">
        <f t="shared" si="20"/>
        <v>0</v>
      </c>
      <c r="U160" s="4">
        <f t="shared" si="14"/>
        <v>60.961194029850752</v>
      </c>
      <c r="W160">
        <v>144.6</v>
      </c>
      <c r="X160">
        <f t="shared" si="15"/>
        <v>60552.099999999991</v>
      </c>
      <c r="Y160">
        <f t="shared" si="16"/>
        <v>14565.7</v>
      </c>
      <c r="Z160">
        <v>8.3011820392994977</v>
      </c>
    </row>
    <row r="161" spans="1:26" x14ac:dyDescent="0.25">
      <c r="A161">
        <v>5160</v>
      </c>
      <c r="B161">
        <v>23050</v>
      </c>
      <c r="C161" s="1">
        <v>42738</v>
      </c>
      <c r="E161">
        <v>29</v>
      </c>
      <c r="F161" s="29"/>
      <c r="G161">
        <v>-1.1000000000000001</v>
      </c>
      <c r="H161">
        <v>-1.3</v>
      </c>
      <c r="I161">
        <v>-0.7</v>
      </c>
      <c r="J161">
        <v>920.3</v>
      </c>
      <c r="K161">
        <v>120.8</v>
      </c>
      <c r="M161">
        <v>0</v>
      </c>
      <c r="N161">
        <v>0.2</v>
      </c>
      <c r="O161">
        <f t="shared" si="18"/>
        <v>-0.2</v>
      </c>
      <c r="Q161">
        <v>112</v>
      </c>
      <c r="R161">
        <v>1</v>
      </c>
      <c r="S161">
        <f t="shared" si="19"/>
        <v>0.2</v>
      </c>
      <c r="T161">
        <f t="shared" si="20"/>
        <v>-0.2</v>
      </c>
      <c r="U161" s="4">
        <f t="shared" si="14"/>
        <v>60.761194029850749</v>
      </c>
      <c r="W161">
        <v>195</v>
      </c>
      <c r="X161">
        <f t="shared" si="15"/>
        <v>60747.099999999991</v>
      </c>
      <c r="Y161">
        <f t="shared" si="16"/>
        <v>14760.7</v>
      </c>
      <c r="Z161">
        <v>8.3183363000463544</v>
      </c>
    </row>
    <row r="162" spans="1:26" x14ac:dyDescent="0.25">
      <c r="A162">
        <v>5160</v>
      </c>
      <c r="B162">
        <v>23050</v>
      </c>
      <c r="C162" s="1">
        <v>42739</v>
      </c>
      <c r="E162">
        <v>30</v>
      </c>
      <c r="F162" s="29"/>
      <c r="G162">
        <v>0.3</v>
      </c>
      <c r="H162">
        <v>-2</v>
      </c>
      <c r="I162">
        <v>2.4</v>
      </c>
      <c r="J162">
        <f t="shared" si="12"/>
        <v>920.59999999999991</v>
      </c>
      <c r="K162">
        <f t="shared" si="13"/>
        <v>121.1</v>
      </c>
      <c r="M162">
        <v>0.1</v>
      </c>
      <c r="N162">
        <v>0.1</v>
      </c>
      <c r="O162">
        <f t="shared" si="18"/>
        <v>0</v>
      </c>
      <c r="Q162">
        <v>113</v>
      </c>
      <c r="R162">
        <v>1</v>
      </c>
      <c r="S162">
        <f t="shared" si="19"/>
        <v>0.1</v>
      </c>
      <c r="T162">
        <f t="shared" si="20"/>
        <v>0</v>
      </c>
      <c r="U162" s="4">
        <f t="shared" si="14"/>
        <v>60.761194029850749</v>
      </c>
      <c r="W162">
        <v>132.69999999999999</v>
      </c>
      <c r="X162">
        <f t="shared" si="15"/>
        <v>60879.799999999988</v>
      </c>
      <c r="Y162">
        <f t="shared" si="16"/>
        <v>14893.400000000001</v>
      </c>
      <c r="Z162">
        <v>8.3367644775903429</v>
      </c>
    </row>
    <row r="163" spans="1:26" x14ac:dyDescent="0.25">
      <c r="A163">
        <v>5160</v>
      </c>
      <c r="B163">
        <v>23050</v>
      </c>
      <c r="C163" s="1">
        <v>42740</v>
      </c>
      <c r="E163">
        <v>31</v>
      </c>
      <c r="F163" s="29"/>
      <c r="G163">
        <v>1.3</v>
      </c>
      <c r="H163">
        <v>-1.2</v>
      </c>
      <c r="I163">
        <v>4.4000000000000004</v>
      </c>
      <c r="J163">
        <f t="shared" si="12"/>
        <v>921.89999999999986</v>
      </c>
      <c r="K163">
        <f t="shared" si="13"/>
        <v>122.39999999999999</v>
      </c>
      <c r="M163">
        <v>0</v>
      </c>
      <c r="N163">
        <v>0.3</v>
      </c>
      <c r="O163">
        <f t="shared" si="18"/>
        <v>-0.3</v>
      </c>
      <c r="Q163">
        <v>114</v>
      </c>
      <c r="R163">
        <v>1</v>
      </c>
      <c r="S163">
        <f t="shared" si="19"/>
        <v>0.3</v>
      </c>
      <c r="T163">
        <f t="shared" si="20"/>
        <v>-0.3</v>
      </c>
      <c r="U163" s="4">
        <f t="shared" si="14"/>
        <v>60.461194029850752</v>
      </c>
      <c r="W163">
        <v>521.6</v>
      </c>
      <c r="X163">
        <f t="shared" si="15"/>
        <v>61401.399999999987</v>
      </c>
      <c r="Y163">
        <f t="shared" si="16"/>
        <v>15415.000000000002</v>
      </c>
      <c r="Z163">
        <v>8.3564511189234594</v>
      </c>
    </row>
    <row r="164" spans="1:26" x14ac:dyDescent="0.25">
      <c r="A164">
        <v>5160</v>
      </c>
      <c r="B164">
        <v>23050</v>
      </c>
      <c r="C164" s="1">
        <v>42741</v>
      </c>
      <c r="E164">
        <v>32</v>
      </c>
      <c r="F164" s="29"/>
      <c r="G164">
        <v>-1.4</v>
      </c>
      <c r="H164">
        <v>-2.5</v>
      </c>
      <c r="I164">
        <v>0.9</v>
      </c>
      <c r="J164">
        <v>921.9</v>
      </c>
      <c r="K164">
        <v>122.4</v>
      </c>
      <c r="M164">
        <v>0</v>
      </c>
      <c r="N164">
        <v>0.5</v>
      </c>
      <c r="O164">
        <f t="shared" si="18"/>
        <v>-0.5</v>
      </c>
      <c r="Q164">
        <v>115</v>
      </c>
      <c r="R164">
        <v>1</v>
      </c>
      <c r="S164">
        <f t="shared" si="19"/>
        <v>0.5</v>
      </c>
      <c r="T164">
        <f t="shared" si="20"/>
        <v>-0.5</v>
      </c>
      <c r="U164" s="4">
        <f t="shared" si="14"/>
        <v>59.961194029850752</v>
      </c>
      <c r="W164">
        <v>673.3</v>
      </c>
      <c r="X164">
        <f t="shared" si="15"/>
        <v>62074.69999999999</v>
      </c>
      <c r="Y164">
        <f t="shared" si="16"/>
        <v>16088.300000000001</v>
      </c>
      <c r="Z164">
        <v>8.3773799031895955</v>
      </c>
    </row>
    <row r="165" spans="1:26" x14ac:dyDescent="0.25">
      <c r="A165">
        <v>5160</v>
      </c>
      <c r="B165">
        <v>23050</v>
      </c>
      <c r="C165" s="1">
        <v>42742</v>
      </c>
      <c r="E165">
        <v>33</v>
      </c>
      <c r="F165" s="29"/>
      <c r="G165">
        <v>-1.8</v>
      </c>
      <c r="H165">
        <v>-5</v>
      </c>
      <c r="I165">
        <v>1.4</v>
      </c>
      <c r="J165">
        <v>921.9</v>
      </c>
      <c r="K165">
        <v>122.4</v>
      </c>
      <c r="M165">
        <v>1.4</v>
      </c>
      <c r="N165">
        <v>0.4</v>
      </c>
      <c r="O165">
        <f t="shared" si="18"/>
        <v>0.99999999999999989</v>
      </c>
      <c r="Q165">
        <v>116</v>
      </c>
      <c r="R165">
        <v>1</v>
      </c>
      <c r="S165">
        <f t="shared" si="19"/>
        <v>0.4</v>
      </c>
      <c r="T165">
        <f t="shared" si="20"/>
        <v>0.99999999999999989</v>
      </c>
      <c r="U165" s="4">
        <f t="shared" si="14"/>
        <v>60.961194029850752</v>
      </c>
      <c r="W165">
        <v>180.6</v>
      </c>
      <c r="X165">
        <f t="shared" si="15"/>
        <v>62255.299999999988</v>
      </c>
      <c r="Y165">
        <f t="shared" si="16"/>
        <v>16268.900000000001</v>
      </c>
      <c r="Z165">
        <v>8.3995336896304202</v>
      </c>
    </row>
    <row r="166" spans="1:26" x14ac:dyDescent="0.25">
      <c r="A166">
        <v>5160</v>
      </c>
      <c r="B166">
        <v>23050</v>
      </c>
      <c r="C166" s="1">
        <v>42743</v>
      </c>
      <c r="E166">
        <v>34</v>
      </c>
      <c r="F166" s="29"/>
      <c r="G166">
        <v>3.8</v>
      </c>
      <c r="H166">
        <v>-0.2</v>
      </c>
      <c r="I166">
        <v>5.7</v>
      </c>
      <c r="J166">
        <f t="shared" si="12"/>
        <v>925.69999999999993</v>
      </c>
      <c r="K166">
        <f t="shared" si="13"/>
        <v>126.2</v>
      </c>
      <c r="M166">
        <v>0.9</v>
      </c>
      <c r="N166">
        <v>0.2</v>
      </c>
      <c r="O166">
        <f t="shared" si="18"/>
        <v>0.7</v>
      </c>
      <c r="Q166">
        <v>117</v>
      </c>
      <c r="R166">
        <v>1</v>
      </c>
      <c r="S166">
        <f t="shared" si="19"/>
        <v>0.2</v>
      </c>
      <c r="T166">
        <f t="shared" si="20"/>
        <v>0.7</v>
      </c>
      <c r="U166" s="4">
        <f t="shared" si="14"/>
        <v>61.661194029850755</v>
      </c>
      <c r="W166">
        <v>160.69999999999999</v>
      </c>
      <c r="X166">
        <f t="shared" si="15"/>
        <v>62415.999999999985</v>
      </c>
      <c r="Y166">
        <f t="shared" si="16"/>
        <v>16429.600000000002</v>
      </c>
      <c r="Z166">
        <v>8.4228945669527437</v>
      </c>
    </row>
    <row r="167" spans="1:26" x14ac:dyDescent="0.25">
      <c r="A167">
        <v>5160</v>
      </c>
      <c r="B167">
        <v>23050</v>
      </c>
      <c r="C167" s="1">
        <v>42744</v>
      </c>
      <c r="F167" s="29"/>
      <c r="G167">
        <v>6.3</v>
      </c>
      <c r="H167">
        <v>4.5</v>
      </c>
      <c r="I167">
        <v>7.7</v>
      </c>
      <c r="J167">
        <f t="shared" si="12"/>
        <v>931.99999999999989</v>
      </c>
      <c r="K167">
        <f t="shared" si="13"/>
        <v>132.5</v>
      </c>
      <c r="M167">
        <v>4.9000000000000004</v>
      </c>
      <c r="N167">
        <v>0.2</v>
      </c>
      <c r="O167">
        <f t="shared" si="18"/>
        <v>4.7</v>
      </c>
      <c r="Q167">
        <v>118</v>
      </c>
      <c r="R167">
        <v>1</v>
      </c>
      <c r="S167">
        <f t="shared" si="19"/>
        <v>0.2</v>
      </c>
      <c r="T167">
        <f t="shared" si="20"/>
        <v>4.7</v>
      </c>
      <c r="U167" s="4">
        <f t="shared" si="14"/>
        <v>66.361194029850751</v>
      </c>
      <c r="W167">
        <v>126.1</v>
      </c>
      <c r="X167">
        <f t="shared" si="15"/>
        <v>62542.099999999984</v>
      </c>
      <c r="Y167">
        <f t="shared" si="16"/>
        <v>16555.7</v>
      </c>
      <c r="Z167">
        <v>8.4474439038359179</v>
      </c>
    </row>
    <row r="168" spans="1:26" x14ac:dyDescent="0.25">
      <c r="A168">
        <v>5160</v>
      </c>
      <c r="B168">
        <v>23050</v>
      </c>
      <c r="C168" s="1">
        <v>42745</v>
      </c>
      <c r="F168" s="29"/>
      <c r="G168">
        <v>5.4</v>
      </c>
      <c r="H168">
        <v>4.8</v>
      </c>
      <c r="I168">
        <v>6.8</v>
      </c>
      <c r="J168">
        <f t="shared" si="12"/>
        <v>937.39999999999986</v>
      </c>
      <c r="K168">
        <f t="shared" si="13"/>
        <v>137.9</v>
      </c>
      <c r="M168">
        <v>0.2</v>
      </c>
      <c r="N168">
        <v>0.3</v>
      </c>
      <c r="O168">
        <f t="shared" si="18"/>
        <v>-9.9999999999999978E-2</v>
      </c>
      <c r="Q168">
        <v>119</v>
      </c>
      <c r="R168">
        <v>1</v>
      </c>
      <c r="S168">
        <f t="shared" si="19"/>
        <v>0.3</v>
      </c>
      <c r="T168">
        <f t="shared" si="20"/>
        <v>-9.9999999999999978E-2</v>
      </c>
      <c r="U168" s="4">
        <f t="shared" si="14"/>
        <v>66.261194029850756</v>
      </c>
      <c r="W168">
        <v>299.3</v>
      </c>
      <c r="X168">
        <f t="shared" si="15"/>
        <v>62841.399999999987</v>
      </c>
      <c r="Y168">
        <f t="shared" si="16"/>
        <v>16855</v>
      </c>
      <c r="Z168">
        <v>8.4731624003008452</v>
      </c>
    </row>
    <row r="169" spans="1:26" x14ac:dyDescent="0.25">
      <c r="A169">
        <v>5160</v>
      </c>
      <c r="B169">
        <v>23050</v>
      </c>
      <c r="C169" s="1">
        <v>42746</v>
      </c>
      <c r="F169" s="29"/>
      <c r="G169">
        <v>7</v>
      </c>
      <c r="H169">
        <v>1.6</v>
      </c>
      <c r="I169">
        <v>9.4</v>
      </c>
      <c r="J169">
        <f t="shared" si="12"/>
        <v>944.39999999999986</v>
      </c>
      <c r="K169">
        <f t="shared" si="13"/>
        <v>144.9</v>
      </c>
      <c r="M169">
        <v>0.2</v>
      </c>
      <c r="N169">
        <v>0</v>
      </c>
      <c r="O169">
        <f t="shared" si="18"/>
        <v>0.2</v>
      </c>
      <c r="Q169">
        <v>120</v>
      </c>
      <c r="R169">
        <v>1</v>
      </c>
      <c r="S169">
        <f t="shared" si="19"/>
        <v>0</v>
      </c>
      <c r="T169">
        <f t="shared" si="20"/>
        <v>0.2</v>
      </c>
      <c r="U169" s="4">
        <f t="shared" si="14"/>
        <v>66.461194029850759</v>
      </c>
      <c r="W169">
        <v>145</v>
      </c>
      <c r="X169">
        <f t="shared" si="15"/>
        <v>62986.399999999987</v>
      </c>
      <c r="Y169">
        <f t="shared" si="16"/>
        <v>17000</v>
      </c>
      <c r="Z169">
        <v>8.5000301396673894</v>
      </c>
    </row>
    <row r="170" spans="1:26" x14ac:dyDescent="0.25">
      <c r="A170">
        <v>5160</v>
      </c>
      <c r="B170">
        <v>23050</v>
      </c>
      <c r="C170" s="1">
        <v>42747</v>
      </c>
      <c r="F170" s="29"/>
      <c r="G170">
        <v>6.7</v>
      </c>
      <c r="H170">
        <v>5.5</v>
      </c>
      <c r="I170">
        <v>9.6</v>
      </c>
      <c r="J170">
        <f t="shared" si="12"/>
        <v>951.09999999999991</v>
      </c>
      <c r="K170">
        <f t="shared" si="13"/>
        <v>151.6</v>
      </c>
      <c r="M170">
        <v>7</v>
      </c>
      <c r="N170">
        <v>1</v>
      </c>
      <c r="O170">
        <f t="shared" si="18"/>
        <v>6</v>
      </c>
      <c r="Q170">
        <v>121</v>
      </c>
      <c r="R170">
        <v>1</v>
      </c>
      <c r="S170">
        <f t="shared" si="19"/>
        <v>1</v>
      </c>
      <c r="T170">
        <f t="shared" si="20"/>
        <v>6</v>
      </c>
      <c r="U170" s="4">
        <f t="shared" si="14"/>
        <v>72.461194029850759</v>
      </c>
      <c r="W170">
        <v>99.3</v>
      </c>
      <c r="X170">
        <f t="shared" si="15"/>
        <v>63085.69999999999</v>
      </c>
      <c r="Y170">
        <f t="shared" si="16"/>
        <v>17099.3</v>
      </c>
      <c r="Z170">
        <v>8.528026640834474</v>
      </c>
    </row>
    <row r="171" spans="1:26" x14ac:dyDescent="0.25">
      <c r="A171">
        <v>5160</v>
      </c>
      <c r="B171">
        <v>23050</v>
      </c>
      <c r="C171" s="1">
        <v>42748</v>
      </c>
      <c r="E171">
        <v>35</v>
      </c>
      <c r="F171" s="29"/>
      <c r="G171">
        <v>3.2</v>
      </c>
      <c r="H171">
        <v>1.4</v>
      </c>
      <c r="I171">
        <v>4.8</v>
      </c>
      <c r="J171">
        <f t="shared" si="12"/>
        <v>954.3</v>
      </c>
      <c r="K171">
        <f t="shared" si="13"/>
        <v>154.79999999999998</v>
      </c>
      <c r="M171">
        <v>0.9</v>
      </c>
      <c r="N171">
        <v>0.8</v>
      </c>
      <c r="O171">
        <f t="shared" si="18"/>
        <v>9.9999999999999978E-2</v>
      </c>
      <c r="Q171">
        <v>122</v>
      </c>
      <c r="R171">
        <v>1</v>
      </c>
      <c r="S171">
        <f t="shared" si="19"/>
        <v>0.8</v>
      </c>
      <c r="T171">
        <f t="shared" si="20"/>
        <v>9.9999999999999978E-2</v>
      </c>
      <c r="U171" s="4">
        <f t="shared" si="14"/>
        <v>72.561194029850753</v>
      </c>
      <c r="W171">
        <v>524.1</v>
      </c>
      <c r="X171">
        <f t="shared" si="15"/>
        <v>63609.799999999988</v>
      </c>
      <c r="Y171">
        <f t="shared" si="16"/>
        <v>17623.399999999998</v>
      </c>
      <c r="Z171">
        <v>8.5571309106265154</v>
      </c>
    </row>
    <row r="172" spans="1:26" x14ac:dyDescent="0.25">
      <c r="A172">
        <v>5160</v>
      </c>
      <c r="B172">
        <v>23050</v>
      </c>
      <c r="C172" s="1">
        <v>42749</v>
      </c>
      <c r="E172">
        <v>36</v>
      </c>
      <c r="F172" s="29"/>
      <c r="G172">
        <v>2.2999999999999998</v>
      </c>
      <c r="H172">
        <v>-0.1</v>
      </c>
      <c r="I172">
        <v>4.3</v>
      </c>
      <c r="J172">
        <f t="shared" si="12"/>
        <v>956.59999999999991</v>
      </c>
      <c r="K172">
        <f t="shared" si="13"/>
        <v>157.1</v>
      </c>
      <c r="M172">
        <v>1</v>
      </c>
      <c r="N172">
        <v>0.5</v>
      </c>
      <c r="O172">
        <f t="shared" si="18"/>
        <v>0.5</v>
      </c>
      <c r="Q172">
        <v>123</v>
      </c>
      <c r="R172">
        <v>1</v>
      </c>
      <c r="S172">
        <f t="shared" si="19"/>
        <v>0.5</v>
      </c>
      <c r="T172">
        <f t="shared" si="20"/>
        <v>0.5</v>
      </c>
      <c r="U172" s="4">
        <f t="shared" si="14"/>
        <v>73.061194029850753</v>
      </c>
      <c r="W172">
        <v>541.1</v>
      </c>
      <c r="X172">
        <f t="shared" si="15"/>
        <v>64150.899999999987</v>
      </c>
      <c r="Y172">
        <f t="shared" si="16"/>
        <v>18164.499999999996</v>
      </c>
      <c r="Z172">
        <v>8.5873214959609996</v>
      </c>
    </row>
    <row r="173" spans="1:26" x14ac:dyDescent="0.25">
      <c r="A173">
        <v>5160</v>
      </c>
      <c r="B173">
        <v>23050</v>
      </c>
      <c r="C173" s="1">
        <v>42750</v>
      </c>
      <c r="E173">
        <v>37</v>
      </c>
      <c r="F173" s="29"/>
      <c r="G173">
        <v>3.1</v>
      </c>
      <c r="H173">
        <v>0.5</v>
      </c>
      <c r="I173">
        <v>5.6</v>
      </c>
      <c r="J173">
        <f t="shared" si="12"/>
        <v>959.69999999999993</v>
      </c>
      <c r="K173">
        <f t="shared" si="13"/>
        <v>160.19999999999999</v>
      </c>
      <c r="M173">
        <v>4.5999999999999996</v>
      </c>
      <c r="N173">
        <v>0.3</v>
      </c>
      <c r="O173">
        <f t="shared" si="18"/>
        <v>4.3</v>
      </c>
      <c r="Q173">
        <v>124</v>
      </c>
      <c r="R173">
        <v>1</v>
      </c>
      <c r="S173">
        <f t="shared" si="19"/>
        <v>0.3</v>
      </c>
      <c r="T173">
        <f t="shared" si="20"/>
        <v>4.3</v>
      </c>
      <c r="U173" s="4">
        <f t="shared" si="14"/>
        <v>77.361194029850751</v>
      </c>
      <c r="W173">
        <v>146.30000000000001</v>
      </c>
      <c r="X173">
        <f t="shared" si="15"/>
        <v>64297.19999999999</v>
      </c>
      <c r="Y173">
        <f t="shared" si="16"/>
        <v>18310.799999999996</v>
      </c>
      <c r="Z173">
        <v>8.6185765356045145</v>
      </c>
    </row>
    <row r="174" spans="1:26" x14ac:dyDescent="0.25">
      <c r="A174">
        <v>5160</v>
      </c>
      <c r="B174">
        <v>23050</v>
      </c>
      <c r="C174" s="1">
        <v>42751</v>
      </c>
      <c r="E174">
        <v>38</v>
      </c>
      <c r="F174" s="29"/>
      <c r="G174">
        <v>2</v>
      </c>
      <c r="H174">
        <v>1.3</v>
      </c>
      <c r="I174">
        <v>2.8</v>
      </c>
      <c r="J174">
        <f t="shared" si="12"/>
        <v>961.69999999999993</v>
      </c>
      <c r="K174">
        <f t="shared" si="13"/>
        <v>162.19999999999999</v>
      </c>
      <c r="M174">
        <v>0.1</v>
      </c>
      <c r="N174">
        <v>0.2</v>
      </c>
      <c r="O174">
        <f t="shared" si="18"/>
        <v>-0.1</v>
      </c>
      <c r="Q174">
        <v>125</v>
      </c>
      <c r="R174">
        <v>1</v>
      </c>
      <c r="S174">
        <f t="shared" si="19"/>
        <v>0.2</v>
      </c>
      <c r="T174">
        <f t="shared" si="20"/>
        <v>-0.1</v>
      </c>
      <c r="U174" s="4">
        <f t="shared" si="14"/>
        <v>77.261194029850756</v>
      </c>
      <c r="W174">
        <v>181.9</v>
      </c>
      <c r="X174">
        <f t="shared" si="15"/>
        <v>64479.099999999991</v>
      </c>
      <c r="Y174">
        <f t="shared" si="16"/>
        <v>18492.699999999997</v>
      </c>
      <c r="Z174">
        <v>8.6508738112985615</v>
      </c>
    </row>
    <row r="175" spans="1:26" x14ac:dyDescent="0.25">
      <c r="A175">
        <v>5160</v>
      </c>
      <c r="B175">
        <v>23050</v>
      </c>
      <c r="C175" s="1">
        <v>42752</v>
      </c>
      <c r="E175">
        <v>39</v>
      </c>
      <c r="F175" s="29"/>
      <c r="G175">
        <v>-1.4</v>
      </c>
      <c r="H175">
        <v>-2.1</v>
      </c>
      <c r="I175">
        <v>0.4</v>
      </c>
      <c r="J175">
        <v>961.7</v>
      </c>
      <c r="K175">
        <v>162.19999999999999</v>
      </c>
      <c r="M175">
        <v>0</v>
      </c>
      <c r="N175">
        <v>0.6</v>
      </c>
      <c r="O175">
        <f t="shared" si="18"/>
        <v>-0.6</v>
      </c>
      <c r="Q175">
        <v>126</v>
      </c>
      <c r="R175">
        <v>1</v>
      </c>
      <c r="S175">
        <f t="shared" si="19"/>
        <v>0.6</v>
      </c>
      <c r="T175">
        <f t="shared" si="20"/>
        <v>-0.6</v>
      </c>
      <c r="U175" s="4">
        <f t="shared" si="14"/>
        <v>76.661194029850762</v>
      </c>
      <c r="W175">
        <v>795.6</v>
      </c>
      <c r="X175">
        <f t="shared" si="15"/>
        <v>65274.69999999999</v>
      </c>
      <c r="Y175">
        <f t="shared" si="16"/>
        <v>19288.299999999996</v>
      </c>
      <c r="Z175">
        <v>8.6841907980511728</v>
      </c>
    </row>
    <row r="176" spans="1:26" x14ac:dyDescent="0.25">
      <c r="A176">
        <v>5160</v>
      </c>
      <c r="B176">
        <v>23050</v>
      </c>
      <c r="C176" s="1">
        <v>42753</v>
      </c>
      <c r="E176">
        <v>40</v>
      </c>
      <c r="F176" s="29"/>
      <c r="G176">
        <v>-2.6</v>
      </c>
      <c r="H176">
        <v>-4</v>
      </c>
      <c r="I176">
        <v>-1.3</v>
      </c>
      <c r="J176">
        <v>961.7</v>
      </c>
      <c r="K176">
        <v>162.19999999999999</v>
      </c>
      <c r="M176">
        <v>0</v>
      </c>
      <c r="N176">
        <v>0.7</v>
      </c>
      <c r="O176">
        <f t="shared" si="18"/>
        <v>-0.7</v>
      </c>
      <c r="Q176">
        <v>127</v>
      </c>
      <c r="R176">
        <v>1</v>
      </c>
      <c r="S176">
        <f t="shared" si="19"/>
        <v>0.7</v>
      </c>
      <c r="T176">
        <f t="shared" si="20"/>
        <v>-0.7</v>
      </c>
      <c r="U176" s="4">
        <f t="shared" si="14"/>
        <v>75.961194029850759</v>
      </c>
      <c r="W176">
        <v>664.1</v>
      </c>
      <c r="X176">
        <f t="shared" si="15"/>
        <v>65938.799999999988</v>
      </c>
      <c r="Y176">
        <f t="shared" si="16"/>
        <v>19952.399999999994</v>
      </c>
      <c r="Z176">
        <v>8.7185047134061637</v>
      </c>
    </row>
    <row r="177" spans="1:27" x14ac:dyDescent="0.25">
      <c r="A177">
        <v>5160</v>
      </c>
      <c r="B177">
        <v>23050</v>
      </c>
      <c r="C177" s="1">
        <v>42754</v>
      </c>
      <c r="E177">
        <v>41</v>
      </c>
      <c r="F177" s="29"/>
      <c r="G177">
        <v>-3.5</v>
      </c>
      <c r="H177">
        <v>-5.2</v>
      </c>
      <c r="I177">
        <v>-1.9</v>
      </c>
      <c r="J177">
        <v>961.7</v>
      </c>
      <c r="K177">
        <v>162.19999999999999</v>
      </c>
      <c r="M177">
        <v>0</v>
      </c>
      <c r="N177">
        <v>0.6</v>
      </c>
      <c r="O177">
        <f t="shared" si="18"/>
        <v>-0.6</v>
      </c>
      <c r="Q177">
        <v>128</v>
      </c>
      <c r="R177">
        <v>1</v>
      </c>
      <c r="S177">
        <f t="shared" si="19"/>
        <v>0.6</v>
      </c>
      <c r="T177">
        <f t="shared" si="20"/>
        <v>-0.6</v>
      </c>
      <c r="U177" s="4">
        <f t="shared" si="14"/>
        <v>75.361194029850765</v>
      </c>
      <c r="W177">
        <v>873.2</v>
      </c>
      <c r="X177">
        <f t="shared" si="15"/>
        <v>66811.999999999985</v>
      </c>
      <c r="Y177">
        <f t="shared" si="16"/>
        <v>20825.599999999995</v>
      </c>
      <c r="Z177">
        <v>8.7537925655179354</v>
      </c>
    </row>
    <row r="178" spans="1:27" x14ac:dyDescent="0.25">
      <c r="A178">
        <v>5160</v>
      </c>
      <c r="B178">
        <v>23050</v>
      </c>
      <c r="C178" s="1">
        <v>42755</v>
      </c>
      <c r="E178">
        <v>42</v>
      </c>
      <c r="F178" s="29"/>
      <c r="G178">
        <v>-4</v>
      </c>
      <c r="H178">
        <v>-6.3</v>
      </c>
      <c r="I178">
        <v>-1.2</v>
      </c>
      <c r="J178">
        <v>961.7</v>
      </c>
      <c r="K178">
        <v>162.19999999999999</v>
      </c>
      <c r="M178">
        <v>0</v>
      </c>
      <c r="N178">
        <v>0.5</v>
      </c>
      <c r="O178">
        <f t="shared" si="18"/>
        <v>-0.5</v>
      </c>
      <c r="Q178">
        <v>129</v>
      </c>
      <c r="R178">
        <v>1</v>
      </c>
      <c r="S178">
        <f t="shared" si="19"/>
        <v>0.5</v>
      </c>
      <c r="T178">
        <f t="shared" si="20"/>
        <v>-0.5</v>
      </c>
      <c r="U178" s="4">
        <f t="shared" si="14"/>
        <v>74.861194029850765</v>
      </c>
      <c r="W178">
        <v>870.6</v>
      </c>
      <c r="X178">
        <f t="shared" si="15"/>
        <v>67682.599999999991</v>
      </c>
      <c r="Y178">
        <f t="shared" si="16"/>
        <v>21696.199999999993</v>
      </c>
      <c r="Z178">
        <v>8.7900311998764007</v>
      </c>
    </row>
    <row r="179" spans="1:27" x14ac:dyDescent="0.25">
      <c r="A179">
        <v>5160</v>
      </c>
      <c r="B179">
        <v>23050</v>
      </c>
      <c r="C179" s="1">
        <v>42756</v>
      </c>
      <c r="E179">
        <v>43</v>
      </c>
      <c r="F179" s="29"/>
      <c r="G179">
        <v>-2.6</v>
      </c>
      <c r="H179">
        <v>-7.8</v>
      </c>
      <c r="I179">
        <v>1</v>
      </c>
      <c r="J179">
        <v>961.7</v>
      </c>
      <c r="K179">
        <v>162.19999999999999</v>
      </c>
      <c r="M179">
        <v>0</v>
      </c>
      <c r="N179">
        <v>0.5</v>
      </c>
      <c r="O179">
        <f t="shared" si="18"/>
        <v>-0.5</v>
      </c>
      <c r="Q179">
        <v>130</v>
      </c>
      <c r="R179">
        <v>1</v>
      </c>
      <c r="S179">
        <f t="shared" si="19"/>
        <v>0.5</v>
      </c>
      <c r="T179">
        <f t="shared" si="20"/>
        <v>-0.5</v>
      </c>
      <c r="U179" s="4">
        <f t="shared" si="14"/>
        <v>74.361194029850765</v>
      </c>
      <c r="W179">
        <v>840.4</v>
      </c>
      <c r="X179">
        <f t="shared" si="15"/>
        <v>68522.999999999985</v>
      </c>
      <c r="Y179">
        <f t="shared" si="16"/>
        <v>22536.599999999995</v>
      </c>
      <c r="Z179">
        <v>8.8271973445432277</v>
      </c>
    </row>
    <row r="180" spans="1:27" x14ac:dyDescent="0.25">
      <c r="A180">
        <v>5160</v>
      </c>
      <c r="B180">
        <v>23050</v>
      </c>
      <c r="C180" s="1">
        <v>42757</v>
      </c>
      <c r="E180">
        <v>44</v>
      </c>
      <c r="F180" s="29"/>
      <c r="G180">
        <v>-0.7</v>
      </c>
      <c r="H180">
        <v>-5.0999999999999996</v>
      </c>
      <c r="I180">
        <v>2.8</v>
      </c>
      <c r="J180">
        <v>961.7</v>
      </c>
      <c r="K180">
        <v>162.19999999999999</v>
      </c>
      <c r="M180">
        <v>0</v>
      </c>
      <c r="N180">
        <v>0.6</v>
      </c>
      <c r="O180">
        <f t="shared" si="18"/>
        <v>-0.6</v>
      </c>
      <c r="Q180">
        <v>131</v>
      </c>
      <c r="R180">
        <v>1</v>
      </c>
      <c r="S180">
        <f t="shared" si="19"/>
        <v>0.6</v>
      </c>
      <c r="T180">
        <f t="shared" si="20"/>
        <v>-0.6</v>
      </c>
      <c r="U180" s="4">
        <f t="shared" ref="U180:U243" si="21">MIN(U179+T180,138.9)</f>
        <v>73.76119402985077</v>
      </c>
      <c r="W180">
        <v>737.1</v>
      </c>
      <c r="X180">
        <f t="shared" ref="X180:X243" si="22">X179+W180</f>
        <v>69260.099999999991</v>
      </c>
      <c r="Y180">
        <f t="shared" ref="Y180:Y242" si="23">Y179+W180</f>
        <v>23273.699999999993</v>
      </c>
      <c r="Z180">
        <v>8.8652676537772379</v>
      </c>
    </row>
    <row r="181" spans="1:27" x14ac:dyDescent="0.25">
      <c r="A181">
        <v>5160</v>
      </c>
      <c r="B181">
        <v>23050</v>
      </c>
      <c r="C181" s="1">
        <v>42758</v>
      </c>
      <c r="E181">
        <v>45</v>
      </c>
      <c r="F181" s="29"/>
      <c r="G181">
        <v>-0.6</v>
      </c>
      <c r="H181">
        <v>-3.3</v>
      </c>
      <c r="I181">
        <v>3.2</v>
      </c>
      <c r="J181">
        <v>961.7</v>
      </c>
      <c r="K181">
        <v>162.19999999999999</v>
      </c>
      <c r="M181">
        <v>0</v>
      </c>
      <c r="N181">
        <v>0.9</v>
      </c>
      <c r="O181">
        <f t="shared" si="18"/>
        <v>-0.9</v>
      </c>
      <c r="Q181">
        <v>132</v>
      </c>
      <c r="R181">
        <v>1</v>
      </c>
      <c r="S181">
        <f t="shared" si="19"/>
        <v>0.9</v>
      </c>
      <c r="T181">
        <f t="shared" si="20"/>
        <v>-0.9</v>
      </c>
      <c r="U181" s="4">
        <f t="shared" si="21"/>
        <v>72.861194029850765</v>
      </c>
      <c r="W181">
        <v>806.7</v>
      </c>
      <c r="X181">
        <f t="shared" si="22"/>
        <v>70066.799999999988</v>
      </c>
      <c r="Y181">
        <f t="shared" si="23"/>
        <v>24080.399999999994</v>
      </c>
      <c r="Z181">
        <v>8.9042187499433094</v>
      </c>
    </row>
    <row r="182" spans="1:27" x14ac:dyDescent="0.25">
      <c r="A182">
        <v>5160</v>
      </c>
      <c r="B182">
        <v>23050</v>
      </c>
      <c r="C182" s="1">
        <v>42759</v>
      </c>
      <c r="E182">
        <v>46</v>
      </c>
      <c r="F182" s="29"/>
      <c r="G182">
        <v>-1.9</v>
      </c>
      <c r="H182">
        <v>-5.0999999999999996</v>
      </c>
      <c r="I182">
        <v>0.2</v>
      </c>
      <c r="J182">
        <v>961.7</v>
      </c>
      <c r="K182">
        <v>162.19999999999999</v>
      </c>
      <c r="M182">
        <v>0</v>
      </c>
      <c r="N182">
        <v>0.4</v>
      </c>
      <c r="O182">
        <f t="shared" si="18"/>
        <v>-0.4</v>
      </c>
      <c r="Q182">
        <v>133</v>
      </c>
      <c r="R182">
        <v>1</v>
      </c>
      <c r="S182">
        <f t="shared" si="19"/>
        <v>0.4</v>
      </c>
      <c r="T182">
        <f t="shared" si="20"/>
        <v>-0.4</v>
      </c>
      <c r="U182" s="4">
        <f t="shared" si="21"/>
        <v>72.461194029850759</v>
      </c>
      <c r="W182">
        <v>498.4</v>
      </c>
      <c r="X182">
        <f t="shared" si="22"/>
        <v>70565.199999999983</v>
      </c>
      <c r="Y182">
        <f t="shared" si="23"/>
        <v>24578.799999999996</v>
      </c>
      <c r="Z182">
        <v>8.9440272636150713</v>
      </c>
    </row>
    <row r="183" spans="1:27" x14ac:dyDescent="0.25">
      <c r="A183">
        <v>5160</v>
      </c>
      <c r="B183">
        <v>23050</v>
      </c>
      <c r="C183" s="1">
        <v>42760</v>
      </c>
      <c r="E183">
        <v>47</v>
      </c>
      <c r="F183" s="29"/>
      <c r="G183">
        <v>-1.8</v>
      </c>
      <c r="H183">
        <v>-2.5</v>
      </c>
      <c r="I183">
        <v>-0.7</v>
      </c>
      <c r="J183">
        <v>961.7</v>
      </c>
      <c r="K183">
        <v>162.19999999999999</v>
      </c>
      <c r="M183">
        <v>0</v>
      </c>
      <c r="N183">
        <v>0.4</v>
      </c>
      <c r="O183">
        <f t="shared" si="18"/>
        <v>-0.4</v>
      </c>
      <c r="Q183">
        <v>134</v>
      </c>
      <c r="R183">
        <v>1</v>
      </c>
      <c r="S183">
        <f t="shared" si="19"/>
        <v>0.4</v>
      </c>
      <c r="T183">
        <f t="shared" si="20"/>
        <v>-0.4</v>
      </c>
      <c r="U183" s="4">
        <f t="shared" si="21"/>
        <v>72.061194029850753</v>
      </c>
      <c r="W183">
        <v>141.5</v>
      </c>
      <c r="X183">
        <f t="shared" si="22"/>
        <v>70706.699999999983</v>
      </c>
      <c r="Y183">
        <f t="shared" si="23"/>
        <v>24720.299999999996</v>
      </c>
      <c r="Z183">
        <v>8.9846698717973421</v>
      </c>
    </row>
    <row r="184" spans="1:27" s="6" customFormat="1" ht="15.75" thickBot="1" x14ac:dyDescent="0.3">
      <c r="A184" s="6">
        <v>5160</v>
      </c>
      <c r="B184" s="6">
        <v>23050</v>
      </c>
      <c r="C184" s="7">
        <v>42761</v>
      </c>
      <c r="E184" s="6" t="s">
        <v>52</v>
      </c>
      <c r="F184" s="30"/>
      <c r="G184" s="6">
        <v>-1.1000000000000001</v>
      </c>
      <c r="H184" s="6">
        <v>-6.2</v>
      </c>
      <c r="I184" s="6">
        <v>2.4</v>
      </c>
      <c r="J184" s="6">
        <v>961.7</v>
      </c>
      <c r="K184" s="6">
        <v>162.19999999999999</v>
      </c>
      <c r="M184" s="6">
        <v>0</v>
      </c>
      <c r="N184" s="6">
        <v>0.7</v>
      </c>
      <c r="O184" s="6">
        <f t="shared" si="18"/>
        <v>-0.7</v>
      </c>
      <c r="Q184" s="6">
        <v>135</v>
      </c>
      <c r="R184" s="6">
        <v>1</v>
      </c>
      <c r="S184" s="6">
        <f t="shared" si="19"/>
        <v>0.7</v>
      </c>
      <c r="T184" s="6">
        <f t="shared" si="20"/>
        <v>-0.7</v>
      </c>
      <c r="U184" s="8">
        <f t="shared" si="21"/>
        <v>71.361194029850751</v>
      </c>
      <c r="W184" s="6">
        <v>929.6</v>
      </c>
      <c r="X184" s="6">
        <f t="shared" si="22"/>
        <v>71636.299999999988</v>
      </c>
      <c r="Y184" s="6">
        <f t="shared" si="23"/>
        <v>25649.899999999994</v>
      </c>
      <c r="Z184" s="6">
        <v>9.0261233342091796</v>
      </c>
    </row>
    <row r="185" spans="1:27" x14ac:dyDescent="0.25">
      <c r="A185">
        <v>5160</v>
      </c>
      <c r="B185">
        <v>23050</v>
      </c>
      <c r="C185" s="1">
        <v>42762</v>
      </c>
      <c r="F185" s="31" t="s">
        <v>55</v>
      </c>
      <c r="G185">
        <v>5.2</v>
      </c>
      <c r="H185">
        <v>-0.7</v>
      </c>
      <c r="I185">
        <v>8</v>
      </c>
      <c r="J185">
        <f t="shared" ref="J185:J243" si="24">J184+G185</f>
        <v>966.90000000000009</v>
      </c>
      <c r="K185">
        <f>G185</f>
        <v>5.2</v>
      </c>
      <c r="L185" s="15" t="s">
        <v>35</v>
      </c>
      <c r="M185">
        <v>0</v>
      </c>
      <c r="N185">
        <v>0.7</v>
      </c>
      <c r="O185">
        <f t="shared" si="18"/>
        <v>-0.7</v>
      </c>
      <c r="Q185">
        <v>136</v>
      </c>
      <c r="R185">
        <f>1+((Q185-135)/58)*(1.15-1)</f>
        <v>1.0025862068965516</v>
      </c>
      <c r="S185">
        <f t="shared" si="19"/>
        <v>0.70181034482758609</v>
      </c>
      <c r="T185">
        <f t="shared" si="20"/>
        <v>-0.70181034482758609</v>
      </c>
      <c r="U185" s="4">
        <f t="shared" si="21"/>
        <v>70.659383685023158</v>
      </c>
      <c r="V185" s="16" t="s">
        <v>42</v>
      </c>
      <c r="W185">
        <v>420.2</v>
      </c>
      <c r="X185">
        <f t="shared" si="22"/>
        <v>72056.499999999985</v>
      </c>
      <c r="Y185">
        <f>W185</f>
        <v>420.2</v>
      </c>
      <c r="Z185">
        <v>9.0683645275826255</v>
      </c>
      <c r="AA185" s="16" t="s">
        <v>47</v>
      </c>
    </row>
    <row r="186" spans="1:27" x14ac:dyDescent="0.25">
      <c r="A186">
        <v>5160</v>
      </c>
      <c r="B186">
        <v>23050</v>
      </c>
      <c r="C186" s="1">
        <v>42763</v>
      </c>
      <c r="F186" s="32"/>
      <c r="G186">
        <v>6.1</v>
      </c>
      <c r="H186">
        <v>4.5</v>
      </c>
      <c r="I186">
        <v>8.1999999999999993</v>
      </c>
      <c r="J186">
        <f t="shared" si="24"/>
        <v>973.00000000000011</v>
      </c>
      <c r="K186">
        <f t="shared" ref="K186:K242" si="25">K185+G186</f>
        <v>11.3</v>
      </c>
      <c r="L186" s="10">
        <v>445.7</v>
      </c>
      <c r="M186">
        <v>0.2</v>
      </c>
      <c r="N186">
        <v>0.9</v>
      </c>
      <c r="O186">
        <f t="shared" si="18"/>
        <v>-0.7</v>
      </c>
      <c r="Q186">
        <v>137</v>
      </c>
      <c r="R186">
        <f t="shared" ref="R186:R242" si="26">1+((Q186-135)/58)*(1.15-1)</f>
        <v>1.0051724137931035</v>
      </c>
      <c r="S186">
        <f t="shared" si="19"/>
        <v>0.90465517241379323</v>
      </c>
      <c r="T186">
        <f t="shared" si="20"/>
        <v>-0.70465517241379327</v>
      </c>
      <c r="U186" s="4">
        <f t="shared" si="21"/>
        <v>69.954728512609364</v>
      </c>
      <c r="V186">
        <v>0</v>
      </c>
      <c r="W186">
        <v>458.6</v>
      </c>
      <c r="X186">
        <f t="shared" si="22"/>
        <v>72515.099999999991</v>
      </c>
      <c r="Y186">
        <f t="shared" si="23"/>
        <v>878.8</v>
      </c>
      <c r="Z186">
        <v>9.1113704779457674</v>
      </c>
      <c r="AA186">
        <v>31075</v>
      </c>
    </row>
    <row r="187" spans="1:27" x14ac:dyDescent="0.25">
      <c r="A187">
        <v>5160</v>
      </c>
      <c r="B187">
        <v>23050</v>
      </c>
      <c r="C187" s="1">
        <v>42764</v>
      </c>
      <c r="F187" s="32"/>
      <c r="G187">
        <v>6.6</v>
      </c>
      <c r="H187">
        <v>4</v>
      </c>
      <c r="I187">
        <v>8.5</v>
      </c>
      <c r="J187">
        <f t="shared" si="24"/>
        <v>979.60000000000014</v>
      </c>
      <c r="K187">
        <f t="shared" si="25"/>
        <v>17.899999999999999</v>
      </c>
      <c r="L187" s="15" t="s">
        <v>36</v>
      </c>
      <c r="M187">
        <v>0</v>
      </c>
      <c r="N187">
        <v>0.5</v>
      </c>
      <c r="O187">
        <f t="shared" si="18"/>
        <v>-0.5</v>
      </c>
      <c r="Q187">
        <v>138</v>
      </c>
      <c r="R187">
        <f t="shared" si="26"/>
        <v>1.0077586206896552</v>
      </c>
      <c r="S187">
        <f t="shared" si="19"/>
        <v>0.50387931034482758</v>
      </c>
      <c r="T187">
        <f t="shared" si="20"/>
        <v>-0.50387931034482758</v>
      </c>
      <c r="U187" s="4">
        <f t="shared" si="21"/>
        <v>69.450849202264536</v>
      </c>
      <c r="V187" s="16" t="s">
        <v>43</v>
      </c>
      <c r="W187">
        <v>140.4</v>
      </c>
      <c r="X187">
        <f t="shared" si="22"/>
        <v>72655.499999999985</v>
      </c>
      <c r="Y187">
        <f t="shared" si="23"/>
        <v>1019.1999999999999</v>
      </c>
      <c r="Z187">
        <v>9.1551183908712428</v>
      </c>
      <c r="AA187" s="16" t="s">
        <v>48</v>
      </c>
    </row>
    <row r="188" spans="1:27" x14ac:dyDescent="0.25">
      <c r="A188">
        <v>5160</v>
      </c>
      <c r="B188">
        <v>23050</v>
      </c>
      <c r="C188" s="1">
        <v>42765</v>
      </c>
      <c r="F188" s="32"/>
      <c r="G188">
        <v>9.6</v>
      </c>
      <c r="H188">
        <v>7.9</v>
      </c>
      <c r="I188">
        <v>10.7</v>
      </c>
      <c r="J188">
        <f t="shared" si="24"/>
        <v>989.20000000000016</v>
      </c>
      <c r="K188">
        <f t="shared" si="25"/>
        <v>27.5</v>
      </c>
      <c r="L188" s="10">
        <f>AVERAGE(G185:G242)</f>
        <v>7.6655172413793089</v>
      </c>
      <c r="M188">
        <v>3.3</v>
      </c>
      <c r="N188">
        <v>0.3</v>
      </c>
      <c r="O188">
        <f t="shared" si="18"/>
        <v>3</v>
      </c>
      <c r="Q188">
        <v>139</v>
      </c>
      <c r="R188">
        <f t="shared" si="26"/>
        <v>1.0103448275862068</v>
      </c>
      <c r="S188">
        <f t="shared" si="19"/>
        <v>0.30310344827586205</v>
      </c>
      <c r="T188">
        <f t="shared" si="20"/>
        <v>2.9968965517241379</v>
      </c>
      <c r="U188" s="4">
        <f t="shared" si="21"/>
        <v>72.44774575398867</v>
      </c>
      <c r="V188">
        <v>0</v>
      </c>
      <c r="W188">
        <v>128.1</v>
      </c>
      <c r="X188">
        <f t="shared" si="22"/>
        <v>72783.599999999991</v>
      </c>
      <c r="Y188">
        <f t="shared" si="23"/>
        <v>1147.3</v>
      </c>
      <c r="Z188">
        <v>9.1995856796831657</v>
      </c>
      <c r="AA188">
        <f>(AA186/100)/L186</f>
        <v>0.69721785954678039</v>
      </c>
    </row>
    <row r="189" spans="1:27" x14ac:dyDescent="0.25">
      <c r="A189">
        <v>5160</v>
      </c>
      <c r="B189">
        <v>23050</v>
      </c>
      <c r="C189" s="1">
        <v>42766</v>
      </c>
      <c r="F189" s="32"/>
      <c r="G189">
        <v>10.4</v>
      </c>
      <c r="H189">
        <v>9.9</v>
      </c>
      <c r="I189">
        <v>11.6</v>
      </c>
      <c r="J189">
        <f t="shared" si="24"/>
        <v>999.60000000000014</v>
      </c>
      <c r="K189">
        <f t="shared" si="25"/>
        <v>37.9</v>
      </c>
      <c r="L189" s="15" t="s">
        <v>37</v>
      </c>
      <c r="M189">
        <v>0.2</v>
      </c>
      <c r="N189">
        <v>0.4</v>
      </c>
      <c r="O189">
        <f t="shared" si="18"/>
        <v>-0.2</v>
      </c>
      <c r="Q189">
        <v>140</v>
      </c>
      <c r="R189">
        <f t="shared" si="26"/>
        <v>1.0129310344827587</v>
      </c>
      <c r="S189">
        <f t="shared" si="19"/>
        <v>0.40517241379310348</v>
      </c>
      <c r="T189">
        <f t="shared" si="20"/>
        <v>-0.20517241379310347</v>
      </c>
      <c r="U189" s="4">
        <f t="shared" si="21"/>
        <v>72.242573340195563</v>
      </c>
      <c r="V189" s="16" t="s">
        <v>44</v>
      </c>
      <c r="W189">
        <v>230.5</v>
      </c>
      <c r="X189">
        <f t="shared" si="22"/>
        <v>73014.099999999991</v>
      </c>
      <c r="Y189">
        <f t="shared" si="23"/>
        <v>1377.8</v>
      </c>
      <c r="Z189">
        <v>9.2447499916261666</v>
      </c>
      <c r="AA189" s="16" t="s">
        <v>49</v>
      </c>
    </row>
    <row r="190" spans="1:27" x14ac:dyDescent="0.25">
      <c r="A190">
        <v>5160</v>
      </c>
      <c r="B190">
        <v>23050</v>
      </c>
      <c r="C190" s="1">
        <v>42767</v>
      </c>
      <c r="F190" s="32"/>
      <c r="G190">
        <v>8.5</v>
      </c>
      <c r="H190">
        <v>5.5</v>
      </c>
      <c r="I190">
        <v>10.7</v>
      </c>
      <c r="J190">
        <f t="shared" si="24"/>
        <v>1008.1000000000001</v>
      </c>
      <c r="K190">
        <f t="shared" si="25"/>
        <v>46.4</v>
      </c>
      <c r="L190" s="11">
        <f>MIN(H185:H242)</f>
        <v>-4.0999999999999996</v>
      </c>
      <c r="M190">
        <v>0</v>
      </c>
      <c r="N190">
        <v>0.2</v>
      </c>
      <c r="O190">
        <f t="shared" si="18"/>
        <v>-0.2</v>
      </c>
      <c r="Q190">
        <v>141</v>
      </c>
      <c r="R190">
        <f t="shared" si="26"/>
        <v>1.0155172413793103</v>
      </c>
      <c r="S190">
        <f t="shared" si="19"/>
        <v>0.20310344827586208</v>
      </c>
      <c r="T190">
        <f t="shared" si="20"/>
        <v>-0.20310344827586208</v>
      </c>
      <c r="U190" s="4">
        <f t="shared" si="21"/>
        <v>72.039469891919694</v>
      </c>
      <c r="V190" s="4">
        <f>MIN(U185:U242)</f>
        <v>69.450849202264536</v>
      </c>
      <c r="W190">
        <v>200.2</v>
      </c>
      <c r="X190">
        <f t="shared" si="22"/>
        <v>73214.299999999988</v>
      </c>
      <c r="Y190">
        <f t="shared" si="23"/>
        <v>1578</v>
      </c>
      <c r="Z190">
        <v>9.2905892320102055</v>
      </c>
      <c r="AA190">
        <v>49</v>
      </c>
    </row>
    <row r="191" spans="1:27" x14ac:dyDescent="0.25">
      <c r="A191">
        <v>5160</v>
      </c>
      <c r="B191">
        <v>23050</v>
      </c>
      <c r="C191" s="1">
        <v>42768</v>
      </c>
      <c r="F191" s="32"/>
      <c r="G191">
        <v>9.6999999999999993</v>
      </c>
      <c r="H191">
        <v>7.8</v>
      </c>
      <c r="I191">
        <v>11.1</v>
      </c>
      <c r="J191">
        <f t="shared" si="24"/>
        <v>1017.8000000000002</v>
      </c>
      <c r="K191">
        <f t="shared" si="25"/>
        <v>56.099999999999994</v>
      </c>
      <c r="L191" s="15" t="s">
        <v>38</v>
      </c>
      <c r="M191">
        <v>1.8</v>
      </c>
      <c r="N191">
        <v>0.8</v>
      </c>
      <c r="O191">
        <f t="shared" si="18"/>
        <v>1</v>
      </c>
      <c r="Q191">
        <v>142</v>
      </c>
      <c r="R191">
        <f t="shared" si="26"/>
        <v>1.018103448275862</v>
      </c>
      <c r="S191">
        <f t="shared" si="19"/>
        <v>0.81448275862068964</v>
      </c>
      <c r="T191">
        <f t="shared" si="20"/>
        <v>0.9855172413793104</v>
      </c>
      <c r="U191" s="4">
        <f t="shared" si="21"/>
        <v>73.024987133299007</v>
      </c>
      <c r="V191" s="16" t="s">
        <v>45</v>
      </c>
      <c r="W191">
        <v>168.4</v>
      </c>
      <c r="X191">
        <f t="shared" si="22"/>
        <v>73382.699999999983</v>
      </c>
      <c r="Y191">
        <f t="shared" si="23"/>
        <v>1746.4</v>
      </c>
      <c r="Z191">
        <v>9.3370815863536922</v>
      </c>
    </row>
    <row r="192" spans="1:27" x14ac:dyDescent="0.25">
      <c r="A192">
        <v>5160</v>
      </c>
      <c r="B192">
        <v>23050</v>
      </c>
      <c r="C192" s="1">
        <v>42769</v>
      </c>
      <c r="F192" s="32"/>
      <c r="G192">
        <v>7</v>
      </c>
      <c r="H192">
        <v>5.9</v>
      </c>
      <c r="I192">
        <v>8</v>
      </c>
      <c r="J192">
        <f t="shared" si="24"/>
        <v>1024.8000000000002</v>
      </c>
      <c r="K192">
        <f t="shared" si="25"/>
        <v>63.099999999999994</v>
      </c>
      <c r="L192" s="10">
        <f>MAX(I185:I242)</f>
        <v>17.7</v>
      </c>
      <c r="M192">
        <v>7.9</v>
      </c>
      <c r="N192">
        <v>0.7</v>
      </c>
      <c r="O192">
        <f t="shared" si="18"/>
        <v>7.2</v>
      </c>
      <c r="Q192">
        <v>143</v>
      </c>
      <c r="R192">
        <f t="shared" si="26"/>
        <v>1.0206896551724138</v>
      </c>
      <c r="S192">
        <f t="shared" si="19"/>
        <v>0.71448275862068966</v>
      </c>
      <c r="T192">
        <f t="shared" si="20"/>
        <v>7.1855172413793102</v>
      </c>
      <c r="U192" s="4">
        <f t="shared" si="21"/>
        <v>80.210504374678322</v>
      </c>
      <c r="V192" s="4">
        <f>MAX(U185:U242)</f>
        <v>125.66972851260934</v>
      </c>
      <c r="W192">
        <v>194.8</v>
      </c>
      <c r="X192">
        <f t="shared" si="22"/>
        <v>73577.499999999985</v>
      </c>
      <c r="Y192">
        <f t="shared" si="23"/>
        <v>1941.2</v>
      </c>
      <c r="Z192">
        <v>9.3842055405555378</v>
      </c>
    </row>
    <row r="193" spans="1:26" x14ac:dyDescent="0.25">
      <c r="A193">
        <v>5160</v>
      </c>
      <c r="B193">
        <v>23050</v>
      </c>
      <c r="C193" s="1">
        <v>42770</v>
      </c>
      <c r="F193" s="32"/>
      <c r="G193">
        <v>6.5</v>
      </c>
      <c r="H193">
        <v>5.4</v>
      </c>
      <c r="I193">
        <v>7.2</v>
      </c>
      <c r="J193">
        <f t="shared" si="24"/>
        <v>1031.3000000000002</v>
      </c>
      <c r="K193">
        <f t="shared" si="25"/>
        <v>69.599999999999994</v>
      </c>
      <c r="L193" s="15" t="s">
        <v>39</v>
      </c>
      <c r="M193">
        <v>5.5</v>
      </c>
      <c r="N193">
        <v>0.7</v>
      </c>
      <c r="O193">
        <f t="shared" si="18"/>
        <v>4.8</v>
      </c>
      <c r="Q193">
        <v>144</v>
      </c>
      <c r="R193">
        <f t="shared" si="26"/>
        <v>1.0232758620689655</v>
      </c>
      <c r="S193">
        <f t="shared" si="19"/>
        <v>0.71629310344827579</v>
      </c>
      <c r="T193">
        <f t="shared" si="20"/>
        <v>4.783706896551724</v>
      </c>
      <c r="U193" s="4">
        <f t="shared" si="21"/>
        <v>84.994211271230043</v>
      </c>
      <c r="V193" s="16" t="s">
        <v>46</v>
      </c>
      <c r="W193">
        <v>244.7</v>
      </c>
      <c r="X193">
        <f t="shared" si="22"/>
        <v>73822.199999999983</v>
      </c>
      <c r="Y193">
        <f t="shared" si="23"/>
        <v>2185.9</v>
      </c>
      <c r="Z193">
        <v>9.4319398991338872</v>
      </c>
    </row>
    <row r="194" spans="1:26" x14ac:dyDescent="0.25">
      <c r="A194">
        <v>5160</v>
      </c>
      <c r="B194">
        <v>23050</v>
      </c>
      <c r="C194" s="1">
        <v>42771</v>
      </c>
      <c r="F194" s="32"/>
      <c r="G194">
        <v>7.6</v>
      </c>
      <c r="H194">
        <v>5.7</v>
      </c>
      <c r="I194">
        <v>10.3</v>
      </c>
      <c r="J194">
        <f t="shared" si="24"/>
        <v>1038.9000000000001</v>
      </c>
      <c r="K194">
        <f t="shared" si="25"/>
        <v>77.199999999999989</v>
      </c>
      <c r="L194" s="10">
        <v>0</v>
      </c>
      <c r="M194">
        <v>0.9</v>
      </c>
      <c r="N194">
        <v>1</v>
      </c>
      <c r="O194">
        <f t="shared" si="18"/>
        <v>-9.9999999999999978E-2</v>
      </c>
      <c r="Q194">
        <v>145</v>
      </c>
      <c r="R194">
        <f t="shared" si="26"/>
        <v>1.0258620689655171</v>
      </c>
      <c r="S194">
        <f t="shared" si="19"/>
        <v>1.0258620689655171</v>
      </c>
      <c r="T194">
        <f t="shared" si="20"/>
        <v>-0.1258620689655171</v>
      </c>
      <c r="U194" s="4">
        <f t="shared" si="21"/>
        <v>84.868349202264525</v>
      </c>
      <c r="V194" s="4">
        <f>AVERAGE(U185:U242)</f>
        <v>95.81794492164623</v>
      </c>
      <c r="W194">
        <v>308.8</v>
      </c>
      <c r="X194">
        <f t="shared" si="22"/>
        <v>74130.999999999985</v>
      </c>
      <c r="Y194">
        <f t="shared" si="23"/>
        <v>2494.7000000000003</v>
      </c>
      <c r="Z194">
        <v>9.4802638015754628</v>
      </c>
    </row>
    <row r="195" spans="1:26" x14ac:dyDescent="0.25">
      <c r="A195">
        <v>5160</v>
      </c>
      <c r="B195">
        <v>23050</v>
      </c>
      <c r="C195" s="1">
        <v>42772</v>
      </c>
      <c r="F195" s="32"/>
      <c r="G195">
        <v>5.7</v>
      </c>
      <c r="H195">
        <v>3.5</v>
      </c>
      <c r="I195">
        <v>7.6</v>
      </c>
      <c r="J195">
        <f t="shared" si="24"/>
        <v>1044.6000000000001</v>
      </c>
      <c r="K195">
        <f t="shared" si="25"/>
        <v>82.899999999999991</v>
      </c>
      <c r="L195" s="15" t="s">
        <v>40</v>
      </c>
      <c r="M195">
        <v>4.2</v>
      </c>
      <c r="N195">
        <v>0.7</v>
      </c>
      <c r="O195">
        <f t="shared" si="18"/>
        <v>3.5</v>
      </c>
      <c r="Q195">
        <v>146</v>
      </c>
      <c r="R195">
        <f t="shared" si="26"/>
        <v>1.028448275862069</v>
      </c>
      <c r="S195">
        <f t="shared" si="19"/>
        <v>0.71991379310344827</v>
      </c>
      <c r="T195">
        <f t="shared" si="20"/>
        <v>3.4800862068965519</v>
      </c>
      <c r="U195" s="4">
        <f t="shared" si="21"/>
        <v>88.348435409161084</v>
      </c>
      <c r="W195">
        <v>779.3</v>
      </c>
      <c r="X195">
        <f t="shared" si="22"/>
        <v>74910.299999999988</v>
      </c>
      <c r="Y195">
        <f t="shared" si="23"/>
        <v>3274</v>
      </c>
      <c r="Z195">
        <v>9.5291567368449162</v>
      </c>
    </row>
    <row r="196" spans="1:26" x14ac:dyDescent="0.25">
      <c r="A196">
        <v>5160</v>
      </c>
      <c r="B196">
        <v>23050</v>
      </c>
      <c r="C196" s="1">
        <v>42773</v>
      </c>
      <c r="F196" s="32"/>
      <c r="G196">
        <v>6.5</v>
      </c>
      <c r="H196">
        <v>4.9000000000000004</v>
      </c>
      <c r="I196">
        <v>10.1</v>
      </c>
      <c r="J196">
        <f t="shared" si="24"/>
        <v>1051.1000000000001</v>
      </c>
      <c r="K196">
        <f t="shared" si="25"/>
        <v>89.399999999999991</v>
      </c>
      <c r="L196" s="10">
        <v>19</v>
      </c>
      <c r="M196">
        <v>0.1</v>
      </c>
      <c r="N196">
        <v>0.8</v>
      </c>
      <c r="O196">
        <f t="shared" si="18"/>
        <v>-0.70000000000000007</v>
      </c>
      <c r="Q196">
        <v>147</v>
      </c>
      <c r="R196">
        <f t="shared" si="26"/>
        <v>1.0310344827586206</v>
      </c>
      <c r="S196">
        <f t="shared" si="19"/>
        <v>0.82482758620689656</v>
      </c>
      <c r="T196">
        <f t="shared" si="20"/>
        <v>-0.72482758620689658</v>
      </c>
      <c r="U196" s="4">
        <f t="shared" si="21"/>
        <v>87.623607822954185</v>
      </c>
      <c r="V196">
        <f>(V194*100)/138.9</f>
        <v>68.983401671451574</v>
      </c>
      <c r="W196">
        <v>522.29999999999995</v>
      </c>
      <c r="X196">
        <f t="shared" si="22"/>
        <v>75432.599999999991</v>
      </c>
      <c r="Y196">
        <f t="shared" si="23"/>
        <v>3796.3</v>
      </c>
      <c r="Z196">
        <v>9.5785985561081759</v>
      </c>
    </row>
    <row r="197" spans="1:26" x14ac:dyDescent="0.25">
      <c r="A197">
        <v>5160</v>
      </c>
      <c r="B197">
        <v>23050</v>
      </c>
      <c r="C197" s="1">
        <v>42774</v>
      </c>
      <c r="F197" s="32"/>
      <c r="G197">
        <v>4.7</v>
      </c>
      <c r="H197">
        <v>2.6</v>
      </c>
      <c r="I197">
        <v>7</v>
      </c>
      <c r="J197">
        <f t="shared" si="24"/>
        <v>1055.8000000000002</v>
      </c>
      <c r="K197">
        <f t="shared" si="25"/>
        <v>94.1</v>
      </c>
      <c r="L197" s="15" t="s">
        <v>41</v>
      </c>
      <c r="M197">
        <v>0</v>
      </c>
      <c r="N197">
        <v>0.5</v>
      </c>
      <c r="O197">
        <f t="shared" si="18"/>
        <v>-0.5</v>
      </c>
      <c r="Q197">
        <v>148</v>
      </c>
      <c r="R197">
        <f t="shared" si="26"/>
        <v>1.0336206896551725</v>
      </c>
      <c r="S197">
        <f t="shared" si="19"/>
        <v>0.51681034482758625</v>
      </c>
      <c r="T197">
        <f t="shared" si="20"/>
        <v>-0.51681034482758625</v>
      </c>
      <c r="U197" s="4">
        <f t="shared" si="21"/>
        <v>87.106797478126595</v>
      </c>
      <c r="W197">
        <v>194.3</v>
      </c>
      <c r="X197">
        <f t="shared" si="22"/>
        <v>75626.899999999994</v>
      </c>
      <c r="Y197">
        <f t="shared" si="23"/>
        <v>3990.6000000000004</v>
      </c>
      <c r="Z197">
        <v>9.628569483727528</v>
      </c>
    </row>
    <row r="198" spans="1:26" x14ac:dyDescent="0.25">
      <c r="A198">
        <v>5160</v>
      </c>
      <c r="B198">
        <v>23050</v>
      </c>
      <c r="C198" s="1">
        <v>42775</v>
      </c>
      <c r="F198" s="32"/>
      <c r="G198">
        <v>2.2000000000000002</v>
      </c>
      <c r="H198">
        <v>1.2</v>
      </c>
      <c r="I198">
        <v>4.0999999999999996</v>
      </c>
      <c r="J198">
        <f t="shared" si="24"/>
        <v>1058.0000000000002</v>
      </c>
      <c r="K198">
        <f t="shared" si="25"/>
        <v>96.3</v>
      </c>
      <c r="L198" s="10">
        <v>6</v>
      </c>
      <c r="M198">
        <v>0</v>
      </c>
      <c r="N198">
        <v>0.4</v>
      </c>
      <c r="O198">
        <f t="shared" ref="O198:O261" si="27">M198-N198</f>
        <v>-0.4</v>
      </c>
      <c r="Q198">
        <v>149</v>
      </c>
      <c r="R198">
        <f t="shared" si="26"/>
        <v>1.0362068965517242</v>
      </c>
      <c r="S198">
        <f t="shared" ref="S198:S261" si="28">R198*N198</f>
        <v>0.41448275862068967</v>
      </c>
      <c r="T198">
        <f t="shared" ref="T198:T261" si="29">M198-S198</f>
        <v>-0.41448275862068967</v>
      </c>
      <c r="U198" s="4">
        <f t="shared" si="21"/>
        <v>86.692314719505902</v>
      </c>
      <c r="W198">
        <v>316.10000000000002</v>
      </c>
      <c r="X198">
        <f t="shared" si="22"/>
        <v>75943</v>
      </c>
      <c r="Y198">
        <f t="shared" si="23"/>
        <v>4306.7000000000007</v>
      </c>
      <c r="Z198">
        <v>9.6790501265893756</v>
      </c>
    </row>
    <row r="199" spans="1:26" x14ac:dyDescent="0.25">
      <c r="A199">
        <v>5160</v>
      </c>
      <c r="B199">
        <v>23050</v>
      </c>
      <c r="C199" s="1">
        <v>42776</v>
      </c>
      <c r="F199" s="32"/>
      <c r="G199">
        <v>-0.3</v>
      </c>
      <c r="H199">
        <v>-2</v>
      </c>
      <c r="I199">
        <v>1.1000000000000001</v>
      </c>
      <c r="J199">
        <v>1058</v>
      </c>
      <c r="K199">
        <v>96.3</v>
      </c>
      <c r="M199">
        <v>0</v>
      </c>
      <c r="N199">
        <v>0.4</v>
      </c>
      <c r="O199">
        <f t="shared" si="27"/>
        <v>-0.4</v>
      </c>
      <c r="Q199">
        <v>150</v>
      </c>
      <c r="R199">
        <f t="shared" si="26"/>
        <v>1.0387931034482758</v>
      </c>
      <c r="S199">
        <f t="shared" si="28"/>
        <v>0.41551724137931034</v>
      </c>
      <c r="T199">
        <f t="shared" si="29"/>
        <v>-0.41551724137931034</v>
      </c>
      <c r="U199" s="4">
        <f t="shared" si="21"/>
        <v>86.276797478126596</v>
      </c>
      <c r="W199">
        <v>407.4</v>
      </c>
      <c r="X199">
        <f t="shared" si="22"/>
        <v>76350.399999999994</v>
      </c>
      <c r="Y199">
        <f t="shared" si="23"/>
        <v>4714.1000000000004</v>
      </c>
      <c r="Z199">
        <v>9.7300214818279667</v>
      </c>
    </row>
    <row r="200" spans="1:26" x14ac:dyDescent="0.25">
      <c r="A200">
        <v>5160</v>
      </c>
      <c r="B200">
        <v>23050</v>
      </c>
      <c r="C200" s="1">
        <v>42777</v>
      </c>
      <c r="F200" s="32"/>
      <c r="G200">
        <v>-0.8</v>
      </c>
      <c r="H200">
        <v>-4.0999999999999996</v>
      </c>
      <c r="I200">
        <v>1.1000000000000001</v>
      </c>
      <c r="J200">
        <v>1058</v>
      </c>
      <c r="K200">
        <v>96.3</v>
      </c>
      <c r="M200">
        <v>0</v>
      </c>
      <c r="N200">
        <v>0.5</v>
      </c>
      <c r="O200">
        <f t="shared" si="27"/>
        <v>-0.5</v>
      </c>
      <c r="Q200">
        <v>151</v>
      </c>
      <c r="R200">
        <f t="shared" si="26"/>
        <v>1.0413793103448277</v>
      </c>
      <c r="S200">
        <f t="shared" si="28"/>
        <v>0.52068965517241383</v>
      </c>
      <c r="T200">
        <f t="shared" si="29"/>
        <v>-0.52068965517241383</v>
      </c>
      <c r="U200" s="4">
        <f t="shared" si="21"/>
        <v>85.756107822954178</v>
      </c>
      <c r="W200">
        <v>656.9</v>
      </c>
      <c r="X200">
        <f t="shared" si="22"/>
        <v>77007.299999999988</v>
      </c>
      <c r="Y200">
        <f t="shared" si="23"/>
        <v>5371</v>
      </c>
      <c r="Z200">
        <v>9.7814649430102723</v>
      </c>
    </row>
    <row r="201" spans="1:26" x14ac:dyDescent="0.25">
      <c r="A201">
        <v>5160</v>
      </c>
      <c r="B201">
        <v>23050</v>
      </c>
      <c r="C201" s="1">
        <v>42778</v>
      </c>
      <c r="F201" s="32"/>
      <c r="G201">
        <v>2.9</v>
      </c>
      <c r="H201">
        <v>-0.4</v>
      </c>
      <c r="I201">
        <v>7.6</v>
      </c>
      <c r="J201">
        <f t="shared" si="24"/>
        <v>1060.9000000000001</v>
      </c>
      <c r="K201">
        <f t="shared" si="25"/>
        <v>99.2</v>
      </c>
      <c r="M201">
        <v>0.1</v>
      </c>
      <c r="N201">
        <v>0.8</v>
      </c>
      <c r="O201">
        <f t="shared" si="27"/>
        <v>-0.70000000000000007</v>
      </c>
      <c r="Q201">
        <v>152</v>
      </c>
      <c r="R201">
        <f t="shared" si="26"/>
        <v>1.0439655172413793</v>
      </c>
      <c r="S201">
        <f t="shared" si="28"/>
        <v>0.83517241379310347</v>
      </c>
      <c r="T201">
        <f t="shared" si="29"/>
        <v>-0.7351724137931035</v>
      </c>
      <c r="U201" s="4">
        <f t="shared" si="21"/>
        <v>85.020935409161069</v>
      </c>
      <c r="W201">
        <v>278.39999999999998</v>
      </c>
      <c r="X201">
        <f t="shared" si="22"/>
        <v>77285.699999999983</v>
      </c>
      <c r="Y201">
        <f t="shared" si="23"/>
        <v>5649.4</v>
      </c>
      <c r="Z201">
        <v>9.8333623048483592</v>
      </c>
    </row>
    <row r="202" spans="1:26" x14ac:dyDescent="0.25">
      <c r="A202">
        <v>5160</v>
      </c>
      <c r="B202">
        <v>23050</v>
      </c>
      <c r="C202" s="1">
        <v>42779</v>
      </c>
      <c r="F202" s="32"/>
      <c r="G202">
        <v>8.6999999999999993</v>
      </c>
      <c r="H202">
        <v>5.6</v>
      </c>
      <c r="I202">
        <v>11.8</v>
      </c>
      <c r="J202">
        <f t="shared" si="24"/>
        <v>1069.6000000000001</v>
      </c>
      <c r="K202">
        <f t="shared" si="25"/>
        <v>107.9</v>
      </c>
      <c r="M202">
        <v>1.2</v>
      </c>
      <c r="N202">
        <v>1.4</v>
      </c>
      <c r="O202">
        <f t="shared" si="27"/>
        <v>-0.19999999999999996</v>
      </c>
      <c r="Q202">
        <v>153</v>
      </c>
      <c r="R202">
        <f t="shared" si="26"/>
        <v>1.046551724137931</v>
      </c>
      <c r="S202">
        <f t="shared" si="28"/>
        <v>1.4651724137931033</v>
      </c>
      <c r="T202">
        <f t="shared" si="29"/>
        <v>-0.2651724137931033</v>
      </c>
      <c r="U202" s="4">
        <f t="shared" si="21"/>
        <v>84.755762995367959</v>
      </c>
      <c r="W202">
        <v>742.7</v>
      </c>
      <c r="X202">
        <f t="shared" si="22"/>
        <v>78028.39999999998</v>
      </c>
      <c r="Y202">
        <f t="shared" si="23"/>
        <v>6392.0999999999995</v>
      </c>
      <c r="Z202">
        <v>9.8856957665063909</v>
      </c>
    </row>
    <row r="203" spans="1:26" x14ac:dyDescent="0.25">
      <c r="A203">
        <v>5160</v>
      </c>
      <c r="B203">
        <v>23050</v>
      </c>
      <c r="C203" s="1">
        <v>42780</v>
      </c>
      <c r="F203" s="32"/>
      <c r="G203">
        <v>10.5</v>
      </c>
      <c r="H203">
        <v>7.3</v>
      </c>
      <c r="I203">
        <v>12.1</v>
      </c>
      <c r="J203">
        <f t="shared" si="24"/>
        <v>1080.1000000000001</v>
      </c>
      <c r="K203">
        <f t="shared" si="25"/>
        <v>118.4</v>
      </c>
      <c r="M203">
        <v>0.2</v>
      </c>
      <c r="N203">
        <v>0.9</v>
      </c>
      <c r="O203">
        <f t="shared" si="27"/>
        <v>-0.7</v>
      </c>
      <c r="Q203">
        <v>154</v>
      </c>
      <c r="R203">
        <f t="shared" si="26"/>
        <v>1.0491379310344828</v>
      </c>
      <c r="S203">
        <f t="shared" si="28"/>
        <v>0.94422413793103455</v>
      </c>
      <c r="T203">
        <f t="shared" si="29"/>
        <v>-0.74422413793103459</v>
      </c>
      <c r="U203" s="4">
        <f t="shared" si="21"/>
        <v>84.011538857436932</v>
      </c>
      <c r="W203">
        <v>287.60000000000002</v>
      </c>
      <c r="X203">
        <f t="shared" si="22"/>
        <v>78315.999999999985</v>
      </c>
      <c r="Y203">
        <f t="shared" si="23"/>
        <v>6679.7</v>
      </c>
      <c r="Z203">
        <v>9.9384479335695595</v>
      </c>
    </row>
    <row r="204" spans="1:26" x14ac:dyDescent="0.25">
      <c r="A204">
        <v>5160</v>
      </c>
      <c r="B204">
        <v>23050</v>
      </c>
      <c r="C204" s="1">
        <v>42781</v>
      </c>
      <c r="F204" s="32"/>
      <c r="G204">
        <v>10.9</v>
      </c>
      <c r="H204">
        <v>8</v>
      </c>
      <c r="I204">
        <v>15.4</v>
      </c>
      <c r="J204">
        <f t="shared" si="24"/>
        <v>1091.0000000000002</v>
      </c>
      <c r="K204">
        <f t="shared" si="25"/>
        <v>129.30000000000001</v>
      </c>
      <c r="M204">
        <v>0</v>
      </c>
      <c r="N204">
        <v>1.5</v>
      </c>
      <c r="O204">
        <f t="shared" si="27"/>
        <v>-1.5</v>
      </c>
      <c r="Q204">
        <v>155</v>
      </c>
      <c r="R204">
        <f t="shared" si="26"/>
        <v>1.0517241379310345</v>
      </c>
      <c r="S204">
        <f t="shared" si="28"/>
        <v>1.5775862068965516</v>
      </c>
      <c r="T204">
        <f t="shared" si="29"/>
        <v>-1.5775862068965516</v>
      </c>
      <c r="U204" s="4">
        <f t="shared" si="21"/>
        <v>82.433952650540377</v>
      </c>
      <c r="W204">
        <v>834.4</v>
      </c>
      <c r="X204">
        <f t="shared" si="22"/>
        <v>79150.39999999998</v>
      </c>
      <c r="Y204">
        <f t="shared" si="23"/>
        <v>7514.0999999999995</v>
      </c>
      <c r="Z204">
        <v>9.9916018187421347</v>
      </c>
    </row>
    <row r="205" spans="1:26" x14ac:dyDescent="0.25">
      <c r="A205">
        <v>5160</v>
      </c>
      <c r="B205">
        <v>23050</v>
      </c>
      <c r="C205" s="1">
        <v>42782</v>
      </c>
      <c r="F205" s="32"/>
      <c r="G205">
        <v>8</v>
      </c>
      <c r="H205">
        <v>6.5</v>
      </c>
      <c r="I205">
        <v>10.3</v>
      </c>
      <c r="J205">
        <f t="shared" si="24"/>
        <v>1099.0000000000002</v>
      </c>
      <c r="K205">
        <f t="shared" si="25"/>
        <v>137.30000000000001</v>
      </c>
      <c r="M205">
        <v>1.9</v>
      </c>
      <c r="N205">
        <v>0.5</v>
      </c>
      <c r="O205">
        <f t="shared" si="27"/>
        <v>1.4</v>
      </c>
      <c r="Q205">
        <v>156</v>
      </c>
      <c r="R205">
        <f t="shared" si="26"/>
        <v>1.0543103448275861</v>
      </c>
      <c r="S205">
        <f t="shared" si="28"/>
        <v>0.52715517241379306</v>
      </c>
      <c r="T205">
        <f t="shared" si="29"/>
        <v>1.3728448275862069</v>
      </c>
      <c r="U205" s="4">
        <f t="shared" si="21"/>
        <v>83.806797478126583</v>
      </c>
      <c r="W205">
        <v>653.5</v>
      </c>
      <c r="X205">
        <f t="shared" si="22"/>
        <v>79803.89999999998</v>
      </c>
      <c r="Y205">
        <f t="shared" si="23"/>
        <v>8167.5999999999995</v>
      </c>
      <c r="Z205">
        <v>10.045140841341244</v>
      </c>
    </row>
    <row r="206" spans="1:26" x14ac:dyDescent="0.25">
      <c r="A206">
        <v>5160</v>
      </c>
      <c r="B206">
        <v>23050</v>
      </c>
      <c r="C206" s="1">
        <v>42783</v>
      </c>
      <c r="F206" s="32"/>
      <c r="G206">
        <v>4</v>
      </c>
      <c r="H206">
        <v>1.1000000000000001</v>
      </c>
      <c r="I206">
        <v>6.2</v>
      </c>
      <c r="J206">
        <f t="shared" si="24"/>
        <v>1103.0000000000002</v>
      </c>
      <c r="K206">
        <f t="shared" si="25"/>
        <v>141.30000000000001</v>
      </c>
      <c r="M206">
        <v>0</v>
      </c>
      <c r="N206">
        <v>0.5</v>
      </c>
      <c r="O206">
        <f t="shared" si="27"/>
        <v>-0.5</v>
      </c>
      <c r="Q206">
        <v>157</v>
      </c>
      <c r="R206">
        <f t="shared" si="26"/>
        <v>1.056896551724138</v>
      </c>
      <c r="S206">
        <f t="shared" si="28"/>
        <v>0.52844827586206899</v>
      </c>
      <c r="T206">
        <f t="shared" si="29"/>
        <v>-0.52844827586206899</v>
      </c>
      <c r="U206" s="4">
        <f t="shared" si="21"/>
        <v>83.278349202264508</v>
      </c>
      <c r="W206">
        <v>409.6</v>
      </c>
      <c r="X206">
        <f t="shared" si="22"/>
        <v>80213.499999999985</v>
      </c>
      <c r="Y206">
        <f t="shared" si="23"/>
        <v>8577.1999999999989</v>
      </c>
      <c r="Z206">
        <v>10.099048825652005</v>
      </c>
    </row>
    <row r="207" spans="1:26" x14ac:dyDescent="0.25">
      <c r="A207">
        <v>5160</v>
      </c>
      <c r="B207">
        <v>23050</v>
      </c>
      <c r="C207" s="1">
        <v>42784</v>
      </c>
      <c r="F207" s="32"/>
      <c r="G207">
        <v>5.4</v>
      </c>
      <c r="H207">
        <v>0.1</v>
      </c>
      <c r="I207">
        <v>10.199999999999999</v>
      </c>
      <c r="J207">
        <f t="shared" si="24"/>
        <v>1108.4000000000003</v>
      </c>
      <c r="K207">
        <f t="shared" si="25"/>
        <v>146.70000000000002</v>
      </c>
      <c r="M207">
        <v>0</v>
      </c>
      <c r="N207">
        <v>1.3</v>
      </c>
      <c r="O207">
        <f t="shared" si="27"/>
        <v>-1.3</v>
      </c>
      <c r="Q207">
        <v>158</v>
      </c>
      <c r="R207">
        <f t="shared" si="26"/>
        <v>1.0594827586206896</v>
      </c>
      <c r="S207">
        <f t="shared" si="28"/>
        <v>1.3773275862068965</v>
      </c>
      <c r="T207">
        <f t="shared" si="29"/>
        <v>-1.3773275862068965</v>
      </c>
      <c r="U207" s="4">
        <f t="shared" si="21"/>
        <v>81.901021616057605</v>
      </c>
      <c r="W207">
        <v>1223.0999999999999</v>
      </c>
      <c r="X207">
        <f t="shared" si="22"/>
        <v>81436.599999999991</v>
      </c>
      <c r="Y207">
        <f t="shared" si="23"/>
        <v>9800.2999999999993</v>
      </c>
      <c r="Z207">
        <v>10.153309998208632</v>
      </c>
    </row>
    <row r="208" spans="1:26" x14ac:dyDescent="0.25">
      <c r="A208">
        <v>5160</v>
      </c>
      <c r="B208">
        <v>23050</v>
      </c>
      <c r="C208" s="1">
        <v>42785</v>
      </c>
      <c r="F208" s="32"/>
      <c r="G208">
        <v>4.7</v>
      </c>
      <c r="H208">
        <v>-2</v>
      </c>
      <c r="I208">
        <v>8.4</v>
      </c>
      <c r="J208">
        <f t="shared" si="24"/>
        <v>1113.1000000000004</v>
      </c>
      <c r="K208">
        <f t="shared" si="25"/>
        <v>151.4</v>
      </c>
      <c r="M208">
        <v>0.1</v>
      </c>
      <c r="N208">
        <v>0.7</v>
      </c>
      <c r="O208">
        <f t="shared" si="27"/>
        <v>-0.6</v>
      </c>
      <c r="Q208">
        <v>159</v>
      </c>
      <c r="R208">
        <f t="shared" si="26"/>
        <v>1.0620689655172413</v>
      </c>
      <c r="S208">
        <f t="shared" si="28"/>
        <v>0.74344827586206885</v>
      </c>
      <c r="T208">
        <f t="shared" si="29"/>
        <v>-0.64344827586206887</v>
      </c>
      <c r="U208" s="4">
        <f t="shared" si="21"/>
        <v>81.257573340195535</v>
      </c>
      <c r="W208">
        <v>949.3</v>
      </c>
      <c r="X208">
        <f t="shared" si="22"/>
        <v>82385.899999999994</v>
      </c>
      <c r="Y208">
        <f t="shared" si="23"/>
        <v>10749.599999999999</v>
      </c>
      <c r="Z208">
        <v>10.207908984064474</v>
      </c>
    </row>
    <row r="209" spans="1:28" x14ac:dyDescent="0.25">
      <c r="A209">
        <v>5160</v>
      </c>
      <c r="B209">
        <v>23050</v>
      </c>
      <c r="C209" s="1">
        <v>42786</v>
      </c>
      <c r="F209" s="32"/>
      <c r="G209">
        <v>8.1999999999999993</v>
      </c>
      <c r="H209">
        <v>4.9000000000000004</v>
      </c>
      <c r="I209">
        <v>10.8</v>
      </c>
      <c r="J209">
        <f t="shared" si="24"/>
        <v>1121.3000000000004</v>
      </c>
      <c r="K209">
        <f t="shared" si="25"/>
        <v>159.6</v>
      </c>
      <c r="M209">
        <v>0.3</v>
      </c>
      <c r="N209">
        <v>0.2</v>
      </c>
      <c r="O209">
        <f t="shared" si="27"/>
        <v>9.9999999999999978E-2</v>
      </c>
      <c r="Q209">
        <v>160</v>
      </c>
      <c r="R209">
        <f t="shared" si="26"/>
        <v>1.0646551724137931</v>
      </c>
      <c r="S209">
        <f t="shared" si="28"/>
        <v>0.21293103448275863</v>
      </c>
      <c r="T209">
        <f t="shared" si="29"/>
        <v>8.7068965517241359E-2</v>
      </c>
      <c r="U209" s="4">
        <f t="shared" si="21"/>
        <v>81.344642305712782</v>
      </c>
      <c r="W209">
        <v>205.8</v>
      </c>
      <c r="X209">
        <f t="shared" si="22"/>
        <v>82591.7</v>
      </c>
      <c r="Y209">
        <f t="shared" si="23"/>
        <v>10955.399999999998</v>
      </c>
      <c r="Z209">
        <v>10.262830802112456</v>
      </c>
    </row>
    <row r="210" spans="1:28" x14ac:dyDescent="0.25">
      <c r="A210">
        <v>5160</v>
      </c>
      <c r="B210">
        <v>23050</v>
      </c>
      <c r="C210" s="1">
        <v>42787</v>
      </c>
      <c r="F210" s="32"/>
      <c r="G210">
        <v>10.7</v>
      </c>
      <c r="H210">
        <v>10.199999999999999</v>
      </c>
      <c r="I210">
        <v>11.6</v>
      </c>
      <c r="J210">
        <f t="shared" si="24"/>
        <v>1132.0000000000005</v>
      </c>
      <c r="K210">
        <f t="shared" si="25"/>
        <v>170.29999999999998</v>
      </c>
      <c r="M210">
        <v>0</v>
      </c>
      <c r="N210">
        <v>0.6</v>
      </c>
      <c r="O210">
        <f t="shared" si="27"/>
        <v>-0.6</v>
      </c>
      <c r="Q210">
        <v>161</v>
      </c>
      <c r="R210">
        <f t="shared" si="26"/>
        <v>1.0672413793103448</v>
      </c>
      <c r="S210">
        <f t="shared" si="28"/>
        <v>0.64034482758620681</v>
      </c>
      <c r="T210">
        <f t="shared" si="29"/>
        <v>-0.64034482758620681</v>
      </c>
      <c r="U210" s="4">
        <f t="shared" si="21"/>
        <v>80.704297478126577</v>
      </c>
      <c r="W210">
        <v>229.6</v>
      </c>
      <c r="X210">
        <f t="shared" si="22"/>
        <v>82821.3</v>
      </c>
      <c r="Y210">
        <f t="shared" si="23"/>
        <v>11184.999999999998</v>
      </c>
      <c r="Z210">
        <v>10.318060859515459</v>
      </c>
    </row>
    <row r="211" spans="1:28" x14ac:dyDescent="0.25">
      <c r="A211">
        <v>5160</v>
      </c>
      <c r="B211">
        <v>23050</v>
      </c>
      <c r="C211" s="1">
        <v>42788</v>
      </c>
      <c r="F211" s="32"/>
      <c r="G211">
        <v>9.5</v>
      </c>
      <c r="H211">
        <v>8.4</v>
      </c>
      <c r="I211">
        <v>10.4</v>
      </c>
      <c r="J211">
        <f t="shared" si="24"/>
        <v>1141.5000000000005</v>
      </c>
      <c r="K211">
        <f t="shared" si="25"/>
        <v>179.79999999999998</v>
      </c>
      <c r="M211">
        <v>0</v>
      </c>
      <c r="N211">
        <v>1.1000000000000001</v>
      </c>
      <c r="O211">
        <f t="shared" si="27"/>
        <v>-1.1000000000000001</v>
      </c>
      <c r="Q211">
        <v>162</v>
      </c>
      <c r="R211">
        <f t="shared" si="26"/>
        <v>1.0698275862068964</v>
      </c>
      <c r="S211">
        <f t="shared" si="28"/>
        <v>1.1768103448275862</v>
      </c>
      <c r="T211">
        <f t="shared" si="29"/>
        <v>-1.1768103448275862</v>
      </c>
      <c r="U211" s="4">
        <f t="shared" si="21"/>
        <v>79.52748713329899</v>
      </c>
      <c r="W211">
        <v>196.4</v>
      </c>
      <c r="X211">
        <f t="shared" si="22"/>
        <v>83017.7</v>
      </c>
      <c r="Y211">
        <f t="shared" si="23"/>
        <v>11381.399999999998</v>
      </c>
      <c r="Z211">
        <v>10.373584945304222</v>
      </c>
    </row>
    <row r="212" spans="1:28" x14ac:dyDescent="0.25">
      <c r="A212">
        <v>5160</v>
      </c>
      <c r="B212">
        <v>23050</v>
      </c>
      <c r="C212" s="1">
        <v>42789</v>
      </c>
      <c r="F212" s="32"/>
      <c r="G212">
        <v>8.5</v>
      </c>
      <c r="H212">
        <v>8.3000000000000007</v>
      </c>
      <c r="I212">
        <v>10.6</v>
      </c>
      <c r="J212">
        <f t="shared" si="24"/>
        <v>1150.0000000000005</v>
      </c>
      <c r="K212">
        <f t="shared" si="25"/>
        <v>188.29999999999998</v>
      </c>
      <c r="M212">
        <v>1.1000000000000001</v>
      </c>
      <c r="N212">
        <v>1.5</v>
      </c>
      <c r="O212">
        <f t="shared" si="27"/>
        <v>-0.39999999999999991</v>
      </c>
      <c r="Q212">
        <v>163</v>
      </c>
      <c r="R212">
        <f t="shared" si="26"/>
        <v>1.0724137931034483</v>
      </c>
      <c r="S212">
        <f t="shared" si="28"/>
        <v>1.6086206896551725</v>
      </c>
      <c r="T212">
        <f t="shared" si="29"/>
        <v>-0.50862068965517238</v>
      </c>
      <c r="U212" s="4">
        <f t="shared" si="21"/>
        <v>79.018866443643816</v>
      </c>
      <c r="W212">
        <v>351.2</v>
      </c>
      <c r="X212">
        <f t="shared" si="22"/>
        <v>83368.899999999994</v>
      </c>
      <c r="Y212">
        <f t="shared" si="23"/>
        <v>11732.599999999999</v>
      </c>
      <c r="Z212">
        <v>10.429389223198232</v>
      </c>
    </row>
    <row r="213" spans="1:28" x14ac:dyDescent="0.25">
      <c r="A213">
        <v>5160</v>
      </c>
      <c r="B213">
        <v>23050</v>
      </c>
      <c r="C213" s="1">
        <v>42790</v>
      </c>
      <c r="F213" s="32"/>
      <c r="G213">
        <v>4.4000000000000004</v>
      </c>
      <c r="H213">
        <v>1.9</v>
      </c>
      <c r="I213">
        <v>8.4</v>
      </c>
      <c r="J213">
        <f t="shared" si="24"/>
        <v>1154.4000000000005</v>
      </c>
      <c r="K213">
        <f t="shared" si="25"/>
        <v>192.7</v>
      </c>
      <c r="M213">
        <v>0</v>
      </c>
      <c r="N213">
        <v>1</v>
      </c>
      <c r="O213">
        <f t="shared" si="27"/>
        <v>-1</v>
      </c>
      <c r="Q213">
        <v>164</v>
      </c>
      <c r="R213">
        <f t="shared" si="26"/>
        <v>1.075</v>
      </c>
      <c r="S213">
        <f t="shared" si="28"/>
        <v>1.075</v>
      </c>
      <c r="T213">
        <f t="shared" si="29"/>
        <v>-1.075</v>
      </c>
      <c r="U213" s="4">
        <f t="shared" si="21"/>
        <v>77.943866443643813</v>
      </c>
      <c r="W213">
        <v>705</v>
      </c>
      <c r="X213">
        <f t="shared" si="22"/>
        <v>84073.9</v>
      </c>
      <c r="Y213">
        <f t="shared" si="23"/>
        <v>12437.599999999999</v>
      </c>
      <c r="Z213">
        <v>10.485460223702871</v>
      </c>
    </row>
    <row r="214" spans="1:28" x14ac:dyDescent="0.25">
      <c r="A214">
        <v>5160</v>
      </c>
      <c r="B214">
        <v>23050</v>
      </c>
      <c r="C214" s="1">
        <v>42791</v>
      </c>
      <c r="F214" s="32"/>
      <c r="G214">
        <v>4.3</v>
      </c>
      <c r="H214">
        <v>-1.8</v>
      </c>
      <c r="I214">
        <v>10.199999999999999</v>
      </c>
      <c r="J214">
        <f t="shared" si="24"/>
        <v>1158.7000000000005</v>
      </c>
      <c r="K214">
        <f t="shared" si="25"/>
        <v>197</v>
      </c>
      <c r="M214">
        <v>0</v>
      </c>
      <c r="N214">
        <v>1.5</v>
      </c>
      <c r="O214">
        <f t="shared" si="27"/>
        <v>-1.5</v>
      </c>
      <c r="Q214">
        <v>165</v>
      </c>
      <c r="R214">
        <f t="shared" si="26"/>
        <v>1.0775862068965516</v>
      </c>
      <c r="S214">
        <f t="shared" si="28"/>
        <v>1.6163793103448274</v>
      </c>
      <c r="T214">
        <f t="shared" si="29"/>
        <v>-1.6163793103448274</v>
      </c>
      <c r="U214" s="4">
        <f t="shared" si="21"/>
        <v>76.327487133298987</v>
      </c>
      <c r="W214">
        <v>1300.2</v>
      </c>
      <c r="X214">
        <f t="shared" si="22"/>
        <v>85374.099999999991</v>
      </c>
      <c r="Y214">
        <f t="shared" si="23"/>
        <v>13737.8</v>
      </c>
      <c r="Z214">
        <v>10.541784835533829</v>
      </c>
    </row>
    <row r="215" spans="1:28" x14ac:dyDescent="0.25">
      <c r="A215">
        <v>5160</v>
      </c>
      <c r="B215">
        <v>23050</v>
      </c>
      <c r="C215" s="1">
        <v>42792</v>
      </c>
      <c r="F215" s="32"/>
      <c r="G215">
        <v>8</v>
      </c>
      <c r="H215">
        <v>2.2000000000000002</v>
      </c>
      <c r="I215">
        <v>10.9</v>
      </c>
      <c r="J215">
        <f t="shared" si="24"/>
        <v>1166.7000000000005</v>
      </c>
      <c r="K215">
        <f t="shared" si="25"/>
        <v>205</v>
      </c>
      <c r="M215">
        <v>0</v>
      </c>
      <c r="N215">
        <v>0.3</v>
      </c>
      <c r="O215">
        <f t="shared" si="27"/>
        <v>-0.3</v>
      </c>
      <c r="Q215">
        <v>166</v>
      </c>
      <c r="R215">
        <f t="shared" si="26"/>
        <v>1.0801724137931035</v>
      </c>
      <c r="S215">
        <f t="shared" si="28"/>
        <v>0.32405172413793104</v>
      </c>
      <c r="T215">
        <f t="shared" si="29"/>
        <v>-0.32405172413793104</v>
      </c>
      <c r="U215" s="4">
        <f t="shared" si="21"/>
        <v>76.003435409161057</v>
      </c>
      <c r="W215">
        <v>172</v>
      </c>
      <c r="X215">
        <f t="shared" si="22"/>
        <v>85546.099999999991</v>
      </c>
      <c r="Y215">
        <f t="shared" si="23"/>
        <v>13909.8</v>
      </c>
      <c r="Z215">
        <v>10.598350296417461</v>
      </c>
    </row>
    <row r="216" spans="1:28" x14ac:dyDescent="0.25">
      <c r="A216">
        <v>5160</v>
      </c>
      <c r="B216">
        <v>23050</v>
      </c>
      <c r="C216" s="1">
        <v>42793</v>
      </c>
      <c r="F216" s="32"/>
      <c r="G216">
        <v>8.6</v>
      </c>
      <c r="H216">
        <v>6.6</v>
      </c>
      <c r="I216">
        <v>10.9</v>
      </c>
      <c r="J216">
        <f t="shared" si="24"/>
        <v>1175.3000000000004</v>
      </c>
      <c r="K216">
        <f t="shared" si="25"/>
        <v>213.6</v>
      </c>
      <c r="M216">
        <v>10.1</v>
      </c>
      <c r="N216">
        <v>1.1000000000000001</v>
      </c>
      <c r="O216">
        <f t="shared" si="27"/>
        <v>9</v>
      </c>
      <c r="Q216">
        <v>167</v>
      </c>
      <c r="R216">
        <f t="shared" si="26"/>
        <v>1.0827586206896551</v>
      </c>
      <c r="S216">
        <f t="shared" si="28"/>
        <v>1.1910344827586208</v>
      </c>
      <c r="T216">
        <f t="shared" si="29"/>
        <v>8.9089655172413789</v>
      </c>
      <c r="U216" s="4">
        <f t="shared" si="21"/>
        <v>84.912400926402441</v>
      </c>
      <c r="W216">
        <v>236.8</v>
      </c>
      <c r="X216">
        <f t="shared" si="22"/>
        <v>85782.9</v>
      </c>
      <c r="Y216">
        <f t="shared" si="23"/>
        <v>14146.599999999999</v>
      </c>
      <c r="Z216">
        <v>10.655144183313512</v>
      </c>
    </row>
    <row r="217" spans="1:28" x14ac:dyDescent="0.25">
      <c r="A217">
        <v>5160</v>
      </c>
      <c r="B217">
        <v>23050</v>
      </c>
      <c r="C217" s="1">
        <v>42794</v>
      </c>
      <c r="F217" s="32"/>
      <c r="G217">
        <v>5.8</v>
      </c>
      <c r="H217">
        <v>4.5999999999999996</v>
      </c>
      <c r="I217">
        <v>6.9</v>
      </c>
      <c r="J217">
        <f t="shared" si="24"/>
        <v>1181.1000000000004</v>
      </c>
      <c r="K217">
        <f t="shared" si="25"/>
        <v>219.4</v>
      </c>
      <c r="M217" s="49">
        <v>3.8</v>
      </c>
      <c r="N217">
        <v>1</v>
      </c>
      <c r="O217">
        <f t="shared" si="27"/>
        <v>2.8</v>
      </c>
      <c r="Q217">
        <v>168</v>
      </c>
      <c r="R217">
        <f t="shared" si="26"/>
        <v>1.0853448275862068</v>
      </c>
      <c r="S217">
        <f t="shared" si="28"/>
        <v>1.0853448275862068</v>
      </c>
      <c r="T217">
        <f t="shared" si="29"/>
        <v>2.7146551724137931</v>
      </c>
      <c r="U217" s="4">
        <f t="shared" si="21"/>
        <v>87.62705609881624</v>
      </c>
      <c r="W217">
        <v>273.5</v>
      </c>
      <c r="X217">
        <f t="shared" si="22"/>
        <v>86056.4</v>
      </c>
      <c r="Y217">
        <f t="shared" si="23"/>
        <v>14420.099999999999</v>
      </c>
      <c r="Z217">
        <v>10.712154402104165</v>
      </c>
      <c r="AB217" s="5" t="s">
        <v>62</v>
      </c>
    </row>
    <row r="218" spans="1:28" x14ac:dyDescent="0.25">
      <c r="A218">
        <v>5160</v>
      </c>
      <c r="B218">
        <v>23050</v>
      </c>
      <c r="C218" s="1">
        <v>42795</v>
      </c>
      <c r="F218" s="32"/>
      <c r="G218">
        <v>8.4</v>
      </c>
      <c r="H218">
        <v>5.9</v>
      </c>
      <c r="I218">
        <v>10.9</v>
      </c>
      <c r="J218">
        <f t="shared" si="24"/>
        <v>1189.5000000000005</v>
      </c>
      <c r="K218">
        <f t="shared" si="25"/>
        <v>227.8</v>
      </c>
      <c r="M218" s="49">
        <v>8.1999999999999993</v>
      </c>
      <c r="N218">
        <v>0.7</v>
      </c>
      <c r="O218">
        <f t="shared" si="27"/>
        <v>7.4999999999999991</v>
      </c>
      <c r="Q218">
        <v>169</v>
      </c>
      <c r="R218">
        <f t="shared" si="26"/>
        <v>1.0879310344827586</v>
      </c>
      <c r="S218">
        <f t="shared" si="28"/>
        <v>0.76155172413793104</v>
      </c>
      <c r="T218">
        <f t="shared" si="29"/>
        <v>7.4384482758620685</v>
      </c>
      <c r="U218" s="4">
        <f t="shared" si="21"/>
        <v>95.065504374678312</v>
      </c>
      <c r="W218">
        <v>296.60000000000002</v>
      </c>
      <c r="X218">
        <f t="shared" si="22"/>
        <v>86353</v>
      </c>
      <c r="Y218">
        <f t="shared" si="23"/>
        <v>14716.699999999999</v>
      </c>
      <c r="Z218">
        <v>10.769369176791185</v>
      </c>
      <c r="AB218" s="4">
        <f>AVERAGE(U224:U237)</f>
        <v>117.97113861113151</v>
      </c>
    </row>
    <row r="219" spans="1:28" x14ac:dyDescent="0.25">
      <c r="A219">
        <v>5160</v>
      </c>
      <c r="B219">
        <v>23050</v>
      </c>
      <c r="C219" s="1">
        <v>42796</v>
      </c>
      <c r="F219" s="32"/>
      <c r="G219">
        <v>6.9</v>
      </c>
      <c r="H219">
        <v>3.4</v>
      </c>
      <c r="I219">
        <v>10.3</v>
      </c>
      <c r="J219">
        <f t="shared" si="24"/>
        <v>1196.4000000000005</v>
      </c>
      <c r="K219">
        <f t="shared" si="25"/>
        <v>234.70000000000002</v>
      </c>
      <c r="M219" s="49">
        <v>0</v>
      </c>
      <c r="N219">
        <v>1.1000000000000001</v>
      </c>
      <c r="O219">
        <f t="shared" si="27"/>
        <v>-1.1000000000000001</v>
      </c>
      <c r="Q219">
        <v>170</v>
      </c>
      <c r="R219">
        <f t="shared" si="26"/>
        <v>1.0905172413793103</v>
      </c>
      <c r="S219">
        <f t="shared" si="28"/>
        <v>1.1995689655172415</v>
      </c>
      <c r="T219">
        <f t="shared" si="29"/>
        <v>-1.1995689655172415</v>
      </c>
      <c r="U219" s="4">
        <f t="shared" si="21"/>
        <v>93.865935409161068</v>
      </c>
      <c r="W219">
        <v>824</v>
      </c>
      <c r="X219">
        <f t="shared" si="22"/>
        <v>87177</v>
      </c>
      <c r="Y219">
        <f t="shared" si="23"/>
        <v>15540.699999999999</v>
      </c>
      <c r="Z219">
        <v>10.826777038240564</v>
      </c>
      <c r="AB219" s="5" t="s">
        <v>63</v>
      </c>
    </row>
    <row r="220" spans="1:28" x14ac:dyDescent="0.25">
      <c r="A220">
        <v>5160</v>
      </c>
      <c r="B220">
        <v>23050</v>
      </c>
      <c r="C220" s="1">
        <v>42797</v>
      </c>
      <c r="F220" s="32"/>
      <c r="G220">
        <v>10.3</v>
      </c>
      <c r="H220">
        <v>6</v>
      </c>
      <c r="I220">
        <v>13.3</v>
      </c>
      <c r="J220">
        <f t="shared" si="24"/>
        <v>1206.7000000000005</v>
      </c>
      <c r="K220">
        <f t="shared" si="25"/>
        <v>245.00000000000003</v>
      </c>
      <c r="M220" s="49">
        <v>9.6</v>
      </c>
      <c r="N220">
        <v>1.6</v>
      </c>
      <c r="O220">
        <f t="shared" si="27"/>
        <v>8</v>
      </c>
      <c r="Q220">
        <v>171</v>
      </c>
      <c r="R220">
        <f t="shared" si="26"/>
        <v>1.0931034482758619</v>
      </c>
      <c r="S220">
        <f t="shared" si="28"/>
        <v>1.7489655172413792</v>
      </c>
      <c r="T220">
        <f t="shared" si="29"/>
        <v>7.8510344827586209</v>
      </c>
      <c r="U220" s="4">
        <f t="shared" si="21"/>
        <v>101.71696989191969</v>
      </c>
      <c r="W220">
        <v>1010.8</v>
      </c>
      <c r="X220">
        <f t="shared" si="22"/>
        <v>88187.8</v>
      </c>
      <c r="Y220">
        <f t="shared" si="23"/>
        <v>16551.5</v>
      </c>
      <c r="Z220">
        <v>10.884366812511807</v>
      </c>
      <c r="AB220">
        <v>1</v>
      </c>
    </row>
    <row r="221" spans="1:28" x14ac:dyDescent="0.25">
      <c r="A221">
        <v>5160</v>
      </c>
      <c r="B221">
        <v>23050</v>
      </c>
      <c r="C221" s="1">
        <v>42798</v>
      </c>
      <c r="F221" s="32"/>
      <c r="G221">
        <v>7.7</v>
      </c>
      <c r="H221">
        <v>7.1</v>
      </c>
      <c r="I221">
        <v>8.8000000000000007</v>
      </c>
      <c r="J221">
        <f t="shared" si="24"/>
        <v>1214.4000000000005</v>
      </c>
      <c r="K221">
        <f t="shared" si="25"/>
        <v>252.70000000000002</v>
      </c>
      <c r="M221" s="49">
        <v>5.2</v>
      </c>
      <c r="N221">
        <v>0.5</v>
      </c>
      <c r="O221">
        <f t="shared" si="27"/>
        <v>4.7</v>
      </c>
      <c r="Q221">
        <v>172</v>
      </c>
      <c r="R221">
        <f t="shared" si="26"/>
        <v>1.0956896551724138</v>
      </c>
      <c r="S221">
        <f t="shared" si="28"/>
        <v>0.5478448275862069</v>
      </c>
      <c r="T221">
        <f t="shared" si="29"/>
        <v>4.6521551724137931</v>
      </c>
      <c r="U221" s="4">
        <f t="shared" si="21"/>
        <v>106.36912506433349</v>
      </c>
      <c r="W221">
        <v>395.7</v>
      </c>
      <c r="X221">
        <f t="shared" si="22"/>
        <v>88583.5</v>
      </c>
      <c r="Y221">
        <f t="shared" si="23"/>
        <v>16947.2</v>
      </c>
      <c r="Z221">
        <v>10.942127608806857</v>
      </c>
      <c r="AB221" s="5" t="s">
        <v>64</v>
      </c>
    </row>
    <row r="222" spans="1:28" x14ac:dyDescent="0.25">
      <c r="A222">
        <v>5160</v>
      </c>
      <c r="B222">
        <v>23050</v>
      </c>
      <c r="C222" s="1">
        <v>42799</v>
      </c>
      <c r="F222" s="32"/>
      <c r="G222">
        <v>7.2</v>
      </c>
      <c r="H222">
        <v>5</v>
      </c>
      <c r="I222">
        <v>9.8000000000000007</v>
      </c>
      <c r="J222">
        <f t="shared" si="24"/>
        <v>1221.6000000000006</v>
      </c>
      <c r="K222">
        <f t="shared" si="25"/>
        <v>259.90000000000003</v>
      </c>
      <c r="M222" s="49">
        <v>10.6</v>
      </c>
      <c r="N222">
        <v>1.1000000000000001</v>
      </c>
      <c r="O222">
        <f t="shared" si="27"/>
        <v>9.5</v>
      </c>
      <c r="Q222">
        <v>173</v>
      </c>
      <c r="R222">
        <f t="shared" si="26"/>
        <v>1.0982758620689654</v>
      </c>
      <c r="S222">
        <f t="shared" si="28"/>
        <v>1.2081034482758621</v>
      </c>
      <c r="T222">
        <f t="shared" si="29"/>
        <v>9.3918965517241375</v>
      </c>
      <c r="U222" s="4">
        <f t="shared" si="21"/>
        <v>115.76102161605763</v>
      </c>
      <c r="W222">
        <v>333.7</v>
      </c>
      <c r="X222">
        <f t="shared" si="22"/>
        <v>88917.2</v>
      </c>
      <c r="Y222">
        <f t="shared" si="23"/>
        <v>17280.900000000001</v>
      </c>
      <c r="Z222">
        <v>11.00004880707143</v>
      </c>
      <c r="AB222">
        <v>9</v>
      </c>
    </row>
    <row r="223" spans="1:28" x14ac:dyDescent="0.25">
      <c r="A223">
        <v>5160</v>
      </c>
      <c r="B223">
        <v>23050</v>
      </c>
      <c r="C223" s="1">
        <v>42800</v>
      </c>
      <c r="F223" s="32"/>
      <c r="G223">
        <v>6.9</v>
      </c>
      <c r="H223">
        <v>6</v>
      </c>
      <c r="I223">
        <v>8.4</v>
      </c>
      <c r="J223">
        <f t="shared" si="24"/>
        <v>1228.5000000000007</v>
      </c>
      <c r="K223">
        <f t="shared" si="25"/>
        <v>266.8</v>
      </c>
      <c r="M223" s="49">
        <v>8.3000000000000007</v>
      </c>
      <c r="N223">
        <v>0.9</v>
      </c>
      <c r="O223">
        <f t="shared" si="27"/>
        <v>7.4</v>
      </c>
      <c r="Q223">
        <v>174</v>
      </c>
      <c r="R223">
        <f t="shared" si="26"/>
        <v>1.1008620689655171</v>
      </c>
      <c r="S223">
        <f t="shared" si="28"/>
        <v>0.9907758620689654</v>
      </c>
      <c r="T223">
        <f t="shared" si="29"/>
        <v>7.309224137931035</v>
      </c>
      <c r="U223" s="4">
        <f t="shared" si="21"/>
        <v>123.07024575398867</v>
      </c>
      <c r="W223">
        <v>288.3</v>
      </c>
      <c r="X223">
        <f t="shared" si="22"/>
        <v>89205.5</v>
      </c>
      <c r="Y223">
        <f t="shared" si="23"/>
        <v>17569.2</v>
      </c>
      <c r="Z223">
        <v>11.058120045279562</v>
      </c>
      <c r="AB223" s="5" t="s">
        <v>65</v>
      </c>
    </row>
    <row r="224" spans="1:28" x14ac:dyDescent="0.25">
      <c r="A224">
        <v>5160</v>
      </c>
      <c r="B224">
        <v>23050</v>
      </c>
      <c r="C224" s="1">
        <v>42801</v>
      </c>
      <c r="F224" s="32"/>
      <c r="G224">
        <v>6.7</v>
      </c>
      <c r="H224">
        <v>5.0999999999999996</v>
      </c>
      <c r="I224">
        <v>8.3000000000000007</v>
      </c>
      <c r="J224">
        <f t="shared" si="24"/>
        <v>1235.2000000000007</v>
      </c>
      <c r="K224">
        <f t="shared" si="25"/>
        <v>273.5</v>
      </c>
      <c r="M224" s="49">
        <v>2.5</v>
      </c>
      <c r="N224">
        <v>0.7</v>
      </c>
      <c r="O224">
        <f t="shared" si="27"/>
        <v>1.8</v>
      </c>
      <c r="Q224">
        <v>175</v>
      </c>
      <c r="R224">
        <f t="shared" si="26"/>
        <v>1.103448275862069</v>
      </c>
      <c r="S224">
        <f t="shared" si="28"/>
        <v>0.77241379310344827</v>
      </c>
      <c r="T224">
        <f t="shared" si="29"/>
        <v>1.7275862068965517</v>
      </c>
      <c r="U224" s="51">
        <f t="shared" si="21"/>
        <v>124.79783196088522</v>
      </c>
      <c r="W224">
        <v>241.8</v>
      </c>
      <c r="X224">
        <f t="shared" si="22"/>
        <v>89447.3</v>
      </c>
      <c r="Y224">
        <f t="shared" si="23"/>
        <v>17811</v>
      </c>
      <c r="Z224">
        <v>11.116331206430068</v>
      </c>
      <c r="AB224">
        <v>0</v>
      </c>
    </row>
    <row r="225" spans="1:29" x14ac:dyDescent="0.25">
      <c r="A225">
        <v>5160</v>
      </c>
      <c r="B225">
        <v>23050</v>
      </c>
      <c r="C225" s="1">
        <v>42802</v>
      </c>
      <c r="F225" s="32"/>
      <c r="G225">
        <v>10.199999999999999</v>
      </c>
      <c r="H225">
        <v>6.3</v>
      </c>
      <c r="I225">
        <v>12.5</v>
      </c>
      <c r="J225">
        <f t="shared" si="24"/>
        <v>1245.4000000000008</v>
      </c>
      <c r="K225">
        <f t="shared" si="25"/>
        <v>283.7</v>
      </c>
      <c r="M225" s="49">
        <v>0</v>
      </c>
      <c r="N225">
        <v>0.3</v>
      </c>
      <c r="O225">
        <f t="shared" si="27"/>
        <v>-0.3</v>
      </c>
      <c r="Q225">
        <v>176</v>
      </c>
      <c r="R225">
        <f t="shared" si="26"/>
        <v>1.1060344827586206</v>
      </c>
      <c r="S225">
        <f t="shared" si="28"/>
        <v>0.33181034482758615</v>
      </c>
      <c r="T225">
        <f t="shared" si="29"/>
        <v>-0.33181034482758615</v>
      </c>
      <c r="U225" s="51">
        <f t="shared" si="21"/>
        <v>124.46602161605763</v>
      </c>
      <c r="W225">
        <v>238.3</v>
      </c>
      <c r="X225">
        <f t="shared" si="22"/>
        <v>89685.6</v>
      </c>
      <c r="Y225">
        <f t="shared" si="23"/>
        <v>18049.3</v>
      </c>
      <c r="Z225">
        <v>11.174672405281777</v>
      </c>
      <c r="AB225" s="5" t="s">
        <v>66</v>
      </c>
    </row>
    <row r="226" spans="1:29" x14ac:dyDescent="0.25">
      <c r="A226">
        <v>5160</v>
      </c>
      <c r="B226">
        <v>23050</v>
      </c>
      <c r="C226" s="1">
        <v>42803</v>
      </c>
      <c r="F226" s="32"/>
      <c r="G226">
        <v>12.2</v>
      </c>
      <c r="H226">
        <v>10.6</v>
      </c>
      <c r="I226">
        <v>13.7</v>
      </c>
      <c r="J226">
        <f t="shared" si="24"/>
        <v>1257.6000000000008</v>
      </c>
      <c r="K226">
        <f t="shared" si="25"/>
        <v>295.89999999999998</v>
      </c>
      <c r="M226" s="49">
        <v>0.4</v>
      </c>
      <c r="N226">
        <v>1</v>
      </c>
      <c r="O226">
        <f t="shared" si="27"/>
        <v>-0.6</v>
      </c>
      <c r="Q226">
        <v>177</v>
      </c>
      <c r="R226">
        <f t="shared" si="26"/>
        <v>1.1086206896551722</v>
      </c>
      <c r="S226">
        <f t="shared" si="28"/>
        <v>1.1086206896551722</v>
      </c>
      <c r="T226">
        <f t="shared" si="29"/>
        <v>-0.70862068965517222</v>
      </c>
      <c r="U226" s="51">
        <f t="shared" si="21"/>
        <v>123.75740092640245</v>
      </c>
      <c r="W226">
        <v>328.1</v>
      </c>
      <c r="X226">
        <f t="shared" si="22"/>
        <v>90013.700000000012</v>
      </c>
      <c r="Y226">
        <f t="shared" si="23"/>
        <v>18377.399999999998</v>
      </c>
      <c r="Z226">
        <v>11.233133974852564</v>
      </c>
      <c r="AB226">
        <f>SUM(M228:M237)</f>
        <v>0.2</v>
      </c>
    </row>
    <row r="227" spans="1:29" s="46" customFormat="1" x14ac:dyDescent="0.25">
      <c r="A227" s="46">
        <v>5160</v>
      </c>
      <c r="B227" s="46">
        <v>23050</v>
      </c>
      <c r="C227" s="47">
        <v>42804</v>
      </c>
      <c r="D227" s="46" t="s">
        <v>60</v>
      </c>
      <c r="F227" s="32"/>
      <c r="G227" s="46">
        <v>11.1</v>
      </c>
      <c r="H227" s="46">
        <v>10.7</v>
      </c>
      <c r="I227" s="46">
        <v>13.3</v>
      </c>
      <c r="J227" s="46">
        <f t="shared" si="24"/>
        <v>1268.7000000000007</v>
      </c>
      <c r="K227" s="46">
        <f t="shared" si="25"/>
        <v>307</v>
      </c>
      <c r="M227" s="46">
        <v>0.2</v>
      </c>
      <c r="N227" s="46">
        <v>0.8</v>
      </c>
      <c r="O227" s="46">
        <f t="shared" si="27"/>
        <v>-0.60000000000000009</v>
      </c>
      <c r="Q227" s="46">
        <v>178</v>
      </c>
      <c r="R227" s="46">
        <f t="shared" si="26"/>
        <v>1.1112068965517241</v>
      </c>
      <c r="S227" s="46">
        <f t="shared" si="28"/>
        <v>0.88896551724137929</v>
      </c>
      <c r="T227" s="46">
        <f t="shared" si="29"/>
        <v>-0.68896551724137933</v>
      </c>
      <c r="U227" s="48">
        <f t="shared" si="21"/>
        <v>123.06843540916107</v>
      </c>
      <c r="W227" s="46">
        <v>481.9</v>
      </c>
      <c r="X227" s="46">
        <f t="shared" si="22"/>
        <v>90495.6</v>
      </c>
      <c r="Y227" s="46">
        <f t="shared" si="23"/>
        <v>18859.3</v>
      </c>
      <c r="Z227" s="46">
        <v>11.291706452705453</v>
      </c>
    </row>
    <row r="228" spans="1:29" x14ac:dyDescent="0.25">
      <c r="A228">
        <v>5160</v>
      </c>
      <c r="B228">
        <v>23050</v>
      </c>
      <c r="C228" s="1">
        <v>42805</v>
      </c>
      <c r="F228" s="32"/>
      <c r="G228">
        <v>9.9</v>
      </c>
      <c r="H228">
        <v>3.7</v>
      </c>
      <c r="I228">
        <v>14.6</v>
      </c>
      <c r="J228">
        <f t="shared" si="24"/>
        <v>1278.6000000000008</v>
      </c>
      <c r="K228">
        <f t="shared" si="25"/>
        <v>316.89999999999998</v>
      </c>
      <c r="M228" s="49">
        <v>0</v>
      </c>
      <c r="N228">
        <v>1.2</v>
      </c>
      <c r="O228">
        <f t="shared" si="27"/>
        <v>-1.2</v>
      </c>
      <c r="Q228">
        <v>179</v>
      </c>
      <c r="R228">
        <f t="shared" si="26"/>
        <v>1.1137931034482758</v>
      </c>
      <c r="S228">
        <f t="shared" si="28"/>
        <v>1.3365517241379308</v>
      </c>
      <c r="T228">
        <f t="shared" si="29"/>
        <v>-1.3365517241379308</v>
      </c>
      <c r="U228" s="51">
        <f t="shared" si="21"/>
        <v>121.73188368502313</v>
      </c>
      <c r="W228">
        <v>1158.3</v>
      </c>
      <c r="X228">
        <f t="shared" si="22"/>
        <v>91653.900000000009</v>
      </c>
      <c r="Y228">
        <f t="shared" si="23"/>
        <v>20017.599999999999</v>
      </c>
      <c r="Z228">
        <v>11.350380567043468</v>
      </c>
    </row>
    <row r="229" spans="1:29" x14ac:dyDescent="0.25">
      <c r="A229">
        <v>5160</v>
      </c>
      <c r="B229">
        <v>23050</v>
      </c>
      <c r="C229" s="1">
        <v>42806</v>
      </c>
      <c r="F229" s="32"/>
      <c r="G229">
        <v>10.9</v>
      </c>
      <c r="H229">
        <v>6.5</v>
      </c>
      <c r="I229">
        <v>15.4</v>
      </c>
      <c r="J229">
        <f t="shared" si="24"/>
        <v>1289.5000000000009</v>
      </c>
      <c r="K229">
        <f t="shared" si="25"/>
        <v>327.79999999999995</v>
      </c>
      <c r="M229" s="49">
        <v>0</v>
      </c>
      <c r="N229">
        <v>1</v>
      </c>
      <c r="O229">
        <f t="shared" si="27"/>
        <v>-1</v>
      </c>
      <c r="Q229">
        <v>180</v>
      </c>
      <c r="R229">
        <f t="shared" si="26"/>
        <v>1.1163793103448274</v>
      </c>
      <c r="S229">
        <f t="shared" si="28"/>
        <v>1.1163793103448274</v>
      </c>
      <c r="T229">
        <f t="shared" si="29"/>
        <v>-1.1163793103448274</v>
      </c>
      <c r="U229" s="51">
        <f t="shared" si="21"/>
        <v>120.61550437467831</v>
      </c>
      <c r="W229">
        <v>390.7</v>
      </c>
      <c r="X229">
        <f t="shared" si="22"/>
        <v>92044.6</v>
      </c>
      <c r="Y229">
        <f t="shared" si="23"/>
        <v>20408.3</v>
      </c>
      <c r="Z229">
        <v>11.409147222633331</v>
      </c>
    </row>
    <row r="230" spans="1:29" x14ac:dyDescent="0.25">
      <c r="A230">
        <v>5160</v>
      </c>
      <c r="B230">
        <v>23050</v>
      </c>
      <c r="C230" s="1">
        <v>42807</v>
      </c>
      <c r="F230" s="32"/>
      <c r="G230">
        <v>10.4</v>
      </c>
      <c r="H230">
        <v>7</v>
      </c>
      <c r="I230">
        <v>13.7</v>
      </c>
      <c r="J230">
        <f t="shared" si="24"/>
        <v>1299.900000000001</v>
      </c>
      <c r="K230">
        <f t="shared" si="25"/>
        <v>338.19999999999993</v>
      </c>
      <c r="M230" s="49">
        <v>0</v>
      </c>
      <c r="N230">
        <v>1</v>
      </c>
      <c r="O230">
        <f t="shared" si="27"/>
        <v>-1</v>
      </c>
      <c r="Q230">
        <v>181</v>
      </c>
      <c r="R230">
        <f t="shared" si="26"/>
        <v>1.1189655172413793</v>
      </c>
      <c r="S230">
        <f t="shared" si="28"/>
        <v>1.1189655172413793</v>
      </c>
      <c r="T230">
        <f t="shared" si="29"/>
        <v>-1.1189655172413793</v>
      </c>
      <c r="U230" s="51">
        <f t="shared" si="21"/>
        <v>119.49653885743693</v>
      </c>
      <c r="W230">
        <v>762.6</v>
      </c>
      <c r="X230">
        <f t="shared" si="22"/>
        <v>92807.200000000012</v>
      </c>
      <c r="Y230">
        <f t="shared" si="23"/>
        <v>21170.899999999998</v>
      </c>
      <c r="Z230">
        <v>11.467997486576756</v>
      </c>
    </row>
    <row r="231" spans="1:29" x14ac:dyDescent="0.25">
      <c r="A231">
        <v>5160</v>
      </c>
      <c r="B231">
        <v>23050</v>
      </c>
      <c r="C231" s="1">
        <v>42808</v>
      </c>
      <c r="F231" s="32"/>
      <c r="G231">
        <v>9.1999999999999993</v>
      </c>
      <c r="H231">
        <v>4</v>
      </c>
      <c r="I231">
        <v>13.1</v>
      </c>
      <c r="J231">
        <f t="shared" si="24"/>
        <v>1309.100000000001</v>
      </c>
      <c r="K231">
        <f t="shared" si="25"/>
        <v>347.39999999999992</v>
      </c>
      <c r="M231" s="49">
        <v>0</v>
      </c>
      <c r="N231">
        <v>1.9</v>
      </c>
      <c r="O231">
        <f t="shared" si="27"/>
        <v>-1.9</v>
      </c>
      <c r="Q231">
        <v>182</v>
      </c>
      <c r="R231">
        <f t="shared" si="26"/>
        <v>1.1215517241379309</v>
      </c>
      <c r="S231">
        <f t="shared" si="28"/>
        <v>2.1309482758620688</v>
      </c>
      <c r="T231">
        <f t="shared" si="29"/>
        <v>-2.1309482758620688</v>
      </c>
      <c r="U231" s="51">
        <f t="shared" si="21"/>
        <v>117.36559058157486</v>
      </c>
      <c r="W231">
        <v>1653.2</v>
      </c>
      <c r="X231">
        <f t="shared" si="22"/>
        <v>94460.400000000009</v>
      </c>
      <c r="Y231">
        <f t="shared" si="23"/>
        <v>22824.1</v>
      </c>
      <c r="Z231">
        <v>11.526922573946651</v>
      </c>
    </row>
    <row r="232" spans="1:29" x14ac:dyDescent="0.25">
      <c r="A232">
        <v>5160</v>
      </c>
      <c r="B232">
        <v>23050</v>
      </c>
      <c r="C232" s="1">
        <v>42809</v>
      </c>
      <c r="F232" s="32"/>
      <c r="G232">
        <v>9.4</v>
      </c>
      <c r="H232">
        <v>5.9</v>
      </c>
      <c r="I232">
        <v>12.1</v>
      </c>
      <c r="J232">
        <f t="shared" si="24"/>
        <v>1318.5000000000011</v>
      </c>
      <c r="K232">
        <f t="shared" si="25"/>
        <v>356.7999999999999</v>
      </c>
      <c r="M232" s="49">
        <v>0</v>
      </c>
      <c r="N232">
        <v>0.6</v>
      </c>
      <c r="O232">
        <f t="shared" si="27"/>
        <v>-0.6</v>
      </c>
      <c r="Q232">
        <v>183</v>
      </c>
      <c r="R232">
        <f t="shared" si="26"/>
        <v>1.1241379310344828</v>
      </c>
      <c r="S232">
        <f t="shared" si="28"/>
        <v>0.67448275862068963</v>
      </c>
      <c r="T232">
        <f t="shared" si="29"/>
        <v>-0.67448275862068963</v>
      </c>
      <c r="U232" s="51">
        <f t="shared" si="21"/>
        <v>116.69110782295418</v>
      </c>
      <c r="W232">
        <v>555</v>
      </c>
      <c r="X232">
        <f t="shared" si="22"/>
        <v>95015.400000000009</v>
      </c>
      <c r="Y232">
        <f t="shared" si="23"/>
        <v>23379.1</v>
      </c>
      <c r="Z232">
        <v>11.585913833304454</v>
      </c>
    </row>
    <row r="233" spans="1:29" x14ac:dyDescent="0.25">
      <c r="A233">
        <v>5160</v>
      </c>
      <c r="B233">
        <v>23050</v>
      </c>
      <c r="C233" s="1">
        <v>42810</v>
      </c>
      <c r="F233" s="32"/>
      <c r="G233">
        <v>11.9</v>
      </c>
      <c r="H233">
        <v>5</v>
      </c>
      <c r="I233">
        <v>17.7</v>
      </c>
      <c r="J233">
        <f t="shared" si="24"/>
        <v>1330.4000000000012</v>
      </c>
      <c r="K233">
        <f t="shared" si="25"/>
        <v>368.69999999999987</v>
      </c>
      <c r="M233" s="49">
        <v>0</v>
      </c>
      <c r="N233">
        <v>2.4</v>
      </c>
      <c r="O233">
        <f t="shared" si="27"/>
        <v>-2.4</v>
      </c>
      <c r="Q233">
        <v>184</v>
      </c>
      <c r="R233">
        <f t="shared" si="26"/>
        <v>1.1267241379310344</v>
      </c>
      <c r="S233">
        <f t="shared" si="28"/>
        <v>2.7041379310344826</v>
      </c>
      <c r="T233">
        <f t="shared" si="29"/>
        <v>-2.7041379310344826</v>
      </c>
      <c r="U233" s="51">
        <f t="shared" si="21"/>
        <v>113.9869698919197</v>
      </c>
      <c r="W233">
        <v>1652.6</v>
      </c>
      <c r="X233">
        <f t="shared" si="22"/>
        <v>96668.000000000015</v>
      </c>
      <c r="Y233">
        <f t="shared" si="23"/>
        <v>25031.699999999997</v>
      </c>
      <c r="Z233">
        <v>11.644962732113624</v>
      </c>
    </row>
    <row r="234" spans="1:29" s="46" customFormat="1" x14ac:dyDescent="0.25">
      <c r="A234" s="46">
        <v>5160</v>
      </c>
      <c r="B234" s="46">
        <v>23050</v>
      </c>
      <c r="C234" s="47">
        <v>42811</v>
      </c>
      <c r="D234" s="46" t="s">
        <v>61</v>
      </c>
      <c r="F234" s="32"/>
      <c r="G234" s="46">
        <v>8.1</v>
      </c>
      <c r="H234" s="46">
        <v>6.9</v>
      </c>
      <c r="I234" s="46">
        <v>10.7</v>
      </c>
      <c r="J234" s="46">
        <f t="shared" si="24"/>
        <v>1338.5000000000011</v>
      </c>
      <c r="K234" s="46">
        <f t="shared" si="25"/>
        <v>376.7999999999999</v>
      </c>
      <c r="M234" s="46">
        <v>0</v>
      </c>
      <c r="N234" s="46">
        <v>1</v>
      </c>
      <c r="O234" s="46">
        <f t="shared" si="27"/>
        <v>-1</v>
      </c>
      <c r="Q234" s="46">
        <v>185</v>
      </c>
      <c r="R234" s="46">
        <f t="shared" si="26"/>
        <v>1.1293103448275861</v>
      </c>
      <c r="S234" s="46">
        <f t="shared" si="28"/>
        <v>1.1293103448275861</v>
      </c>
      <c r="T234" s="46">
        <f t="shared" si="29"/>
        <v>-1.1293103448275861</v>
      </c>
      <c r="U234" s="48">
        <f t="shared" si="21"/>
        <v>112.85765954709211</v>
      </c>
      <c r="W234" s="46">
        <v>647.20000000000005</v>
      </c>
      <c r="X234" s="46">
        <f t="shared" si="22"/>
        <v>97315.200000000012</v>
      </c>
      <c r="Y234" s="46">
        <f t="shared" si="23"/>
        <v>25678.899999999998</v>
      </c>
      <c r="Z234" s="46">
        <v>11.704060842063349</v>
      </c>
    </row>
    <row r="235" spans="1:29" x14ac:dyDescent="0.25">
      <c r="A235">
        <v>5160</v>
      </c>
      <c r="B235">
        <v>23050</v>
      </c>
      <c r="C235" s="1">
        <v>42812</v>
      </c>
      <c r="F235" s="32"/>
      <c r="G235">
        <v>9.1999999999999993</v>
      </c>
      <c r="H235">
        <v>5.0999999999999996</v>
      </c>
      <c r="I235">
        <v>12.2</v>
      </c>
      <c r="J235">
        <f t="shared" si="24"/>
        <v>1347.7000000000012</v>
      </c>
      <c r="K235">
        <f t="shared" si="25"/>
        <v>385.99999999999989</v>
      </c>
      <c r="M235" s="49">
        <v>0</v>
      </c>
      <c r="N235">
        <v>0.6</v>
      </c>
      <c r="O235">
        <f t="shared" si="27"/>
        <v>-0.6</v>
      </c>
      <c r="Q235">
        <v>186</v>
      </c>
      <c r="R235">
        <f t="shared" si="26"/>
        <v>1.1318965517241379</v>
      </c>
      <c r="S235">
        <f t="shared" si="28"/>
        <v>0.67913793103448272</v>
      </c>
      <c r="T235">
        <f t="shared" si="29"/>
        <v>-0.67913793103448272</v>
      </c>
      <c r="U235" s="51">
        <f t="shared" si="21"/>
        <v>112.17852161605762</v>
      </c>
      <c r="W235">
        <v>256.8</v>
      </c>
      <c r="X235">
        <f t="shared" si="22"/>
        <v>97572.000000000015</v>
      </c>
      <c r="Y235">
        <f t="shared" si="23"/>
        <v>25935.699999999997</v>
      </c>
      <c r="Z235">
        <v>11.763199824315638</v>
      </c>
      <c r="AB235" s="5" t="s">
        <v>67</v>
      </c>
      <c r="AC235" s="5" t="s">
        <v>62</v>
      </c>
    </row>
    <row r="236" spans="1:29" x14ac:dyDescent="0.25">
      <c r="A236">
        <v>5160</v>
      </c>
      <c r="B236">
        <v>23050</v>
      </c>
      <c r="C236" s="1">
        <v>42813</v>
      </c>
      <c r="F236" s="32"/>
      <c r="G236">
        <v>10.6</v>
      </c>
      <c r="H236">
        <v>9.6999999999999993</v>
      </c>
      <c r="I236">
        <v>11.8</v>
      </c>
      <c r="J236">
        <f t="shared" si="24"/>
        <v>1358.3000000000011</v>
      </c>
      <c r="K236">
        <f t="shared" si="25"/>
        <v>396.59999999999991</v>
      </c>
      <c r="M236" s="49">
        <v>0</v>
      </c>
      <c r="N236">
        <v>1</v>
      </c>
      <c r="O236">
        <f t="shared" si="27"/>
        <v>-1</v>
      </c>
      <c r="Q236">
        <v>187</v>
      </c>
      <c r="R236">
        <f t="shared" si="26"/>
        <v>1.1344827586206896</v>
      </c>
      <c r="S236">
        <f t="shared" si="28"/>
        <v>1.1344827586206896</v>
      </c>
      <c r="T236">
        <f t="shared" si="29"/>
        <v>-1.1344827586206896</v>
      </c>
      <c r="U236" s="51">
        <f t="shared" si="21"/>
        <v>111.04403885743693</v>
      </c>
      <c r="W236">
        <v>337.3</v>
      </c>
      <c r="X236">
        <f t="shared" si="22"/>
        <v>97909.300000000017</v>
      </c>
      <c r="Y236">
        <f t="shared" si="23"/>
        <v>26272.999999999996</v>
      </c>
      <c r="Z236">
        <v>11.822371414688215</v>
      </c>
      <c r="AB236" s="4">
        <f>AVERAGE(U231:U244)</f>
        <v>117.12779501507238</v>
      </c>
      <c r="AC236" s="4">
        <f>(AB218*(21/52))+(AB236*(31/52))</f>
        <v>117.46837608271164</v>
      </c>
    </row>
    <row r="237" spans="1:29" x14ac:dyDescent="0.25">
      <c r="A237">
        <v>5160</v>
      </c>
      <c r="B237">
        <v>23050</v>
      </c>
      <c r="C237" s="1">
        <v>42814</v>
      </c>
      <c r="F237" s="32"/>
      <c r="G237">
        <v>10.1</v>
      </c>
      <c r="H237">
        <v>8.6</v>
      </c>
      <c r="I237">
        <v>11.8</v>
      </c>
      <c r="J237">
        <f t="shared" si="24"/>
        <v>1368.400000000001</v>
      </c>
      <c r="K237">
        <f t="shared" si="25"/>
        <v>406.69999999999993</v>
      </c>
      <c r="M237" s="49">
        <v>0.2</v>
      </c>
      <c r="N237">
        <v>1.5</v>
      </c>
      <c r="O237">
        <f t="shared" si="27"/>
        <v>-1.3</v>
      </c>
      <c r="Q237">
        <v>188</v>
      </c>
      <c r="R237">
        <f t="shared" si="26"/>
        <v>1.1370689655172412</v>
      </c>
      <c r="S237">
        <f t="shared" si="28"/>
        <v>1.7056034482758617</v>
      </c>
      <c r="T237">
        <f t="shared" si="29"/>
        <v>-1.5056034482758618</v>
      </c>
      <c r="U237" s="51">
        <f t="shared" si="21"/>
        <v>109.53843540916107</v>
      </c>
      <c r="W237">
        <v>261.2</v>
      </c>
      <c r="X237">
        <f t="shared" si="22"/>
        <v>98170.500000000015</v>
      </c>
      <c r="Y237">
        <f t="shared" si="23"/>
        <v>26534.199999999997</v>
      </c>
      <c r="Z237">
        <v>11.881567408784894</v>
      </c>
      <c r="AB237" s="5" t="s">
        <v>63</v>
      </c>
      <c r="AC237" s="5" t="s">
        <v>63</v>
      </c>
    </row>
    <row r="238" spans="1:29" x14ac:dyDescent="0.25">
      <c r="A238">
        <v>5160</v>
      </c>
      <c r="B238">
        <v>23050</v>
      </c>
      <c r="C238" s="1">
        <v>42815</v>
      </c>
      <c r="F238" s="32"/>
      <c r="G238">
        <v>7.6</v>
      </c>
      <c r="H238">
        <v>6.9</v>
      </c>
      <c r="I238">
        <v>8.6999999999999993</v>
      </c>
      <c r="J238">
        <f t="shared" si="24"/>
        <v>1376.0000000000009</v>
      </c>
      <c r="K238">
        <f t="shared" si="25"/>
        <v>414.29999999999995</v>
      </c>
      <c r="M238" s="49">
        <v>2.2000000000000002</v>
      </c>
      <c r="N238">
        <v>0.9</v>
      </c>
      <c r="O238">
        <f t="shared" si="27"/>
        <v>1.3000000000000003</v>
      </c>
      <c r="Q238">
        <v>189</v>
      </c>
      <c r="R238">
        <f t="shared" si="26"/>
        <v>1.1396551724137931</v>
      </c>
      <c r="S238">
        <f t="shared" si="28"/>
        <v>1.0256896551724137</v>
      </c>
      <c r="T238">
        <f t="shared" si="29"/>
        <v>1.1743103448275864</v>
      </c>
      <c r="U238" s="51">
        <f t="shared" si="21"/>
        <v>110.71274575398866</v>
      </c>
      <c r="W238">
        <v>963.3</v>
      </c>
      <c r="X238">
        <f t="shared" si="22"/>
        <v>99133.800000000017</v>
      </c>
      <c r="Y238">
        <f t="shared" si="23"/>
        <v>27497.499999999996</v>
      </c>
      <c r="Z238">
        <v>11.940779647084637</v>
      </c>
      <c r="AB238">
        <v>6</v>
      </c>
      <c r="AC238" s="53">
        <f>(AB220*(21/52))+(AB238*(31/52))</f>
        <v>3.9807692307692304</v>
      </c>
    </row>
    <row r="239" spans="1:29" x14ac:dyDescent="0.25">
      <c r="A239">
        <v>5160</v>
      </c>
      <c r="B239">
        <v>23050</v>
      </c>
      <c r="C239" s="1">
        <v>42816</v>
      </c>
      <c r="F239" s="32"/>
      <c r="G239">
        <v>6.5</v>
      </c>
      <c r="H239">
        <v>3.2</v>
      </c>
      <c r="I239">
        <v>9.9</v>
      </c>
      <c r="J239">
        <f t="shared" si="24"/>
        <v>1382.5000000000009</v>
      </c>
      <c r="K239">
        <f t="shared" si="25"/>
        <v>420.79999999999995</v>
      </c>
      <c r="M239" s="49">
        <v>15.1</v>
      </c>
      <c r="N239">
        <v>0.7</v>
      </c>
      <c r="O239">
        <f t="shared" si="27"/>
        <v>14.4</v>
      </c>
      <c r="Q239">
        <v>190</v>
      </c>
      <c r="R239">
        <f t="shared" si="26"/>
        <v>1.1422413793103448</v>
      </c>
      <c r="S239">
        <f t="shared" si="28"/>
        <v>0.79956896551724133</v>
      </c>
      <c r="T239">
        <f t="shared" si="29"/>
        <v>14.300431034482758</v>
      </c>
      <c r="U239" s="51">
        <f t="shared" si="21"/>
        <v>125.01317678847141</v>
      </c>
      <c r="W239">
        <v>437.7</v>
      </c>
      <c r="X239">
        <f t="shared" si="22"/>
        <v>99571.500000000015</v>
      </c>
      <c r="Y239">
        <f t="shared" si="23"/>
        <v>27935.199999999997</v>
      </c>
      <c r="Z239">
        <v>12</v>
      </c>
      <c r="AB239" s="5" t="s">
        <v>64</v>
      </c>
      <c r="AC239" s="5" t="s">
        <v>64</v>
      </c>
    </row>
    <row r="240" spans="1:29" x14ac:dyDescent="0.25">
      <c r="A240">
        <v>5160</v>
      </c>
      <c r="B240">
        <v>23050</v>
      </c>
      <c r="C240" s="1">
        <v>42817</v>
      </c>
      <c r="F240" s="32"/>
      <c r="G240">
        <v>6</v>
      </c>
      <c r="H240">
        <v>5.0999999999999996</v>
      </c>
      <c r="I240">
        <v>7.7</v>
      </c>
      <c r="J240">
        <f t="shared" si="24"/>
        <v>1388.5000000000009</v>
      </c>
      <c r="K240">
        <f t="shared" si="25"/>
        <v>426.79999999999995</v>
      </c>
      <c r="M240" s="49">
        <v>1</v>
      </c>
      <c r="N240">
        <v>0.3</v>
      </c>
      <c r="O240">
        <f t="shared" si="27"/>
        <v>0.7</v>
      </c>
      <c r="Q240">
        <v>191</v>
      </c>
      <c r="R240">
        <f t="shared" si="26"/>
        <v>1.1448275862068964</v>
      </c>
      <c r="S240">
        <f t="shared" si="28"/>
        <v>0.34344827586206889</v>
      </c>
      <c r="T240">
        <f t="shared" si="29"/>
        <v>0.65655172413793106</v>
      </c>
      <c r="U240" s="51">
        <f t="shared" si="21"/>
        <v>125.66972851260934</v>
      </c>
      <c r="W240">
        <v>370.5</v>
      </c>
      <c r="X240">
        <f t="shared" si="22"/>
        <v>99942.000000000015</v>
      </c>
      <c r="Y240">
        <f t="shared" si="23"/>
        <v>28305.699999999997</v>
      </c>
      <c r="Z240">
        <v>12.059220352915361</v>
      </c>
      <c r="AB240">
        <v>4</v>
      </c>
      <c r="AC240" s="53">
        <f>(AB222*(21/52))+(AB240*(31/52))</f>
        <v>6.0192307692307692</v>
      </c>
    </row>
    <row r="241" spans="1:29" x14ac:dyDescent="0.25">
      <c r="A241">
        <v>5160</v>
      </c>
      <c r="B241">
        <v>23050</v>
      </c>
      <c r="C241" s="1">
        <v>42818</v>
      </c>
      <c r="F241" s="32"/>
      <c r="G241">
        <v>8</v>
      </c>
      <c r="H241">
        <v>2.9</v>
      </c>
      <c r="I241">
        <v>11.5</v>
      </c>
      <c r="J241">
        <f t="shared" si="24"/>
        <v>1396.5000000000009</v>
      </c>
      <c r="K241">
        <f t="shared" si="25"/>
        <v>434.79999999999995</v>
      </c>
      <c r="M241" s="49">
        <v>0.2</v>
      </c>
      <c r="N241">
        <v>0.7</v>
      </c>
      <c r="O241">
        <f t="shared" si="27"/>
        <v>-0.49999999999999994</v>
      </c>
      <c r="Q241">
        <v>192</v>
      </c>
      <c r="R241">
        <f t="shared" si="26"/>
        <v>1.1474137931034483</v>
      </c>
      <c r="S241">
        <f t="shared" si="28"/>
        <v>0.8031896551724137</v>
      </c>
      <c r="T241">
        <f t="shared" si="29"/>
        <v>-0.60318965517241363</v>
      </c>
      <c r="U241" s="51">
        <f t="shared" si="21"/>
        <v>125.06653885743692</v>
      </c>
      <c r="W241">
        <v>869.9</v>
      </c>
      <c r="X241">
        <f t="shared" si="22"/>
        <v>100811.90000000001</v>
      </c>
      <c r="Y241">
        <f t="shared" si="23"/>
        <v>29175.599999999999</v>
      </c>
      <c r="Z241">
        <v>12.118432591215104</v>
      </c>
      <c r="AB241" s="5" t="s">
        <v>65</v>
      </c>
      <c r="AC241" s="5" t="s">
        <v>65</v>
      </c>
    </row>
    <row r="242" spans="1:29" s="6" customFormat="1" ht="15.75" thickBot="1" x14ac:dyDescent="0.3">
      <c r="A242" s="6">
        <v>5160</v>
      </c>
      <c r="B242" s="6">
        <v>23050</v>
      </c>
      <c r="C242" s="7">
        <v>42819</v>
      </c>
      <c r="F242" s="33"/>
      <c r="G242" s="6">
        <v>10.9</v>
      </c>
      <c r="H242" s="6">
        <v>6.5</v>
      </c>
      <c r="I242" s="6">
        <v>14.4</v>
      </c>
      <c r="J242" s="6">
        <f t="shared" si="24"/>
        <v>1407.400000000001</v>
      </c>
      <c r="K242" s="6">
        <f t="shared" si="25"/>
        <v>445.69999999999993</v>
      </c>
      <c r="M242" s="50">
        <v>0</v>
      </c>
      <c r="N242" s="6">
        <v>2.7</v>
      </c>
      <c r="O242" s="6">
        <f t="shared" si="27"/>
        <v>-2.7</v>
      </c>
      <c r="Q242" s="6">
        <v>193</v>
      </c>
      <c r="R242" s="6">
        <f t="shared" si="26"/>
        <v>1.1499999999999999</v>
      </c>
      <c r="S242" s="6">
        <f t="shared" si="28"/>
        <v>3.105</v>
      </c>
      <c r="T242" s="6">
        <f t="shared" si="29"/>
        <v>-3.105</v>
      </c>
      <c r="U242" s="52">
        <f t="shared" si="21"/>
        <v>121.96153885743692</v>
      </c>
      <c r="W242" s="6">
        <v>1899.4</v>
      </c>
      <c r="X242" s="6">
        <f t="shared" si="22"/>
        <v>102711.3</v>
      </c>
      <c r="Y242" s="6">
        <f t="shared" si="23"/>
        <v>31075</v>
      </c>
      <c r="Z242" s="6">
        <v>12.177628585311783</v>
      </c>
      <c r="AB242" s="6">
        <v>0</v>
      </c>
      <c r="AC242">
        <f>(AB224*(21/52))+(AB242*(31/52))</f>
        <v>0</v>
      </c>
    </row>
    <row r="243" spans="1:29" x14ac:dyDescent="0.25">
      <c r="A243">
        <v>5160</v>
      </c>
      <c r="B243">
        <v>23050</v>
      </c>
      <c r="C243" s="1">
        <v>42820</v>
      </c>
      <c r="D243" t="s">
        <v>33</v>
      </c>
      <c r="F243" s="34" t="s">
        <v>56</v>
      </c>
      <c r="G243">
        <v>10.1</v>
      </c>
      <c r="H243">
        <v>3.9</v>
      </c>
      <c r="I243">
        <v>14.8</v>
      </c>
      <c r="J243">
        <f t="shared" si="24"/>
        <v>1417.5000000000009</v>
      </c>
      <c r="K243">
        <f>G243</f>
        <v>10.1</v>
      </c>
      <c r="L243" s="17" t="s">
        <v>35</v>
      </c>
      <c r="M243" s="49">
        <v>0</v>
      </c>
      <c r="N243">
        <v>1.8</v>
      </c>
      <c r="O243">
        <f t="shared" si="27"/>
        <v>-1.8</v>
      </c>
      <c r="Q243">
        <v>194</v>
      </c>
      <c r="R243">
        <v>1.1499999999999999</v>
      </c>
      <c r="S243">
        <f t="shared" si="28"/>
        <v>2.0699999999999998</v>
      </c>
      <c r="T243">
        <f t="shared" si="29"/>
        <v>-2.0699999999999998</v>
      </c>
      <c r="U243" s="51">
        <f t="shared" si="21"/>
        <v>119.89153885743693</v>
      </c>
      <c r="V243" s="19" t="s">
        <v>42</v>
      </c>
      <c r="W243">
        <v>1337.5</v>
      </c>
      <c r="X243">
        <f t="shared" si="22"/>
        <v>104048.8</v>
      </c>
      <c r="Y243">
        <f>W243</f>
        <v>1337.5</v>
      </c>
      <c r="Z243">
        <v>12.236800175684362</v>
      </c>
      <c r="AA243" s="19" t="s">
        <v>47</v>
      </c>
      <c r="AB243" s="5" t="s">
        <v>66</v>
      </c>
      <c r="AC243" s="5" t="s">
        <v>66</v>
      </c>
    </row>
    <row r="244" spans="1:29" x14ac:dyDescent="0.25">
      <c r="A244">
        <v>5160</v>
      </c>
      <c r="B244">
        <v>23050</v>
      </c>
      <c r="C244" s="1">
        <v>42821</v>
      </c>
      <c r="F244" s="35"/>
      <c r="G244">
        <v>11.6</v>
      </c>
      <c r="H244">
        <v>5.7</v>
      </c>
      <c r="I244">
        <v>17.8</v>
      </c>
      <c r="J244">
        <f t="shared" ref="J244:J307" si="30">J243+G244</f>
        <v>1429.1000000000008</v>
      </c>
      <c r="K244">
        <f t="shared" ref="K244:K307" si="31">K243+G244</f>
        <v>21.7</v>
      </c>
      <c r="L244" s="10">
        <v>243.4</v>
      </c>
      <c r="M244" s="49">
        <v>1.6</v>
      </c>
      <c r="N244">
        <v>3.2</v>
      </c>
      <c r="O244">
        <f t="shared" si="27"/>
        <v>-1.6</v>
      </c>
      <c r="Q244">
        <v>195</v>
      </c>
      <c r="R244">
        <v>1.1499999999999999</v>
      </c>
      <c r="S244">
        <f t="shared" si="28"/>
        <v>3.6799999999999997</v>
      </c>
      <c r="T244">
        <f t="shared" si="29"/>
        <v>-2.0799999999999996</v>
      </c>
      <c r="U244" s="51">
        <f t="shared" ref="U244:U307" si="32">MIN(U243+T244,138.9)</f>
        <v>117.81153885743693</v>
      </c>
      <c r="V244">
        <v>0</v>
      </c>
      <c r="W244">
        <v>2066.9</v>
      </c>
      <c r="X244">
        <f t="shared" ref="X244:X307" si="33">X243+W244</f>
        <v>106115.7</v>
      </c>
      <c r="Y244">
        <f t="shared" ref="Y244:Y307" si="34">Y243+W244</f>
        <v>3404.4</v>
      </c>
      <c r="Z244">
        <v>12.295939157936651</v>
      </c>
      <c r="AA244">
        <v>31721.3</v>
      </c>
      <c r="AB244">
        <f>SUM(M235:M244)</f>
        <v>20.3</v>
      </c>
      <c r="AC244" s="53">
        <f>(AB226*(21/52))+(AB244*(31/52))</f>
        <v>12.182692307692308</v>
      </c>
    </row>
    <row r="245" spans="1:29" x14ac:dyDescent="0.25">
      <c r="A245">
        <v>5160</v>
      </c>
      <c r="B245">
        <v>23050</v>
      </c>
      <c r="C245" s="1">
        <v>42822</v>
      </c>
      <c r="F245" s="35"/>
      <c r="G245">
        <v>11.6</v>
      </c>
      <c r="H245">
        <v>6.8</v>
      </c>
      <c r="I245">
        <v>15.9</v>
      </c>
      <c r="J245">
        <f t="shared" si="30"/>
        <v>1440.7000000000007</v>
      </c>
      <c r="K245">
        <f t="shared" si="31"/>
        <v>33.299999999999997</v>
      </c>
      <c r="L245" s="17" t="s">
        <v>36</v>
      </c>
      <c r="M245">
        <v>0.3</v>
      </c>
      <c r="N245">
        <v>1.2</v>
      </c>
      <c r="O245">
        <f t="shared" si="27"/>
        <v>-0.89999999999999991</v>
      </c>
      <c r="Q245">
        <v>196</v>
      </c>
      <c r="R245">
        <v>1.1499999999999999</v>
      </c>
      <c r="S245">
        <f t="shared" si="28"/>
        <v>1.38</v>
      </c>
      <c r="T245">
        <f t="shared" si="29"/>
        <v>-1.0799999999999998</v>
      </c>
      <c r="U245" s="4">
        <f t="shared" si="32"/>
        <v>116.73153885743693</v>
      </c>
      <c r="V245" s="19" t="s">
        <v>43</v>
      </c>
      <c r="W245">
        <v>865.3</v>
      </c>
      <c r="X245">
        <f t="shared" si="33"/>
        <v>106981</v>
      </c>
      <c r="Y245">
        <f t="shared" si="34"/>
        <v>4269.7</v>
      </c>
      <c r="Z245">
        <v>12.355037267886374</v>
      </c>
      <c r="AA245" s="19" t="s">
        <v>48</v>
      </c>
    </row>
    <row r="246" spans="1:29" x14ac:dyDescent="0.25">
      <c r="A246">
        <v>5160</v>
      </c>
      <c r="B246">
        <v>23050</v>
      </c>
      <c r="C246" s="1">
        <v>42823</v>
      </c>
      <c r="F246" s="35"/>
      <c r="G246">
        <v>12.4</v>
      </c>
      <c r="H246">
        <v>4.5999999999999996</v>
      </c>
      <c r="I246">
        <v>19.3</v>
      </c>
      <c r="J246">
        <f t="shared" si="30"/>
        <v>1453.1000000000008</v>
      </c>
      <c r="K246">
        <f t="shared" si="31"/>
        <v>45.699999999999996</v>
      </c>
      <c r="L246" s="10">
        <f>AVERAGE(G243:G263)</f>
        <v>11.59047619047619</v>
      </c>
      <c r="M246">
        <v>0</v>
      </c>
      <c r="N246">
        <v>2.4</v>
      </c>
      <c r="O246">
        <f t="shared" si="27"/>
        <v>-2.4</v>
      </c>
      <c r="Q246">
        <v>197</v>
      </c>
      <c r="R246">
        <v>1.1499999999999999</v>
      </c>
      <c r="S246">
        <f t="shared" si="28"/>
        <v>2.76</v>
      </c>
      <c r="T246">
        <f t="shared" si="29"/>
        <v>-2.76</v>
      </c>
      <c r="U246" s="4">
        <f t="shared" si="32"/>
        <v>113.97153885743693</v>
      </c>
      <c r="V246">
        <v>0</v>
      </c>
      <c r="W246">
        <v>1568.5</v>
      </c>
      <c r="X246">
        <f t="shared" si="33"/>
        <v>108549.5</v>
      </c>
      <c r="Y246">
        <f t="shared" si="34"/>
        <v>5838.2</v>
      </c>
      <c r="Z246">
        <v>12.414086166695544</v>
      </c>
      <c r="AA246" s="4">
        <f>(AA244/100)/L244</f>
        <v>1.3032580115036974</v>
      </c>
    </row>
    <row r="247" spans="1:29" x14ac:dyDescent="0.25">
      <c r="A247">
        <v>5160</v>
      </c>
      <c r="B247">
        <v>23050</v>
      </c>
      <c r="C247" s="1">
        <v>42824</v>
      </c>
      <c r="F247" s="35"/>
      <c r="G247">
        <v>15.1</v>
      </c>
      <c r="H247">
        <v>6.3</v>
      </c>
      <c r="I247">
        <v>22.5</v>
      </c>
      <c r="J247">
        <f t="shared" si="30"/>
        <v>1468.2000000000007</v>
      </c>
      <c r="K247">
        <f t="shared" si="31"/>
        <v>60.8</v>
      </c>
      <c r="L247" s="17" t="s">
        <v>37</v>
      </c>
      <c r="M247">
        <v>0</v>
      </c>
      <c r="N247">
        <v>3.2</v>
      </c>
      <c r="O247">
        <f t="shared" si="27"/>
        <v>-3.2</v>
      </c>
      <c r="Q247">
        <v>198</v>
      </c>
      <c r="R247">
        <v>1.1499999999999999</v>
      </c>
      <c r="S247">
        <f t="shared" si="28"/>
        <v>3.6799999999999997</v>
      </c>
      <c r="T247">
        <f t="shared" si="29"/>
        <v>-3.6799999999999997</v>
      </c>
      <c r="U247" s="4">
        <f t="shared" si="32"/>
        <v>110.29153885743693</v>
      </c>
      <c r="V247" s="19" t="s">
        <v>44</v>
      </c>
      <c r="W247">
        <v>1912.4</v>
      </c>
      <c r="X247">
        <f t="shared" si="33"/>
        <v>110461.9</v>
      </c>
      <c r="Y247">
        <f t="shared" si="34"/>
        <v>7750.6</v>
      </c>
      <c r="Z247">
        <v>12.473077426053347</v>
      </c>
      <c r="AA247" s="19" t="s">
        <v>49</v>
      </c>
    </row>
    <row r="248" spans="1:29" x14ac:dyDescent="0.25">
      <c r="A248">
        <v>5160</v>
      </c>
      <c r="B248">
        <v>23050</v>
      </c>
      <c r="C248" s="1">
        <v>42825</v>
      </c>
      <c r="F248" s="35"/>
      <c r="G248">
        <v>13.7</v>
      </c>
      <c r="H248">
        <v>12.2</v>
      </c>
      <c r="I248">
        <v>16.3</v>
      </c>
      <c r="J248">
        <f t="shared" si="30"/>
        <v>1481.9000000000008</v>
      </c>
      <c r="K248">
        <f t="shared" si="31"/>
        <v>74.5</v>
      </c>
      <c r="L248" s="11">
        <f>MIN(H243:H263)</f>
        <v>2.9</v>
      </c>
      <c r="M248">
        <v>0.4</v>
      </c>
      <c r="N248">
        <v>2.4</v>
      </c>
      <c r="O248">
        <f t="shared" si="27"/>
        <v>-2</v>
      </c>
      <c r="Q248">
        <v>199</v>
      </c>
      <c r="R248">
        <v>1.1499999999999999</v>
      </c>
      <c r="S248">
        <f t="shared" si="28"/>
        <v>2.76</v>
      </c>
      <c r="T248">
        <f t="shared" si="29"/>
        <v>-2.36</v>
      </c>
      <c r="U248" s="4">
        <f t="shared" si="32"/>
        <v>107.93153885743693</v>
      </c>
      <c r="V248" s="4">
        <f>MIN(U243:U263)</f>
        <v>68.556538857436948</v>
      </c>
      <c r="W248">
        <v>777.9</v>
      </c>
      <c r="X248">
        <f t="shared" si="33"/>
        <v>111239.79999999999</v>
      </c>
      <c r="Y248">
        <f t="shared" si="34"/>
        <v>8528.5</v>
      </c>
      <c r="Z248">
        <v>12.532002513423244</v>
      </c>
      <c r="AA248">
        <v>5</v>
      </c>
    </row>
    <row r="249" spans="1:29" x14ac:dyDescent="0.25">
      <c r="A249">
        <v>5160</v>
      </c>
      <c r="B249">
        <v>23050</v>
      </c>
      <c r="C249" s="1">
        <v>42826</v>
      </c>
      <c r="F249" s="35"/>
      <c r="G249">
        <v>10.7</v>
      </c>
      <c r="H249">
        <v>7.6</v>
      </c>
      <c r="I249">
        <v>14.3</v>
      </c>
      <c r="J249">
        <f t="shared" si="30"/>
        <v>1492.6000000000008</v>
      </c>
      <c r="K249">
        <f t="shared" si="31"/>
        <v>85.2</v>
      </c>
      <c r="L249" s="17" t="s">
        <v>38</v>
      </c>
      <c r="M249">
        <v>0.1</v>
      </c>
      <c r="N249">
        <v>1</v>
      </c>
      <c r="O249">
        <f t="shared" si="27"/>
        <v>-0.9</v>
      </c>
      <c r="Q249">
        <v>200</v>
      </c>
      <c r="R249">
        <v>1.1499999999999999</v>
      </c>
      <c r="S249">
        <f t="shared" si="28"/>
        <v>1.1499999999999999</v>
      </c>
      <c r="T249">
        <f t="shared" si="29"/>
        <v>-1.0499999999999998</v>
      </c>
      <c r="U249" s="4">
        <f t="shared" si="32"/>
        <v>106.88153885743694</v>
      </c>
      <c r="V249" s="19" t="s">
        <v>45</v>
      </c>
      <c r="W249">
        <v>665.5</v>
      </c>
      <c r="X249">
        <f t="shared" si="33"/>
        <v>111905.29999999999</v>
      </c>
      <c r="Y249">
        <f t="shared" si="34"/>
        <v>9194</v>
      </c>
      <c r="Z249">
        <v>12.590852777366667</v>
      </c>
    </row>
    <row r="250" spans="1:29" x14ac:dyDescent="0.25">
      <c r="A250">
        <v>5160</v>
      </c>
      <c r="B250">
        <v>23050</v>
      </c>
      <c r="C250" s="1">
        <v>42827</v>
      </c>
      <c r="F250" s="35"/>
      <c r="G250">
        <v>11</v>
      </c>
      <c r="H250">
        <v>6.7</v>
      </c>
      <c r="I250">
        <v>15.1</v>
      </c>
      <c r="J250">
        <f t="shared" si="30"/>
        <v>1503.6000000000008</v>
      </c>
      <c r="K250">
        <f t="shared" si="31"/>
        <v>96.2</v>
      </c>
      <c r="L250" s="10">
        <f>MAX(I243:I263)</f>
        <v>23.8</v>
      </c>
      <c r="M250">
        <v>0</v>
      </c>
      <c r="N250">
        <v>1.8</v>
      </c>
      <c r="O250">
        <f t="shared" si="27"/>
        <v>-1.8</v>
      </c>
      <c r="Q250">
        <v>201</v>
      </c>
      <c r="R250">
        <v>1.1499999999999999</v>
      </c>
      <c r="S250">
        <f t="shared" si="28"/>
        <v>2.0699999999999998</v>
      </c>
      <c r="T250">
        <f t="shared" si="29"/>
        <v>-2.0699999999999998</v>
      </c>
      <c r="U250" s="4">
        <f t="shared" si="32"/>
        <v>104.81153885743694</v>
      </c>
      <c r="V250" s="4">
        <f>MAX(U243:U263)</f>
        <v>119.89153885743693</v>
      </c>
      <c r="W250">
        <v>1373</v>
      </c>
      <c r="X250">
        <f t="shared" si="33"/>
        <v>113278.29999999999</v>
      </c>
      <c r="Y250">
        <f t="shared" si="34"/>
        <v>10567</v>
      </c>
      <c r="Z250">
        <v>12.649619432956532</v>
      </c>
    </row>
    <row r="251" spans="1:29" x14ac:dyDescent="0.25">
      <c r="A251">
        <v>5160</v>
      </c>
      <c r="B251">
        <v>23050</v>
      </c>
      <c r="C251" s="1">
        <v>42828</v>
      </c>
      <c r="F251" s="35"/>
      <c r="G251">
        <v>12.3</v>
      </c>
      <c r="H251">
        <v>5.6</v>
      </c>
      <c r="I251">
        <v>18.100000000000001</v>
      </c>
      <c r="J251">
        <f t="shared" si="30"/>
        <v>1515.9000000000008</v>
      </c>
      <c r="K251">
        <f t="shared" si="31"/>
        <v>108.5</v>
      </c>
      <c r="L251" s="17" t="s">
        <v>39</v>
      </c>
      <c r="M251">
        <v>0</v>
      </c>
      <c r="N251">
        <v>2.7</v>
      </c>
      <c r="O251">
        <f t="shared" si="27"/>
        <v>-2.7</v>
      </c>
      <c r="Q251">
        <v>202</v>
      </c>
      <c r="R251">
        <v>1.1499999999999999</v>
      </c>
      <c r="S251">
        <f t="shared" si="28"/>
        <v>3.105</v>
      </c>
      <c r="T251">
        <f t="shared" si="29"/>
        <v>-3.105</v>
      </c>
      <c r="U251" s="4">
        <f t="shared" si="32"/>
        <v>101.70653885743694</v>
      </c>
      <c r="V251" s="19" t="s">
        <v>46</v>
      </c>
      <c r="W251">
        <v>1737.4</v>
      </c>
      <c r="X251">
        <f t="shared" si="33"/>
        <v>115015.69999999998</v>
      </c>
      <c r="Y251">
        <f t="shared" si="34"/>
        <v>12304.4</v>
      </c>
      <c r="Z251">
        <v>12.708293547294545</v>
      </c>
    </row>
    <row r="252" spans="1:29" x14ac:dyDescent="0.25">
      <c r="A252">
        <v>5160</v>
      </c>
      <c r="B252">
        <v>23050</v>
      </c>
      <c r="C252" s="1">
        <v>42829</v>
      </c>
      <c r="F252" s="35"/>
      <c r="G252">
        <v>10.6</v>
      </c>
      <c r="H252">
        <v>5.5</v>
      </c>
      <c r="I252">
        <v>15.6</v>
      </c>
      <c r="J252">
        <f t="shared" si="30"/>
        <v>1526.5000000000007</v>
      </c>
      <c r="K252">
        <f t="shared" si="31"/>
        <v>119.1</v>
      </c>
      <c r="L252" s="10">
        <v>0</v>
      </c>
      <c r="M252">
        <v>0</v>
      </c>
      <c r="N252">
        <v>1.5</v>
      </c>
      <c r="O252">
        <f t="shared" si="27"/>
        <v>-1.5</v>
      </c>
      <c r="Q252">
        <v>203</v>
      </c>
      <c r="R252">
        <v>1.1499999999999999</v>
      </c>
      <c r="S252">
        <f t="shared" si="28"/>
        <v>1.7249999999999999</v>
      </c>
      <c r="T252">
        <f t="shared" si="29"/>
        <v>-1.7249999999999999</v>
      </c>
      <c r="U252" s="4">
        <f t="shared" si="32"/>
        <v>99.981538857436945</v>
      </c>
      <c r="V252" s="4">
        <f>AVERAGE(U243:U263)</f>
        <v>94.839396000294087</v>
      </c>
      <c r="W252">
        <v>824.2</v>
      </c>
      <c r="X252">
        <f t="shared" si="33"/>
        <v>115839.89999999998</v>
      </c>
      <c r="Y252">
        <f t="shared" si="34"/>
        <v>13128.6</v>
      </c>
      <c r="Z252">
        <v>12.766866025147435</v>
      </c>
    </row>
    <row r="253" spans="1:29" x14ac:dyDescent="0.25">
      <c r="A253">
        <v>5160</v>
      </c>
      <c r="B253">
        <v>23050</v>
      </c>
      <c r="C253" s="1">
        <v>42830</v>
      </c>
      <c r="F253" s="35"/>
      <c r="G253">
        <v>10.9</v>
      </c>
      <c r="H253">
        <v>7.7</v>
      </c>
      <c r="I253">
        <v>14.7</v>
      </c>
      <c r="J253">
        <f t="shared" si="30"/>
        <v>1537.4000000000008</v>
      </c>
      <c r="K253">
        <f t="shared" si="31"/>
        <v>130</v>
      </c>
      <c r="L253" s="17" t="s">
        <v>40</v>
      </c>
      <c r="M253">
        <v>0</v>
      </c>
      <c r="N253">
        <v>2.1</v>
      </c>
      <c r="O253">
        <f t="shared" si="27"/>
        <v>-2.1</v>
      </c>
      <c r="Q253">
        <v>204</v>
      </c>
      <c r="R253">
        <v>1.1499999999999999</v>
      </c>
      <c r="S253">
        <f t="shared" si="28"/>
        <v>2.415</v>
      </c>
      <c r="T253">
        <f t="shared" si="29"/>
        <v>-2.415</v>
      </c>
      <c r="U253" s="4">
        <f t="shared" si="32"/>
        <v>97.566538857436939</v>
      </c>
      <c r="W253">
        <v>1391.2</v>
      </c>
      <c r="X253">
        <f t="shared" si="33"/>
        <v>117231.09999999998</v>
      </c>
      <c r="Y253">
        <f t="shared" si="34"/>
        <v>14519.800000000001</v>
      </c>
      <c r="Z253">
        <v>12.825327594718221</v>
      </c>
    </row>
    <row r="254" spans="1:29" x14ac:dyDescent="0.25">
      <c r="A254">
        <v>5160</v>
      </c>
      <c r="B254">
        <v>23050</v>
      </c>
      <c r="C254" s="1">
        <v>42831</v>
      </c>
      <c r="F254" s="35"/>
      <c r="G254">
        <v>8.8000000000000007</v>
      </c>
      <c r="H254">
        <v>3.8</v>
      </c>
      <c r="I254">
        <v>12.6</v>
      </c>
      <c r="J254">
        <f t="shared" si="30"/>
        <v>1546.2000000000007</v>
      </c>
      <c r="K254">
        <f t="shared" si="31"/>
        <v>138.80000000000001</v>
      </c>
      <c r="L254" s="10">
        <v>7</v>
      </c>
      <c r="M254">
        <v>0</v>
      </c>
      <c r="N254">
        <v>2.4</v>
      </c>
      <c r="O254">
        <f t="shared" si="27"/>
        <v>-2.4</v>
      </c>
      <c r="Q254">
        <v>205</v>
      </c>
      <c r="R254">
        <v>1.1499999999999999</v>
      </c>
      <c r="S254">
        <f t="shared" si="28"/>
        <v>2.76</v>
      </c>
      <c r="T254">
        <f t="shared" si="29"/>
        <v>-2.76</v>
      </c>
      <c r="U254" s="4">
        <f t="shared" si="32"/>
        <v>94.806538857436934</v>
      </c>
      <c r="V254">
        <f>(V252*100)/138.9</f>
        <v>68.278902807987109</v>
      </c>
      <c r="W254">
        <v>1699.3</v>
      </c>
      <c r="X254">
        <f t="shared" si="33"/>
        <v>118930.39999999998</v>
      </c>
      <c r="Y254">
        <f t="shared" si="34"/>
        <v>16219.1</v>
      </c>
      <c r="Z254">
        <v>12.88366879356993</v>
      </c>
    </row>
    <row r="255" spans="1:29" x14ac:dyDescent="0.25">
      <c r="A255">
        <v>5160</v>
      </c>
      <c r="B255">
        <v>23050</v>
      </c>
      <c r="C255" s="1">
        <v>42832</v>
      </c>
      <c r="F255" s="35"/>
      <c r="G255">
        <v>10.199999999999999</v>
      </c>
      <c r="H255">
        <v>3</v>
      </c>
      <c r="I255">
        <v>16.2</v>
      </c>
      <c r="J255">
        <f t="shared" si="30"/>
        <v>1556.4000000000008</v>
      </c>
      <c r="K255">
        <f t="shared" si="31"/>
        <v>149</v>
      </c>
      <c r="L255" s="17" t="s">
        <v>41</v>
      </c>
      <c r="M255">
        <v>0</v>
      </c>
      <c r="N255">
        <v>3</v>
      </c>
      <c r="O255">
        <f t="shared" si="27"/>
        <v>-3</v>
      </c>
      <c r="Q255">
        <v>206</v>
      </c>
      <c r="R255">
        <v>1.1499999999999999</v>
      </c>
      <c r="S255">
        <f t="shared" si="28"/>
        <v>3.4499999999999997</v>
      </c>
      <c r="T255">
        <f t="shared" si="29"/>
        <v>-3.4499999999999997</v>
      </c>
      <c r="U255" s="4">
        <f t="shared" si="32"/>
        <v>91.356538857436931</v>
      </c>
      <c r="W255">
        <v>2156.9</v>
      </c>
      <c r="X255">
        <f t="shared" si="33"/>
        <v>121087.29999999997</v>
      </c>
      <c r="Y255">
        <f t="shared" si="34"/>
        <v>18376</v>
      </c>
      <c r="Z255">
        <v>12.941879954720434</v>
      </c>
    </row>
    <row r="256" spans="1:29" x14ac:dyDescent="0.25">
      <c r="A256">
        <v>5160</v>
      </c>
      <c r="B256">
        <v>23050</v>
      </c>
      <c r="C256" s="1">
        <v>42833</v>
      </c>
      <c r="F256" s="35"/>
      <c r="G256">
        <v>13.9</v>
      </c>
      <c r="H256">
        <v>6.5</v>
      </c>
      <c r="I256">
        <v>20.2</v>
      </c>
      <c r="J256">
        <f t="shared" si="30"/>
        <v>1570.3000000000009</v>
      </c>
      <c r="K256">
        <f t="shared" si="31"/>
        <v>162.9</v>
      </c>
      <c r="L256" s="18">
        <v>0</v>
      </c>
      <c r="M256">
        <v>0</v>
      </c>
      <c r="N256">
        <v>3.8</v>
      </c>
      <c r="O256">
        <f t="shared" si="27"/>
        <v>-3.8</v>
      </c>
      <c r="Q256">
        <v>207</v>
      </c>
      <c r="R256">
        <v>1.1499999999999999</v>
      </c>
      <c r="S256">
        <f t="shared" si="28"/>
        <v>4.3699999999999992</v>
      </c>
      <c r="T256">
        <f t="shared" si="29"/>
        <v>-4.3699999999999992</v>
      </c>
      <c r="U256" s="4">
        <f t="shared" si="32"/>
        <v>86.986538857436926</v>
      </c>
      <c r="W256">
        <v>2359.1999999999998</v>
      </c>
      <c r="X256">
        <f t="shared" si="33"/>
        <v>123446.49999999997</v>
      </c>
      <c r="Y256">
        <f t="shared" si="34"/>
        <v>20735.2</v>
      </c>
      <c r="Z256">
        <v>12.999951192928568</v>
      </c>
    </row>
    <row r="257" spans="1:27" x14ac:dyDescent="0.25">
      <c r="A257">
        <v>5160</v>
      </c>
      <c r="B257">
        <v>23050</v>
      </c>
      <c r="C257" s="1">
        <v>42834</v>
      </c>
      <c r="F257" s="35"/>
      <c r="G257">
        <v>16.3</v>
      </c>
      <c r="H257">
        <v>8.3000000000000007</v>
      </c>
      <c r="I257">
        <v>23.8</v>
      </c>
      <c r="J257">
        <f t="shared" si="30"/>
        <v>1586.6000000000008</v>
      </c>
      <c r="K257">
        <f t="shared" si="31"/>
        <v>179.20000000000002</v>
      </c>
      <c r="M257">
        <v>0</v>
      </c>
      <c r="N257">
        <v>4.2</v>
      </c>
      <c r="O257">
        <f t="shared" si="27"/>
        <v>-4.2</v>
      </c>
      <c r="Q257">
        <v>208</v>
      </c>
      <c r="R257">
        <v>1.1499999999999999</v>
      </c>
      <c r="S257">
        <f t="shared" si="28"/>
        <v>4.83</v>
      </c>
      <c r="T257">
        <f t="shared" si="29"/>
        <v>-4.83</v>
      </c>
      <c r="U257" s="4">
        <f t="shared" si="32"/>
        <v>82.156538857436928</v>
      </c>
      <c r="W257">
        <v>2397.1</v>
      </c>
      <c r="X257">
        <f t="shared" si="33"/>
        <v>125843.59999999998</v>
      </c>
      <c r="Y257">
        <f t="shared" si="34"/>
        <v>23132.3</v>
      </c>
      <c r="Z257">
        <v>13.057872391193143</v>
      </c>
    </row>
    <row r="258" spans="1:27" x14ac:dyDescent="0.25">
      <c r="A258">
        <v>5160</v>
      </c>
      <c r="B258">
        <v>23050</v>
      </c>
      <c r="C258" s="1">
        <v>42835</v>
      </c>
      <c r="F258" s="35"/>
      <c r="G258">
        <v>11.7</v>
      </c>
      <c r="H258">
        <v>8.1</v>
      </c>
      <c r="I258">
        <v>16</v>
      </c>
      <c r="J258">
        <f t="shared" si="30"/>
        <v>1598.3000000000009</v>
      </c>
      <c r="K258">
        <f t="shared" si="31"/>
        <v>190.9</v>
      </c>
      <c r="M258">
        <v>0</v>
      </c>
      <c r="N258">
        <v>1.7</v>
      </c>
      <c r="O258">
        <f t="shared" si="27"/>
        <v>-1.7</v>
      </c>
      <c r="Q258">
        <v>209</v>
      </c>
      <c r="R258">
        <v>1.1499999999999999</v>
      </c>
      <c r="S258">
        <f t="shared" si="28"/>
        <v>1.9549999999999998</v>
      </c>
      <c r="T258">
        <f t="shared" si="29"/>
        <v>-1.9549999999999998</v>
      </c>
      <c r="U258" s="4">
        <f t="shared" si="32"/>
        <v>80.20153885743693</v>
      </c>
      <c r="W258">
        <v>1108.5999999999999</v>
      </c>
      <c r="X258">
        <f t="shared" si="33"/>
        <v>126952.19999999998</v>
      </c>
      <c r="Y258">
        <f t="shared" si="34"/>
        <v>24240.899999999998</v>
      </c>
      <c r="Z258">
        <v>13.115633187488191</v>
      </c>
    </row>
    <row r="259" spans="1:27" x14ac:dyDescent="0.25">
      <c r="A259">
        <v>5160</v>
      </c>
      <c r="B259">
        <v>23050</v>
      </c>
      <c r="C259" s="1">
        <v>42836</v>
      </c>
      <c r="F259" s="35"/>
      <c r="G259">
        <v>9.5</v>
      </c>
      <c r="H259">
        <v>4.4000000000000004</v>
      </c>
      <c r="I259">
        <v>14</v>
      </c>
      <c r="J259">
        <f t="shared" si="30"/>
        <v>1607.8000000000009</v>
      </c>
      <c r="K259">
        <f t="shared" si="31"/>
        <v>200.4</v>
      </c>
      <c r="M259">
        <v>0</v>
      </c>
      <c r="N259">
        <v>3.1</v>
      </c>
      <c r="O259">
        <f t="shared" si="27"/>
        <v>-3.1</v>
      </c>
      <c r="Q259">
        <v>210</v>
      </c>
      <c r="R259">
        <v>1.1499999999999999</v>
      </c>
      <c r="S259">
        <f t="shared" si="28"/>
        <v>3.5649999999999999</v>
      </c>
      <c r="T259">
        <f t="shared" si="29"/>
        <v>-3.5649999999999999</v>
      </c>
      <c r="U259" s="4">
        <f t="shared" si="32"/>
        <v>76.636538857436932</v>
      </c>
      <c r="W259">
        <v>2180.4</v>
      </c>
      <c r="X259">
        <f t="shared" si="33"/>
        <v>129132.59999999998</v>
      </c>
      <c r="Y259">
        <f t="shared" si="34"/>
        <v>26421.3</v>
      </c>
      <c r="Z259">
        <v>13.173222961759436</v>
      </c>
    </row>
    <row r="260" spans="1:27" x14ac:dyDescent="0.25">
      <c r="A260">
        <v>5160</v>
      </c>
      <c r="B260">
        <v>23050</v>
      </c>
      <c r="C260" s="1">
        <v>42837</v>
      </c>
      <c r="F260" s="35"/>
      <c r="G260">
        <v>10.5</v>
      </c>
      <c r="H260">
        <v>3</v>
      </c>
      <c r="I260">
        <v>16.7</v>
      </c>
      <c r="J260">
        <f t="shared" si="30"/>
        <v>1618.3000000000009</v>
      </c>
      <c r="K260">
        <f t="shared" si="31"/>
        <v>210.9</v>
      </c>
      <c r="M260">
        <v>0</v>
      </c>
      <c r="N260">
        <v>3.3</v>
      </c>
      <c r="O260">
        <f t="shared" si="27"/>
        <v>-3.3</v>
      </c>
      <c r="Q260">
        <v>211</v>
      </c>
      <c r="R260">
        <v>1.1499999999999999</v>
      </c>
      <c r="S260">
        <f t="shared" si="28"/>
        <v>3.7949999999999995</v>
      </c>
      <c r="T260">
        <f t="shared" si="29"/>
        <v>-3.7949999999999995</v>
      </c>
      <c r="U260" s="4">
        <f t="shared" si="32"/>
        <v>72.84153885743693</v>
      </c>
      <c r="W260">
        <v>2428.8000000000002</v>
      </c>
      <c r="X260">
        <f t="shared" si="33"/>
        <v>131561.39999999997</v>
      </c>
      <c r="Y260">
        <f t="shared" si="34"/>
        <v>28850.1</v>
      </c>
      <c r="Z260">
        <v>13.230630823208815</v>
      </c>
    </row>
    <row r="261" spans="1:27" x14ac:dyDescent="0.25">
      <c r="A261">
        <v>5160</v>
      </c>
      <c r="B261">
        <v>23050</v>
      </c>
      <c r="C261" s="1">
        <v>42838</v>
      </c>
      <c r="F261" s="35"/>
      <c r="G261">
        <v>10</v>
      </c>
      <c r="H261">
        <v>2.9</v>
      </c>
      <c r="I261">
        <v>14.8</v>
      </c>
      <c r="J261">
        <f t="shared" si="30"/>
        <v>1628.3000000000009</v>
      </c>
      <c r="K261">
        <f t="shared" si="31"/>
        <v>220.9</v>
      </c>
      <c r="M261">
        <v>0</v>
      </c>
      <c r="N261">
        <v>1.5</v>
      </c>
      <c r="O261">
        <f t="shared" si="27"/>
        <v>-1.5</v>
      </c>
      <c r="Q261">
        <v>212</v>
      </c>
      <c r="R261">
        <v>1.1499999999999999</v>
      </c>
      <c r="S261">
        <f t="shared" si="28"/>
        <v>1.7249999999999999</v>
      </c>
      <c r="T261">
        <f t="shared" si="29"/>
        <v>-1.7249999999999999</v>
      </c>
      <c r="U261" s="4">
        <f t="shared" si="32"/>
        <v>71.116538857436936</v>
      </c>
      <c r="W261">
        <v>1393.6</v>
      </c>
      <c r="X261">
        <f t="shared" si="33"/>
        <v>132954.99999999997</v>
      </c>
      <c r="Y261">
        <f t="shared" si="34"/>
        <v>30243.699999999997</v>
      </c>
      <c r="Z261">
        <v>13.287845597895835</v>
      </c>
    </row>
    <row r="262" spans="1:27" x14ac:dyDescent="0.25">
      <c r="A262">
        <v>5160</v>
      </c>
      <c r="B262">
        <v>23050</v>
      </c>
      <c r="C262" s="1">
        <v>42839</v>
      </c>
      <c r="F262" s="35"/>
      <c r="G262">
        <v>11.9</v>
      </c>
      <c r="H262">
        <v>8</v>
      </c>
      <c r="I262">
        <v>15.6</v>
      </c>
      <c r="J262">
        <f t="shared" si="30"/>
        <v>1640.200000000001</v>
      </c>
      <c r="K262">
        <f t="shared" si="31"/>
        <v>232.8</v>
      </c>
      <c r="M262">
        <v>0</v>
      </c>
      <c r="N262">
        <v>1.5</v>
      </c>
      <c r="O262">
        <f t="shared" ref="O262:O325" si="35">M262-N262</f>
        <v>-1.5</v>
      </c>
      <c r="Q262">
        <v>213</v>
      </c>
      <c r="R262">
        <v>1.1499999999999999</v>
      </c>
      <c r="S262">
        <f t="shared" ref="S262:S325" si="36">R262*N262</f>
        <v>1.7249999999999999</v>
      </c>
      <c r="T262">
        <f t="shared" ref="T262:T325" si="37">M262-S262</f>
        <v>-1.7249999999999999</v>
      </c>
      <c r="U262" s="4">
        <f t="shared" si="32"/>
        <v>69.391538857436942</v>
      </c>
      <c r="W262">
        <v>1081.5999999999999</v>
      </c>
      <c r="X262">
        <f t="shared" si="33"/>
        <v>134036.59999999998</v>
      </c>
      <c r="Y262">
        <f t="shared" si="34"/>
        <v>31325.299999999996</v>
      </c>
      <c r="Z262">
        <v>13.344855816686488</v>
      </c>
    </row>
    <row r="263" spans="1:27" s="6" customFormat="1" ht="15.75" thickBot="1" x14ac:dyDescent="0.3">
      <c r="A263" s="6">
        <v>5160</v>
      </c>
      <c r="B263" s="6">
        <v>23050</v>
      </c>
      <c r="C263" s="7">
        <v>42840</v>
      </c>
      <c r="D263" s="6" t="s">
        <v>34</v>
      </c>
      <c r="F263" s="36"/>
      <c r="G263" s="6">
        <v>10.6</v>
      </c>
      <c r="H263" s="6">
        <v>7.9</v>
      </c>
      <c r="I263" s="6">
        <v>12.7</v>
      </c>
      <c r="J263" s="6">
        <f t="shared" si="30"/>
        <v>1650.8000000000009</v>
      </c>
      <c r="K263" s="6">
        <f t="shared" si="31"/>
        <v>243.4</v>
      </c>
      <c r="M263" s="6">
        <v>0.2</v>
      </c>
      <c r="N263" s="6">
        <v>0.9</v>
      </c>
      <c r="O263" s="6">
        <f t="shared" si="35"/>
        <v>-0.7</v>
      </c>
      <c r="Q263" s="6">
        <v>214</v>
      </c>
      <c r="R263" s="6">
        <v>1.1499999999999999</v>
      </c>
      <c r="S263" s="6">
        <f t="shared" si="36"/>
        <v>1.0349999999999999</v>
      </c>
      <c r="T263" s="6">
        <f t="shared" si="37"/>
        <v>-0.83499999999999996</v>
      </c>
      <c r="U263" s="8">
        <f t="shared" si="32"/>
        <v>68.556538857436948</v>
      </c>
      <c r="W263" s="6">
        <v>396</v>
      </c>
      <c r="X263" s="6">
        <f t="shared" si="33"/>
        <v>134432.59999999998</v>
      </c>
      <c r="Y263" s="6">
        <f t="shared" si="34"/>
        <v>31721.299999999996</v>
      </c>
      <c r="Z263" s="6">
        <v>13.401649703582539</v>
      </c>
    </row>
    <row r="264" spans="1:27" x14ac:dyDescent="0.25">
      <c r="A264">
        <v>5160</v>
      </c>
      <c r="B264">
        <v>23050</v>
      </c>
      <c r="C264" s="1">
        <v>42841</v>
      </c>
      <c r="F264" s="37" t="s">
        <v>57</v>
      </c>
      <c r="G264">
        <v>10</v>
      </c>
      <c r="H264">
        <v>6.6</v>
      </c>
      <c r="I264">
        <v>13.3</v>
      </c>
      <c r="J264">
        <f t="shared" si="30"/>
        <v>1660.8000000000009</v>
      </c>
      <c r="K264">
        <f>G264</f>
        <v>10</v>
      </c>
      <c r="L264" s="20" t="s">
        <v>35</v>
      </c>
      <c r="M264">
        <v>0</v>
      </c>
      <c r="N264">
        <v>1.4</v>
      </c>
      <c r="O264">
        <f t="shared" si="35"/>
        <v>-1.4</v>
      </c>
      <c r="Q264">
        <v>215</v>
      </c>
      <c r="R264">
        <v>1.1499999999999999</v>
      </c>
      <c r="S264">
        <f t="shared" si="36"/>
        <v>1.6099999999999999</v>
      </c>
      <c r="T264">
        <f t="shared" si="37"/>
        <v>-1.6099999999999999</v>
      </c>
      <c r="U264" s="4">
        <f t="shared" si="32"/>
        <v>66.946538857436948</v>
      </c>
      <c r="V264" s="21" t="s">
        <v>42</v>
      </c>
      <c r="W264">
        <v>871.9</v>
      </c>
      <c r="X264">
        <f t="shared" si="33"/>
        <v>135304.49999999997</v>
      </c>
      <c r="Y264">
        <f>W264</f>
        <v>871.9</v>
      </c>
      <c r="Z264">
        <v>13.458215164466171</v>
      </c>
      <c r="AA264" s="21" t="s">
        <v>47</v>
      </c>
    </row>
    <row r="265" spans="1:27" x14ac:dyDescent="0.25">
      <c r="A265">
        <v>5160</v>
      </c>
      <c r="B265">
        <v>23050</v>
      </c>
      <c r="C265" s="1">
        <v>42842</v>
      </c>
      <c r="F265" s="38"/>
      <c r="G265">
        <v>9</v>
      </c>
      <c r="H265">
        <v>4.0999999999999996</v>
      </c>
      <c r="I265">
        <v>13.9</v>
      </c>
      <c r="J265">
        <f t="shared" si="30"/>
        <v>1669.8000000000009</v>
      </c>
      <c r="K265">
        <f t="shared" si="31"/>
        <v>19</v>
      </c>
      <c r="L265" s="10">
        <v>311</v>
      </c>
      <c r="M265">
        <v>0</v>
      </c>
      <c r="N265">
        <v>1.8</v>
      </c>
      <c r="O265">
        <f t="shared" si="35"/>
        <v>-1.8</v>
      </c>
      <c r="Q265">
        <v>216</v>
      </c>
      <c r="R265">
        <v>1.1499999999999999</v>
      </c>
      <c r="S265">
        <f t="shared" si="36"/>
        <v>2.0699999999999998</v>
      </c>
      <c r="T265">
        <f t="shared" si="37"/>
        <v>-2.0699999999999998</v>
      </c>
      <c r="U265" s="4">
        <f t="shared" si="32"/>
        <v>64.876538857436955</v>
      </c>
      <c r="V265">
        <v>0</v>
      </c>
      <c r="W265">
        <v>1463.8</v>
      </c>
      <c r="X265">
        <f t="shared" si="33"/>
        <v>136768.29999999996</v>
      </c>
      <c r="Y265">
        <f t="shared" si="34"/>
        <v>2335.6999999999998</v>
      </c>
      <c r="Z265">
        <v>13.514539776297129</v>
      </c>
      <c r="AA265">
        <v>45891.3</v>
      </c>
    </row>
    <row r="266" spans="1:27" x14ac:dyDescent="0.25">
      <c r="A266">
        <v>5160</v>
      </c>
      <c r="B266">
        <v>23050</v>
      </c>
      <c r="C266" s="1">
        <v>42843</v>
      </c>
      <c r="F266" s="38"/>
      <c r="G266">
        <v>7.4</v>
      </c>
      <c r="H266">
        <v>3.2</v>
      </c>
      <c r="I266">
        <v>11.8</v>
      </c>
      <c r="J266">
        <f t="shared" si="30"/>
        <v>1677.200000000001</v>
      </c>
      <c r="K266">
        <f t="shared" si="31"/>
        <v>26.4</v>
      </c>
      <c r="L266" s="20" t="s">
        <v>36</v>
      </c>
      <c r="M266">
        <v>0</v>
      </c>
      <c r="N266">
        <v>2.4</v>
      </c>
      <c r="O266">
        <f t="shared" si="35"/>
        <v>-2.4</v>
      </c>
      <c r="Q266">
        <v>217</v>
      </c>
      <c r="R266">
        <v>1.1499999999999999</v>
      </c>
      <c r="S266">
        <f t="shared" si="36"/>
        <v>2.76</v>
      </c>
      <c r="T266">
        <f t="shared" si="37"/>
        <v>-2.76</v>
      </c>
      <c r="U266" s="4">
        <f t="shared" si="32"/>
        <v>62.116538857436957</v>
      </c>
      <c r="V266" s="21" t="s">
        <v>43</v>
      </c>
      <c r="W266">
        <v>1754.1</v>
      </c>
      <c r="X266">
        <f t="shared" si="33"/>
        <v>138522.39999999997</v>
      </c>
      <c r="Y266">
        <f t="shared" si="34"/>
        <v>4089.7999999999997</v>
      </c>
      <c r="Z266">
        <v>13.570610776801766</v>
      </c>
      <c r="AA266" s="21" t="s">
        <v>48</v>
      </c>
    </row>
    <row r="267" spans="1:27" x14ac:dyDescent="0.25">
      <c r="A267">
        <v>5160</v>
      </c>
      <c r="B267">
        <v>23050</v>
      </c>
      <c r="C267" s="1">
        <v>42844</v>
      </c>
      <c r="F267" s="38"/>
      <c r="G267">
        <v>6.4</v>
      </c>
      <c r="H267">
        <v>2</v>
      </c>
      <c r="I267">
        <v>11.6</v>
      </c>
      <c r="J267">
        <f t="shared" si="30"/>
        <v>1683.600000000001</v>
      </c>
      <c r="K267">
        <f t="shared" si="31"/>
        <v>32.799999999999997</v>
      </c>
      <c r="L267" s="10">
        <f>AVERAGE(G264:G293)</f>
        <v>10.366666666666667</v>
      </c>
      <c r="M267">
        <v>0</v>
      </c>
      <c r="N267">
        <v>3</v>
      </c>
      <c r="O267">
        <f t="shared" si="35"/>
        <v>-3</v>
      </c>
      <c r="Q267">
        <v>218</v>
      </c>
      <c r="R267">
        <v>1.1499999999999999</v>
      </c>
      <c r="S267">
        <f t="shared" si="36"/>
        <v>3.4499999999999997</v>
      </c>
      <c r="T267">
        <f t="shared" si="37"/>
        <v>-3.4499999999999997</v>
      </c>
      <c r="U267" s="4">
        <f t="shared" si="32"/>
        <v>58.666538857436954</v>
      </c>
      <c r="V267">
        <v>18</v>
      </c>
      <c r="W267">
        <v>1902</v>
      </c>
      <c r="X267">
        <f t="shared" si="33"/>
        <v>140424.39999999997</v>
      </c>
      <c r="Y267">
        <f t="shared" si="34"/>
        <v>5991.7999999999993</v>
      </c>
      <c r="Z267">
        <v>13.626415054695777</v>
      </c>
      <c r="AA267">
        <f>(AA265/100)/L265</f>
        <v>1.4756045016077171</v>
      </c>
    </row>
    <row r="268" spans="1:27" x14ac:dyDescent="0.25">
      <c r="A268">
        <v>5160</v>
      </c>
      <c r="B268">
        <v>23050</v>
      </c>
      <c r="C268" s="1">
        <v>42845</v>
      </c>
      <c r="F268" s="38"/>
      <c r="G268">
        <v>6.2</v>
      </c>
      <c r="H268">
        <v>-0.1</v>
      </c>
      <c r="I268">
        <v>11.4</v>
      </c>
      <c r="J268">
        <f t="shared" si="30"/>
        <v>1689.8000000000011</v>
      </c>
      <c r="K268">
        <f t="shared" si="31"/>
        <v>39</v>
      </c>
      <c r="L268" s="20" t="s">
        <v>37</v>
      </c>
      <c r="M268">
        <v>0</v>
      </c>
      <c r="N268">
        <v>3.6</v>
      </c>
      <c r="O268">
        <f t="shared" si="35"/>
        <v>-3.6</v>
      </c>
      <c r="Q268">
        <v>219</v>
      </c>
      <c r="R268">
        <v>1.1499999999999999</v>
      </c>
      <c r="S268">
        <f t="shared" si="36"/>
        <v>4.1399999999999997</v>
      </c>
      <c r="T268">
        <f t="shared" si="37"/>
        <v>-4.1399999999999997</v>
      </c>
      <c r="U268" s="4">
        <f t="shared" si="32"/>
        <v>54.526538857436954</v>
      </c>
      <c r="V268" s="21" t="s">
        <v>44</v>
      </c>
      <c r="W268">
        <v>2697</v>
      </c>
      <c r="X268">
        <f t="shared" si="33"/>
        <v>143121.39999999997</v>
      </c>
      <c r="Y268">
        <f t="shared" si="34"/>
        <v>8688.7999999999993</v>
      </c>
      <c r="Z268">
        <v>13.681939140484539</v>
      </c>
      <c r="AA268" s="21" t="s">
        <v>49</v>
      </c>
    </row>
    <row r="269" spans="1:27" x14ac:dyDescent="0.25">
      <c r="A269">
        <v>5160</v>
      </c>
      <c r="B269">
        <v>23050</v>
      </c>
      <c r="C269" s="1">
        <v>42846</v>
      </c>
      <c r="F269" s="38"/>
      <c r="G269">
        <v>9.1</v>
      </c>
      <c r="H269">
        <v>2.5</v>
      </c>
      <c r="I269">
        <v>15.5</v>
      </c>
      <c r="J269">
        <f t="shared" si="30"/>
        <v>1698.900000000001</v>
      </c>
      <c r="K269">
        <f t="shared" si="31"/>
        <v>48.1</v>
      </c>
      <c r="L269" s="11">
        <f>MIN(H264:H293)</f>
        <v>-0.1</v>
      </c>
      <c r="M269">
        <v>0</v>
      </c>
      <c r="N269">
        <v>4.2</v>
      </c>
      <c r="O269">
        <f t="shared" si="35"/>
        <v>-4.2</v>
      </c>
      <c r="Q269">
        <v>220</v>
      </c>
      <c r="R269">
        <v>1.1499999999999999</v>
      </c>
      <c r="S269">
        <f t="shared" si="36"/>
        <v>4.83</v>
      </c>
      <c r="T269">
        <f t="shared" si="37"/>
        <v>-4.83</v>
      </c>
      <c r="U269" s="4">
        <f t="shared" si="32"/>
        <v>49.696538857436956</v>
      </c>
      <c r="V269" s="4">
        <f>MIN(U264:U293)</f>
        <v>28.626538857436952</v>
      </c>
      <c r="W269">
        <v>2701.5</v>
      </c>
      <c r="X269">
        <f t="shared" si="33"/>
        <v>145822.89999999997</v>
      </c>
      <c r="Y269">
        <f t="shared" si="34"/>
        <v>11390.3</v>
      </c>
      <c r="Z269">
        <v>13.737169197887544</v>
      </c>
      <c r="AA269">
        <v>5</v>
      </c>
    </row>
    <row r="270" spans="1:27" x14ac:dyDescent="0.25">
      <c r="A270">
        <v>5160</v>
      </c>
      <c r="B270">
        <v>23050</v>
      </c>
      <c r="C270" s="1">
        <v>42847</v>
      </c>
      <c r="F270" s="38"/>
      <c r="G270">
        <v>10.5</v>
      </c>
      <c r="H270">
        <v>2.9</v>
      </c>
      <c r="I270">
        <v>16.899999999999999</v>
      </c>
      <c r="J270">
        <f t="shared" si="30"/>
        <v>1709.400000000001</v>
      </c>
      <c r="K270">
        <f t="shared" si="31"/>
        <v>58.6</v>
      </c>
      <c r="L270" s="20" t="s">
        <v>38</v>
      </c>
      <c r="M270">
        <v>0</v>
      </c>
      <c r="N270">
        <v>2.4</v>
      </c>
      <c r="O270">
        <f t="shared" si="35"/>
        <v>-2.4</v>
      </c>
      <c r="Q270">
        <v>221</v>
      </c>
      <c r="R270">
        <v>1.1499999999999999</v>
      </c>
      <c r="S270">
        <f t="shared" si="36"/>
        <v>2.76</v>
      </c>
      <c r="T270">
        <f t="shared" si="37"/>
        <v>-2.76</v>
      </c>
      <c r="U270" s="4">
        <f t="shared" si="32"/>
        <v>46.936538857436958</v>
      </c>
      <c r="V270" s="21" t="s">
        <v>45</v>
      </c>
      <c r="W270">
        <v>1491.6</v>
      </c>
      <c r="X270">
        <f t="shared" si="33"/>
        <v>147314.49999999997</v>
      </c>
      <c r="Y270">
        <f t="shared" si="34"/>
        <v>12881.9</v>
      </c>
      <c r="Z270">
        <v>13.792091015935526</v>
      </c>
    </row>
    <row r="271" spans="1:27" x14ac:dyDescent="0.25">
      <c r="A271">
        <v>5160</v>
      </c>
      <c r="B271">
        <v>23050</v>
      </c>
      <c r="C271" s="1">
        <v>42848</v>
      </c>
      <c r="F271" s="38"/>
      <c r="G271">
        <v>9.6999999999999993</v>
      </c>
      <c r="H271">
        <v>4.9000000000000004</v>
      </c>
      <c r="I271">
        <v>14.4</v>
      </c>
      <c r="J271">
        <f t="shared" si="30"/>
        <v>1719.100000000001</v>
      </c>
      <c r="K271">
        <f t="shared" si="31"/>
        <v>68.3</v>
      </c>
      <c r="L271" s="10">
        <f>MAX(I264:I293)</f>
        <v>22.9</v>
      </c>
      <c r="M271">
        <v>0</v>
      </c>
      <c r="N271">
        <v>3.9</v>
      </c>
      <c r="O271">
        <f t="shared" si="35"/>
        <v>-3.9</v>
      </c>
      <c r="Q271">
        <v>222</v>
      </c>
      <c r="R271">
        <v>1.1499999999999999</v>
      </c>
      <c r="S271">
        <f t="shared" si="36"/>
        <v>4.4849999999999994</v>
      </c>
      <c r="T271">
        <f t="shared" si="37"/>
        <v>-4.4849999999999994</v>
      </c>
      <c r="U271" s="4">
        <f t="shared" si="32"/>
        <v>42.451538857436958</v>
      </c>
      <c r="V271" s="4">
        <f>MAX(U264:U293)</f>
        <v>66.946538857436948</v>
      </c>
      <c r="W271">
        <v>2681.2</v>
      </c>
      <c r="X271">
        <f t="shared" si="33"/>
        <v>149995.69999999998</v>
      </c>
      <c r="Y271">
        <f t="shared" si="34"/>
        <v>15563.099999999999</v>
      </c>
      <c r="Z271">
        <v>13.846690001791368</v>
      </c>
    </row>
    <row r="272" spans="1:27" x14ac:dyDescent="0.25">
      <c r="A272">
        <v>5160</v>
      </c>
      <c r="B272">
        <v>23050</v>
      </c>
      <c r="C272" s="1">
        <v>42849</v>
      </c>
      <c r="F272" s="38"/>
      <c r="G272">
        <v>10</v>
      </c>
      <c r="H272">
        <v>4</v>
      </c>
      <c r="I272">
        <v>15.9</v>
      </c>
      <c r="J272">
        <f t="shared" si="30"/>
        <v>1729.100000000001</v>
      </c>
      <c r="K272">
        <f t="shared" si="31"/>
        <v>78.3</v>
      </c>
      <c r="L272" s="20" t="s">
        <v>39</v>
      </c>
      <c r="M272">
        <v>0</v>
      </c>
      <c r="N272">
        <v>3.2</v>
      </c>
      <c r="O272">
        <f t="shared" si="35"/>
        <v>-3.2</v>
      </c>
      <c r="Q272">
        <v>223</v>
      </c>
      <c r="R272">
        <v>1.1499999999999999</v>
      </c>
      <c r="S272">
        <f t="shared" si="36"/>
        <v>3.6799999999999997</v>
      </c>
      <c r="T272">
        <f t="shared" si="37"/>
        <v>-3.6799999999999997</v>
      </c>
      <c r="U272" s="4">
        <f t="shared" si="32"/>
        <v>38.771538857436958</v>
      </c>
      <c r="V272" s="21" t="s">
        <v>46</v>
      </c>
      <c r="W272">
        <v>2227.9</v>
      </c>
      <c r="X272">
        <f t="shared" si="33"/>
        <v>152223.59999999998</v>
      </c>
      <c r="Y272">
        <f t="shared" si="34"/>
        <v>17791</v>
      </c>
      <c r="Z272">
        <v>13.900951174347995</v>
      </c>
    </row>
    <row r="273" spans="1:26" x14ac:dyDescent="0.25">
      <c r="A273">
        <v>5160</v>
      </c>
      <c r="B273">
        <v>23050</v>
      </c>
      <c r="C273" s="1">
        <v>42850</v>
      </c>
      <c r="F273" s="38"/>
      <c r="G273">
        <v>6.4</v>
      </c>
      <c r="H273">
        <v>4.8</v>
      </c>
      <c r="I273">
        <v>7.6</v>
      </c>
      <c r="J273">
        <f t="shared" si="30"/>
        <v>1735.5000000000011</v>
      </c>
      <c r="K273">
        <f t="shared" si="31"/>
        <v>84.7</v>
      </c>
      <c r="L273" s="10">
        <v>0</v>
      </c>
      <c r="M273">
        <v>1.1000000000000001</v>
      </c>
      <c r="N273">
        <v>0.9</v>
      </c>
      <c r="O273">
        <f t="shared" si="35"/>
        <v>0.20000000000000007</v>
      </c>
      <c r="Q273">
        <v>224</v>
      </c>
      <c r="R273">
        <v>1.1499999999999999</v>
      </c>
      <c r="S273">
        <f t="shared" si="36"/>
        <v>1.0349999999999999</v>
      </c>
      <c r="T273">
        <f t="shared" si="37"/>
        <v>6.5000000000000169E-2</v>
      </c>
      <c r="U273" s="4">
        <f t="shared" si="32"/>
        <v>38.836538857436956</v>
      </c>
      <c r="V273" s="4">
        <f>AVERAGE(U264:U293)</f>
        <v>44.822372190770302</v>
      </c>
      <c r="W273">
        <v>789.2</v>
      </c>
      <c r="X273">
        <f t="shared" si="33"/>
        <v>153012.79999999999</v>
      </c>
      <c r="Y273">
        <f t="shared" si="34"/>
        <v>18580.2</v>
      </c>
      <c r="Z273">
        <v>13.954859158658754</v>
      </c>
    </row>
    <row r="274" spans="1:26" x14ac:dyDescent="0.25">
      <c r="A274">
        <v>5160</v>
      </c>
      <c r="B274">
        <v>23050</v>
      </c>
      <c r="C274" s="1">
        <v>42851</v>
      </c>
      <c r="F274" s="38"/>
      <c r="G274">
        <v>4.7</v>
      </c>
      <c r="H274">
        <v>2.4</v>
      </c>
      <c r="I274">
        <v>9.5</v>
      </c>
      <c r="J274">
        <f t="shared" si="30"/>
        <v>1740.2000000000012</v>
      </c>
      <c r="K274">
        <f t="shared" si="31"/>
        <v>89.4</v>
      </c>
      <c r="L274" s="20" t="s">
        <v>40</v>
      </c>
      <c r="M274">
        <v>0.4</v>
      </c>
      <c r="N274">
        <v>2.2000000000000002</v>
      </c>
      <c r="O274">
        <f t="shared" si="35"/>
        <v>-1.8000000000000003</v>
      </c>
      <c r="Q274">
        <v>225</v>
      </c>
      <c r="R274">
        <v>1.1499999999999999</v>
      </c>
      <c r="S274">
        <f t="shared" si="36"/>
        <v>2.5299999999999998</v>
      </c>
      <c r="T274">
        <f t="shared" si="37"/>
        <v>-2.13</v>
      </c>
      <c r="U274" s="4">
        <f t="shared" si="32"/>
        <v>36.706538857436954</v>
      </c>
      <c r="W274">
        <v>1562.1</v>
      </c>
      <c r="X274">
        <f t="shared" si="33"/>
        <v>154574.9</v>
      </c>
      <c r="Y274">
        <f t="shared" si="34"/>
        <v>20142.3</v>
      </c>
      <c r="Z274">
        <v>14.008398181257864</v>
      </c>
    </row>
    <row r="275" spans="1:26" x14ac:dyDescent="0.25">
      <c r="A275">
        <v>5160</v>
      </c>
      <c r="B275">
        <v>23050</v>
      </c>
      <c r="C275" s="1">
        <v>42852</v>
      </c>
      <c r="F275" s="38"/>
      <c r="G275">
        <v>5.6</v>
      </c>
      <c r="H275">
        <v>0.6</v>
      </c>
      <c r="I275">
        <v>10.1</v>
      </c>
      <c r="J275">
        <f t="shared" si="30"/>
        <v>1745.8000000000011</v>
      </c>
      <c r="K275">
        <f t="shared" si="31"/>
        <v>95</v>
      </c>
      <c r="L275" s="10">
        <v>12</v>
      </c>
      <c r="M275">
        <v>0</v>
      </c>
      <c r="N275">
        <v>2.2000000000000002</v>
      </c>
      <c r="O275">
        <f t="shared" si="35"/>
        <v>-2.2000000000000002</v>
      </c>
      <c r="Q275">
        <v>226</v>
      </c>
      <c r="R275">
        <v>1.1499999999999999</v>
      </c>
      <c r="S275">
        <f t="shared" si="36"/>
        <v>2.5299999999999998</v>
      </c>
      <c r="T275">
        <f t="shared" si="37"/>
        <v>-2.5299999999999998</v>
      </c>
      <c r="U275" s="4">
        <f t="shared" si="32"/>
        <v>34.176538857436952</v>
      </c>
      <c r="V275">
        <f>(V273*100)/138.9</f>
        <v>32.269526415241394</v>
      </c>
      <c r="W275">
        <v>1787.4</v>
      </c>
      <c r="X275">
        <f t="shared" si="33"/>
        <v>156362.29999999999</v>
      </c>
      <c r="Y275">
        <f t="shared" si="34"/>
        <v>21929.7</v>
      </c>
      <c r="Z275">
        <v>14.061552066430441</v>
      </c>
    </row>
    <row r="276" spans="1:26" x14ac:dyDescent="0.25">
      <c r="A276">
        <v>5160</v>
      </c>
      <c r="B276">
        <v>23050</v>
      </c>
      <c r="C276" s="1">
        <v>42853</v>
      </c>
      <c r="F276" s="38"/>
      <c r="G276">
        <v>7.4</v>
      </c>
      <c r="H276">
        <v>2.8</v>
      </c>
      <c r="I276">
        <v>12.3</v>
      </c>
      <c r="J276">
        <f t="shared" si="30"/>
        <v>1753.2000000000012</v>
      </c>
      <c r="K276">
        <f t="shared" si="31"/>
        <v>102.4</v>
      </c>
      <c r="L276" s="20" t="s">
        <v>41</v>
      </c>
      <c r="M276">
        <v>0.2</v>
      </c>
      <c r="N276">
        <v>1.7</v>
      </c>
      <c r="O276">
        <f t="shared" si="35"/>
        <v>-1.5</v>
      </c>
      <c r="Q276">
        <v>227</v>
      </c>
      <c r="R276">
        <v>1.1499999999999999</v>
      </c>
      <c r="S276">
        <f t="shared" si="36"/>
        <v>1.9549999999999998</v>
      </c>
      <c r="T276">
        <f t="shared" si="37"/>
        <v>-1.7549999999999999</v>
      </c>
      <c r="U276" s="4">
        <f t="shared" si="32"/>
        <v>32.42153885743695</v>
      </c>
      <c r="W276">
        <v>1210.2</v>
      </c>
      <c r="X276">
        <f t="shared" si="33"/>
        <v>157572.5</v>
      </c>
      <c r="Y276">
        <f t="shared" si="34"/>
        <v>23139.9</v>
      </c>
      <c r="Z276">
        <v>14.114304233493607</v>
      </c>
    </row>
    <row r="277" spans="1:26" x14ac:dyDescent="0.25">
      <c r="A277">
        <v>5160</v>
      </c>
      <c r="B277">
        <v>23050</v>
      </c>
      <c r="C277" s="1">
        <v>42854</v>
      </c>
      <c r="F277" s="38"/>
      <c r="G277">
        <v>10.1</v>
      </c>
      <c r="H277">
        <v>2.8</v>
      </c>
      <c r="I277">
        <v>16.3</v>
      </c>
      <c r="J277">
        <f t="shared" si="30"/>
        <v>1763.3000000000011</v>
      </c>
      <c r="K277">
        <f t="shared" si="31"/>
        <v>112.5</v>
      </c>
      <c r="L277" s="18">
        <v>1</v>
      </c>
      <c r="M277">
        <v>0</v>
      </c>
      <c r="N277">
        <v>3.3</v>
      </c>
      <c r="O277">
        <f t="shared" si="35"/>
        <v>-3.3</v>
      </c>
      <c r="Q277">
        <v>228</v>
      </c>
      <c r="R277">
        <v>1.1499999999999999</v>
      </c>
      <c r="S277">
        <f t="shared" si="36"/>
        <v>3.7949999999999995</v>
      </c>
      <c r="T277">
        <f t="shared" si="37"/>
        <v>-3.7949999999999995</v>
      </c>
      <c r="U277" s="4">
        <f t="shared" si="32"/>
        <v>28.626538857436952</v>
      </c>
      <c r="W277">
        <v>1995.8</v>
      </c>
      <c r="X277">
        <f t="shared" si="33"/>
        <v>159568.29999999999</v>
      </c>
      <c r="Y277">
        <f t="shared" si="34"/>
        <v>25135.7</v>
      </c>
      <c r="Z277">
        <v>14.166637695151639</v>
      </c>
    </row>
    <row r="278" spans="1:26" x14ac:dyDescent="0.25">
      <c r="A278">
        <v>5160</v>
      </c>
      <c r="B278">
        <v>23050</v>
      </c>
      <c r="C278" s="1">
        <v>42855</v>
      </c>
      <c r="F278" s="38"/>
      <c r="G278">
        <v>10.1</v>
      </c>
      <c r="H278">
        <v>6.8</v>
      </c>
      <c r="I278">
        <v>17.2</v>
      </c>
      <c r="J278">
        <f t="shared" si="30"/>
        <v>1773.400000000001</v>
      </c>
      <c r="K278">
        <f t="shared" si="31"/>
        <v>122.6</v>
      </c>
      <c r="M278">
        <v>11.5</v>
      </c>
      <c r="N278">
        <v>2.6</v>
      </c>
      <c r="O278">
        <f t="shared" si="35"/>
        <v>8.9</v>
      </c>
      <c r="Q278">
        <v>229</v>
      </c>
      <c r="R278">
        <v>1.1499999999999999</v>
      </c>
      <c r="S278">
        <f t="shared" si="36"/>
        <v>2.9899999999999998</v>
      </c>
      <c r="T278">
        <f t="shared" si="37"/>
        <v>8.51</v>
      </c>
      <c r="U278" s="4">
        <f t="shared" si="32"/>
        <v>37.136538857436953</v>
      </c>
      <c r="W278">
        <v>951.8</v>
      </c>
      <c r="X278">
        <f t="shared" si="33"/>
        <v>160520.09999999998</v>
      </c>
      <c r="Y278">
        <f t="shared" si="34"/>
        <v>26087.5</v>
      </c>
      <c r="Z278">
        <v>14.218535056989728</v>
      </c>
    </row>
    <row r="279" spans="1:26" x14ac:dyDescent="0.25">
      <c r="A279">
        <v>5160</v>
      </c>
      <c r="B279">
        <v>23050</v>
      </c>
      <c r="C279" s="1">
        <v>42856</v>
      </c>
      <c r="F279" s="38"/>
      <c r="G279">
        <v>9.1</v>
      </c>
      <c r="H279">
        <v>6.5</v>
      </c>
      <c r="I279">
        <v>11</v>
      </c>
      <c r="J279">
        <f t="shared" si="30"/>
        <v>1782.5000000000009</v>
      </c>
      <c r="K279">
        <f t="shared" si="31"/>
        <v>131.69999999999999</v>
      </c>
      <c r="M279">
        <v>2.6</v>
      </c>
      <c r="N279">
        <v>1.7</v>
      </c>
      <c r="O279">
        <f t="shared" si="35"/>
        <v>0.90000000000000013</v>
      </c>
      <c r="Q279">
        <v>230</v>
      </c>
      <c r="R279">
        <v>1.1499999999999999</v>
      </c>
      <c r="S279">
        <f t="shared" si="36"/>
        <v>1.9549999999999998</v>
      </c>
      <c r="T279">
        <f t="shared" si="37"/>
        <v>0.64500000000000024</v>
      </c>
      <c r="U279" s="4">
        <f t="shared" si="32"/>
        <v>37.781538857436956</v>
      </c>
      <c r="W279">
        <v>1263.4000000000001</v>
      </c>
      <c r="X279">
        <f t="shared" si="33"/>
        <v>161783.49999999997</v>
      </c>
      <c r="Y279">
        <f t="shared" si="34"/>
        <v>27350.9</v>
      </c>
      <c r="Z279">
        <v>14.269978518172032</v>
      </c>
    </row>
    <row r="280" spans="1:26" x14ac:dyDescent="0.25">
      <c r="A280">
        <v>5160</v>
      </c>
      <c r="B280">
        <v>23050</v>
      </c>
      <c r="C280" s="1">
        <v>42857</v>
      </c>
      <c r="F280" s="38"/>
      <c r="G280">
        <v>10.9</v>
      </c>
      <c r="H280">
        <v>7.8</v>
      </c>
      <c r="I280">
        <v>14.2</v>
      </c>
      <c r="J280">
        <f t="shared" si="30"/>
        <v>1793.400000000001</v>
      </c>
      <c r="K280">
        <f t="shared" si="31"/>
        <v>142.6</v>
      </c>
      <c r="M280">
        <v>0.4</v>
      </c>
      <c r="N280">
        <v>1.5</v>
      </c>
      <c r="O280">
        <f t="shared" si="35"/>
        <v>-1.1000000000000001</v>
      </c>
      <c r="Q280">
        <v>231</v>
      </c>
      <c r="R280">
        <v>1.1499999999999999</v>
      </c>
      <c r="S280">
        <f t="shared" si="36"/>
        <v>1.7249999999999999</v>
      </c>
      <c r="T280">
        <f t="shared" si="37"/>
        <v>-1.3249999999999997</v>
      </c>
      <c r="U280" s="4">
        <f t="shared" si="32"/>
        <v>36.456538857436954</v>
      </c>
      <c r="W280">
        <v>1098.0999999999999</v>
      </c>
      <c r="X280">
        <f t="shared" si="33"/>
        <v>162881.59999999998</v>
      </c>
      <c r="Y280">
        <f t="shared" si="34"/>
        <v>28449</v>
      </c>
      <c r="Z280">
        <v>14.320949873410623</v>
      </c>
    </row>
    <row r="281" spans="1:26" x14ac:dyDescent="0.25">
      <c r="A281">
        <v>5160</v>
      </c>
      <c r="B281">
        <v>23050</v>
      </c>
      <c r="C281" s="1">
        <v>42858</v>
      </c>
      <c r="F281" s="38"/>
      <c r="G281">
        <v>9.6999999999999993</v>
      </c>
      <c r="H281">
        <v>8.6</v>
      </c>
      <c r="I281">
        <v>12.5</v>
      </c>
      <c r="J281">
        <f t="shared" si="30"/>
        <v>1803.100000000001</v>
      </c>
      <c r="K281">
        <f t="shared" si="31"/>
        <v>152.29999999999998</v>
      </c>
      <c r="M281">
        <v>1.1000000000000001</v>
      </c>
      <c r="N281">
        <v>0.9</v>
      </c>
      <c r="O281">
        <f t="shared" si="35"/>
        <v>0.20000000000000007</v>
      </c>
      <c r="Q281">
        <v>232</v>
      </c>
      <c r="R281">
        <v>1.1499999999999999</v>
      </c>
      <c r="S281">
        <f t="shared" si="36"/>
        <v>1.0349999999999999</v>
      </c>
      <c r="T281">
        <f t="shared" si="37"/>
        <v>6.5000000000000169E-2</v>
      </c>
      <c r="U281" s="4">
        <f t="shared" si="32"/>
        <v>36.521538857436951</v>
      </c>
      <c r="W281">
        <v>847.8</v>
      </c>
      <c r="X281">
        <f t="shared" si="33"/>
        <v>163729.39999999997</v>
      </c>
      <c r="Y281">
        <f t="shared" si="34"/>
        <v>29296.799999999999</v>
      </c>
      <c r="Z281">
        <v>14.37143051627247</v>
      </c>
    </row>
    <row r="282" spans="1:26" x14ac:dyDescent="0.25">
      <c r="A282">
        <v>5160</v>
      </c>
      <c r="B282">
        <v>23050</v>
      </c>
      <c r="C282" s="1">
        <v>42859</v>
      </c>
      <c r="F282" s="38"/>
      <c r="G282">
        <v>11.3</v>
      </c>
      <c r="H282">
        <v>7.4</v>
      </c>
      <c r="I282">
        <v>15.1</v>
      </c>
      <c r="J282">
        <f t="shared" si="30"/>
        <v>1814.400000000001</v>
      </c>
      <c r="K282">
        <f t="shared" si="31"/>
        <v>163.6</v>
      </c>
      <c r="M282">
        <v>0.2</v>
      </c>
      <c r="N282">
        <v>1.4</v>
      </c>
      <c r="O282">
        <f t="shared" si="35"/>
        <v>-1.2</v>
      </c>
      <c r="Q282">
        <v>233</v>
      </c>
      <c r="R282">
        <v>1.1499999999999999</v>
      </c>
      <c r="S282">
        <f t="shared" si="36"/>
        <v>1.6099999999999999</v>
      </c>
      <c r="T282">
        <f t="shared" si="37"/>
        <v>-1.41</v>
      </c>
      <c r="U282" s="4">
        <f t="shared" si="32"/>
        <v>35.111538857436955</v>
      </c>
      <c r="W282">
        <v>1005.5</v>
      </c>
      <c r="X282">
        <f t="shared" si="33"/>
        <v>164734.89999999997</v>
      </c>
      <c r="Y282">
        <f t="shared" si="34"/>
        <v>30302.3</v>
      </c>
      <c r="Z282">
        <v>14.421401443891824</v>
      </c>
    </row>
    <row r="283" spans="1:26" x14ac:dyDescent="0.25">
      <c r="A283">
        <v>5160</v>
      </c>
      <c r="B283">
        <v>23050</v>
      </c>
      <c r="C283" s="1">
        <v>42860</v>
      </c>
      <c r="F283" s="38"/>
      <c r="G283">
        <v>13.4</v>
      </c>
      <c r="H283">
        <v>7</v>
      </c>
      <c r="I283">
        <v>18.399999999999999</v>
      </c>
      <c r="J283">
        <f t="shared" si="30"/>
        <v>1827.8000000000011</v>
      </c>
      <c r="K283">
        <f t="shared" si="31"/>
        <v>177</v>
      </c>
      <c r="M283">
        <v>13.2</v>
      </c>
      <c r="N283">
        <v>2.2999999999999998</v>
      </c>
      <c r="O283">
        <f t="shared" si="35"/>
        <v>10.899999999999999</v>
      </c>
      <c r="Q283">
        <v>234</v>
      </c>
      <c r="R283">
        <v>1.1499999999999999</v>
      </c>
      <c r="S283">
        <f t="shared" si="36"/>
        <v>2.6449999999999996</v>
      </c>
      <c r="T283">
        <f t="shared" si="37"/>
        <v>10.555</v>
      </c>
      <c r="U283" s="4">
        <f t="shared" si="32"/>
        <v>45.666538857436954</v>
      </c>
      <c r="W283">
        <v>1316.7</v>
      </c>
      <c r="X283">
        <f t="shared" si="33"/>
        <v>166051.59999999998</v>
      </c>
      <c r="Y283">
        <f t="shared" si="34"/>
        <v>31619</v>
      </c>
      <c r="Z283">
        <v>14.470843263155082</v>
      </c>
    </row>
    <row r="284" spans="1:26" x14ac:dyDescent="0.25">
      <c r="A284">
        <v>5160</v>
      </c>
      <c r="B284">
        <v>23050</v>
      </c>
      <c r="C284" s="1">
        <v>42861</v>
      </c>
      <c r="F284" s="38"/>
      <c r="G284">
        <v>13.1</v>
      </c>
      <c r="H284">
        <v>11.5</v>
      </c>
      <c r="I284">
        <v>14.8</v>
      </c>
      <c r="J284">
        <f t="shared" si="30"/>
        <v>1840.900000000001</v>
      </c>
      <c r="K284">
        <f t="shared" si="31"/>
        <v>190.1</v>
      </c>
      <c r="M284">
        <v>4.3</v>
      </c>
      <c r="N284">
        <v>0.9</v>
      </c>
      <c r="O284">
        <f t="shared" si="35"/>
        <v>3.4</v>
      </c>
      <c r="Q284">
        <v>235</v>
      </c>
      <c r="R284">
        <v>1.1499999999999999</v>
      </c>
      <c r="S284">
        <f t="shared" si="36"/>
        <v>1.0349999999999999</v>
      </c>
      <c r="T284">
        <f t="shared" si="37"/>
        <v>3.2649999999999997</v>
      </c>
      <c r="U284" s="4">
        <f t="shared" si="32"/>
        <v>48.931538857436955</v>
      </c>
      <c r="W284">
        <v>545</v>
      </c>
      <c r="X284">
        <f t="shared" si="33"/>
        <v>166596.59999999998</v>
      </c>
      <c r="Y284">
        <f t="shared" si="34"/>
        <v>32164</v>
      </c>
      <c r="Z284">
        <v>14.519736198424537</v>
      </c>
    </row>
    <row r="285" spans="1:26" x14ac:dyDescent="0.25">
      <c r="A285">
        <v>5160</v>
      </c>
      <c r="B285">
        <v>23050</v>
      </c>
      <c r="C285" s="1">
        <v>42862</v>
      </c>
      <c r="F285" s="38"/>
      <c r="G285">
        <v>12.5</v>
      </c>
      <c r="H285">
        <v>10.6</v>
      </c>
      <c r="I285">
        <v>15.4</v>
      </c>
      <c r="J285">
        <f t="shared" si="30"/>
        <v>1853.400000000001</v>
      </c>
      <c r="K285">
        <f t="shared" si="31"/>
        <v>202.6</v>
      </c>
      <c r="M285">
        <v>0</v>
      </c>
      <c r="N285">
        <v>2.2999999999999998</v>
      </c>
      <c r="O285">
        <f t="shared" si="35"/>
        <v>-2.2999999999999998</v>
      </c>
      <c r="Q285">
        <v>236</v>
      </c>
      <c r="R285">
        <v>1.1499999999999999</v>
      </c>
      <c r="S285">
        <f t="shared" si="36"/>
        <v>2.6449999999999996</v>
      </c>
      <c r="T285">
        <f t="shared" si="37"/>
        <v>-2.6449999999999996</v>
      </c>
      <c r="U285" s="4">
        <f t="shared" si="32"/>
        <v>46.286538857436952</v>
      </c>
      <c r="W285">
        <v>1427.9</v>
      </c>
      <c r="X285">
        <f t="shared" si="33"/>
        <v>168024.49999999997</v>
      </c>
      <c r="Y285">
        <f t="shared" si="34"/>
        <v>33591.9</v>
      </c>
      <c r="Z285">
        <v>14.568060100866111</v>
      </c>
    </row>
    <row r="286" spans="1:26" x14ac:dyDescent="0.25">
      <c r="A286">
        <v>5160</v>
      </c>
      <c r="B286">
        <v>23050</v>
      </c>
      <c r="C286" s="1">
        <v>42863</v>
      </c>
      <c r="F286" s="38"/>
      <c r="G286">
        <v>10.6</v>
      </c>
      <c r="H286">
        <v>6.4</v>
      </c>
      <c r="I286">
        <v>14.5</v>
      </c>
      <c r="J286">
        <f t="shared" si="30"/>
        <v>1864.0000000000009</v>
      </c>
      <c r="K286">
        <f t="shared" si="31"/>
        <v>213.2</v>
      </c>
      <c r="M286">
        <v>0</v>
      </c>
      <c r="N286">
        <v>1.2</v>
      </c>
      <c r="O286">
        <f t="shared" si="35"/>
        <v>-1.2</v>
      </c>
      <c r="Q286">
        <v>237</v>
      </c>
      <c r="R286">
        <v>1.1499999999999999</v>
      </c>
      <c r="S286">
        <f t="shared" si="36"/>
        <v>1.38</v>
      </c>
      <c r="T286">
        <f t="shared" si="37"/>
        <v>-1.38</v>
      </c>
      <c r="U286" s="4">
        <f t="shared" si="32"/>
        <v>44.906538857436949</v>
      </c>
      <c r="W286">
        <v>528.9</v>
      </c>
      <c r="X286">
        <f t="shared" si="33"/>
        <v>168553.39999999997</v>
      </c>
      <c r="Y286">
        <f t="shared" si="34"/>
        <v>34120.800000000003</v>
      </c>
      <c r="Z286">
        <v>14.61579445944446</v>
      </c>
    </row>
    <row r="287" spans="1:26" x14ac:dyDescent="0.25">
      <c r="A287">
        <v>5160</v>
      </c>
      <c r="B287">
        <v>23050</v>
      </c>
      <c r="C287" s="1">
        <v>42864</v>
      </c>
      <c r="F287" s="38"/>
      <c r="G287">
        <v>11.2</v>
      </c>
      <c r="H287">
        <v>7.7</v>
      </c>
      <c r="I287">
        <v>14.8</v>
      </c>
      <c r="J287">
        <f t="shared" si="30"/>
        <v>1875.200000000001</v>
      </c>
      <c r="K287">
        <f t="shared" si="31"/>
        <v>224.39999999999998</v>
      </c>
      <c r="M287">
        <v>0</v>
      </c>
      <c r="N287">
        <v>2.7</v>
      </c>
      <c r="O287">
        <f t="shared" si="35"/>
        <v>-2.7</v>
      </c>
      <c r="Q287">
        <v>238</v>
      </c>
      <c r="R287">
        <v>1.1499999999999999</v>
      </c>
      <c r="S287">
        <f t="shared" si="36"/>
        <v>3.105</v>
      </c>
      <c r="T287">
        <f t="shared" si="37"/>
        <v>-3.105</v>
      </c>
      <c r="U287" s="4">
        <f t="shared" si="32"/>
        <v>41.801538857436952</v>
      </c>
      <c r="W287">
        <v>1446.2</v>
      </c>
      <c r="X287">
        <f t="shared" si="33"/>
        <v>169999.59999999998</v>
      </c>
      <c r="Y287">
        <f t="shared" si="34"/>
        <v>35567</v>
      </c>
      <c r="Z287">
        <v>14.662918413646306</v>
      </c>
    </row>
    <row r="288" spans="1:26" x14ac:dyDescent="0.25">
      <c r="A288">
        <v>5160</v>
      </c>
      <c r="B288">
        <v>23050</v>
      </c>
      <c r="C288" s="1">
        <v>42865</v>
      </c>
      <c r="F288" s="38"/>
      <c r="G288">
        <v>14.2</v>
      </c>
      <c r="H288">
        <v>7.7</v>
      </c>
      <c r="I288">
        <v>20.100000000000001</v>
      </c>
      <c r="J288">
        <f t="shared" si="30"/>
        <v>1889.400000000001</v>
      </c>
      <c r="K288">
        <f t="shared" si="31"/>
        <v>238.59999999999997</v>
      </c>
      <c r="M288">
        <v>0.1</v>
      </c>
      <c r="N288">
        <v>4.0999999999999996</v>
      </c>
      <c r="O288">
        <f t="shared" si="35"/>
        <v>-3.9999999999999996</v>
      </c>
      <c r="Q288">
        <v>239</v>
      </c>
      <c r="R288">
        <v>1.1499999999999999</v>
      </c>
      <c r="S288">
        <f t="shared" si="36"/>
        <v>4.714999999999999</v>
      </c>
      <c r="T288">
        <f t="shared" si="37"/>
        <v>-4.6149999999999993</v>
      </c>
      <c r="U288" s="4">
        <f t="shared" si="32"/>
        <v>37.18653885743695</v>
      </c>
      <c r="W288">
        <v>2525.3000000000002</v>
      </c>
      <c r="X288">
        <f t="shared" si="33"/>
        <v>172524.89999999997</v>
      </c>
      <c r="Y288">
        <f t="shared" si="34"/>
        <v>38092.300000000003</v>
      </c>
      <c r="Z288">
        <v>14.709410767989793</v>
      </c>
    </row>
    <row r="289" spans="1:27" x14ac:dyDescent="0.25">
      <c r="A289">
        <v>5160</v>
      </c>
      <c r="B289">
        <v>23050</v>
      </c>
      <c r="C289" s="1">
        <v>42866</v>
      </c>
      <c r="F289" s="38"/>
      <c r="G289">
        <v>12.9</v>
      </c>
      <c r="H289">
        <v>12.2</v>
      </c>
      <c r="I289">
        <v>15</v>
      </c>
      <c r="J289">
        <f t="shared" si="30"/>
        <v>1902.3000000000011</v>
      </c>
      <c r="K289">
        <f t="shared" si="31"/>
        <v>251.49999999999997</v>
      </c>
      <c r="M289">
        <v>10.9</v>
      </c>
      <c r="N289">
        <v>1.5</v>
      </c>
      <c r="O289">
        <f t="shared" si="35"/>
        <v>9.4</v>
      </c>
      <c r="Q289">
        <v>240</v>
      </c>
      <c r="R289">
        <v>1.1499999999999999</v>
      </c>
      <c r="S289">
        <f t="shared" si="36"/>
        <v>1.7249999999999999</v>
      </c>
      <c r="T289">
        <f t="shared" si="37"/>
        <v>9.1750000000000007</v>
      </c>
      <c r="U289" s="4">
        <f t="shared" si="32"/>
        <v>46.361538857436955</v>
      </c>
      <c r="W289">
        <v>1088.9000000000001</v>
      </c>
      <c r="X289">
        <f t="shared" si="33"/>
        <v>173613.79999999996</v>
      </c>
      <c r="Y289">
        <f t="shared" si="34"/>
        <v>39181.200000000004</v>
      </c>
      <c r="Z289">
        <v>14.755250008373833</v>
      </c>
    </row>
    <row r="290" spans="1:27" x14ac:dyDescent="0.25">
      <c r="A290">
        <v>5160</v>
      </c>
      <c r="B290">
        <v>23050</v>
      </c>
      <c r="C290" s="1">
        <v>42867</v>
      </c>
      <c r="F290" s="38"/>
      <c r="G290">
        <v>14.2</v>
      </c>
      <c r="H290">
        <v>11</v>
      </c>
      <c r="I290">
        <v>18.899999999999999</v>
      </c>
      <c r="J290">
        <f t="shared" si="30"/>
        <v>1916.5000000000011</v>
      </c>
      <c r="K290">
        <f t="shared" si="31"/>
        <v>265.7</v>
      </c>
      <c r="M290">
        <v>8.9</v>
      </c>
      <c r="N290">
        <v>1.6</v>
      </c>
      <c r="O290">
        <f t="shared" si="35"/>
        <v>7.3000000000000007</v>
      </c>
      <c r="Q290">
        <v>241</v>
      </c>
      <c r="R290">
        <v>1.1499999999999999</v>
      </c>
      <c r="S290">
        <f t="shared" si="36"/>
        <v>1.8399999999999999</v>
      </c>
      <c r="T290">
        <f t="shared" si="37"/>
        <v>7.0600000000000005</v>
      </c>
      <c r="U290" s="4">
        <f t="shared" si="32"/>
        <v>53.421538857436957</v>
      </c>
      <c r="W290">
        <v>1157.2</v>
      </c>
      <c r="X290">
        <f t="shared" si="33"/>
        <v>174770.99999999997</v>
      </c>
      <c r="Y290">
        <f t="shared" si="34"/>
        <v>40338.400000000001</v>
      </c>
      <c r="Z290">
        <v>14.800414320316834</v>
      </c>
    </row>
    <row r="291" spans="1:27" x14ac:dyDescent="0.25">
      <c r="A291">
        <v>5160</v>
      </c>
      <c r="B291">
        <v>23050</v>
      </c>
      <c r="C291" s="1">
        <v>42868</v>
      </c>
      <c r="F291" s="38"/>
      <c r="G291">
        <v>14.1</v>
      </c>
      <c r="H291">
        <v>10.7</v>
      </c>
      <c r="I291">
        <v>18</v>
      </c>
      <c r="J291">
        <f t="shared" si="30"/>
        <v>1930.600000000001</v>
      </c>
      <c r="K291">
        <f t="shared" si="31"/>
        <v>279.8</v>
      </c>
      <c r="M291">
        <v>0</v>
      </c>
      <c r="N291">
        <v>2.9</v>
      </c>
      <c r="O291">
        <f t="shared" si="35"/>
        <v>-2.9</v>
      </c>
      <c r="Q291">
        <v>242</v>
      </c>
      <c r="R291">
        <v>1.1499999999999999</v>
      </c>
      <c r="S291">
        <f t="shared" si="36"/>
        <v>3.3349999999999995</v>
      </c>
      <c r="T291">
        <f t="shared" si="37"/>
        <v>-3.3349999999999995</v>
      </c>
      <c r="U291" s="4">
        <f t="shared" si="32"/>
        <v>50.086538857436956</v>
      </c>
      <c r="W291">
        <v>1904.5</v>
      </c>
      <c r="X291">
        <f t="shared" si="33"/>
        <v>176675.49999999997</v>
      </c>
      <c r="Y291">
        <f t="shared" si="34"/>
        <v>42242.9</v>
      </c>
      <c r="Z291">
        <v>14.844881609128755</v>
      </c>
    </row>
    <row r="292" spans="1:27" x14ac:dyDescent="0.25">
      <c r="A292">
        <v>5160</v>
      </c>
      <c r="B292">
        <v>23050</v>
      </c>
      <c r="C292" s="1">
        <v>42869</v>
      </c>
      <c r="F292" s="38"/>
      <c r="G292">
        <v>14.2</v>
      </c>
      <c r="H292">
        <v>9.1999999999999993</v>
      </c>
      <c r="I292">
        <v>19</v>
      </c>
      <c r="J292">
        <f t="shared" si="30"/>
        <v>1944.8000000000011</v>
      </c>
      <c r="K292">
        <f t="shared" si="31"/>
        <v>294</v>
      </c>
      <c r="M292">
        <v>0.2</v>
      </c>
      <c r="N292">
        <v>2.5</v>
      </c>
      <c r="O292">
        <f t="shared" si="35"/>
        <v>-2.2999999999999998</v>
      </c>
      <c r="Q292">
        <v>243</v>
      </c>
      <c r="R292">
        <v>1.1499999999999999</v>
      </c>
      <c r="S292">
        <f t="shared" si="36"/>
        <v>2.875</v>
      </c>
      <c r="T292">
        <f t="shared" si="37"/>
        <v>-2.6749999999999998</v>
      </c>
      <c r="U292" s="4">
        <f t="shared" si="32"/>
        <v>47.411538857436959</v>
      </c>
      <c r="W292">
        <v>1603.2</v>
      </c>
      <c r="X292">
        <f t="shared" si="33"/>
        <v>178278.69999999998</v>
      </c>
      <c r="Y292">
        <f t="shared" si="34"/>
        <v>43846.1</v>
      </c>
      <c r="Z292">
        <v>14.888629522054233</v>
      </c>
    </row>
    <row r="293" spans="1:27" s="6" customFormat="1" ht="15.75" thickBot="1" x14ac:dyDescent="0.3">
      <c r="A293" s="6">
        <v>5160</v>
      </c>
      <c r="B293" s="6">
        <v>23050</v>
      </c>
      <c r="C293" s="7">
        <v>42870</v>
      </c>
      <c r="D293" s="6">
        <v>300</v>
      </c>
      <c r="F293" s="39"/>
      <c r="G293" s="6">
        <v>17</v>
      </c>
      <c r="H293" s="6">
        <v>9</v>
      </c>
      <c r="I293" s="6">
        <v>22.9</v>
      </c>
      <c r="J293" s="6">
        <f t="shared" si="30"/>
        <v>1961.8000000000011</v>
      </c>
      <c r="K293" s="6">
        <f t="shared" si="31"/>
        <v>311</v>
      </c>
      <c r="M293" s="6">
        <v>0</v>
      </c>
      <c r="N293" s="6">
        <v>3.1</v>
      </c>
      <c r="O293" s="6">
        <f t="shared" si="35"/>
        <v>-3.1</v>
      </c>
      <c r="Q293" s="6">
        <v>244</v>
      </c>
      <c r="R293" s="6">
        <v>1.1499999999999999</v>
      </c>
      <c r="S293" s="6">
        <f t="shared" si="36"/>
        <v>3.5649999999999999</v>
      </c>
      <c r="T293" s="6">
        <f t="shared" si="37"/>
        <v>-3.5649999999999999</v>
      </c>
      <c r="U293" s="8">
        <f t="shared" si="32"/>
        <v>43.846538857436961</v>
      </c>
      <c r="W293" s="6">
        <v>2045.2</v>
      </c>
      <c r="X293" s="6">
        <f t="shared" si="33"/>
        <v>180323.9</v>
      </c>
      <c r="Y293" s="6">
        <f t="shared" si="34"/>
        <v>45891.299999999996</v>
      </c>
      <c r="Z293" s="6">
        <v>14.931635472417373</v>
      </c>
    </row>
    <row r="294" spans="1:27" x14ac:dyDescent="0.25">
      <c r="A294">
        <v>5160</v>
      </c>
      <c r="B294">
        <v>23050</v>
      </c>
      <c r="C294" s="1">
        <v>42871</v>
      </c>
      <c r="F294" s="40" t="s">
        <v>58</v>
      </c>
      <c r="G294">
        <v>20.100000000000001</v>
      </c>
      <c r="H294">
        <v>14.1</v>
      </c>
      <c r="I294">
        <v>25.6</v>
      </c>
      <c r="J294">
        <f t="shared" si="30"/>
        <v>1981.900000000001</v>
      </c>
      <c r="K294">
        <f>G294</f>
        <v>20.100000000000001</v>
      </c>
      <c r="L294" s="22" t="s">
        <v>35</v>
      </c>
      <c r="M294">
        <v>0</v>
      </c>
      <c r="N294">
        <v>2.8</v>
      </c>
      <c r="O294">
        <f t="shared" si="35"/>
        <v>-2.8</v>
      </c>
      <c r="Q294">
        <v>245</v>
      </c>
      <c r="R294">
        <f>1.15+((Q294-244)/56)*(0.35-1.15)</f>
        <v>1.1357142857142857</v>
      </c>
      <c r="S294">
        <f t="shared" si="36"/>
        <v>3.1799999999999997</v>
      </c>
      <c r="T294">
        <f t="shared" si="37"/>
        <v>-3.1799999999999997</v>
      </c>
      <c r="U294" s="4">
        <f t="shared" si="32"/>
        <v>40.666538857436962</v>
      </c>
      <c r="V294" s="23" t="s">
        <v>42</v>
      </c>
      <c r="W294">
        <v>1534.7</v>
      </c>
      <c r="X294">
        <f t="shared" si="33"/>
        <v>181858.6</v>
      </c>
      <c r="Y294">
        <f>W294</f>
        <v>1534.7</v>
      </c>
      <c r="Z294">
        <v>14.97387666579082</v>
      </c>
      <c r="AA294" s="23" t="s">
        <v>47</v>
      </c>
    </row>
    <row r="295" spans="1:27" x14ac:dyDescent="0.25">
      <c r="A295">
        <v>5160</v>
      </c>
      <c r="B295">
        <v>23050</v>
      </c>
      <c r="C295" s="1">
        <v>42872</v>
      </c>
      <c r="F295" s="41"/>
      <c r="G295">
        <v>19.600000000000001</v>
      </c>
      <c r="H295">
        <v>14.1</v>
      </c>
      <c r="I295">
        <v>27.2</v>
      </c>
      <c r="J295">
        <f t="shared" si="30"/>
        <v>2001.5000000000009</v>
      </c>
      <c r="K295">
        <f t="shared" si="31"/>
        <v>39.700000000000003</v>
      </c>
      <c r="L295" s="10">
        <v>311.89999999999998</v>
      </c>
      <c r="M295">
        <v>6.3</v>
      </c>
      <c r="N295">
        <v>3.5</v>
      </c>
      <c r="O295">
        <f t="shared" si="35"/>
        <v>2.8</v>
      </c>
      <c r="Q295">
        <v>246</v>
      </c>
      <c r="R295">
        <f t="shared" ref="R295:R349" si="38">1.15+((Q295-244)/56)*(0.35-1.15)</f>
        <v>1.1214285714285714</v>
      </c>
      <c r="S295">
        <f t="shared" si="36"/>
        <v>3.9249999999999998</v>
      </c>
      <c r="T295">
        <f t="shared" si="37"/>
        <v>2.375</v>
      </c>
      <c r="U295" s="4">
        <f t="shared" si="32"/>
        <v>43.041538857436962</v>
      </c>
      <c r="V295">
        <v>0</v>
      </c>
      <c r="W295">
        <v>1750.1</v>
      </c>
      <c r="X295">
        <f t="shared" si="33"/>
        <v>183608.7</v>
      </c>
      <c r="Y295">
        <f t="shared" si="34"/>
        <v>3284.8</v>
      </c>
      <c r="Z295">
        <v>15.015330128202658</v>
      </c>
      <c r="AA295">
        <v>33179</v>
      </c>
    </row>
    <row r="296" spans="1:27" x14ac:dyDescent="0.25">
      <c r="A296">
        <v>5160</v>
      </c>
      <c r="B296">
        <v>23050</v>
      </c>
      <c r="C296" s="1">
        <v>42873</v>
      </c>
      <c r="F296" s="41"/>
      <c r="G296">
        <v>13.6</v>
      </c>
      <c r="H296">
        <v>11.6</v>
      </c>
      <c r="I296">
        <v>16</v>
      </c>
      <c r="J296">
        <f t="shared" si="30"/>
        <v>2015.1000000000008</v>
      </c>
      <c r="K296">
        <f t="shared" si="31"/>
        <v>53.300000000000004</v>
      </c>
      <c r="L296" s="22" t="s">
        <v>36</v>
      </c>
      <c r="M296">
        <v>24</v>
      </c>
      <c r="N296">
        <v>1</v>
      </c>
      <c r="O296">
        <f t="shared" si="35"/>
        <v>23</v>
      </c>
      <c r="Q296">
        <v>247</v>
      </c>
      <c r="R296">
        <f t="shared" si="38"/>
        <v>1.107142857142857</v>
      </c>
      <c r="S296">
        <f t="shared" si="36"/>
        <v>1.107142857142857</v>
      </c>
      <c r="T296">
        <f t="shared" si="37"/>
        <v>22.892857142857142</v>
      </c>
      <c r="U296" s="4">
        <f t="shared" si="32"/>
        <v>65.9343960002941</v>
      </c>
      <c r="V296" s="23" t="s">
        <v>43</v>
      </c>
      <c r="W296">
        <v>614.20000000000005</v>
      </c>
      <c r="X296">
        <f t="shared" si="33"/>
        <v>184222.90000000002</v>
      </c>
      <c r="Y296">
        <f t="shared" si="34"/>
        <v>3899</v>
      </c>
      <c r="Z296">
        <v>15.055972736384927</v>
      </c>
      <c r="AA296" s="23" t="s">
        <v>48</v>
      </c>
    </row>
    <row r="297" spans="1:27" x14ac:dyDescent="0.25">
      <c r="A297">
        <v>5160</v>
      </c>
      <c r="B297">
        <v>23050</v>
      </c>
      <c r="C297" s="1">
        <v>42874</v>
      </c>
      <c r="F297" s="41"/>
      <c r="G297">
        <v>10</v>
      </c>
      <c r="H297">
        <v>9.4</v>
      </c>
      <c r="I297">
        <v>11.3</v>
      </c>
      <c r="J297">
        <f t="shared" si="30"/>
        <v>2025.1000000000008</v>
      </c>
      <c r="K297">
        <f t="shared" si="31"/>
        <v>63.300000000000004</v>
      </c>
      <c r="L297" s="10">
        <f>AVERAGE(G294:G310)</f>
        <v>18.347058823529412</v>
      </c>
      <c r="M297">
        <v>4.5999999999999996</v>
      </c>
      <c r="N297">
        <v>1.2</v>
      </c>
      <c r="O297">
        <f t="shared" si="35"/>
        <v>3.3999999999999995</v>
      </c>
      <c r="Q297">
        <v>248</v>
      </c>
      <c r="R297">
        <f t="shared" si="38"/>
        <v>1.0928571428571427</v>
      </c>
      <c r="S297">
        <f t="shared" si="36"/>
        <v>1.3114285714285712</v>
      </c>
      <c r="T297">
        <f t="shared" si="37"/>
        <v>3.2885714285714283</v>
      </c>
      <c r="U297" s="4">
        <f t="shared" si="32"/>
        <v>69.22296742886553</v>
      </c>
      <c r="V297">
        <v>9</v>
      </c>
      <c r="W297">
        <v>1295.5</v>
      </c>
      <c r="X297">
        <f t="shared" si="33"/>
        <v>185518.40000000002</v>
      </c>
      <c r="Y297">
        <f t="shared" si="34"/>
        <v>5194.5</v>
      </c>
      <c r="Z297">
        <v>15.095781250056689</v>
      </c>
      <c r="AA297">
        <f>(AA295/100)/L295</f>
        <v>1.0637704392433474</v>
      </c>
    </row>
    <row r="298" spans="1:27" x14ac:dyDescent="0.25">
      <c r="A298">
        <v>5160</v>
      </c>
      <c r="B298">
        <v>23050</v>
      </c>
      <c r="C298" s="1">
        <v>42875</v>
      </c>
      <c r="F298" s="41"/>
      <c r="G298">
        <v>11.4</v>
      </c>
      <c r="H298">
        <v>7.2</v>
      </c>
      <c r="I298">
        <v>15.1</v>
      </c>
      <c r="J298">
        <f t="shared" si="30"/>
        <v>2036.5000000000009</v>
      </c>
      <c r="K298">
        <f t="shared" si="31"/>
        <v>74.7</v>
      </c>
      <c r="L298" s="22" t="s">
        <v>37</v>
      </c>
      <c r="M298">
        <v>1.4</v>
      </c>
      <c r="N298">
        <v>2.2999999999999998</v>
      </c>
      <c r="O298">
        <f t="shared" si="35"/>
        <v>-0.89999999999999991</v>
      </c>
      <c r="Q298">
        <v>249</v>
      </c>
      <c r="R298">
        <f t="shared" si="38"/>
        <v>1.0785714285714285</v>
      </c>
      <c r="S298">
        <f t="shared" si="36"/>
        <v>2.4807142857142854</v>
      </c>
      <c r="T298">
        <f t="shared" si="37"/>
        <v>-1.0807142857142855</v>
      </c>
      <c r="U298" s="4">
        <f t="shared" si="32"/>
        <v>68.142253143151251</v>
      </c>
      <c r="V298" s="23" t="s">
        <v>44</v>
      </c>
      <c r="W298">
        <v>1646.2</v>
      </c>
      <c r="X298">
        <f t="shared" si="33"/>
        <v>187164.60000000003</v>
      </c>
      <c r="Y298">
        <f t="shared" si="34"/>
        <v>6840.7</v>
      </c>
      <c r="Z298">
        <v>15.13473234622276</v>
      </c>
      <c r="AA298" s="23" t="s">
        <v>49</v>
      </c>
    </row>
    <row r="299" spans="1:27" x14ac:dyDescent="0.25">
      <c r="A299">
        <v>5160</v>
      </c>
      <c r="B299">
        <v>23050</v>
      </c>
      <c r="C299" s="1">
        <v>42876</v>
      </c>
      <c r="F299" s="41"/>
      <c r="G299">
        <v>14.7</v>
      </c>
      <c r="H299">
        <v>8</v>
      </c>
      <c r="I299">
        <v>20.100000000000001</v>
      </c>
      <c r="J299">
        <f t="shared" si="30"/>
        <v>2051.2000000000007</v>
      </c>
      <c r="K299">
        <f t="shared" si="31"/>
        <v>89.4</v>
      </c>
      <c r="L299" s="11">
        <f>MIN(H294:H310)</f>
        <v>7.2</v>
      </c>
      <c r="M299">
        <v>0</v>
      </c>
      <c r="N299">
        <v>3.2</v>
      </c>
      <c r="O299">
        <f t="shared" si="35"/>
        <v>-3.2</v>
      </c>
      <c r="Q299">
        <v>250</v>
      </c>
      <c r="R299">
        <f t="shared" si="38"/>
        <v>1.0642857142857143</v>
      </c>
      <c r="S299">
        <f t="shared" si="36"/>
        <v>3.4057142857142857</v>
      </c>
      <c r="T299">
        <f t="shared" si="37"/>
        <v>-3.4057142857142857</v>
      </c>
      <c r="U299" s="4">
        <f t="shared" si="32"/>
        <v>64.736538857436969</v>
      </c>
      <c r="V299" s="4">
        <f>MIN(U294:U310)</f>
        <v>19.792967428865541</v>
      </c>
      <c r="W299">
        <v>2015.2</v>
      </c>
      <c r="X299">
        <f t="shared" si="33"/>
        <v>189179.80000000005</v>
      </c>
      <c r="Y299">
        <f t="shared" si="34"/>
        <v>8855.9</v>
      </c>
      <c r="Z299">
        <v>15.172802655456771</v>
      </c>
      <c r="AA299">
        <v>1</v>
      </c>
    </row>
    <row r="300" spans="1:27" x14ac:dyDescent="0.25">
      <c r="A300">
        <v>5160</v>
      </c>
      <c r="B300">
        <v>23050</v>
      </c>
      <c r="C300" s="1">
        <v>42877</v>
      </c>
      <c r="F300" s="41"/>
      <c r="G300">
        <v>18.2</v>
      </c>
      <c r="H300">
        <v>11.7</v>
      </c>
      <c r="I300">
        <v>24.9</v>
      </c>
      <c r="J300">
        <f t="shared" si="30"/>
        <v>2069.4000000000005</v>
      </c>
      <c r="K300">
        <f t="shared" si="31"/>
        <v>107.60000000000001</v>
      </c>
      <c r="L300" s="22" t="s">
        <v>38</v>
      </c>
      <c r="M300">
        <v>0</v>
      </c>
      <c r="N300">
        <v>3.8</v>
      </c>
      <c r="O300">
        <f t="shared" si="35"/>
        <v>-3.8</v>
      </c>
      <c r="Q300">
        <v>251</v>
      </c>
      <c r="R300">
        <f t="shared" si="38"/>
        <v>1.0499999999999998</v>
      </c>
      <c r="S300">
        <f t="shared" si="36"/>
        <v>3.9899999999999993</v>
      </c>
      <c r="T300">
        <f t="shared" si="37"/>
        <v>-3.9899999999999993</v>
      </c>
      <c r="U300" s="4">
        <f t="shared" si="32"/>
        <v>60.746538857436967</v>
      </c>
      <c r="V300" s="23" t="s">
        <v>45</v>
      </c>
      <c r="W300">
        <v>2285.9</v>
      </c>
      <c r="X300">
        <f t="shared" si="33"/>
        <v>191465.70000000004</v>
      </c>
      <c r="Y300">
        <f t="shared" si="34"/>
        <v>11141.8</v>
      </c>
      <c r="Z300">
        <v>15.209968800123598</v>
      </c>
    </row>
    <row r="301" spans="1:27" x14ac:dyDescent="0.25">
      <c r="A301">
        <v>5160</v>
      </c>
      <c r="B301">
        <v>23050</v>
      </c>
      <c r="C301" s="1">
        <v>42878</v>
      </c>
      <c r="F301" s="41"/>
      <c r="G301">
        <v>17.7</v>
      </c>
      <c r="H301">
        <v>13.4</v>
      </c>
      <c r="I301">
        <v>22</v>
      </c>
      <c r="J301">
        <f t="shared" si="30"/>
        <v>2087.1000000000004</v>
      </c>
      <c r="K301">
        <f t="shared" si="31"/>
        <v>125.30000000000001</v>
      </c>
      <c r="L301" s="10">
        <f>MAX(I294:I310)</f>
        <v>29.3</v>
      </c>
      <c r="M301">
        <v>0</v>
      </c>
      <c r="N301">
        <v>3.7</v>
      </c>
      <c r="O301">
        <f t="shared" si="35"/>
        <v>-3.7</v>
      </c>
      <c r="Q301">
        <v>252</v>
      </c>
      <c r="R301">
        <f t="shared" si="38"/>
        <v>1.0357142857142856</v>
      </c>
      <c r="S301">
        <f t="shared" si="36"/>
        <v>3.8321428571428569</v>
      </c>
      <c r="T301">
        <f t="shared" si="37"/>
        <v>-3.8321428571428569</v>
      </c>
      <c r="U301" s="4">
        <f t="shared" si="32"/>
        <v>56.914396000294111</v>
      </c>
      <c r="V301" s="4">
        <f>MAX(U294:U310)</f>
        <v>69.22296742886553</v>
      </c>
      <c r="W301">
        <v>2123.6999999999998</v>
      </c>
      <c r="X301">
        <f t="shared" si="33"/>
        <v>193589.40000000005</v>
      </c>
      <c r="Y301">
        <f t="shared" si="34"/>
        <v>13265.5</v>
      </c>
      <c r="Z301">
        <v>15.246207434482065</v>
      </c>
    </row>
    <row r="302" spans="1:27" x14ac:dyDescent="0.25">
      <c r="A302">
        <v>5160</v>
      </c>
      <c r="B302">
        <v>23050</v>
      </c>
      <c r="C302" s="1">
        <v>42879</v>
      </c>
      <c r="F302" s="41"/>
      <c r="G302">
        <v>18.100000000000001</v>
      </c>
      <c r="H302">
        <v>14.5</v>
      </c>
      <c r="I302">
        <v>21.7</v>
      </c>
      <c r="J302">
        <f t="shared" si="30"/>
        <v>2105.2000000000003</v>
      </c>
      <c r="K302">
        <f t="shared" si="31"/>
        <v>143.4</v>
      </c>
      <c r="L302" s="22" t="s">
        <v>39</v>
      </c>
      <c r="M302">
        <v>0</v>
      </c>
      <c r="N302">
        <v>2.6</v>
      </c>
      <c r="O302">
        <f t="shared" si="35"/>
        <v>-2.6</v>
      </c>
      <c r="Q302">
        <v>253</v>
      </c>
      <c r="R302">
        <f t="shared" si="38"/>
        <v>1.0214285714285714</v>
      </c>
      <c r="S302">
        <f t="shared" si="36"/>
        <v>2.6557142857142857</v>
      </c>
      <c r="T302">
        <f t="shared" si="37"/>
        <v>-2.6557142857142857</v>
      </c>
      <c r="U302" s="4">
        <f t="shared" si="32"/>
        <v>54.258681714579822</v>
      </c>
      <c r="V302" s="23" t="s">
        <v>46</v>
      </c>
      <c r="W302">
        <v>1552.7</v>
      </c>
      <c r="X302">
        <f t="shared" si="33"/>
        <v>195142.10000000006</v>
      </c>
      <c r="Y302">
        <f t="shared" si="34"/>
        <v>14818.2</v>
      </c>
      <c r="Z302">
        <v>15.281495286593834</v>
      </c>
    </row>
    <row r="303" spans="1:27" x14ac:dyDescent="0.25">
      <c r="A303">
        <v>5160</v>
      </c>
      <c r="B303">
        <v>23050</v>
      </c>
      <c r="C303" s="1">
        <v>42880</v>
      </c>
      <c r="F303" s="41"/>
      <c r="G303">
        <v>20.100000000000001</v>
      </c>
      <c r="H303">
        <v>15.2</v>
      </c>
      <c r="I303">
        <v>24.9</v>
      </c>
      <c r="J303">
        <f t="shared" si="30"/>
        <v>2125.3000000000002</v>
      </c>
      <c r="K303">
        <f t="shared" si="31"/>
        <v>163.5</v>
      </c>
      <c r="L303" s="10">
        <v>7</v>
      </c>
      <c r="M303">
        <v>0</v>
      </c>
      <c r="N303">
        <v>6.3</v>
      </c>
      <c r="O303">
        <f t="shared" si="35"/>
        <v>-6.3</v>
      </c>
      <c r="Q303">
        <v>254</v>
      </c>
      <c r="R303">
        <f t="shared" si="38"/>
        <v>1.0071428571428571</v>
      </c>
      <c r="S303">
        <f t="shared" si="36"/>
        <v>6.3449999999999998</v>
      </c>
      <c r="T303">
        <f t="shared" si="37"/>
        <v>-6.3449999999999998</v>
      </c>
      <c r="U303" s="4">
        <f t="shared" si="32"/>
        <v>47.913681714579823</v>
      </c>
      <c r="V303" s="4">
        <f>AVERAGE(U294:U310)</f>
        <v>46.241748941470583</v>
      </c>
      <c r="W303">
        <v>3168.1</v>
      </c>
      <c r="X303">
        <f t="shared" si="33"/>
        <v>198310.20000000007</v>
      </c>
      <c r="Y303">
        <f t="shared" si="34"/>
        <v>17986.3</v>
      </c>
      <c r="Z303">
        <v>15.315809201948825</v>
      </c>
    </row>
    <row r="304" spans="1:27" x14ac:dyDescent="0.25">
      <c r="A304">
        <v>5160</v>
      </c>
      <c r="B304">
        <v>23050</v>
      </c>
      <c r="C304" s="1">
        <v>42881</v>
      </c>
      <c r="F304" s="41"/>
      <c r="G304">
        <v>21.8</v>
      </c>
      <c r="H304">
        <v>15.8</v>
      </c>
      <c r="I304">
        <v>27.6</v>
      </c>
      <c r="J304">
        <f t="shared" si="30"/>
        <v>2147.1000000000004</v>
      </c>
      <c r="K304">
        <f t="shared" si="31"/>
        <v>185.3</v>
      </c>
      <c r="L304" s="22" t="s">
        <v>40</v>
      </c>
      <c r="M304">
        <v>0</v>
      </c>
      <c r="N304">
        <v>6.5</v>
      </c>
      <c r="O304">
        <f t="shared" si="35"/>
        <v>-6.5</v>
      </c>
      <c r="Q304">
        <v>255</v>
      </c>
      <c r="R304">
        <f t="shared" si="38"/>
        <v>0.99285714285714277</v>
      </c>
      <c r="S304">
        <f t="shared" si="36"/>
        <v>6.4535714285714283</v>
      </c>
      <c r="T304">
        <f t="shared" si="37"/>
        <v>-6.4535714285714283</v>
      </c>
      <c r="U304" s="4">
        <f t="shared" si="32"/>
        <v>41.460110286008394</v>
      </c>
      <c r="W304">
        <v>3185.8</v>
      </c>
      <c r="X304">
        <f t="shared" si="33"/>
        <v>201496.00000000006</v>
      </c>
      <c r="Y304">
        <f t="shared" si="34"/>
        <v>21172.1</v>
      </c>
      <c r="Z304">
        <v>15.349126188701437</v>
      </c>
    </row>
    <row r="305" spans="1:27" x14ac:dyDescent="0.25">
      <c r="A305">
        <v>5160</v>
      </c>
      <c r="B305">
        <v>23050</v>
      </c>
      <c r="C305" s="1">
        <v>42882</v>
      </c>
      <c r="F305" s="41"/>
      <c r="G305">
        <v>23.5</v>
      </c>
      <c r="H305">
        <v>18.100000000000001</v>
      </c>
      <c r="I305">
        <v>27.4</v>
      </c>
      <c r="J305">
        <f t="shared" si="30"/>
        <v>2170.6000000000004</v>
      </c>
      <c r="K305">
        <f t="shared" si="31"/>
        <v>208.8</v>
      </c>
      <c r="L305" s="10">
        <v>0</v>
      </c>
      <c r="M305">
        <v>0</v>
      </c>
      <c r="N305">
        <v>4.0999999999999996</v>
      </c>
      <c r="O305">
        <f t="shared" si="35"/>
        <v>-4.0999999999999996</v>
      </c>
      <c r="Q305">
        <v>256</v>
      </c>
      <c r="R305">
        <f t="shared" si="38"/>
        <v>0.97857142857142854</v>
      </c>
      <c r="S305">
        <f t="shared" si="36"/>
        <v>4.012142857142857</v>
      </c>
      <c r="T305">
        <f t="shared" si="37"/>
        <v>-4.012142857142857</v>
      </c>
      <c r="U305" s="4">
        <f t="shared" si="32"/>
        <v>37.447967428865539</v>
      </c>
      <c r="V305">
        <f>(V303*100)/138.9</f>
        <v>33.291395926184727</v>
      </c>
      <c r="W305">
        <v>2129.1999999999998</v>
      </c>
      <c r="X305">
        <f t="shared" si="33"/>
        <v>203625.20000000007</v>
      </c>
      <c r="Y305">
        <f t="shared" si="34"/>
        <v>23301.3</v>
      </c>
      <c r="Z305">
        <v>15.381423464395485</v>
      </c>
    </row>
    <row r="306" spans="1:27" x14ac:dyDescent="0.25">
      <c r="A306">
        <v>5160</v>
      </c>
      <c r="B306">
        <v>23050</v>
      </c>
      <c r="C306" s="1">
        <v>42883</v>
      </c>
      <c r="F306" s="41"/>
      <c r="G306">
        <v>24.2</v>
      </c>
      <c r="H306">
        <v>19.3</v>
      </c>
      <c r="I306">
        <v>29.3</v>
      </c>
      <c r="J306">
        <f t="shared" si="30"/>
        <v>2194.8000000000002</v>
      </c>
      <c r="K306">
        <f t="shared" si="31"/>
        <v>233</v>
      </c>
      <c r="L306" s="22" t="s">
        <v>41</v>
      </c>
      <c r="M306">
        <v>0</v>
      </c>
      <c r="N306">
        <v>4.0999999999999996</v>
      </c>
      <c r="O306">
        <f t="shared" si="35"/>
        <v>-4.0999999999999996</v>
      </c>
      <c r="Q306">
        <v>257</v>
      </c>
      <c r="R306">
        <f t="shared" si="38"/>
        <v>0.96428571428571419</v>
      </c>
      <c r="S306">
        <f t="shared" si="36"/>
        <v>3.9535714285714278</v>
      </c>
      <c r="T306">
        <f t="shared" si="37"/>
        <v>-3.9535714285714278</v>
      </c>
      <c r="U306" s="4">
        <f t="shared" si="32"/>
        <v>33.49439600029411</v>
      </c>
      <c r="W306">
        <v>2207.6999999999998</v>
      </c>
      <c r="X306">
        <f t="shared" si="33"/>
        <v>205832.90000000008</v>
      </c>
      <c r="Y306">
        <f t="shared" si="34"/>
        <v>25509</v>
      </c>
      <c r="Z306">
        <v>15.412678504039</v>
      </c>
    </row>
    <row r="307" spans="1:27" x14ac:dyDescent="0.25">
      <c r="A307">
        <v>5160</v>
      </c>
      <c r="B307">
        <v>23050</v>
      </c>
      <c r="C307" s="1">
        <v>42884</v>
      </c>
      <c r="F307" s="41"/>
      <c r="G307">
        <v>21.3</v>
      </c>
      <c r="H307">
        <v>19.7</v>
      </c>
      <c r="I307">
        <v>25.6</v>
      </c>
      <c r="J307">
        <f t="shared" si="30"/>
        <v>2216.1000000000004</v>
      </c>
      <c r="K307">
        <f t="shared" si="31"/>
        <v>254.3</v>
      </c>
      <c r="L307" s="18">
        <v>0</v>
      </c>
      <c r="M307">
        <v>0</v>
      </c>
      <c r="N307">
        <v>3.4</v>
      </c>
      <c r="O307">
        <f t="shared" si="35"/>
        <v>-3.4</v>
      </c>
      <c r="Q307">
        <v>258</v>
      </c>
      <c r="R307">
        <f t="shared" si="38"/>
        <v>0.95</v>
      </c>
      <c r="S307">
        <f t="shared" si="36"/>
        <v>3.23</v>
      </c>
      <c r="T307">
        <f t="shared" si="37"/>
        <v>-3.23</v>
      </c>
      <c r="U307" s="4">
        <f t="shared" si="32"/>
        <v>30.264396000294109</v>
      </c>
      <c r="W307">
        <v>1582.2</v>
      </c>
      <c r="X307">
        <f t="shared" si="33"/>
        <v>207415.10000000009</v>
      </c>
      <c r="Y307">
        <f t="shared" si="34"/>
        <v>27091.200000000001</v>
      </c>
      <c r="Z307">
        <v>15.442869089373481</v>
      </c>
    </row>
    <row r="308" spans="1:27" x14ac:dyDescent="0.25">
      <c r="A308">
        <v>5160</v>
      </c>
      <c r="B308">
        <v>23050</v>
      </c>
      <c r="C308" s="1">
        <v>42885</v>
      </c>
      <c r="F308" s="41"/>
      <c r="G308">
        <v>18.5</v>
      </c>
      <c r="H308">
        <v>16.399999999999999</v>
      </c>
      <c r="I308">
        <v>21.6</v>
      </c>
      <c r="J308">
        <f t="shared" ref="J308:J371" si="39">J307+G308</f>
        <v>2234.6000000000004</v>
      </c>
      <c r="K308">
        <f t="shared" ref="K308:K371" si="40">K307+G308</f>
        <v>272.8</v>
      </c>
      <c r="M308">
        <v>0</v>
      </c>
      <c r="N308">
        <v>2.5</v>
      </c>
      <c r="O308">
        <f t="shared" si="35"/>
        <v>-2.5</v>
      </c>
      <c r="Q308">
        <v>259</v>
      </c>
      <c r="R308">
        <f t="shared" si="38"/>
        <v>0.93571428571428561</v>
      </c>
      <c r="S308">
        <f t="shared" si="36"/>
        <v>2.339285714285714</v>
      </c>
      <c r="T308">
        <f t="shared" si="37"/>
        <v>-2.339285714285714</v>
      </c>
      <c r="U308" s="4">
        <f t="shared" ref="U308:U371" si="41">MIN(U307+T308,138.9)</f>
        <v>27.925110286008394</v>
      </c>
      <c r="W308">
        <v>1198.9000000000001</v>
      </c>
      <c r="X308">
        <f t="shared" ref="X308:X371" si="42">X307+W308</f>
        <v>208614.00000000009</v>
      </c>
      <c r="Y308">
        <f t="shared" ref="Y308:Y371" si="43">Y307+W308</f>
        <v>28290.100000000002</v>
      </c>
      <c r="Z308">
        <v>15.471973359165528</v>
      </c>
    </row>
    <row r="309" spans="1:27" x14ac:dyDescent="0.25">
      <c r="A309">
        <v>5160</v>
      </c>
      <c r="B309">
        <v>23050</v>
      </c>
      <c r="C309" s="1">
        <v>42886</v>
      </c>
      <c r="F309" s="41"/>
      <c r="G309">
        <v>18.100000000000001</v>
      </c>
      <c r="H309">
        <v>13</v>
      </c>
      <c r="I309">
        <v>21.6</v>
      </c>
      <c r="J309">
        <f t="shared" si="39"/>
        <v>2252.7000000000003</v>
      </c>
      <c r="K309">
        <f t="shared" si="40"/>
        <v>290.90000000000003</v>
      </c>
      <c r="M309">
        <v>0</v>
      </c>
      <c r="N309">
        <v>4.0999999999999996</v>
      </c>
      <c r="O309">
        <f t="shared" si="35"/>
        <v>-4.0999999999999996</v>
      </c>
      <c r="Q309">
        <v>260</v>
      </c>
      <c r="R309">
        <f t="shared" si="38"/>
        <v>0.92142857142857137</v>
      </c>
      <c r="S309">
        <f t="shared" si="36"/>
        <v>3.7778571428571421</v>
      </c>
      <c r="T309">
        <f t="shared" si="37"/>
        <v>-3.7778571428571421</v>
      </c>
      <c r="U309" s="4">
        <f t="shared" si="41"/>
        <v>24.147253143151254</v>
      </c>
      <c r="W309">
        <v>2472.5</v>
      </c>
      <c r="X309">
        <f t="shared" si="42"/>
        <v>211086.50000000009</v>
      </c>
      <c r="Y309">
        <f t="shared" si="43"/>
        <v>30762.600000000002</v>
      </c>
      <c r="Z309">
        <v>15.499969860332609</v>
      </c>
    </row>
    <row r="310" spans="1:27" s="6" customFormat="1" ht="15.75" thickBot="1" x14ac:dyDescent="0.3">
      <c r="A310" s="6">
        <v>5160</v>
      </c>
      <c r="B310" s="6">
        <v>23050</v>
      </c>
      <c r="C310" s="7">
        <v>42887</v>
      </c>
      <c r="D310" s="6">
        <v>600</v>
      </c>
      <c r="F310" s="42"/>
      <c r="G310" s="6">
        <v>21</v>
      </c>
      <c r="H310" s="6">
        <v>15.5</v>
      </c>
      <c r="I310" s="6">
        <v>26</v>
      </c>
      <c r="J310" s="6">
        <f t="shared" si="39"/>
        <v>2273.7000000000003</v>
      </c>
      <c r="K310" s="6">
        <f t="shared" si="40"/>
        <v>311.90000000000003</v>
      </c>
      <c r="M310" s="6">
        <v>0</v>
      </c>
      <c r="N310" s="6">
        <v>4.8</v>
      </c>
      <c r="O310" s="6">
        <f t="shared" si="35"/>
        <v>-4.8</v>
      </c>
      <c r="Q310" s="6">
        <v>261</v>
      </c>
      <c r="R310">
        <f t="shared" si="38"/>
        <v>0.90714285714285703</v>
      </c>
      <c r="S310" s="6">
        <f t="shared" si="36"/>
        <v>4.3542857142857132</v>
      </c>
      <c r="T310" s="6">
        <f t="shared" si="37"/>
        <v>-4.3542857142857132</v>
      </c>
      <c r="U310" s="8">
        <f t="shared" si="41"/>
        <v>19.792967428865541</v>
      </c>
      <c r="W310" s="6">
        <v>2416.4</v>
      </c>
      <c r="X310" s="6">
        <f t="shared" si="42"/>
        <v>213502.90000000008</v>
      </c>
      <c r="Y310" s="6">
        <f t="shared" si="43"/>
        <v>33179</v>
      </c>
      <c r="Z310" s="6">
        <v>15.526837599699153</v>
      </c>
    </row>
    <row r="311" spans="1:27" x14ac:dyDescent="0.25">
      <c r="A311">
        <v>5160</v>
      </c>
      <c r="B311">
        <v>23050</v>
      </c>
      <c r="C311" s="1">
        <v>42888</v>
      </c>
      <c r="F311" s="43" t="s">
        <v>59</v>
      </c>
      <c r="G311">
        <v>22</v>
      </c>
      <c r="H311">
        <v>17.5</v>
      </c>
      <c r="I311">
        <v>27.8</v>
      </c>
      <c r="J311">
        <f t="shared" si="39"/>
        <v>2295.7000000000003</v>
      </c>
      <c r="K311">
        <f>G311</f>
        <v>22</v>
      </c>
      <c r="L311" s="24" t="s">
        <v>35</v>
      </c>
      <c r="M311">
        <v>1.1000000000000001</v>
      </c>
      <c r="N311">
        <v>4.0999999999999996</v>
      </c>
      <c r="O311">
        <f t="shared" si="35"/>
        <v>-2.9999999999999996</v>
      </c>
      <c r="Q311">
        <v>262</v>
      </c>
      <c r="R311">
        <f t="shared" si="38"/>
        <v>0.89285714285714279</v>
      </c>
      <c r="S311">
        <f t="shared" si="36"/>
        <v>3.6607142857142851</v>
      </c>
      <c r="T311">
        <f t="shared" si="37"/>
        <v>-2.5607142857142851</v>
      </c>
      <c r="U311" s="4">
        <f t="shared" si="41"/>
        <v>17.232253143151254</v>
      </c>
      <c r="V311" s="25" t="s">
        <v>42</v>
      </c>
      <c r="W311">
        <v>1976.7</v>
      </c>
      <c r="X311">
        <f t="shared" si="42"/>
        <v>215479.60000000009</v>
      </c>
      <c r="Y311">
        <f>W311</f>
        <v>1976.7</v>
      </c>
      <c r="Z311">
        <v>15.552556096164082</v>
      </c>
      <c r="AA311" s="25" t="s">
        <v>47</v>
      </c>
    </row>
    <row r="312" spans="1:27" x14ac:dyDescent="0.25">
      <c r="A312">
        <v>5160</v>
      </c>
      <c r="B312">
        <v>23050</v>
      </c>
      <c r="C312" s="1">
        <v>42889</v>
      </c>
      <c r="F312" s="44"/>
      <c r="G312">
        <v>15.7</v>
      </c>
      <c r="H312">
        <v>15</v>
      </c>
      <c r="I312">
        <v>18.7</v>
      </c>
      <c r="J312">
        <f t="shared" si="39"/>
        <v>2311.4</v>
      </c>
      <c r="K312">
        <f t="shared" si="40"/>
        <v>37.700000000000003</v>
      </c>
      <c r="L312" s="10">
        <v>406.5</v>
      </c>
      <c r="M312">
        <v>0.2</v>
      </c>
      <c r="N312">
        <v>1</v>
      </c>
      <c r="O312">
        <f t="shared" si="35"/>
        <v>-0.8</v>
      </c>
      <c r="Q312">
        <v>263</v>
      </c>
      <c r="R312">
        <f t="shared" si="38"/>
        <v>0.87857142857142856</v>
      </c>
      <c r="S312">
        <f t="shared" si="36"/>
        <v>0.87857142857142856</v>
      </c>
      <c r="T312">
        <f t="shared" si="37"/>
        <v>-0.6785714285714286</v>
      </c>
      <c r="U312" s="4">
        <f t="shared" si="41"/>
        <v>16.553681714579827</v>
      </c>
      <c r="V312">
        <v>7</v>
      </c>
      <c r="W312">
        <v>691</v>
      </c>
      <c r="X312">
        <f t="shared" si="42"/>
        <v>216170.60000000009</v>
      </c>
      <c r="Y312">
        <f t="shared" si="43"/>
        <v>2667.7</v>
      </c>
      <c r="Z312">
        <v>15.577105433047256</v>
      </c>
      <c r="AA312">
        <v>45196.7</v>
      </c>
    </row>
    <row r="313" spans="1:27" x14ac:dyDescent="0.25">
      <c r="A313">
        <v>5160</v>
      </c>
      <c r="B313">
        <v>23050</v>
      </c>
      <c r="C313" s="1">
        <v>42890</v>
      </c>
      <c r="F313" s="44"/>
      <c r="G313">
        <v>16</v>
      </c>
      <c r="H313">
        <v>10.8</v>
      </c>
      <c r="I313">
        <v>20.8</v>
      </c>
      <c r="J313">
        <f t="shared" si="39"/>
        <v>2327.4</v>
      </c>
      <c r="K313">
        <f t="shared" si="40"/>
        <v>53.7</v>
      </c>
      <c r="L313" s="24" t="s">
        <v>36</v>
      </c>
      <c r="M313">
        <v>0</v>
      </c>
      <c r="N313">
        <v>1.9</v>
      </c>
      <c r="O313">
        <f t="shared" si="35"/>
        <v>-1.9</v>
      </c>
      <c r="Q313">
        <v>264</v>
      </c>
      <c r="R313">
        <f t="shared" si="38"/>
        <v>0.86428571428571421</v>
      </c>
      <c r="S313">
        <f t="shared" si="36"/>
        <v>1.6421428571428569</v>
      </c>
      <c r="T313">
        <f t="shared" si="37"/>
        <v>-1.6421428571428569</v>
      </c>
      <c r="U313" s="4">
        <f t="shared" si="41"/>
        <v>14.91153885743697</v>
      </c>
      <c r="V313" s="25" t="s">
        <v>43</v>
      </c>
      <c r="W313">
        <v>1285.8</v>
      </c>
      <c r="X313">
        <f t="shared" si="42"/>
        <v>217456.40000000008</v>
      </c>
      <c r="Y313">
        <f t="shared" si="43"/>
        <v>3953.5</v>
      </c>
      <c r="Z313">
        <v>15.600466310369578</v>
      </c>
      <c r="AA313" s="25" t="s">
        <v>48</v>
      </c>
    </row>
    <row r="314" spans="1:27" x14ac:dyDescent="0.25">
      <c r="A314">
        <v>5160</v>
      </c>
      <c r="B314">
        <v>23050</v>
      </c>
      <c r="C314" s="1">
        <v>42891</v>
      </c>
      <c r="F314" s="44"/>
      <c r="G314">
        <v>16.899999999999999</v>
      </c>
      <c r="H314">
        <v>12.4</v>
      </c>
      <c r="I314">
        <v>21.9</v>
      </c>
      <c r="J314">
        <f t="shared" si="39"/>
        <v>2344.3000000000002</v>
      </c>
      <c r="K314">
        <f t="shared" si="40"/>
        <v>70.599999999999994</v>
      </c>
      <c r="L314" s="10">
        <f>AVERAGE(G311:G330)</f>
        <v>20.324999999999996</v>
      </c>
      <c r="M314">
        <v>5.6</v>
      </c>
      <c r="N314">
        <v>4</v>
      </c>
      <c r="O314">
        <f t="shared" si="35"/>
        <v>1.5999999999999996</v>
      </c>
      <c r="Q314">
        <v>265</v>
      </c>
      <c r="R314">
        <f t="shared" si="38"/>
        <v>0.84999999999999987</v>
      </c>
      <c r="S314">
        <f t="shared" si="36"/>
        <v>3.3999999999999995</v>
      </c>
      <c r="T314">
        <f t="shared" si="37"/>
        <v>2.2000000000000002</v>
      </c>
      <c r="U314" s="4">
        <f t="shared" si="41"/>
        <v>17.111538857436969</v>
      </c>
      <c r="V314">
        <v>13</v>
      </c>
      <c r="W314">
        <v>1970.3</v>
      </c>
      <c r="X314">
        <f t="shared" si="42"/>
        <v>219426.70000000007</v>
      </c>
      <c r="Y314">
        <f t="shared" si="43"/>
        <v>5923.8</v>
      </c>
      <c r="Z314">
        <v>15.622620096810405</v>
      </c>
      <c r="AA314">
        <f>(AA312/100)/L312</f>
        <v>1.111849938499385</v>
      </c>
    </row>
    <row r="315" spans="1:27" x14ac:dyDescent="0.25">
      <c r="A315">
        <v>5160</v>
      </c>
      <c r="B315">
        <v>23050</v>
      </c>
      <c r="C315" s="1">
        <v>42892</v>
      </c>
      <c r="F315" s="44"/>
      <c r="G315">
        <v>13.5</v>
      </c>
      <c r="H315">
        <v>11.2</v>
      </c>
      <c r="I315">
        <v>18.3</v>
      </c>
      <c r="J315">
        <f t="shared" si="39"/>
        <v>2357.8000000000002</v>
      </c>
      <c r="K315">
        <f t="shared" si="40"/>
        <v>84.1</v>
      </c>
      <c r="L315" s="24" t="s">
        <v>37</v>
      </c>
      <c r="M315">
        <v>1.4</v>
      </c>
      <c r="N315">
        <v>3.9</v>
      </c>
      <c r="O315">
        <f t="shared" si="35"/>
        <v>-2.5</v>
      </c>
      <c r="Q315">
        <v>266</v>
      </c>
      <c r="R315">
        <f t="shared" si="38"/>
        <v>0.83571428571428563</v>
      </c>
      <c r="S315">
        <f t="shared" si="36"/>
        <v>3.2592857142857139</v>
      </c>
      <c r="T315">
        <f t="shared" si="37"/>
        <v>-1.859285714285714</v>
      </c>
      <c r="U315" s="4">
        <f t="shared" si="41"/>
        <v>15.252253143151254</v>
      </c>
      <c r="V315" s="25" t="s">
        <v>44</v>
      </c>
      <c r="W315">
        <v>1708.1</v>
      </c>
      <c r="X315">
        <f t="shared" si="42"/>
        <v>221134.80000000008</v>
      </c>
      <c r="Y315">
        <f t="shared" si="43"/>
        <v>7631.9</v>
      </c>
      <c r="Z315">
        <v>15.643548881076539</v>
      </c>
      <c r="AA315" s="25" t="s">
        <v>49</v>
      </c>
    </row>
    <row r="316" spans="1:27" x14ac:dyDescent="0.25">
      <c r="A316">
        <v>5160</v>
      </c>
      <c r="B316">
        <v>23050</v>
      </c>
      <c r="C316" s="1">
        <v>42893</v>
      </c>
      <c r="F316" s="44"/>
      <c r="G316">
        <v>14.8</v>
      </c>
      <c r="H316">
        <v>8.9</v>
      </c>
      <c r="I316">
        <v>19.899999999999999</v>
      </c>
      <c r="J316">
        <f t="shared" si="39"/>
        <v>2372.6000000000004</v>
      </c>
      <c r="K316">
        <f t="shared" si="40"/>
        <v>98.899999999999991</v>
      </c>
      <c r="L316" s="11">
        <f>MIN(H311:H330)</f>
        <v>8.9</v>
      </c>
      <c r="M316">
        <v>0</v>
      </c>
      <c r="N316">
        <v>3.1</v>
      </c>
      <c r="O316">
        <f t="shared" si="35"/>
        <v>-3.1</v>
      </c>
      <c r="Q316">
        <v>267</v>
      </c>
      <c r="R316">
        <f t="shared" si="38"/>
        <v>0.8214285714285714</v>
      </c>
      <c r="S316">
        <f t="shared" si="36"/>
        <v>2.5464285714285713</v>
      </c>
      <c r="T316">
        <f t="shared" si="37"/>
        <v>-2.5464285714285713</v>
      </c>
      <c r="U316" s="4">
        <f t="shared" si="41"/>
        <v>12.705824571722683</v>
      </c>
      <c r="V316">
        <v>0</v>
      </c>
      <c r="W316">
        <v>1605.2</v>
      </c>
      <c r="X316">
        <f t="shared" si="42"/>
        <v>222740.00000000009</v>
      </c>
      <c r="Y316">
        <f t="shared" si="43"/>
        <v>9237.1</v>
      </c>
      <c r="Z316">
        <v>15.663235522409657</v>
      </c>
      <c r="AA316">
        <v>1</v>
      </c>
    </row>
    <row r="317" spans="1:27" x14ac:dyDescent="0.25">
      <c r="A317">
        <v>5160</v>
      </c>
      <c r="B317">
        <v>23050</v>
      </c>
      <c r="C317" s="1">
        <v>42894</v>
      </c>
      <c r="F317" s="44"/>
      <c r="G317">
        <v>19.5</v>
      </c>
      <c r="H317">
        <v>11.4</v>
      </c>
      <c r="I317">
        <v>25.9</v>
      </c>
      <c r="J317">
        <f t="shared" si="39"/>
        <v>2392.1000000000004</v>
      </c>
      <c r="K317">
        <f t="shared" si="40"/>
        <v>118.39999999999999</v>
      </c>
      <c r="L317" s="24" t="s">
        <v>38</v>
      </c>
      <c r="M317">
        <v>11.8</v>
      </c>
      <c r="N317">
        <v>4.7</v>
      </c>
      <c r="O317">
        <f t="shared" si="35"/>
        <v>7.1000000000000005</v>
      </c>
      <c r="Q317">
        <v>268</v>
      </c>
      <c r="R317">
        <f t="shared" si="38"/>
        <v>0.80714285714285716</v>
      </c>
      <c r="S317">
        <f t="shared" si="36"/>
        <v>3.7935714285714286</v>
      </c>
      <c r="T317">
        <f t="shared" si="37"/>
        <v>8.0064285714285717</v>
      </c>
      <c r="U317" s="4">
        <f t="shared" si="41"/>
        <v>20.712253143151255</v>
      </c>
      <c r="V317" s="25" t="s">
        <v>45</v>
      </c>
      <c r="W317">
        <v>2599.4</v>
      </c>
      <c r="X317">
        <f t="shared" si="42"/>
        <v>225339.40000000008</v>
      </c>
      <c r="Y317">
        <f t="shared" si="43"/>
        <v>11836.5</v>
      </c>
      <c r="Z317">
        <v>15.681663699953646</v>
      </c>
    </row>
    <row r="318" spans="1:27" x14ac:dyDescent="0.25">
      <c r="A318">
        <v>5160</v>
      </c>
      <c r="B318">
        <v>23050</v>
      </c>
      <c r="C318" s="1">
        <v>42895</v>
      </c>
      <c r="F318" s="44"/>
      <c r="G318">
        <v>18.3</v>
      </c>
      <c r="H318">
        <v>16</v>
      </c>
      <c r="I318">
        <v>22.1</v>
      </c>
      <c r="J318">
        <f t="shared" si="39"/>
        <v>2410.4000000000005</v>
      </c>
      <c r="K318">
        <f t="shared" si="40"/>
        <v>136.69999999999999</v>
      </c>
      <c r="L318" s="10">
        <f>MAX(I311:I330)</f>
        <v>35.1</v>
      </c>
      <c r="M318">
        <v>0</v>
      </c>
      <c r="N318">
        <v>3</v>
      </c>
      <c r="O318">
        <f t="shared" si="35"/>
        <v>-3</v>
      </c>
      <c r="Q318">
        <v>269</v>
      </c>
      <c r="R318">
        <f t="shared" si="38"/>
        <v>0.7928571428571427</v>
      </c>
      <c r="S318">
        <f t="shared" si="36"/>
        <v>2.3785714285714281</v>
      </c>
      <c r="T318">
        <f t="shared" si="37"/>
        <v>-2.3785714285714281</v>
      </c>
      <c r="U318" s="4">
        <f t="shared" si="41"/>
        <v>18.333681714579825</v>
      </c>
      <c r="V318" s="4">
        <f>MAX(U311:U330)</f>
        <v>20.712253143151255</v>
      </c>
      <c r="W318">
        <v>1442.8</v>
      </c>
      <c r="X318">
        <f t="shared" si="42"/>
        <v>226782.20000000007</v>
      </c>
      <c r="Y318">
        <f t="shared" si="43"/>
        <v>13279.3</v>
      </c>
      <c r="Z318">
        <v>15.698817960700501</v>
      </c>
    </row>
    <row r="319" spans="1:27" x14ac:dyDescent="0.25">
      <c r="A319">
        <v>5160</v>
      </c>
      <c r="B319">
        <v>23050</v>
      </c>
      <c r="C319" s="1">
        <v>42896</v>
      </c>
      <c r="F319" s="44"/>
      <c r="G319">
        <v>19.8</v>
      </c>
      <c r="H319">
        <v>12.8</v>
      </c>
      <c r="I319">
        <v>26.6</v>
      </c>
      <c r="J319">
        <f t="shared" si="39"/>
        <v>2430.2000000000007</v>
      </c>
      <c r="K319">
        <f t="shared" si="40"/>
        <v>156.5</v>
      </c>
      <c r="L319" s="24" t="s">
        <v>39</v>
      </c>
      <c r="M319">
        <v>0</v>
      </c>
      <c r="N319">
        <v>6.2</v>
      </c>
      <c r="O319">
        <f t="shared" si="35"/>
        <v>-6.2</v>
      </c>
      <c r="Q319">
        <v>270</v>
      </c>
      <c r="R319">
        <f t="shared" si="38"/>
        <v>0.77857142857142847</v>
      </c>
      <c r="S319">
        <f t="shared" si="36"/>
        <v>4.8271428571428565</v>
      </c>
      <c r="T319">
        <f t="shared" si="37"/>
        <v>-4.8271428571428565</v>
      </c>
      <c r="U319" s="4">
        <f t="shared" si="41"/>
        <v>13.506538857436968</v>
      </c>
      <c r="V319" s="25" t="s">
        <v>46</v>
      </c>
      <c r="W319">
        <v>3200.3</v>
      </c>
      <c r="X319">
        <f t="shared" si="42"/>
        <v>229982.50000000006</v>
      </c>
      <c r="Y319">
        <f t="shared" si="43"/>
        <v>16479.599999999999</v>
      </c>
      <c r="Z319">
        <v>15.714683765732881</v>
      </c>
    </row>
    <row r="320" spans="1:27" x14ac:dyDescent="0.25">
      <c r="A320">
        <v>5160</v>
      </c>
      <c r="B320">
        <v>23050</v>
      </c>
      <c r="C320" s="1">
        <v>42897</v>
      </c>
      <c r="F320" s="44"/>
      <c r="G320">
        <v>21.7</v>
      </c>
      <c r="H320">
        <v>14.5</v>
      </c>
      <c r="I320">
        <v>28.6</v>
      </c>
      <c r="J320">
        <f t="shared" si="39"/>
        <v>2451.9000000000005</v>
      </c>
      <c r="K320">
        <f t="shared" si="40"/>
        <v>178.2</v>
      </c>
      <c r="L320" s="10">
        <v>11</v>
      </c>
      <c r="M320">
        <v>0</v>
      </c>
      <c r="N320">
        <v>4.8</v>
      </c>
      <c r="O320">
        <f t="shared" si="35"/>
        <v>-4.8</v>
      </c>
      <c r="Q320">
        <v>271</v>
      </c>
      <c r="R320">
        <f t="shared" si="38"/>
        <v>0.76428571428571423</v>
      </c>
      <c r="S320">
        <f t="shared" si="36"/>
        <v>3.6685714285714282</v>
      </c>
      <c r="T320">
        <f t="shared" si="37"/>
        <v>-3.6685714285714282</v>
      </c>
      <c r="U320" s="4">
        <f t="shared" si="41"/>
        <v>9.8379674288655394</v>
      </c>
      <c r="V320" s="4">
        <f>AVERAGE(U311:U330)</f>
        <v>8.2960716859054564</v>
      </c>
      <c r="W320">
        <v>2061.6999999999998</v>
      </c>
      <c r="X320">
        <f t="shared" si="42"/>
        <v>232044.20000000007</v>
      </c>
      <c r="Y320">
        <f t="shared" si="43"/>
        <v>18541.3</v>
      </c>
      <c r="Z320">
        <v>15.72924753448369</v>
      </c>
    </row>
    <row r="321" spans="1:26" x14ac:dyDescent="0.25">
      <c r="A321">
        <v>5160</v>
      </c>
      <c r="B321">
        <v>23050</v>
      </c>
      <c r="C321" s="1">
        <v>42898</v>
      </c>
      <c r="F321" s="44"/>
      <c r="G321">
        <v>18.100000000000001</v>
      </c>
      <c r="H321">
        <v>14.8</v>
      </c>
      <c r="I321">
        <v>22.5</v>
      </c>
      <c r="J321">
        <f t="shared" si="39"/>
        <v>2470.0000000000005</v>
      </c>
      <c r="K321">
        <f t="shared" si="40"/>
        <v>196.29999999999998</v>
      </c>
      <c r="L321" s="24" t="s">
        <v>40</v>
      </c>
      <c r="M321">
        <v>0</v>
      </c>
      <c r="N321">
        <v>5.2</v>
      </c>
      <c r="O321">
        <f t="shared" si="35"/>
        <v>-5.2</v>
      </c>
      <c r="Q321">
        <v>272</v>
      </c>
      <c r="R321">
        <f t="shared" si="38"/>
        <v>0.75</v>
      </c>
      <c r="S321">
        <f t="shared" si="36"/>
        <v>3.9000000000000004</v>
      </c>
      <c r="T321">
        <f t="shared" si="37"/>
        <v>-3.9000000000000004</v>
      </c>
      <c r="U321" s="4">
        <f t="shared" si="41"/>
        <v>5.9379674288655391</v>
      </c>
      <c r="W321">
        <v>2613.9</v>
      </c>
      <c r="X321">
        <f t="shared" si="42"/>
        <v>234658.10000000006</v>
      </c>
      <c r="Y321">
        <f t="shared" si="43"/>
        <v>21155.200000000001</v>
      </c>
      <c r="Z321">
        <v>15.742496686737988</v>
      </c>
    </row>
    <row r="322" spans="1:26" x14ac:dyDescent="0.25">
      <c r="A322">
        <v>5160</v>
      </c>
      <c r="B322">
        <v>23050</v>
      </c>
      <c r="C322" s="1">
        <v>42899</v>
      </c>
      <c r="F322" s="44"/>
      <c r="G322">
        <v>17.8</v>
      </c>
      <c r="H322">
        <v>12.7</v>
      </c>
      <c r="I322">
        <v>21.9</v>
      </c>
      <c r="J322">
        <f t="shared" si="39"/>
        <v>2487.8000000000006</v>
      </c>
      <c r="K322">
        <f t="shared" si="40"/>
        <v>214.1</v>
      </c>
      <c r="L322" s="10">
        <v>0</v>
      </c>
      <c r="M322">
        <v>0</v>
      </c>
      <c r="N322">
        <v>4</v>
      </c>
      <c r="O322">
        <f t="shared" si="35"/>
        <v>-4</v>
      </c>
      <c r="Q322">
        <v>273</v>
      </c>
      <c r="R322">
        <f t="shared" si="38"/>
        <v>0.73571428571428554</v>
      </c>
      <c r="S322">
        <f t="shared" si="36"/>
        <v>2.9428571428571422</v>
      </c>
      <c r="T322">
        <f t="shared" si="37"/>
        <v>-2.9428571428571422</v>
      </c>
      <c r="U322" s="4">
        <f t="shared" si="41"/>
        <v>2.9951102860083969</v>
      </c>
      <c r="V322">
        <f>(V320*100)/138.9</f>
        <v>5.9726937983480601</v>
      </c>
      <c r="W322">
        <v>2281.4</v>
      </c>
      <c r="X322">
        <f t="shared" si="42"/>
        <v>236939.50000000006</v>
      </c>
      <c r="Y322">
        <f t="shared" si="43"/>
        <v>23436.600000000002</v>
      </c>
      <c r="Z322">
        <v>15.754419682110237</v>
      </c>
    </row>
    <row r="323" spans="1:26" x14ac:dyDescent="0.25">
      <c r="A323">
        <v>5160</v>
      </c>
      <c r="B323">
        <v>23050</v>
      </c>
      <c r="C323" s="1">
        <v>42900</v>
      </c>
      <c r="F323" s="44"/>
      <c r="G323">
        <v>22.2</v>
      </c>
      <c r="H323">
        <v>16.3</v>
      </c>
      <c r="I323">
        <v>28.8</v>
      </c>
      <c r="J323">
        <f t="shared" si="39"/>
        <v>2510.0000000000005</v>
      </c>
      <c r="K323">
        <f t="shared" si="40"/>
        <v>236.29999999999998</v>
      </c>
      <c r="L323" s="24" t="s">
        <v>41</v>
      </c>
      <c r="M323">
        <v>0</v>
      </c>
      <c r="N323">
        <v>3</v>
      </c>
      <c r="O323">
        <f t="shared" si="35"/>
        <v>-3</v>
      </c>
      <c r="Q323">
        <v>274</v>
      </c>
      <c r="R323">
        <f t="shared" si="38"/>
        <v>0.72142857142857131</v>
      </c>
      <c r="S323">
        <f t="shared" si="36"/>
        <v>2.1642857142857137</v>
      </c>
      <c r="T323">
        <f t="shared" si="37"/>
        <v>-2.1642857142857137</v>
      </c>
      <c r="U323" s="4">
        <f t="shared" si="41"/>
        <v>0.8308245717226832</v>
      </c>
      <c r="W323">
        <v>1505</v>
      </c>
      <c r="X323">
        <f t="shared" si="42"/>
        <v>238444.50000000006</v>
      </c>
      <c r="Y323">
        <f t="shared" si="43"/>
        <v>24941.600000000002</v>
      </c>
      <c r="Z323">
        <v>15.765006056740557</v>
      </c>
    </row>
    <row r="324" spans="1:26" x14ac:dyDescent="0.25">
      <c r="A324">
        <v>5160</v>
      </c>
      <c r="B324">
        <v>23050</v>
      </c>
      <c r="C324" s="1">
        <v>42901</v>
      </c>
      <c r="F324" s="44"/>
      <c r="G324">
        <v>23.3</v>
      </c>
      <c r="H324">
        <v>18.899999999999999</v>
      </c>
      <c r="I324">
        <v>29</v>
      </c>
      <c r="J324">
        <f t="shared" si="39"/>
        <v>2533.3000000000006</v>
      </c>
      <c r="K324">
        <f t="shared" si="40"/>
        <v>259.59999999999997</v>
      </c>
      <c r="L324" s="18">
        <v>0</v>
      </c>
      <c r="M324">
        <v>0</v>
      </c>
      <c r="N324">
        <v>6.5</v>
      </c>
      <c r="O324">
        <f t="shared" si="35"/>
        <v>-6.5</v>
      </c>
      <c r="Q324">
        <v>275</v>
      </c>
      <c r="R324">
        <f t="shared" si="38"/>
        <v>0.70714285714285707</v>
      </c>
      <c r="S324">
        <f t="shared" si="36"/>
        <v>4.5964285714285706</v>
      </c>
      <c r="T324">
        <f t="shared" si="37"/>
        <v>-4.5964285714285706</v>
      </c>
      <c r="U324" s="4">
        <v>0</v>
      </c>
      <c r="W324">
        <v>3038.9</v>
      </c>
      <c r="X324">
        <f t="shared" si="42"/>
        <v>241483.40000000005</v>
      </c>
      <c r="Y324">
        <f t="shared" si="43"/>
        <v>27980.500000000004</v>
      </c>
      <c r="Z324">
        <v>15.774246456966926</v>
      </c>
    </row>
    <row r="325" spans="1:26" x14ac:dyDescent="0.25">
      <c r="A325">
        <v>5160</v>
      </c>
      <c r="B325">
        <v>23050</v>
      </c>
      <c r="C325" s="1">
        <v>42902</v>
      </c>
      <c r="F325" s="44"/>
      <c r="G325">
        <v>18.899999999999999</v>
      </c>
      <c r="H325">
        <v>14.7</v>
      </c>
      <c r="I325">
        <v>23.8</v>
      </c>
      <c r="J325">
        <f t="shared" si="39"/>
        <v>2552.2000000000007</v>
      </c>
      <c r="K325">
        <f t="shared" si="40"/>
        <v>278.49999999999994</v>
      </c>
      <c r="M325">
        <v>0</v>
      </c>
      <c r="N325">
        <v>5.4</v>
      </c>
      <c r="O325">
        <f t="shared" si="35"/>
        <v>-5.4</v>
      </c>
      <c r="Q325">
        <v>276</v>
      </c>
      <c r="R325">
        <f t="shared" si="38"/>
        <v>0.69285714285714284</v>
      </c>
      <c r="S325">
        <f t="shared" si="36"/>
        <v>3.7414285714285715</v>
      </c>
      <c r="T325">
        <f t="shared" si="37"/>
        <v>-3.7414285714285715</v>
      </c>
      <c r="U325" s="4">
        <v>0</v>
      </c>
      <c r="W325">
        <v>2639</v>
      </c>
      <c r="X325">
        <f t="shared" si="42"/>
        <v>244122.40000000005</v>
      </c>
      <c r="Y325">
        <f t="shared" si="43"/>
        <v>30619.500000000004</v>
      </c>
      <c r="Z325">
        <v>15.782132669746446</v>
      </c>
    </row>
    <row r="326" spans="1:26" x14ac:dyDescent="0.25">
      <c r="A326">
        <v>5160</v>
      </c>
      <c r="B326">
        <v>23050</v>
      </c>
      <c r="C326" s="1">
        <v>42903</v>
      </c>
      <c r="F326" s="44"/>
      <c r="G326">
        <v>20.7</v>
      </c>
      <c r="H326">
        <v>14</v>
      </c>
      <c r="I326">
        <v>26.1</v>
      </c>
      <c r="J326">
        <f t="shared" si="39"/>
        <v>2572.9000000000005</v>
      </c>
      <c r="K326">
        <f t="shared" si="40"/>
        <v>299.19999999999993</v>
      </c>
      <c r="M326">
        <v>0</v>
      </c>
      <c r="N326">
        <v>5.7</v>
      </c>
      <c r="O326">
        <f t="shared" ref="O326:O389" si="44">M326-N326</f>
        <v>-5.7</v>
      </c>
      <c r="Q326">
        <v>277</v>
      </c>
      <c r="R326">
        <f t="shared" si="38"/>
        <v>0.67857142857142849</v>
      </c>
      <c r="S326">
        <f t="shared" ref="S326:S389" si="45">R326*N326</f>
        <v>3.8678571428571424</v>
      </c>
      <c r="T326">
        <f t="shared" ref="T326:T389" si="46">M326-S326</f>
        <v>-3.8678571428571424</v>
      </c>
      <c r="U326" s="4">
        <v>0</v>
      </c>
      <c r="W326">
        <v>2784.9</v>
      </c>
      <c r="X326">
        <f t="shared" si="42"/>
        <v>246907.30000000005</v>
      </c>
      <c r="Y326">
        <f t="shared" si="43"/>
        <v>33404.400000000001</v>
      </c>
      <c r="Z326">
        <v>15.788657649617495</v>
      </c>
    </row>
    <row r="327" spans="1:26" x14ac:dyDescent="0.25">
      <c r="A327">
        <v>5160</v>
      </c>
      <c r="B327">
        <v>23050</v>
      </c>
      <c r="C327" s="1">
        <v>42904</v>
      </c>
      <c r="F327" s="44"/>
      <c r="G327">
        <v>23.5</v>
      </c>
      <c r="H327">
        <v>17.899999999999999</v>
      </c>
      <c r="I327">
        <v>28.7</v>
      </c>
      <c r="J327">
        <f t="shared" si="39"/>
        <v>2596.4000000000005</v>
      </c>
      <c r="K327">
        <f t="shared" si="40"/>
        <v>322.69999999999993</v>
      </c>
      <c r="M327">
        <v>0</v>
      </c>
      <c r="N327">
        <v>7.4</v>
      </c>
      <c r="O327">
        <f t="shared" si="44"/>
        <v>-7.4</v>
      </c>
      <c r="Q327">
        <v>278</v>
      </c>
      <c r="R327">
        <f t="shared" si="38"/>
        <v>0.66428571428571426</v>
      </c>
      <c r="S327">
        <f t="shared" si="45"/>
        <v>4.9157142857142855</v>
      </c>
      <c r="T327">
        <f t="shared" si="46"/>
        <v>-4.9157142857142855</v>
      </c>
      <c r="U327" s="4">
        <v>0</v>
      </c>
      <c r="W327">
        <v>3293.9</v>
      </c>
      <c r="X327">
        <f t="shared" si="42"/>
        <v>250201.20000000004</v>
      </c>
      <c r="Y327">
        <f t="shared" si="43"/>
        <v>36698.300000000003</v>
      </c>
      <c r="Z327">
        <v>15.793815542015693</v>
      </c>
    </row>
    <row r="328" spans="1:26" x14ac:dyDescent="0.25">
      <c r="A328">
        <v>5160</v>
      </c>
      <c r="B328">
        <v>23050</v>
      </c>
      <c r="C328" s="1">
        <v>42905</v>
      </c>
      <c r="F328" s="44"/>
      <c r="G328">
        <v>26.7</v>
      </c>
      <c r="H328">
        <v>19.2</v>
      </c>
      <c r="I328">
        <v>33.700000000000003</v>
      </c>
      <c r="J328">
        <f t="shared" si="39"/>
        <v>2623.1000000000004</v>
      </c>
      <c r="K328">
        <f t="shared" si="40"/>
        <v>349.39999999999992</v>
      </c>
      <c r="M328">
        <v>0</v>
      </c>
      <c r="N328">
        <v>7.9</v>
      </c>
      <c r="O328">
        <f t="shared" si="44"/>
        <v>-7.9</v>
      </c>
      <c r="Q328">
        <v>279</v>
      </c>
      <c r="R328">
        <f t="shared" si="38"/>
        <v>0.64999999999999991</v>
      </c>
      <c r="S328">
        <f t="shared" si="45"/>
        <v>5.1349999999999998</v>
      </c>
      <c r="T328">
        <f t="shared" si="46"/>
        <v>-5.1349999999999998</v>
      </c>
      <c r="U328" s="4">
        <v>0</v>
      </c>
      <c r="W328">
        <v>3222</v>
      </c>
      <c r="X328">
        <f t="shared" si="42"/>
        <v>253423.20000000004</v>
      </c>
      <c r="Y328">
        <f t="shared" si="43"/>
        <v>39920.300000000003</v>
      </c>
      <c r="Z328">
        <v>15.797601702780149</v>
      </c>
    </row>
    <row r="329" spans="1:26" x14ac:dyDescent="0.25">
      <c r="A329">
        <v>5160</v>
      </c>
      <c r="B329">
        <v>23050</v>
      </c>
      <c r="C329" s="1">
        <v>42906</v>
      </c>
      <c r="F329" s="44"/>
      <c r="G329">
        <v>28.2</v>
      </c>
      <c r="H329">
        <v>23.3</v>
      </c>
      <c r="I329">
        <v>34.299999999999997</v>
      </c>
      <c r="J329">
        <f t="shared" si="39"/>
        <v>2651.3</v>
      </c>
      <c r="K329">
        <f t="shared" si="40"/>
        <v>377.59999999999991</v>
      </c>
      <c r="M329">
        <v>0</v>
      </c>
      <c r="N329">
        <v>6.2</v>
      </c>
      <c r="O329">
        <f t="shared" si="44"/>
        <v>-6.2</v>
      </c>
      <c r="Q329">
        <v>280</v>
      </c>
      <c r="R329">
        <f t="shared" si="38"/>
        <v>0.63571428571428568</v>
      </c>
      <c r="S329">
        <f t="shared" si="45"/>
        <v>3.9414285714285713</v>
      </c>
      <c r="T329">
        <f t="shared" si="46"/>
        <v>-3.9414285714285713</v>
      </c>
      <c r="U329" s="4">
        <v>0</v>
      </c>
      <c r="W329">
        <v>2570</v>
      </c>
      <c r="X329">
        <f t="shared" si="42"/>
        <v>255993.20000000004</v>
      </c>
      <c r="Y329">
        <f t="shared" si="43"/>
        <v>42490.3</v>
      </c>
      <c r="Z329">
        <v>15.800012713711688</v>
      </c>
    </row>
    <row r="330" spans="1:26" s="6" customFormat="1" ht="15.75" thickBot="1" x14ac:dyDescent="0.3">
      <c r="A330" s="6">
        <v>5160</v>
      </c>
      <c r="B330" s="6">
        <v>23050</v>
      </c>
      <c r="C330" s="7">
        <v>42907</v>
      </c>
      <c r="D330" s="6">
        <v>1000</v>
      </c>
      <c r="F330" s="45"/>
      <c r="G330" s="6">
        <v>28.9</v>
      </c>
      <c r="H330" s="6">
        <v>23.2</v>
      </c>
      <c r="I330" s="6">
        <v>35.1</v>
      </c>
      <c r="J330" s="6">
        <f t="shared" si="39"/>
        <v>2680.2000000000003</v>
      </c>
      <c r="K330" s="6">
        <f t="shared" si="40"/>
        <v>406.49999999999989</v>
      </c>
      <c r="M330" s="6">
        <v>0</v>
      </c>
      <c r="N330" s="6">
        <v>7.4</v>
      </c>
      <c r="O330" s="6">
        <f t="shared" si="44"/>
        <v>-7.4</v>
      </c>
      <c r="Q330" s="6">
        <v>281</v>
      </c>
      <c r="R330">
        <f t="shared" si="38"/>
        <v>0.62142857142857144</v>
      </c>
      <c r="S330" s="6">
        <f t="shared" si="45"/>
        <v>4.5985714285714288</v>
      </c>
      <c r="T330" s="6">
        <f t="shared" si="46"/>
        <v>-4.5985714285714288</v>
      </c>
      <c r="U330" s="8">
        <v>0</v>
      </c>
      <c r="W330" s="6">
        <v>2706.4</v>
      </c>
      <c r="X330" s="6">
        <f t="shared" si="42"/>
        <v>258699.60000000003</v>
      </c>
      <c r="Y330" s="6">
        <f t="shared" si="43"/>
        <v>45196.700000000004</v>
      </c>
      <c r="Z330" s="6">
        <v>15.801046394072035</v>
      </c>
    </row>
    <row r="331" spans="1:26" x14ac:dyDescent="0.25">
      <c r="A331">
        <v>5160</v>
      </c>
      <c r="B331">
        <v>23050</v>
      </c>
      <c r="C331" s="1">
        <v>42908</v>
      </c>
      <c r="G331">
        <v>26.6</v>
      </c>
      <c r="H331">
        <v>21</v>
      </c>
      <c r="I331">
        <v>33.299999999999997</v>
      </c>
      <c r="J331">
        <f t="shared" si="39"/>
        <v>2706.8</v>
      </c>
      <c r="K331">
        <f t="shared" si="40"/>
        <v>433.09999999999991</v>
      </c>
      <c r="M331">
        <v>0</v>
      </c>
      <c r="N331">
        <v>7.5</v>
      </c>
      <c r="O331">
        <f t="shared" si="44"/>
        <v>-7.5</v>
      </c>
      <c r="Q331">
        <v>282</v>
      </c>
      <c r="R331">
        <f t="shared" si="38"/>
        <v>0.6071428571428571</v>
      </c>
      <c r="S331">
        <f t="shared" si="45"/>
        <v>4.5535714285714279</v>
      </c>
      <c r="T331">
        <f t="shared" si="46"/>
        <v>-4.5535714285714279</v>
      </c>
      <c r="U331" s="4">
        <v>0</v>
      </c>
      <c r="W331">
        <v>2658.6</v>
      </c>
      <c r="X331">
        <f t="shared" si="42"/>
        <v>261358.20000000004</v>
      </c>
      <c r="Y331">
        <f t="shared" si="43"/>
        <v>47855.3</v>
      </c>
      <c r="Z331">
        <v>15.800701807941316</v>
      </c>
    </row>
    <row r="332" spans="1:26" x14ac:dyDescent="0.25">
      <c r="A332">
        <v>5160</v>
      </c>
      <c r="B332">
        <v>23050</v>
      </c>
      <c r="C332" s="1">
        <v>42909</v>
      </c>
      <c r="G332">
        <v>20.7</v>
      </c>
      <c r="H332">
        <v>18.7</v>
      </c>
      <c r="I332">
        <v>24.1</v>
      </c>
      <c r="J332">
        <f t="shared" si="39"/>
        <v>2727.5</v>
      </c>
      <c r="K332">
        <f t="shared" si="40"/>
        <v>453.7999999999999</v>
      </c>
      <c r="M332">
        <v>0</v>
      </c>
      <c r="N332">
        <v>3.9</v>
      </c>
      <c r="O332">
        <f t="shared" si="44"/>
        <v>-3.9</v>
      </c>
      <c r="Q332">
        <v>283</v>
      </c>
      <c r="R332">
        <f t="shared" si="38"/>
        <v>0.59285714285714286</v>
      </c>
      <c r="S332">
        <f t="shared" si="45"/>
        <v>2.3121428571428573</v>
      </c>
      <c r="T332">
        <f t="shared" si="46"/>
        <v>-2.3121428571428573</v>
      </c>
      <c r="U332" s="4">
        <v>0</v>
      </c>
      <c r="W332">
        <v>1409.6</v>
      </c>
      <c r="X332">
        <f t="shared" si="42"/>
        <v>262767.80000000005</v>
      </c>
      <c r="Y332">
        <f t="shared" si="43"/>
        <v>49264.9</v>
      </c>
      <c r="Z332">
        <v>15.798979267380767</v>
      </c>
    </row>
    <row r="333" spans="1:26" x14ac:dyDescent="0.25">
      <c r="A333">
        <v>5160</v>
      </c>
      <c r="B333">
        <v>23050</v>
      </c>
      <c r="C333" s="1">
        <v>42910</v>
      </c>
      <c r="G333">
        <v>19.8</v>
      </c>
      <c r="H333">
        <v>13</v>
      </c>
      <c r="I333">
        <v>24.9</v>
      </c>
      <c r="J333">
        <f t="shared" si="39"/>
        <v>2747.3</v>
      </c>
      <c r="K333">
        <f t="shared" si="40"/>
        <v>473.59999999999991</v>
      </c>
      <c r="M333">
        <v>0</v>
      </c>
      <c r="N333">
        <v>2.6</v>
      </c>
      <c r="O333">
        <f t="shared" si="44"/>
        <v>-2.6</v>
      </c>
      <c r="Q333">
        <v>284</v>
      </c>
      <c r="R333">
        <f t="shared" si="38"/>
        <v>0.57857142857142851</v>
      </c>
      <c r="S333">
        <f t="shared" si="45"/>
        <v>1.5042857142857142</v>
      </c>
      <c r="T333">
        <f t="shared" si="46"/>
        <v>-1.5042857142857142</v>
      </c>
      <c r="U333" s="4">
        <v>0</v>
      </c>
      <c r="W333">
        <v>1017.1</v>
      </c>
      <c r="X333">
        <f t="shared" si="42"/>
        <v>263784.90000000002</v>
      </c>
      <c r="Y333">
        <f t="shared" si="43"/>
        <v>50282</v>
      </c>
      <c r="Z333">
        <v>15.795880331377871</v>
      </c>
    </row>
    <row r="334" spans="1:26" x14ac:dyDescent="0.25">
      <c r="A334">
        <v>5160</v>
      </c>
      <c r="B334">
        <v>23050</v>
      </c>
      <c r="C334" s="1">
        <v>42911</v>
      </c>
      <c r="G334">
        <v>20.5</v>
      </c>
      <c r="H334">
        <v>16.3</v>
      </c>
      <c r="I334">
        <v>26.5</v>
      </c>
      <c r="J334">
        <f t="shared" si="39"/>
        <v>2767.8</v>
      </c>
      <c r="K334">
        <f t="shared" si="40"/>
        <v>494.09999999999991</v>
      </c>
      <c r="M334">
        <v>0</v>
      </c>
      <c r="N334">
        <v>2.9</v>
      </c>
      <c r="O334">
        <f t="shared" si="44"/>
        <v>-2.9</v>
      </c>
      <c r="Q334">
        <v>285</v>
      </c>
      <c r="R334">
        <f t="shared" si="38"/>
        <v>0.56428571428571428</v>
      </c>
      <c r="S334">
        <f t="shared" si="45"/>
        <v>1.6364285714285713</v>
      </c>
      <c r="T334">
        <f t="shared" si="46"/>
        <v>-1.6364285714285713</v>
      </c>
      <c r="U334" s="4">
        <v>0</v>
      </c>
      <c r="W334">
        <v>868.9</v>
      </c>
      <c r="X334">
        <f t="shared" si="42"/>
        <v>264653.80000000005</v>
      </c>
      <c r="Y334">
        <f t="shared" si="43"/>
        <v>51150.9</v>
      </c>
      <c r="Z334">
        <v>15.791407800581489</v>
      </c>
    </row>
    <row r="335" spans="1:26" x14ac:dyDescent="0.25">
      <c r="A335">
        <v>5160</v>
      </c>
      <c r="B335">
        <v>23050</v>
      </c>
      <c r="C335" s="1">
        <v>42912</v>
      </c>
      <c r="G335">
        <v>21.8</v>
      </c>
      <c r="H335">
        <v>15.5</v>
      </c>
      <c r="I335">
        <v>27.4</v>
      </c>
      <c r="J335">
        <f t="shared" si="39"/>
        <v>2789.6000000000004</v>
      </c>
      <c r="K335">
        <f t="shared" si="40"/>
        <v>515.89999999999986</v>
      </c>
      <c r="M335">
        <v>0</v>
      </c>
      <c r="N335">
        <v>3.6</v>
      </c>
      <c r="O335">
        <f t="shared" si="44"/>
        <v>-3.6</v>
      </c>
      <c r="Q335">
        <v>286</v>
      </c>
      <c r="R335">
        <f t="shared" si="38"/>
        <v>0.54999999999999993</v>
      </c>
      <c r="S335">
        <f t="shared" si="45"/>
        <v>1.9799999999999998</v>
      </c>
      <c r="T335">
        <f t="shared" si="46"/>
        <v>-1.9799999999999998</v>
      </c>
      <c r="U335" s="4">
        <v>0</v>
      </c>
      <c r="W335">
        <v>1873.5</v>
      </c>
      <c r="X335">
        <f t="shared" si="42"/>
        <v>266527.30000000005</v>
      </c>
      <c r="Y335">
        <f t="shared" si="43"/>
        <v>53024.4</v>
      </c>
      <c r="Z335">
        <v>15.785565707865013</v>
      </c>
    </row>
    <row r="336" spans="1:26" x14ac:dyDescent="0.25">
      <c r="A336">
        <v>5160</v>
      </c>
      <c r="B336">
        <v>23050</v>
      </c>
      <c r="C336" s="1">
        <v>42913</v>
      </c>
      <c r="G336">
        <v>20.399999999999999</v>
      </c>
      <c r="H336">
        <v>18.100000000000001</v>
      </c>
      <c r="I336">
        <v>25.2</v>
      </c>
      <c r="J336">
        <f t="shared" si="39"/>
        <v>2810.0000000000005</v>
      </c>
      <c r="K336">
        <f t="shared" si="40"/>
        <v>536.29999999999984</v>
      </c>
      <c r="M336">
        <v>7.2</v>
      </c>
      <c r="N336">
        <v>2.6</v>
      </c>
      <c r="O336">
        <f t="shared" si="44"/>
        <v>4.5999999999999996</v>
      </c>
      <c r="Q336">
        <v>287</v>
      </c>
      <c r="R336">
        <f t="shared" si="38"/>
        <v>0.53571428571428559</v>
      </c>
      <c r="S336">
        <f t="shared" si="45"/>
        <v>1.3928571428571426</v>
      </c>
      <c r="T336">
        <f t="shared" si="46"/>
        <v>5.8071428571428578</v>
      </c>
      <c r="U336" s="4">
        <f t="shared" si="41"/>
        <v>5.8071428571428578</v>
      </c>
      <c r="W336">
        <v>1065.8</v>
      </c>
      <c r="X336">
        <f t="shared" si="42"/>
        <v>267593.10000000003</v>
      </c>
      <c r="Y336">
        <f t="shared" si="43"/>
        <v>54090.200000000004</v>
      </c>
      <c r="Z336">
        <v>15.778359304785541</v>
      </c>
    </row>
    <row r="337" spans="1:26" x14ac:dyDescent="0.25">
      <c r="A337">
        <v>5160</v>
      </c>
      <c r="B337">
        <v>23050</v>
      </c>
      <c r="C337" s="1">
        <v>42914</v>
      </c>
      <c r="G337">
        <v>18.600000000000001</v>
      </c>
      <c r="H337">
        <v>16.8</v>
      </c>
      <c r="I337">
        <v>21.4</v>
      </c>
      <c r="J337">
        <f t="shared" si="39"/>
        <v>2828.6000000000004</v>
      </c>
      <c r="K337">
        <f t="shared" si="40"/>
        <v>554.89999999999986</v>
      </c>
      <c r="M337">
        <v>8.3000000000000007</v>
      </c>
      <c r="N337">
        <v>2</v>
      </c>
      <c r="O337">
        <f t="shared" si="44"/>
        <v>6.3000000000000007</v>
      </c>
      <c r="Q337">
        <v>288</v>
      </c>
      <c r="R337">
        <f t="shared" si="38"/>
        <v>0.52142857142857135</v>
      </c>
      <c r="S337">
        <f t="shared" si="45"/>
        <v>1.0428571428571427</v>
      </c>
      <c r="T337">
        <f t="shared" si="46"/>
        <v>7.257142857142858</v>
      </c>
      <c r="U337" s="4">
        <f t="shared" si="41"/>
        <v>13.064285714285717</v>
      </c>
      <c r="W337">
        <v>689.8</v>
      </c>
      <c r="X337">
        <f t="shared" si="42"/>
        <v>268282.90000000002</v>
      </c>
      <c r="Y337">
        <f t="shared" si="43"/>
        <v>54780.000000000007</v>
      </c>
      <c r="Z337">
        <v>15.769795044036011</v>
      </c>
    </row>
    <row r="338" spans="1:26" x14ac:dyDescent="0.25">
      <c r="A338">
        <v>5160</v>
      </c>
      <c r="B338">
        <v>23050</v>
      </c>
      <c r="C338" s="1">
        <v>42915</v>
      </c>
      <c r="G338">
        <v>15.9</v>
      </c>
      <c r="H338">
        <v>13.6</v>
      </c>
      <c r="I338">
        <v>18.5</v>
      </c>
      <c r="J338">
        <f t="shared" si="39"/>
        <v>2844.5000000000005</v>
      </c>
      <c r="K338">
        <f t="shared" si="40"/>
        <v>570.79999999999984</v>
      </c>
      <c r="M338">
        <v>3.5</v>
      </c>
      <c r="N338">
        <v>2.8</v>
      </c>
      <c r="O338">
        <f t="shared" si="44"/>
        <v>0.70000000000000018</v>
      </c>
      <c r="Q338">
        <v>289</v>
      </c>
      <c r="R338">
        <f t="shared" si="38"/>
        <v>0.50714285714285712</v>
      </c>
      <c r="S338">
        <f t="shared" si="45"/>
        <v>1.42</v>
      </c>
      <c r="T338">
        <f t="shared" si="46"/>
        <v>2.08</v>
      </c>
      <c r="U338" s="4">
        <f t="shared" si="41"/>
        <v>15.144285714285717</v>
      </c>
      <c r="W338">
        <v>1681.8</v>
      </c>
      <c r="X338">
        <f t="shared" si="42"/>
        <v>269964.7</v>
      </c>
      <c r="Y338">
        <f t="shared" si="43"/>
        <v>56461.80000000001</v>
      </c>
      <c r="Z338">
        <v>15.75988055801518</v>
      </c>
    </row>
    <row r="339" spans="1:26" x14ac:dyDescent="0.25">
      <c r="A339">
        <v>5160</v>
      </c>
      <c r="B339">
        <v>23050</v>
      </c>
      <c r="C339" s="1">
        <v>42916</v>
      </c>
      <c r="G339">
        <v>14.6</v>
      </c>
      <c r="H339">
        <v>13.9</v>
      </c>
      <c r="I339">
        <v>15.5</v>
      </c>
      <c r="J339">
        <f t="shared" si="39"/>
        <v>2859.1000000000004</v>
      </c>
      <c r="K339">
        <f t="shared" si="40"/>
        <v>585.39999999999986</v>
      </c>
      <c r="M339">
        <v>5.4</v>
      </c>
      <c r="N339">
        <v>1.8</v>
      </c>
      <c r="O339">
        <f t="shared" si="44"/>
        <v>3.6000000000000005</v>
      </c>
      <c r="Q339">
        <v>290</v>
      </c>
      <c r="R339">
        <f t="shared" si="38"/>
        <v>0.49285714285714288</v>
      </c>
      <c r="S339">
        <f t="shared" si="45"/>
        <v>0.88714285714285723</v>
      </c>
      <c r="T339">
        <f t="shared" si="46"/>
        <v>4.5128571428571433</v>
      </c>
      <c r="U339" s="4">
        <f t="shared" si="41"/>
        <v>19.657142857142858</v>
      </c>
      <c r="W339">
        <v>1146.8</v>
      </c>
      <c r="X339">
        <f t="shared" si="42"/>
        <v>271111.5</v>
      </c>
      <c r="Y339">
        <f t="shared" si="43"/>
        <v>57608.600000000013</v>
      </c>
      <c r="Z339">
        <v>15.748624633666616</v>
      </c>
    </row>
    <row r="340" spans="1:26" x14ac:dyDescent="0.25">
      <c r="A340">
        <v>5160</v>
      </c>
      <c r="B340">
        <v>23050</v>
      </c>
      <c r="C340" s="1">
        <v>42917</v>
      </c>
      <c r="G340">
        <v>15.4</v>
      </c>
      <c r="H340">
        <v>13.6</v>
      </c>
      <c r="I340">
        <v>17.7</v>
      </c>
      <c r="J340">
        <f t="shared" si="39"/>
        <v>2874.5000000000005</v>
      </c>
      <c r="K340">
        <f t="shared" si="40"/>
        <v>600.79999999999984</v>
      </c>
      <c r="M340">
        <v>2.6</v>
      </c>
      <c r="N340">
        <v>1.3</v>
      </c>
      <c r="O340">
        <f t="shared" si="44"/>
        <v>1.3</v>
      </c>
      <c r="Q340">
        <v>291</v>
      </c>
      <c r="R340">
        <f t="shared" si="38"/>
        <v>0.47857142857142854</v>
      </c>
      <c r="S340">
        <f t="shared" si="45"/>
        <v>0.62214285714285711</v>
      </c>
      <c r="T340">
        <f t="shared" si="46"/>
        <v>1.977857142857143</v>
      </c>
      <c r="U340" s="4">
        <f t="shared" si="41"/>
        <v>21.635000000000002</v>
      </c>
      <c r="W340">
        <v>802.3</v>
      </c>
      <c r="X340">
        <f t="shared" si="42"/>
        <v>271913.8</v>
      </c>
      <c r="Y340">
        <f t="shared" si="43"/>
        <v>58410.900000000016</v>
      </c>
      <c r="Z340">
        <v>15.736037183762225</v>
      </c>
    </row>
    <row r="341" spans="1:26" x14ac:dyDescent="0.25">
      <c r="A341">
        <v>5160</v>
      </c>
      <c r="B341">
        <v>23050</v>
      </c>
      <c r="C341" s="1">
        <v>42918</v>
      </c>
      <c r="G341">
        <v>15.8</v>
      </c>
      <c r="H341">
        <v>11.9</v>
      </c>
      <c r="I341">
        <v>21</v>
      </c>
      <c r="J341">
        <f t="shared" si="39"/>
        <v>2890.3000000000006</v>
      </c>
      <c r="K341">
        <f t="shared" si="40"/>
        <v>616.5999999999998</v>
      </c>
      <c r="M341">
        <v>0.4</v>
      </c>
      <c r="N341">
        <v>1.5</v>
      </c>
      <c r="O341">
        <f t="shared" si="44"/>
        <v>-1.1000000000000001</v>
      </c>
      <c r="Q341">
        <v>292</v>
      </c>
      <c r="R341">
        <f t="shared" si="38"/>
        <v>0.4642857142857143</v>
      </c>
      <c r="S341">
        <f t="shared" si="45"/>
        <v>0.6964285714285714</v>
      </c>
      <c r="T341">
        <f t="shared" si="46"/>
        <v>-0.29642857142857137</v>
      </c>
      <c r="U341" s="4">
        <f t="shared" si="41"/>
        <v>21.338571428571431</v>
      </c>
      <c r="W341">
        <v>802.8</v>
      </c>
      <c r="X341">
        <f t="shared" si="42"/>
        <v>272716.59999999998</v>
      </c>
      <c r="Y341">
        <f t="shared" si="43"/>
        <v>59213.700000000019</v>
      </c>
      <c r="Z341">
        <v>15.722129214828263</v>
      </c>
    </row>
    <row r="342" spans="1:26" x14ac:dyDescent="0.25">
      <c r="A342">
        <v>5160</v>
      </c>
      <c r="B342">
        <v>23050</v>
      </c>
      <c r="C342" s="1">
        <v>42919</v>
      </c>
      <c r="G342">
        <v>19.100000000000001</v>
      </c>
      <c r="H342">
        <v>13.7</v>
      </c>
      <c r="I342">
        <v>24.8</v>
      </c>
      <c r="J342">
        <f t="shared" si="39"/>
        <v>2909.4000000000005</v>
      </c>
      <c r="K342">
        <f t="shared" si="40"/>
        <v>635.69999999999982</v>
      </c>
      <c r="M342">
        <v>0</v>
      </c>
      <c r="N342">
        <v>2.2999999999999998</v>
      </c>
      <c r="O342">
        <f t="shared" si="44"/>
        <v>-2.2999999999999998</v>
      </c>
      <c r="Q342">
        <v>293</v>
      </c>
      <c r="R342">
        <f t="shared" si="38"/>
        <v>0.44999999999999996</v>
      </c>
      <c r="S342">
        <f t="shared" si="45"/>
        <v>1.0349999999999999</v>
      </c>
      <c r="T342">
        <f t="shared" si="46"/>
        <v>-1.0349999999999999</v>
      </c>
      <c r="U342" s="4">
        <f t="shared" si="41"/>
        <v>20.303571428571431</v>
      </c>
      <c r="W342">
        <v>900.1</v>
      </c>
      <c r="X342">
        <f t="shared" si="42"/>
        <v>273616.69999999995</v>
      </c>
      <c r="Y342">
        <f t="shared" si="43"/>
        <v>60113.800000000017</v>
      </c>
      <c r="Z342">
        <v>15.706912791931673</v>
      </c>
    </row>
    <row r="343" spans="1:26" x14ac:dyDescent="0.25">
      <c r="A343">
        <v>5160</v>
      </c>
      <c r="B343">
        <v>23050</v>
      </c>
      <c r="C343" s="1">
        <v>42920</v>
      </c>
      <c r="G343">
        <v>22.2</v>
      </c>
      <c r="H343">
        <v>15.5</v>
      </c>
      <c r="I343">
        <v>28.8</v>
      </c>
      <c r="J343">
        <f t="shared" si="39"/>
        <v>2931.6000000000004</v>
      </c>
      <c r="K343">
        <f t="shared" si="40"/>
        <v>657.89999999999986</v>
      </c>
      <c r="M343">
        <v>0</v>
      </c>
      <c r="N343">
        <v>6.8</v>
      </c>
      <c r="O343">
        <f t="shared" si="44"/>
        <v>-6.8</v>
      </c>
      <c r="Q343">
        <v>294</v>
      </c>
      <c r="R343">
        <f t="shared" si="38"/>
        <v>0.43571428571428561</v>
      </c>
      <c r="S343">
        <f t="shared" si="45"/>
        <v>2.9628571428571422</v>
      </c>
      <c r="T343">
        <f t="shared" si="46"/>
        <v>-2.9628571428571422</v>
      </c>
      <c r="U343" s="4">
        <f t="shared" si="41"/>
        <v>17.340714285714288</v>
      </c>
      <c r="W343">
        <v>3284.8</v>
      </c>
      <c r="X343">
        <f t="shared" si="42"/>
        <v>276901.49999999994</v>
      </c>
      <c r="Y343">
        <f t="shared" si="43"/>
        <v>63398.60000000002</v>
      </c>
      <c r="Z343">
        <v>15.690401000562074</v>
      </c>
    </row>
    <row r="344" spans="1:26" x14ac:dyDescent="0.25">
      <c r="A344">
        <v>5160</v>
      </c>
      <c r="B344">
        <v>23050</v>
      </c>
      <c r="C344" s="1">
        <v>42921</v>
      </c>
      <c r="G344">
        <v>26.1</v>
      </c>
      <c r="H344">
        <v>18.100000000000001</v>
      </c>
      <c r="I344">
        <v>32.6</v>
      </c>
      <c r="J344">
        <f t="shared" si="39"/>
        <v>2957.7000000000003</v>
      </c>
      <c r="K344">
        <f t="shared" si="40"/>
        <v>683.99999999999989</v>
      </c>
      <c r="M344">
        <v>0</v>
      </c>
      <c r="N344">
        <v>5.8</v>
      </c>
      <c r="O344">
        <f t="shared" si="44"/>
        <v>-5.8</v>
      </c>
      <c r="Q344">
        <v>295</v>
      </c>
      <c r="R344">
        <f t="shared" si="38"/>
        <v>0.42142857142857137</v>
      </c>
      <c r="S344">
        <f t="shared" si="45"/>
        <v>2.444285714285714</v>
      </c>
      <c r="T344">
        <f t="shared" si="46"/>
        <v>-2.444285714285714</v>
      </c>
      <c r="U344" s="4">
        <f t="shared" si="41"/>
        <v>14.896428571428574</v>
      </c>
      <c r="W344">
        <v>2252.6</v>
      </c>
      <c r="X344">
        <f t="shared" si="42"/>
        <v>279154.09999999992</v>
      </c>
      <c r="Y344">
        <f t="shared" si="43"/>
        <v>65651.200000000026</v>
      </c>
      <c r="Z344">
        <v>15.672607905859392</v>
      </c>
    </row>
    <row r="345" spans="1:26" x14ac:dyDescent="0.25">
      <c r="A345">
        <v>5160</v>
      </c>
      <c r="B345">
        <v>23050</v>
      </c>
      <c r="C345" s="1">
        <v>42922</v>
      </c>
      <c r="G345">
        <v>26.5</v>
      </c>
      <c r="H345">
        <v>21.5</v>
      </c>
      <c r="I345">
        <v>31.8</v>
      </c>
      <c r="J345">
        <f t="shared" si="39"/>
        <v>2984.2000000000003</v>
      </c>
      <c r="K345">
        <f t="shared" si="40"/>
        <v>710.49999999999989</v>
      </c>
      <c r="M345">
        <v>0</v>
      </c>
      <c r="N345">
        <v>4</v>
      </c>
      <c r="O345">
        <f t="shared" si="44"/>
        <v>-4</v>
      </c>
      <c r="Q345">
        <v>296</v>
      </c>
      <c r="R345">
        <f t="shared" si="38"/>
        <v>0.40714285714285714</v>
      </c>
      <c r="S345">
        <f t="shared" si="45"/>
        <v>1.6285714285714286</v>
      </c>
      <c r="T345">
        <f t="shared" si="46"/>
        <v>-1.6285714285714286</v>
      </c>
      <c r="U345" s="4">
        <f t="shared" si="41"/>
        <v>13.267857142857146</v>
      </c>
      <c r="W345">
        <v>1303.4000000000001</v>
      </c>
      <c r="X345">
        <f t="shared" si="42"/>
        <v>280457.49999999994</v>
      </c>
      <c r="Y345">
        <f t="shared" si="43"/>
        <v>66954.60000000002</v>
      </c>
      <c r="Z345">
        <v>15.653548509449186</v>
      </c>
    </row>
    <row r="346" spans="1:26" x14ac:dyDescent="0.25">
      <c r="A346">
        <v>5160</v>
      </c>
      <c r="B346">
        <v>23050</v>
      </c>
      <c r="C346" s="1">
        <v>42923</v>
      </c>
      <c r="G346">
        <v>25.8</v>
      </c>
      <c r="H346">
        <v>19.399999999999999</v>
      </c>
      <c r="I346">
        <v>32.200000000000003</v>
      </c>
      <c r="J346">
        <f t="shared" si="39"/>
        <v>3010.0000000000005</v>
      </c>
      <c r="K346">
        <f t="shared" si="40"/>
        <v>736.29999999999984</v>
      </c>
      <c r="M346">
        <v>0</v>
      </c>
      <c r="N346">
        <v>6</v>
      </c>
      <c r="O346">
        <f t="shared" si="44"/>
        <v>-6</v>
      </c>
      <c r="Q346">
        <v>297</v>
      </c>
      <c r="R346">
        <f t="shared" si="38"/>
        <v>0.3928571428571429</v>
      </c>
      <c r="S346">
        <f t="shared" si="45"/>
        <v>2.3571428571428577</v>
      </c>
      <c r="T346">
        <f t="shared" si="46"/>
        <v>-2.3571428571428577</v>
      </c>
      <c r="U346" s="4">
        <f t="shared" si="41"/>
        <v>10.910714285714288</v>
      </c>
      <c r="W346">
        <v>2495.6999999999998</v>
      </c>
      <c r="X346">
        <f t="shared" si="42"/>
        <v>282953.19999999995</v>
      </c>
      <c r="Y346">
        <f t="shared" si="43"/>
        <v>69450.300000000017</v>
      </c>
      <c r="Z346">
        <v>15.633238704156891</v>
      </c>
    </row>
    <row r="347" spans="1:26" x14ac:dyDescent="0.25">
      <c r="A347">
        <v>5160</v>
      </c>
      <c r="B347">
        <v>23050</v>
      </c>
      <c r="C347" s="1">
        <v>42924</v>
      </c>
      <c r="G347">
        <v>24.8</v>
      </c>
      <c r="H347">
        <v>19.2</v>
      </c>
      <c r="I347">
        <v>30.1</v>
      </c>
      <c r="J347">
        <f t="shared" si="39"/>
        <v>3034.8000000000006</v>
      </c>
      <c r="K347">
        <f t="shared" si="40"/>
        <v>761.0999999999998</v>
      </c>
      <c r="M347">
        <v>0.9</v>
      </c>
      <c r="N347">
        <v>4.2</v>
      </c>
      <c r="O347">
        <f t="shared" si="44"/>
        <v>-3.3000000000000003</v>
      </c>
      <c r="Q347">
        <v>298</v>
      </c>
      <c r="R347">
        <f t="shared" si="38"/>
        <v>0.37857142857142856</v>
      </c>
      <c r="S347">
        <f t="shared" si="45"/>
        <v>1.59</v>
      </c>
      <c r="T347">
        <f t="shared" si="46"/>
        <v>-0.69000000000000006</v>
      </c>
      <c r="U347" s="4">
        <f t="shared" si="41"/>
        <v>10.220714285714289</v>
      </c>
      <c r="W347">
        <v>1380.3</v>
      </c>
      <c r="X347">
        <f t="shared" si="42"/>
        <v>284333.49999999994</v>
      </c>
      <c r="Y347">
        <f t="shared" si="43"/>
        <v>70830.60000000002</v>
      </c>
      <c r="Z347">
        <v>15.611695226878412</v>
      </c>
    </row>
    <row r="348" spans="1:26" x14ac:dyDescent="0.25">
      <c r="A348">
        <v>5160</v>
      </c>
      <c r="B348">
        <v>23050</v>
      </c>
      <c r="C348" s="1">
        <v>42925</v>
      </c>
      <c r="G348">
        <v>21.8</v>
      </c>
      <c r="H348">
        <v>19.100000000000001</v>
      </c>
      <c r="I348">
        <v>25.7</v>
      </c>
      <c r="J348">
        <f t="shared" si="39"/>
        <v>3056.6000000000008</v>
      </c>
      <c r="K348">
        <f t="shared" si="40"/>
        <v>782.89999999999975</v>
      </c>
      <c r="M348">
        <v>5.2</v>
      </c>
      <c r="N348">
        <v>1.8</v>
      </c>
      <c r="O348">
        <f t="shared" si="44"/>
        <v>3.4000000000000004</v>
      </c>
      <c r="Q348">
        <v>299</v>
      </c>
      <c r="R348">
        <f t="shared" si="38"/>
        <v>0.36428571428571432</v>
      </c>
      <c r="S348">
        <f t="shared" si="45"/>
        <v>0.65571428571428581</v>
      </c>
      <c r="T348">
        <f t="shared" si="46"/>
        <v>4.5442857142857145</v>
      </c>
      <c r="U348" s="4">
        <f t="shared" si="41"/>
        <v>14.765000000000004</v>
      </c>
      <c r="W348">
        <v>558.1</v>
      </c>
      <c r="X348">
        <f t="shared" si="42"/>
        <v>284891.59999999992</v>
      </c>
      <c r="Y348">
        <f t="shared" si="43"/>
        <v>71388.700000000026</v>
      </c>
      <c r="Z348">
        <v>15.58893560988826</v>
      </c>
    </row>
    <row r="349" spans="1:26" x14ac:dyDescent="0.25">
      <c r="A349">
        <v>5160</v>
      </c>
      <c r="B349">
        <v>23050</v>
      </c>
      <c r="C349" s="1">
        <v>42926</v>
      </c>
      <c r="D349" t="s">
        <v>29</v>
      </c>
      <c r="G349">
        <v>18.899999999999999</v>
      </c>
      <c r="H349">
        <v>17</v>
      </c>
      <c r="I349">
        <v>21.7</v>
      </c>
      <c r="J349">
        <f t="shared" si="39"/>
        <v>3075.5000000000009</v>
      </c>
      <c r="K349">
        <f t="shared" si="40"/>
        <v>801.79999999999973</v>
      </c>
      <c r="M349">
        <v>0.1</v>
      </c>
      <c r="N349">
        <v>2</v>
      </c>
      <c r="O349">
        <f t="shared" si="44"/>
        <v>-1.9</v>
      </c>
      <c r="Q349">
        <v>300</v>
      </c>
      <c r="R349">
        <f t="shared" si="38"/>
        <v>0.35</v>
      </c>
      <c r="S349">
        <f t="shared" si="45"/>
        <v>0.7</v>
      </c>
      <c r="T349">
        <f t="shared" si="46"/>
        <v>-0.6</v>
      </c>
      <c r="U349" s="4">
        <f t="shared" si="41"/>
        <v>14.165000000000004</v>
      </c>
      <c r="W349">
        <v>900</v>
      </c>
      <c r="X349">
        <f t="shared" si="42"/>
        <v>285791.59999999992</v>
      </c>
      <c r="Y349">
        <f t="shared" si="43"/>
        <v>72288.700000000026</v>
      </c>
      <c r="Z349">
        <v>15.564978130867104</v>
      </c>
    </row>
    <row r="350" spans="1:26" x14ac:dyDescent="0.25">
      <c r="A350">
        <v>5160</v>
      </c>
      <c r="B350">
        <v>23050</v>
      </c>
      <c r="C350" s="1">
        <v>42927</v>
      </c>
      <c r="G350">
        <v>19.8</v>
      </c>
      <c r="H350">
        <v>15.1</v>
      </c>
      <c r="I350">
        <v>23.5</v>
      </c>
      <c r="J350">
        <f t="shared" si="39"/>
        <v>3095.3000000000011</v>
      </c>
      <c r="K350">
        <f t="shared" si="40"/>
        <v>821.59999999999968</v>
      </c>
      <c r="M350">
        <v>0.1</v>
      </c>
      <c r="N350">
        <v>4.5</v>
      </c>
      <c r="O350">
        <f t="shared" si="44"/>
        <v>-4.4000000000000004</v>
      </c>
      <c r="Q350">
        <v>301</v>
      </c>
      <c r="S350">
        <f t="shared" si="45"/>
        <v>0</v>
      </c>
      <c r="T350">
        <f t="shared" si="46"/>
        <v>0.1</v>
      </c>
      <c r="U350" s="4">
        <f t="shared" si="41"/>
        <v>14.265000000000004</v>
      </c>
      <c r="W350">
        <v>1811.3</v>
      </c>
      <c r="X350">
        <f t="shared" si="42"/>
        <v>287602.89999999991</v>
      </c>
      <c r="Y350">
        <f t="shared" si="43"/>
        <v>74100.000000000029</v>
      </c>
    </row>
    <row r="351" spans="1:26" x14ac:dyDescent="0.25">
      <c r="A351">
        <v>5160</v>
      </c>
      <c r="B351">
        <v>23050</v>
      </c>
      <c r="C351" s="1">
        <v>42928</v>
      </c>
      <c r="G351">
        <v>19.3</v>
      </c>
      <c r="H351">
        <v>17.7</v>
      </c>
      <c r="I351">
        <v>21.7</v>
      </c>
      <c r="J351">
        <f t="shared" si="39"/>
        <v>3114.6000000000013</v>
      </c>
      <c r="K351">
        <f t="shared" si="40"/>
        <v>840.89999999999964</v>
      </c>
      <c r="M351">
        <v>0.1</v>
      </c>
      <c r="N351">
        <v>2.2999999999999998</v>
      </c>
      <c r="O351">
        <f t="shared" si="44"/>
        <v>-2.1999999999999997</v>
      </c>
      <c r="Q351">
        <v>302</v>
      </c>
      <c r="S351">
        <f t="shared" si="45"/>
        <v>0</v>
      </c>
      <c r="T351">
        <f t="shared" si="46"/>
        <v>0.1</v>
      </c>
      <c r="U351" s="4">
        <f t="shared" si="41"/>
        <v>14.365000000000004</v>
      </c>
      <c r="W351">
        <v>517.79999999999995</v>
      </c>
      <c r="X351">
        <f t="shared" si="42"/>
        <v>288120.6999999999</v>
      </c>
      <c r="Y351">
        <f t="shared" si="43"/>
        <v>74617.800000000032</v>
      </c>
    </row>
    <row r="352" spans="1:26" x14ac:dyDescent="0.25">
      <c r="A352">
        <v>5160</v>
      </c>
      <c r="B352">
        <v>23050</v>
      </c>
      <c r="C352" s="1">
        <v>42929</v>
      </c>
      <c r="G352">
        <v>20.6</v>
      </c>
      <c r="H352">
        <v>16.600000000000001</v>
      </c>
      <c r="I352">
        <v>24.8</v>
      </c>
      <c r="J352">
        <f t="shared" si="39"/>
        <v>3135.2000000000012</v>
      </c>
      <c r="K352">
        <f t="shared" si="40"/>
        <v>861.49999999999966</v>
      </c>
      <c r="M352">
        <v>0</v>
      </c>
      <c r="N352">
        <v>3.8</v>
      </c>
      <c r="O352">
        <f t="shared" si="44"/>
        <v>-3.8</v>
      </c>
      <c r="Q352">
        <v>303</v>
      </c>
      <c r="S352">
        <f t="shared" si="45"/>
        <v>0</v>
      </c>
      <c r="T352">
        <f t="shared" si="46"/>
        <v>0</v>
      </c>
      <c r="U352" s="4">
        <f t="shared" si="41"/>
        <v>14.365000000000004</v>
      </c>
      <c r="W352">
        <v>1742.2</v>
      </c>
      <c r="X352">
        <f t="shared" si="42"/>
        <v>289862.89999999991</v>
      </c>
      <c r="Y352">
        <f t="shared" si="43"/>
        <v>76360.000000000029</v>
      </c>
    </row>
    <row r="353" spans="1:25" x14ac:dyDescent="0.25">
      <c r="A353">
        <v>5160</v>
      </c>
      <c r="B353">
        <v>23050</v>
      </c>
      <c r="C353" s="1">
        <v>42930</v>
      </c>
      <c r="G353">
        <v>18.600000000000001</v>
      </c>
      <c r="H353">
        <v>14.3</v>
      </c>
      <c r="I353">
        <v>22.9</v>
      </c>
      <c r="J353">
        <f t="shared" si="39"/>
        <v>3153.8000000000011</v>
      </c>
      <c r="K353">
        <f t="shared" si="40"/>
        <v>880.09999999999968</v>
      </c>
      <c r="M353">
        <v>0</v>
      </c>
      <c r="N353">
        <v>3.7</v>
      </c>
      <c r="O353">
        <f t="shared" si="44"/>
        <v>-3.7</v>
      </c>
      <c r="Q353">
        <v>304</v>
      </c>
      <c r="S353">
        <f t="shared" si="45"/>
        <v>0</v>
      </c>
      <c r="T353">
        <f t="shared" si="46"/>
        <v>0</v>
      </c>
      <c r="U353" s="4">
        <f t="shared" si="41"/>
        <v>14.365000000000004</v>
      </c>
      <c r="W353">
        <v>1643.4</v>
      </c>
      <c r="X353">
        <f t="shared" si="42"/>
        <v>291506.29999999993</v>
      </c>
      <c r="Y353">
        <f t="shared" si="43"/>
        <v>78003.400000000023</v>
      </c>
    </row>
    <row r="354" spans="1:25" x14ac:dyDescent="0.25">
      <c r="A354">
        <v>5160</v>
      </c>
      <c r="B354">
        <v>23050</v>
      </c>
      <c r="C354" s="1">
        <v>42931</v>
      </c>
      <c r="G354">
        <v>19.600000000000001</v>
      </c>
      <c r="H354">
        <v>13.2</v>
      </c>
      <c r="I354">
        <v>26.3</v>
      </c>
      <c r="J354">
        <f t="shared" si="39"/>
        <v>3173.400000000001</v>
      </c>
      <c r="K354">
        <f t="shared" si="40"/>
        <v>899.6999999999997</v>
      </c>
      <c r="M354">
        <v>0</v>
      </c>
      <c r="N354">
        <v>5.6</v>
      </c>
      <c r="O354">
        <f t="shared" si="44"/>
        <v>-5.6</v>
      </c>
      <c r="Q354">
        <v>305</v>
      </c>
      <c r="S354">
        <f t="shared" si="45"/>
        <v>0</v>
      </c>
      <c r="T354">
        <f t="shared" si="46"/>
        <v>0</v>
      </c>
      <c r="U354" s="4">
        <f t="shared" si="41"/>
        <v>14.365000000000004</v>
      </c>
      <c r="W354">
        <v>2778.8</v>
      </c>
      <c r="X354">
        <f t="shared" si="42"/>
        <v>294285.09999999992</v>
      </c>
      <c r="Y354">
        <f t="shared" si="43"/>
        <v>80782.200000000026</v>
      </c>
    </row>
    <row r="355" spans="1:25" x14ac:dyDescent="0.25">
      <c r="A355">
        <v>5160</v>
      </c>
      <c r="B355">
        <v>23050</v>
      </c>
      <c r="C355" s="1">
        <v>42932</v>
      </c>
      <c r="G355">
        <v>23.6</v>
      </c>
      <c r="H355">
        <v>15.3</v>
      </c>
      <c r="I355">
        <v>29.7</v>
      </c>
      <c r="J355">
        <f t="shared" si="39"/>
        <v>3197.0000000000009</v>
      </c>
      <c r="K355">
        <f t="shared" si="40"/>
        <v>923.29999999999973</v>
      </c>
      <c r="M355">
        <v>0</v>
      </c>
      <c r="N355">
        <v>6.6</v>
      </c>
      <c r="O355">
        <f t="shared" si="44"/>
        <v>-6.6</v>
      </c>
      <c r="Q355">
        <v>306</v>
      </c>
      <c r="S355">
        <f t="shared" si="45"/>
        <v>0</v>
      </c>
      <c r="T355">
        <f t="shared" si="46"/>
        <v>0</v>
      </c>
      <c r="U355" s="4">
        <f t="shared" si="41"/>
        <v>14.365000000000004</v>
      </c>
      <c r="W355">
        <v>3009.4</v>
      </c>
      <c r="X355">
        <f t="shared" si="42"/>
        <v>297294.49999999994</v>
      </c>
      <c r="Y355">
        <f t="shared" si="43"/>
        <v>83791.60000000002</v>
      </c>
    </row>
    <row r="356" spans="1:25" x14ac:dyDescent="0.25">
      <c r="A356">
        <v>5160</v>
      </c>
      <c r="B356">
        <v>23050</v>
      </c>
      <c r="C356" s="1">
        <v>42933</v>
      </c>
      <c r="G356">
        <v>25</v>
      </c>
      <c r="H356">
        <v>18.600000000000001</v>
      </c>
      <c r="I356">
        <v>30.5</v>
      </c>
      <c r="J356">
        <f t="shared" si="39"/>
        <v>3222.0000000000009</v>
      </c>
      <c r="K356">
        <f t="shared" si="40"/>
        <v>948.29999999999973</v>
      </c>
      <c r="M356">
        <v>0</v>
      </c>
      <c r="N356">
        <v>6.1</v>
      </c>
      <c r="O356">
        <f t="shared" si="44"/>
        <v>-6.1</v>
      </c>
      <c r="Q356">
        <v>307</v>
      </c>
      <c r="S356">
        <f t="shared" si="45"/>
        <v>0</v>
      </c>
      <c r="T356">
        <f t="shared" si="46"/>
        <v>0</v>
      </c>
      <c r="U356" s="4">
        <f t="shared" si="41"/>
        <v>14.365000000000004</v>
      </c>
      <c r="W356">
        <v>2384.6999999999998</v>
      </c>
      <c r="X356">
        <f t="shared" si="42"/>
        <v>299679.19999999995</v>
      </c>
      <c r="Y356">
        <f t="shared" si="43"/>
        <v>86176.300000000017</v>
      </c>
    </row>
    <row r="357" spans="1:25" x14ac:dyDescent="0.25">
      <c r="A357">
        <v>5160</v>
      </c>
      <c r="B357">
        <v>23050</v>
      </c>
      <c r="C357" s="1">
        <v>42934</v>
      </c>
      <c r="G357">
        <v>28.3</v>
      </c>
      <c r="H357">
        <v>20.9</v>
      </c>
      <c r="I357">
        <v>33.6</v>
      </c>
      <c r="J357">
        <f t="shared" si="39"/>
        <v>3250.3000000000011</v>
      </c>
      <c r="K357">
        <f t="shared" si="40"/>
        <v>976.59999999999968</v>
      </c>
      <c r="M357">
        <v>0</v>
      </c>
      <c r="N357">
        <v>6.8</v>
      </c>
      <c r="O357">
        <f t="shared" si="44"/>
        <v>-6.8</v>
      </c>
      <c r="Q357">
        <v>308</v>
      </c>
      <c r="S357">
        <f t="shared" si="45"/>
        <v>0</v>
      </c>
      <c r="T357">
        <f t="shared" si="46"/>
        <v>0</v>
      </c>
      <c r="U357" s="4">
        <f t="shared" si="41"/>
        <v>14.365000000000004</v>
      </c>
      <c r="W357">
        <v>2200.5</v>
      </c>
      <c r="X357">
        <f t="shared" si="42"/>
        <v>301879.69999999995</v>
      </c>
      <c r="Y357">
        <f t="shared" si="43"/>
        <v>88376.800000000017</v>
      </c>
    </row>
    <row r="358" spans="1:25" x14ac:dyDescent="0.25">
      <c r="A358">
        <v>5160</v>
      </c>
      <c r="B358">
        <v>23050</v>
      </c>
      <c r="C358" s="1">
        <v>42935</v>
      </c>
      <c r="G358">
        <v>23.6</v>
      </c>
      <c r="H358">
        <v>23.5</v>
      </c>
      <c r="I358">
        <v>25.4</v>
      </c>
      <c r="J358">
        <f t="shared" si="39"/>
        <v>3273.900000000001</v>
      </c>
      <c r="K358">
        <f t="shared" si="40"/>
        <v>1000.1999999999997</v>
      </c>
      <c r="M358">
        <v>0.4</v>
      </c>
      <c r="N358">
        <v>4.5999999999999996</v>
      </c>
      <c r="O358">
        <f t="shared" si="44"/>
        <v>-4.1999999999999993</v>
      </c>
      <c r="Q358">
        <v>309</v>
      </c>
      <c r="S358">
        <f t="shared" si="45"/>
        <v>0</v>
      </c>
      <c r="T358">
        <f t="shared" si="46"/>
        <v>0.4</v>
      </c>
      <c r="U358" s="4">
        <f t="shared" si="41"/>
        <v>14.765000000000004</v>
      </c>
      <c r="W358">
        <v>1478.6</v>
      </c>
      <c r="X358">
        <f t="shared" si="42"/>
        <v>303358.29999999993</v>
      </c>
      <c r="Y358">
        <f t="shared" si="43"/>
        <v>89855.400000000023</v>
      </c>
    </row>
    <row r="359" spans="1:25" x14ac:dyDescent="0.25">
      <c r="A359">
        <v>5160</v>
      </c>
      <c r="B359">
        <v>23050</v>
      </c>
      <c r="C359" s="1">
        <v>42936</v>
      </c>
      <c r="G359">
        <v>19.100000000000001</v>
      </c>
      <c r="H359">
        <v>18.2</v>
      </c>
      <c r="I359">
        <v>22.2</v>
      </c>
      <c r="J359">
        <f t="shared" si="39"/>
        <v>3293.0000000000009</v>
      </c>
      <c r="K359">
        <f t="shared" si="40"/>
        <v>1019.2999999999997</v>
      </c>
      <c r="M359">
        <v>0.2</v>
      </c>
      <c r="N359">
        <v>3.8</v>
      </c>
      <c r="O359">
        <f t="shared" si="44"/>
        <v>-3.5999999999999996</v>
      </c>
      <c r="Q359">
        <v>310</v>
      </c>
      <c r="S359">
        <f t="shared" si="45"/>
        <v>0</v>
      </c>
      <c r="T359">
        <f t="shared" si="46"/>
        <v>0.2</v>
      </c>
      <c r="U359" s="4">
        <f t="shared" si="41"/>
        <v>14.965000000000003</v>
      </c>
      <c r="W359">
        <v>708.3</v>
      </c>
      <c r="X359">
        <f t="shared" si="42"/>
        <v>304066.59999999992</v>
      </c>
      <c r="Y359">
        <f t="shared" si="43"/>
        <v>90563.700000000026</v>
      </c>
    </row>
    <row r="360" spans="1:25" x14ac:dyDescent="0.25">
      <c r="A360">
        <v>5160</v>
      </c>
      <c r="B360">
        <v>23050</v>
      </c>
      <c r="C360" s="1">
        <v>42937</v>
      </c>
      <c r="G360">
        <v>18.5</v>
      </c>
      <c r="H360">
        <v>12.2</v>
      </c>
      <c r="I360">
        <v>23.7</v>
      </c>
      <c r="J360">
        <f t="shared" si="39"/>
        <v>3311.5000000000009</v>
      </c>
      <c r="K360">
        <f t="shared" si="40"/>
        <v>1037.7999999999997</v>
      </c>
      <c r="M360">
        <v>2.4</v>
      </c>
      <c r="N360">
        <v>4.9000000000000004</v>
      </c>
      <c r="O360">
        <f t="shared" si="44"/>
        <v>-2.5000000000000004</v>
      </c>
      <c r="Q360">
        <v>311</v>
      </c>
      <c r="S360">
        <f t="shared" si="45"/>
        <v>0</v>
      </c>
      <c r="T360">
        <f t="shared" si="46"/>
        <v>2.4</v>
      </c>
      <c r="U360" s="4">
        <f t="shared" si="41"/>
        <v>17.365000000000002</v>
      </c>
      <c r="W360">
        <v>2198.8000000000002</v>
      </c>
      <c r="X360">
        <f t="shared" si="42"/>
        <v>306265.39999999991</v>
      </c>
      <c r="Y360">
        <f t="shared" si="43"/>
        <v>92762.500000000029</v>
      </c>
    </row>
    <row r="361" spans="1:25" x14ac:dyDescent="0.25">
      <c r="A361">
        <v>5160</v>
      </c>
      <c r="B361">
        <v>23050</v>
      </c>
      <c r="C361" s="1">
        <v>42938</v>
      </c>
      <c r="G361">
        <v>17.399999999999999</v>
      </c>
      <c r="H361">
        <v>15.5</v>
      </c>
      <c r="I361">
        <v>21.1</v>
      </c>
      <c r="J361">
        <f t="shared" si="39"/>
        <v>3328.900000000001</v>
      </c>
      <c r="K361">
        <f t="shared" si="40"/>
        <v>1055.1999999999998</v>
      </c>
      <c r="M361">
        <v>1.2</v>
      </c>
      <c r="N361">
        <v>2.1</v>
      </c>
      <c r="O361">
        <f t="shared" si="44"/>
        <v>-0.90000000000000013</v>
      </c>
      <c r="Q361">
        <v>312</v>
      </c>
      <c r="S361">
        <f t="shared" si="45"/>
        <v>0</v>
      </c>
      <c r="T361">
        <f t="shared" si="46"/>
        <v>1.2</v>
      </c>
      <c r="U361" s="4">
        <f t="shared" si="41"/>
        <v>18.565000000000001</v>
      </c>
      <c r="W361">
        <v>632.6</v>
      </c>
      <c r="X361">
        <f t="shared" si="42"/>
        <v>306897.99999999988</v>
      </c>
      <c r="Y361">
        <f t="shared" si="43"/>
        <v>93395.100000000035</v>
      </c>
    </row>
    <row r="362" spans="1:25" x14ac:dyDescent="0.25">
      <c r="A362">
        <v>5160</v>
      </c>
      <c r="B362">
        <v>23050</v>
      </c>
      <c r="C362" s="1">
        <v>42939</v>
      </c>
      <c r="G362">
        <v>16.600000000000001</v>
      </c>
      <c r="H362">
        <v>14</v>
      </c>
      <c r="I362">
        <v>21.8</v>
      </c>
      <c r="J362">
        <f t="shared" si="39"/>
        <v>3345.5000000000009</v>
      </c>
      <c r="K362">
        <f t="shared" si="40"/>
        <v>1071.7999999999997</v>
      </c>
      <c r="M362">
        <v>32.6</v>
      </c>
      <c r="N362">
        <v>4</v>
      </c>
      <c r="O362">
        <f t="shared" si="44"/>
        <v>28.6</v>
      </c>
      <c r="Q362">
        <v>313</v>
      </c>
      <c r="S362">
        <f t="shared" si="45"/>
        <v>0</v>
      </c>
      <c r="T362">
        <f t="shared" si="46"/>
        <v>32.6</v>
      </c>
      <c r="U362" s="4">
        <f t="shared" si="41"/>
        <v>51.165000000000006</v>
      </c>
      <c r="W362">
        <v>1917.3</v>
      </c>
      <c r="X362">
        <f t="shared" si="42"/>
        <v>308815.29999999987</v>
      </c>
      <c r="Y362">
        <f t="shared" si="43"/>
        <v>95312.400000000038</v>
      </c>
    </row>
    <row r="363" spans="1:25" x14ac:dyDescent="0.25">
      <c r="A363">
        <v>5160</v>
      </c>
      <c r="B363">
        <v>23050</v>
      </c>
      <c r="C363" s="1">
        <v>42940</v>
      </c>
      <c r="G363">
        <v>16.3</v>
      </c>
      <c r="H363">
        <v>13.3</v>
      </c>
      <c r="I363">
        <v>18.2</v>
      </c>
      <c r="J363">
        <f t="shared" si="39"/>
        <v>3361.8000000000011</v>
      </c>
      <c r="K363">
        <f t="shared" si="40"/>
        <v>1088.0999999999997</v>
      </c>
      <c r="M363">
        <v>0.1</v>
      </c>
      <c r="N363">
        <v>1.2</v>
      </c>
      <c r="O363">
        <f t="shared" si="44"/>
        <v>-1.0999999999999999</v>
      </c>
      <c r="Q363">
        <v>314</v>
      </c>
      <c r="S363">
        <f t="shared" si="45"/>
        <v>0</v>
      </c>
      <c r="T363">
        <f t="shared" si="46"/>
        <v>0.1</v>
      </c>
      <c r="U363" s="4">
        <f t="shared" si="41"/>
        <v>51.265000000000008</v>
      </c>
      <c r="W363">
        <v>509.5</v>
      </c>
      <c r="X363">
        <f t="shared" si="42"/>
        <v>309324.79999999987</v>
      </c>
      <c r="Y363">
        <f t="shared" si="43"/>
        <v>95821.900000000038</v>
      </c>
    </row>
    <row r="364" spans="1:25" x14ac:dyDescent="0.25">
      <c r="A364">
        <v>5160</v>
      </c>
      <c r="B364">
        <v>23050</v>
      </c>
      <c r="C364" s="1">
        <v>42941</v>
      </c>
      <c r="G364">
        <v>18.2</v>
      </c>
      <c r="H364">
        <v>15.8</v>
      </c>
      <c r="I364">
        <v>22.5</v>
      </c>
      <c r="J364">
        <f t="shared" si="39"/>
        <v>3380.0000000000009</v>
      </c>
      <c r="K364">
        <f t="shared" si="40"/>
        <v>1106.2999999999997</v>
      </c>
      <c r="M364">
        <v>0</v>
      </c>
      <c r="N364">
        <v>2.8</v>
      </c>
      <c r="O364">
        <f t="shared" si="44"/>
        <v>-2.8</v>
      </c>
      <c r="Q364">
        <v>315</v>
      </c>
      <c r="S364">
        <f t="shared" si="45"/>
        <v>0</v>
      </c>
      <c r="T364">
        <f t="shared" si="46"/>
        <v>0</v>
      </c>
      <c r="U364" s="4">
        <f t="shared" si="41"/>
        <v>51.265000000000008</v>
      </c>
      <c r="W364">
        <v>1088.5999999999999</v>
      </c>
      <c r="X364">
        <f t="shared" si="42"/>
        <v>310413.39999999985</v>
      </c>
      <c r="Y364">
        <f t="shared" si="43"/>
        <v>96910.500000000044</v>
      </c>
    </row>
    <row r="365" spans="1:25" x14ac:dyDescent="0.25">
      <c r="A365">
        <v>5160</v>
      </c>
      <c r="B365">
        <v>23050</v>
      </c>
      <c r="C365" s="1">
        <v>42942</v>
      </c>
      <c r="G365">
        <v>17</v>
      </c>
      <c r="H365">
        <v>12.5</v>
      </c>
      <c r="I365">
        <v>19.5</v>
      </c>
      <c r="J365">
        <f t="shared" si="39"/>
        <v>3397.0000000000009</v>
      </c>
      <c r="K365">
        <f t="shared" si="40"/>
        <v>1123.2999999999997</v>
      </c>
      <c r="M365">
        <v>2.4</v>
      </c>
      <c r="N365">
        <v>1.2</v>
      </c>
      <c r="O365">
        <f t="shared" si="44"/>
        <v>1.2</v>
      </c>
      <c r="Q365">
        <v>316</v>
      </c>
      <c r="S365">
        <f t="shared" si="45"/>
        <v>0</v>
      </c>
      <c r="T365">
        <f t="shared" si="46"/>
        <v>2.4</v>
      </c>
      <c r="U365" s="4">
        <f t="shared" si="41"/>
        <v>53.665000000000006</v>
      </c>
      <c r="W365">
        <v>800.7</v>
      </c>
      <c r="X365">
        <f t="shared" si="42"/>
        <v>311214.09999999986</v>
      </c>
      <c r="Y365">
        <f t="shared" si="43"/>
        <v>97711.200000000041</v>
      </c>
    </row>
    <row r="366" spans="1:25" x14ac:dyDescent="0.25">
      <c r="A366">
        <v>5160</v>
      </c>
      <c r="B366">
        <v>23050</v>
      </c>
      <c r="C366" s="1">
        <v>42943</v>
      </c>
      <c r="G366">
        <v>18.100000000000001</v>
      </c>
      <c r="H366">
        <v>17.100000000000001</v>
      </c>
      <c r="I366">
        <v>20.9</v>
      </c>
      <c r="J366">
        <f t="shared" si="39"/>
        <v>3415.1000000000008</v>
      </c>
      <c r="K366">
        <f t="shared" si="40"/>
        <v>1141.3999999999996</v>
      </c>
      <c r="M366">
        <v>0.9</v>
      </c>
      <c r="N366">
        <v>1.7</v>
      </c>
      <c r="O366">
        <f t="shared" si="44"/>
        <v>-0.79999999999999993</v>
      </c>
      <c r="Q366">
        <v>317</v>
      </c>
      <c r="S366">
        <f t="shared" si="45"/>
        <v>0</v>
      </c>
      <c r="T366">
        <f t="shared" si="46"/>
        <v>0.9</v>
      </c>
      <c r="U366" s="4">
        <f t="shared" si="41"/>
        <v>54.565000000000005</v>
      </c>
      <c r="W366">
        <v>595.70000000000005</v>
      </c>
      <c r="X366">
        <f t="shared" si="42"/>
        <v>311809.79999999987</v>
      </c>
      <c r="Y366">
        <f t="shared" si="43"/>
        <v>98306.900000000038</v>
      </c>
    </row>
    <row r="367" spans="1:25" x14ac:dyDescent="0.25">
      <c r="A367">
        <v>5160</v>
      </c>
      <c r="B367">
        <v>23050</v>
      </c>
      <c r="C367" s="1">
        <v>42944</v>
      </c>
      <c r="G367">
        <v>18.5</v>
      </c>
      <c r="H367">
        <v>14.2</v>
      </c>
      <c r="I367">
        <v>23</v>
      </c>
      <c r="J367">
        <f t="shared" si="39"/>
        <v>3433.6000000000008</v>
      </c>
      <c r="K367">
        <f t="shared" si="40"/>
        <v>1159.8999999999996</v>
      </c>
      <c r="M367">
        <v>0</v>
      </c>
      <c r="N367">
        <v>3.5</v>
      </c>
      <c r="O367">
        <f t="shared" si="44"/>
        <v>-3.5</v>
      </c>
      <c r="Q367">
        <v>318</v>
      </c>
      <c r="S367">
        <f t="shared" si="45"/>
        <v>0</v>
      </c>
      <c r="T367">
        <f t="shared" si="46"/>
        <v>0</v>
      </c>
      <c r="U367" s="4">
        <f t="shared" si="41"/>
        <v>54.565000000000005</v>
      </c>
      <c r="W367">
        <v>1485.3</v>
      </c>
      <c r="X367">
        <f t="shared" si="42"/>
        <v>313295.09999999986</v>
      </c>
      <c r="Y367">
        <f t="shared" si="43"/>
        <v>99792.200000000041</v>
      </c>
    </row>
    <row r="368" spans="1:25" x14ac:dyDescent="0.25">
      <c r="A368">
        <v>5160</v>
      </c>
      <c r="B368">
        <v>23050</v>
      </c>
      <c r="C368" s="1">
        <v>42945</v>
      </c>
      <c r="G368">
        <v>21.3</v>
      </c>
      <c r="H368">
        <v>15.3</v>
      </c>
      <c r="I368">
        <v>25.6</v>
      </c>
      <c r="J368">
        <f t="shared" si="39"/>
        <v>3454.900000000001</v>
      </c>
      <c r="K368">
        <f t="shared" si="40"/>
        <v>1181.1999999999996</v>
      </c>
      <c r="M368">
        <v>0</v>
      </c>
      <c r="N368">
        <v>4.0999999999999996</v>
      </c>
      <c r="O368">
        <f t="shared" si="44"/>
        <v>-4.0999999999999996</v>
      </c>
      <c r="Q368">
        <v>319</v>
      </c>
      <c r="S368">
        <f t="shared" si="45"/>
        <v>0</v>
      </c>
      <c r="T368">
        <f t="shared" si="46"/>
        <v>0</v>
      </c>
      <c r="U368" s="4">
        <f t="shared" si="41"/>
        <v>54.565000000000005</v>
      </c>
      <c r="W368">
        <v>1790.2</v>
      </c>
      <c r="X368">
        <f t="shared" si="42"/>
        <v>315085.29999999987</v>
      </c>
      <c r="Y368">
        <f t="shared" si="43"/>
        <v>101582.40000000004</v>
      </c>
    </row>
    <row r="369" spans="1:25" x14ac:dyDescent="0.25">
      <c r="A369">
        <v>5160</v>
      </c>
      <c r="B369">
        <v>23050</v>
      </c>
      <c r="C369" s="1">
        <v>42946</v>
      </c>
      <c r="G369">
        <v>20.9</v>
      </c>
      <c r="H369">
        <v>18.899999999999999</v>
      </c>
      <c r="I369">
        <v>24.4</v>
      </c>
      <c r="J369">
        <f t="shared" si="39"/>
        <v>3475.8000000000011</v>
      </c>
      <c r="K369">
        <f t="shared" si="40"/>
        <v>1202.0999999999997</v>
      </c>
      <c r="M369">
        <v>0</v>
      </c>
      <c r="N369">
        <v>5.7</v>
      </c>
      <c r="O369">
        <f t="shared" si="44"/>
        <v>-5.7</v>
      </c>
      <c r="Q369">
        <v>320</v>
      </c>
      <c r="S369">
        <f t="shared" si="45"/>
        <v>0</v>
      </c>
      <c r="T369">
        <f t="shared" si="46"/>
        <v>0</v>
      </c>
      <c r="U369" s="4">
        <f t="shared" si="41"/>
        <v>54.565000000000005</v>
      </c>
      <c r="W369">
        <v>2155.5</v>
      </c>
      <c r="X369">
        <f t="shared" si="42"/>
        <v>317240.79999999987</v>
      </c>
      <c r="Y369">
        <f t="shared" si="43"/>
        <v>103737.90000000004</v>
      </c>
    </row>
    <row r="370" spans="1:25" x14ac:dyDescent="0.25">
      <c r="A370">
        <v>5160</v>
      </c>
      <c r="B370">
        <v>23050</v>
      </c>
      <c r="C370" s="1">
        <v>42947</v>
      </c>
      <c r="G370">
        <v>18.600000000000001</v>
      </c>
      <c r="H370">
        <v>14.2</v>
      </c>
      <c r="I370">
        <v>22.6</v>
      </c>
      <c r="J370">
        <f t="shared" si="39"/>
        <v>3494.400000000001</v>
      </c>
      <c r="K370">
        <f t="shared" si="40"/>
        <v>1220.6999999999996</v>
      </c>
      <c r="M370">
        <v>0.6</v>
      </c>
      <c r="N370">
        <v>1.7</v>
      </c>
      <c r="O370">
        <f t="shared" si="44"/>
        <v>-1.1000000000000001</v>
      </c>
      <c r="Q370">
        <v>321</v>
      </c>
      <c r="S370">
        <f t="shared" si="45"/>
        <v>0</v>
      </c>
      <c r="T370">
        <f t="shared" si="46"/>
        <v>0.6</v>
      </c>
      <c r="U370" s="4">
        <f t="shared" si="41"/>
        <v>55.165000000000006</v>
      </c>
      <c r="W370">
        <v>1083.2</v>
      </c>
      <c r="X370">
        <f t="shared" si="42"/>
        <v>318323.99999999988</v>
      </c>
      <c r="Y370">
        <f t="shared" si="43"/>
        <v>104821.10000000003</v>
      </c>
    </row>
    <row r="371" spans="1:25" x14ac:dyDescent="0.25">
      <c r="A371">
        <v>5160</v>
      </c>
      <c r="B371">
        <v>23050</v>
      </c>
      <c r="C371" s="1">
        <v>42948</v>
      </c>
      <c r="G371">
        <v>20.8</v>
      </c>
      <c r="H371">
        <v>15.4</v>
      </c>
      <c r="I371">
        <v>25.9</v>
      </c>
      <c r="J371">
        <f t="shared" si="39"/>
        <v>3515.2000000000012</v>
      </c>
      <c r="K371">
        <f t="shared" si="40"/>
        <v>1241.4999999999995</v>
      </c>
      <c r="M371">
        <v>0</v>
      </c>
      <c r="N371">
        <v>3</v>
      </c>
      <c r="O371">
        <f t="shared" si="44"/>
        <v>-3</v>
      </c>
      <c r="Q371">
        <v>322</v>
      </c>
      <c r="S371">
        <f t="shared" si="45"/>
        <v>0</v>
      </c>
      <c r="T371">
        <f t="shared" si="46"/>
        <v>0</v>
      </c>
      <c r="U371" s="4">
        <f t="shared" si="41"/>
        <v>55.165000000000006</v>
      </c>
      <c r="W371">
        <v>1328.9</v>
      </c>
      <c r="X371">
        <f t="shared" si="42"/>
        <v>319652.89999999991</v>
      </c>
      <c r="Y371">
        <f t="shared" si="43"/>
        <v>106150.00000000003</v>
      </c>
    </row>
    <row r="372" spans="1:25" x14ac:dyDescent="0.25">
      <c r="A372">
        <v>5160</v>
      </c>
      <c r="B372">
        <v>23050</v>
      </c>
      <c r="C372" s="1">
        <v>42949</v>
      </c>
      <c r="G372">
        <v>21.9</v>
      </c>
      <c r="H372">
        <v>15.7</v>
      </c>
      <c r="I372">
        <v>27.7</v>
      </c>
      <c r="J372">
        <f t="shared" ref="J372:J401" si="47">J371+G372</f>
        <v>3537.1000000000013</v>
      </c>
      <c r="K372">
        <f t="shared" ref="K372:K401" si="48">K371+G372</f>
        <v>1263.3999999999996</v>
      </c>
      <c r="M372">
        <v>0</v>
      </c>
      <c r="N372">
        <v>5.3</v>
      </c>
      <c r="O372">
        <f t="shared" si="44"/>
        <v>-5.3</v>
      </c>
      <c r="Q372">
        <v>323</v>
      </c>
      <c r="S372">
        <f t="shared" si="45"/>
        <v>0</v>
      </c>
      <c r="T372">
        <f t="shared" si="46"/>
        <v>0</v>
      </c>
      <c r="U372" s="4">
        <f t="shared" ref="U372:U401" si="49">MIN(U371+T372,138.9)</f>
        <v>55.165000000000006</v>
      </c>
      <c r="W372">
        <v>2166.9</v>
      </c>
      <c r="X372">
        <f t="shared" ref="X372:X401" si="50">X371+W372</f>
        <v>321819.79999999993</v>
      </c>
      <c r="Y372">
        <f t="shared" ref="Y372:Y401" si="51">Y371+W372</f>
        <v>108316.90000000002</v>
      </c>
    </row>
    <row r="373" spans="1:25" x14ac:dyDescent="0.25">
      <c r="A373">
        <v>5160</v>
      </c>
      <c r="B373">
        <v>23050</v>
      </c>
      <c r="C373" s="1">
        <v>42950</v>
      </c>
      <c r="G373">
        <v>22.4</v>
      </c>
      <c r="H373">
        <v>16.899999999999999</v>
      </c>
      <c r="I373">
        <v>26.3</v>
      </c>
      <c r="J373">
        <f t="shared" si="47"/>
        <v>3559.5000000000014</v>
      </c>
      <c r="K373">
        <f t="shared" si="48"/>
        <v>1285.7999999999997</v>
      </c>
      <c r="M373">
        <v>0.1</v>
      </c>
      <c r="N373">
        <v>4.8</v>
      </c>
      <c r="O373">
        <f t="shared" si="44"/>
        <v>-4.7</v>
      </c>
      <c r="Q373">
        <v>324</v>
      </c>
      <c r="S373">
        <f t="shared" si="45"/>
        <v>0</v>
      </c>
      <c r="T373">
        <f t="shared" si="46"/>
        <v>0.1</v>
      </c>
      <c r="U373" s="4">
        <f t="shared" si="49"/>
        <v>55.265000000000008</v>
      </c>
      <c r="W373">
        <v>1508.7</v>
      </c>
      <c r="X373">
        <f t="shared" si="50"/>
        <v>323328.49999999994</v>
      </c>
      <c r="Y373">
        <f t="shared" si="51"/>
        <v>109825.60000000002</v>
      </c>
    </row>
    <row r="374" spans="1:25" x14ac:dyDescent="0.25">
      <c r="A374">
        <v>5160</v>
      </c>
      <c r="B374">
        <v>23050</v>
      </c>
      <c r="C374" s="1">
        <v>42951</v>
      </c>
      <c r="G374">
        <v>21.4</v>
      </c>
      <c r="H374">
        <v>17.7</v>
      </c>
      <c r="I374">
        <v>24.9</v>
      </c>
      <c r="J374">
        <f t="shared" si="47"/>
        <v>3580.9000000000015</v>
      </c>
      <c r="K374">
        <f t="shared" si="48"/>
        <v>1307.1999999999998</v>
      </c>
      <c r="M374">
        <v>0</v>
      </c>
      <c r="N374">
        <v>2.9</v>
      </c>
      <c r="O374">
        <f t="shared" si="44"/>
        <v>-2.9</v>
      </c>
      <c r="Q374">
        <v>325</v>
      </c>
      <c r="S374">
        <f t="shared" si="45"/>
        <v>0</v>
      </c>
      <c r="T374">
        <f t="shared" si="46"/>
        <v>0</v>
      </c>
      <c r="U374" s="4">
        <f t="shared" si="49"/>
        <v>55.265000000000008</v>
      </c>
      <c r="W374">
        <v>565.29999999999995</v>
      </c>
      <c r="X374">
        <f t="shared" si="50"/>
        <v>323893.79999999993</v>
      </c>
      <c r="Y374">
        <f t="shared" si="51"/>
        <v>110390.90000000002</v>
      </c>
    </row>
    <row r="375" spans="1:25" x14ac:dyDescent="0.25">
      <c r="A375">
        <v>5160</v>
      </c>
      <c r="B375">
        <v>23050</v>
      </c>
      <c r="C375" s="1">
        <v>42952</v>
      </c>
      <c r="G375">
        <v>19.2</v>
      </c>
      <c r="H375">
        <v>16.399999999999999</v>
      </c>
      <c r="I375">
        <v>22.4</v>
      </c>
      <c r="J375">
        <f t="shared" si="47"/>
        <v>3600.1000000000013</v>
      </c>
      <c r="K375">
        <f t="shared" si="48"/>
        <v>1326.3999999999999</v>
      </c>
      <c r="M375">
        <v>0</v>
      </c>
      <c r="N375">
        <v>3</v>
      </c>
      <c r="O375">
        <f t="shared" si="44"/>
        <v>-3</v>
      </c>
      <c r="Q375">
        <v>326</v>
      </c>
      <c r="S375">
        <f t="shared" si="45"/>
        <v>0</v>
      </c>
      <c r="T375">
        <f t="shared" si="46"/>
        <v>0</v>
      </c>
      <c r="U375" s="4">
        <f t="shared" si="49"/>
        <v>55.265000000000008</v>
      </c>
      <c r="W375">
        <v>879.6</v>
      </c>
      <c r="X375">
        <f t="shared" si="50"/>
        <v>324773.39999999991</v>
      </c>
      <c r="Y375">
        <f t="shared" si="51"/>
        <v>111270.50000000003</v>
      </c>
    </row>
    <row r="376" spans="1:25" x14ac:dyDescent="0.25">
      <c r="A376">
        <v>5160</v>
      </c>
      <c r="B376">
        <v>23050</v>
      </c>
      <c r="C376" s="1">
        <v>42953</v>
      </c>
      <c r="G376">
        <v>17.399999999999999</v>
      </c>
      <c r="H376">
        <v>11.9</v>
      </c>
      <c r="I376">
        <v>23.3</v>
      </c>
      <c r="J376">
        <f t="shared" si="47"/>
        <v>3617.5000000000014</v>
      </c>
      <c r="K376">
        <f t="shared" si="48"/>
        <v>1343.8</v>
      </c>
      <c r="M376">
        <v>0</v>
      </c>
      <c r="N376">
        <v>4.2</v>
      </c>
      <c r="O376">
        <f t="shared" si="44"/>
        <v>-4.2</v>
      </c>
      <c r="Q376">
        <v>327</v>
      </c>
      <c r="S376">
        <f t="shared" si="45"/>
        <v>0</v>
      </c>
      <c r="T376">
        <f t="shared" si="46"/>
        <v>0</v>
      </c>
      <c r="U376" s="4">
        <f t="shared" si="49"/>
        <v>55.265000000000008</v>
      </c>
      <c r="W376">
        <v>2080.6</v>
      </c>
      <c r="X376">
        <f t="shared" si="50"/>
        <v>326853.99999999988</v>
      </c>
      <c r="Y376">
        <f t="shared" si="51"/>
        <v>113351.10000000003</v>
      </c>
    </row>
    <row r="377" spans="1:25" x14ac:dyDescent="0.25">
      <c r="A377">
        <v>5160</v>
      </c>
      <c r="B377">
        <v>23050</v>
      </c>
      <c r="C377" s="1">
        <v>42954</v>
      </c>
      <c r="G377">
        <v>19.5</v>
      </c>
      <c r="H377">
        <v>12.7</v>
      </c>
      <c r="I377">
        <v>25</v>
      </c>
      <c r="J377">
        <f t="shared" si="47"/>
        <v>3637.0000000000014</v>
      </c>
      <c r="K377">
        <f t="shared" si="48"/>
        <v>1363.3</v>
      </c>
      <c r="M377">
        <v>2.2000000000000002</v>
      </c>
      <c r="N377">
        <v>4.5999999999999996</v>
      </c>
      <c r="O377">
        <f t="shared" si="44"/>
        <v>-2.3999999999999995</v>
      </c>
      <c r="Q377">
        <v>328</v>
      </c>
      <c r="S377">
        <f t="shared" si="45"/>
        <v>0</v>
      </c>
      <c r="T377">
        <f t="shared" si="46"/>
        <v>2.2000000000000002</v>
      </c>
      <c r="U377" s="4">
        <f t="shared" si="49"/>
        <v>57.465000000000011</v>
      </c>
      <c r="W377">
        <v>2069.1</v>
      </c>
      <c r="X377">
        <f t="shared" si="50"/>
        <v>328923.09999999986</v>
      </c>
      <c r="Y377">
        <f t="shared" si="51"/>
        <v>115420.20000000004</v>
      </c>
    </row>
    <row r="378" spans="1:25" x14ac:dyDescent="0.25">
      <c r="A378">
        <v>5160</v>
      </c>
      <c r="B378">
        <v>23050</v>
      </c>
      <c r="C378" s="1">
        <v>42955</v>
      </c>
      <c r="G378">
        <v>15.9</v>
      </c>
      <c r="H378">
        <v>14.9</v>
      </c>
      <c r="I378">
        <v>17.600000000000001</v>
      </c>
      <c r="J378">
        <f t="shared" si="47"/>
        <v>3652.9000000000015</v>
      </c>
      <c r="K378">
        <f t="shared" si="48"/>
        <v>1379.2</v>
      </c>
      <c r="M378">
        <v>2.8</v>
      </c>
      <c r="N378">
        <v>1.7</v>
      </c>
      <c r="O378">
        <f t="shared" si="44"/>
        <v>1.0999999999999999</v>
      </c>
      <c r="Q378">
        <v>329</v>
      </c>
      <c r="S378">
        <f t="shared" si="45"/>
        <v>0</v>
      </c>
      <c r="T378">
        <f t="shared" si="46"/>
        <v>2.8</v>
      </c>
      <c r="U378" s="4">
        <f t="shared" si="49"/>
        <v>60.265000000000008</v>
      </c>
      <c r="W378">
        <v>738.4</v>
      </c>
      <c r="X378">
        <f t="shared" si="50"/>
        <v>329661.49999999988</v>
      </c>
      <c r="Y378">
        <f t="shared" si="51"/>
        <v>116158.60000000003</v>
      </c>
    </row>
    <row r="379" spans="1:25" x14ac:dyDescent="0.25">
      <c r="A379">
        <v>5160</v>
      </c>
      <c r="B379">
        <v>23050</v>
      </c>
      <c r="C379" s="1">
        <v>42956</v>
      </c>
      <c r="G379">
        <v>13</v>
      </c>
      <c r="H379">
        <v>12.3</v>
      </c>
      <c r="I379">
        <v>13.6</v>
      </c>
      <c r="J379">
        <f t="shared" si="47"/>
        <v>3665.9000000000015</v>
      </c>
      <c r="K379">
        <f t="shared" si="48"/>
        <v>1392.2</v>
      </c>
      <c r="M379">
        <v>12</v>
      </c>
      <c r="N379">
        <v>0.9</v>
      </c>
      <c r="O379">
        <f t="shared" si="44"/>
        <v>11.1</v>
      </c>
      <c r="Q379">
        <v>330</v>
      </c>
      <c r="S379">
        <f t="shared" si="45"/>
        <v>0</v>
      </c>
      <c r="T379">
        <f t="shared" si="46"/>
        <v>12</v>
      </c>
      <c r="U379" s="4">
        <f t="shared" si="49"/>
        <v>72.265000000000015</v>
      </c>
      <c r="W379">
        <v>781</v>
      </c>
      <c r="X379">
        <f t="shared" si="50"/>
        <v>330442.49999999988</v>
      </c>
      <c r="Y379">
        <f t="shared" si="51"/>
        <v>116939.60000000003</v>
      </c>
    </row>
    <row r="380" spans="1:25" x14ac:dyDescent="0.25">
      <c r="A380">
        <v>5160</v>
      </c>
      <c r="B380">
        <v>23050</v>
      </c>
      <c r="C380" s="1">
        <v>42957</v>
      </c>
      <c r="G380">
        <v>14.2</v>
      </c>
      <c r="H380">
        <v>12.5</v>
      </c>
      <c r="I380">
        <v>16.100000000000001</v>
      </c>
      <c r="J380">
        <f t="shared" si="47"/>
        <v>3680.1000000000013</v>
      </c>
      <c r="K380">
        <f t="shared" si="48"/>
        <v>1406.4</v>
      </c>
      <c r="M380">
        <v>9.5</v>
      </c>
      <c r="N380">
        <v>1.4</v>
      </c>
      <c r="O380">
        <f t="shared" si="44"/>
        <v>8.1</v>
      </c>
      <c r="Q380">
        <v>331</v>
      </c>
      <c r="S380">
        <f t="shared" si="45"/>
        <v>0</v>
      </c>
      <c r="T380">
        <f t="shared" si="46"/>
        <v>9.5</v>
      </c>
      <c r="U380" s="4">
        <f t="shared" si="49"/>
        <v>81.765000000000015</v>
      </c>
      <c r="W380">
        <v>852</v>
      </c>
      <c r="X380">
        <f t="shared" si="50"/>
        <v>331294.49999999988</v>
      </c>
      <c r="Y380">
        <f t="shared" si="51"/>
        <v>117791.60000000003</v>
      </c>
    </row>
    <row r="381" spans="1:25" x14ac:dyDescent="0.25">
      <c r="A381">
        <v>5160</v>
      </c>
      <c r="B381">
        <v>23050</v>
      </c>
      <c r="C381" s="1">
        <v>42958</v>
      </c>
      <c r="G381">
        <v>16.100000000000001</v>
      </c>
      <c r="H381">
        <v>13.7</v>
      </c>
      <c r="I381">
        <v>19.8</v>
      </c>
      <c r="J381">
        <f t="shared" si="47"/>
        <v>3696.2000000000012</v>
      </c>
      <c r="K381">
        <f t="shared" si="48"/>
        <v>1422.5</v>
      </c>
      <c r="M381">
        <v>1.5</v>
      </c>
      <c r="N381">
        <v>2.2999999999999998</v>
      </c>
      <c r="O381">
        <f t="shared" si="44"/>
        <v>-0.79999999999999982</v>
      </c>
      <c r="Q381">
        <v>332</v>
      </c>
      <c r="S381">
        <f t="shared" si="45"/>
        <v>0</v>
      </c>
      <c r="T381">
        <f t="shared" si="46"/>
        <v>1.5</v>
      </c>
      <c r="U381" s="4">
        <f t="shared" si="49"/>
        <v>83.265000000000015</v>
      </c>
      <c r="W381">
        <v>1226.5999999999999</v>
      </c>
      <c r="X381">
        <f t="shared" si="50"/>
        <v>332521.09999999986</v>
      </c>
      <c r="Y381">
        <f t="shared" si="51"/>
        <v>119018.20000000004</v>
      </c>
    </row>
    <row r="382" spans="1:25" x14ac:dyDescent="0.25">
      <c r="A382">
        <v>5160</v>
      </c>
      <c r="B382">
        <v>23050</v>
      </c>
      <c r="C382" s="1">
        <v>42959</v>
      </c>
      <c r="G382">
        <v>16.7</v>
      </c>
      <c r="H382">
        <v>12.2</v>
      </c>
      <c r="I382">
        <v>19.2</v>
      </c>
      <c r="J382">
        <f t="shared" si="47"/>
        <v>3712.900000000001</v>
      </c>
      <c r="K382">
        <f t="shared" si="48"/>
        <v>1439.2</v>
      </c>
      <c r="M382">
        <v>3.3</v>
      </c>
      <c r="N382">
        <v>0.9</v>
      </c>
      <c r="O382">
        <f t="shared" si="44"/>
        <v>2.4</v>
      </c>
      <c r="Q382">
        <v>333</v>
      </c>
      <c r="S382">
        <f t="shared" si="45"/>
        <v>0</v>
      </c>
      <c r="T382">
        <f t="shared" si="46"/>
        <v>3.3</v>
      </c>
      <c r="U382" s="4">
        <f t="shared" si="49"/>
        <v>86.565000000000012</v>
      </c>
      <c r="W382">
        <v>501.9</v>
      </c>
      <c r="X382">
        <f t="shared" si="50"/>
        <v>333022.99999999988</v>
      </c>
      <c r="Y382">
        <f t="shared" si="51"/>
        <v>119520.10000000003</v>
      </c>
    </row>
    <row r="383" spans="1:25" x14ac:dyDescent="0.25">
      <c r="A383">
        <v>5160</v>
      </c>
      <c r="B383">
        <v>23050</v>
      </c>
      <c r="C383" s="1">
        <v>42960</v>
      </c>
      <c r="G383">
        <v>17.7</v>
      </c>
      <c r="H383">
        <v>14.4</v>
      </c>
      <c r="I383">
        <v>21.6</v>
      </c>
      <c r="J383">
        <f t="shared" si="47"/>
        <v>3730.6000000000008</v>
      </c>
      <c r="K383">
        <f t="shared" si="48"/>
        <v>1456.9</v>
      </c>
      <c r="M383">
        <v>0</v>
      </c>
      <c r="N383">
        <v>2.2000000000000002</v>
      </c>
      <c r="O383">
        <f t="shared" si="44"/>
        <v>-2.2000000000000002</v>
      </c>
      <c r="Q383">
        <v>334</v>
      </c>
      <c r="S383">
        <f t="shared" si="45"/>
        <v>0</v>
      </c>
      <c r="T383">
        <f t="shared" si="46"/>
        <v>0</v>
      </c>
      <c r="U383" s="4">
        <f t="shared" si="49"/>
        <v>86.565000000000012</v>
      </c>
      <c r="W383">
        <v>943.7</v>
      </c>
      <c r="X383">
        <f t="shared" si="50"/>
        <v>333966.6999999999</v>
      </c>
      <c r="Y383">
        <f t="shared" si="51"/>
        <v>120463.80000000003</v>
      </c>
    </row>
    <row r="384" spans="1:25" x14ac:dyDescent="0.25">
      <c r="A384">
        <v>5160</v>
      </c>
      <c r="B384">
        <v>23050</v>
      </c>
      <c r="C384" s="1">
        <v>42961</v>
      </c>
      <c r="G384">
        <v>21.5</v>
      </c>
      <c r="H384">
        <v>14.3</v>
      </c>
      <c r="I384">
        <v>26.9</v>
      </c>
      <c r="J384">
        <f t="shared" si="47"/>
        <v>3752.1000000000008</v>
      </c>
      <c r="K384">
        <f t="shared" si="48"/>
        <v>1478.4</v>
      </c>
      <c r="M384">
        <v>0</v>
      </c>
      <c r="N384">
        <v>2.8</v>
      </c>
      <c r="O384">
        <f t="shared" si="44"/>
        <v>-2.8</v>
      </c>
      <c r="Q384">
        <v>335</v>
      </c>
      <c r="S384">
        <f t="shared" si="45"/>
        <v>0</v>
      </c>
      <c r="T384">
        <f t="shared" si="46"/>
        <v>0</v>
      </c>
      <c r="U384" s="4">
        <f t="shared" si="49"/>
        <v>86.565000000000012</v>
      </c>
      <c r="W384">
        <v>1422.2</v>
      </c>
      <c r="X384">
        <f t="shared" si="50"/>
        <v>335388.89999999991</v>
      </c>
      <c r="Y384">
        <f t="shared" si="51"/>
        <v>121886.00000000003</v>
      </c>
    </row>
    <row r="385" spans="1:25" x14ac:dyDescent="0.25">
      <c r="A385">
        <v>5160</v>
      </c>
      <c r="B385">
        <v>23050</v>
      </c>
      <c r="C385" s="1">
        <v>42962</v>
      </c>
      <c r="G385">
        <v>22.1</v>
      </c>
      <c r="H385">
        <v>20.8</v>
      </c>
      <c r="I385">
        <v>23.8</v>
      </c>
      <c r="J385">
        <f t="shared" si="47"/>
        <v>3774.2000000000007</v>
      </c>
      <c r="K385">
        <f t="shared" si="48"/>
        <v>1500.5</v>
      </c>
      <c r="M385">
        <v>5</v>
      </c>
      <c r="N385">
        <v>3.3</v>
      </c>
      <c r="O385">
        <f t="shared" si="44"/>
        <v>1.7000000000000002</v>
      </c>
      <c r="Q385">
        <v>336</v>
      </c>
      <c r="S385">
        <f t="shared" si="45"/>
        <v>0</v>
      </c>
      <c r="T385">
        <f t="shared" si="46"/>
        <v>5</v>
      </c>
      <c r="U385" s="4">
        <f t="shared" si="49"/>
        <v>91.565000000000012</v>
      </c>
      <c r="W385">
        <v>1583.8</v>
      </c>
      <c r="X385">
        <f t="shared" si="50"/>
        <v>336972.6999999999</v>
      </c>
      <c r="Y385">
        <f t="shared" si="51"/>
        <v>123469.80000000003</v>
      </c>
    </row>
    <row r="386" spans="1:25" x14ac:dyDescent="0.25">
      <c r="A386">
        <v>5160</v>
      </c>
      <c r="B386">
        <v>23050</v>
      </c>
      <c r="C386" s="1">
        <v>42963</v>
      </c>
      <c r="G386">
        <v>19.600000000000001</v>
      </c>
      <c r="H386">
        <v>16</v>
      </c>
      <c r="I386">
        <v>23.4</v>
      </c>
      <c r="J386">
        <f t="shared" si="47"/>
        <v>3793.8000000000006</v>
      </c>
      <c r="K386">
        <f t="shared" si="48"/>
        <v>1520.1</v>
      </c>
      <c r="M386">
        <v>0</v>
      </c>
      <c r="N386">
        <v>2</v>
      </c>
      <c r="O386">
        <f t="shared" si="44"/>
        <v>-2</v>
      </c>
      <c r="Q386">
        <v>337</v>
      </c>
      <c r="S386">
        <f t="shared" si="45"/>
        <v>0</v>
      </c>
      <c r="T386">
        <f t="shared" si="46"/>
        <v>0</v>
      </c>
      <c r="U386" s="4">
        <f t="shared" si="49"/>
        <v>91.565000000000012</v>
      </c>
      <c r="W386">
        <v>975.8</v>
      </c>
      <c r="X386">
        <f t="shared" si="50"/>
        <v>337948.49999999988</v>
      </c>
      <c r="Y386">
        <f t="shared" si="51"/>
        <v>124445.60000000003</v>
      </c>
    </row>
    <row r="387" spans="1:25" x14ac:dyDescent="0.25">
      <c r="A387">
        <v>5160</v>
      </c>
      <c r="B387">
        <v>23050</v>
      </c>
      <c r="C387" s="1">
        <v>42964</v>
      </c>
      <c r="G387">
        <v>20.2</v>
      </c>
      <c r="H387">
        <v>16.600000000000001</v>
      </c>
      <c r="I387">
        <v>23.1</v>
      </c>
      <c r="J387">
        <f t="shared" si="47"/>
        <v>3814.0000000000005</v>
      </c>
      <c r="K387">
        <f t="shared" si="48"/>
        <v>1540.3</v>
      </c>
      <c r="M387">
        <v>11.5</v>
      </c>
      <c r="N387">
        <v>1.7</v>
      </c>
      <c r="O387">
        <f t="shared" si="44"/>
        <v>9.8000000000000007</v>
      </c>
      <c r="Q387">
        <v>338</v>
      </c>
      <c r="S387">
        <f t="shared" si="45"/>
        <v>0</v>
      </c>
      <c r="T387">
        <f t="shared" si="46"/>
        <v>11.5</v>
      </c>
      <c r="U387" s="4">
        <f t="shared" si="49"/>
        <v>103.06500000000001</v>
      </c>
      <c r="W387">
        <v>923.6</v>
      </c>
      <c r="X387">
        <f t="shared" si="50"/>
        <v>338872.09999999986</v>
      </c>
      <c r="Y387">
        <f t="shared" si="51"/>
        <v>125369.20000000004</v>
      </c>
    </row>
    <row r="388" spans="1:25" x14ac:dyDescent="0.25">
      <c r="A388">
        <v>5160</v>
      </c>
      <c r="B388">
        <v>23050</v>
      </c>
      <c r="C388" s="1">
        <v>42965</v>
      </c>
      <c r="G388">
        <v>18.3</v>
      </c>
      <c r="H388">
        <v>18.3</v>
      </c>
      <c r="I388">
        <v>21</v>
      </c>
      <c r="J388">
        <f t="shared" si="47"/>
        <v>3832.3000000000006</v>
      </c>
      <c r="K388">
        <f t="shared" si="48"/>
        <v>1558.6</v>
      </c>
      <c r="M388">
        <v>5.2</v>
      </c>
      <c r="N388">
        <v>1.7</v>
      </c>
      <c r="O388">
        <f t="shared" si="44"/>
        <v>3.5</v>
      </c>
      <c r="Q388">
        <v>339</v>
      </c>
      <c r="S388">
        <f t="shared" si="45"/>
        <v>0</v>
      </c>
      <c r="T388">
        <f t="shared" si="46"/>
        <v>5.2</v>
      </c>
      <c r="U388" s="4">
        <f t="shared" si="49"/>
        <v>108.26500000000001</v>
      </c>
      <c r="W388">
        <v>589.70000000000005</v>
      </c>
      <c r="X388">
        <f t="shared" si="50"/>
        <v>339461.79999999987</v>
      </c>
      <c r="Y388">
        <f t="shared" si="51"/>
        <v>125958.90000000004</v>
      </c>
    </row>
    <row r="389" spans="1:25" x14ac:dyDescent="0.25">
      <c r="A389">
        <v>5160</v>
      </c>
      <c r="B389">
        <v>23050</v>
      </c>
      <c r="C389" s="1">
        <v>42966</v>
      </c>
      <c r="G389">
        <v>15.6</v>
      </c>
      <c r="H389">
        <v>10.7</v>
      </c>
      <c r="I389">
        <v>19.8</v>
      </c>
      <c r="J389">
        <f t="shared" si="47"/>
        <v>3847.9000000000005</v>
      </c>
      <c r="K389">
        <f t="shared" si="48"/>
        <v>1574.1999999999998</v>
      </c>
      <c r="M389">
        <v>0</v>
      </c>
      <c r="N389">
        <v>3</v>
      </c>
      <c r="O389">
        <f t="shared" si="44"/>
        <v>-3</v>
      </c>
      <c r="Q389">
        <v>340</v>
      </c>
      <c r="S389">
        <f t="shared" si="45"/>
        <v>0</v>
      </c>
      <c r="T389">
        <f t="shared" si="46"/>
        <v>0</v>
      </c>
      <c r="U389" s="4">
        <f t="shared" si="49"/>
        <v>108.26500000000001</v>
      </c>
      <c r="W389">
        <v>1792.5</v>
      </c>
      <c r="X389">
        <f t="shared" si="50"/>
        <v>341254.29999999987</v>
      </c>
      <c r="Y389">
        <f t="shared" si="51"/>
        <v>127751.40000000004</v>
      </c>
    </row>
    <row r="390" spans="1:25" x14ac:dyDescent="0.25">
      <c r="A390">
        <v>5160</v>
      </c>
      <c r="B390">
        <v>23050</v>
      </c>
      <c r="C390" s="1">
        <v>42967</v>
      </c>
      <c r="G390">
        <v>17.399999999999999</v>
      </c>
      <c r="H390">
        <v>11.9</v>
      </c>
      <c r="I390">
        <v>21.4</v>
      </c>
      <c r="J390">
        <f t="shared" si="47"/>
        <v>3865.3000000000006</v>
      </c>
      <c r="K390">
        <f t="shared" si="48"/>
        <v>1591.6</v>
      </c>
      <c r="M390">
        <v>0</v>
      </c>
      <c r="N390">
        <v>3</v>
      </c>
      <c r="O390">
        <f t="shared" ref="O390:O401" si="52">M390-N390</f>
        <v>-3</v>
      </c>
      <c r="Q390">
        <v>341</v>
      </c>
      <c r="S390">
        <f t="shared" ref="S390:S401" si="53">R390*N390</f>
        <v>0</v>
      </c>
      <c r="T390">
        <f t="shared" ref="T390:T401" si="54">M390-S390</f>
        <v>0</v>
      </c>
      <c r="U390" s="4">
        <f t="shared" si="49"/>
        <v>108.26500000000001</v>
      </c>
      <c r="W390">
        <v>1653.5</v>
      </c>
      <c r="X390">
        <f t="shared" si="50"/>
        <v>342907.79999999987</v>
      </c>
      <c r="Y390">
        <f t="shared" si="51"/>
        <v>129404.90000000004</v>
      </c>
    </row>
    <row r="391" spans="1:25" x14ac:dyDescent="0.25">
      <c r="A391">
        <v>5160</v>
      </c>
      <c r="B391">
        <v>23050</v>
      </c>
      <c r="C391" s="1">
        <v>42968</v>
      </c>
      <c r="G391">
        <v>21.4</v>
      </c>
      <c r="H391">
        <v>16.100000000000001</v>
      </c>
      <c r="I391">
        <v>26.1</v>
      </c>
      <c r="J391">
        <f t="shared" si="47"/>
        <v>3886.7000000000007</v>
      </c>
      <c r="K391">
        <f t="shared" si="48"/>
        <v>1613</v>
      </c>
      <c r="M391">
        <v>0</v>
      </c>
      <c r="N391">
        <v>2.9</v>
      </c>
      <c r="O391">
        <f t="shared" si="52"/>
        <v>-2.9</v>
      </c>
      <c r="Q391">
        <v>342</v>
      </c>
      <c r="S391">
        <f t="shared" si="53"/>
        <v>0</v>
      </c>
      <c r="T391">
        <f t="shared" si="54"/>
        <v>0</v>
      </c>
      <c r="U391" s="4">
        <f t="shared" si="49"/>
        <v>108.26500000000001</v>
      </c>
      <c r="W391">
        <v>1280.3</v>
      </c>
      <c r="X391">
        <f t="shared" si="50"/>
        <v>344188.09999999986</v>
      </c>
      <c r="Y391">
        <f t="shared" si="51"/>
        <v>130685.20000000004</v>
      </c>
    </row>
    <row r="392" spans="1:25" x14ac:dyDescent="0.25">
      <c r="A392">
        <v>5160</v>
      </c>
      <c r="B392">
        <v>23050</v>
      </c>
      <c r="C392" s="1">
        <v>42969</v>
      </c>
      <c r="G392">
        <v>22.9</v>
      </c>
      <c r="H392">
        <v>16.600000000000001</v>
      </c>
      <c r="I392">
        <v>28.5</v>
      </c>
      <c r="J392">
        <f t="shared" si="47"/>
        <v>3909.6000000000008</v>
      </c>
      <c r="K392">
        <f t="shared" si="48"/>
        <v>1635.9</v>
      </c>
      <c r="M392">
        <v>0</v>
      </c>
      <c r="N392">
        <v>3.9</v>
      </c>
      <c r="O392">
        <f t="shared" si="52"/>
        <v>-3.9</v>
      </c>
      <c r="Q392">
        <v>343</v>
      </c>
      <c r="S392">
        <f t="shared" si="53"/>
        <v>0</v>
      </c>
      <c r="T392">
        <f t="shared" si="54"/>
        <v>0</v>
      </c>
      <c r="U392" s="4">
        <f t="shared" si="49"/>
        <v>108.26500000000001</v>
      </c>
      <c r="W392">
        <v>1659</v>
      </c>
      <c r="X392">
        <f t="shared" si="50"/>
        <v>345847.09999999986</v>
      </c>
      <c r="Y392">
        <f t="shared" si="51"/>
        <v>132344.20000000004</v>
      </c>
    </row>
    <row r="393" spans="1:25" x14ac:dyDescent="0.25">
      <c r="A393">
        <v>5160</v>
      </c>
      <c r="B393">
        <v>23050</v>
      </c>
      <c r="C393" s="1">
        <v>42970</v>
      </c>
      <c r="G393">
        <v>20.100000000000001</v>
      </c>
      <c r="H393">
        <v>18.2</v>
      </c>
      <c r="I393">
        <v>23.4</v>
      </c>
      <c r="J393">
        <f t="shared" si="47"/>
        <v>3929.7000000000007</v>
      </c>
      <c r="K393">
        <f t="shared" si="48"/>
        <v>1656</v>
      </c>
      <c r="M393">
        <v>0</v>
      </c>
      <c r="N393">
        <v>1.9</v>
      </c>
      <c r="O393">
        <f t="shared" si="52"/>
        <v>-1.9</v>
      </c>
      <c r="Q393">
        <v>344</v>
      </c>
      <c r="S393">
        <f t="shared" si="53"/>
        <v>0</v>
      </c>
      <c r="T393">
        <f t="shared" si="54"/>
        <v>0</v>
      </c>
      <c r="U393" s="4">
        <f t="shared" si="49"/>
        <v>108.26500000000001</v>
      </c>
      <c r="W393">
        <v>746.4</v>
      </c>
      <c r="X393">
        <f t="shared" si="50"/>
        <v>346593.49999999988</v>
      </c>
      <c r="Y393">
        <f t="shared" si="51"/>
        <v>133090.60000000003</v>
      </c>
    </row>
    <row r="394" spans="1:25" x14ac:dyDescent="0.25">
      <c r="A394">
        <v>5160</v>
      </c>
      <c r="B394">
        <v>23050</v>
      </c>
      <c r="C394" s="1">
        <v>42971</v>
      </c>
      <c r="G394">
        <v>20.7</v>
      </c>
      <c r="H394">
        <v>15.7</v>
      </c>
      <c r="I394">
        <v>24.4</v>
      </c>
      <c r="J394">
        <f t="shared" si="47"/>
        <v>3950.4000000000005</v>
      </c>
      <c r="K394">
        <f t="shared" si="48"/>
        <v>1676.7</v>
      </c>
      <c r="M394">
        <v>0</v>
      </c>
      <c r="N394">
        <v>2.9</v>
      </c>
      <c r="O394">
        <f t="shared" si="52"/>
        <v>-2.9</v>
      </c>
      <c r="Q394">
        <v>345</v>
      </c>
      <c r="S394">
        <f t="shared" si="53"/>
        <v>0</v>
      </c>
      <c r="T394">
        <f t="shared" si="54"/>
        <v>0</v>
      </c>
      <c r="U394" s="4">
        <f t="shared" si="49"/>
        <v>108.26500000000001</v>
      </c>
      <c r="W394">
        <v>1393.8</v>
      </c>
      <c r="X394">
        <f t="shared" si="50"/>
        <v>347987.29999999987</v>
      </c>
      <c r="Y394">
        <f t="shared" si="51"/>
        <v>134484.40000000002</v>
      </c>
    </row>
    <row r="395" spans="1:25" x14ac:dyDescent="0.25">
      <c r="A395">
        <v>5160</v>
      </c>
      <c r="B395">
        <v>23050</v>
      </c>
      <c r="C395" s="1">
        <v>42972</v>
      </c>
      <c r="G395">
        <v>21.1</v>
      </c>
      <c r="H395">
        <v>17.7</v>
      </c>
      <c r="I395">
        <v>24.7</v>
      </c>
      <c r="J395">
        <f t="shared" si="47"/>
        <v>3971.5000000000005</v>
      </c>
      <c r="K395">
        <f t="shared" si="48"/>
        <v>1697.8</v>
      </c>
      <c r="M395">
        <v>4.7</v>
      </c>
      <c r="N395">
        <v>2.4</v>
      </c>
      <c r="O395">
        <f t="shared" si="52"/>
        <v>2.3000000000000003</v>
      </c>
      <c r="Q395">
        <v>346</v>
      </c>
      <c r="S395">
        <f t="shared" si="53"/>
        <v>0</v>
      </c>
      <c r="T395">
        <f t="shared" si="54"/>
        <v>4.7</v>
      </c>
      <c r="U395" s="4">
        <f t="shared" si="49"/>
        <v>112.96500000000002</v>
      </c>
      <c r="W395">
        <v>1178.7</v>
      </c>
      <c r="X395">
        <f t="shared" si="50"/>
        <v>349165.99999999988</v>
      </c>
      <c r="Y395">
        <f t="shared" si="51"/>
        <v>135663.10000000003</v>
      </c>
    </row>
    <row r="396" spans="1:25" x14ac:dyDescent="0.25">
      <c r="A396">
        <v>5160</v>
      </c>
      <c r="B396">
        <v>23050</v>
      </c>
      <c r="C396" s="1">
        <v>42973</v>
      </c>
      <c r="G396">
        <v>21.9</v>
      </c>
      <c r="H396">
        <v>15</v>
      </c>
      <c r="I396">
        <v>27.3</v>
      </c>
      <c r="J396">
        <f t="shared" si="47"/>
        <v>3993.4000000000005</v>
      </c>
      <c r="K396">
        <f t="shared" si="48"/>
        <v>1719.7</v>
      </c>
      <c r="M396">
        <v>0</v>
      </c>
      <c r="N396">
        <v>3.4</v>
      </c>
      <c r="O396">
        <f t="shared" si="52"/>
        <v>-3.4</v>
      </c>
      <c r="Q396">
        <v>347</v>
      </c>
      <c r="S396">
        <f t="shared" si="53"/>
        <v>0</v>
      </c>
      <c r="T396">
        <f t="shared" si="54"/>
        <v>0</v>
      </c>
      <c r="U396" s="4">
        <f t="shared" si="49"/>
        <v>112.96500000000002</v>
      </c>
      <c r="W396">
        <v>1877.3</v>
      </c>
      <c r="X396">
        <f t="shared" si="50"/>
        <v>351043.29999999987</v>
      </c>
      <c r="Y396">
        <f t="shared" si="51"/>
        <v>137540.40000000002</v>
      </c>
    </row>
    <row r="397" spans="1:25" x14ac:dyDescent="0.25">
      <c r="A397">
        <v>5160</v>
      </c>
      <c r="B397">
        <v>23050</v>
      </c>
      <c r="C397" s="1">
        <v>42974</v>
      </c>
      <c r="G397">
        <v>24.4</v>
      </c>
      <c r="H397">
        <v>19</v>
      </c>
      <c r="I397">
        <v>29.6</v>
      </c>
      <c r="J397">
        <f t="shared" si="47"/>
        <v>4017.8000000000006</v>
      </c>
      <c r="K397">
        <f t="shared" si="48"/>
        <v>1744.1000000000001</v>
      </c>
      <c r="M397">
        <v>0</v>
      </c>
      <c r="N397">
        <v>4</v>
      </c>
      <c r="O397">
        <f t="shared" si="52"/>
        <v>-4</v>
      </c>
      <c r="Q397">
        <v>348</v>
      </c>
      <c r="S397">
        <f t="shared" si="53"/>
        <v>0</v>
      </c>
      <c r="T397">
        <f t="shared" si="54"/>
        <v>0</v>
      </c>
      <c r="U397" s="4">
        <f t="shared" si="49"/>
        <v>112.96500000000002</v>
      </c>
      <c r="W397">
        <v>1851.6</v>
      </c>
      <c r="X397">
        <f t="shared" si="50"/>
        <v>352894.89999999985</v>
      </c>
      <c r="Y397">
        <f t="shared" si="51"/>
        <v>139392.00000000003</v>
      </c>
    </row>
    <row r="398" spans="1:25" x14ac:dyDescent="0.25">
      <c r="A398">
        <v>5160</v>
      </c>
      <c r="B398">
        <v>23050</v>
      </c>
      <c r="C398" s="1">
        <v>42975</v>
      </c>
      <c r="G398">
        <v>25.1</v>
      </c>
      <c r="H398">
        <v>19.2</v>
      </c>
      <c r="I398">
        <v>30.2</v>
      </c>
      <c r="J398">
        <f t="shared" si="47"/>
        <v>4042.9000000000005</v>
      </c>
      <c r="K398">
        <f t="shared" si="48"/>
        <v>1769.2</v>
      </c>
      <c r="M398">
        <v>0</v>
      </c>
      <c r="N398">
        <v>3.2</v>
      </c>
      <c r="O398">
        <f t="shared" si="52"/>
        <v>-3.2</v>
      </c>
      <c r="Q398">
        <v>349</v>
      </c>
      <c r="S398">
        <f t="shared" si="53"/>
        <v>0</v>
      </c>
      <c r="T398">
        <f t="shared" si="54"/>
        <v>0</v>
      </c>
      <c r="U398" s="4">
        <f t="shared" si="49"/>
        <v>112.96500000000002</v>
      </c>
      <c r="W398">
        <v>1171</v>
      </c>
      <c r="X398">
        <f t="shared" si="50"/>
        <v>354065.89999999985</v>
      </c>
      <c r="Y398">
        <f t="shared" si="51"/>
        <v>140563.00000000003</v>
      </c>
    </row>
    <row r="399" spans="1:25" x14ac:dyDescent="0.25">
      <c r="A399">
        <v>5160</v>
      </c>
      <c r="B399">
        <v>23050</v>
      </c>
      <c r="C399" s="1">
        <v>42976</v>
      </c>
      <c r="G399">
        <v>26.3</v>
      </c>
      <c r="H399">
        <v>19.2</v>
      </c>
      <c r="I399">
        <v>33.1</v>
      </c>
      <c r="J399">
        <f t="shared" si="47"/>
        <v>4069.2000000000007</v>
      </c>
      <c r="K399">
        <f t="shared" si="48"/>
        <v>1795.5</v>
      </c>
      <c r="M399">
        <v>0</v>
      </c>
      <c r="N399">
        <v>5</v>
      </c>
      <c r="O399">
        <f t="shared" si="52"/>
        <v>-5</v>
      </c>
      <c r="Q399">
        <v>350</v>
      </c>
      <c r="S399">
        <f t="shared" si="53"/>
        <v>0</v>
      </c>
      <c r="T399">
        <f t="shared" si="54"/>
        <v>0</v>
      </c>
      <c r="U399" s="4">
        <f t="shared" si="49"/>
        <v>112.96500000000002</v>
      </c>
      <c r="W399">
        <v>1824.3</v>
      </c>
      <c r="X399">
        <f t="shared" si="50"/>
        <v>355890.19999999984</v>
      </c>
      <c r="Y399">
        <f t="shared" si="51"/>
        <v>142387.30000000002</v>
      </c>
    </row>
    <row r="400" spans="1:25" x14ac:dyDescent="0.25">
      <c r="A400">
        <v>5160</v>
      </c>
      <c r="B400">
        <v>23050</v>
      </c>
      <c r="C400" s="1">
        <v>42977</v>
      </c>
      <c r="G400">
        <v>18.3</v>
      </c>
      <c r="H400">
        <v>16.2</v>
      </c>
      <c r="I400">
        <v>22.1</v>
      </c>
      <c r="J400">
        <f t="shared" si="47"/>
        <v>4087.5000000000009</v>
      </c>
      <c r="K400">
        <f t="shared" si="48"/>
        <v>1813.8</v>
      </c>
      <c r="M400">
        <v>5.3</v>
      </c>
      <c r="N400">
        <v>1.6</v>
      </c>
      <c r="O400">
        <f t="shared" si="52"/>
        <v>3.6999999999999997</v>
      </c>
      <c r="Q400">
        <v>351</v>
      </c>
      <c r="S400">
        <f t="shared" si="53"/>
        <v>0</v>
      </c>
      <c r="T400">
        <f t="shared" si="54"/>
        <v>5.3</v>
      </c>
      <c r="U400" s="4">
        <f t="shared" si="49"/>
        <v>118.26500000000001</v>
      </c>
      <c r="W400">
        <v>652.9</v>
      </c>
      <c r="X400">
        <f t="shared" si="50"/>
        <v>356543.09999999986</v>
      </c>
      <c r="Y400">
        <f t="shared" si="51"/>
        <v>143040.20000000001</v>
      </c>
    </row>
    <row r="401" spans="1:25" x14ac:dyDescent="0.25">
      <c r="A401">
        <v>5160</v>
      </c>
      <c r="B401">
        <v>23050</v>
      </c>
      <c r="C401" s="1">
        <v>42978</v>
      </c>
      <c r="G401">
        <v>15.4</v>
      </c>
      <c r="H401">
        <v>9.6999999999999993</v>
      </c>
      <c r="I401">
        <v>19.5</v>
      </c>
      <c r="J401">
        <f t="shared" si="47"/>
        <v>4102.9000000000005</v>
      </c>
      <c r="K401">
        <f t="shared" si="48"/>
        <v>1829.2</v>
      </c>
      <c r="M401">
        <v>0</v>
      </c>
      <c r="N401">
        <v>2.8</v>
      </c>
      <c r="O401">
        <f t="shared" si="52"/>
        <v>-2.8</v>
      </c>
      <c r="Q401">
        <v>352</v>
      </c>
      <c r="S401">
        <f t="shared" si="53"/>
        <v>0</v>
      </c>
      <c r="T401">
        <f t="shared" si="54"/>
        <v>0</v>
      </c>
      <c r="U401" s="4">
        <f t="shared" si="49"/>
        <v>118.26500000000001</v>
      </c>
      <c r="W401">
        <v>1703.3</v>
      </c>
      <c r="X401">
        <f t="shared" si="50"/>
        <v>358246.39999999985</v>
      </c>
      <c r="Y401">
        <f t="shared" si="51"/>
        <v>144743.5</v>
      </c>
    </row>
  </sheetData>
  <mergeCells count="10">
    <mergeCell ref="F243:F263"/>
    <mergeCell ref="F264:F293"/>
    <mergeCell ref="F294:F310"/>
    <mergeCell ref="F311:F330"/>
    <mergeCell ref="G2:L2"/>
    <mergeCell ref="M2:V2"/>
    <mergeCell ref="W2:AA2"/>
    <mergeCell ref="F50:F124"/>
    <mergeCell ref="F125:F184"/>
    <mergeCell ref="F185:F242"/>
  </mergeCells>
  <conditionalFormatting sqref="G4:I401">
    <cfRule type="cellIs" dxfId="25" priority="24" operator="greaterThanOrEqual">
      <formula>25</formula>
    </cfRule>
    <cfRule type="cellIs" dxfId="24" priority="25" operator="between">
      <formula>5</formula>
      <formula>0</formula>
    </cfRule>
    <cfRule type="cellIs" dxfId="23" priority="26" operator="lessThan">
      <formula>0</formula>
    </cfRule>
  </conditionalFormatting>
  <conditionalFormatting sqref="O4:O401">
    <cfRule type="cellIs" dxfId="22" priority="23" operator="lessThan">
      <formula>0</formula>
    </cfRule>
  </conditionalFormatting>
  <conditionalFormatting sqref="T50:T401">
    <cfRule type="cellIs" dxfId="21" priority="22" operator="lessThan">
      <formula>0</formula>
    </cfRule>
    <cfRule type="cellIs" dxfId="20" priority="20" operator="lessThan">
      <formula>0</formula>
    </cfRule>
  </conditionalFormatting>
  <conditionalFormatting sqref="W50:W401">
    <cfRule type="cellIs" dxfId="19" priority="21" operator="lessThan">
      <formula>900</formula>
    </cfRule>
  </conditionalFormatting>
  <conditionalFormatting sqref="U50:U401">
    <cfRule type="cellIs" dxfId="18" priority="19" operator="lessThanOrEqual">
      <formula>46.3</formula>
    </cfRule>
    <cfRule type="cellIs" dxfId="17" priority="18" operator="equal">
      <formula>0</formula>
    </cfRule>
  </conditionalFormatting>
  <conditionalFormatting sqref="L51 L59 L63 L61">
    <cfRule type="cellIs" dxfId="16" priority="16" operator="lessThanOrEqual">
      <formula>0</formula>
    </cfRule>
    <cfRule type="cellIs" dxfId="15" priority="17" operator="lessThanOrEqual">
      <formula>5</formula>
    </cfRule>
  </conditionalFormatting>
  <conditionalFormatting sqref="V51">
    <cfRule type="cellIs" dxfId="14" priority="14" operator="equal">
      <formula>0</formula>
    </cfRule>
    <cfRule type="cellIs" dxfId="13" priority="15" operator="lessThanOrEqual">
      <formula>63.2</formula>
    </cfRule>
  </conditionalFormatting>
  <conditionalFormatting sqref="L126 L134 L138 L136">
    <cfRule type="cellIs" dxfId="12" priority="12" operator="lessThanOrEqual">
      <formula>0</formula>
    </cfRule>
    <cfRule type="cellIs" dxfId="11" priority="13" operator="lessThanOrEqual">
      <formula>5</formula>
    </cfRule>
  </conditionalFormatting>
  <conditionalFormatting sqref="L186 L194 L198 L196">
    <cfRule type="cellIs" dxfId="10" priority="10" operator="lessThanOrEqual">
      <formula>0</formula>
    </cfRule>
    <cfRule type="cellIs" dxfId="9" priority="11" operator="lessThanOrEqual">
      <formula>5</formula>
    </cfRule>
  </conditionalFormatting>
  <conditionalFormatting sqref="L244 L256 L254 L252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L265 L273 L275 L277">
    <cfRule type="cellIs" dxfId="6" priority="6" operator="lessThanOrEqual">
      <formula>0</formula>
    </cfRule>
    <cfRule type="cellIs" dxfId="5" priority="7" operator="lessThanOrEqual">
      <formula>5</formula>
    </cfRule>
  </conditionalFormatting>
  <conditionalFormatting sqref="L295 L305">
    <cfRule type="cellIs" dxfId="4" priority="4" operator="lessThanOrEqual">
      <formula>0</formula>
    </cfRule>
    <cfRule type="cellIs" dxfId="3" priority="5" operator="lessThanOrEqual">
      <formula>5</formula>
    </cfRule>
  </conditionalFormatting>
  <conditionalFormatting sqref="L312 L322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50:Z349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MAI_VIL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2019-10-30T11:33:59Z</dcterms:created>
  <dcterms:modified xsi:type="dcterms:W3CDTF">2019-11-27T13:56:42Z</dcterms:modified>
</cp:coreProperties>
</file>