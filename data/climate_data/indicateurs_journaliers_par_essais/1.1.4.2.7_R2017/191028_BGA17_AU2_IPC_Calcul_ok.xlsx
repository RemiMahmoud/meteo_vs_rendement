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29" i="1" l="1"/>
  <c r="AC221" i="1"/>
  <c r="AE221" i="1" s="1"/>
  <c r="U231" i="1"/>
  <c r="AC216" i="1"/>
  <c r="AC208" i="1"/>
  <c r="AE227" i="1"/>
  <c r="AE225" i="1"/>
  <c r="AE223" i="1"/>
  <c r="AE229" i="1" l="1"/>
  <c r="U185" i="2"/>
  <c r="U186" i="2"/>
  <c r="U187" i="2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2" i="2" s="1"/>
  <c r="U273" i="2" s="1"/>
  <c r="U274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5" i="2" s="1"/>
  <c r="U296" i="2" s="1"/>
  <c r="U297" i="2" s="1"/>
  <c r="U298" i="2" s="1"/>
  <c r="U299" i="2" s="1"/>
  <c r="U300" i="2" s="1"/>
  <c r="U301" i="2" s="1"/>
  <c r="U302" i="2" s="1"/>
  <c r="U303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35" i="2" s="1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278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184" i="2"/>
  <c r="U185" i="1"/>
  <c r="U186" i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2" i="1" s="1"/>
  <c r="U273" i="1" s="1"/>
  <c r="U274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5" i="1" s="1"/>
  <c r="U296" i="1" s="1"/>
  <c r="U297" i="1" s="1"/>
  <c r="U298" i="1" s="1"/>
  <c r="U299" i="1" s="1"/>
  <c r="U300" i="1" s="1"/>
  <c r="U301" i="1" s="1"/>
  <c r="U302" i="1" s="1"/>
  <c r="U303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35" i="1" s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279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188" i="1"/>
  <c r="R187" i="1"/>
  <c r="R186" i="1"/>
  <c r="R185" i="1"/>
  <c r="R184" i="1"/>
  <c r="V64" i="2" l="1"/>
  <c r="V52" i="2"/>
  <c r="L302" i="1"/>
  <c r="L284" i="1"/>
  <c r="L282" i="1"/>
  <c r="Z299" i="1"/>
  <c r="Z279" i="1"/>
  <c r="L262" i="1"/>
  <c r="L258" i="1"/>
  <c r="K299" i="1"/>
  <c r="K279" i="1" l="1"/>
  <c r="L241" i="1"/>
  <c r="L239" i="1"/>
  <c r="L237" i="1"/>
  <c r="AB237" i="1"/>
  <c r="L191" i="1"/>
  <c r="L189" i="1"/>
  <c r="L187" i="1"/>
  <c r="V155" i="1"/>
  <c r="V66" i="1"/>
  <c r="K235" i="1"/>
  <c r="K234" i="1"/>
  <c r="Z235" i="1"/>
  <c r="Z234" i="1"/>
  <c r="Z320" i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257" i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256" i="1"/>
  <c r="Z255" i="1"/>
  <c r="K257" i="1"/>
  <c r="K258" i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56" i="1"/>
  <c r="K255" i="1"/>
  <c r="L305" i="2"/>
  <c r="L303" i="2"/>
  <c r="L301" i="2"/>
  <c r="Z298" i="2"/>
  <c r="K298" i="2"/>
  <c r="L283" i="2"/>
  <c r="L281" i="2"/>
  <c r="K278" i="2"/>
  <c r="Z278" i="2"/>
  <c r="Z255" i="2"/>
  <c r="L257" i="2"/>
  <c r="L261" i="2"/>
  <c r="Z254" i="2"/>
  <c r="K254" i="2"/>
  <c r="L240" i="2"/>
  <c r="L238" i="2"/>
  <c r="L236" i="2"/>
  <c r="K235" i="2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33" i="2"/>
  <c r="Z235" i="2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33" i="2"/>
  <c r="V155" i="2"/>
  <c r="V66" i="2"/>
  <c r="L191" i="2"/>
  <c r="L189" i="2"/>
  <c r="L187" i="2"/>
  <c r="S335" i="2"/>
  <c r="T335" i="2" s="1"/>
  <c r="P335" i="2"/>
  <c r="O335" i="2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T318" i="2"/>
  <c r="S318" i="2"/>
  <c r="O318" i="2"/>
  <c r="S317" i="2"/>
  <c r="T317" i="2" s="1"/>
  <c r="O317" i="2"/>
  <c r="S316" i="2"/>
  <c r="T316" i="2" s="1"/>
  <c r="O316" i="2"/>
  <c r="S315" i="2"/>
  <c r="T315" i="2" s="1"/>
  <c r="O315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P307" i="2" s="1"/>
  <c r="S306" i="2"/>
  <c r="T306" i="2" s="1"/>
  <c r="O306" i="2"/>
  <c r="S305" i="2"/>
  <c r="T305" i="2" s="1"/>
  <c r="O305" i="2"/>
  <c r="S304" i="2"/>
  <c r="T304" i="2" s="1"/>
  <c r="O304" i="2"/>
  <c r="S303" i="2"/>
  <c r="T303" i="2" s="1"/>
  <c r="O303" i="2"/>
  <c r="AB301" i="2"/>
  <c r="S302" i="2"/>
  <c r="T302" i="2" s="1"/>
  <c r="O302" i="2"/>
  <c r="S301" i="2"/>
  <c r="T301" i="2" s="1"/>
  <c r="O301" i="2"/>
  <c r="S300" i="2"/>
  <c r="T300" i="2" s="1"/>
  <c r="O300" i="2"/>
  <c r="S299" i="2"/>
  <c r="T299" i="2" s="1"/>
  <c r="O299" i="2"/>
  <c r="S298" i="2"/>
  <c r="T298" i="2" s="1"/>
  <c r="O298" i="2"/>
  <c r="S297" i="2"/>
  <c r="T297" i="2" s="1"/>
  <c r="O297" i="2"/>
  <c r="T296" i="2"/>
  <c r="S296" i="2"/>
  <c r="O296" i="2"/>
  <c r="S295" i="2"/>
  <c r="T295" i="2" s="1"/>
  <c r="O295" i="2"/>
  <c r="P295" i="2" s="1"/>
  <c r="S294" i="2"/>
  <c r="T294" i="2" s="1"/>
  <c r="O294" i="2"/>
  <c r="S293" i="2"/>
  <c r="T293" i="2" s="1"/>
  <c r="O293" i="2"/>
  <c r="S292" i="2"/>
  <c r="T292" i="2" s="1"/>
  <c r="O292" i="2"/>
  <c r="T291" i="2"/>
  <c r="S291" i="2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AB281" i="2"/>
  <c r="T283" i="2"/>
  <c r="S283" i="2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T278" i="2"/>
  <c r="S278" i="2"/>
  <c r="P278" i="2"/>
  <c r="O278" i="2"/>
  <c r="S277" i="2"/>
  <c r="T277" i="2" s="1"/>
  <c r="P277" i="2"/>
  <c r="O277" i="2"/>
  <c r="S276" i="2"/>
  <c r="T276" i="2" s="1"/>
  <c r="O276" i="2"/>
  <c r="T275" i="2"/>
  <c r="S275" i="2"/>
  <c r="O275" i="2"/>
  <c r="T274" i="2"/>
  <c r="S274" i="2"/>
  <c r="P274" i="2"/>
  <c r="O274" i="2"/>
  <c r="S273" i="2"/>
  <c r="T273" i="2" s="1"/>
  <c r="P273" i="2"/>
  <c r="O273" i="2"/>
  <c r="T272" i="2"/>
  <c r="S272" i="2"/>
  <c r="P272" i="2"/>
  <c r="O272" i="2"/>
  <c r="T271" i="2"/>
  <c r="S271" i="2"/>
  <c r="O271" i="2"/>
  <c r="S270" i="2"/>
  <c r="T270" i="2" s="1"/>
  <c r="O270" i="2"/>
  <c r="S269" i="2"/>
  <c r="T269" i="2" s="1"/>
  <c r="O269" i="2"/>
  <c r="S268" i="2"/>
  <c r="T268" i="2" s="1"/>
  <c r="O268" i="2"/>
  <c r="T267" i="2"/>
  <c r="S267" i="2"/>
  <c r="O267" i="2"/>
  <c r="S266" i="2"/>
  <c r="T266" i="2" s="1"/>
  <c r="O266" i="2"/>
  <c r="S265" i="2"/>
  <c r="T265" i="2" s="1"/>
  <c r="O265" i="2"/>
  <c r="T264" i="2"/>
  <c r="S264" i="2"/>
  <c r="O264" i="2"/>
  <c r="S263" i="2"/>
  <c r="T263" i="2" s="1"/>
  <c r="O263" i="2"/>
  <c r="T262" i="2"/>
  <c r="S262" i="2"/>
  <c r="O262" i="2"/>
  <c r="S261" i="2"/>
  <c r="T261" i="2" s="1"/>
  <c r="O261" i="2"/>
  <c r="T260" i="2"/>
  <c r="S260" i="2"/>
  <c r="O260" i="2"/>
  <c r="AB257" i="2"/>
  <c r="T259" i="2"/>
  <c r="S259" i="2"/>
  <c r="O259" i="2"/>
  <c r="S258" i="2"/>
  <c r="T258" i="2" s="1"/>
  <c r="O258" i="2"/>
  <c r="S257" i="2"/>
  <c r="T257" i="2" s="1"/>
  <c r="O257" i="2"/>
  <c r="T256" i="2"/>
  <c r="S256" i="2"/>
  <c r="O256" i="2"/>
  <c r="S255" i="2"/>
  <c r="T255" i="2" s="1"/>
  <c r="O255" i="2"/>
  <c r="T254" i="2"/>
  <c r="S254" i="2"/>
  <c r="O254" i="2"/>
  <c r="S253" i="2"/>
  <c r="T253" i="2" s="1"/>
  <c r="O253" i="2"/>
  <c r="T252" i="2"/>
  <c r="S252" i="2"/>
  <c r="O252" i="2"/>
  <c r="S251" i="2"/>
  <c r="T251" i="2" s="1"/>
  <c r="O251" i="2"/>
  <c r="S250" i="2"/>
  <c r="T250" i="2" s="1"/>
  <c r="O250" i="2"/>
  <c r="S249" i="2"/>
  <c r="T249" i="2" s="1"/>
  <c r="O249" i="2"/>
  <c r="T248" i="2"/>
  <c r="S248" i="2"/>
  <c r="O248" i="2"/>
  <c r="S247" i="2"/>
  <c r="T247" i="2" s="1"/>
  <c r="O247" i="2"/>
  <c r="S246" i="2"/>
  <c r="T246" i="2" s="1"/>
  <c r="O246" i="2"/>
  <c r="T245" i="2"/>
  <c r="S245" i="2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T239" i="2"/>
  <c r="S239" i="2"/>
  <c r="O239" i="2"/>
  <c r="AB236" i="2"/>
  <c r="T238" i="2"/>
  <c r="S238" i="2"/>
  <c r="O238" i="2"/>
  <c r="S237" i="2"/>
  <c r="T237" i="2" s="1"/>
  <c r="O237" i="2"/>
  <c r="T236" i="2"/>
  <c r="S236" i="2"/>
  <c r="O236" i="2"/>
  <c r="T235" i="2"/>
  <c r="S235" i="2"/>
  <c r="O235" i="2"/>
  <c r="S234" i="2"/>
  <c r="T234" i="2" s="1"/>
  <c r="O234" i="2"/>
  <c r="S233" i="2"/>
  <c r="T233" i="2" s="1"/>
  <c r="O233" i="2"/>
  <c r="S232" i="2"/>
  <c r="T232" i="2" s="1"/>
  <c r="O232" i="2"/>
  <c r="T231" i="2"/>
  <c r="S231" i="2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T217" i="2"/>
  <c r="S217" i="2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Z208" i="2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4" i="2" s="1"/>
  <c r="S208" i="2"/>
  <c r="T208" i="2" s="1"/>
  <c r="O208" i="2"/>
  <c r="S207" i="2"/>
  <c r="T207" i="2" s="1"/>
  <c r="O207" i="2"/>
  <c r="S206" i="2"/>
  <c r="T206" i="2" s="1"/>
  <c r="O206" i="2"/>
  <c r="T205" i="2"/>
  <c r="S205" i="2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S189" i="2"/>
  <c r="T189" i="2" s="1"/>
  <c r="O189" i="2"/>
  <c r="S188" i="2"/>
  <c r="T188" i="2" s="1"/>
  <c r="O188" i="2"/>
  <c r="AB187" i="2"/>
  <c r="S187" i="2"/>
  <c r="T187" i="2" s="1"/>
  <c r="O187" i="2"/>
  <c r="S186" i="2"/>
  <c r="T186" i="2" s="1"/>
  <c r="O186" i="2"/>
  <c r="Z185" i="2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S185" i="2"/>
  <c r="T185" i="2" s="1"/>
  <c r="O185" i="2"/>
  <c r="K185" i="2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4" i="2" s="1"/>
  <c r="Z184" i="2"/>
  <c r="S184" i="2"/>
  <c r="T184" i="2" s="1"/>
  <c r="O184" i="2"/>
  <c r="K184" i="2"/>
  <c r="J184" i="2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T183" i="2"/>
  <c r="S183" i="2"/>
  <c r="O183" i="2"/>
  <c r="K183" i="2"/>
  <c r="J183" i="2"/>
  <c r="T182" i="2"/>
  <c r="S182" i="2"/>
  <c r="O182" i="2"/>
  <c r="T181" i="2"/>
  <c r="S181" i="2"/>
  <c r="O181" i="2"/>
  <c r="K181" i="2"/>
  <c r="T180" i="2"/>
  <c r="S180" i="2"/>
  <c r="O180" i="2"/>
  <c r="S179" i="2"/>
  <c r="T179" i="2" s="1"/>
  <c r="O179" i="2"/>
  <c r="S178" i="2"/>
  <c r="T178" i="2" s="1"/>
  <c r="O178" i="2"/>
  <c r="T177" i="2"/>
  <c r="S177" i="2"/>
  <c r="O177" i="2"/>
  <c r="K177" i="2"/>
  <c r="K178" i="2" s="1"/>
  <c r="K179" i="2" s="1"/>
  <c r="K180" i="2" s="1"/>
  <c r="J177" i="2"/>
  <c r="J178" i="2" s="1"/>
  <c r="J179" i="2" s="1"/>
  <c r="J180" i="2" s="1"/>
  <c r="J181" i="2" s="1"/>
  <c r="S176" i="2"/>
  <c r="T176" i="2" s="1"/>
  <c r="O176" i="2"/>
  <c r="T175" i="2"/>
  <c r="S175" i="2"/>
  <c r="O175" i="2"/>
  <c r="S174" i="2"/>
  <c r="T174" i="2" s="1"/>
  <c r="O174" i="2"/>
  <c r="T173" i="2"/>
  <c r="S173" i="2"/>
  <c r="O173" i="2"/>
  <c r="S172" i="2"/>
  <c r="T172" i="2" s="1"/>
  <c r="O172" i="2"/>
  <c r="T171" i="2"/>
  <c r="S171" i="2"/>
  <c r="O171" i="2"/>
  <c r="S170" i="2"/>
  <c r="T170" i="2" s="1"/>
  <c r="O170" i="2"/>
  <c r="J170" i="2"/>
  <c r="J171" i="2" s="1"/>
  <c r="J172" i="2" s="1"/>
  <c r="J173" i="2" s="1"/>
  <c r="J174" i="2" s="1"/>
  <c r="T169" i="2"/>
  <c r="S169" i="2"/>
  <c r="O169" i="2"/>
  <c r="K169" i="2"/>
  <c r="K170" i="2" s="1"/>
  <c r="K171" i="2" s="1"/>
  <c r="K172" i="2" s="1"/>
  <c r="K173" i="2" s="1"/>
  <c r="K174" i="2" s="1"/>
  <c r="T168" i="2"/>
  <c r="S168" i="2"/>
  <c r="O168" i="2"/>
  <c r="S167" i="2"/>
  <c r="T167" i="2" s="1"/>
  <c r="O167" i="2"/>
  <c r="T166" i="2"/>
  <c r="S166" i="2"/>
  <c r="O166" i="2"/>
  <c r="J166" i="2"/>
  <c r="J167" i="2" s="1"/>
  <c r="J168" i="2" s="1"/>
  <c r="J169" i="2" s="1"/>
  <c r="T165" i="2"/>
  <c r="S165" i="2"/>
  <c r="O165" i="2"/>
  <c r="K165" i="2"/>
  <c r="K166" i="2" s="1"/>
  <c r="K167" i="2" s="1"/>
  <c r="K168" i="2" s="1"/>
  <c r="J165" i="2"/>
  <c r="S164" i="2"/>
  <c r="T164" i="2" s="1"/>
  <c r="O164" i="2"/>
  <c r="T163" i="2"/>
  <c r="S163" i="2"/>
  <c r="O163" i="2"/>
  <c r="S162" i="2"/>
  <c r="T162" i="2" s="1"/>
  <c r="O162" i="2"/>
  <c r="T161" i="2"/>
  <c r="S161" i="2"/>
  <c r="O161" i="2"/>
  <c r="K161" i="2"/>
  <c r="K162" i="2" s="1"/>
  <c r="S160" i="2"/>
  <c r="T160" i="2" s="1"/>
  <c r="O160" i="2"/>
  <c r="T159" i="2"/>
  <c r="S159" i="2"/>
  <c r="O159" i="2"/>
  <c r="S158" i="2"/>
  <c r="T158" i="2" s="1"/>
  <c r="O158" i="2"/>
  <c r="T157" i="2"/>
  <c r="S157" i="2"/>
  <c r="O157" i="2"/>
  <c r="T156" i="2"/>
  <c r="S156" i="2"/>
  <c r="O156" i="2"/>
  <c r="S155" i="2"/>
  <c r="T155" i="2" s="1"/>
  <c r="O155" i="2"/>
  <c r="T154" i="2"/>
  <c r="S154" i="2"/>
  <c r="O154" i="2"/>
  <c r="K154" i="2"/>
  <c r="K155" i="2" s="1"/>
  <c r="K156" i="2" s="1"/>
  <c r="K157" i="2" s="1"/>
  <c r="K158" i="2" s="1"/>
  <c r="K159" i="2" s="1"/>
  <c r="K160" i="2" s="1"/>
  <c r="T153" i="2"/>
  <c r="S153" i="2"/>
  <c r="O153" i="2"/>
  <c r="S152" i="2"/>
  <c r="T152" i="2" s="1"/>
  <c r="O152" i="2"/>
  <c r="T151" i="2"/>
  <c r="S151" i="2"/>
  <c r="O151" i="2"/>
  <c r="L151" i="2"/>
  <c r="S150" i="2"/>
  <c r="T150" i="2" s="1"/>
  <c r="O150" i="2"/>
  <c r="T149" i="2"/>
  <c r="S149" i="2"/>
  <c r="O149" i="2"/>
  <c r="L149" i="2"/>
  <c r="S148" i="2"/>
  <c r="T148" i="2" s="1"/>
  <c r="O148" i="2"/>
  <c r="AB147" i="2"/>
  <c r="T147" i="2"/>
  <c r="S147" i="2"/>
  <c r="O147" i="2"/>
  <c r="L147" i="2"/>
  <c r="Z146" i="2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S146" i="2"/>
  <c r="T146" i="2" s="1"/>
  <c r="O146" i="2"/>
  <c r="Z145" i="2"/>
  <c r="T145" i="2"/>
  <c r="S145" i="2"/>
  <c r="O145" i="2"/>
  <c r="Z144" i="2"/>
  <c r="T144" i="2"/>
  <c r="S144" i="2"/>
  <c r="O144" i="2"/>
  <c r="K144" i="2"/>
  <c r="K145" i="2" s="1"/>
  <c r="K146" i="2" s="1"/>
  <c r="K147" i="2" s="1"/>
  <c r="K148" i="2" s="1"/>
  <c r="K149" i="2" s="1"/>
  <c r="K150" i="2" s="1"/>
  <c r="K151" i="2" s="1"/>
  <c r="K152" i="2" s="1"/>
  <c r="K153" i="2" s="1"/>
  <c r="R143" i="2"/>
  <c r="S143" i="2" s="1"/>
  <c r="T143" i="2" s="1"/>
  <c r="O143" i="2"/>
  <c r="R142" i="2"/>
  <c r="S142" i="2" s="1"/>
  <c r="T142" i="2" s="1"/>
  <c r="O142" i="2"/>
  <c r="R141" i="2"/>
  <c r="S141" i="2" s="1"/>
  <c r="T141" i="2" s="1"/>
  <c r="O141" i="2"/>
  <c r="R140" i="2"/>
  <c r="S140" i="2" s="1"/>
  <c r="T140" i="2" s="1"/>
  <c r="O140" i="2"/>
  <c r="R139" i="2"/>
  <c r="S139" i="2" s="1"/>
  <c r="T139" i="2" s="1"/>
  <c r="O139" i="2"/>
  <c r="R138" i="2"/>
  <c r="S138" i="2" s="1"/>
  <c r="T138" i="2" s="1"/>
  <c r="O138" i="2"/>
  <c r="R137" i="2"/>
  <c r="S137" i="2" s="1"/>
  <c r="T137" i="2" s="1"/>
  <c r="O137" i="2"/>
  <c r="R136" i="2"/>
  <c r="S136" i="2" s="1"/>
  <c r="T136" i="2" s="1"/>
  <c r="O136" i="2"/>
  <c r="R135" i="2"/>
  <c r="S135" i="2" s="1"/>
  <c r="T135" i="2" s="1"/>
  <c r="O135" i="2"/>
  <c r="R134" i="2"/>
  <c r="S134" i="2" s="1"/>
  <c r="T134" i="2" s="1"/>
  <c r="O134" i="2"/>
  <c r="R133" i="2"/>
  <c r="S133" i="2" s="1"/>
  <c r="T133" i="2" s="1"/>
  <c r="O133" i="2"/>
  <c r="R132" i="2"/>
  <c r="S132" i="2" s="1"/>
  <c r="T132" i="2" s="1"/>
  <c r="O132" i="2"/>
  <c r="R131" i="2"/>
  <c r="S131" i="2" s="1"/>
  <c r="T131" i="2" s="1"/>
  <c r="O131" i="2"/>
  <c r="R130" i="2"/>
  <c r="S130" i="2" s="1"/>
  <c r="T130" i="2" s="1"/>
  <c r="O130" i="2"/>
  <c r="R129" i="2"/>
  <c r="S129" i="2" s="1"/>
  <c r="T129" i="2" s="1"/>
  <c r="O129" i="2"/>
  <c r="R128" i="2"/>
  <c r="S128" i="2" s="1"/>
  <c r="T128" i="2" s="1"/>
  <c r="O128" i="2"/>
  <c r="R127" i="2"/>
  <c r="S127" i="2" s="1"/>
  <c r="T127" i="2" s="1"/>
  <c r="O127" i="2"/>
  <c r="R126" i="2"/>
  <c r="S126" i="2" s="1"/>
  <c r="T126" i="2" s="1"/>
  <c r="O126" i="2"/>
  <c r="R125" i="2"/>
  <c r="S125" i="2" s="1"/>
  <c r="T125" i="2" s="1"/>
  <c r="O125" i="2"/>
  <c r="R124" i="2"/>
  <c r="S124" i="2" s="1"/>
  <c r="T124" i="2" s="1"/>
  <c r="O124" i="2"/>
  <c r="R123" i="2"/>
  <c r="S123" i="2" s="1"/>
  <c r="T123" i="2" s="1"/>
  <c r="O123" i="2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U78" i="2" s="1"/>
  <c r="P78" i="2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O78" i="2"/>
  <c r="R77" i="2"/>
  <c r="S77" i="2" s="1"/>
  <c r="T77" i="2" s="1"/>
  <c r="O77" i="2"/>
  <c r="S76" i="2"/>
  <c r="T76" i="2" s="1"/>
  <c r="R76" i="2"/>
  <c r="O76" i="2"/>
  <c r="R75" i="2"/>
  <c r="S75" i="2" s="1"/>
  <c r="T75" i="2" s="1"/>
  <c r="O75" i="2"/>
  <c r="S74" i="2"/>
  <c r="T74" i="2" s="1"/>
  <c r="R74" i="2"/>
  <c r="O74" i="2"/>
  <c r="R73" i="2"/>
  <c r="S73" i="2" s="1"/>
  <c r="T73" i="2" s="1"/>
  <c r="O73" i="2"/>
  <c r="S72" i="2"/>
  <c r="T72" i="2" s="1"/>
  <c r="R72" i="2"/>
  <c r="O72" i="2"/>
  <c r="T71" i="2"/>
  <c r="R71" i="2"/>
  <c r="S71" i="2" s="1"/>
  <c r="O71" i="2"/>
  <c r="S70" i="2"/>
  <c r="T70" i="2" s="1"/>
  <c r="R70" i="2"/>
  <c r="O70" i="2"/>
  <c r="R69" i="2"/>
  <c r="S69" i="2" s="1"/>
  <c r="T69" i="2" s="1"/>
  <c r="O69" i="2"/>
  <c r="R68" i="2"/>
  <c r="S68" i="2" s="1"/>
  <c r="T68" i="2" s="1"/>
  <c r="O68" i="2"/>
  <c r="S67" i="2"/>
  <c r="T67" i="2" s="1"/>
  <c r="R67" i="2"/>
  <c r="O67" i="2"/>
  <c r="T66" i="2"/>
  <c r="U66" i="2" s="1"/>
  <c r="R66" i="2"/>
  <c r="S66" i="2" s="1"/>
  <c r="O66" i="2"/>
  <c r="P66" i="2" s="1"/>
  <c r="P67" i="2" s="1"/>
  <c r="S65" i="2"/>
  <c r="T65" i="2" s="1"/>
  <c r="R65" i="2"/>
  <c r="O65" i="2"/>
  <c r="R64" i="2"/>
  <c r="S64" i="2" s="1"/>
  <c r="T64" i="2" s="1"/>
  <c r="O64" i="2"/>
  <c r="S63" i="2"/>
  <c r="T63" i="2" s="1"/>
  <c r="R63" i="2"/>
  <c r="O63" i="2"/>
  <c r="S62" i="2"/>
  <c r="T62" i="2" s="1"/>
  <c r="O62" i="2"/>
  <c r="L62" i="2"/>
  <c r="S61" i="2"/>
  <c r="T61" i="2" s="1"/>
  <c r="O61" i="2"/>
  <c r="S60" i="2"/>
  <c r="T60" i="2" s="1"/>
  <c r="O60" i="2"/>
  <c r="L60" i="2"/>
  <c r="Y59" i="2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T59" i="2"/>
  <c r="S59" i="2"/>
  <c r="O59" i="2"/>
  <c r="AB58" i="2"/>
  <c r="S58" i="2"/>
  <c r="T58" i="2" s="1"/>
  <c r="O58" i="2"/>
  <c r="L58" i="2"/>
  <c r="T57" i="2"/>
  <c r="S57" i="2"/>
  <c r="O57" i="2"/>
  <c r="Y56" i="2"/>
  <c r="Y57" i="2" s="1"/>
  <c r="Y58" i="2" s="1"/>
  <c r="S56" i="2"/>
  <c r="T56" i="2" s="1"/>
  <c r="O56" i="2"/>
  <c r="Y55" i="2"/>
  <c r="S55" i="2"/>
  <c r="T55" i="2" s="1"/>
  <c r="O55" i="2"/>
  <c r="J55" i="2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O53" i="2"/>
  <c r="O52" i="2"/>
  <c r="O51" i="2"/>
  <c r="O50" i="2"/>
  <c r="O49" i="2"/>
  <c r="O48" i="2"/>
  <c r="O47" i="2"/>
  <c r="P47" i="2" s="1"/>
  <c r="P48" i="2" s="1"/>
  <c r="P49" i="2" s="1"/>
  <c r="P50" i="2" s="1"/>
  <c r="P51" i="2" s="1"/>
  <c r="P52" i="2" s="1"/>
  <c r="P53" i="2" s="1"/>
  <c r="U55" i="2" s="1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P22" i="2"/>
  <c r="P23" i="2" s="1"/>
  <c r="P24" i="2" s="1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K280" i="1" l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299" i="2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Z256" i="2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U56" i="2"/>
  <c r="V62" i="2" s="1"/>
  <c r="U79" i="2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67" i="2"/>
  <c r="U68" i="2" s="1"/>
  <c r="P308" i="2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279" i="2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6" i="2"/>
  <c r="P297" i="2" s="1"/>
  <c r="P298" i="2" s="1"/>
  <c r="P299" i="2" s="1"/>
  <c r="P300" i="2" s="1"/>
  <c r="P301" i="2" s="1"/>
  <c r="P302" i="2" s="1"/>
  <c r="U145" i="2" l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V153" i="1"/>
  <c r="V151" i="1"/>
  <c r="V149" i="1"/>
  <c r="V64" i="1"/>
  <c r="V62" i="1"/>
  <c r="U66" i="1"/>
  <c r="U67" i="1" s="1"/>
  <c r="U68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56" i="1"/>
  <c r="V285" i="2" l="1"/>
  <c r="V287" i="2"/>
  <c r="V289" i="2" s="1"/>
  <c r="V149" i="2"/>
  <c r="V153" i="2"/>
  <c r="V151" i="2"/>
  <c r="Z236" i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186" i="1"/>
  <c r="Z187" i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185" i="1"/>
  <c r="Z184" i="1"/>
  <c r="Z146" i="1"/>
  <c r="Z147" i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45" i="1"/>
  <c r="Z144" i="1"/>
  <c r="Y57" i="1"/>
  <c r="Y58" i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56" i="1"/>
  <c r="Y55" i="1"/>
  <c r="AB302" i="1"/>
  <c r="AB282" i="1"/>
  <c r="AB258" i="1"/>
  <c r="AB187" i="1"/>
  <c r="AB147" i="1"/>
  <c r="AB58" i="1"/>
  <c r="U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6" i="1"/>
  <c r="T188" i="1"/>
  <c r="T193" i="1"/>
  <c r="T196" i="1"/>
  <c r="T201" i="1"/>
  <c r="T204" i="1"/>
  <c r="T209" i="1"/>
  <c r="T212" i="1"/>
  <c r="T217" i="1"/>
  <c r="T220" i="1"/>
  <c r="T225" i="1"/>
  <c r="T228" i="1"/>
  <c r="T233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86" i="1"/>
  <c r="T294" i="1"/>
  <c r="T302" i="1"/>
  <c r="T310" i="1"/>
  <c r="T318" i="1"/>
  <c r="T326" i="1"/>
  <c r="T334" i="1"/>
  <c r="T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T184" i="1" s="1"/>
  <c r="U184" i="1" s="1"/>
  <c r="S185" i="1"/>
  <c r="T185" i="1" s="1"/>
  <c r="S186" i="1"/>
  <c r="S187" i="1"/>
  <c r="T187" i="1" s="1"/>
  <c r="S188" i="1"/>
  <c r="S189" i="1"/>
  <c r="T189" i="1" s="1"/>
  <c r="S190" i="1"/>
  <c r="T190" i="1" s="1"/>
  <c r="S191" i="1"/>
  <c r="T191" i="1" s="1"/>
  <c r="S192" i="1"/>
  <c r="T192" i="1" s="1"/>
  <c r="S193" i="1"/>
  <c r="S194" i="1"/>
  <c r="T194" i="1" s="1"/>
  <c r="S195" i="1"/>
  <c r="T195" i="1" s="1"/>
  <c r="S196" i="1"/>
  <c r="S197" i="1"/>
  <c r="T197" i="1" s="1"/>
  <c r="S198" i="1"/>
  <c r="T198" i="1" s="1"/>
  <c r="S199" i="1"/>
  <c r="T199" i="1" s="1"/>
  <c r="S200" i="1"/>
  <c r="T200" i="1" s="1"/>
  <c r="S201" i="1"/>
  <c r="S202" i="1"/>
  <c r="T202" i="1" s="1"/>
  <c r="S203" i="1"/>
  <c r="T203" i="1" s="1"/>
  <c r="S204" i="1"/>
  <c r="S205" i="1"/>
  <c r="T205" i="1" s="1"/>
  <c r="S206" i="1"/>
  <c r="T206" i="1" s="1"/>
  <c r="S207" i="1"/>
  <c r="T207" i="1" s="1"/>
  <c r="S208" i="1"/>
  <c r="T208" i="1" s="1"/>
  <c r="S209" i="1"/>
  <c r="S210" i="1"/>
  <c r="T210" i="1" s="1"/>
  <c r="S211" i="1"/>
  <c r="T211" i="1" s="1"/>
  <c r="S212" i="1"/>
  <c r="S213" i="1"/>
  <c r="T213" i="1" s="1"/>
  <c r="S214" i="1"/>
  <c r="T214" i="1" s="1"/>
  <c r="S215" i="1"/>
  <c r="T215" i="1" s="1"/>
  <c r="S216" i="1"/>
  <c r="T216" i="1" s="1"/>
  <c r="S217" i="1"/>
  <c r="S218" i="1"/>
  <c r="T218" i="1" s="1"/>
  <c r="S219" i="1"/>
  <c r="T219" i="1" s="1"/>
  <c r="S220" i="1"/>
  <c r="S221" i="1"/>
  <c r="T221" i="1" s="1"/>
  <c r="S222" i="1"/>
  <c r="T222" i="1" s="1"/>
  <c r="S223" i="1"/>
  <c r="T223" i="1" s="1"/>
  <c r="S224" i="1"/>
  <c r="T224" i="1" s="1"/>
  <c r="S225" i="1"/>
  <c r="S226" i="1"/>
  <c r="T226" i="1" s="1"/>
  <c r="S227" i="1"/>
  <c r="T227" i="1" s="1"/>
  <c r="S228" i="1"/>
  <c r="S229" i="1"/>
  <c r="T229" i="1" s="1"/>
  <c r="S230" i="1"/>
  <c r="T230" i="1" s="1"/>
  <c r="S231" i="1"/>
  <c r="T231" i="1" s="1"/>
  <c r="S232" i="1"/>
  <c r="T232" i="1" s="1"/>
  <c r="S233" i="1"/>
  <c r="S234" i="1"/>
  <c r="T234" i="1" s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S335" i="1"/>
  <c r="T335" i="1" s="1"/>
  <c r="S55" i="1"/>
  <c r="P78" i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2" i="1" s="1"/>
  <c r="P273" i="1" s="1"/>
  <c r="P274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5" i="1" s="1"/>
  <c r="P296" i="1" s="1"/>
  <c r="P297" i="1" s="1"/>
  <c r="P298" i="1" s="1"/>
  <c r="P299" i="1" s="1"/>
  <c r="P300" i="1" s="1"/>
  <c r="P301" i="1" s="1"/>
  <c r="P302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35" i="1" s="1"/>
  <c r="P67" i="1"/>
  <c r="P66" i="1"/>
  <c r="P24" i="1"/>
  <c r="P47" i="1"/>
  <c r="P48" i="1" s="1"/>
  <c r="P49" i="1" s="1"/>
  <c r="P50" i="1" s="1"/>
  <c r="P51" i="1" s="1"/>
  <c r="P52" i="1" s="1"/>
  <c r="P53" i="1" s="1"/>
  <c r="P23" i="1"/>
  <c r="P22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5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3" i="1"/>
  <c r="R14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63" i="1"/>
  <c r="V193" i="2" l="1"/>
  <c r="V195" i="2" s="1"/>
  <c r="V189" i="2"/>
  <c r="V191" i="2"/>
  <c r="L304" i="1"/>
  <c r="L306" i="1"/>
  <c r="K184" i="1"/>
  <c r="K144" i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7" i="1" s="1"/>
  <c r="K178" i="1" s="1"/>
  <c r="K179" i="1" s="1"/>
  <c r="K180" i="1" s="1"/>
  <c r="K181" i="1" s="1"/>
  <c r="K183" i="1" s="1"/>
  <c r="J55" i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7" i="1" s="1"/>
  <c r="J178" i="1" s="1"/>
  <c r="J179" i="1" s="1"/>
  <c r="J180" i="1" s="1"/>
  <c r="J181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L62" i="1"/>
  <c r="L60" i="1"/>
  <c r="L58" i="1"/>
  <c r="L151" i="1"/>
  <c r="L149" i="1"/>
  <c r="L147" i="1"/>
  <c r="V305" i="2" l="1"/>
  <c r="V307" i="2"/>
  <c r="V309" i="2" s="1"/>
  <c r="V238" i="2"/>
  <c r="V240" i="2"/>
  <c r="V242" i="2"/>
  <c r="V244" i="2" s="1"/>
  <c r="V189" i="1"/>
  <c r="V191" i="1"/>
  <c r="V193" i="1"/>
  <c r="V195" i="1" s="1"/>
  <c r="K185" i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V261" i="2" l="1"/>
  <c r="V263" i="2"/>
  <c r="V265" i="2" s="1"/>
  <c r="V241" i="1"/>
  <c r="V239" i="1"/>
  <c r="V243" i="1"/>
  <c r="V245" i="1" s="1"/>
  <c r="V264" i="1" l="1"/>
  <c r="V266" i="1" s="1"/>
  <c r="V262" i="1"/>
  <c r="V286" i="1" l="1"/>
  <c r="V288" i="1"/>
  <c r="V290" i="1" s="1"/>
  <c r="V308" i="1" l="1"/>
  <c r="V310" i="1" s="1"/>
  <c r="V306" i="1"/>
</calcChain>
</file>

<file path=xl/sharedStrings.xml><?xml version="1.0" encoding="utf-8"?>
<sst xmlns="http://schemas.openxmlformats.org/spreadsheetml/2006/main" count="324" uniqueCount="69">
  <si>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</si>
  <si>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</si>
  <si>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</si>
  <si>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</si>
  <si>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</si>
  <si>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</si>
  <si>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</si>
  <si>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</si>
  <si>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</si>
  <si>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</si>
  <si>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</si>
  <si>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</si>
  <si>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TEMPERATURE</t>
  </si>
  <si>
    <t>GDD_Cumul</t>
  </si>
  <si>
    <t>GDD/période</t>
  </si>
  <si>
    <t>Indicateurs</t>
  </si>
  <si>
    <t>EAU</t>
  </si>
  <si>
    <t>BILAN HYDRIQUE</t>
  </si>
  <si>
    <t>P-ETP</t>
  </si>
  <si>
    <t>RU_avant_semis</t>
  </si>
  <si>
    <t>i</t>
  </si>
  <si>
    <t>kc</t>
  </si>
  <si>
    <t>ETM</t>
  </si>
  <si>
    <t>P-ETM</t>
  </si>
  <si>
    <t>WSCi</t>
  </si>
  <si>
    <t>SOLAIRE</t>
  </si>
  <si>
    <t>QTP</t>
  </si>
  <si>
    <t>SSI_Cumul</t>
  </si>
  <si>
    <t>SSI/période</t>
  </si>
  <si>
    <t>photopériode</t>
  </si>
  <si>
    <t>Indicateur</t>
  </si>
  <si>
    <t>SEMIS</t>
  </si>
  <si>
    <t>RECOLTE</t>
  </si>
  <si>
    <t>Levée</t>
  </si>
  <si>
    <t>Fin Floraison</t>
  </si>
  <si>
    <t>FALL</t>
  </si>
  <si>
    <t>CLIMATIC WINTER</t>
  </si>
  <si>
    <t>LGDD</t>
  </si>
  <si>
    <t>TMN</t>
  </si>
  <si>
    <t>TMIN</t>
  </si>
  <si>
    <t>TMAX</t>
  </si>
  <si>
    <t>NBD_HT</t>
  </si>
  <si>
    <t>NBD_LT</t>
  </si>
  <si>
    <t>NBD_FR</t>
  </si>
  <si>
    <t>P1000</t>
  </si>
  <si>
    <t>P600</t>
  </si>
  <si>
    <t>P300</t>
  </si>
  <si>
    <t>FLOWERING</t>
  </si>
  <si>
    <t>BOLTING</t>
  </si>
  <si>
    <t>MATURE</t>
  </si>
  <si>
    <t>NBD_WD</t>
  </si>
  <si>
    <t>NBD_WS</t>
  </si>
  <si>
    <t>WSC_MIN</t>
  </si>
  <si>
    <t>WSC_MAX</t>
  </si>
  <si>
    <t>WSC_MN</t>
  </si>
  <si>
    <t>indicateur</t>
  </si>
  <si>
    <t>SSR</t>
  </si>
  <si>
    <t>QPT</t>
  </si>
  <si>
    <t>NBD_DSR</t>
  </si>
  <si>
    <t>s</t>
  </si>
  <si>
    <t>f</t>
  </si>
  <si>
    <t>NBD_VERN_OPTI</t>
  </si>
  <si>
    <t>%</t>
  </si>
  <si>
    <t>N60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</si>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</sst>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/>
    <xf numFmtId="0" fontId="0" fillId="4" borderId="0" xfId="0" applyFill="1"/>
    <xf numFmtId="14" fontId="0" fillId="4" borderId="0" xfId="0" applyNumberFormat="1" applyFill="1"/>
    <xf numFmtId="0" fontId="1" fillId="0" borderId="0" xfId="0" applyNumberFormat="1" applyFont="1" applyFill="1"/>
    <xf numFmtId="0" fontId="0" fillId="0" borderId="0" xfId="0" applyNumberFormat="1"/>
    <xf numFmtId="0" fontId="0" fillId="4" borderId="0" xfId="0" applyNumberFormat="1" applyFill="1"/>
    <xf numFmtId="0" fontId="1" fillId="0" borderId="1" xfId="0" applyFont="1" applyFill="1" applyBorder="1" applyAlignment="1">
      <alignment vertical="center" textRotation="255" wrapText="1"/>
    </xf>
    <xf numFmtId="0" fontId="0" fillId="0" borderId="2" xfId="0" applyBorder="1"/>
    <xf numFmtId="14" fontId="0" fillId="0" borderId="2" xfId="0" applyNumberFormat="1" applyBorder="1"/>
    <xf numFmtId="0" fontId="0" fillId="0" borderId="2" xfId="0" applyNumberFormat="1" applyBorder="1"/>
    <xf numFmtId="0" fontId="0" fillId="5" borderId="3" xfId="0" applyFill="1" applyBorder="1"/>
    <xf numFmtId="0" fontId="0" fillId="5" borderId="3" xfId="0" applyNumberFormat="1" applyFill="1" applyBorder="1"/>
    <xf numFmtId="14" fontId="0" fillId="5" borderId="3" xfId="0" applyNumberFormat="1" applyFill="1" applyBorder="1"/>
    <xf numFmtId="0" fontId="1" fillId="0" borderId="4" xfId="0" applyFont="1" applyFill="1" applyBorder="1" applyAlignment="1">
      <alignment vertical="center" textRotation="255" wrapText="1"/>
    </xf>
    <xf numFmtId="0" fontId="1" fillId="10" borderId="1" xfId="0" applyFont="1" applyFill="1" applyBorder="1"/>
    <xf numFmtId="0" fontId="1" fillId="9" borderId="1" xfId="0" applyFont="1" applyFill="1" applyBorder="1"/>
    <xf numFmtId="2" fontId="0" fillId="0" borderId="1" xfId="0" applyNumberFormat="1" applyBorder="1"/>
    <xf numFmtId="0" fontId="0" fillId="0" borderId="1" xfId="0" applyFill="1" applyBorder="1"/>
    <xf numFmtId="0" fontId="1" fillId="8" borderId="1" xfId="0" applyFont="1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0" fillId="0" borderId="0" xfId="0" applyFill="1" applyBorder="1"/>
    <xf numFmtId="0" fontId="1" fillId="2" borderId="0" xfId="0" applyFont="1" applyFill="1"/>
    <xf numFmtId="0" fontId="1" fillId="3" borderId="0" xfId="0" applyFont="1" applyFill="1"/>
    <xf numFmtId="0" fontId="1" fillId="10" borderId="0" xfId="0" applyFont="1" applyFill="1"/>
    <xf numFmtId="0" fontId="1" fillId="9" borderId="0" xfId="0" applyFont="1" applyFill="1"/>
    <xf numFmtId="0" fontId="1" fillId="8" borderId="0" xfId="0" applyFont="1" applyFill="1"/>
    <xf numFmtId="0" fontId="1" fillId="7" borderId="0" xfId="0" applyFont="1" applyFill="1"/>
    <xf numFmtId="0" fontId="1" fillId="6" borderId="0" xfId="0" applyFont="1" applyFill="1"/>
    <xf numFmtId="0" fontId="1" fillId="0" borderId="0" xfId="0" applyNumberFormat="1" applyFont="1" applyFill="1" applyBorder="1"/>
    <xf numFmtId="0" fontId="0" fillId="0" borderId="0" xfId="0" applyNumberFormat="1" applyFill="1" applyBorder="1"/>
    <xf numFmtId="2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/>
    <xf numFmtId="0" fontId="1" fillId="0" borderId="2" xfId="0" applyNumberFormat="1" applyFont="1" applyBorder="1"/>
    <xf numFmtId="2" fontId="1" fillId="0" borderId="2" xfId="0" applyNumberFormat="1" applyFont="1" applyBorder="1"/>
    <xf numFmtId="0" fontId="0" fillId="12" borderId="0" xfId="0" applyFill="1"/>
    <xf numFmtId="0" fontId="1" fillId="12" borderId="2" xfId="0" applyFont="1" applyFill="1" applyBorder="1"/>
    <xf numFmtId="0" fontId="0" fillId="12" borderId="0" xfId="0" applyNumberFormat="1" applyFill="1"/>
    <xf numFmtId="0" fontId="1" fillId="0" borderId="0" xfId="0" applyFont="1" applyAlignment="1">
      <alignment horizontal="center" vertical="center"/>
    </xf>
    <xf numFmtId="0" fontId="0" fillId="0" borderId="0" xfId="0" applyFont="1" applyBorder="1"/>
    <xf numFmtId="14" fontId="0" fillId="0" borderId="0" xfId="0" applyNumberFormat="1" applyFont="1" applyBorder="1"/>
    <xf numFmtId="0" fontId="0" fillId="0" borderId="0" xfId="0" applyFont="1" applyFill="1" applyBorder="1" applyAlignment="1">
      <alignment vertical="center" textRotation="255" wrapText="1"/>
    </xf>
    <xf numFmtId="0" fontId="0" fillId="0" borderId="0" xfId="0" applyNumberFormat="1" applyFont="1" applyBorder="1"/>
    <xf numFmtId="2" fontId="0" fillId="0" borderId="0" xfId="0" applyNumberFormat="1" applyFont="1" applyBorder="1"/>
    <xf numFmtId="0" fontId="1" fillId="0" borderId="2" xfId="0" applyFont="1" applyFill="1" applyBorder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/>
    </xf>
    <xf numFmtId="0" fontId="1" fillId="3" borderId="1" xfId="0" applyFont="1" applyFill="1" applyBorder="1" applyAlignment="1">
      <alignment horizontal="center" vertical="center" textRotation="255"/>
    </xf>
    <xf numFmtId="0" fontId="1" fillId="6" borderId="1" xfId="0" applyFont="1" applyFill="1" applyBorder="1" applyAlignment="1">
      <alignment horizontal="center" vertical="center" textRotation="255"/>
    </xf>
    <xf numFmtId="14" fontId="0" fillId="11" borderId="0" xfId="0" applyNumberFormat="1" applyFill="1" applyAlignment="1">
      <alignment horizontal="center"/>
    </xf>
    <xf numFmtId="0" fontId="1" fillId="10" borderId="1" xfId="0" applyFont="1" applyFill="1" applyBorder="1" applyAlignment="1">
      <alignment horizontal="center" vertical="center" textRotation="255"/>
    </xf>
    <xf numFmtId="0" fontId="1" fillId="9" borderId="0" xfId="0" applyFont="1" applyFill="1" applyAlignment="1">
      <alignment horizontal="center" vertical="center" textRotation="255"/>
    </xf>
    <xf numFmtId="0" fontId="1" fillId="8" borderId="1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 vertical="center" textRotation="255"/>
    </xf>
    <xf numFmtId="0" fontId="0" fillId="13" borderId="0" xfId="0" applyFill="1"/>
    <xf numFmtId="14" fontId="0" fillId="13" borderId="0" xfId="0" applyNumberFormat="1" applyFill="1"/>
    <xf numFmtId="0" fontId="1" fillId="13" borderId="1" xfId="0" applyFont="1" applyFill="1" applyBorder="1" applyAlignment="1">
      <alignment vertical="center" textRotation="255" wrapText="1"/>
    </xf>
    <xf numFmtId="0" fontId="0" fillId="13" borderId="0" xfId="0" applyNumberFormat="1" applyFill="1"/>
    <xf numFmtId="0" fontId="0" fillId="13" borderId="0" xfId="0" applyFill="1" applyBorder="1"/>
    <xf numFmtId="2" fontId="0" fillId="13" borderId="0" xfId="0" applyNumberFormat="1" applyFill="1"/>
    <xf numFmtId="0" fontId="0" fillId="14" borderId="0" xfId="0" applyFill="1"/>
    <xf numFmtId="2" fontId="0" fillId="14" borderId="0" xfId="0" applyNumberFormat="1" applyFill="1"/>
    <xf numFmtId="0" fontId="1" fillId="14" borderId="2" xfId="0" applyFont="1" applyFill="1" applyBorder="1"/>
    <xf numFmtId="0" fontId="0" fillId="14" borderId="0" xfId="0" applyFont="1" applyFill="1" applyBorder="1"/>
  </cellXfs>
  <cellStyles count="1">
    <cellStyle name="Normal" xfId="0" builtinId="0"/>
  </cellStyles>
  <dxfs count="44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1"/>
  <sheetViews>
    <sheetView tabSelected="1" zoomScale="80" zoomScaleNormal="80" workbookViewId="0">
      <pane xSplit="6" ySplit="2" topLeftCell="J206" activePane="bottomRight" state="frozen"/>
      <selection pane="topRight" activeCell="G1" sqref="G1"/>
      <selection pane="bottomLeft" activeCell="A3" sqref="A3"/>
      <selection pane="bottomRight" activeCell="AE221" sqref="AE221"/>
    </sheetView>
  </sheetViews>
  <sheetFormatPr baseColWidth="10" defaultRowHeight="15" x14ac:dyDescent="0.25"/>
  <cols>
    <col min="10" max="11" width="11.42578125" style="14"/>
    <col min="15" max="15" width="11.42578125" style="14"/>
    <col min="20" max="20" width="11.42578125" style="14"/>
  </cols>
  <sheetData>
    <row r="1" spans="1:28" x14ac:dyDescent="0.25">
      <c r="G1" s="57" t="s">
        <v>12</v>
      </c>
      <c r="H1" s="57"/>
      <c r="I1" s="57"/>
      <c r="J1" s="57"/>
      <c r="K1" s="57"/>
      <c r="L1" s="57"/>
      <c r="M1" s="57" t="s">
        <v>16</v>
      </c>
      <c r="N1" s="57"/>
      <c r="O1" s="57"/>
      <c r="P1" s="57"/>
      <c r="Q1" s="57" t="s">
        <v>17</v>
      </c>
      <c r="R1" s="57"/>
      <c r="S1" s="57"/>
      <c r="T1" s="57"/>
      <c r="U1" s="57"/>
      <c r="V1" s="3"/>
      <c r="W1" s="57" t="s">
        <v>25</v>
      </c>
      <c r="X1" s="57"/>
      <c r="Y1" s="57"/>
      <c r="Z1" s="57"/>
      <c r="AA1" s="57"/>
      <c r="AB1" s="57"/>
    </row>
    <row r="2" spans="1:28" x14ac:dyDescent="0.25">
      <c r="A2" s="2" t="s">
        <v>0</v>
      </c>
      <c r="B2" s="2" t="s">
        <v>1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4</v>
      </c>
      <c r="H2" s="2" t="s">
        <v>7</v>
      </c>
      <c r="I2" s="2" t="s">
        <v>8</v>
      </c>
      <c r="J2" s="13" t="s">
        <v>13</v>
      </c>
      <c r="K2" s="13" t="s">
        <v>14</v>
      </c>
      <c r="L2" s="5" t="s">
        <v>15</v>
      </c>
      <c r="M2" s="4" t="s">
        <v>3</v>
      </c>
      <c r="N2" s="4" t="s">
        <v>6</v>
      </c>
      <c r="O2" s="39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39" t="s">
        <v>23</v>
      </c>
      <c r="U2" s="6" t="s">
        <v>24</v>
      </c>
      <c r="V2" s="5" t="s">
        <v>55</v>
      </c>
      <c r="W2" s="4" t="s">
        <v>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</row>
    <row r="3" spans="1:28" x14ac:dyDescent="0.25">
      <c r="A3">
        <v>5080</v>
      </c>
      <c r="B3">
        <v>18650</v>
      </c>
      <c r="C3" s="1">
        <v>42582</v>
      </c>
      <c r="D3" s="1"/>
      <c r="E3" s="1"/>
      <c r="F3" s="1"/>
      <c r="G3">
        <v>20</v>
      </c>
      <c r="H3">
        <v>18.600000000000001</v>
      </c>
      <c r="I3">
        <v>21.8</v>
      </c>
      <c r="L3" s="1"/>
      <c r="M3">
        <v>0.9</v>
      </c>
      <c r="N3">
        <v>2.6</v>
      </c>
      <c r="O3" s="14">
        <f>M3-N3</f>
        <v>-1.7000000000000002</v>
      </c>
      <c r="P3">
        <v>0</v>
      </c>
      <c r="W3">
        <v>789.6</v>
      </c>
    </row>
    <row r="4" spans="1:28" x14ac:dyDescent="0.25">
      <c r="A4">
        <v>5080</v>
      </c>
      <c r="B4">
        <v>18650</v>
      </c>
      <c r="C4" s="1">
        <v>42583</v>
      </c>
      <c r="D4" s="1"/>
      <c r="E4" s="1"/>
      <c r="F4" s="1"/>
      <c r="G4">
        <v>20.9</v>
      </c>
      <c r="H4">
        <v>16.7</v>
      </c>
      <c r="I4">
        <v>25.1</v>
      </c>
      <c r="L4" s="1"/>
      <c r="M4">
        <v>0</v>
      </c>
      <c r="N4">
        <v>3.5</v>
      </c>
      <c r="O4" s="14">
        <f t="shared" ref="O4:O53" si="0">M4-N4</f>
        <v>-3.5</v>
      </c>
      <c r="P4">
        <v>0</v>
      </c>
      <c r="W4">
        <v>1367.9</v>
      </c>
    </row>
    <row r="5" spans="1:28" x14ac:dyDescent="0.25">
      <c r="A5">
        <v>5080</v>
      </c>
      <c r="B5">
        <v>18650</v>
      </c>
      <c r="C5" s="1">
        <v>42584</v>
      </c>
      <c r="D5" s="1"/>
      <c r="E5" s="1"/>
      <c r="F5" s="1"/>
      <c r="G5">
        <v>21.6</v>
      </c>
      <c r="H5">
        <v>16.2</v>
      </c>
      <c r="I5">
        <v>26.4</v>
      </c>
      <c r="L5" s="1"/>
      <c r="M5">
        <v>0</v>
      </c>
      <c r="N5">
        <v>6.2</v>
      </c>
      <c r="O5" s="14">
        <f t="shared" si="0"/>
        <v>-6.2</v>
      </c>
      <c r="P5">
        <v>0</v>
      </c>
      <c r="W5">
        <v>2902.9</v>
      </c>
    </row>
    <row r="6" spans="1:28" x14ac:dyDescent="0.25">
      <c r="A6">
        <v>5080</v>
      </c>
      <c r="B6">
        <v>18650</v>
      </c>
      <c r="C6" s="1">
        <v>42585</v>
      </c>
      <c r="D6" s="1"/>
      <c r="E6" s="1"/>
      <c r="F6" s="1"/>
      <c r="G6">
        <v>24.3</v>
      </c>
      <c r="H6">
        <v>17.600000000000001</v>
      </c>
      <c r="I6">
        <v>30.4</v>
      </c>
      <c r="L6" s="1"/>
      <c r="M6">
        <v>0</v>
      </c>
      <c r="N6">
        <v>6.2</v>
      </c>
      <c r="O6" s="14">
        <f t="shared" si="0"/>
        <v>-6.2</v>
      </c>
      <c r="P6">
        <v>0</v>
      </c>
      <c r="W6">
        <v>2524.6</v>
      </c>
    </row>
    <row r="7" spans="1:28" x14ac:dyDescent="0.25">
      <c r="A7">
        <v>5080</v>
      </c>
      <c r="B7">
        <v>18650</v>
      </c>
      <c r="C7" s="1">
        <v>42586</v>
      </c>
      <c r="D7" s="1"/>
      <c r="E7" s="1"/>
      <c r="F7" s="1"/>
      <c r="G7">
        <v>21.1</v>
      </c>
      <c r="H7">
        <v>18.7</v>
      </c>
      <c r="I7">
        <v>24.8</v>
      </c>
      <c r="L7" s="1"/>
      <c r="M7">
        <v>1.8</v>
      </c>
      <c r="N7">
        <v>5</v>
      </c>
      <c r="O7" s="14">
        <f t="shared" si="0"/>
        <v>-3.2</v>
      </c>
      <c r="P7">
        <v>0</v>
      </c>
      <c r="W7">
        <v>2147.8000000000002</v>
      </c>
    </row>
    <row r="8" spans="1:28" x14ac:dyDescent="0.25">
      <c r="A8">
        <v>5080</v>
      </c>
      <c r="B8">
        <v>18650</v>
      </c>
      <c r="C8" s="1">
        <v>42587</v>
      </c>
      <c r="D8" s="1"/>
      <c r="E8" s="1"/>
      <c r="F8" s="1"/>
      <c r="G8">
        <v>20.5</v>
      </c>
      <c r="H8">
        <v>16.2</v>
      </c>
      <c r="I8">
        <v>24.3</v>
      </c>
      <c r="L8" s="1"/>
      <c r="M8">
        <v>0</v>
      </c>
      <c r="N8">
        <v>4.8</v>
      </c>
      <c r="O8" s="14">
        <f t="shared" si="0"/>
        <v>-4.8</v>
      </c>
      <c r="P8">
        <v>0</v>
      </c>
      <c r="W8">
        <v>1940</v>
      </c>
    </row>
    <row r="9" spans="1:28" x14ac:dyDescent="0.25">
      <c r="A9">
        <v>5080</v>
      </c>
      <c r="B9">
        <v>18650</v>
      </c>
      <c r="C9" s="1">
        <v>42588</v>
      </c>
      <c r="D9" s="1"/>
      <c r="E9" s="1"/>
      <c r="F9" s="1"/>
      <c r="G9">
        <v>21.9</v>
      </c>
      <c r="H9">
        <v>16.399999999999999</v>
      </c>
      <c r="I9">
        <v>26.3</v>
      </c>
      <c r="L9" s="1"/>
      <c r="M9">
        <v>0</v>
      </c>
      <c r="N9">
        <v>6</v>
      </c>
      <c r="O9" s="14">
        <f t="shared" si="0"/>
        <v>-6</v>
      </c>
      <c r="P9">
        <v>0</v>
      </c>
      <c r="W9">
        <v>2460.8000000000002</v>
      </c>
    </row>
    <row r="10" spans="1:28" x14ac:dyDescent="0.25">
      <c r="A10">
        <v>5080</v>
      </c>
      <c r="B10">
        <v>18650</v>
      </c>
      <c r="C10" s="1">
        <v>42589</v>
      </c>
      <c r="D10" s="1"/>
      <c r="E10" s="1"/>
      <c r="F10" s="1"/>
      <c r="G10">
        <v>23.6</v>
      </c>
      <c r="H10">
        <v>17.5</v>
      </c>
      <c r="I10">
        <v>28.9</v>
      </c>
      <c r="L10" s="1"/>
      <c r="M10">
        <v>0</v>
      </c>
      <c r="N10">
        <v>7.1</v>
      </c>
      <c r="O10" s="14">
        <f t="shared" si="0"/>
        <v>-7.1</v>
      </c>
      <c r="P10">
        <v>0</v>
      </c>
      <c r="W10">
        <v>2933.3</v>
      </c>
    </row>
    <row r="11" spans="1:28" x14ac:dyDescent="0.25">
      <c r="A11">
        <v>5080</v>
      </c>
      <c r="B11">
        <v>18650</v>
      </c>
      <c r="C11" s="1">
        <v>42590</v>
      </c>
      <c r="D11" s="1"/>
      <c r="E11" s="1"/>
      <c r="F11" s="1"/>
      <c r="G11">
        <v>24.8</v>
      </c>
      <c r="H11">
        <v>19.7</v>
      </c>
      <c r="I11">
        <v>29.9</v>
      </c>
      <c r="L11" s="1"/>
      <c r="M11">
        <v>0.2</v>
      </c>
      <c r="N11">
        <v>7.3</v>
      </c>
      <c r="O11" s="14">
        <f t="shared" si="0"/>
        <v>-7.1</v>
      </c>
      <c r="P11">
        <v>0</v>
      </c>
      <c r="W11">
        <v>2908.8</v>
      </c>
    </row>
    <row r="12" spans="1:28" x14ac:dyDescent="0.25">
      <c r="A12">
        <v>5080</v>
      </c>
      <c r="B12">
        <v>18650</v>
      </c>
      <c r="C12" s="1">
        <v>42591</v>
      </c>
      <c r="D12" s="1"/>
      <c r="E12" s="1"/>
      <c r="F12" s="1"/>
      <c r="G12">
        <v>20.399999999999999</v>
      </c>
      <c r="H12">
        <v>17.399999999999999</v>
      </c>
      <c r="I12">
        <v>23.9</v>
      </c>
      <c r="L12" s="1"/>
      <c r="M12">
        <v>0</v>
      </c>
      <c r="N12">
        <v>2.6</v>
      </c>
      <c r="O12" s="14">
        <f t="shared" si="0"/>
        <v>-2.6</v>
      </c>
      <c r="P12">
        <v>0</v>
      </c>
      <c r="W12">
        <v>898.9</v>
      </c>
    </row>
    <row r="13" spans="1:28" x14ac:dyDescent="0.25">
      <c r="A13">
        <v>5080</v>
      </c>
      <c r="B13">
        <v>18650</v>
      </c>
      <c r="C13" s="1">
        <v>42592</v>
      </c>
      <c r="D13" s="1"/>
      <c r="E13" s="1"/>
      <c r="F13" s="1"/>
      <c r="G13">
        <v>19.3</v>
      </c>
      <c r="H13">
        <v>14.3</v>
      </c>
      <c r="I13">
        <v>23.4</v>
      </c>
      <c r="L13" s="1"/>
      <c r="M13">
        <v>0</v>
      </c>
      <c r="N13">
        <v>6</v>
      </c>
      <c r="O13" s="14">
        <f t="shared" si="0"/>
        <v>-6</v>
      </c>
      <c r="P13">
        <v>0</v>
      </c>
      <c r="W13">
        <v>2427.8000000000002</v>
      </c>
    </row>
    <row r="14" spans="1:28" x14ac:dyDescent="0.25">
      <c r="A14">
        <v>5080</v>
      </c>
      <c r="B14">
        <v>18650</v>
      </c>
      <c r="C14" s="1">
        <v>42593</v>
      </c>
      <c r="D14" s="1"/>
      <c r="E14" s="1"/>
      <c r="F14" s="1"/>
      <c r="G14">
        <v>19.100000000000001</v>
      </c>
      <c r="H14">
        <v>13.6</v>
      </c>
      <c r="I14">
        <v>23.3</v>
      </c>
      <c r="L14" s="1"/>
      <c r="M14">
        <v>0</v>
      </c>
      <c r="N14">
        <v>6</v>
      </c>
      <c r="O14" s="14">
        <f t="shared" si="0"/>
        <v>-6</v>
      </c>
      <c r="P14">
        <v>0</v>
      </c>
      <c r="W14">
        <v>2420.1</v>
      </c>
    </row>
    <row r="15" spans="1:28" x14ac:dyDescent="0.25">
      <c r="A15">
        <v>5080</v>
      </c>
      <c r="B15">
        <v>18650</v>
      </c>
      <c r="C15" s="1">
        <v>42594</v>
      </c>
      <c r="D15" s="1"/>
      <c r="E15" s="1"/>
      <c r="F15" s="1"/>
      <c r="G15">
        <v>22</v>
      </c>
      <c r="H15">
        <v>14.6</v>
      </c>
      <c r="I15">
        <v>28.4</v>
      </c>
      <c r="L15" s="1"/>
      <c r="M15">
        <v>0</v>
      </c>
      <c r="N15">
        <v>5.8</v>
      </c>
      <c r="O15" s="14">
        <f t="shared" si="0"/>
        <v>-5.8</v>
      </c>
      <c r="P15">
        <v>0</v>
      </c>
      <c r="W15">
        <v>2447.6</v>
      </c>
    </row>
    <row r="16" spans="1:28" x14ac:dyDescent="0.25">
      <c r="A16">
        <v>5080</v>
      </c>
      <c r="B16">
        <v>18650</v>
      </c>
      <c r="C16" s="1">
        <v>42595</v>
      </c>
      <c r="D16" s="1"/>
      <c r="E16" s="1"/>
      <c r="F16" s="1"/>
      <c r="G16">
        <v>24.9</v>
      </c>
      <c r="H16">
        <v>17.7</v>
      </c>
      <c r="I16">
        <v>31</v>
      </c>
      <c r="L16" s="1"/>
      <c r="M16">
        <v>0</v>
      </c>
      <c r="N16">
        <v>7.8</v>
      </c>
      <c r="O16" s="14">
        <f t="shared" si="0"/>
        <v>-7.8</v>
      </c>
      <c r="P16">
        <v>0</v>
      </c>
      <c r="W16">
        <v>2726.4</v>
      </c>
    </row>
    <row r="17" spans="1:23" x14ac:dyDescent="0.25">
      <c r="A17">
        <v>5080</v>
      </c>
      <c r="B17">
        <v>18650</v>
      </c>
      <c r="C17" s="1">
        <v>42596</v>
      </c>
      <c r="D17" s="1"/>
      <c r="E17" s="1"/>
      <c r="F17" s="1"/>
      <c r="G17">
        <v>24.6</v>
      </c>
      <c r="H17">
        <v>17.399999999999999</v>
      </c>
      <c r="I17">
        <v>31.3</v>
      </c>
      <c r="L17" s="1"/>
      <c r="M17">
        <v>0</v>
      </c>
      <c r="N17">
        <v>7.5</v>
      </c>
      <c r="O17" s="14">
        <f t="shared" si="0"/>
        <v>-7.5</v>
      </c>
      <c r="P17">
        <v>0</v>
      </c>
      <c r="W17">
        <v>2841.7</v>
      </c>
    </row>
    <row r="18" spans="1:23" x14ac:dyDescent="0.25">
      <c r="A18">
        <v>5080</v>
      </c>
      <c r="B18">
        <v>18650</v>
      </c>
      <c r="C18" s="1">
        <v>42597</v>
      </c>
      <c r="D18" s="1"/>
      <c r="E18" s="1"/>
      <c r="F18" s="1"/>
      <c r="G18">
        <v>24.9</v>
      </c>
      <c r="H18">
        <v>19.2</v>
      </c>
      <c r="I18">
        <v>31.4</v>
      </c>
      <c r="L18" s="1"/>
      <c r="M18">
        <v>0</v>
      </c>
      <c r="N18">
        <v>7</v>
      </c>
      <c r="O18" s="14">
        <f t="shared" si="0"/>
        <v>-7</v>
      </c>
      <c r="P18">
        <v>0</v>
      </c>
      <c r="W18">
        <v>2656.9</v>
      </c>
    </row>
    <row r="19" spans="1:23" x14ac:dyDescent="0.25">
      <c r="A19">
        <v>5080</v>
      </c>
      <c r="B19">
        <v>18650</v>
      </c>
      <c r="C19" s="1">
        <v>42598</v>
      </c>
      <c r="D19" s="1"/>
      <c r="E19" s="1"/>
      <c r="F19" s="1"/>
      <c r="G19">
        <v>27.1</v>
      </c>
      <c r="H19">
        <v>20.5</v>
      </c>
      <c r="I19">
        <v>33</v>
      </c>
      <c r="L19" s="1"/>
      <c r="M19">
        <v>0</v>
      </c>
      <c r="N19">
        <v>5.0999999999999996</v>
      </c>
      <c r="O19" s="14">
        <f t="shared" si="0"/>
        <v>-5.0999999999999996</v>
      </c>
      <c r="P19">
        <v>0</v>
      </c>
      <c r="W19">
        <v>1848.5</v>
      </c>
    </row>
    <row r="20" spans="1:23" x14ac:dyDescent="0.25">
      <c r="A20">
        <v>5080</v>
      </c>
      <c r="B20">
        <v>18650</v>
      </c>
      <c r="C20" s="1">
        <v>42599</v>
      </c>
      <c r="D20" s="1"/>
      <c r="E20" s="1"/>
      <c r="F20" s="1"/>
      <c r="G20">
        <v>23.9</v>
      </c>
      <c r="H20">
        <v>20.8</v>
      </c>
      <c r="I20">
        <v>26</v>
      </c>
      <c r="L20" s="1"/>
      <c r="M20">
        <v>0</v>
      </c>
      <c r="N20">
        <v>4.0999999999999996</v>
      </c>
      <c r="O20" s="14">
        <f t="shared" si="0"/>
        <v>-4.0999999999999996</v>
      </c>
      <c r="P20">
        <v>0</v>
      </c>
      <c r="W20">
        <v>1490.2</v>
      </c>
    </row>
    <row r="21" spans="1:23" x14ac:dyDescent="0.25">
      <c r="A21">
        <v>5080</v>
      </c>
      <c r="B21">
        <v>18650</v>
      </c>
      <c r="C21" s="1">
        <v>42600</v>
      </c>
      <c r="D21" s="1"/>
      <c r="E21" s="1"/>
      <c r="F21" s="1"/>
      <c r="G21">
        <v>21.7</v>
      </c>
      <c r="H21">
        <v>20.3</v>
      </c>
      <c r="I21">
        <v>24.1</v>
      </c>
      <c r="L21" s="1"/>
      <c r="M21">
        <v>0</v>
      </c>
      <c r="N21">
        <v>3.3</v>
      </c>
      <c r="O21" s="14">
        <f t="shared" si="0"/>
        <v>-3.3</v>
      </c>
      <c r="P21">
        <v>0</v>
      </c>
      <c r="W21">
        <v>1327.3</v>
      </c>
    </row>
    <row r="22" spans="1:23" x14ac:dyDescent="0.25">
      <c r="A22">
        <v>5080</v>
      </c>
      <c r="B22">
        <v>18650</v>
      </c>
      <c r="C22" s="1">
        <v>42601</v>
      </c>
      <c r="D22" s="1"/>
      <c r="E22" s="1"/>
      <c r="F22" s="1"/>
      <c r="G22">
        <v>23.9</v>
      </c>
      <c r="H22">
        <v>16.399999999999999</v>
      </c>
      <c r="I22">
        <v>30.6</v>
      </c>
      <c r="L22" s="1"/>
      <c r="M22">
        <v>9.1999999999999993</v>
      </c>
      <c r="N22">
        <v>4.5999999999999996</v>
      </c>
      <c r="O22" s="14">
        <f t="shared" si="0"/>
        <v>4.5999999999999996</v>
      </c>
      <c r="P22">
        <f>O22</f>
        <v>4.5999999999999996</v>
      </c>
      <c r="W22">
        <v>1901.2</v>
      </c>
    </row>
    <row r="23" spans="1:23" x14ac:dyDescent="0.25">
      <c r="A23">
        <v>5080</v>
      </c>
      <c r="B23">
        <v>18650</v>
      </c>
      <c r="C23" s="1">
        <v>42602</v>
      </c>
      <c r="D23" s="1"/>
      <c r="E23" s="1"/>
      <c r="F23" s="1"/>
      <c r="G23">
        <v>18.3</v>
      </c>
      <c r="H23">
        <v>16.8</v>
      </c>
      <c r="I23">
        <v>19.899999999999999</v>
      </c>
      <c r="L23" s="1"/>
      <c r="M23">
        <v>5.5</v>
      </c>
      <c r="N23">
        <v>1.7</v>
      </c>
      <c r="O23" s="14">
        <f t="shared" si="0"/>
        <v>3.8</v>
      </c>
      <c r="P23">
        <f>P22+O23</f>
        <v>8.3999999999999986</v>
      </c>
      <c r="W23">
        <v>666</v>
      </c>
    </row>
    <row r="24" spans="1:23" x14ac:dyDescent="0.25">
      <c r="A24">
        <v>5080</v>
      </c>
      <c r="B24">
        <v>18650</v>
      </c>
      <c r="C24" s="1">
        <v>42603</v>
      </c>
      <c r="D24" s="1"/>
      <c r="E24" s="1"/>
      <c r="F24" s="1"/>
      <c r="G24">
        <v>19.899999999999999</v>
      </c>
      <c r="H24">
        <v>16.2</v>
      </c>
      <c r="I24">
        <v>23.9</v>
      </c>
      <c r="L24" s="1"/>
      <c r="M24">
        <v>0</v>
      </c>
      <c r="N24">
        <v>4.3</v>
      </c>
      <c r="O24" s="14">
        <f t="shared" si="0"/>
        <v>-4.3</v>
      </c>
      <c r="P24">
        <f t="shared" ref="P24:P53" si="1">P23+O24</f>
        <v>4.0999999999999988</v>
      </c>
      <c r="W24">
        <v>1914.6</v>
      </c>
    </row>
    <row r="25" spans="1:23" x14ac:dyDescent="0.25">
      <c r="A25">
        <v>5080</v>
      </c>
      <c r="B25">
        <v>18650</v>
      </c>
      <c r="C25" s="1">
        <v>42604</v>
      </c>
      <c r="D25" s="1"/>
      <c r="E25" s="1"/>
      <c r="F25" s="1"/>
      <c r="G25">
        <v>22.1</v>
      </c>
      <c r="H25">
        <v>14.6</v>
      </c>
      <c r="I25">
        <v>28.9</v>
      </c>
      <c r="L25" s="1"/>
      <c r="M25">
        <v>0</v>
      </c>
      <c r="N25">
        <v>6.6</v>
      </c>
      <c r="O25" s="14">
        <f t="shared" si="0"/>
        <v>-6.6</v>
      </c>
      <c r="P25">
        <v>0</v>
      </c>
      <c r="W25">
        <v>2551</v>
      </c>
    </row>
    <row r="26" spans="1:23" x14ac:dyDescent="0.25">
      <c r="A26">
        <v>5080</v>
      </c>
      <c r="B26">
        <v>18650</v>
      </c>
      <c r="C26" s="1">
        <v>42605</v>
      </c>
      <c r="D26" s="1"/>
      <c r="E26" s="1"/>
      <c r="F26" s="1"/>
      <c r="G26">
        <v>24.6</v>
      </c>
      <c r="H26">
        <v>17.5</v>
      </c>
      <c r="I26">
        <v>30.9</v>
      </c>
      <c r="L26" s="1"/>
      <c r="M26">
        <v>0</v>
      </c>
      <c r="N26">
        <v>8.1</v>
      </c>
      <c r="O26" s="14">
        <f t="shared" si="0"/>
        <v>-8.1</v>
      </c>
      <c r="P26">
        <v>0</v>
      </c>
      <c r="W26">
        <v>2633.7</v>
      </c>
    </row>
    <row r="27" spans="1:23" x14ac:dyDescent="0.25">
      <c r="A27">
        <v>5080</v>
      </c>
      <c r="B27">
        <v>18650</v>
      </c>
      <c r="C27" s="1">
        <v>42606</v>
      </c>
      <c r="D27" s="1"/>
      <c r="E27" s="1"/>
      <c r="F27" s="1"/>
      <c r="G27">
        <v>24.9</v>
      </c>
      <c r="H27">
        <v>16.600000000000001</v>
      </c>
      <c r="I27">
        <v>31.4</v>
      </c>
      <c r="L27" s="1"/>
      <c r="M27">
        <v>0</v>
      </c>
      <c r="N27">
        <v>7.1</v>
      </c>
      <c r="O27" s="14">
        <f t="shared" si="0"/>
        <v>-7.1</v>
      </c>
      <c r="P27">
        <v>0</v>
      </c>
      <c r="W27">
        <v>2568.3000000000002</v>
      </c>
    </row>
    <row r="28" spans="1:23" x14ac:dyDescent="0.25">
      <c r="A28">
        <v>5080</v>
      </c>
      <c r="B28">
        <v>18650</v>
      </c>
      <c r="C28" s="1">
        <v>42607</v>
      </c>
      <c r="D28" s="1"/>
      <c r="E28" s="1"/>
      <c r="F28" s="1"/>
      <c r="G28">
        <v>25.7</v>
      </c>
      <c r="H28">
        <v>18.7</v>
      </c>
      <c r="I28">
        <v>32.5</v>
      </c>
      <c r="L28" s="1"/>
      <c r="M28">
        <v>0</v>
      </c>
      <c r="N28">
        <v>8</v>
      </c>
      <c r="O28" s="14">
        <f t="shared" si="0"/>
        <v>-8</v>
      </c>
      <c r="P28">
        <v>0</v>
      </c>
      <c r="W28">
        <v>2515.8000000000002</v>
      </c>
    </row>
    <row r="29" spans="1:23" x14ac:dyDescent="0.25">
      <c r="A29">
        <v>5080</v>
      </c>
      <c r="B29">
        <v>18650</v>
      </c>
      <c r="C29" s="1">
        <v>42608</v>
      </c>
      <c r="D29" s="1"/>
      <c r="E29" s="1"/>
      <c r="F29" s="1"/>
      <c r="G29">
        <v>24.8</v>
      </c>
      <c r="H29">
        <v>19.8</v>
      </c>
      <c r="I29">
        <v>31.7</v>
      </c>
      <c r="L29" s="1"/>
      <c r="M29">
        <v>0</v>
      </c>
      <c r="N29">
        <v>5.9</v>
      </c>
      <c r="O29" s="14">
        <f t="shared" si="0"/>
        <v>-5.9</v>
      </c>
      <c r="P29">
        <v>0</v>
      </c>
      <c r="W29">
        <v>2371.1</v>
      </c>
    </row>
    <row r="30" spans="1:23" x14ac:dyDescent="0.25">
      <c r="A30">
        <v>5080</v>
      </c>
      <c r="B30">
        <v>18650</v>
      </c>
      <c r="C30" s="1">
        <v>42609</v>
      </c>
      <c r="D30" s="1"/>
      <c r="E30" s="1"/>
      <c r="F30" s="1"/>
      <c r="G30">
        <v>25.5</v>
      </c>
      <c r="H30">
        <v>18.899999999999999</v>
      </c>
      <c r="I30">
        <v>31.8</v>
      </c>
      <c r="L30" s="1"/>
      <c r="M30">
        <v>0.6</v>
      </c>
      <c r="N30">
        <v>6.5</v>
      </c>
      <c r="O30" s="14">
        <f t="shared" si="0"/>
        <v>-5.9</v>
      </c>
      <c r="P30">
        <v>0</v>
      </c>
      <c r="W30">
        <v>2017.4</v>
      </c>
    </row>
    <row r="31" spans="1:23" x14ac:dyDescent="0.25">
      <c r="A31">
        <v>5080</v>
      </c>
      <c r="B31">
        <v>18650</v>
      </c>
      <c r="C31" s="1">
        <v>42610</v>
      </c>
      <c r="D31" s="1"/>
      <c r="E31" s="1"/>
      <c r="F31" s="1"/>
      <c r="G31">
        <v>23.2</v>
      </c>
      <c r="H31">
        <v>20.399999999999999</v>
      </c>
      <c r="I31">
        <v>26.2</v>
      </c>
      <c r="L31" s="1"/>
      <c r="M31">
        <v>1.1000000000000001</v>
      </c>
      <c r="N31">
        <v>2.8</v>
      </c>
      <c r="O31" s="14">
        <f t="shared" si="0"/>
        <v>-1.6999999999999997</v>
      </c>
      <c r="P31">
        <v>0</v>
      </c>
      <c r="W31">
        <v>854.5</v>
      </c>
    </row>
    <row r="32" spans="1:23" x14ac:dyDescent="0.25">
      <c r="A32">
        <v>5080</v>
      </c>
      <c r="B32">
        <v>18650</v>
      </c>
      <c r="C32" s="1">
        <v>42611</v>
      </c>
      <c r="D32" s="1"/>
      <c r="E32" s="1"/>
      <c r="F32" s="1"/>
      <c r="G32">
        <v>20.8</v>
      </c>
      <c r="H32">
        <v>19.100000000000001</v>
      </c>
      <c r="I32">
        <v>22.7</v>
      </c>
      <c r="L32" s="1"/>
      <c r="M32">
        <v>0</v>
      </c>
      <c r="N32">
        <v>3.6</v>
      </c>
      <c r="O32" s="14">
        <f t="shared" si="0"/>
        <v>-3.6</v>
      </c>
      <c r="P32">
        <v>0</v>
      </c>
      <c r="W32">
        <v>1219.2</v>
      </c>
    </row>
    <row r="33" spans="1:23" x14ac:dyDescent="0.25">
      <c r="A33">
        <v>5080</v>
      </c>
      <c r="B33">
        <v>18650</v>
      </c>
      <c r="C33" s="1">
        <v>42612</v>
      </c>
      <c r="D33" s="1"/>
      <c r="E33" s="1"/>
      <c r="F33" s="1"/>
      <c r="G33">
        <v>21.2</v>
      </c>
      <c r="H33">
        <v>15.3</v>
      </c>
      <c r="I33">
        <v>26.1</v>
      </c>
      <c r="L33" s="1"/>
      <c r="M33">
        <v>0</v>
      </c>
      <c r="N33">
        <v>4.3</v>
      </c>
      <c r="O33" s="14">
        <f t="shared" si="0"/>
        <v>-4.3</v>
      </c>
      <c r="P33">
        <v>0</v>
      </c>
      <c r="W33">
        <v>1971.8</v>
      </c>
    </row>
    <row r="34" spans="1:23" x14ac:dyDescent="0.25">
      <c r="A34">
        <v>5080</v>
      </c>
      <c r="B34">
        <v>18650</v>
      </c>
      <c r="C34" s="1">
        <v>42613</v>
      </c>
      <c r="D34" s="1"/>
      <c r="E34" s="1"/>
      <c r="F34" s="1"/>
      <c r="G34">
        <v>23</v>
      </c>
      <c r="H34">
        <v>14.9</v>
      </c>
      <c r="I34">
        <v>28.9</v>
      </c>
      <c r="L34" s="1"/>
      <c r="M34">
        <v>0</v>
      </c>
      <c r="N34">
        <v>4.8</v>
      </c>
      <c r="O34" s="14">
        <f t="shared" si="0"/>
        <v>-4.8</v>
      </c>
      <c r="P34">
        <v>0</v>
      </c>
      <c r="W34">
        <v>2030.6</v>
      </c>
    </row>
    <row r="35" spans="1:23" x14ac:dyDescent="0.25">
      <c r="A35">
        <v>5080</v>
      </c>
      <c r="B35">
        <v>18650</v>
      </c>
      <c r="C35" s="1">
        <v>42614</v>
      </c>
      <c r="D35" s="1"/>
      <c r="E35" s="1"/>
      <c r="F35" s="1"/>
      <c r="G35">
        <v>24.8</v>
      </c>
      <c r="H35">
        <v>19.8</v>
      </c>
      <c r="I35">
        <v>29.5</v>
      </c>
      <c r="L35" s="1"/>
      <c r="M35">
        <v>0</v>
      </c>
      <c r="N35">
        <v>5.7</v>
      </c>
      <c r="O35" s="14">
        <f t="shared" si="0"/>
        <v>-5.7</v>
      </c>
      <c r="P35">
        <v>0</v>
      </c>
      <c r="W35">
        <v>1961.4</v>
      </c>
    </row>
    <row r="36" spans="1:23" x14ac:dyDescent="0.25">
      <c r="A36">
        <v>5080</v>
      </c>
      <c r="B36">
        <v>18650</v>
      </c>
      <c r="C36" s="1">
        <v>42615</v>
      </c>
      <c r="D36" s="1"/>
      <c r="E36" s="1"/>
      <c r="F36" s="1"/>
      <c r="G36">
        <v>25</v>
      </c>
      <c r="H36">
        <v>17.399999999999999</v>
      </c>
      <c r="I36">
        <v>30.9</v>
      </c>
      <c r="L36" s="1"/>
      <c r="M36">
        <v>0</v>
      </c>
      <c r="N36">
        <v>5.6</v>
      </c>
      <c r="O36" s="14">
        <f t="shared" si="0"/>
        <v>-5.6</v>
      </c>
      <c r="P36">
        <v>0</v>
      </c>
      <c r="W36">
        <v>2106.4</v>
      </c>
    </row>
    <row r="37" spans="1:23" x14ac:dyDescent="0.25">
      <c r="A37">
        <v>5080</v>
      </c>
      <c r="B37">
        <v>18650</v>
      </c>
      <c r="C37" s="1">
        <v>42616</v>
      </c>
      <c r="D37" s="1"/>
      <c r="E37" s="1"/>
      <c r="F37" s="1"/>
      <c r="G37">
        <v>25</v>
      </c>
      <c r="H37">
        <v>18.3</v>
      </c>
      <c r="I37">
        <v>30.7</v>
      </c>
      <c r="L37" s="1"/>
      <c r="M37">
        <v>0</v>
      </c>
      <c r="N37">
        <v>5.2</v>
      </c>
      <c r="O37" s="14">
        <f t="shared" si="0"/>
        <v>-5.2</v>
      </c>
      <c r="P37">
        <v>0</v>
      </c>
      <c r="W37">
        <v>2062.5</v>
      </c>
    </row>
    <row r="38" spans="1:23" x14ac:dyDescent="0.25">
      <c r="A38">
        <v>5080</v>
      </c>
      <c r="B38">
        <v>18650</v>
      </c>
      <c r="C38" s="1">
        <v>42617</v>
      </c>
      <c r="D38" s="1"/>
      <c r="E38" s="1"/>
      <c r="F38" s="1"/>
      <c r="G38">
        <v>24.8</v>
      </c>
      <c r="H38">
        <v>20.7</v>
      </c>
      <c r="I38">
        <v>29.4</v>
      </c>
      <c r="L38" s="1"/>
      <c r="M38">
        <v>0</v>
      </c>
      <c r="N38">
        <v>5.2</v>
      </c>
      <c r="O38" s="14">
        <f t="shared" si="0"/>
        <v>-5.2</v>
      </c>
      <c r="P38">
        <v>0</v>
      </c>
      <c r="W38">
        <v>1900.3</v>
      </c>
    </row>
    <row r="39" spans="1:23" x14ac:dyDescent="0.25">
      <c r="A39">
        <v>5080</v>
      </c>
      <c r="B39">
        <v>18650</v>
      </c>
      <c r="C39" s="1">
        <v>42618</v>
      </c>
      <c r="D39" s="1"/>
      <c r="E39" s="1"/>
      <c r="F39" s="1"/>
      <c r="G39">
        <v>22.6</v>
      </c>
      <c r="H39">
        <v>19.2</v>
      </c>
      <c r="I39">
        <v>26.4</v>
      </c>
      <c r="L39" s="1"/>
      <c r="M39">
        <v>0</v>
      </c>
      <c r="N39">
        <v>6</v>
      </c>
      <c r="O39" s="14">
        <f t="shared" si="0"/>
        <v>-6</v>
      </c>
      <c r="P39">
        <v>0</v>
      </c>
      <c r="W39">
        <v>2447.4</v>
      </c>
    </row>
    <row r="40" spans="1:23" x14ac:dyDescent="0.25">
      <c r="A40">
        <v>5080</v>
      </c>
      <c r="B40">
        <v>18650</v>
      </c>
      <c r="C40" s="1">
        <v>42619</v>
      </c>
      <c r="D40" s="1"/>
      <c r="E40" s="1"/>
      <c r="F40" s="1"/>
      <c r="G40">
        <v>24.8</v>
      </c>
      <c r="H40">
        <v>18.7</v>
      </c>
      <c r="I40">
        <v>29.9</v>
      </c>
      <c r="L40" s="1"/>
      <c r="M40">
        <v>0</v>
      </c>
      <c r="N40">
        <v>5.8</v>
      </c>
      <c r="O40" s="14">
        <f t="shared" si="0"/>
        <v>-5.8</v>
      </c>
      <c r="P40">
        <v>0</v>
      </c>
      <c r="W40">
        <v>2336</v>
      </c>
    </row>
    <row r="41" spans="1:23" x14ac:dyDescent="0.25">
      <c r="A41">
        <v>5080</v>
      </c>
      <c r="B41">
        <v>18650</v>
      </c>
      <c r="C41" s="1">
        <v>42620</v>
      </c>
      <c r="D41" s="1"/>
      <c r="E41" s="1"/>
      <c r="F41" s="1"/>
      <c r="G41">
        <v>24.1</v>
      </c>
      <c r="H41">
        <v>18</v>
      </c>
      <c r="I41">
        <v>30.3</v>
      </c>
      <c r="L41" s="1"/>
      <c r="M41">
        <v>0.8</v>
      </c>
      <c r="N41">
        <v>7</v>
      </c>
      <c r="O41" s="14">
        <f t="shared" si="0"/>
        <v>-6.2</v>
      </c>
      <c r="P41">
        <v>0</v>
      </c>
      <c r="W41">
        <v>2338.6</v>
      </c>
    </row>
    <row r="42" spans="1:23" x14ac:dyDescent="0.25">
      <c r="A42">
        <v>5080</v>
      </c>
      <c r="B42">
        <v>18650</v>
      </c>
      <c r="C42" s="1">
        <v>42621</v>
      </c>
      <c r="D42" s="1"/>
      <c r="E42" s="1"/>
      <c r="F42" s="1"/>
      <c r="G42">
        <v>22</v>
      </c>
      <c r="H42">
        <v>19.600000000000001</v>
      </c>
      <c r="I42">
        <v>25</v>
      </c>
      <c r="L42" s="1"/>
      <c r="M42">
        <v>0</v>
      </c>
      <c r="N42">
        <v>4.2</v>
      </c>
      <c r="O42" s="14">
        <f t="shared" si="0"/>
        <v>-4.2</v>
      </c>
      <c r="P42">
        <v>0</v>
      </c>
      <c r="W42">
        <v>1401.7</v>
      </c>
    </row>
    <row r="43" spans="1:23" x14ac:dyDescent="0.25">
      <c r="A43">
        <v>5080</v>
      </c>
      <c r="B43">
        <v>18650</v>
      </c>
      <c r="C43" s="1">
        <v>42622</v>
      </c>
      <c r="D43" s="1"/>
      <c r="E43" s="1"/>
      <c r="F43" s="1"/>
      <c r="G43">
        <v>22</v>
      </c>
      <c r="H43">
        <v>16.3</v>
      </c>
      <c r="I43">
        <v>27.2</v>
      </c>
      <c r="L43" s="1"/>
      <c r="M43">
        <v>0.8</v>
      </c>
      <c r="N43">
        <v>4.5999999999999996</v>
      </c>
      <c r="O43" s="14">
        <f t="shared" si="0"/>
        <v>-3.8</v>
      </c>
      <c r="P43">
        <v>0</v>
      </c>
      <c r="W43">
        <v>1742.5</v>
      </c>
    </row>
    <row r="44" spans="1:23" x14ac:dyDescent="0.25">
      <c r="A44">
        <v>5080</v>
      </c>
      <c r="B44">
        <v>18650</v>
      </c>
      <c r="C44" s="1">
        <v>42623</v>
      </c>
      <c r="D44" s="1"/>
      <c r="E44" s="1"/>
      <c r="F44" s="1"/>
      <c r="G44">
        <v>22</v>
      </c>
      <c r="H44">
        <v>15.9</v>
      </c>
      <c r="I44">
        <v>27.2</v>
      </c>
      <c r="L44" s="1"/>
      <c r="M44">
        <v>0</v>
      </c>
      <c r="N44">
        <v>5.0999999999999996</v>
      </c>
      <c r="O44" s="14">
        <f t="shared" si="0"/>
        <v>-5.0999999999999996</v>
      </c>
      <c r="P44">
        <v>0</v>
      </c>
      <c r="W44">
        <v>2210.5</v>
      </c>
    </row>
    <row r="45" spans="1:23" x14ac:dyDescent="0.25">
      <c r="A45">
        <v>5080</v>
      </c>
      <c r="B45">
        <v>18650</v>
      </c>
      <c r="C45" s="1">
        <v>42624</v>
      </c>
      <c r="D45" s="1"/>
      <c r="E45" s="1"/>
      <c r="F45" s="1"/>
      <c r="G45">
        <v>23.1</v>
      </c>
      <c r="H45">
        <v>16.2</v>
      </c>
      <c r="I45">
        <v>28.4</v>
      </c>
      <c r="L45" s="1"/>
      <c r="M45">
        <v>0</v>
      </c>
      <c r="N45">
        <v>4.8</v>
      </c>
      <c r="O45" s="14">
        <f t="shared" si="0"/>
        <v>-4.8</v>
      </c>
      <c r="P45">
        <v>0</v>
      </c>
      <c r="W45">
        <v>2116.3000000000002</v>
      </c>
    </row>
    <row r="46" spans="1:23" x14ac:dyDescent="0.25">
      <c r="A46">
        <v>5080</v>
      </c>
      <c r="B46">
        <v>18650</v>
      </c>
      <c r="C46" s="1">
        <v>42625</v>
      </c>
      <c r="D46" s="1"/>
      <c r="E46" s="1"/>
      <c r="F46" s="1"/>
      <c r="G46">
        <v>25.2</v>
      </c>
      <c r="H46">
        <v>19</v>
      </c>
      <c r="I46">
        <v>30.8</v>
      </c>
      <c r="L46" s="1"/>
      <c r="M46">
        <v>0</v>
      </c>
      <c r="N46">
        <v>6.8</v>
      </c>
      <c r="O46" s="14">
        <f t="shared" si="0"/>
        <v>-6.8</v>
      </c>
      <c r="P46">
        <v>0</v>
      </c>
      <c r="W46">
        <v>2299.4</v>
      </c>
    </row>
    <row r="47" spans="1:23" x14ac:dyDescent="0.25">
      <c r="A47">
        <v>5080</v>
      </c>
      <c r="B47">
        <v>18650</v>
      </c>
      <c r="C47" s="1">
        <v>42626</v>
      </c>
      <c r="D47" s="1"/>
      <c r="E47" s="1"/>
      <c r="F47" s="1"/>
      <c r="G47">
        <v>24.6</v>
      </c>
      <c r="H47">
        <v>22.6</v>
      </c>
      <c r="I47">
        <v>30.4</v>
      </c>
      <c r="L47" s="1"/>
      <c r="M47">
        <v>13.4</v>
      </c>
      <c r="N47">
        <v>6.6</v>
      </c>
      <c r="O47" s="14">
        <f t="shared" si="0"/>
        <v>6.8000000000000007</v>
      </c>
      <c r="P47">
        <f t="shared" si="1"/>
        <v>6.8000000000000007</v>
      </c>
      <c r="W47">
        <v>1967.8</v>
      </c>
    </row>
    <row r="48" spans="1:23" x14ac:dyDescent="0.25">
      <c r="A48">
        <v>5080</v>
      </c>
      <c r="B48">
        <v>18650</v>
      </c>
      <c r="C48" s="1">
        <v>42627</v>
      </c>
      <c r="D48" s="1"/>
      <c r="E48" s="1"/>
      <c r="F48" s="1"/>
      <c r="G48">
        <v>15.9</v>
      </c>
      <c r="H48">
        <v>15.7</v>
      </c>
      <c r="I48">
        <v>16.8</v>
      </c>
      <c r="L48" s="1"/>
      <c r="M48">
        <v>5.8</v>
      </c>
      <c r="N48">
        <v>1</v>
      </c>
      <c r="O48" s="14">
        <f t="shared" si="0"/>
        <v>4.8</v>
      </c>
      <c r="P48">
        <f t="shared" si="1"/>
        <v>11.600000000000001</v>
      </c>
      <c r="W48">
        <v>505.3</v>
      </c>
    </row>
    <row r="49" spans="1:28" x14ac:dyDescent="0.25">
      <c r="A49">
        <v>5080</v>
      </c>
      <c r="B49">
        <v>18650</v>
      </c>
      <c r="C49" s="1">
        <v>42628</v>
      </c>
      <c r="D49" s="1"/>
      <c r="E49" s="1"/>
      <c r="F49" s="1"/>
      <c r="G49">
        <v>16.899999999999999</v>
      </c>
      <c r="H49">
        <v>11.6</v>
      </c>
      <c r="I49">
        <v>20.7</v>
      </c>
      <c r="L49" s="1"/>
      <c r="M49">
        <v>2.2999999999999998</v>
      </c>
      <c r="N49">
        <v>1.7</v>
      </c>
      <c r="O49" s="14">
        <f t="shared" si="0"/>
        <v>0.59999999999999987</v>
      </c>
      <c r="P49">
        <f t="shared" si="1"/>
        <v>12.200000000000001</v>
      </c>
      <c r="W49">
        <v>905.8</v>
      </c>
    </row>
    <row r="50" spans="1:28" x14ac:dyDescent="0.25">
      <c r="A50">
        <v>5080</v>
      </c>
      <c r="B50">
        <v>18650</v>
      </c>
      <c r="C50" s="1">
        <v>42629</v>
      </c>
      <c r="D50" s="1"/>
      <c r="E50" s="1"/>
      <c r="F50" s="1"/>
      <c r="G50">
        <v>16.8</v>
      </c>
      <c r="H50">
        <v>14.9</v>
      </c>
      <c r="I50">
        <v>20.6</v>
      </c>
      <c r="L50" s="1"/>
      <c r="M50">
        <v>0.8</v>
      </c>
      <c r="N50">
        <v>2.7</v>
      </c>
      <c r="O50" s="14">
        <f t="shared" si="0"/>
        <v>-1.9000000000000001</v>
      </c>
      <c r="P50">
        <f t="shared" si="1"/>
        <v>10.3</v>
      </c>
      <c r="W50">
        <v>1214.7</v>
      </c>
    </row>
    <row r="51" spans="1:28" x14ac:dyDescent="0.25">
      <c r="A51">
        <v>5080</v>
      </c>
      <c r="B51">
        <v>18650</v>
      </c>
      <c r="C51" s="1">
        <v>42630</v>
      </c>
      <c r="D51" s="1"/>
      <c r="E51" s="1"/>
      <c r="F51" s="1"/>
      <c r="G51">
        <v>16.5</v>
      </c>
      <c r="H51">
        <v>14.1</v>
      </c>
      <c r="I51">
        <v>19.5</v>
      </c>
      <c r="L51" s="1"/>
      <c r="M51">
        <v>0</v>
      </c>
      <c r="N51">
        <v>3.5</v>
      </c>
      <c r="O51" s="14">
        <f t="shared" si="0"/>
        <v>-3.5</v>
      </c>
      <c r="P51">
        <f t="shared" si="1"/>
        <v>6.8000000000000007</v>
      </c>
      <c r="V51">
        <v>157.80000000000001</v>
      </c>
      <c r="W51">
        <v>1470</v>
      </c>
    </row>
    <row r="52" spans="1:28" x14ac:dyDescent="0.25">
      <c r="A52">
        <v>5080</v>
      </c>
      <c r="B52">
        <v>18650</v>
      </c>
      <c r="C52" s="1">
        <v>42631</v>
      </c>
      <c r="D52" s="1"/>
      <c r="E52" s="1"/>
      <c r="F52" s="1"/>
      <c r="G52">
        <v>15.8</v>
      </c>
      <c r="H52">
        <v>12.5</v>
      </c>
      <c r="I52">
        <v>17.899999999999999</v>
      </c>
      <c r="L52" s="1"/>
      <c r="M52">
        <v>0</v>
      </c>
      <c r="N52">
        <v>1.9</v>
      </c>
      <c r="O52" s="14">
        <f t="shared" si="0"/>
        <v>-1.9</v>
      </c>
      <c r="P52">
        <f t="shared" si="1"/>
        <v>4.9000000000000004</v>
      </c>
      <c r="W52">
        <v>818.8</v>
      </c>
    </row>
    <row r="53" spans="1:28" s="17" customFormat="1" ht="15.75" thickBot="1" x14ac:dyDescent="0.3">
      <c r="A53" s="17">
        <v>5080</v>
      </c>
      <c r="B53" s="17">
        <v>18650</v>
      </c>
      <c r="C53" s="18">
        <v>42632</v>
      </c>
      <c r="D53" s="18"/>
      <c r="E53" s="18"/>
      <c r="F53" s="18"/>
      <c r="G53" s="17">
        <v>18.100000000000001</v>
      </c>
      <c r="H53" s="17">
        <v>14.5</v>
      </c>
      <c r="I53" s="17">
        <v>21.2</v>
      </c>
      <c r="J53" s="19"/>
      <c r="K53" s="19"/>
      <c r="L53" s="18"/>
      <c r="M53" s="17">
        <v>0</v>
      </c>
      <c r="N53" s="17">
        <v>2.9</v>
      </c>
      <c r="O53" s="14">
        <f t="shared" si="0"/>
        <v>-2.9</v>
      </c>
      <c r="P53">
        <f t="shared" si="1"/>
        <v>2.0000000000000004</v>
      </c>
      <c r="T53" s="19"/>
      <c r="W53" s="17">
        <v>1217.5999999999999</v>
      </c>
    </row>
    <row r="54" spans="1:28" s="20" customFormat="1" ht="15.75" thickBot="1" x14ac:dyDescent="0.3">
      <c r="A54" s="58" t="s">
        <v>31</v>
      </c>
      <c r="B54" s="58"/>
      <c r="C54" s="58"/>
      <c r="D54" s="58"/>
      <c r="E54" s="58"/>
      <c r="F54" s="58"/>
      <c r="J54" s="21"/>
      <c r="K54" s="21"/>
      <c r="L54" s="22"/>
      <c r="O54" s="21"/>
      <c r="T54" s="21"/>
    </row>
    <row r="55" spans="1:28" x14ac:dyDescent="0.25">
      <c r="A55">
        <v>5080</v>
      </c>
      <c r="B55">
        <v>18650</v>
      </c>
      <c r="C55" s="1">
        <v>42633</v>
      </c>
      <c r="D55" s="1"/>
      <c r="E55" s="1"/>
      <c r="F55" s="60" t="s">
        <v>35</v>
      </c>
      <c r="G55">
        <v>18.7</v>
      </c>
      <c r="H55">
        <v>14.8</v>
      </c>
      <c r="I55">
        <v>22.8</v>
      </c>
      <c r="J55" s="14">
        <f>G55</f>
        <v>18.7</v>
      </c>
      <c r="L55" s="10" t="s">
        <v>37</v>
      </c>
      <c r="M55">
        <v>0.1</v>
      </c>
      <c r="N55">
        <v>2.5</v>
      </c>
      <c r="O55" s="14">
        <f>M55-N55</f>
        <v>-2.4</v>
      </c>
      <c r="P55">
        <v>0</v>
      </c>
      <c r="Q55">
        <v>1</v>
      </c>
      <c r="R55">
        <v>0.35</v>
      </c>
      <c r="S55" s="41">
        <f>R55*N55</f>
        <v>0.875</v>
      </c>
      <c r="T55" s="41">
        <f>M55-S55</f>
        <v>-0.77500000000000002</v>
      </c>
      <c r="U55" s="41">
        <f>P53+T55</f>
        <v>1.2250000000000005</v>
      </c>
      <c r="V55" s="32" t="s">
        <v>50</v>
      </c>
      <c r="W55">
        <v>971.2</v>
      </c>
      <c r="Y55">
        <f>W55</f>
        <v>971.2</v>
      </c>
      <c r="AA55">
        <v>12.02581273947338</v>
      </c>
      <c r="AB55" s="32" t="s">
        <v>56</v>
      </c>
    </row>
    <row r="56" spans="1:28" x14ac:dyDescent="0.25">
      <c r="A56">
        <v>5080</v>
      </c>
      <c r="B56">
        <v>18650</v>
      </c>
      <c r="C56" s="1">
        <v>42634</v>
      </c>
      <c r="D56" s="1"/>
      <c r="E56" s="1"/>
      <c r="F56" s="60"/>
      <c r="G56">
        <v>18.5</v>
      </c>
      <c r="H56">
        <v>14.3</v>
      </c>
      <c r="I56">
        <v>23.7</v>
      </c>
      <c r="J56" s="14">
        <f>J55+G56</f>
        <v>37.200000000000003</v>
      </c>
      <c r="L56" s="8">
        <v>1074.5999999999999</v>
      </c>
      <c r="M56">
        <v>0</v>
      </c>
      <c r="N56">
        <v>3.4</v>
      </c>
      <c r="O56" s="14">
        <f t="shared" ref="O56:O119" si="2">M56-N56</f>
        <v>-3.4</v>
      </c>
      <c r="P56" s="40">
        <v>0</v>
      </c>
      <c r="Q56">
        <v>2</v>
      </c>
      <c r="R56">
        <v>0.35</v>
      </c>
      <c r="S56" s="41">
        <f t="shared" ref="S56:S119" si="3">R56*N56</f>
        <v>1.19</v>
      </c>
      <c r="T56" s="41">
        <f t="shared" ref="T56:T119" si="4">M56-S56</f>
        <v>-1.19</v>
      </c>
      <c r="U56" s="41">
        <f>MIN(U55+T56,157.8)</f>
        <v>3.5000000000000586E-2</v>
      </c>
      <c r="V56">
        <v>18</v>
      </c>
      <c r="W56">
        <v>1641.8</v>
      </c>
      <c r="Y56">
        <f>Y55+W56</f>
        <v>2613</v>
      </c>
      <c r="AA56">
        <v>11.974187260526621</v>
      </c>
      <c r="AB56">
        <v>67506.7</v>
      </c>
    </row>
    <row r="57" spans="1:28" x14ac:dyDescent="0.25">
      <c r="A57">
        <v>5080</v>
      </c>
      <c r="B57">
        <v>18650</v>
      </c>
      <c r="C57" s="1">
        <v>42635</v>
      </c>
      <c r="D57" s="1"/>
      <c r="E57" s="1"/>
      <c r="F57" s="60"/>
      <c r="G57">
        <v>18.5</v>
      </c>
      <c r="H57">
        <v>11.2</v>
      </c>
      <c r="I57">
        <v>24.1</v>
      </c>
      <c r="J57" s="14">
        <f t="shared" ref="J57:J120" si="5">J56+G57</f>
        <v>55.7</v>
      </c>
      <c r="L57" s="10" t="s">
        <v>38</v>
      </c>
      <c r="M57">
        <v>0</v>
      </c>
      <c r="N57">
        <v>3.9</v>
      </c>
      <c r="O57" s="14">
        <f t="shared" si="2"/>
        <v>-3.9</v>
      </c>
      <c r="P57">
        <v>0</v>
      </c>
      <c r="Q57">
        <v>3</v>
      </c>
      <c r="R57">
        <v>0.35</v>
      </c>
      <c r="S57" s="41">
        <f t="shared" si="3"/>
        <v>1.365</v>
      </c>
      <c r="T57" s="41">
        <f t="shared" si="4"/>
        <v>-1.365</v>
      </c>
      <c r="U57" s="41">
        <v>0</v>
      </c>
      <c r="V57" s="32" t="s">
        <v>51</v>
      </c>
      <c r="W57">
        <v>1998.1</v>
      </c>
      <c r="Y57">
        <f t="shared" ref="Y57:Y120" si="6">Y56+W57</f>
        <v>4611.1000000000004</v>
      </c>
      <c r="AA57">
        <v>11.92256569003384</v>
      </c>
      <c r="AB57" s="32" t="s">
        <v>57</v>
      </c>
    </row>
    <row r="58" spans="1:28" x14ac:dyDescent="0.25">
      <c r="A58">
        <v>5080</v>
      </c>
      <c r="B58">
        <v>18650</v>
      </c>
      <c r="C58" s="1">
        <v>42636</v>
      </c>
      <c r="D58" s="1"/>
      <c r="E58" s="1"/>
      <c r="F58" s="60"/>
      <c r="G58">
        <v>19.399999999999999</v>
      </c>
      <c r="H58">
        <v>14.1</v>
      </c>
      <c r="I58">
        <v>24.7</v>
      </c>
      <c r="J58" s="14">
        <f t="shared" si="5"/>
        <v>75.099999999999994</v>
      </c>
      <c r="L58" s="8">
        <f>AVERAGE(G55:G143)</f>
        <v>12.074157303370791</v>
      </c>
      <c r="M58">
        <v>0</v>
      </c>
      <c r="N58">
        <v>2.2999999999999998</v>
      </c>
      <c r="O58" s="14">
        <f t="shared" si="2"/>
        <v>-2.2999999999999998</v>
      </c>
      <c r="P58">
        <v>0</v>
      </c>
      <c r="Q58">
        <v>4</v>
      </c>
      <c r="R58">
        <v>0.35</v>
      </c>
      <c r="S58" s="41">
        <f t="shared" si="3"/>
        <v>0.80499999999999994</v>
      </c>
      <c r="T58" s="41">
        <f t="shared" si="4"/>
        <v>-0.80499999999999994</v>
      </c>
      <c r="U58" s="41">
        <v>0</v>
      </c>
      <c r="V58">
        <v>36</v>
      </c>
      <c r="W58">
        <v>1278.0999999999999</v>
      </c>
      <c r="Y58">
        <f t="shared" si="6"/>
        <v>5889.2000000000007</v>
      </c>
      <c r="AA58">
        <v>11.870955851049526</v>
      </c>
      <c r="AB58">
        <f>(AB56/100)/L56</f>
        <v>0.6282030522985298</v>
      </c>
    </row>
    <row r="59" spans="1:28" x14ac:dyDescent="0.25">
      <c r="A59">
        <v>5080</v>
      </c>
      <c r="B59">
        <v>18650</v>
      </c>
      <c r="C59" s="1">
        <v>42637</v>
      </c>
      <c r="D59" s="1"/>
      <c r="E59" s="1"/>
      <c r="F59" s="60"/>
      <c r="G59">
        <v>19.8</v>
      </c>
      <c r="H59">
        <v>12.8</v>
      </c>
      <c r="I59">
        <v>26.1</v>
      </c>
      <c r="J59" s="14">
        <f t="shared" si="5"/>
        <v>94.899999999999991</v>
      </c>
      <c r="L59" s="10" t="s">
        <v>39</v>
      </c>
      <c r="M59">
        <v>0</v>
      </c>
      <c r="N59">
        <v>4.4000000000000004</v>
      </c>
      <c r="O59" s="14">
        <f t="shared" si="2"/>
        <v>-4.4000000000000004</v>
      </c>
      <c r="P59">
        <v>0</v>
      </c>
      <c r="Q59">
        <v>5</v>
      </c>
      <c r="R59">
        <v>0.35</v>
      </c>
      <c r="S59" s="41">
        <f t="shared" si="3"/>
        <v>1.54</v>
      </c>
      <c r="T59" s="41">
        <f t="shared" si="4"/>
        <v>-1.54</v>
      </c>
      <c r="U59" s="41">
        <v>0</v>
      </c>
      <c r="V59" s="32" t="s">
        <v>52</v>
      </c>
      <c r="W59">
        <v>1778.6</v>
      </c>
      <c r="Y59">
        <f t="shared" si="6"/>
        <v>7667.8000000000011</v>
      </c>
      <c r="AA59">
        <v>11.819365585061311</v>
      </c>
      <c r="AB59" s="32" t="s">
        <v>58</v>
      </c>
    </row>
    <row r="60" spans="1:28" x14ac:dyDescent="0.25">
      <c r="A60">
        <v>5080</v>
      </c>
      <c r="B60">
        <v>18650</v>
      </c>
      <c r="C60" s="1">
        <v>42638</v>
      </c>
      <c r="D60" s="1"/>
      <c r="E60" s="1"/>
      <c r="F60" s="60"/>
      <c r="G60">
        <v>18.3</v>
      </c>
      <c r="H60">
        <v>18.100000000000001</v>
      </c>
      <c r="I60">
        <v>20.399999999999999</v>
      </c>
      <c r="J60" s="14">
        <f t="shared" si="5"/>
        <v>113.19999999999999</v>
      </c>
      <c r="L60" s="9">
        <f>MIN(H55:H143)</f>
        <v>-2</v>
      </c>
      <c r="M60">
        <v>0.6</v>
      </c>
      <c r="N60">
        <v>2.2999999999999998</v>
      </c>
      <c r="O60" s="14">
        <f t="shared" si="2"/>
        <v>-1.6999999999999997</v>
      </c>
      <c r="P60">
        <v>0</v>
      </c>
      <c r="Q60">
        <v>6</v>
      </c>
      <c r="R60">
        <v>0.35</v>
      </c>
      <c r="S60" s="41">
        <f t="shared" si="3"/>
        <v>0.80499999999999994</v>
      </c>
      <c r="T60" s="41">
        <f t="shared" si="4"/>
        <v>-0.20499999999999996</v>
      </c>
      <c r="U60" s="41">
        <v>0</v>
      </c>
      <c r="V60">
        <v>0</v>
      </c>
      <c r="W60">
        <v>901.1</v>
      </c>
      <c r="Y60">
        <f t="shared" si="6"/>
        <v>8568.9000000000015</v>
      </c>
      <c r="AA60">
        <v>11.767802764257356</v>
      </c>
      <c r="AB60">
        <v>65</v>
      </c>
    </row>
    <row r="61" spans="1:28" x14ac:dyDescent="0.25">
      <c r="A61">
        <v>5080</v>
      </c>
      <c r="B61">
        <v>18650</v>
      </c>
      <c r="C61" s="1">
        <v>42639</v>
      </c>
      <c r="D61" s="1"/>
      <c r="E61" s="1"/>
      <c r="F61" s="60"/>
      <c r="G61">
        <v>17</v>
      </c>
      <c r="H61">
        <v>12.8</v>
      </c>
      <c r="I61">
        <v>20.5</v>
      </c>
      <c r="J61" s="14">
        <f t="shared" si="5"/>
        <v>130.19999999999999</v>
      </c>
      <c r="L61" s="10" t="s">
        <v>40</v>
      </c>
      <c r="M61">
        <v>0</v>
      </c>
      <c r="N61">
        <v>1.8</v>
      </c>
      <c r="O61" s="14">
        <f t="shared" si="2"/>
        <v>-1.8</v>
      </c>
      <c r="P61">
        <v>0</v>
      </c>
      <c r="Q61">
        <v>7</v>
      </c>
      <c r="R61">
        <v>0.35</v>
      </c>
      <c r="S61" s="41">
        <f t="shared" si="3"/>
        <v>0.63</v>
      </c>
      <c r="T61" s="41">
        <f t="shared" si="4"/>
        <v>-0.63</v>
      </c>
      <c r="U61" s="41">
        <v>0</v>
      </c>
      <c r="V61" s="32" t="s">
        <v>53</v>
      </c>
      <c r="W61">
        <v>1011.7</v>
      </c>
      <c r="Y61">
        <f t="shared" si="6"/>
        <v>9580.6000000000022</v>
      </c>
      <c r="AA61">
        <v>11.716275303761472</v>
      </c>
    </row>
    <row r="62" spans="1:28" x14ac:dyDescent="0.25">
      <c r="A62">
        <v>5080</v>
      </c>
      <c r="B62">
        <v>18650</v>
      </c>
      <c r="C62" s="1">
        <v>42640</v>
      </c>
      <c r="D62" s="1" t="s">
        <v>33</v>
      </c>
      <c r="E62" s="1"/>
      <c r="F62" s="60"/>
      <c r="G62">
        <v>18.399999999999999</v>
      </c>
      <c r="H62">
        <v>12.6</v>
      </c>
      <c r="I62">
        <v>23.7</v>
      </c>
      <c r="J62" s="14">
        <f t="shared" si="5"/>
        <v>148.6</v>
      </c>
      <c r="L62" s="8">
        <f>MAX(I55:I143)</f>
        <v>26.6</v>
      </c>
      <c r="M62">
        <v>0</v>
      </c>
      <c r="N62">
        <v>3.3</v>
      </c>
      <c r="O62" s="14">
        <f t="shared" si="2"/>
        <v>-3.3</v>
      </c>
      <c r="P62">
        <v>0</v>
      </c>
      <c r="Q62">
        <v>8</v>
      </c>
      <c r="R62">
        <v>0.35</v>
      </c>
      <c r="S62" s="41">
        <f t="shared" si="3"/>
        <v>1.1549999999999998</v>
      </c>
      <c r="T62" s="41">
        <f t="shared" si="4"/>
        <v>-1.1549999999999998</v>
      </c>
      <c r="U62" s="41">
        <v>0</v>
      </c>
      <c r="V62" s="41">
        <f>MAX(U55:U143)</f>
        <v>76.508518518518514</v>
      </c>
      <c r="W62">
        <v>1477.1</v>
      </c>
      <c r="Y62">
        <f t="shared" si="6"/>
        <v>11057.700000000003</v>
      </c>
      <c r="AA62">
        <v>11.664791173822838</v>
      </c>
    </row>
    <row r="63" spans="1:28" x14ac:dyDescent="0.25">
      <c r="A63">
        <v>5080</v>
      </c>
      <c r="B63">
        <v>18650</v>
      </c>
      <c r="C63" s="1">
        <v>42641</v>
      </c>
      <c r="D63" s="1"/>
      <c r="E63" s="1"/>
      <c r="F63" s="60"/>
      <c r="G63">
        <v>19.399999999999999</v>
      </c>
      <c r="H63">
        <v>12.8</v>
      </c>
      <c r="I63">
        <v>24.8</v>
      </c>
      <c r="J63" s="14">
        <f t="shared" si="5"/>
        <v>168</v>
      </c>
      <c r="L63" s="10" t="s">
        <v>41</v>
      </c>
      <c r="M63">
        <v>0</v>
      </c>
      <c r="N63">
        <v>4.0999999999999996</v>
      </c>
      <c r="O63" s="14">
        <f t="shared" si="2"/>
        <v>-4.0999999999999996</v>
      </c>
      <c r="P63">
        <v>0</v>
      </c>
      <c r="Q63">
        <v>9</v>
      </c>
      <c r="R63">
        <f>0.35+((Q63-8)/81)*(1-0.35)</f>
        <v>0.35802469135802467</v>
      </c>
      <c r="S63" s="41">
        <f t="shared" si="3"/>
        <v>1.467901234567901</v>
      </c>
      <c r="T63" s="41">
        <f t="shared" si="4"/>
        <v>-1.467901234567901</v>
      </c>
      <c r="U63" s="41">
        <v>0</v>
      </c>
      <c r="V63" s="32" t="s">
        <v>54</v>
      </c>
      <c r="W63">
        <v>1880.7</v>
      </c>
      <c r="Y63">
        <f t="shared" si="6"/>
        <v>12938.400000000003</v>
      </c>
      <c r="AA63">
        <v>11.613358411946718</v>
      </c>
    </row>
    <row r="64" spans="1:28" x14ac:dyDescent="0.25">
      <c r="A64">
        <v>5080</v>
      </c>
      <c r="B64">
        <v>18650</v>
      </c>
      <c r="C64" s="1">
        <v>42642</v>
      </c>
      <c r="D64" s="1"/>
      <c r="E64" s="1"/>
      <c r="F64" s="60"/>
      <c r="G64">
        <v>19.899999999999999</v>
      </c>
      <c r="H64">
        <v>12</v>
      </c>
      <c r="I64">
        <v>26.6</v>
      </c>
      <c r="J64" s="14">
        <f t="shared" si="5"/>
        <v>187.9</v>
      </c>
      <c r="L64" s="8">
        <v>4</v>
      </c>
      <c r="M64">
        <v>0</v>
      </c>
      <c r="N64">
        <v>4.2</v>
      </c>
      <c r="O64" s="14">
        <f t="shared" si="2"/>
        <v>-4.2</v>
      </c>
      <c r="P64" s="40">
        <v>0</v>
      </c>
      <c r="Q64">
        <v>10</v>
      </c>
      <c r="R64">
        <f t="shared" ref="R64:R127" si="7">0.35+((Q64-8)/81)*(1-0.35)</f>
        <v>0.36604938271604937</v>
      </c>
      <c r="S64" s="41">
        <f t="shared" si="3"/>
        <v>1.5374074074074073</v>
      </c>
      <c r="T64" s="41">
        <f t="shared" si="4"/>
        <v>-1.5374074074074073</v>
      </c>
      <c r="U64" s="41">
        <v>0</v>
      </c>
      <c r="V64" s="41">
        <f>AVERAGE(U55:U143)</f>
        <v>33.801665279511717</v>
      </c>
      <c r="W64">
        <v>1609.5</v>
      </c>
      <c r="Y64">
        <f t="shared" si="6"/>
        <v>14547.900000000003</v>
      </c>
      <c r="AA64">
        <v>11.56198513495244</v>
      </c>
    </row>
    <row r="65" spans="1:27" x14ac:dyDescent="0.25">
      <c r="A65">
        <v>5080</v>
      </c>
      <c r="B65">
        <v>18650</v>
      </c>
      <c r="C65" s="1">
        <v>42643</v>
      </c>
      <c r="D65" s="1"/>
      <c r="E65" s="1"/>
      <c r="F65" s="60"/>
      <c r="G65">
        <v>21.5</v>
      </c>
      <c r="H65">
        <v>18</v>
      </c>
      <c r="I65">
        <v>25.7</v>
      </c>
      <c r="J65" s="14">
        <f t="shared" si="5"/>
        <v>209.4</v>
      </c>
      <c r="L65" s="10" t="s">
        <v>42</v>
      </c>
      <c r="M65">
        <v>0.4</v>
      </c>
      <c r="N65">
        <v>4.0999999999999996</v>
      </c>
      <c r="O65" s="14">
        <f t="shared" si="2"/>
        <v>-3.6999999999999997</v>
      </c>
      <c r="P65" s="40">
        <v>0</v>
      </c>
      <c r="Q65">
        <v>11</v>
      </c>
      <c r="R65">
        <f t="shared" si="7"/>
        <v>0.37407407407407406</v>
      </c>
      <c r="S65" s="41">
        <f t="shared" si="3"/>
        <v>1.5337037037037036</v>
      </c>
      <c r="T65" s="41">
        <f t="shared" si="4"/>
        <v>-1.1337037037037034</v>
      </c>
      <c r="U65" s="41">
        <v>0</v>
      </c>
      <c r="W65">
        <v>1546.3</v>
      </c>
      <c r="Y65">
        <f t="shared" si="6"/>
        <v>16094.200000000003</v>
      </c>
      <c r="AA65">
        <v>11.510679550944143</v>
      </c>
    </row>
    <row r="66" spans="1:27" x14ac:dyDescent="0.25">
      <c r="A66">
        <v>5080</v>
      </c>
      <c r="B66">
        <v>18650</v>
      </c>
      <c r="C66" s="1">
        <v>42644</v>
      </c>
      <c r="D66" s="1"/>
      <c r="E66" s="1"/>
      <c r="F66" s="60"/>
      <c r="G66">
        <v>18.3</v>
      </c>
      <c r="H66">
        <v>17</v>
      </c>
      <c r="I66">
        <v>19.899999999999999</v>
      </c>
      <c r="J66" s="14">
        <f t="shared" si="5"/>
        <v>227.70000000000002</v>
      </c>
      <c r="L66" s="8">
        <v>14</v>
      </c>
      <c r="M66">
        <v>3.3</v>
      </c>
      <c r="N66">
        <v>1.4</v>
      </c>
      <c r="O66" s="14">
        <f t="shared" si="2"/>
        <v>1.9</v>
      </c>
      <c r="P66">
        <f>O66</f>
        <v>1.9</v>
      </c>
      <c r="Q66">
        <v>12</v>
      </c>
      <c r="R66">
        <f t="shared" si="7"/>
        <v>0.38209876543209875</v>
      </c>
      <c r="S66" s="41">
        <f t="shared" si="3"/>
        <v>0.53493827160493823</v>
      </c>
      <c r="T66" s="41">
        <f t="shared" si="4"/>
        <v>2.7650617283950618</v>
      </c>
      <c r="U66" s="41">
        <f t="shared" ref="U66:U120" si="8">MIN(U65+T66,157.8)</f>
        <v>2.7650617283950618</v>
      </c>
      <c r="V66">
        <f>(V64*100)/157.8</f>
        <v>21.420573687903495</v>
      </c>
      <c r="W66">
        <v>507.7</v>
      </c>
      <c r="Y66">
        <f t="shared" si="6"/>
        <v>16601.900000000001</v>
      </c>
      <c r="AA66">
        <v>11.459449971179502</v>
      </c>
    </row>
    <row r="67" spans="1:27" x14ac:dyDescent="0.25">
      <c r="A67">
        <v>5080</v>
      </c>
      <c r="B67">
        <v>18650</v>
      </c>
      <c r="C67" s="1">
        <v>42645</v>
      </c>
      <c r="D67" s="1"/>
      <c r="E67" s="1"/>
      <c r="F67" s="60"/>
      <c r="G67">
        <v>16.899999999999999</v>
      </c>
      <c r="H67">
        <v>14.9</v>
      </c>
      <c r="I67">
        <v>19.600000000000001</v>
      </c>
      <c r="J67" s="14">
        <f t="shared" si="5"/>
        <v>244.60000000000002</v>
      </c>
      <c r="L67" s="10" t="s">
        <v>43</v>
      </c>
      <c r="M67">
        <v>0.4</v>
      </c>
      <c r="N67">
        <v>2.1</v>
      </c>
      <c r="O67" s="14">
        <f t="shared" si="2"/>
        <v>-1.7000000000000002</v>
      </c>
      <c r="P67">
        <f>P66+O67</f>
        <v>0.19999999999999973</v>
      </c>
      <c r="Q67">
        <v>13</v>
      </c>
      <c r="R67">
        <f t="shared" si="7"/>
        <v>0.39012345679012345</v>
      </c>
      <c r="S67" s="41">
        <f t="shared" si="3"/>
        <v>0.81925925925925924</v>
      </c>
      <c r="T67" s="41">
        <f t="shared" si="4"/>
        <v>-0.41925925925925922</v>
      </c>
      <c r="U67" s="41">
        <f t="shared" si="8"/>
        <v>2.3458024691358026</v>
      </c>
      <c r="W67">
        <v>978.5</v>
      </c>
      <c r="Y67">
        <f t="shared" si="6"/>
        <v>17580.400000000001</v>
      </c>
      <c r="AA67">
        <v>11.408304821820844</v>
      </c>
    </row>
    <row r="68" spans="1:27" x14ac:dyDescent="0.25">
      <c r="A68">
        <v>5080</v>
      </c>
      <c r="B68">
        <v>18650</v>
      </c>
      <c r="C68" s="1">
        <v>42646</v>
      </c>
      <c r="D68" s="1"/>
      <c r="E68" s="1"/>
      <c r="F68" s="60"/>
      <c r="G68">
        <v>17.100000000000001</v>
      </c>
      <c r="H68">
        <v>10.8</v>
      </c>
      <c r="I68">
        <v>22.5</v>
      </c>
      <c r="J68" s="14">
        <f t="shared" si="5"/>
        <v>261.70000000000005</v>
      </c>
      <c r="L68" s="8">
        <v>2</v>
      </c>
      <c r="M68">
        <v>0</v>
      </c>
      <c r="N68">
        <v>3.7</v>
      </c>
      <c r="O68" s="14">
        <f t="shared" si="2"/>
        <v>-3.7</v>
      </c>
      <c r="P68">
        <v>0</v>
      </c>
      <c r="Q68">
        <v>14</v>
      </c>
      <c r="R68">
        <f t="shared" si="7"/>
        <v>0.39814814814814814</v>
      </c>
      <c r="S68" s="41">
        <f t="shared" si="3"/>
        <v>1.4731481481481481</v>
      </c>
      <c r="T68" s="41">
        <f t="shared" si="4"/>
        <v>-1.4731481481481481</v>
      </c>
      <c r="U68" s="41">
        <f t="shared" si="8"/>
        <v>0.8726543209876545</v>
      </c>
      <c r="W68">
        <v>1735</v>
      </c>
      <c r="Y68">
        <f t="shared" si="6"/>
        <v>19315.400000000001</v>
      </c>
      <c r="AA68">
        <v>11.357252655552434</v>
      </c>
    </row>
    <row r="69" spans="1:27" x14ac:dyDescent="0.25">
      <c r="A69">
        <v>5080</v>
      </c>
      <c r="B69">
        <v>18650</v>
      </c>
      <c r="C69" s="1">
        <v>42647</v>
      </c>
      <c r="D69" s="1"/>
      <c r="E69" s="1"/>
      <c r="F69" s="60"/>
      <c r="G69">
        <v>19</v>
      </c>
      <c r="H69">
        <v>11.1</v>
      </c>
      <c r="I69">
        <v>25.2</v>
      </c>
      <c r="J69" s="14">
        <f t="shared" si="5"/>
        <v>280.70000000000005</v>
      </c>
      <c r="L69" s="1"/>
      <c r="M69">
        <v>0</v>
      </c>
      <c r="N69">
        <v>3.6</v>
      </c>
      <c r="O69" s="14">
        <f t="shared" si="2"/>
        <v>-3.6</v>
      </c>
      <c r="P69">
        <v>0</v>
      </c>
      <c r="Q69">
        <v>15</v>
      </c>
      <c r="R69">
        <f t="shared" si="7"/>
        <v>0.40617283950617283</v>
      </c>
      <c r="S69" s="41">
        <f t="shared" si="3"/>
        <v>1.4622222222222223</v>
      </c>
      <c r="T69" s="41">
        <f t="shared" si="4"/>
        <v>-1.4622222222222223</v>
      </c>
      <c r="U69" s="41">
        <v>0</v>
      </c>
      <c r="W69">
        <v>1532</v>
      </c>
      <c r="Y69">
        <f t="shared" si="6"/>
        <v>20847.400000000001</v>
      </c>
      <c r="AA69">
        <v>11.306302163046906</v>
      </c>
    </row>
    <row r="70" spans="1:27" x14ac:dyDescent="0.25">
      <c r="A70">
        <v>5080</v>
      </c>
      <c r="B70">
        <v>18650</v>
      </c>
      <c r="C70" s="1">
        <v>42648</v>
      </c>
      <c r="D70" s="1"/>
      <c r="E70" s="1"/>
      <c r="F70" s="60"/>
      <c r="G70">
        <v>19.399999999999999</v>
      </c>
      <c r="H70">
        <v>17</v>
      </c>
      <c r="I70">
        <v>22</v>
      </c>
      <c r="J70" s="14">
        <f t="shared" si="5"/>
        <v>300.10000000000002</v>
      </c>
      <c r="L70" s="1"/>
      <c r="M70">
        <v>0</v>
      </c>
      <c r="N70">
        <v>2.2999999999999998</v>
      </c>
      <c r="O70" s="14">
        <f t="shared" si="2"/>
        <v>-2.2999999999999998</v>
      </c>
      <c r="P70">
        <v>0</v>
      </c>
      <c r="Q70">
        <v>16</v>
      </c>
      <c r="R70">
        <f t="shared" si="7"/>
        <v>0.41419753086419753</v>
      </c>
      <c r="S70" s="41">
        <f t="shared" si="3"/>
        <v>0.95265432098765424</v>
      </c>
      <c r="T70" s="41">
        <f t="shared" si="4"/>
        <v>-0.95265432098765424</v>
      </c>
      <c r="U70" s="41">
        <v>0</v>
      </c>
      <c r="W70">
        <v>812.5</v>
      </c>
      <c r="Y70">
        <f t="shared" si="6"/>
        <v>21659.9</v>
      </c>
      <c r="AA70">
        <v>11.255462184262941</v>
      </c>
    </row>
    <row r="71" spans="1:27" x14ac:dyDescent="0.25">
      <c r="A71">
        <v>5080</v>
      </c>
      <c r="B71">
        <v>18650</v>
      </c>
      <c r="C71" s="1">
        <v>42649</v>
      </c>
      <c r="D71" s="1"/>
      <c r="E71" s="1"/>
      <c r="F71" s="60"/>
      <c r="G71">
        <v>18.2</v>
      </c>
      <c r="H71">
        <v>16.3</v>
      </c>
      <c r="I71">
        <v>21.6</v>
      </c>
      <c r="J71" s="14">
        <f t="shared" si="5"/>
        <v>318.3</v>
      </c>
      <c r="L71" s="1"/>
      <c r="M71">
        <v>0</v>
      </c>
      <c r="N71">
        <v>2.7</v>
      </c>
      <c r="O71" s="14">
        <f t="shared" si="2"/>
        <v>-2.7</v>
      </c>
      <c r="P71">
        <v>0</v>
      </c>
      <c r="Q71">
        <v>17</v>
      </c>
      <c r="R71">
        <f t="shared" si="7"/>
        <v>0.42222222222222217</v>
      </c>
      <c r="S71" s="41">
        <f t="shared" si="3"/>
        <v>1.1399999999999999</v>
      </c>
      <c r="T71" s="41">
        <f t="shared" si="4"/>
        <v>-1.1399999999999999</v>
      </c>
      <c r="U71" s="41">
        <v>0</v>
      </c>
      <c r="W71">
        <v>1210.4000000000001</v>
      </c>
      <c r="Y71">
        <f t="shared" si="6"/>
        <v>22870.300000000003</v>
      </c>
      <c r="AA71">
        <v>11.204741719555393</v>
      </c>
    </row>
    <row r="72" spans="1:27" x14ac:dyDescent="0.25">
      <c r="A72">
        <v>5080</v>
      </c>
      <c r="B72">
        <v>18650</v>
      </c>
      <c r="C72" s="1">
        <v>42650</v>
      </c>
      <c r="D72" s="1"/>
      <c r="E72" s="1"/>
      <c r="F72" s="60"/>
      <c r="G72">
        <v>14.4</v>
      </c>
      <c r="H72">
        <v>10.3</v>
      </c>
      <c r="I72">
        <v>18.2</v>
      </c>
      <c r="J72" s="14">
        <f t="shared" si="5"/>
        <v>332.7</v>
      </c>
      <c r="L72" s="1"/>
      <c r="M72">
        <v>0</v>
      </c>
      <c r="N72">
        <v>1.5</v>
      </c>
      <c r="O72" s="14">
        <f t="shared" si="2"/>
        <v>-1.5</v>
      </c>
      <c r="P72">
        <v>0</v>
      </c>
      <c r="Q72">
        <v>18</v>
      </c>
      <c r="R72">
        <f t="shared" si="7"/>
        <v>0.43024691358024691</v>
      </c>
      <c r="S72" s="41">
        <f t="shared" si="3"/>
        <v>0.64537037037037037</v>
      </c>
      <c r="T72" s="41">
        <f t="shared" si="4"/>
        <v>-0.64537037037037037</v>
      </c>
      <c r="U72" s="41">
        <v>0</v>
      </c>
      <c r="W72">
        <v>813.6</v>
      </c>
      <c r="Y72">
        <f t="shared" si="6"/>
        <v>23683.9</v>
      </c>
      <c r="AA72">
        <v>11.154149940578034</v>
      </c>
    </row>
    <row r="73" spans="1:27" x14ac:dyDescent="0.25">
      <c r="A73">
        <v>5080</v>
      </c>
      <c r="B73">
        <v>18650</v>
      </c>
      <c r="C73" s="1">
        <v>42651</v>
      </c>
      <c r="D73" s="1"/>
      <c r="E73" s="1"/>
      <c r="F73" s="60"/>
      <c r="G73">
        <v>12.9</v>
      </c>
      <c r="H73">
        <v>9.3000000000000007</v>
      </c>
      <c r="I73">
        <v>16.899999999999999</v>
      </c>
      <c r="J73" s="14">
        <f t="shared" si="5"/>
        <v>345.59999999999997</v>
      </c>
      <c r="L73" s="1"/>
      <c r="M73">
        <v>0</v>
      </c>
      <c r="N73">
        <v>2.4</v>
      </c>
      <c r="O73" s="14">
        <f t="shared" si="2"/>
        <v>-2.4</v>
      </c>
      <c r="P73">
        <v>0</v>
      </c>
      <c r="Q73">
        <v>19</v>
      </c>
      <c r="R73">
        <f t="shared" si="7"/>
        <v>0.43827160493827155</v>
      </c>
      <c r="S73" s="41">
        <f t="shared" si="3"/>
        <v>1.0518518518518516</v>
      </c>
      <c r="T73" s="41">
        <f t="shared" si="4"/>
        <v>-1.0518518518518516</v>
      </c>
      <c r="U73" s="41">
        <v>0</v>
      </c>
      <c r="W73">
        <v>942.3</v>
      </c>
      <c r="Y73">
        <f t="shared" si="6"/>
        <v>24626.2</v>
      </c>
      <c r="AA73">
        <v>11.103696200957993</v>
      </c>
    </row>
    <row r="74" spans="1:27" x14ac:dyDescent="0.25">
      <c r="A74">
        <v>5080</v>
      </c>
      <c r="B74">
        <v>18650</v>
      </c>
      <c r="C74" s="1">
        <v>42652</v>
      </c>
      <c r="D74" s="1"/>
      <c r="E74" s="1"/>
      <c r="F74" s="60"/>
      <c r="G74">
        <v>13.1</v>
      </c>
      <c r="H74">
        <v>8.9</v>
      </c>
      <c r="I74">
        <v>18.100000000000001</v>
      </c>
      <c r="J74" s="14">
        <f t="shared" si="5"/>
        <v>358.7</v>
      </c>
      <c r="L74" s="1"/>
      <c r="M74">
        <v>0</v>
      </c>
      <c r="N74">
        <v>3.2</v>
      </c>
      <c r="O74" s="14">
        <f t="shared" si="2"/>
        <v>-3.2</v>
      </c>
      <c r="P74">
        <v>0</v>
      </c>
      <c r="Q74">
        <v>20</v>
      </c>
      <c r="R74">
        <f t="shared" si="7"/>
        <v>0.4462962962962963</v>
      </c>
      <c r="S74" s="41">
        <f t="shared" si="3"/>
        <v>1.4281481481481482</v>
      </c>
      <c r="T74" s="41">
        <f t="shared" si="4"/>
        <v>-1.4281481481481482</v>
      </c>
      <c r="U74" s="41">
        <v>0</v>
      </c>
      <c r="W74">
        <v>1286.3</v>
      </c>
      <c r="Y74">
        <f t="shared" si="6"/>
        <v>25912.5</v>
      </c>
      <c r="AA74">
        <v>11.053390046719926</v>
      </c>
    </row>
    <row r="75" spans="1:27" x14ac:dyDescent="0.25">
      <c r="A75">
        <v>5080</v>
      </c>
      <c r="B75">
        <v>18650</v>
      </c>
      <c r="C75" s="1">
        <v>42653</v>
      </c>
      <c r="D75" s="1"/>
      <c r="E75" s="1"/>
      <c r="F75" s="60"/>
      <c r="G75">
        <v>11.7</v>
      </c>
      <c r="H75">
        <v>7.1</v>
      </c>
      <c r="I75">
        <v>16.3</v>
      </c>
      <c r="J75" s="14">
        <f t="shared" si="5"/>
        <v>370.4</v>
      </c>
      <c r="L75" s="1"/>
      <c r="M75">
        <v>0</v>
      </c>
      <c r="N75">
        <v>3.3</v>
      </c>
      <c r="O75" s="14">
        <f t="shared" si="2"/>
        <v>-3.3</v>
      </c>
      <c r="P75">
        <v>0</v>
      </c>
      <c r="Q75">
        <v>21</v>
      </c>
      <c r="R75">
        <f t="shared" si="7"/>
        <v>0.45432098765432094</v>
      </c>
      <c r="S75" s="41">
        <f t="shared" si="3"/>
        <v>1.4992592592592591</v>
      </c>
      <c r="T75" s="41">
        <f t="shared" si="4"/>
        <v>-1.4992592592592591</v>
      </c>
      <c r="U75" s="41">
        <v>0</v>
      </c>
      <c r="W75">
        <v>1640.8</v>
      </c>
      <c r="Y75">
        <f t="shared" si="6"/>
        <v>27553.3</v>
      </c>
      <c r="AA75">
        <v>11.0032412264367</v>
      </c>
    </row>
    <row r="76" spans="1:27" x14ac:dyDescent="0.25">
      <c r="A76">
        <v>5080</v>
      </c>
      <c r="B76">
        <v>18650</v>
      </c>
      <c r="C76" s="1">
        <v>42654</v>
      </c>
      <c r="D76" s="1"/>
      <c r="E76" s="1"/>
      <c r="F76" s="60"/>
      <c r="G76">
        <v>12.1</v>
      </c>
      <c r="H76">
        <v>7.9</v>
      </c>
      <c r="I76">
        <v>15.4</v>
      </c>
      <c r="J76" s="14">
        <f t="shared" si="5"/>
        <v>382.5</v>
      </c>
      <c r="L76" s="1"/>
      <c r="M76">
        <v>0</v>
      </c>
      <c r="N76">
        <v>2.2000000000000002</v>
      </c>
      <c r="O76" s="14">
        <f t="shared" si="2"/>
        <v>-2.2000000000000002</v>
      </c>
      <c r="P76">
        <v>0</v>
      </c>
      <c r="Q76">
        <v>22</v>
      </c>
      <c r="R76">
        <f t="shared" si="7"/>
        <v>0.46234567901234563</v>
      </c>
      <c r="S76" s="41">
        <f t="shared" si="3"/>
        <v>1.0171604938271606</v>
      </c>
      <c r="T76" s="41">
        <f t="shared" si="4"/>
        <v>-1.0171604938271606</v>
      </c>
      <c r="U76" s="41">
        <v>0</v>
      </c>
      <c r="W76">
        <v>305.5</v>
      </c>
      <c r="Y76">
        <f t="shared" si="6"/>
        <v>27858.799999999999</v>
      </c>
      <c r="AA76">
        <v>10.953259701082121</v>
      </c>
    </row>
    <row r="77" spans="1:27" x14ac:dyDescent="0.25">
      <c r="A77">
        <v>5080</v>
      </c>
      <c r="B77">
        <v>18650</v>
      </c>
      <c r="C77" s="1">
        <v>42655</v>
      </c>
      <c r="D77" s="1"/>
      <c r="E77" s="1"/>
      <c r="F77" s="60"/>
      <c r="G77">
        <v>13</v>
      </c>
      <c r="H77">
        <v>9.9</v>
      </c>
      <c r="I77">
        <v>15.3</v>
      </c>
      <c r="J77" s="14">
        <f t="shared" si="5"/>
        <v>395.5</v>
      </c>
      <c r="L77" s="1"/>
      <c r="M77">
        <v>0.6</v>
      </c>
      <c r="N77">
        <v>2.2000000000000002</v>
      </c>
      <c r="O77" s="14">
        <f t="shared" si="2"/>
        <v>-1.6</v>
      </c>
      <c r="P77">
        <v>0</v>
      </c>
      <c r="Q77">
        <v>23</v>
      </c>
      <c r="R77">
        <f t="shared" si="7"/>
        <v>0.47037037037037033</v>
      </c>
      <c r="S77" s="41">
        <f t="shared" si="3"/>
        <v>1.0348148148148149</v>
      </c>
      <c r="T77" s="41">
        <f t="shared" si="4"/>
        <v>-0.43481481481481488</v>
      </c>
      <c r="U77" s="41">
        <v>0</v>
      </c>
      <c r="W77">
        <v>553.1</v>
      </c>
      <c r="Y77">
        <f t="shared" si="6"/>
        <v>28411.899999999998</v>
      </c>
      <c r="AA77">
        <v>10.903455653560037</v>
      </c>
    </row>
    <row r="78" spans="1:27" x14ac:dyDescent="0.25">
      <c r="A78">
        <v>5080</v>
      </c>
      <c r="B78">
        <v>18650</v>
      </c>
      <c r="C78" s="1">
        <v>42656</v>
      </c>
      <c r="D78" s="1"/>
      <c r="E78" s="1"/>
      <c r="F78" s="60"/>
      <c r="G78">
        <v>15.9</v>
      </c>
      <c r="H78">
        <v>13.3</v>
      </c>
      <c r="I78">
        <v>18.399999999999999</v>
      </c>
      <c r="J78" s="14">
        <f t="shared" si="5"/>
        <v>411.4</v>
      </c>
      <c r="L78" s="1"/>
      <c r="M78">
        <v>21.4</v>
      </c>
      <c r="N78">
        <v>0.9</v>
      </c>
      <c r="O78" s="14">
        <f t="shared" si="2"/>
        <v>20.5</v>
      </c>
      <c r="P78">
        <f t="shared" ref="P78:P131" si="9">P77+O78</f>
        <v>20.5</v>
      </c>
      <c r="Q78">
        <v>24</v>
      </c>
      <c r="R78">
        <f t="shared" si="7"/>
        <v>0.47839506172839508</v>
      </c>
      <c r="S78" s="41">
        <f t="shared" si="3"/>
        <v>0.43055555555555558</v>
      </c>
      <c r="T78" s="41">
        <f t="shared" si="4"/>
        <v>20.969444444444441</v>
      </c>
      <c r="U78" s="41">
        <f t="shared" si="8"/>
        <v>20.969444444444441</v>
      </c>
      <c r="W78">
        <v>227.1</v>
      </c>
      <c r="Y78">
        <f t="shared" si="6"/>
        <v>28638.999999999996</v>
      </c>
      <c r="AA78">
        <v>10.853839497882763</v>
      </c>
    </row>
    <row r="79" spans="1:27" x14ac:dyDescent="0.25">
      <c r="A79">
        <v>5080</v>
      </c>
      <c r="B79">
        <v>18650</v>
      </c>
      <c r="C79" s="1">
        <v>42657</v>
      </c>
      <c r="D79" s="1"/>
      <c r="E79" s="1"/>
      <c r="F79" s="60"/>
      <c r="G79">
        <v>12.7</v>
      </c>
      <c r="H79">
        <v>12.8</v>
      </c>
      <c r="I79">
        <v>14</v>
      </c>
      <c r="J79" s="14">
        <f t="shared" si="5"/>
        <v>424.09999999999997</v>
      </c>
      <c r="L79" s="1"/>
      <c r="M79">
        <v>2.5</v>
      </c>
      <c r="N79">
        <v>0.9</v>
      </c>
      <c r="O79" s="14">
        <f t="shared" si="2"/>
        <v>1.6</v>
      </c>
      <c r="P79">
        <f t="shared" si="9"/>
        <v>22.1</v>
      </c>
      <c r="Q79">
        <v>25</v>
      </c>
      <c r="R79">
        <f t="shared" si="7"/>
        <v>0.48641975308641971</v>
      </c>
      <c r="S79" s="41">
        <f t="shared" si="3"/>
        <v>0.43777777777777777</v>
      </c>
      <c r="T79" s="41">
        <f t="shared" si="4"/>
        <v>2.0622222222222222</v>
      </c>
      <c r="U79" s="41">
        <f t="shared" si="8"/>
        <v>23.031666666666663</v>
      </c>
      <c r="W79">
        <v>272.8</v>
      </c>
      <c r="Y79">
        <f t="shared" si="6"/>
        <v>28911.799999999996</v>
      </c>
      <c r="AA79">
        <v>10.804421887970468</v>
      </c>
    </row>
    <row r="80" spans="1:27" x14ac:dyDescent="0.25">
      <c r="A80">
        <v>5080</v>
      </c>
      <c r="B80">
        <v>18650</v>
      </c>
      <c r="C80" s="1">
        <v>42658</v>
      </c>
      <c r="D80" s="1"/>
      <c r="E80" s="1"/>
      <c r="F80" s="60"/>
      <c r="G80">
        <v>13.8</v>
      </c>
      <c r="H80">
        <v>7.5</v>
      </c>
      <c r="I80">
        <v>20.100000000000001</v>
      </c>
      <c r="J80" s="14">
        <f t="shared" si="5"/>
        <v>437.9</v>
      </c>
      <c r="L80" s="1"/>
      <c r="M80">
        <v>0</v>
      </c>
      <c r="N80">
        <v>2.8</v>
      </c>
      <c r="O80" s="14">
        <f t="shared" si="2"/>
        <v>-2.8</v>
      </c>
      <c r="P80">
        <f t="shared" si="9"/>
        <v>19.3</v>
      </c>
      <c r="Q80">
        <v>26</v>
      </c>
      <c r="R80">
        <f t="shared" si="7"/>
        <v>0.49444444444444441</v>
      </c>
      <c r="S80" s="41">
        <f t="shared" si="3"/>
        <v>1.3844444444444444</v>
      </c>
      <c r="T80" s="41">
        <f t="shared" si="4"/>
        <v>-1.3844444444444444</v>
      </c>
      <c r="U80" s="41">
        <f t="shared" si="8"/>
        <v>21.647222222222219</v>
      </c>
      <c r="W80">
        <v>1457.5</v>
      </c>
      <c r="Y80">
        <f t="shared" si="6"/>
        <v>30369.299999999996</v>
      </c>
      <c r="AA80">
        <v>10.755213726041745</v>
      </c>
    </row>
    <row r="81" spans="1:27" x14ac:dyDescent="0.25">
      <c r="A81">
        <v>5080</v>
      </c>
      <c r="B81">
        <v>18650</v>
      </c>
      <c r="C81" s="1">
        <v>42659</v>
      </c>
      <c r="D81" s="1"/>
      <c r="E81" s="1"/>
      <c r="F81" s="60"/>
      <c r="G81">
        <v>14</v>
      </c>
      <c r="H81">
        <v>9.6</v>
      </c>
      <c r="I81">
        <v>18</v>
      </c>
      <c r="J81" s="14">
        <f t="shared" si="5"/>
        <v>451.9</v>
      </c>
      <c r="L81" s="1"/>
      <c r="M81">
        <v>0</v>
      </c>
      <c r="N81">
        <v>0.9</v>
      </c>
      <c r="O81" s="14">
        <f t="shared" si="2"/>
        <v>-0.9</v>
      </c>
      <c r="P81">
        <f t="shared" si="9"/>
        <v>18.400000000000002</v>
      </c>
      <c r="Q81">
        <v>27</v>
      </c>
      <c r="R81">
        <f t="shared" si="7"/>
        <v>0.5024691358024691</v>
      </c>
      <c r="S81" s="41">
        <f t="shared" si="3"/>
        <v>0.45222222222222219</v>
      </c>
      <c r="T81" s="41">
        <f t="shared" si="4"/>
        <v>-0.45222222222222219</v>
      </c>
      <c r="U81" s="41">
        <f t="shared" si="8"/>
        <v>21.194999999999997</v>
      </c>
      <c r="W81">
        <v>593.1</v>
      </c>
      <c r="Y81">
        <f t="shared" si="6"/>
        <v>30962.399999999994</v>
      </c>
      <c r="AA81">
        <v>10.706226170564268</v>
      </c>
    </row>
    <row r="82" spans="1:27" x14ac:dyDescent="0.25">
      <c r="A82">
        <v>5080</v>
      </c>
      <c r="B82">
        <v>18650</v>
      </c>
      <c r="C82" s="1">
        <v>42660</v>
      </c>
      <c r="D82" s="1"/>
      <c r="E82" s="1"/>
      <c r="F82" s="60"/>
      <c r="G82">
        <v>17.100000000000001</v>
      </c>
      <c r="H82">
        <v>13.7</v>
      </c>
      <c r="I82">
        <v>20.100000000000001</v>
      </c>
      <c r="J82" s="14">
        <f t="shared" si="5"/>
        <v>469</v>
      </c>
      <c r="L82" s="1"/>
      <c r="M82">
        <v>0.5</v>
      </c>
      <c r="N82">
        <v>1.2</v>
      </c>
      <c r="O82" s="14">
        <f t="shared" si="2"/>
        <v>-0.7</v>
      </c>
      <c r="P82">
        <f t="shared" si="9"/>
        <v>17.700000000000003</v>
      </c>
      <c r="Q82">
        <v>28</v>
      </c>
      <c r="R82">
        <f t="shared" si="7"/>
        <v>0.51049382716049374</v>
      </c>
      <c r="S82" s="41">
        <f t="shared" si="3"/>
        <v>0.61259259259259247</v>
      </c>
      <c r="T82" s="41">
        <f t="shared" si="4"/>
        <v>-0.11259259259259247</v>
      </c>
      <c r="U82" s="41">
        <f t="shared" si="8"/>
        <v>21.082407407407405</v>
      </c>
      <c r="W82">
        <v>820</v>
      </c>
      <c r="Y82">
        <f t="shared" si="6"/>
        <v>31782.399999999994</v>
      </c>
      <c r="AA82">
        <v>10.657470643733003</v>
      </c>
    </row>
    <row r="83" spans="1:27" x14ac:dyDescent="0.25">
      <c r="A83">
        <v>5080</v>
      </c>
      <c r="B83">
        <v>18650</v>
      </c>
      <c r="C83" s="1">
        <v>42661</v>
      </c>
      <c r="D83" s="1"/>
      <c r="E83" s="1"/>
      <c r="F83" s="60"/>
      <c r="G83">
        <v>15.6</v>
      </c>
      <c r="H83">
        <v>13.7</v>
      </c>
      <c r="I83">
        <v>18.8</v>
      </c>
      <c r="J83" s="14">
        <f t="shared" si="5"/>
        <v>484.6</v>
      </c>
      <c r="L83" s="1"/>
      <c r="M83">
        <v>0</v>
      </c>
      <c r="N83">
        <v>1.6</v>
      </c>
      <c r="O83" s="14">
        <f t="shared" si="2"/>
        <v>-1.6</v>
      </c>
      <c r="P83">
        <f t="shared" si="9"/>
        <v>16.100000000000001</v>
      </c>
      <c r="Q83">
        <v>29</v>
      </c>
      <c r="R83">
        <f t="shared" si="7"/>
        <v>0.51851851851851849</v>
      </c>
      <c r="S83" s="41">
        <f t="shared" si="3"/>
        <v>0.82962962962962961</v>
      </c>
      <c r="T83" s="41">
        <f t="shared" si="4"/>
        <v>-0.82962962962962961</v>
      </c>
      <c r="U83" s="41">
        <f t="shared" si="8"/>
        <v>20.252777777777776</v>
      </c>
      <c r="W83">
        <v>776.8</v>
      </c>
      <c r="Y83">
        <f t="shared" si="6"/>
        <v>32559.199999999993</v>
      </c>
      <c r="AA83">
        <v>10.608958838442119</v>
      </c>
    </row>
    <row r="84" spans="1:27" x14ac:dyDescent="0.25">
      <c r="A84">
        <v>5080</v>
      </c>
      <c r="B84">
        <v>18650</v>
      </c>
      <c r="C84" s="1">
        <v>42662</v>
      </c>
      <c r="D84" s="1"/>
      <c r="E84" s="1"/>
      <c r="F84" s="60"/>
      <c r="G84">
        <v>13.3</v>
      </c>
      <c r="H84">
        <v>8.1999999999999993</v>
      </c>
      <c r="I84">
        <v>17.600000000000001</v>
      </c>
      <c r="J84" s="14">
        <f t="shared" si="5"/>
        <v>497.90000000000003</v>
      </c>
      <c r="L84" s="1"/>
      <c r="M84">
        <v>0</v>
      </c>
      <c r="N84">
        <v>1.6</v>
      </c>
      <c r="O84" s="14">
        <f t="shared" si="2"/>
        <v>-1.6</v>
      </c>
      <c r="P84">
        <f t="shared" si="9"/>
        <v>14.500000000000002</v>
      </c>
      <c r="Q84">
        <v>30</v>
      </c>
      <c r="R84">
        <f t="shared" si="7"/>
        <v>0.52654320987654324</v>
      </c>
      <c r="S84" s="41">
        <f t="shared" si="3"/>
        <v>0.84246913580246918</v>
      </c>
      <c r="T84" s="41">
        <f t="shared" si="4"/>
        <v>-0.84246913580246918</v>
      </c>
      <c r="U84" s="41">
        <f t="shared" si="8"/>
        <v>19.410308641975305</v>
      </c>
      <c r="W84">
        <v>744.9</v>
      </c>
      <c r="Y84">
        <f t="shared" si="6"/>
        <v>33304.099999999991</v>
      </c>
      <c r="AA84">
        <v>10.560702724715288</v>
      </c>
    </row>
    <row r="85" spans="1:27" x14ac:dyDescent="0.25">
      <c r="A85">
        <v>5080</v>
      </c>
      <c r="B85">
        <v>18650</v>
      </c>
      <c r="C85" s="1">
        <v>42663</v>
      </c>
      <c r="D85" s="1"/>
      <c r="E85" s="1"/>
      <c r="F85" s="60"/>
      <c r="G85">
        <v>12.3</v>
      </c>
      <c r="H85">
        <v>11.3</v>
      </c>
      <c r="I85">
        <v>15.5</v>
      </c>
      <c r="J85" s="14">
        <f t="shared" si="5"/>
        <v>510.20000000000005</v>
      </c>
      <c r="L85" s="1"/>
      <c r="M85">
        <v>0</v>
      </c>
      <c r="N85">
        <v>2.2000000000000002</v>
      </c>
      <c r="O85" s="14">
        <f t="shared" si="2"/>
        <v>-2.2000000000000002</v>
      </c>
      <c r="P85">
        <f t="shared" si="9"/>
        <v>12.3</v>
      </c>
      <c r="Q85">
        <v>31</v>
      </c>
      <c r="R85">
        <f t="shared" si="7"/>
        <v>0.53456790123456788</v>
      </c>
      <c r="S85" s="41">
        <f t="shared" si="3"/>
        <v>1.1760493827160494</v>
      </c>
      <c r="T85" s="41">
        <f t="shared" si="4"/>
        <v>-1.1760493827160494</v>
      </c>
      <c r="U85" s="41">
        <f t="shared" si="8"/>
        <v>18.234259259259257</v>
      </c>
      <c r="W85">
        <v>807.9</v>
      </c>
      <c r="Y85">
        <f t="shared" si="6"/>
        <v>34111.999999999993</v>
      </c>
      <c r="AA85">
        <v>10.512714555557887</v>
      </c>
    </row>
    <row r="86" spans="1:27" x14ac:dyDescent="0.25">
      <c r="A86">
        <v>5080</v>
      </c>
      <c r="B86">
        <v>18650</v>
      </c>
      <c r="C86" s="1">
        <v>42664</v>
      </c>
      <c r="D86" s="1"/>
      <c r="E86" s="1"/>
      <c r="F86" s="60"/>
      <c r="G86">
        <v>9.8000000000000007</v>
      </c>
      <c r="H86">
        <v>5.0999999999999996</v>
      </c>
      <c r="I86">
        <v>14.8</v>
      </c>
      <c r="J86" s="14">
        <f t="shared" si="5"/>
        <v>520</v>
      </c>
      <c r="L86" s="1"/>
      <c r="M86">
        <v>0</v>
      </c>
      <c r="N86">
        <v>1.7</v>
      </c>
      <c r="O86" s="14">
        <f t="shared" si="2"/>
        <v>-1.7</v>
      </c>
      <c r="P86">
        <f t="shared" si="9"/>
        <v>10.600000000000001</v>
      </c>
      <c r="Q86">
        <v>32</v>
      </c>
      <c r="R86">
        <f t="shared" si="7"/>
        <v>0.54259259259259252</v>
      </c>
      <c r="S86" s="41">
        <f t="shared" si="3"/>
        <v>0.92240740740740723</v>
      </c>
      <c r="T86" s="41">
        <f t="shared" si="4"/>
        <v>-0.92240740740740723</v>
      </c>
      <c r="U86" s="41">
        <f t="shared" si="8"/>
        <v>17.311851851851848</v>
      </c>
      <c r="W86">
        <v>1309.8</v>
      </c>
      <c r="Y86">
        <f t="shared" si="6"/>
        <v>35421.799999999996</v>
      </c>
      <c r="AA86">
        <v>10.465006872193218</v>
      </c>
    </row>
    <row r="87" spans="1:27" x14ac:dyDescent="0.25">
      <c r="A87">
        <v>5080</v>
      </c>
      <c r="B87">
        <v>18650</v>
      </c>
      <c r="C87" s="1">
        <v>42665</v>
      </c>
      <c r="D87" s="1"/>
      <c r="E87" s="1"/>
      <c r="F87" s="60"/>
      <c r="G87">
        <v>11.2</v>
      </c>
      <c r="H87">
        <v>4.2</v>
      </c>
      <c r="I87">
        <v>17.2</v>
      </c>
      <c r="J87" s="14">
        <f t="shared" si="5"/>
        <v>531.20000000000005</v>
      </c>
      <c r="L87" s="1"/>
      <c r="M87">
        <v>0</v>
      </c>
      <c r="N87">
        <v>2.2000000000000002</v>
      </c>
      <c r="O87" s="14">
        <f t="shared" si="2"/>
        <v>-2.2000000000000002</v>
      </c>
      <c r="P87">
        <f t="shared" si="9"/>
        <v>8.4000000000000021</v>
      </c>
      <c r="Q87">
        <v>33</v>
      </c>
      <c r="R87">
        <f t="shared" si="7"/>
        <v>0.55061728395061726</v>
      </c>
      <c r="S87" s="41">
        <f t="shared" si="3"/>
        <v>1.211358024691358</v>
      </c>
      <c r="T87" s="41">
        <f t="shared" si="4"/>
        <v>-1.211358024691358</v>
      </c>
      <c r="U87" s="41">
        <f t="shared" si="8"/>
        <v>16.100493827160491</v>
      </c>
      <c r="W87">
        <v>1205.8</v>
      </c>
      <c r="Y87">
        <f t="shared" si="6"/>
        <v>36627.599999999999</v>
      </c>
      <c r="AA87">
        <v>10.417592508643724</v>
      </c>
    </row>
    <row r="88" spans="1:27" x14ac:dyDescent="0.25">
      <c r="A88">
        <v>5080</v>
      </c>
      <c r="B88">
        <v>18650</v>
      </c>
      <c r="C88" s="1">
        <v>42666</v>
      </c>
      <c r="D88" s="1"/>
      <c r="E88" s="1"/>
      <c r="F88" s="60"/>
      <c r="G88">
        <v>18</v>
      </c>
      <c r="H88">
        <v>12.8</v>
      </c>
      <c r="I88">
        <v>21.2</v>
      </c>
      <c r="J88" s="14">
        <f t="shared" si="5"/>
        <v>549.20000000000005</v>
      </c>
      <c r="L88" s="1"/>
      <c r="M88">
        <v>0</v>
      </c>
      <c r="N88">
        <v>2</v>
      </c>
      <c r="O88" s="14">
        <f t="shared" si="2"/>
        <v>-2</v>
      </c>
      <c r="P88">
        <f t="shared" si="9"/>
        <v>6.4000000000000021</v>
      </c>
      <c r="Q88">
        <v>34</v>
      </c>
      <c r="R88">
        <f t="shared" si="7"/>
        <v>0.55864197530864201</v>
      </c>
      <c r="S88" s="41">
        <f t="shared" si="3"/>
        <v>1.117283950617284</v>
      </c>
      <c r="T88" s="41">
        <f t="shared" si="4"/>
        <v>-1.117283950617284</v>
      </c>
      <c r="U88" s="41">
        <f t="shared" si="8"/>
        <v>14.983209876543206</v>
      </c>
      <c r="W88">
        <v>894.4</v>
      </c>
      <c r="Y88">
        <f t="shared" si="6"/>
        <v>37522</v>
      </c>
      <c r="AA88">
        <v>10.370484595617016</v>
      </c>
    </row>
    <row r="89" spans="1:27" x14ac:dyDescent="0.25">
      <c r="A89">
        <v>5080</v>
      </c>
      <c r="B89">
        <v>18650</v>
      </c>
      <c r="C89" s="1">
        <v>42667</v>
      </c>
      <c r="D89" s="1"/>
      <c r="E89" s="1"/>
      <c r="F89" s="60"/>
      <c r="G89">
        <v>16.7</v>
      </c>
      <c r="H89">
        <v>14.5</v>
      </c>
      <c r="I89">
        <v>19.600000000000001</v>
      </c>
      <c r="J89" s="14">
        <f t="shared" si="5"/>
        <v>565.90000000000009</v>
      </c>
      <c r="L89" s="1"/>
      <c r="M89">
        <v>9.6</v>
      </c>
      <c r="N89">
        <v>0.9</v>
      </c>
      <c r="O89" s="14">
        <f t="shared" si="2"/>
        <v>8.6999999999999993</v>
      </c>
      <c r="P89">
        <f t="shared" si="9"/>
        <v>15.100000000000001</v>
      </c>
      <c r="Q89">
        <v>35</v>
      </c>
      <c r="R89">
        <f t="shared" si="7"/>
        <v>0.56666666666666665</v>
      </c>
      <c r="S89" s="41">
        <f t="shared" si="3"/>
        <v>0.51</v>
      </c>
      <c r="T89" s="41">
        <f t="shared" si="4"/>
        <v>9.09</v>
      </c>
      <c r="U89" s="41">
        <f t="shared" si="8"/>
        <v>24.073209876543206</v>
      </c>
      <c r="W89">
        <v>325.7</v>
      </c>
      <c r="Y89">
        <f t="shared" si="6"/>
        <v>37847.699999999997</v>
      </c>
      <c r="AA89">
        <v>10.323696563655524</v>
      </c>
    </row>
    <row r="90" spans="1:27" x14ac:dyDescent="0.25">
      <c r="A90">
        <v>5080</v>
      </c>
      <c r="B90">
        <v>18650</v>
      </c>
      <c r="C90" s="1">
        <v>42668</v>
      </c>
      <c r="D90" s="1"/>
      <c r="E90" s="1"/>
      <c r="F90" s="60"/>
      <c r="G90">
        <v>15.9</v>
      </c>
      <c r="H90">
        <v>14.1</v>
      </c>
      <c r="I90">
        <v>18</v>
      </c>
      <c r="J90" s="14">
        <f t="shared" si="5"/>
        <v>581.80000000000007</v>
      </c>
      <c r="L90" s="1"/>
      <c r="M90">
        <v>0.1</v>
      </c>
      <c r="N90">
        <v>0.8</v>
      </c>
      <c r="O90" s="14">
        <f t="shared" si="2"/>
        <v>-0.70000000000000007</v>
      </c>
      <c r="P90">
        <f t="shared" si="9"/>
        <v>14.400000000000002</v>
      </c>
      <c r="Q90">
        <v>36</v>
      </c>
      <c r="R90">
        <f t="shared" si="7"/>
        <v>0.57469135802469129</v>
      </c>
      <c r="S90" s="41">
        <f t="shared" si="3"/>
        <v>0.45975308641975304</v>
      </c>
      <c r="T90" s="41">
        <f t="shared" si="4"/>
        <v>-0.35975308641975301</v>
      </c>
      <c r="U90" s="41">
        <f t="shared" si="8"/>
        <v>23.713456790123452</v>
      </c>
      <c r="W90">
        <v>364.1</v>
      </c>
      <c r="Y90">
        <f t="shared" si="6"/>
        <v>38211.799999999996</v>
      </c>
      <c r="AA90">
        <v>10.277242145507653</v>
      </c>
    </row>
    <row r="91" spans="1:27" x14ac:dyDescent="0.25">
      <c r="A91">
        <v>5080</v>
      </c>
      <c r="B91">
        <v>18650</v>
      </c>
      <c r="C91" s="1">
        <v>42669</v>
      </c>
      <c r="D91" s="1"/>
      <c r="E91" s="1"/>
      <c r="F91" s="60"/>
      <c r="G91">
        <v>15</v>
      </c>
      <c r="H91">
        <v>14.2</v>
      </c>
      <c r="I91">
        <v>16.7</v>
      </c>
      <c r="J91" s="14">
        <f t="shared" si="5"/>
        <v>596.80000000000007</v>
      </c>
      <c r="L91" s="1"/>
      <c r="M91">
        <v>0.1</v>
      </c>
      <c r="N91">
        <v>0.8</v>
      </c>
      <c r="O91" s="14">
        <f t="shared" si="2"/>
        <v>-0.70000000000000007</v>
      </c>
      <c r="P91">
        <f t="shared" si="9"/>
        <v>13.700000000000003</v>
      </c>
      <c r="Q91">
        <v>37</v>
      </c>
      <c r="R91">
        <f t="shared" si="7"/>
        <v>0.58271604938271604</v>
      </c>
      <c r="S91" s="41">
        <f t="shared" si="3"/>
        <v>0.46617283950617283</v>
      </c>
      <c r="T91" s="41">
        <f t="shared" si="4"/>
        <v>-0.36617283950617285</v>
      </c>
      <c r="U91" s="41">
        <f t="shared" si="8"/>
        <v>23.347283950617278</v>
      </c>
      <c r="W91">
        <v>323.8</v>
      </c>
      <c r="Y91">
        <f t="shared" si="6"/>
        <v>38535.599999999999</v>
      </c>
      <c r="AA91">
        <v>10.231135377677576</v>
      </c>
    </row>
    <row r="92" spans="1:27" x14ac:dyDescent="0.25">
      <c r="A92">
        <v>5080</v>
      </c>
      <c r="B92">
        <v>18650</v>
      </c>
      <c r="C92" s="1">
        <v>42670</v>
      </c>
      <c r="D92" s="1"/>
      <c r="E92" s="1"/>
      <c r="F92" s="60"/>
      <c r="G92">
        <v>10.1</v>
      </c>
      <c r="H92">
        <v>10.199999999999999</v>
      </c>
      <c r="I92">
        <v>11.5</v>
      </c>
      <c r="J92" s="14">
        <f t="shared" si="5"/>
        <v>606.90000000000009</v>
      </c>
      <c r="L92" s="1"/>
      <c r="M92">
        <v>0.4</v>
      </c>
      <c r="N92">
        <v>0.8</v>
      </c>
      <c r="O92" s="14">
        <f t="shared" si="2"/>
        <v>-0.4</v>
      </c>
      <c r="P92">
        <f t="shared" si="9"/>
        <v>13.300000000000002</v>
      </c>
      <c r="Q92">
        <v>38</v>
      </c>
      <c r="R92">
        <f t="shared" si="7"/>
        <v>0.59074074074074068</v>
      </c>
      <c r="S92" s="41">
        <f t="shared" si="3"/>
        <v>0.47259259259259256</v>
      </c>
      <c r="T92" s="41">
        <f t="shared" si="4"/>
        <v>-7.2592592592592542E-2</v>
      </c>
      <c r="U92" s="41">
        <f t="shared" si="8"/>
        <v>23.274691358024686</v>
      </c>
      <c r="W92">
        <v>338.7</v>
      </c>
      <c r="Y92">
        <f t="shared" si="6"/>
        <v>38874.299999999996</v>
      </c>
      <c r="AA92">
        <v>10.185390601110155</v>
      </c>
    </row>
    <row r="93" spans="1:27" x14ac:dyDescent="0.25">
      <c r="A93">
        <v>5080</v>
      </c>
      <c r="B93">
        <v>18650</v>
      </c>
      <c r="C93" s="1">
        <v>42671</v>
      </c>
      <c r="D93" s="1"/>
      <c r="E93" s="1"/>
      <c r="F93" s="60"/>
      <c r="G93">
        <v>8</v>
      </c>
      <c r="H93">
        <v>5.9</v>
      </c>
      <c r="I93">
        <v>9.5</v>
      </c>
      <c r="J93" s="14">
        <f t="shared" si="5"/>
        <v>614.90000000000009</v>
      </c>
      <c r="L93" s="1"/>
      <c r="M93">
        <v>0.3</v>
      </c>
      <c r="N93">
        <v>0.9</v>
      </c>
      <c r="O93" s="14">
        <f t="shared" si="2"/>
        <v>-0.60000000000000009</v>
      </c>
      <c r="P93">
        <f t="shared" si="9"/>
        <v>12.700000000000003</v>
      </c>
      <c r="Q93">
        <v>39</v>
      </c>
      <c r="R93">
        <f t="shared" si="7"/>
        <v>0.59876543209876543</v>
      </c>
      <c r="S93" s="41">
        <f t="shared" si="3"/>
        <v>0.53888888888888886</v>
      </c>
      <c r="T93" s="41">
        <f t="shared" si="4"/>
        <v>-0.23888888888888887</v>
      </c>
      <c r="U93" s="41">
        <f t="shared" si="8"/>
        <v>23.035802469135799</v>
      </c>
      <c r="W93">
        <v>303.60000000000002</v>
      </c>
      <c r="Y93">
        <f t="shared" si="6"/>
        <v>39177.899999999994</v>
      </c>
      <c r="AA93">
        <v>10.140022460967062</v>
      </c>
    </row>
    <row r="94" spans="1:27" x14ac:dyDescent="0.25">
      <c r="A94">
        <v>5080</v>
      </c>
      <c r="B94">
        <v>18650</v>
      </c>
      <c r="C94" s="1">
        <v>42672</v>
      </c>
      <c r="D94" s="1"/>
      <c r="E94" s="1"/>
      <c r="F94" s="60"/>
      <c r="G94">
        <v>9.8000000000000007</v>
      </c>
      <c r="H94">
        <v>5.7</v>
      </c>
      <c r="I94">
        <v>13.2</v>
      </c>
      <c r="J94" s="14">
        <f t="shared" si="5"/>
        <v>624.70000000000005</v>
      </c>
      <c r="L94" s="1"/>
      <c r="M94">
        <v>0</v>
      </c>
      <c r="N94">
        <v>1.6</v>
      </c>
      <c r="O94" s="14">
        <f t="shared" si="2"/>
        <v>-1.6</v>
      </c>
      <c r="P94">
        <f t="shared" si="9"/>
        <v>11.100000000000003</v>
      </c>
      <c r="Q94">
        <v>40</v>
      </c>
      <c r="R94">
        <f t="shared" si="7"/>
        <v>0.60679012345679006</v>
      </c>
      <c r="S94" s="41">
        <f t="shared" si="3"/>
        <v>0.97086419753086417</v>
      </c>
      <c r="T94" s="41">
        <f t="shared" si="4"/>
        <v>-0.97086419753086417</v>
      </c>
      <c r="U94" s="41">
        <f t="shared" si="8"/>
        <v>22.064938271604934</v>
      </c>
      <c r="W94">
        <v>832.1</v>
      </c>
      <c r="Y94">
        <f t="shared" si="6"/>
        <v>40009.999999999993</v>
      </c>
      <c r="AA94">
        <v>10.095045905449966</v>
      </c>
    </row>
    <row r="95" spans="1:27" x14ac:dyDescent="0.25">
      <c r="A95">
        <v>5080</v>
      </c>
      <c r="B95">
        <v>18650</v>
      </c>
      <c r="C95" s="1">
        <v>42673</v>
      </c>
      <c r="D95" s="1"/>
      <c r="E95" s="1"/>
      <c r="F95" s="60"/>
      <c r="G95">
        <v>11.6</v>
      </c>
      <c r="H95">
        <v>4</v>
      </c>
      <c r="I95">
        <v>18.3</v>
      </c>
      <c r="J95" s="14">
        <f t="shared" si="5"/>
        <v>636.30000000000007</v>
      </c>
      <c r="L95" s="1"/>
      <c r="M95">
        <v>0</v>
      </c>
      <c r="N95">
        <v>2.2000000000000002</v>
      </c>
      <c r="O95" s="14">
        <f t="shared" si="2"/>
        <v>-2.2000000000000002</v>
      </c>
      <c r="P95">
        <f t="shared" si="9"/>
        <v>8.9000000000000021</v>
      </c>
      <c r="Q95">
        <v>41</v>
      </c>
      <c r="R95">
        <f t="shared" si="7"/>
        <v>0.61481481481481481</v>
      </c>
      <c r="S95" s="41">
        <f t="shared" si="3"/>
        <v>1.3525925925925928</v>
      </c>
      <c r="T95" s="41">
        <f t="shared" si="4"/>
        <v>-1.3525925925925928</v>
      </c>
      <c r="U95" s="41">
        <f t="shared" si="8"/>
        <v>20.712345679012341</v>
      </c>
      <c r="W95">
        <v>1256.3</v>
      </c>
      <c r="Y95">
        <f t="shared" si="6"/>
        <v>41266.299999999996</v>
      </c>
      <c r="AA95">
        <v>10.050476183626628</v>
      </c>
    </row>
    <row r="96" spans="1:27" x14ac:dyDescent="0.25">
      <c r="A96">
        <v>5080</v>
      </c>
      <c r="B96">
        <v>18650</v>
      </c>
      <c r="C96" s="1">
        <v>42674</v>
      </c>
      <c r="D96" s="1"/>
      <c r="E96" s="1"/>
      <c r="F96" s="60"/>
      <c r="G96">
        <v>13.7</v>
      </c>
      <c r="H96">
        <v>7.3</v>
      </c>
      <c r="I96">
        <v>19.3</v>
      </c>
      <c r="J96" s="14">
        <f t="shared" si="5"/>
        <v>650.00000000000011</v>
      </c>
      <c r="L96" s="1"/>
      <c r="M96">
        <v>0.1</v>
      </c>
      <c r="N96">
        <v>2.6</v>
      </c>
      <c r="O96" s="14">
        <f t="shared" si="2"/>
        <v>-2.5</v>
      </c>
      <c r="P96">
        <f t="shared" si="9"/>
        <v>6.4000000000000021</v>
      </c>
      <c r="Q96">
        <v>42</v>
      </c>
      <c r="R96">
        <f t="shared" si="7"/>
        <v>0.62283950617283945</v>
      </c>
      <c r="S96" s="41">
        <f t="shared" si="3"/>
        <v>1.6193827160493826</v>
      </c>
      <c r="T96" s="41">
        <f t="shared" si="4"/>
        <v>-1.5193827160493825</v>
      </c>
      <c r="U96" s="41">
        <f t="shared" si="8"/>
        <v>19.192962962962959</v>
      </c>
      <c r="W96">
        <v>1255.2</v>
      </c>
      <c r="Y96">
        <f t="shared" si="6"/>
        <v>42521.499999999993</v>
      </c>
      <c r="AA96">
        <v>10.00632884221598</v>
      </c>
    </row>
    <row r="97" spans="1:27" x14ac:dyDescent="0.25">
      <c r="A97">
        <v>5080</v>
      </c>
      <c r="B97">
        <v>18650</v>
      </c>
      <c r="C97" s="1">
        <v>42675</v>
      </c>
      <c r="D97" s="1"/>
      <c r="E97" s="1"/>
      <c r="F97" s="60"/>
      <c r="G97">
        <v>14.2</v>
      </c>
      <c r="H97">
        <v>8.6</v>
      </c>
      <c r="I97">
        <v>21</v>
      </c>
      <c r="J97" s="14">
        <f t="shared" si="5"/>
        <v>664.20000000000016</v>
      </c>
      <c r="L97" s="1"/>
      <c r="M97">
        <v>0.1</v>
      </c>
      <c r="N97">
        <v>2.4</v>
      </c>
      <c r="O97" s="14">
        <f t="shared" si="2"/>
        <v>-2.2999999999999998</v>
      </c>
      <c r="P97">
        <f t="shared" si="9"/>
        <v>4.1000000000000023</v>
      </c>
      <c r="Q97">
        <v>43</v>
      </c>
      <c r="R97">
        <f t="shared" si="7"/>
        <v>0.6308641975308642</v>
      </c>
      <c r="S97" s="41">
        <f t="shared" si="3"/>
        <v>1.5140740740740741</v>
      </c>
      <c r="T97" s="41">
        <f t="shared" si="4"/>
        <v>-1.414074074074074</v>
      </c>
      <c r="U97" s="41">
        <f t="shared" si="8"/>
        <v>17.778888888888886</v>
      </c>
      <c r="W97">
        <v>1205.7</v>
      </c>
      <c r="Y97">
        <f t="shared" si="6"/>
        <v>43727.19999999999</v>
      </c>
      <c r="AA97">
        <v>9.9626197212889096</v>
      </c>
    </row>
    <row r="98" spans="1:27" x14ac:dyDescent="0.25">
      <c r="A98">
        <v>5080</v>
      </c>
      <c r="B98">
        <v>18650</v>
      </c>
      <c r="C98" s="1">
        <v>42676</v>
      </c>
      <c r="D98" s="1"/>
      <c r="E98" s="1"/>
      <c r="F98" s="60"/>
      <c r="G98">
        <v>12.9</v>
      </c>
      <c r="H98">
        <v>6.8</v>
      </c>
      <c r="I98">
        <v>19</v>
      </c>
      <c r="J98" s="14">
        <f t="shared" si="5"/>
        <v>677.10000000000014</v>
      </c>
      <c r="L98" s="1"/>
      <c r="M98">
        <v>0.2</v>
      </c>
      <c r="N98">
        <v>1.8</v>
      </c>
      <c r="O98" s="14">
        <f t="shared" si="2"/>
        <v>-1.6</v>
      </c>
      <c r="P98">
        <f t="shared" si="9"/>
        <v>2.5000000000000022</v>
      </c>
      <c r="Q98">
        <v>44</v>
      </c>
      <c r="R98">
        <f t="shared" si="7"/>
        <v>0.63888888888888884</v>
      </c>
      <c r="S98" s="41">
        <f t="shared" si="3"/>
        <v>1.1499999999999999</v>
      </c>
      <c r="T98" s="41">
        <f t="shared" si="4"/>
        <v>-0.95</v>
      </c>
      <c r="U98" s="41">
        <f t="shared" si="8"/>
        <v>16.828888888888887</v>
      </c>
      <c r="W98">
        <v>1086.2</v>
      </c>
      <c r="Y98">
        <f t="shared" si="6"/>
        <v>44813.399999999987</v>
      </c>
      <c r="AA98">
        <v>9.9193649488421478</v>
      </c>
    </row>
    <row r="99" spans="1:27" x14ac:dyDescent="0.25">
      <c r="A99">
        <v>5080</v>
      </c>
      <c r="B99">
        <v>18650</v>
      </c>
      <c r="C99" s="1">
        <v>42677</v>
      </c>
      <c r="D99" s="1"/>
      <c r="E99" s="1"/>
      <c r="F99" s="60"/>
      <c r="G99">
        <v>9.9</v>
      </c>
      <c r="H99">
        <v>9.4</v>
      </c>
      <c r="I99">
        <v>10.8</v>
      </c>
      <c r="J99" s="14">
        <f t="shared" si="5"/>
        <v>687.00000000000011</v>
      </c>
      <c r="L99" s="1"/>
      <c r="M99">
        <v>0</v>
      </c>
      <c r="N99">
        <v>0.7</v>
      </c>
      <c r="O99" s="14">
        <f t="shared" si="2"/>
        <v>-0.7</v>
      </c>
      <c r="P99">
        <f t="shared" si="9"/>
        <v>1.8000000000000023</v>
      </c>
      <c r="Q99">
        <v>45</v>
      </c>
      <c r="R99">
        <f t="shared" si="7"/>
        <v>0.64691358024691348</v>
      </c>
      <c r="S99" s="41">
        <f t="shared" si="3"/>
        <v>0.45283950617283941</v>
      </c>
      <c r="T99" s="41">
        <f t="shared" si="4"/>
        <v>-0.45283950617283941</v>
      </c>
      <c r="U99" s="41">
        <f t="shared" si="8"/>
        <v>16.376049382716047</v>
      </c>
      <c r="W99">
        <v>307.89999999999998</v>
      </c>
      <c r="Y99">
        <f t="shared" si="6"/>
        <v>45121.299999999988</v>
      </c>
      <c r="AA99">
        <v>9.8765809342039912</v>
      </c>
    </row>
    <row r="100" spans="1:27" x14ac:dyDescent="0.25">
      <c r="A100">
        <v>5080</v>
      </c>
      <c r="B100">
        <v>18650</v>
      </c>
      <c r="C100" s="1">
        <v>42678</v>
      </c>
      <c r="D100" s="1"/>
      <c r="E100" s="1"/>
      <c r="F100" s="60"/>
      <c r="G100">
        <v>11.9</v>
      </c>
      <c r="H100">
        <v>6.3</v>
      </c>
      <c r="I100">
        <v>16.8</v>
      </c>
      <c r="J100" s="14">
        <f t="shared" si="5"/>
        <v>698.90000000000009</v>
      </c>
      <c r="L100" s="1"/>
      <c r="M100">
        <v>2.1</v>
      </c>
      <c r="N100">
        <v>0.8</v>
      </c>
      <c r="O100" s="14">
        <f t="shared" si="2"/>
        <v>1.3</v>
      </c>
      <c r="P100">
        <f t="shared" si="9"/>
        <v>3.1000000000000023</v>
      </c>
      <c r="Q100">
        <v>46</v>
      </c>
      <c r="R100">
        <f t="shared" si="7"/>
        <v>0.65493827160493823</v>
      </c>
      <c r="S100" s="41">
        <f t="shared" si="3"/>
        <v>0.52395061728395065</v>
      </c>
      <c r="T100" s="41">
        <f t="shared" si="4"/>
        <v>1.5760493827160493</v>
      </c>
      <c r="U100" s="41">
        <f t="shared" si="8"/>
        <v>17.952098765432098</v>
      </c>
      <c r="W100">
        <v>422.6</v>
      </c>
      <c r="Y100">
        <f t="shared" si="6"/>
        <v>45543.899999999987</v>
      </c>
      <c r="AA100">
        <v>9.8342843602319885</v>
      </c>
    </row>
    <row r="101" spans="1:27" x14ac:dyDescent="0.25">
      <c r="A101">
        <v>5080</v>
      </c>
      <c r="B101">
        <v>18650</v>
      </c>
      <c r="C101" s="1">
        <v>42679</v>
      </c>
      <c r="D101" s="1"/>
      <c r="E101" s="1"/>
      <c r="F101" s="60"/>
      <c r="G101">
        <v>11.2</v>
      </c>
      <c r="H101">
        <v>10.6</v>
      </c>
      <c r="I101">
        <v>12.3</v>
      </c>
      <c r="J101" s="14">
        <f t="shared" si="5"/>
        <v>710.10000000000014</v>
      </c>
      <c r="L101" s="1"/>
      <c r="M101">
        <v>8</v>
      </c>
      <c r="N101">
        <v>0.7</v>
      </c>
      <c r="O101" s="14">
        <f t="shared" si="2"/>
        <v>7.3</v>
      </c>
      <c r="P101">
        <f t="shared" si="9"/>
        <v>10.400000000000002</v>
      </c>
      <c r="Q101">
        <v>47</v>
      </c>
      <c r="R101">
        <f t="shared" si="7"/>
        <v>0.66296296296296298</v>
      </c>
      <c r="S101" s="41">
        <f t="shared" si="3"/>
        <v>0.46407407407407403</v>
      </c>
      <c r="T101" s="41">
        <f t="shared" si="4"/>
        <v>7.5359259259259259</v>
      </c>
      <c r="U101" s="41">
        <f t="shared" si="8"/>
        <v>25.488024691358024</v>
      </c>
      <c r="W101">
        <v>156.19999999999999</v>
      </c>
      <c r="Y101">
        <f t="shared" si="6"/>
        <v>45700.099999999984</v>
      </c>
      <c r="AA101">
        <v>9.7924921742647815</v>
      </c>
    </row>
    <row r="102" spans="1:27" x14ac:dyDescent="0.25">
      <c r="A102">
        <v>5080</v>
      </c>
      <c r="B102">
        <v>18650</v>
      </c>
      <c r="C102" s="1">
        <v>42680</v>
      </c>
      <c r="D102" s="1"/>
      <c r="E102" s="1"/>
      <c r="F102" s="60"/>
      <c r="G102">
        <v>7.7</v>
      </c>
      <c r="H102">
        <v>6.2</v>
      </c>
      <c r="I102">
        <v>10</v>
      </c>
      <c r="J102" s="14">
        <f t="shared" si="5"/>
        <v>717.80000000000018</v>
      </c>
      <c r="L102" s="1"/>
      <c r="M102">
        <v>2.4</v>
      </c>
      <c r="N102">
        <v>0.8</v>
      </c>
      <c r="O102" s="14">
        <f t="shared" si="2"/>
        <v>1.5999999999999999</v>
      </c>
      <c r="P102">
        <f t="shared" si="9"/>
        <v>12.000000000000002</v>
      </c>
      <c r="Q102">
        <v>48</v>
      </c>
      <c r="R102">
        <f t="shared" si="7"/>
        <v>0.67098765432098761</v>
      </c>
      <c r="S102" s="41">
        <f t="shared" si="3"/>
        <v>0.53679012345679011</v>
      </c>
      <c r="T102" s="41">
        <f t="shared" si="4"/>
        <v>1.8632098765432099</v>
      </c>
      <c r="U102" s="41">
        <f t="shared" si="8"/>
        <v>27.351234567901233</v>
      </c>
      <c r="W102">
        <v>375.6</v>
      </c>
      <c r="Y102">
        <f t="shared" si="6"/>
        <v>46075.699999999983</v>
      </c>
      <c r="AA102">
        <v>9.7512215777924069</v>
      </c>
    </row>
    <row r="103" spans="1:27" x14ac:dyDescent="0.25">
      <c r="A103">
        <v>5080</v>
      </c>
      <c r="B103">
        <v>18650</v>
      </c>
      <c r="C103" s="1">
        <v>42681</v>
      </c>
      <c r="D103" s="1"/>
      <c r="E103" s="1"/>
      <c r="F103" s="60"/>
      <c r="G103">
        <v>6.4</v>
      </c>
      <c r="H103">
        <v>4.9000000000000004</v>
      </c>
      <c r="I103">
        <v>7.8</v>
      </c>
      <c r="J103" s="14">
        <f t="shared" si="5"/>
        <v>724.20000000000016</v>
      </c>
      <c r="L103" s="1"/>
      <c r="M103">
        <v>0.1</v>
      </c>
      <c r="N103">
        <v>0.6</v>
      </c>
      <c r="O103" s="14">
        <f t="shared" si="2"/>
        <v>-0.5</v>
      </c>
      <c r="P103">
        <f t="shared" si="9"/>
        <v>11.500000000000002</v>
      </c>
      <c r="Q103">
        <v>49</v>
      </c>
      <c r="R103">
        <f t="shared" si="7"/>
        <v>0.67901234567901236</v>
      </c>
      <c r="S103" s="41">
        <f t="shared" si="3"/>
        <v>0.40740740740740738</v>
      </c>
      <c r="T103" s="41">
        <f t="shared" si="4"/>
        <v>-0.30740740740740735</v>
      </c>
      <c r="U103" s="41">
        <f t="shared" si="8"/>
        <v>27.043827160493827</v>
      </c>
      <c r="W103">
        <v>332.3</v>
      </c>
      <c r="Y103">
        <f t="shared" si="6"/>
        <v>46407.999999999985</v>
      </c>
      <c r="AA103">
        <v>9.7104900148123274</v>
      </c>
    </row>
    <row r="104" spans="1:27" x14ac:dyDescent="0.25">
      <c r="A104">
        <v>5080</v>
      </c>
      <c r="B104">
        <v>18650</v>
      </c>
      <c r="C104" s="1">
        <v>42682</v>
      </c>
      <c r="D104" s="1"/>
      <c r="E104" s="1"/>
      <c r="F104" s="60"/>
      <c r="G104">
        <v>7.5</v>
      </c>
      <c r="H104">
        <v>5.2</v>
      </c>
      <c r="I104">
        <v>8.9</v>
      </c>
      <c r="J104" s="14">
        <f t="shared" si="5"/>
        <v>731.70000000000016</v>
      </c>
      <c r="L104" s="1"/>
      <c r="M104">
        <v>5.7</v>
      </c>
      <c r="N104">
        <v>1</v>
      </c>
      <c r="O104" s="14">
        <f t="shared" si="2"/>
        <v>4.7</v>
      </c>
      <c r="P104">
        <f t="shared" si="9"/>
        <v>16.200000000000003</v>
      </c>
      <c r="Q104">
        <v>50</v>
      </c>
      <c r="R104">
        <f t="shared" si="7"/>
        <v>0.687037037037037</v>
      </c>
      <c r="S104" s="41">
        <f t="shared" si="3"/>
        <v>0.687037037037037</v>
      </c>
      <c r="T104" s="41">
        <f t="shared" si="4"/>
        <v>5.0129629629629635</v>
      </c>
      <c r="U104" s="41">
        <f t="shared" si="8"/>
        <v>32.056790123456793</v>
      </c>
      <c r="W104">
        <v>624.5</v>
      </c>
      <c r="Y104">
        <f t="shared" si="6"/>
        <v>47032.499999999985</v>
      </c>
      <c r="AA104">
        <v>9.6703151588414968</v>
      </c>
    </row>
    <row r="105" spans="1:27" x14ac:dyDescent="0.25">
      <c r="A105">
        <v>5080</v>
      </c>
      <c r="B105">
        <v>18650</v>
      </c>
      <c r="C105" s="1">
        <v>42683</v>
      </c>
      <c r="D105" s="1"/>
      <c r="E105" s="1"/>
      <c r="F105" s="60"/>
      <c r="G105">
        <v>10.3</v>
      </c>
      <c r="H105">
        <v>8</v>
      </c>
      <c r="I105">
        <v>13.3</v>
      </c>
      <c r="J105" s="14">
        <f t="shared" si="5"/>
        <v>742.00000000000011</v>
      </c>
      <c r="L105" s="1"/>
      <c r="M105">
        <v>4.4000000000000004</v>
      </c>
      <c r="N105">
        <v>1.4</v>
      </c>
      <c r="O105" s="14">
        <f t="shared" si="2"/>
        <v>3.0000000000000004</v>
      </c>
      <c r="P105">
        <f t="shared" si="9"/>
        <v>19.200000000000003</v>
      </c>
      <c r="Q105">
        <v>51</v>
      </c>
      <c r="R105">
        <f t="shared" si="7"/>
        <v>0.69506172839506175</v>
      </c>
      <c r="S105" s="41">
        <f t="shared" si="3"/>
        <v>0.97308641975308641</v>
      </c>
      <c r="T105" s="41">
        <f t="shared" si="4"/>
        <v>3.4269135802469139</v>
      </c>
      <c r="U105" s="41">
        <f t="shared" si="8"/>
        <v>35.483703703703704</v>
      </c>
      <c r="W105">
        <v>480.8</v>
      </c>
      <c r="Y105">
        <f t="shared" si="6"/>
        <v>47513.299999999988</v>
      </c>
      <c r="AA105">
        <v>9.6307148985585336</v>
      </c>
    </row>
    <row r="106" spans="1:27" x14ac:dyDescent="0.25">
      <c r="A106">
        <v>5080</v>
      </c>
      <c r="B106">
        <v>18650</v>
      </c>
      <c r="C106" s="1">
        <v>42684</v>
      </c>
      <c r="D106" s="1"/>
      <c r="E106" s="1"/>
      <c r="F106" s="60"/>
      <c r="G106">
        <v>11.2</v>
      </c>
      <c r="H106">
        <v>9.6999999999999993</v>
      </c>
      <c r="I106">
        <v>13.2</v>
      </c>
      <c r="J106" s="14">
        <f t="shared" si="5"/>
        <v>753.20000000000016</v>
      </c>
      <c r="L106" s="1"/>
      <c r="M106">
        <v>10.8</v>
      </c>
      <c r="N106">
        <v>1</v>
      </c>
      <c r="O106" s="14">
        <f t="shared" si="2"/>
        <v>9.8000000000000007</v>
      </c>
      <c r="P106">
        <f t="shared" si="9"/>
        <v>29.000000000000004</v>
      </c>
      <c r="Q106">
        <v>52</v>
      </c>
      <c r="R106">
        <f t="shared" si="7"/>
        <v>0.70308641975308639</v>
      </c>
      <c r="S106" s="41">
        <f t="shared" si="3"/>
        <v>0.70308641975308639</v>
      </c>
      <c r="T106" s="41">
        <f t="shared" si="4"/>
        <v>10.096913580246914</v>
      </c>
      <c r="U106" s="41">
        <f t="shared" si="8"/>
        <v>45.580617283950616</v>
      </c>
      <c r="W106">
        <v>284.5</v>
      </c>
      <c r="Y106">
        <f t="shared" si="6"/>
        <v>47797.799999999988</v>
      </c>
      <c r="AA106">
        <v>9.5917073220541358</v>
      </c>
    </row>
    <row r="107" spans="1:27" x14ac:dyDescent="0.25">
      <c r="A107">
        <v>5080</v>
      </c>
      <c r="B107">
        <v>18650</v>
      </c>
      <c r="C107" s="1">
        <v>42685</v>
      </c>
      <c r="D107" s="1"/>
      <c r="E107" s="1"/>
      <c r="F107" s="60"/>
      <c r="G107">
        <v>11.7</v>
      </c>
      <c r="H107">
        <v>10.8</v>
      </c>
      <c r="I107">
        <v>12.7</v>
      </c>
      <c r="J107" s="14">
        <f t="shared" si="5"/>
        <v>764.9000000000002</v>
      </c>
      <c r="L107" s="1"/>
      <c r="M107">
        <v>1.4</v>
      </c>
      <c r="N107">
        <v>0.9</v>
      </c>
      <c r="O107" s="14">
        <f t="shared" si="2"/>
        <v>0.49999999999999989</v>
      </c>
      <c r="P107">
        <f t="shared" si="9"/>
        <v>29.500000000000004</v>
      </c>
      <c r="Q107">
        <v>53</v>
      </c>
      <c r="R107">
        <f t="shared" si="7"/>
        <v>0.71111111111111114</v>
      </c>
      <c r="S107" s="41">
        <f t="shared" si="3"/>
        <v>0.64</v>
      </c>
      <c r="T107" s="41">
        <f t="shared" si="4"/>
        <v>0.7599999999999999</v>
      </c>
      <c r="U107" s="41">
        <f t="shared" si="8"/>
        <v>46.340617283950614</v>
      </c>
      <c r="W107">
        <v>521</v>
      </c>
      <c r="Y107">
        <f t="shared" si="6"/>
        <v>48318.799999999988</v>
      </c>
      <c r="AA107">
        <v>9.5533106996726485</v>
      </c>
    </row>
    <row r="108" spans="1:27" x14ac:dyDescent="0.25">
      <c r="A108">
        <v>5080</v>
      </c>
      <c r="B108">
        <v>18650</v>
      </c>
      <c r="C108" s="1">
        <v>42686</v>
      </c>
      <c r="D108" s="1"/>
      <c r="E108" s="1"/>
      <c r="F108" s="60"/>
      <c r="G108">
        <v>11.2</v>
      </c>
      <c r="H108">
        <v>8.6999999999999993</v>
      </c>
      <c r="I108">
        <v>14.2</v>
      </c>
      <c r="J108" s="14">
        <f t="shared" si="5"/>
        <v>776.10000000000025</v>
      </c>
      <c r="L108" s="1"/>
      <c r="M108">
        <v>2.6</v>
      </c>
      <c r="N108">
        <v>1</v>
      </c>
      <c r="O108" s="14">
        <f t="shared" si="2"/>
        <v>1.6</v>
      </c>
      <c r="P108">
        <f t="shared" si="9"/>
        <v>31.100000000000005</v>
      </c>
      <c r="Q108">
        <v>54</v>
      </c>
      <c r="R108">
        <f t="shared" si="7"/>
        <v>0.71913580246913578</v>
      </c>
      <c r="S108" s="41">
        <f t="shared" si="3"/>
        <v>0.71913580246913578</v>
      </c>
      <c r="T108" s="41">
        <f t="shared" si="4"/>
        <v>1.8808641975308644</v>
      </c>
      <c r="U108" s="41">
        <f t="shared" si="8"/>
        <v>48.221481481481476</v>
      </c>
      <c r="W108">
        <v>807.8</v>
      </c>
      <c r="Y108">
        <f t="shared" si="6"/>
        <v>49126.599999999991</v>
      </c>
      <c r="AA108">
        <v>9.5155434654326907</v>
      </c>
    </row>
    <row r="109" spans="1:27" x14ac:dyDescent="0.25">
      <c r="A109">
        <v>5080</v>
      </c>
      <c r="B109">
        <v>18650</v>
      </c>
      <c r="C109" s="1">
        <v>42687</v>
      </c>
      <c r="D109" s="1"/>
      <c r="E109" s="1"/>
      <c r="F109" s="60"/>
      <c r="G109">
        <v>11.4</v>
      </c>
      <c r="H109">
        <v>9.6999999999999993</v>
      </c>
      <c r="I109">
        <v>14.2</v>
      </c>
      <c r="J109" s="14">
        <f t="shared" si="5"/>
        <v>787.50000000000023</v>
      </c>
      <c r="L109" s="1"/>
      <c r="M109">
        <v>9.6</v>
      </c>
      <c r="N109">
        <v>0.7</v>
      </c>
      <c r="O109" s="14">
        <f t="shared" si="2"/>
        <v>8.9</v>
      </c>
      <c r="P109">
        <f t="shared" si="9"/>
        <v>40.000000000000007</v>
      </c>
      <c r="Q109">
        <v>55</v>
      </c>
      <c r="R109">
        <f t="shared" si="7"/>
        <v>0.72716049382716053</v>
      </c>
      <c r="S109" s="41">
        <f t="shared" si="3"/>
        <v>0.50901234567901232</v>
      </c>
      <c r="T109" s="41">
        <f t="shared" si="4"/>
        <v>9.0909876543209869</v>
      </c>
      <c r="U109" s="41">
        <f t="shared" si="8"/>
        <v>57.312469135802459</v>
      </c>
      <c r="W109">
        <v>172</v>
      </c>
      <c r="Y109">
        <f t="shared" si="6"/>
        <v>49298.599999999991</v>
      </c>
      <c r="AA109">
        <v>9.4784241970205709</v>
      </c>
    </row>
    <row r="110" spans="1:27" x14ac:dyDescent="0.25">
      <c r="A110">
        <v>5080</v>
      </c>
      <c r="B110">
        <v>18650</v>
      </c>
      <c r="C110" s="1">
        <v>42688</v>
      </c>
      <c r="D110" s="1"/>
      <c r="E110" s="1"/>
      <c r="F110" s="60"/>
      <c r="G110">
        <v>9.6999999999999993</v>
      </c>
      <c r="H110">
        <v>9.5</v>
      </c>
      <c r="I110">
        <v>10.3</v>
      </c>
      <c r="J110" s="14">
        <f t="shared" si="5"/>
        <v>797.20000000000027</v>
      </c>
      <c r="L110" s="1"/>
      <c r="M110">
        <v>0</v>
      </c>
      <c r="N110">
        <v>0.9</v>
      </c>
      <c r="O110" s="14">
        <f t="shared" si="2"/>
        <v>-0.9</v>
      </c>
      <c r="P110">
        <f t="shared" si="9"/>
        <v>39.100000000000009</v>
      </c>
      <c r="Q110">
        <v>56</v>
      </c>
      <c r="R110">
        <f t="shared" si="7"/>
        <v>0.73518518518518516</v>
      </c>
      <c r="S110" s="41">
        <f t="shared" si="3"/>
        <v>0.66166666666666663</v>
      </c>
      <c r="T110" s="41">
        <f t="shared" si="4"/>
        <v>-0.66166666666666663</v>
      </c>
      <c r="U110" s="41">
        <f t="shared" si="8"/>
        <v>56.65080246913579</v>
      </c>
      <c r="W110">
        <v>359.4</v>
      </c>
      <c r="Y110">
        <f t="shared" si="6"/>
        <v>49657.999999999993</v>
      </c>
      <c r="AA110">
        <v>9.4419715943563212</v>
      </c>
    </row>
    <row r="111" spans="1:27" x14ac:dyDescent="0.25">
      <c r="A111">
        <v>5080</v>
      </c>
      <c r="B111">
        <v>18650</v>
      </c>
      <c r="C111" s="1">
        <v>42689</v>
      </c>
      <c r="D111" s="1"/>
      <c r="E111" s="1"/>
      <c r="F111" s="60"/>
      <c r="G111">
        <v>8.3000000000000007</v>
      </c>
      <c r="H111">
        <v>7</v>
      </c>
      <c r="I111">
        <v>9.9</v>
      </c>
      <c r="J111" s="14">
        <f t="shared" si="5"/>
        <v>805.50000000000023</v>
      </c>
      <c r="L111" s="1"/>
      <c r="M111">
        <v>0</v>
      </c>
      <c r="N111">
        <v>0.9</v>
      </c>
      <c r="O111" s="14">
        <f t="shared" si="2"/>
        <v>-0.9</v>
      </c>
      <c r="P111">
        <f t="shared" si="9"/>
        <v>38.20000000000001</v>
      </c>
      <c r="Q111">
        <v>57</v>
      </c>
      <c r="R111">
        <f t="shared" si="7"/>
        <v>0.7432098765432098</v>
      </c>
      <c r="S111" s="41">
        <f t="shared" si="3"/>
        <v>0.66888888888888887</v>
      </c>
      <c r="T111" s="41">
        <f t="shared" si="4"/>
        <v>-0.66888888888888887</v>
      </c>
      <c r="U111" s="41">
        <f t="shared" si="8"/>
        <v>55.981913580246903</v>
      </c>
      <c r="W111">
        <v>391.2</v>
      </c>
      <c r="Y111">
        <f t="shared" si="6"/>
        <v>50049.19999999999</v>
      </c>
      <c r="AA111">
        <v>9.4062044567388838</v>
      </c>
    </row>
    <row r="112" spans="1:27" x14ac:dyDescent="0.25">
      <c r="A112">
        <v>5080</v>
      </c>
      <c r="B112">
        <v>18650</v>
      </c>
      <c r="C112" s="1">
        <v>42690</v>
      </c>
      <c r="D112" s="1"/>
      <c r="E112" s="1"/>
      <c r="F112" s="60"/>
      <c r="G112">
        <v>10.4</v>
      </c>
      <c r="H112">
        <v>8.1</v>
      </c>
      <c r="I112">
        <v>12</v>
      </c>
      <c r="J112" s="14">
        <f t="shared" si="5"/>
        <v>815.9000000000002</v>
      </c>
      <c r="L112" s="1"/>
      <c r="M112">
        <v>0</v>
      </c>
      <c r="N112">
        <v>0.5</v>
      </c>
      <c r="O112" s="14">
        <f t="shared" si="2"/>
        <v>-0.5</v>
      </c>
      <c r="P112">
        <f t="shared" si="9"/>
        <v>37.70000000000001</v>
      </c>
      <c r="Q112">
        <v>58</v>
      </c>
      <c r="R112">
        <f t="shared" si="7"/>
        <v>0.75123456790123455</v>
      </c>
      <c r="S112" s="41">
        <f t="shared" si="3"/>
        <v>0.37561728395061728</v>
      </c>
      <c r="T112" s="41">
        <f t="shared" si="4"/>
        <v>-0.37561728395061728</v>
      </c>
      <c r="U112" s="41">
        <f t="shared" si="8"/>
        <v>55.606296296296286</v>
      </c>
      <c r="W112">
        <v>200.9</v>
      </c>
      <c r="Y112">
        <f t="shared" si="6"/>
        <v>50250.099999999991</v>
      </c>
      <c r="AA112">
        <v>9.3711416585841771</v>
      </c>
    </row>
    <row r="113" spans="1:27" x14ac:dyDescent="0.25">
      <c r="A113">
        <v>5080</v>
      </c>
      <c r="B113">
        <v>18650</v>
      </c>
      <c r="C113" s="1">
        <v>42691</v>
      </c>
      <c r="D113" s="1"/>
      <c r="E113" s="1"/>
      <c r="F113" s="60"/>
      <c r="G113">
        <v>11.5</v>
      </c>
      <c r="H113">
        <v>9.9</v>
      </c>
      <c r="I113">
        <v>15.2</v>
      </c>
      <c r="J113" s="14">
        <f t="shared" si="5"/>
        <v>827.4000000000002</v>
      </c>
      <c r="L113" s="1"/>
      <c r="M113">
        <v>0.2</v>
      </c>
      <c r="N113">
        <v>1.5</v>
      </c>
      <c r="O113" s="14">
        <f t="shared" si="2"/>
        <v>-1.3</v>
      </c>
      <c r="P113">
        <f t="shared" si="9"/>
        <v>36.400000000000013</v>
      </c>
      <c r="Q113">
        <v>59</v>
      </c>
      <c r="R113">
        <f t="shared" si="7"/>
        <v>0.7592592592592593</v>
      </c>
      <c r="S113" s="41">
        <f t="shared" si="3"/>
        <v>1.1388888888888888</v>
      </c>
      <c r="T113" s="41">
        <f t="shared" si="4"/>
        <v>-0.93888888888888888</v>
      </c>
      <c r="U113" s="41">
        <f t="shared" si="8"/>
        <v>54.667407407407396</v>
      </c>
      <c r="W113">
        <v>752.1</v>
      </c>
      <c r="Y113">
        <f t="shared" si="6"/>
        <v>51002.19999999999</v>
      </c>
      <c r="AA113">
        <v>9.3368021237774173</v>
      </c>
    </row>
    <row r="114" spans="1:27" x14ac:dyDescent="0.25">
      <c r="A114">
        <v>5080</v>
      </c>
      <c r="B114">
        <v>18650</v>
      </c>
      <c r="C114" s="1">
        <v>42692</v>
      </c>
      <c r="D114" s="1"/>
      <c r="E114" s="1"/>
      <c r="F114" s="60"/>
      <c r="G114">
        <v>11.4</v>
      </c>
      <c r="H114">
        <v>9.5</v>
      </c>
      <c r="I114">
        <v>12.8</v>
      </c>
      <c r="J114" s="14">
        <f t="shared" si="5"/>
        <v>838.80000000000018</v>
      </c>
      <c r="L114" s="1"/>
      <c r="M114">
        <v>1.6</v>
      </c>
      <c r="N114">
        <v>0.5</v>
      </c>
      <c r="O114" s="14">
        <f t="shared" si="2"/>
        <v>1.1000000000000001</v>
      </c>
      <c r="P114">
        <f t="shared" si="9"/>
        <v>37.500000000000014</v>
      </c>
      <c r="Q114">
        <v>60</v>
      </c>
      <c r="R114">
        <f t="shared" si="7"/>
        <v>0.76728395061728394</v>
      </c>
      <c r="S114" s="41">
        <f t="shared" si="3"/>
        <v>0.38364197530864197</v>
      </c>
      <c r="T114" s="41">
        <f t="shared" si="4"/>
        <v>1.2163580246913581</v>
      </c>
      <c r="U114" s="41">
        <f t="shared" si="8"/>
        <v>55.883765432098755</v>
      </c>
      <c r="W114">
        <v>283</v>
      </c>
      <c r="Y114">
        <f t="shared" si="6"/>
        <v>51285.19999999999</v>
      </c>
      <c r="AA114">
        <v>9.3032047986692135</v>
      </c>
    </row>
    <row r="115" spans="1:27" x14ac:dyDescent="0.25">
      <c r="A115">
        <v>5080</v>
      </c>
      <c r="B115">
        <v>18650</v>
      </c>
      <c r="C115" s="1">
        <v>42693</v>
      </c>
      <c r="D115" s="1"/>
      <c r="E115" s="1"/>
      <c r="F115" s="60"/>
      <c r="G115">
        <v>10.3</v>
      </c>
      <c r="H115">
        <v>8.9</v>
      </c>
      <c r="I115">
        <v>12.4</v>
      </c>
      <c r="J115" s="14">
        <f t="shared" si="5"/>
        <v>849.10000000000014</v>
      </c>
      <c r="L115" s="1"/>
      <c r="M115">
        <v>0</v>
      </c>
      <c r="N115">
        <v>1.1000000000000001</v>
      </c>
      <c r="O115" s="14">
        <f t="shared" si="2"/>
        <v>-1.1000000000000001</v>
      </c>
      <c r="P115">
        <f t="shared" si="9"/>
        <v>36.400000000000013</v>
      </c>
      <c r="Q115">
        <v>61</v>
      </c>
      <c r="R115">
        <f t="shared" si="7"/>
        <v>0.77530864197530858</v>
      </c>
      <c r="S115" s="41">
        <f t="shared" si="3"/>
        <v>0.85283950617283955</v>
      </c>
      <c r="T115" s="41">
        <f t="shared" si="4"/>
        <v>-0.85283950617283955</v>
      </c>
      <c r="U115" s="41">
        <f t="shared" si="8"/>
        <v>55.030925925925914</v>
      </c>
      <c r="W115">
        <v>620.9</v>
      </c>
      <c r="Y115">
        <f t="shared" si="6"/>
        <v>51906.099999999991</v>
      </c>
      <c r="AA115">
        <v>9.2703686237534093</v>
      </c>
    </row>
    <row r="116" spans="1:27" x14ac:dyDescent="0.25">
      <c r="A116">
        <v>5080</v>
      </c>
      <c r="B116">
        <v>18650</v>
      </c>
      <c r="C116" s="1">
        <v>42694</v>
      </c>
      <c r="D116" s="1"/>
      <c r="E116" s="1"/>
      <c r="F116" s="60"/>
      <c r="G116">
        <v>12.3</v>
      </c>
      <c r="H116">
        <v>8.3000000000000007</v>
      </c>
      <c r="I116">
        <v>16.399999999999999</v>
      </c>
      <c r="J116" s="14">
        <f t="shared" si="5"/>
        <v>861.40000000000009</v>
      </c>
      <c r="L116" s="1"/>
      <c r="M116">
        <v>0</v>
      </c>
      <c r="N116">
        <v>1.9</v>
      </c>
      <c r="O116" s="14">
        <f t="shared" si="2"/>
        <v>-1.9</v>
      </c>
      <c r="P116">
        <f t="shared" si="9"/>
        <v>34.500000000000014</v>
      </c>
      <c r="Q116">
        <v>62</v>
      </c>
      <c r="R116">
        <f t="shared" si="7"/>
        <v>0.78333333333333333</v>
      </c>
      <c r="S116" s="41">
        <f t="shared" si="3"/>
        <v>1.4883333333333333</v>
      </c>
      <c r="T116" s="41">
        <f t="shared" si="4"/>
        <v>-1.4883333333333333</v>
      </c>
      <c r="U116" s="41">
        <f t="shared" si="8"/>
        <v>53.542592592592584</v>
      </c>
      <c r="W116">
        <v>885.7</v>
      </c>
      <c r="Y116">
        <f t="shared" si="6"/>
        <v>52791.799999999988</v>
      </c>
      <c r="AA116">
        <v>9.2383125040736385</v>
      </c>
    </row>
    <row r="117" spans="1:27" x14ac:dyDescent="0.25">
      <c r="A117">
        <v>5080</v>
      </c>
      <c r="B117">
        <v>18650</v>
      </c>
      <c r="C117" s="1">
        <v>42695</v>
      </c>
      <c r="D117" s="1"/>
      <c r="E117" s="1"/>
      <c r="F117" s="60"/>
      <c r="G117">
        <v>12.7</v>
      </c>
      <c r="H117">
        <v>10.3</v>
      </c>
      <c r="I117">
        <v>16.2</v>
      </c>
      <c r="J117" s="14">
        <f t="shared" si="5"/>
        <v>874.10000000000014</v>
      </c>
      <c r="L117" s="1"/>
      <c r="M117">
        <v>2.6</v>
      </c>
      <c r="N117">
        <v>0.9</v>
      </c>
      <c r="O117" s="14">
        <f t="shared" si="2"/>
        <v>1.7000000000000002</v>
      </c>
      <c r="P117">
        <f t="shared" si="9"/>
        <v>36.200000000000017</v>
      </c>
      <c r="Q117">
        <v>63</v>
      </c>
      <c r="R117">
        <f t="shared" si="7"/>
        <v>0.79135802469135808</v>
      </c>
      <c r="S117" s="41">
        <f t="shared" si="3"/>
        <v>0.71222222222222231</v>
      </c>
      <c r="T117" s="41">
        <f t="shared" si="4"/>
        <v>1.8877777777777778</v>
      </c>
      <c r="U117" s="41">
        <f t="shared" si="8"/>
        <v>55.430370370370362</v>
      </c>
      <c r="W117">
        <v>311.7</v>
      </c>
      <c r="Y117">
        <f t="shared" si="6"/>
        <v>53103.499999999985</v>
      </c>
      <c r="AA117">
        <v>9.2070552784147051</v>
      </c>
    </row>
    <row r="118" spans="1:27" x14ac:dyDescent="0.25">
      <c r="A118">
        <v>5080</v>
      </c>
      <c r="B118">
        <v>18650</v>
      </c>
      <c r="C118" s="1">
        <v>42696</v>
      </c>
      <c r="D118" s="1"/>
      <c r="E118" s="1"/>
      <c r="F118" s="60"/>
      <c r="G118">
        <v>10.8</v>
      </c>
      <c r="H118">
        <v>9.5</v>
      </c>
      <c r="I118">
        <v>12.7</v>
      </c>
      <c r="J118" s="14">
        <f t="shared" si="5"/>
        <v>884.90000000000009</v>
      </c>
      <c r="L118" s="1"/>
      <c r="M118">
        <v>1.3</v>
      </c>
      <c r="N118">
        <v>0.6</v>
      </c>
      <c r="O118" s="14">
        <f t="shared" si="2"/>
        <v>0.70000000000000007</v>
      </c>
      <c r="P118">
        <f t="shared" si="9"/>
        <v>36.90000000000002</v>
      </c>
      <c r="Q118">
        <v>64</v>
      </c>
      <c r="R118">
        <f t="shared" si="7"/>
        <v>0.79938271604938271</v>
      </c>
      <c r="S118" s="41">
        <f t="shared" si="3"/>
        <v>0.47962962962962963</v>
      </c>
      <c r="T118" s="41">
        <f t="shared" si="4"/>
        <v>0.82037037037037042</v>
      </c>
      <c r="U118" s="41">
        <f t="shared" si="8"/>
        <v>56.250740740740731</v>
      </c>
      <c r="W118">
        <v>143.69999999999999</v>
      </c>
      <c r="Y118">
        <f t="shared" si="6"/>
        <v>53247.199999999983</v>
      </c>
      <c r="AA118">
        <v>9.1766156873444036</v>
      </c>
    </row>
    <row r="119" spans="1:27" x14ac:dyDescent="0.25">
      <c r="A119">
        <v>5080</v>
      </c>
      <c r="B119">
        <v>18650</v>
      </c>
      <c r="C119" s="1">
        <v>42697</v>
      </c>
      <c r="D119" s="1"/>
      <c r="E119" s="1"/>
      <c r="F119" s="60"/>
      <c r="G119">
        <v>9.5</v>
      </c>
      <c r="H119">
        <v>7.8</v>
      </c>
      <c r="I119">
        <v>10.7</v>
      </c>
      <c r="J119" s="14">
        <f t="shared" si="5"/>
        <v>894.40000000000009</v>
      </c>
      <c r="L119" s="1"/>
      <c r="M119">
        <v>20.5</v>
      </c>
      <c r="N119">
        <v>0.3</v>
      </c>
      <c r="O119" s="14">
        <f t="shared" si="2"/>
        <v>20.2</v>
      </c>
      <c r="P119">
        <f t="shared" si="9"/>
        <v>57.100000000000023</v>
      </c>
      <c r="Q119">
        <v>65</v>
      </c>
      <c r="R119">
        <f t="shared" si="7"/>
        <v>0.80740740740740735</v>
      </c>
      <c r="S119" s="41">
        <f t="shared" si="3"/>
        <v>0.2422222222222222</v>
      </c>
      <c r="T119" s="41">
        <f t="shared" si="4"/>
        <v>20.257777777777779</v>
      </c>
      <c r="U119" s="41">
        <f t="shared" si="8"/>
        <v>76.508518518518514</v>
      </c>
      <c r="W119">
        <v>133.5</v>
      </c>
      <c r="Y119">
        <f t="shared" si="6"/>
        <v>53380.699999999983</v>
      </c>
      <c r="AA119">
        <v>9.1470123401811332</v>
      </c>
    </row>
    <row r="120" spans="1:27" x14ac:dyDescent="0.25">
      <c r="A120">
        <v>5080</v>
      </c>
      <c r="B120">
        <v>18650</v>
      </c>
      <c r="C120" s="1">
        <v>42698</v>
      </c>
      <c r="D120" s="1"/>
      <c r="E120" s="1"/>
      <c r="F120" s="60"/>
      <c r="G120">
        <v>9.6</v>
      </c>
      <c r="H120">
        <v>8.5</v>
      </c>
      <c r="I120">
        <v>10.4</v>
      </c>
      <c r="J120" s="14">
        <f t="shared" si="5"/>
        <v>904.00000000000011</v>
      </c>
      <c r="L120" s="1"/>
      <c r="M120">
        <v>0</v>
      </c>
      <c r="N120">
        <v>0.4</v>
      </c>
      <c r="O120" s="14">
        <f t="shared" ref="O120:O183" si="10">M120-N120</f>
        <v>-0.4</v>
      </c>
      <c r="P120">
        <f t="shared" si="9"/>
        <v>56.700000000000024</v>
      </c>
      <c r="Q120">
        <v>66</v>
      </c>
      <c r="R120">
        <f t="shared" si="7"/>
        <v>0.81543209876543199</v>
      </c>
      <c r="S120" s="41">
        <f t="shared" ref="S120:S183" si="11">R120*N120</f>
        <v>0.32617283950617282</v>
      </c>
      <c r="T120" s="41">
        <f t="shared" ref="T120:T183" si="12">M120-S120</f>
        <v>-0.32617283950617282</v>
      </c>
      <c r="U120" s="41">
        <f t="shared" si="8"/>
        <v>76.182345679012343</v>
      </c>
      <c r="W120">
        <v>292.39999999999998</v>
      </c>
      <c r="Y120">
        <f t="shared" si="6"/>
        <v>53673.099999999984</v>
      </c>
      <c r="AA120">
        <v>9.1182636809723761</v>
      </c>
    </row>
    <row r="121" spans="1:27" x14ac:dyDescent="0.25">
      <c r="A121">
        <v>5080</v>
      </c>
      <c r="B121">
        <v>18650</v>
      </c>
      <c r="C121" s="1">
        <v>42699</v>
      </c>
      <c r="D121" s="1"/>
      <c r="E121" s="1"/>
      <c r="F121" s="60"/>
      <c r="G121">
        <v>8.9</v>
      </c>
      <c r="H121">
        <v>7.5</v>
      </c>
      <c r="I121">
        <v>13</v>
      </c>
      <c r="J121" s="14">
        <f t="shared" ref="J121:J184" si="13">J120+G121</f>
        <v>912.90000000000009</v>
      </c>
      <c r="L121" s="1"/>
      <c r="M121">
        <v>0.1</v>
      </c>
      <c r="N121">
        <v>1</v>
      </c>
      <c r="O121" s="14">
        <f t="shared" si="10"/>
        <v>-0.9</v>
      </c>
      <c r="P121">
        <f t="shared" si="9"/>
        <v>55.800000000000026</v>
      </c>
      <c r="Q121">
        <v>67</v>
      </c>
      <c r="R121">
        <f t="shared" si="7"/>
        <v>0.82345679012345685</v>
      </c>
      <c r="S121" s="41">
        <f t="shared" si="11"/>
        <v>0.82345679012345685</v>
      </c>
      <c r="T121" s="41">
        <f t="shared" si="12"/>
        <v>-0.72345679012345687</v>
      </c>
      <c r="U121" s="41">
        <f t="shared" ref="U121:U185" si="14">MIN(U120+T121,157.8)</f>
        <v>75.458888888888893</v>
      </c>
      <c r="W121">
        <v>731.8</v>
      </c>
      <c r="Y121">
        <f t="shared" ref="Y121:Y184" si="15">Y120+W121</f>
        <v>54404.899999999987</v>
      </c>
      <c r="AA121">
        <v>9.0903879535790377</v>
      </c>
    </row>
    <row r="122" spans="1:27" x14ac:dyDescent="0.25">
      <c r="A122">
        <v>5080</v>
      </c>
      <c r="B122">
        <v>18650</v>
      </c>
      <c r="C122" s="1">
        <v>42700</v>
      </c>
      <c r="D122" s="1"/>
      <c r="E122" s="1"/>
      <c r="F122" s="60"/>
      <c r="G122">
        <v>5.9</v>
      </c>
      <c r="H122">
        <v>0.7</v>
      </c>
      <c r="I122">
        <v>10.7</v>
      </c>
      <c r="J122" s="14">
        <f t="shared" si="13"/>
        <v>918.80000000000007</v>
      </c>
      <c r="L122" s="1"/>
      <c r="M122">
        <v>0.1</v>
      </c>
      <c r="N122">
        <v>0.2</v>
      </c>
      <c r="O122" s="14">
        <f t="shared" si="10"/>
        <v>-0.1</v>
      </c>
      <c r="P122">
        <f t="shared" si="9"/>
        <v>55.700000000000024</v>
      </c>
      <c r="Q122">
        <v>68</v>
      </c>
      <c r="R122">
        <f t="shared" si="7"/>
        <v>0.83148148148148149</v>
      </c>
      <c r="S122" s="41">
        <f t="shared" si="11"/>
        <v>0.1662962962962963</v>
      </c>
      <c r="T122" s="41">
        <f t="shared" si="12"/>
        <v>-6.6296296296296298E-2</v>
      </c>
      <c r="U122" s="41">
        <f t="shared" si="14"/>
        <v>75.392592592592592</v>
      </c>
      <c r="W122">
        <v>302.8</v>
      </c>
      <c r="Y122">
        <f t="shared" si="15"/>
        <v>54707.69999999999</v>
      </c>
      <c r="AA122">
        <v>9.0634031659703655</v>
      </c>
    </row>
    <row r="123" spans="1:27" x14ac:dyDescent="0.25">
      <c r="A123">
        <v>5080</v>
      </c>
      <c r="B123">
        <v>18650</v>
      </c>
      <c r="C123" s="1">
        <v>42701</v>
      </c>
      <c r="D123" s="1"/>
      <c r="E123" s="1"/>
      <c r="F123" s="60"/>
      <c r="G123">
        <v>9.4</v>
      </c>
      <c r="H123">
        <v>6</v>
      </c>
      <c r="I123">
        <v>14.9</v>
      </c>
      <c r="J123" s="14">
        <f t="shared" si="13"/>
        <v>928.2</v>
      </c>
      <c r="L123" s="1"/>
      <c r="M123">
        <v>0.2</v>
      </c>
      <c r="N123">
        <v>1.4</v>
      </c>
      <c r="O123" s="14">
        <f t="shared" si="10"/>
        <v>-1.2</v>
      </c>
      <c r="P123">
        <f t="shared" si="9"/>
        <v>54.500000000000021</v>
      </c>
      <c r="Q123">
        <v>69</v>
      </c>
      <c r="R123">
        <f t="shared" si="7"/>
        <v>0.83950617283950613</v>
      </c>
      <c r="S123" s="41">
        <f t="shared" si="11"/>
        <v>1.1753086419753085</v>
      </c>
      <c r="T123" s="41">
        <f t="shared" si="12"/>
        <v>-0.97530864197530853</v>
      </c>
      <c r="U123" s="41">
        <f t="shared" si="14"/>
        <v>74.417283950617289</v>
      </c>
      <c r="W123">
        <v>716.8</v>
      </c>
      <c r="Y123">
        <f t="shared" si="15"/>
        <v>55424.499999999993</v>
      </c>
      <c r="AA123">
        <v>9.0373270538438479</v>
      </c>
    </row>
    <row r="124" spans="1:27" x14ac:dyDescent="0.25">
      <c r="A124">
        <v>5080</v>
      </c>
      <c r="B124">
        <v>18650</v>
      </c>
      <c r="C124" s="1">
        <v>42702</v>
      </c>
      <c r="D124" s="1"/>
      <c r="E124" s="1"/>
      <c r="F124" s="60"/>
      <c r="G124">
        <v>6.1</v>
      </c>
      <c r="H124">
        <v>5.3</v>
      </c>
      <c r="I124">
        <v>6.9</v>
      </c>
      <c r="J124" s="14">
        <f t="shared" si="13"/>
        <v>934.30000000000007</v>
      </c>
      <c r="L124" s="1"/>
      <c r="M124">
        <v>0.1</v>
      </c>
      <c r="N124">
        <v>0.3</v>
      </c>
      <c r="O124" s="14">
        <f t="shared" si="10"/>
        <v>-0.19999999999999998</v>
      </c>
      <c r="P124">
        <f t="shared" si="9"/>
        <v>54.300000000000018</v>
      </c>
      <c r="Q124">
        <v>70</v>
      </c>
      <c r="R124">
        <f t="shared" si="7"/>
        <v>0.84753086419753076</v>
      </c>
      <c r="S124" s="41">
        <f t="shared" si="11"/>
        <v>0.25425925925925924</v>
      </c>
      <c r="T124" s="41">
        <f t="shared" si="12"/>
        <v>-0.15425925925925923</v>
      </c>
      <c r="U124" s="41">
        <f t="shared" si="14"/>
        <v>74.263024691358027</v>
      </c>
      <c r="W124">
        <v>127.2</v>
      </c>
      <c r="Y124">
        <f t="shared" si="15"/>
        <v>55551.69999999999</v>
      </c>
      <c r="AA124">
        <v>9.0121770436938338</v>
      </c>
    </row>
    <row r="125" spans="1:27" x14ac:dyDescent="0.25">
      <c r="A125">
        <v>5080</v>
      </c>
      <c r="B125">
        <v>18650</v>
      </c>
      <c r="C125" s="1">
        <v>42703</v>
      </c>
      <c r="D125" s="1"/>
      <c r="E125" s="1" t="s">
        <v>59</v>
      </c>
      <c r="F125" s="60"/>
      <c r="G125">
        <v>7.5</v>
      </c>
      <c r="H125">
        <v>5.3</v>
      </c>
      <c r="I125">
        <v>9.9</v>
      </c>
      <c r="J125" s="14">
        <f t="shared" si="13"/>
        <v>941.80000000000007</v>
      </c>
      <c r="L125" s="1"/>
      <c r="M125">
        <v>0</v>
      </c>
      <c r="N125">
        <v>0.5</v>
      </c>
      <c r="O125" s="14">
        <f t="shared" si="10"/>
        <v>-0.5</v>
      </c>
      <c r="P125">
        <f t="shared" si="9"/>
        <v>53.800000000000018</v>
      </c>
      <c r="Q125">
        <v>71</v>
      </c>
      <c r="R125">
        <f t="shared" si="7"/>
        <v>0.85555555555555551</v>
      </c>
      <c r="S125" s="41">
        <f t="shared" si="11"/>
        <v>0.42777777777777776</v>
      </c>
      <c r="T125" s="41">
        <f t="shared" si="12"/>
        <v>-0.42777777777777776</v>
      </c>
      <c r="U125" s="41">
        <f t="shared" si="14"/>
        <v>73.835246913580249</v>
      </c>
      <c r="W125">
        <v>226.7</v>
      </c>
      <c r="Y125">
        <f t="shared" si="15"/>
        <v>55778.399999999987</v>
      </c>
      <c r="AA125" s="46">
        <v>8.9879702154616385</v>
      </c>
    </row>
    <row r="126" spans="1:27" x14ac:dyDescent="0.25">
      <c r="A126">
        <v>5080</v>
      </c>
      <c r="B126">
        <v>18650</v>
      </c>
      <c r="C126" s="1">
        <v>42704</v>
      </c>
      <c r="D126" s="1"/>
      <c r="E126" s="1"/>
      <c r="F126" s="60"/>
      <c r="G126">
        <v>8.6999999999999993</v>
      </c>
      <c r="H126">
        <v>5.8</v>
      </c>
      <c r="I126">
        <v>13.5</v>
      </c>
      <c r="J126" s="14">
        <f t="shared" si="13"/>
        <v>950.50000000000011</v>
      </c>
      <c r="L126" s="1"/>
      <c r="M126">
        <v>0</v>
      </c>
      <c r="N126">
        <v>1.6</v>
      </c>
      <c r="O126" s="14">
        <f t="shared" si="10"/>
        <v>-1.6</v>
      </c>
      <c r="P126">
        <f t="shared" si="9"/>
        <v>52.200000000000017</v>
      </c>
      <c r="Q126">
        <v>72</v>
      </c>
      <c r="R126">
        <f t="shared" si="7"/>
        <v>0.86358024691358026</v>
      </c>
      <c r="S126" s="41">
        <f t="shared" si="11"/>
        <v>1.3817283950617285</v>
      </c>
      <c r="T126" s="41">
        <f t="shared" si="12"/>
        <v>-1.3817283950617285</v>
      </c>
      <c r="U126" s="41">
        <f t="shared" si="14"/>
        <v>72.453518518518521</v>
      </c>
      <c r="W126">
        <v>899.8</v>
      </c>
      <c r="Y126">
        <f t="shared" si="15"/>
        <v>56678.19999999999</v>
      </c>
      <c r="AA126" s="46">
        <v>8.9647232649083719</v>
      </c>
    </row>
    <row r="127" spans="1:27" x14ac:dyDescent="0.25">
      <c r="A127">
        <v>5080</v>
      </c>
      <c r="B127">
        <v>18650</v>
      </c>
      <c r="C127" s="1">
        <v>42705</v>
      </c>
      <c r="D127" s="1"/>
      <c r="E127" s="1"/>
      <c r="F127" s="60"/>
      <c r="G127">
        <v>5.6</v>
      </c>
      <c r="H127">
        <v>2</v>
      </c>
      <c r="I127">
        <v>10.8</v>
      </c>
      <c r="J127" s="14">
        <f t="shared" si="13"/>
        <v>956.10000000000014</v>
      </c>
      <c r="L127" s="1"/>
      <c r="M127">
        <v>0.2</v>
      </c>
      <c r="N127">
        <v>1.2</v>
      </c>
      <c r="O127" s="14">
        <f t="shared" si="10"/>
        <v>-1</v>
      </c>
      <c r="P127">
        <f t="shared" si="9"/>
        <v>51.200000000000017</v>
      </c>
      <c r="Q127">
        <v>73</v>
      </c>
      <c r="R127">
        <f t="shared" si="7"/>
        <v>0.8716049382716049</v>
      </c>
      <c r="S127" s="41">
        <f t="shared" si="11"/>
        <v>1.0459259259259259</v>
      </c>
      <c r="T127" s="41">
        <f t="shared" si="12"/>
        <v>-0.84592592592592597</v>
      </c>
      <c r="U127" s="41">
        <f t="shared" si="14"/>
        <v>71.607592592592596</v>
      </c>
      <c r="W127">
        <v>883.4</v>
      </c>
      <c r="Y127">
        <f t="shared" si="15"/>
        <v>57561.599999999991</v>
      </c>
      <c r="AA127" s="46">
        <v>8.9424524658597502</v>
      </c>
    </row>
    <row r="128" spans="1:27" x14ac:dyDescent="0.25">
      <c r="A128">
        <v>5080</v>
      </c>
      <c r="B128">
        <v>18650</v>
      </c>
      <c r="C128" s="1">
        <v>42706</v>
      </c>
      <c r="D128" s="1"/>
      <c r="E128" s="48">
        <v>1</v>
      </c>
      <c r="F128" s="60"/>
      <c r="G128">
        <v>2</v>
      </c>
      <c r="H128">
        <v>-0.4</v>
      </c>
      <c r="I128">
        <v>5.6</v>
      </c>
      <c r="J128" s="14">
        <f t="shared" si="13"/>
        <v>958.10000000000014</v>
      </c>
      <c r="L128" s="1"/>
      <c r="M128">
        <v>0.2</v>
      </c>
      <c r="N128">
        <v>1</v>
      </c>
      <c r="O128" s="14">
        <f t="shared" si="10"/>
        <v>-0.8</v>
      </c>
      <c r="P128">
        <f t="shared" si="9"/>
        <v>50.40000000000002</v>
      </c>
      <c r="Q128">
        <v>74</v>
      </c>
      <c r="R128">
        <f t="shared" ref="R128:R142" si="16">0.35+((Q128-8)/81)*(1-0.35)</f>
        <v>0.87962962962962965</v>
      </c>
      <c r="S128" s="41">
        <f t="shared" si="11"/>
        <v>0.87962962962962965</v>
      </c>
      <c r="T128" s="41">
        <f t="shared" si="12"/>
        <v>-0.67962962962962958</v>
      </c>
      <c r="U128" s="41">
        <f t="shared" si="14"/>
        <v>70.927962962962965</v>
      </c>
      <c r="W128">
        <v>555.9</v>
      </c>
      <c r="Y128">
        <f t="shared" si="15"/>
        <v>58117.499999999993</v>
      </c>
      <c r="AA128" s="46">
        <v>8.921173632479162</v>
      </c>
    </row>
    <row r="129" spans="1:28" x14ac:dyDescent="0.25">
      <c r="A129">
        <v>5080</v>
      </c>
      <c r="B129">
        <v>18650</v>
      </c>
      <c r="C129" s="1">
        <v>42707</v>
      </c>
      <c r="D129" s="1"/>
      <c r="E129" s="14"/>
      <c r="F129" s="60"/>
      <c r="G129">
        <v>5.2</v>
      </c>
      <c r="H129">
        <v>-2</v>
      </c>
      <c r="I129">
        <v>10.5</v>
      </c>
      <c r="J129" s="14">
        <f t="shared" si="13"/>
        <v>963.30000000000018</v>
      </c>
      <c r="L129" s="1"/>
      <c r="M129">
        <v>0.1</v>
      </c>
      <c r="N129">
        <v>1</v>
      </c>
      <c r="O129" s="14">
        <f t="shared" si="10"/>
        <v>-0.9</v>
      </c>
      <c r="P129">
        <f t="shared" si="9"/>
        <v>49.500000000000021</v>
      </c>
      <c r="Q129">
        <v>75</v>
      </c>
      <c r="R129">
        <f t="shared" si="16"/>
        <v>0.88765432098765429</v>
      </c>
      <c r="S129" s="41">
        <f t="shared" si="11"/>
        <v>0.88765432098765429</v>
      </c>
      <c r="T129" s="41">
        <f t="shared" si="12"/>
        <v>-0.78765432098765431</v>
      </c>
      <c r="U129" s="41">
        <f t="shared" si="14"/>
        <v>70.140308641975309</v>
      </c>
      <c r="W129">
        <v>809.3</v>
      </c>
      <c r="Y129">
        <f t="shared" si="15"/>
        <v>58926.799999999996</v>
      </c>
      <c r="AA129" s="46">
        <v>8.9009020817318181</v>
      </c>
    </row>
    <row r="130" spans="1:28" x14ac:dyDescent="0.25">
      <c r="A130">
        <v>5080</v>
      </c>
      <c r="B130">
        <v>18650</v>
      </c>
      <c r="C130" s="1">
        <v>42708</v>
      </c>
      <c r="D130" s="1"/>
      <c r="E130" s="14"/>
      <c r="F130" s="60"/>
      <c r="G130">
        <v>12.1</v>
      </c>
      <c r="H130">
        <v>7.8</v>
      </c>
      <c r="I130">
        <v>15.2</v>
      </c>
      <c r="J130" s="14">
        <f t="shared" si="13"/>
        <v>975.4000000000002</v>
      </c>
      <c r="L130" s="1"/>
      <c r="M130">
        <v>0</v>
      </c>
      <c r="N130">
        <v>1.3</v>
      </c>
      <c r="O130" s="14">
        <f t="shared" si="10"/>
        <v>-1.3</v>
      </c>
      <c r="P130">
        <f t="shared" si="9"/>
        <v>48.200000000000024</v>
      </c>
      <c r="Q130">
        <v>76</v>
      </c>
      <c r="R130">
        <f t="shared" si="16"/>
        <v>0.89567901234567893</v>
      </c>
      <c r="S130" s="41">
        <f t="shared" si="11"/>
        <v>1.1643827160493827</v>
      </c>
      <c r="T130" s="41">
        <f t="shared" si="12"/>
        <v>-1.1643827160493827</v>
      </c>
      <c r="U130" s="41">
        <f t="shared" si="14"/>
        <v>68.975925925925921</v>
      </c>
      <c r="W130">
        <v>700.9</v>
      </c>
      <c r="Y130">
        <f t="shared" si="15"/>
        <v>59627.7</v>
      </c>
      <c r="AA130" s="46">
        <v>8.8816525962080419</v>
      </c>
    </row>
    <row r="131" spans="1:28" x14ac:dyDescent="0.25">
      <c r="A131">
        <v>5080</v>
      </c>
      <c r="B131">
        <v>18650</v>
      </c>
      <c r="C131" s="1">
        <v>42709</v>
      </c>
      <c r="D131" s="1"/>
      <c r="E131" s="14"/>
      <c r="F131" s="60"/>
      <c r="G131">
        <v>11.7</v>
      </c>
      <c r="H131">
        <v>10.5</v>
      </c>
      <c r="I131">
        <v>15.6</v>
      </c>
      <c r="J131" s="14">
        <f t="shared" si="13"/>
        <v>987.10000000000025</v>
      </c>
      <c r="L131" s="1"/>
      <c r="M131">
        <v>0</v>
      </c>
      <c r="N131">
        <v>1.7</v>
      </c>
      <c r="O131" s="14">
        <f t="shared" si="10"/>
        <v>-1.7</v>
      </c>
      <c r="P131">
        <f t="shared" si="9"/>
        <v>46.500000000000021</v>
      </c>
      <c r="Q131">
        <v>77</v>
      </c>
      <c r="R131">
        <f t="shared" si="16"/>
        <v>0.90370370370370368</v>
      </c>
      <c r="S131" s="41">
        <f t="shared" si="11"/>
        <v>1.5362962962962963</v>
      </c>
      <c r="T131" s="41">
        <f t="shared" si="12"/>
        <v>-1.5362962962962963</v>
      </c>
      <c r="U131" s="41">
        <f t="shared" si="14"/>
        <v>67.439629629629621</v>
      </c>
      <c r="W131">
        <v>623.6</v>
      </c>
      <c r="Y131">
        <f t="shared" si="15"/>
        <v>60251.299999999996</v>
      </c>
      <c r="AA131" s="46">
        <v>8.8634393874782145</v>
      </c>
    </row>
    <row r="132" spans="1:28" x14ac:dyDescent="0.25">
      <c r="A132">
        <v>5080</v>
      </c>
      <c r="B132">
        <v>18650</v>
      </c>
      <c r="C132" s="1">
        <v>42710</v>
      </c>
      <c r="D132" s="1"/>
      <c r="E132" s="14"/>
      <c r="F132" s="60"/>
      <c r="G132">
        <v>8.3000000000000007</v>
      </c>
      <c r="H132">
        <v>4.3</v>
      </c>
      <c r="I132">
        <v>12</v>
      </c>
      <c r="J132" s="14">
        <f t="shared" si="13"/>
        <v>995.4000000000002</v>
      </c>
      <c r="L132" s="1"/>
      <c r="M132">
        <v>0.2</v>
      </c>
      <c r="N132">
        <v>1.1000000000000001</v>
      </c>
      <c r="O132" s="14">
        <f t="shared" si="10"/>
        <v>-0.90000000000000013</v>
      </c>
      <c r="P132">
        <f t="shared" ref="P132:P195" si="17">P131+O132</f>
        <v>45.600000000000023</v>
      </c>
      <c r="Q132">
        <v>78</v>
      </c>
      <c r="R132">
        <f t="shared" si="16"/>
        <v>0.91172839506172831</v>
      </c>
      <c r="S132" s="41">
        <f t="shared" si="11"/>
        <v>1.0029012345679011</v>
      </c>
      <c r="T132" s="41">
        <f t="shared" si="12"/>
        <v>-0.80290123456790119</v>
      </c>
      <c r="U132" s="41">
        <f t="shared" si="14"/>
        <v>66.636728395061724</v>
      </c>
      <c r="W132">
        <v>827.6</v>
      </c>
      <c r="Y132">
        <f t="shared" si="15"/>
        <v>61078.899999999994</v>
      </c>
      <c r="AA132" s="46">
        <v>8.8462760601549899</v>
      </c>
    </row>
    <row r="133" spans="1:28" x14ac:dyDescent="0.25">
      <c r="A133">
        <v>5080</v>
      </c>
      <c r="B133">
        <v>18650</v>
      </c>
      <c r="C133" s="1">
        <v>42711</v>
      </c>
      <c r="D133" s="1"/>
      <c r="E133" s="14"/>
      <c r="F133" s="60"/>
      <c r="G133">
        <v>8.3000000000000007</v>
      </c>
      <c r="H133">
        <v>3.3</v>
      </c>
      <c r="I133">
        <v>12.1</v>
      </c>
      <c r="J133" s="14">
        <f t="shared" si="13"/>
        <v>1003.7000000000002</v>
      </c>
      <c r="L133" s="1"/>
      <c r="M133">
        <v>0</v>
      </c>
      <c r="N133">
        <v>1.1000000000000001</v>
      </c>
      <c r="O133" s="14">
        <f t="shared" si="10"/>
        <v>-1.1000000000000001</v>
      </c>
      <c r="P133">
        <f t="shared" si="17"/>
        <v>44.500000000000021</v>
      </c>
      <c r="Q133">
        <v>79</v>
      </c>
      <c r="R133">
        <f t="shared" si="16"/>
        <v>0.91975308641975306</v>
      </c>
      <c r="S133" s="41">
        <f t="shared" si="11"/>
        <v>1.0117283950617284</v>
      </c>
      <c r="T133" s="41">
        <f t="shared" si="12"/>
        <v>-1.0117283950617284</v>
      </c>
      <c r="U133" s="41">
        <f t="shared" si="14"/>
        <v>65.625</v>
      </c>
      <c r="W133">
        <v>768.2</v>
      </c>
      <c r="Y133">
        <f t="shared" si="15"/>
        <v>61847.099999999991</v>
      </c>
      <c r="AA133" s="46">
        <v>8.8301755768403378</v>
      </c>
    </row>
    <row r="134" spans="1:28" x14ac:dyDescent="0.25">
      <c r="A134">
        <v>5080</v>
      </c>
      <c r="B134">
        <v>18650</v>
      </c>
      <c r="C134" s="1">
        <v>42712</v>
      </c>
      <c r="D134" s="1"/>
      <c r="E134" s="14"/>
      <c r="F134" s="60"/>
      <c r="G134">
        <v>9.1</v>
      </c>
      <c r="H134">
        <v>3.3</v>
      </c>
      <c r="I134">
        <v>13.3</v>
      </c>
      <c r="J134" s="14">
        <f t="shared" si="13"/>
        <v>1012.8000000000002</v>
      </c>
      <c r="L134" s="1"/>
      <c r="M134">
        <v>0.1</v>
      </c>
      <c r="N134">
        <v>1.1000000000000001</v>
      </c>
      <c r="O134" s="14">
        <f t="shared" si="10"/>
        <v>-1</v>
      </c>
      <c r="P134">
        <f t="shared" si="17"/>
        <v>43.500000000000021</v>
      </c>
      <c r="Q134">
        <v>80</v>
      </c>
      <c r="R134">
        <f t="shared" si="16"/>
        <v>0.9277777777777777</v>
      </c>
      <c r="S134" s="41">
        <f t="shared" si="11"/>
        <v>1.0205555555555557</v>
      </c>
      <c r="T134" s="41">
        <f t="shared" si="12"/>
        <v>-0.92055555555555568</v>
      </c>
      <c r="U134" s="41">
        <f t="shared" si="14"/>
        <v>64.704444444444448</v>
      </c>
      <c r="W134">
        <v>842.1</v>
      </c>
      <c r="Y134">
        <f t="shared" si="15"/>
        <v>62689.19999999999</v>
      </c>
      <c r="AA134" s="46">
        <v>8.8151502241355253</v>
      </c>
    </row>
    <row r="135" spans="1:28" x14ac:dyDescent="0.25">
      <c r="A135">
        <v>5080</v>
      </c>
      <c r="B135">
        <v>18650</v>
      </c>
      <c r="C135" s="1">
        <v>42713</v>
      </c>
      <c r="D135" s="1"/>
      <c r="E135" s="14"/>
      <c r="F135" s="60"/>
      <c r="G135">
        <v>8.6</v>
      </c>
      <c r="H135">
        <v>4.8</v>
      </c>
      <c r="I135">
        <v>13.8</v>
      </c>
      <c r="J135" s="14">
        <f t="shared" si="13"/>
        <v>1021.4000000000002</v>
      </c>
      <c r="L135" s="1"/>
      <c r="M135">
        <v>0.1</v>
      </c>
      <c r="N135">
        <v>1.1000000000000001</v>
      </c>
      <c r="O135" s="14">
        <f t="shared" si="10"/>
        <v>-1</v>
      </c>
      <c r="P135">
        <f t="shared" si="17"/>
        <v>42.500000000000021</v>
      </c>
      <c r="Q135">
        <v>81</v>
      </c>
      <c r="R135">
        <f t="shared" si="16"/>
        <v>0.93580246913580245</v>
      </c>
      <c r="S135" s="41">
        <f t="shared" si="11"/>
        <v>1.0293827160493827</v>
      </c>
      <c r="T135" s="41">
        <f t="shared" si="12"/>
        <v>-0.92938271604938272</v>
      </c>
      <c r="U135" s="41">
        <f t="shared" si="14"/>
        <v>63.775061728395066</v>
      </c>
      <c r="W135">
        <v>720.2</v>
      </c>
      <c r="Y135">
        <f t="shared" si="15"/>
        <v>63409.399999999987</v>
      </c>
      <c r="AA135" s="46">
        <v>8.8012115798913388</v>
      </c>
    </row>
    <row r="136" spans="1:28" x14ac:dyDescent="0.25">
      <c r="A136">
        <v>5080</v>
      </c>
      <c r="B136">
        <v>18650</v>
      </c>
      <c r="C136" s="1">
        <v>42714</v>
      </c>
      <c r="D136" s="1"/>
      <c r="E136" s="14"/>
      <c r="F136" s="60"/>
      <c r="G136">
        <v>6</v>
      </c>
      <c r="H136">
        <v>5.3</v>
      </c>
      <c r="I136">
        <v>7</v>
      </c>
      <c r="J136" s="14">
        <f t="shared" si="13"/>
        <v>1027.4000000000001</v>
      </c>
      <c r="L136" s="1"/>
      <c r="M136">
        <v>0.2</v>
      </c>
      <c r="N136">
        <v>0.8</v>
      </c>
      <c r="O136" s="14">
        <f t="shared" si="10"/>
        <v>-0.60000000000000009</v>
      </c>
      <c r="P136">
        <f t="shared" si="17"/>
        <v>41.90000000000002</v>
      </c>
      <c r="Q136">
        <v>82</v>
      </c>
      <c r="R136">
        <f t="shared" si="16"/>
        <v>0.94382716049382709</v>
      </c>
      <c r="S136" s="41">
        <f t="shared" si="11"/>
        <v>0.75506172839506169</v>
      </c>
      <c r="T136" s="41">
        <f t="shared" si="12"/>
        <v>-0.55506172839506163</v>
      </c>
      <c r="U136" s="41">
        <f t="shared" si="14"/>
        <v>63.220000000000006</v>
      </c>
      <c r="W136">
        <v>432.5</v>
      </c>
      <c r="Y136">
        <f t="shared" si="15"/>
        <v>63841.899999999987</v>
      </c>
      <c r="AA136" s="46">
        <v>8.7883704818734891</v>
      </c>
    </row>
    <row r="137" spans="1:28" x14ac:dyDescent="0.25">
      <c r="A137">
        <v>5080</v>
      </c>
      <c r="B137">
        <v>18650</v>
      </c>
      <c r="C137" s="1">
        <v>42715</v>
      </c>
      <c r="D137" s="1"/>
      <c r="E137" s="14"/>
      <c r="F137" s="60"/>
      <c r="G137">
        <v>5.9</v>
      </c>
      <c r="H137">
        <v>0.7</v>
      </c>
      <c r="I137">
        <v>9.1</v>
      </c>
      <c r="J137" s="14">
        <f t="shared" si="13"/>
        <v>1033.3000000000002</v>
      </c>
      <c r="L137" s="1"/>
      <c r="M137">
        <v>0.1</v>
      </c>
      <c r="N137">
        <v>0.8</v>
      </c>
      <c r="O137" s="14">
        <f t="shared" si="10"/>
        <v>-0.70000000000000007</v>
      </c>
      <c r="P137">
        <f t="shared" si="17"/>
        <v>41.200000000000017</v>
      </c>
      <c r="Q137">
        <v>83</v>
      </c>
      <c r="R137">
        <f t="shared" si="16"/>
        <v>0.95185185185185184</v>
      </c>
      <c r="S137" s="41">
        <f t="shared" si="11"/>
        <v>0.76148148148148154</v>
      </c>
      <c r="T137" s="41">
        <f t="shared" si="12"/>
        <v>-0.66148148148148156</v>
      </c>
      <c r="U137" s="41">
        <f t="shared" si="14"/>
        <v>62.558518518518525</v>
      </c>
      <c r="W137">
        <v>603.9</v>
      </c>
      <c r="Y137">
        <f t="shared" si="15"/>
        <v>64445.799999999988</v>
      </c>
      <c r="AA137" s="46">
        <v>8.7766369980144372</v>
      </c>
    </row>
    <row r="138" spans="1:28" x14ac:dyDescent="0.25">
      <c r="A138">
        <v>5080</v>
      </c>
      <c r="B138">
        <v>18650</v>
      </c>
      <c r="C138" s="1">
        <v>42716</v>
      </c>
      <c r="D138" s="1"/>
      <c r="E138" s="48">
        <v>2</v>
      </c>
      <c r="F138" s="60"/>
      <c r="G138">
        <v>4.9000000000000004</v>
      </c>
      <c r="H138">
        <v>4.2</v>
      </c>
      <c r="I138">
        <v>6.8</v>
      </c>
      <c r="J138" s="14">
        <f t="shared" si="13"/>
        <v>1038.2000000000003</v>
      </c>
      <c r="L138" s="1"/>
      <c r="M138">
        <v>0.1</v>
      </c>
      <c r="N138">
        <v>0.8</v>
      </c>
      <c r="O138" s="14">
        <f t="shared" si="10"/>
        <v>-0.70000000000000007</v>
      </c>
      <c r="P138">
        <f t="shared" si="17"/>
        <v>40.500000000000014</v>
      </c>
      <c r="Q138">
        <v>84</v>
      </c>
      <c r="R138">
        <f t="shared" si="16"/>
        <v>0.95987654320987648</v>
      </c>
      <c r="S138" s="41">
        <f t="shared" si="11"/>
        <v>0.76790123456790127</v>
      </c>
      <c r="T138" s="41">
        <f t="shared" si="12"/>
        <v>-0.66790123456790129</v>
      </c>
      <c r="U138" s="41">
        <f t="shared" si="14"/>
        <v>61.890617283950625</v>
      </c>
      <c r="W138">
        <v>415.9</v>
      </c>
      <c r="Y138">
        <f t="shared" si="15"/>
        <v>64861.69999999999</v>
      </c>
      <c r="AA138" s="46">
        <v>8.7660203984173961</v>
      </c>
    </row>
    <row r="139" spans="1:28" x14ac:dyDescent="0.25">
      <c r="A139">
        <v>5080</v>
      </c>
      <c r="B139">
        <v>18650</v>
      </c>
      <c r="C139" s="1">
        <v>42717</v>
      </c>
      <c r="D139" s="1"/>
      <c r="E139" s="14"/>
      <c r="F139" s="60"/>
      <c r="G139">
        <v>5.2</v>
      </c>
      <c r="H139">
        <v>0.7</v>
      </c>
      <c r="I139">
        <v>8.6999999999999993</v>
      </c>
      <c r="J139" s="14">
        <f t="shared" si="13"/>
        <v>1043.4000000000003</v>
      </c>
      <c r="L139" s="1"/>
      <c r="M139">
        <v>0.1</v>
      </c>
      <c r="N139">
        <v>0.8</v>
      </c>
      <c r="O139" s="14">
        <f t="shared" si="10"/>
        <v>-0.70000000000000007</v>
      </c>
      <c r="P139">
        <f t="shared" si="17"/>
        <v>39.800000000000011</v>
      </c>
      <c r="Q139">
        <v>85</v>
      </c>
      <c r="R139">
        <f t="shared" si="16"/>
        <v>0.96790123456790123</v>
      </c>
      <c r="S139" s="41">
        <f t="shared" si="11"/>
        <v>0.774320987654321</v>
      </c>
      <c r="T139" s="41">
        <f t="shared" si="12"/>
        <v>-0.67432098765432102</v>
      </c>
      <c r="U139" s="41">
        <f t="shared" si="14"/>
        <v>61.216296296296306</v>
      </c>
      <c r="W139">
        <v>549.6</v>
      </c>
      <c r="Y139">
        <f t="shared" si="15"/>
        <v>65411.299999999988</v>
      </c>
      <c r="AA139" s="46">
        <v>8.7565291292715948</v>
      </c>
    </row>
    <row r="140" spans="1:28" x14ac:dyDescent="0.25">
      <c r="A140">
        <v>5080</v>
      </c>
      <c r="B140">
        <v>18650</v>
      </c>
      <c r="C140" s="1">
        <v>42718</v>
      </c>
      <c r="D140" s="1"/>
      <c r="E140" s="14"/>
      <c r="F140" s="60"/>
      <c r="G140">
        <v>8.6</v>
      </c>
      <c r="H140">
        <v>5.2</v>
      </c>
      <c r="I140">
        <v>11.8</v>
      </c>
      <c r="J140" s="14">
        <f t="shared" si="13"/>
        <v>1052.0000000000002</v>
      </c>
      <c r="L140" s="1"/>
      <c r="M140">
        <v>0</v>
      </c>
      <c r="N140">
        <v>0.7</v>
      </c>
      <c r="O140" s="14">
        <f t="shared" si="10"/>
        <v>-0.7</v>
      </c>
      <c r="P140">
        <f t="shared" si="17"/>
        <v>39.100000000000009</v>
      </c>
      <c r="Q140">
        <v>86</v>
      </c>
      <c r="R140">
        <f t="shared" si="16"/>
        <v>0.97592592592592586</v>
      </c>
      <c r="S140" s="41">
        <f t="shared" si="11"/>
        <v>0.68314814814814806</v>
      </c>
      <c r="T140" s="41">
        <f t="shared" si="12"/>
        <v>-0.68314814814814806</v>
      </c>
      <c r="U140" s="41">
        <f t="shared" si="14"/>
        <v>60.533148148148157</v>
      </c>
      <c r="W140">
        <v>247.8</v>
      </c>
      <c r="Y140">
        <f t="shared" si="15"/>
        <v>65659.099999999991</v>
      </c>
      <c r="AA140" s="46">
        <v>8.7481707888294515</v>
      </c>
    </row>
    <row r="141" spans="1:28" x14ac:dyDescent="0.25">
      <c r="A141">
        <v>5080</v>
      </c>
      <c r="B141">
        <v>18650</v>
      </c>
      <c r="C141" s="1">
        <v>42719</v>
      </c>
      <c r="D141" s="1"/>
      <c r="E141" s="14"/>
      <c r="F141" s="60"/>
      <c r="G141">
        <v>5.9</v>
      </c>
      <c r="H141">
        <v>1.6</v>
      </c>
      <c r="I141">
        <v>8.1</v>
      </c>
      <c r="J141" s="14">
        <f t="shared" si="13"/>
        <v>1057.9000000000003</v>
      </c>
      <c r="L141" s="1"/>
      <c r="M141">
        <v>0</v>
      </c>
      <c r="N141">
        <v>0.8</v>
      </c>
      <c r="O141" s="14">
        <f t="shared" si="10"/>
        <v>-0.8</v>
      </c>
      <c r="P141">
        <f t="shared" si="17"/>
        <v>38.300000000000011</v>
      </c>
      <c r="Q141">
        <v>87</v>
      </c>
      <c r="R141">
        <f t="shared" si="16"/>
        <v>0.98395061728395061</v>
      </c>
      <c r="S141" s="41">
        <f t="shared" si="11"/>
        <v>0.78716049382716058</v>
      </c>
      <c r="T141" s="41">
        <f t="shared" si="12"/>
        <v>-0.78716049382716058</v>
      </c>
      <c r="U141" s="41">
        <f t="shared" si="14"/>
        <v>59.745987654320999</v>
      </c>
      <c r="W141">
        <v>536.9</v>
      </c>
      <c r="Y141">
        <f t="shared" si="15"/>
        <v>66195.999999999985</v>
      </c>
      <c r="AA141" s="46">
        <v>8.7409521055865245</v>
      </c>
    </row>
    <row r="142" spans="1:28" x14ac:dyDescent="0.25">
      <c r="A142">
        <v>5080</v>
      </c>
      <c r="B142">
        <v>18650</v>
      </c>
      <c r="C142" s="1">
        <v>42720</v>
      </c>
      <c r="D142" s="1"/>
      <c r="E142" s="14"/>
      <c r="F142" s="60"/>
      <c r="G142">
        <v>9</v>
      </c>
      <c r="H142">
        <v>5.3</v>
      </c>
      <c r="I142">
        <v>12.2</v>
      </c>
      <c r="J142" s="14">
        <f t="shared" si="13"/>
        <v>1066.9000000000003</v>
      </c>
      <c r="L142" s="1"/>
      <c r="M142">
        <v>0</v>
      </c>
      <c r="N142">
        <v>0.7</v>
      </c>
      <c r="O142" s="14">
        <f t="shared" si="10"/>
        <v>-0.7</v>
      </c>
      <c r="P142">
        <f t="shared" si="17"/>
        <v>37.600000000000009</v>
      </c>
      <c r="Q142">
        <v>88</v>
      </c>
      <c r="R142">
        <f t="shared" si="16"/>
        <v>0.99197530864197525</v>
      </c>
      <c r="S142" s="41">
        <f t="shared" si="11"/>
        <v>0.69438271604938262</v>
      </c>
      <c r="T142" s="41">
        <f t="shared" si="12"/>
        <v>-0.69438271604938262</v>
      </c>
      <c r="U142" s="41">
        <f t="shared" si="14"/>
        <v>59.051604938271616</v>
      </c>
      <c r="W142">
        <v>540.79999999999995</v>
      </c>
      <c r="Y142">
        <f t="shared" si="15"/>
        <v>66736.799999999988</v>
      </c>
      <c r="AA142" s="46">
        <v>8.7348789187939726</v>
      </c>
    </row>
    <row r="143" spans="1:28" s="42" customFormat="1" ht="15.75" thickBot="1" x14ac:dyDescent="0.3">
      <c r="A143" s="42">
        <v>5080</v>
      </c>
      <c r="B143" s="42">
        <v>18650</v>
      </c>
      <c r="C143" s="43">
        <v>42721</v>
      </c>
      <c r="D143" s="43"/>
      <c r="E143" s="44"/>
      <c r="F143" s="60"/>
      <c r="G143" s="42">
        <v>7.7</v>
      </c>
      <c r="H143" s="42">
        <v>5</v>
      </c>
      <c r="I143" s="42">
        <v>11.4</v>
      </c>
      <c r="J143" s="44">
        <f t="shared" si="13"/>
        <v>1074.6000000000004</v>
      </c>
      <c r="K143" s="44"/>
      <c r="L143" s="43"/>
      <c r="M143" s="42">
        <v>0</v>
      </c>
      <c r="N143" s="42">
        <v>1</v>
      </c>
      <c r="O143" s="44">
        <f t="shared" si="10"/>
        <v>-1</v>
      </c>
      <c r="P143" s="42">
        <f t="shared" si="17"/>
        <v>36.600000000000009</v>
      </c>
      <c r="Q143" s="42">
        <v>89</v>
      </c>
      <c r="R143" s="42">
        <f>0.35+((Q143-8)/81)*(1-0.35)</f>
        <v>1</v>
      </c>
      <c r="S143" s="45">
        <f t="shared" si="11"/>
        <v>1</v>
      </c>
      <c r="T143" s="45">
        <f t="shared" si="12"/>
        <v>-1</v>
      </c>
      <c r="U143" s="41">
        <f t="shared" si="14"/>
        <v>58.051604938271616</v>
      </c>
      <c r="W143" s="42">
        <v>769.9</v>
      </c>
      <c r="Y143" s="42">
        <f t="shared" si="15"/>
        <v>67506.699999999983</v>
      </c>
      <c r="AA143" s="47">
        <v>8.7299561614207555</v>
      </c>
    </row>
    <row r="144" spans="1:28" x14ac:dyDescent="0.25">
      <c r="A144">
        <v>5080</v>
      </c>
      <c r="B144">
        <v>18650</v>
      </c>
      <c r="C144" s="1">
        <v>42722</v>
      </c>
      <c r="D144" s="1"/>
      <c r="E144" s="48">
        <v>3</v>
      </c>
      <c r="F144" s="61" t="s">
        <v>36</v>
      </c>
      <c r="G144">
        <v>4</v>
      </c>
      <c r="H144">
        <v>0.8</v>
      </c>
      <c r="I144">
        <v>6.9</v>
      </c>
      <c r="J144" s="14">
        <f t="shared" si="13"/>
        <v>1078.6000000000004</v>
      </c>
      <c r="K144" s="14">
        <f>G144</f>
        <v>4</v>
      </c>
      <c r="L144" s="7" t="s">
        <v>37</v>
      </c>
      <c r="M144">
        <v>0.2</v>
      </c>
      <c r="N144">
        <v>0.8</v>
      </c>
      <c r="O144" s="14">
        <f t="shared" si="10"/>
        <v>-0.60000000000000009</v>
      </c>
      <c r="P144">
        <f t="shared" si="17"/>
        <v>36.000000000000007</v>
      </c>
      <c r="Q144" s="31">
        <v>90</v>
      </c>
      <c r="R144">
        <v>1</v>
      </c>
      <c r="S144" s="41">
        <f t="shared" si="11"/>
        <v>0.8</v>
      </c>
      <c r="T144" s="41">
        <f t="shared" si="12"/>
        <v>-0.60000000000000009</v>
      </c>
      <c r="U144" s="41">
        <f t="shared" si="14"/>
        <v>57.451604938271615</v>
      </c>
      <c r="V144" s="33" t="s">
        <v>50</v>
      </c>
      <c r="W144">
        <v>694.3</v>
      </c>
      <c r="Y144">
        <f t="shared" si="15"/>
        <v>68200.999999999985</v>
      </c>
      <c r="Z144">
        <f>W144</f>
        <v>694.3</v>
      </c>
      <c r="AA144" s="46">
        <v>8.7261878456691306</v>
      </c>
      <c r="AB144" s="33" t="s">
        <v>56</v>
      </c>
    </row>
    <row r="145" spans="1:28" x14ac:dyDescent="0.25">
      <c r="A145">
        <v>5080</v>
      </c>
      <c r="B145">
        <v>18650</v>
      </c>
      <c r="C145" s="1">
        <v>42723</v>
      </c>
      <c r="D145" s="1"/>
      <c r="E145" s="48">
        <v>4</v>
      </c>
      <c r="F145" s="61"/>
      <c r="G145">
        <v>3</v>
      </c>
      <c r="H145">
        <v>-0.6</v>
      </c>
      <c r="I145">
        <v>4.9000000000000004</v>
      </c>
      <c r="J145" s="14">
        <f t="shared" si="13"/>
        <v>1081.6000000000004</v>
      </c>
      <c r="K145" s="14">
        <f>K144+G145</f>
        <v>7</v>
      </c>
      <c r="L145" s="8">
        <v>165.5</v>
      </c>
      <c r="M145">
        <v>1.3</v>
      </c>
      <c r="N145">
        <v>0.3</v>
      </c>
      <c r="O145" s="14">
        <f t="shared" si="10"/>
        <v>1</v>
      </c>
      <c r="P145">
        <f t="shared" si="17"/>
        <v>37.000000000000007</v>
      </c>
      <c r="Q145" s="31">
        <v>91</v>
      </c>
      <c r="R145">
        <v>1</v>
      </c>
      <c r="S145" s="41">
        <f t="shared" si="11"/>
        <v>0.3</v>
      </c>
      <c r="T145" s="41">
        <f t="shared" si="12"/>
        <v>1</v>
      </c>
      <c r="U145" s="41">
        <f t="shared" si="14"/>
        <v>58.451604938271615</v>
      </c>
      <c r="V145">
        <v>0</v>
      </c>
      <c r="W145">
        <v>207.1</v>
      </c>
      <c r="Y145">
        <f t="shared" si="15"/>
        <v>68408.099999999991</v>
      </c>
      <c r="Z145">
        <f>Z144+W145</f>
        <v>901.4</v>
      </c>
      <c r="AA145" s="46">
        <v>8.7235770511322652</v>
      </c>
      <c r="AB145">
        <v>18621.599999999999</v>
      </c>
    </row>
    <row r="146" spans="1:28" x14ac:dyDescent="0.25">
      <c r="A146">
        <v>5080</v>
      </c>
      <c r="B146">
        <v>18650</v>
      </c>
      <c r="C146" s="1">
        <v>42724</v>
      </c>
      <c r="D146" s="1"/>
      <c r="E146" s="48">
        <v>5</v>
      </c>
      <c r="F146" s="61"/>
      <c r="G146">
        <v>4.5</v>
      </c>
      <c r="H146">
        <v>4.2</v>
      </c>
      <c r="I146">
        <v>6.1</v>
      </c>
      <c r="J146" s="14">
        <f t="shared" si="13"/>
        <v>1086.1000000000004</v>
      </c>
      <c r="K146" s="14">
        <f t="shared" ref="K146:K209" si="18">K145+G146</f>
        <v>11.5</v>
      </c>
      <c r="L146" s="7" t="s">
        <v>38</v>
      </c>
      <c r="M146">
        <v>0</v>
      </c>
      <c r="N146">
        <v>0.6</v>
      </c>
      <c r="O146" s="14">
        <f t="shared" si="10"/>
        <v>-0.6</v>
      </c>
      <c r="P146">
        <f t="shared" si="17"/>
        <v>36.400000000000006</v>
      </c>
      <c r="Q146" s="31">
        <v>92</v>
      </c>
      <c r="R146">
        <v>1</v>
      </c>
      <c r="S146" s="41">
        <f t="shared" si="11"/>
        <v>0.6</v>
      </c>
      <c r="T146" s="41">
        <f t="shared" si="12"/>
        <v>-0.6</v>
      </c>
      <c r="U146" s="41">
        <f t="shared" si="14"/>
        <v>57.851604938271613</v>
      </c>
      <c r="V146" s="33" t="s">
        <v>51</v>
      </c>
      <c r="W146">
        <v>503.8</v>
      </c>
      <c r="Y146">
        <f t="shared" si="15"/>
        <v>68911.899999999994</v>
      </c>
      <c r="Z146">
        <f t="shared" ref="Z146:Z183" si="19">Z145+W146</f>
        <v>1405.2</v>
      </c>
      <c r="AA146" s="46">
        <v>8.7221259156671049</v>
      </c>
      <c r="AB146" s="33" t="s">
        <v>57</v>
      </c>
    </row>
    <row r="147" spans="1:28" x14ac:dyDescent="0.25">
      <c r="A147">
        <v>5080</v>
      </c>
      <c r="B147">
        <v>18650</v>
      </c>
      <c r="C147" s="1">
        <v>42725</v>
      </c>
      <c r="D147" s="1"/>
      <c r="E147" s="48">
        <v>6</v>
      </c>
      <c r="F147" s="61"/>
      <c r="G147">
        <v>3.2</v>
      </c>
      <c r="H147">
        <v>-0.6</v>
      </c>
      <c r="I147">
        <v>7.4</v>
      </c>
      <c r="J147" s="14">
        <f t="shared" si="13"/>
        <v>1089.3000000000004</v>
      </c>
      <c r="K147" s="14">
        <f t="shared" si="18"/>
        <v>14.7</v>
      </c>
      <c r="L147" s="8">
        <f>AVERAGE(G144:G183)</f>
        <v>3.9974999999999996</v>
      </c>
      <c r="M147">
        <v>0</v>
      </c>
      <c r="N147">
        <v>0.9</v>
      </c>
      <c r="O147" s="14">
        <f t="shared" si="10"/>
        <v>-0.9</v>
      </c>
      <c r="P147">
        <f t="shared" si="17"/>
        <v>35.500000000000007</v>
      </c>
      <c r="Q147" s="31">
        <v>93</v>
      </c>
      <c r="R147">
        <v>1</v>
      </c>
      <c r="S147" s="41">
        <f t="shared" si="11"/>
        <v>0.9</v>
      </c>
      <c r="T147" s="41">
        <f t="shared" si="12"/>
        <v>-0.9</v>
      </c>
      <c r="U147" s="41">
        <f t="shared" si="14"/>
        <v>56.951604938271615</v>
      </c>
      <c r="V147">
        <v>0</v>
      </c>
      <c r="W147">
        <v>801.8</v>
      </c>
      <c r="Y147">
        <f t="shared" si="15"/>
        <v>69713.7</v>
      </c>
      <c r="Z147">
        <f t="shared" si="19"/>
        <v>2207</v>
      </c>
      <c r="AA147" s="46">
        <v>8.7218356290392087</v>
      </c>
      <c r="AB147">
        <f>(AB145/100)/L145</f>
        <v>1.1251722054380664</v>
      </c>
    </row>
    <row r="148" spans="1:28" x14ac:dyDescent="0.25">
      <c r="A148">
        <v>5080</v>
      </c>
      <c r="B148">
        <v>18650</v>
      </c>
      <c r="C148" s="1">
        <v>42726</v>
      </c>
      <c r="D148" s="1"/>
      <c r="E148" s="48">
        <v>7</v>
      </c>
      <c r="F148" s="61"/>
      <c r="G148">
        <v>4</v>
      </c>
      <c r="H148">
        <v>-0.5</v>
      </c>
      <c r="I148">
        <v>11.3</v>
      </c>
      <c r="J148" s="14">
        <f t="shared" si="13"/>
        <v>1093.3000000000004</v>
      </c>
      <c r="K148" s="14">
        <f t="shared" si="18"/>
        <v>18.7</v>
      </c>
      <c r="L148" s="7" t="s">
        <v>39</v>
      </c>
      <c r="M148">
        <v>3.4</v>
      </c>
      <c r="N148">
        <v>0.8</v>
      </c>
      <c r="O148" s="14">
        <f t="shared" si="10"/>
        <v>2.5999999999999996</v>
      </c>
      <c r="P148">
        <f t="shared" si="17"/>
        <v>38.100000000000009</v>
      </c>
      <c r="Q148" s="31">
        <v>94</v>
      </c>
      <c r="R148">
        <v>1</v>
      </c>
      <c r="S148" s="41">
        <f t="shared" si="11"/>
        <v>0.8</v>
      </c>
      <c r="T148" s="41">
        <f t="shared" si="12"/>
        <v>2.5999999999999996</v>
      </c>
      <c r="U148" s="41">
        <f t="shared" si="14"/>
        <v>59.551604938271616</v>
      </c>
      <c r="V148" s="33" t="s">
        <v>52</v>
      </c>
      <c r="W148">
        <v>276.7</v>
      </c>
      <c r="Y148">
        <f t="shared" si="15"/>
        <v>69990.399999999994</v>
      </c>
      <c r="Z148">
        <f t="shared" si="19"/>
        <v>2483.6999999999998</v>
      </c>
      <c r="AA148" s="46">
        <v>8.722706429379155</v>
      </c>
      <c r="AB148" s="33" t="s">
        <v>58</v>
      </c>
    </row>
    <row r="149" spans="1:28" x14ac:dyDescent="0.25">
      <c r="A149">
        <v>5080</v>
      </c>
      <c r="B149">
        <v>18650</v>
      </c>
      <c r="C149" s="1">
        <v>42727</v>
      </c>
      <c r="D149" s="1"/>
      <c r="E149" s="14"/>
      <c r="F149" s="61"/>
      <c r="G149">
        <v>11.5</v>
      </c>
      <c r="H149">
        <v>6.6</v>
      </c>
      <c r="I149">
        <v>13.9</v>
      </c>
      <c r="J149" s="14">
        <f t="shared" si="13"/>
        <v>1104.8000000000004</v>
      </c>
      <c r="K149" s="14">
        <f t="shared" si="18"/>
        <v>30.2</v>
      </c>
      <c r="L149" s="9">
        <f>MIN(H144:H183)</f>
        <v>-4.8</v>
      </c>
      <c r="M149">
        <v>3.6</v>
      </c>
      <c r="N149">
        <v>0.3</v>
      </c>
      <c r="O149" s="14">
        <f t="shared" si="10"/>
        <v>3.3000000000000003</v>
      </c>
      <c r="P149">
        <f t="shared" si="17"/>
        <v>41.400000000000006</v>
      </c>
      <c r="Q149" s="31">
        <v>95</v>
      </c>
      <c r="R149">
        <v>1</v>
      </c>
      <c r="S149" s="41">
        <f t="shared" si="11"/>
        <v>0.3</v>
      </c>
      <c r="T149" s="41">
        <f t="shared" si="12"/>
        <v>3.3000000000000003</v>
      </c>
      <c r="U149" s="41">
        <f t="shared" si="14"/>
        <v>62.851604938271613</v>
      </c>
      <c r="V149" s="41">
        <f>MIN(U144:U183)</f>
        <v>54.251604938271626</v>
      </c>
      <c r="W149">
        <v>181.4</v>
      </c>
      <c r="Y149">
        <f t="shared" si="15"/>
        <v>70171.799999999988</v>
      </c>
      <c r="Z149">
        <f t="shared" si="19"/>
        <v>2665.1</v>
      </c>
      <c r="AA149" s="46">
        <v>8.724737602472727</v>
      </c>
      <c r="AB149">
        <v>34</v>
      </c>
    </row>
    <row r="150" spans="1:28" x14ac:dyDescent="0.25">
      <c r="A150">
        <v>5080</v>
      </c>
      <c r="B150">
        <v>18650</v>
      </c>
      <c r="C150" s="1">
        <v>42728</v>
      </c>
      <c r="D150" s="1"/>
      <c r="E150" s="14"/>
      <c r="F150" s="61"/>
      <c r="G150">
        <v>12</v>
      </c>
      <c r="H150">
        <v>10.9</v>
      </c>
      <c r="I150">
        <v>12.7</v>
      </c>
      <c r="J150" s="14">
        <f t="shared" si="13"/>
        <v>1116.8000000000004</v>
      </c>
      <c r="K150" s="14">
        <f t="shared" si="18"/>
        <v>42.2</v>
      </c>
      <c r="L150" s="7" t="s">
        <v>40</v>
      </c>
      <c r="M150">
        <v>0</v>
      </c>
      <c r="N150">
        <v>0.5</v>
      </c>
      <c r="O150" s="14">
        <f t="shared" si="10"/>
        <v>-0.5</v>
      </c>
      <c r="P150">
        <f t="shared" si="17"/>
        <v>40.900000000000006</v>
      </c>
      <c r="Q150" s="31">
        <v>96</v>
      </c>
      <c r="R150">
        <v>1</v>
      </c>
      <c r="S150" s="41">
        <f t="shared" si="11"/>
        <v>0.5</v>
      </c>
      <c r="T150" s="41">
        <f t="shared" si="12"/>
        <v>-0.5</v>
      </c>
      <c r="U150" s="41">
        <f t="shared" si="14"/>
        <v>62.351604938271613</v>
      </c>
      <c r="V150" s="33" t="s">
        <v>53</v>
      </c>
      <c r="W150">
        <v>173.9</v>
      </c>
      <c r="Y150">
        <f t="shared" si="15"/>
        <v>70345.699999999983</v>
      </c>
      <c r="Z150">
        <f t="shared" si="19"/>
        <v>2839</v>
      </c>
      <c r="AA150" s="46">
        <v>8.7279274838892729</v>
      </c>
      <c r="AB150" t="s">
        <v>61</v>
      </c>
    </row>
    <row r="151" spans="1:28" x14ac:dyDescent="0.25">
      <c r="A151">
        <v>5080</v>
      </c>
      <c r="B151">
        <v>18650</v>
      </c>
      <c r="C151" s="1">
        <v>42729</v>
      </c>
      <c r="D151" s="1"/>
      <c r="E151" s="14"/>
      <c r="F151" s="61"/>
      <c r="G151">
        <v>11.6</v>
      </c>
      <c r="H151">
        <v>11</v>
      </c>
      <c r="I151">
        <v>12.7</v>
      </c>
      <c r="J151" s="14">
        <f t="shared" si="13"/>
        <v>1128.4000000000003</v>
      </c>
      <c r="K151" s="14">
        <f t="shared" si="18"/>
        <v>53.800000000000004</v>
      </c>
      <c r="L151" s="8">
        <f>MAX(I144:I183)</f>
        <v>13.9</v>
      </c>
      <c r="M151">
        <v>0</v>
      </c>
      <c r="N151">
        <v>0.6</v>
      </c>
      <c r="O151" s="14">
        <f t="shared" si="10"/>
        <v>-0.6</v>
      </c>
      <c r="P151">
        <f t="shared" si="17"/>
        <v>40.300000000000004</v>
      </c>
      <c r="Q151" s="31">
        <v>97</v>
      </c>
      <c r="R151">
        <v>1</v>
      </c>
      <c r="S151" s="41">
        <f t="shared" si="11"/>
        <v>0.6</v>
      </c>
      <c r="T151" s="41">
        <f t="shared" si="12"/>
        <v>-0.6</v>
      </c>
      <c r="U151" s="41">
        <f t="shared" si="14"/>
        <v>61.751604938271612</v>
      </c>
      <c r="V151" s="41">
        <f>MAX(U144:U183)</f>
        <v>73.751604938271626</v>
      </c>
      <c r="W151">
        <v>195</v>
      </c>
      <c r="Y151">
        <f t="shared" si="15"/>
        <v>70540.699999999983</v>
      </c>
      <c r="Z151">
        <f t="shared" si="19"/>
        <v>3034</v>
      </c>
      <c r="AA151" s="46">
        <v>8.7322734639349608</v>
      </c>
      <c r="AB151">
        <v>18</v>
      </c>
    </row>
    <row r="152" spans="1:28" x14ac:dyDescent="0.25">
      <c r="A152">
        <v>5080</v>
      </c>
      <c r="B152">
        <v>18650</v>
      </c>
      <c r="C152" s="1">
        <v>42730</v>
      </c>
      <c r="D152" s="1"/>
      <c r="E152" s="14"/>
      <c r="F152" s="61"/>
      <c r="G152">
        <v>10.4</v>
      </c>
      <c r="H152">
        <v>9.1</v>
      </c>
      <c r="I152">
        <v>12.4</v>
      </c>
      <c r="J152" s="14">
        <f t="shared" si="13"/>
        <v>1138.8000000000004</v>
      </c>
      <c r="K152" s="14">
        <f t="shared" si="18"/>
        <v>64.2</v>
      </c>
      <c r="L152" s="7" t="s">
        <v>41</v>
      </c>
      <c r="M152">
        <v>0</v>
      </c>
      <c r="N152">
        <v>0.8</v>
      </c>
      <c r="O152" s="14">
        <f t="shared" si="10"/>
        <v>-0.8</v>
      </c>
      <c r="P152">
        <f t="shared" si="17"/>
        <v>39.500000000000007</v>
      </c>
      <c r="Q152" s="31">
        <v>98</v>
      </c>
      <c r="R152">
        <v>1</v>
      </c>
      <c r="S152" s="41">
        <f t="shared" si="11"/>
        <v>0.8</v>
      </c>
      <c r="T152" s="41">
        <f t="shared" si="12"/>
        <v>-0.8</v>
      </c>
      <c r="U152" s="41">
        <f t="shared" si="14"/>
        <v>60.951604938271615</v>
      </c>
      <c r="V152" s="33" t="s">
        <v>54</v>
      </c>
      <c r="W152">
        <v>213.5</v>
      </c>
      <c r="Y152">
        <f t="shared" si="15"/>
        <v>70754.199999999983</v>
      </c>
      <c r="Z152">
        <f t="shared" si="19"/>
        <v>3247.5</v>
      </c>
      <c r="AA152" s="46">
        <v>8.737771995399962</v>
      </c>
    </row>
    <row r="153" spans="1:28" x14ac:dyDescent="0.25">
      <c r="A153">
        <v>5080</v>
      </c>
      <c r="B153">
        <v>18650</v>
      </c>
      <c r="C153" s="1">
        <v>42731</v>
      </c>
      <c r="D153" s="1"/>
      <c r="E153" s="14"/>
      <c r="F153" s="61"/>
      <c r="G153">
        <v>7.5</v>
      </c>
      <c r="H153">
        <v>5.7</v>
      </c>
      <c r="I153">
        <v>9.1</v>
      </c>
      <c r="J153" s="14">
        <f t="shared" si="13"/>
        <v>1146.3000000000004</v>
      </c>
      <c r="K153" s="14">
        <f t="shared" si="18"/>
        <v>71.7</v>
      </c>
      <c r="L153" s="8">
        <v>0</v>
      </c>
      <c r="M153">
        <v>0.1</v>
      </c>
      <c r="N153">
        <v>0.6</v>
      </c>
      <c r="O153" s="14">
        <f t="shared" si="10"/>
        <v>-0.5</v>
      </c>
      <c r="P153">
        <f t="shared" si="17"/>
        <v>39.000000000000007</v>
      </c>
      <c r="Q153" s="31">
        <v>99</v>
      </c>
      <c r="R153">
        <v>1</v>
      </c>
      <c r="S153" s="41">
        <f t="shared" si="11"/>
        <v>0.6</v>
      </c>
      <c r="T153" s="41">
        <f t="shared" si="12"/>
        <v>-0.5</v>
      </c>
      <c r="U153" s="41">
        <f t="shared" si="14"/>
        <v>60.451604938271615</v>
      </c>
      <c r="V153" s="41">
        <f>AVERAGE(U144:U183)</f>
        <v>63.136604938271617</v>
      </c>
      <c r="W153">
        <v>256.60000000000002</v>
      </c>
      <c r="Y153">
        <f t="shared" si="15"/>
        <v>71010.799999999988</v>
      </c>
      <c r="Z153">
        <f t="shared" si="19"/>
        <v>3504.1</v>
      </c>
      <c r="AA153" s="46">
        <v>8.7444186040513312</v>
      </c>
    </row>
    <row r="154" spans="1:28" x14ac:dyDescent="0.25">
      <c r="A154">
        <v>5080</v>
      </c>
      <c r="B154">
        <v>18650</v>
      </c>
      <c r="C154" s="1">
        <v>42732</v>
      </c>
      <c r="D154" s="1"/>
      <c r="E154" s="14"/>
      <c r="F154" s="61"/>
      <c r="G154">
        <v>5.3</v>
      </c>
      <c r="H154">
        <v>2.6</v>
      </c>
      <c r="I154">
        <v>8.6</v>
      </c>
      <c r="J154" s="14">
        <f t="shared" si="13"/>
        <v>1151.6000000000004</v>
      </c>
      <c r="K154" s="14">
        <f t="shared" si="18"/>
        <v>77</v>
      </c>
      <c r="L154" s="7" t="s">
        <v>42</v>
      </c>
      <c r="M154">
        <v>0.1</v>
      </c>
      <c r="N154">
        <v>1</v>
      </c>
      <c r="O154" s="14">
        <f t="shared" si="10"/>
        <v>-0.9</v>
      </c>
      <c r="P154">
        <f t="shared" si="17"/>
        <v>38.100000000000009</v>
      </c>
      <c r="Q154" s="31">
        <v>100</v>
      </c>
      <c r="R154">
        <v>1</v>
      </c>
      <c r="S154" s="41">
        <f t="shared" si="11"/>
        <v>1</v>
      </c>
      <c r="T154" s="41">
        <f t="shared" si="12"/>
        <v>-0.9</v>
      </c>
      <c r="U154" s="41">
        <f t="shared" si="14"/>
        <v>59.551604938271616</v>
      </c>
      <c r="W154">
        <v>536.1</v>
      </c>
      <c r="Y154">
        <f t="shared" si="15"/>
        <v>71546.899999999994</v>
      </c>
      <c r="Z154">
        <f t="shared" si="19"/>
        <v>4040.2</v>
      </c>
      <c r="AA154" s="46">
        <v>8.7522079018066083</v>
      </c>
    </row>
    <row r="155" spans="1:28" x14ac:dyDescent="0.25">
      <c r="A155">
        <v>5080</v>
      </c>
      <c r="B155">
        <v>18650</v>
      </c>
      <c r="C155" s="1">
        <v>42733</v>
      </c>
      <c r="D155" s="1"/>
      <c r="E155" s="48">
        <v>8</v>
      </c>
      <c r="F155" s="61"/>
      <c r="G155">
        <v>3.3</v>
      </c>
      <c r="H155">
        <v>-0.5</v>
      </c>
      <c r="I155">
        <v>6.5</v>
      </c>
      <c r="J155" s="14">
        <f t="shared" si="13"/>
        <v>1154.9000000000003</v>
      </c>
      <c r="K155" s="14">
        <f t="shared" si="18"/>
        <v>80.3</v>
      </c>
      <c r="L155" s="8">
        <v>17</v>
      </c>
      <c r="M155">
        <v>0.1</v>
      </c>
      <c r="N155">
        <v>0.8</v>
      </c>
      <c r="O155" s="14">
        <f t="shared" si="10"/>
        <v>-0.70000000000000007</v>
      </c>
      <c r="P155">
        <f t="shared" si="17"/>
        <v>37.400000000000006</v>
      </c>
      <c r="Q155" s="31">
        <v>101</v>
      </c>
      <c r="R155">
        <v>1</v>
      </c>
      <c r="S155" s="41">
        <f t="shared" si="11"/>
        <v>0.8</v>
      </c>
      <c r="T155" s="41">
        <f t="shared" si="12"/>
        <v>-0.70000000000000007</v>
      </c>
      <c r="U155" s="41">
        <f t="shared" si="14"/>
        <v>58.851604938271613</v>
      </c>
      <c r="V155">
        <f>(V153*100)/157.8</f>
        <v>40.010522774570099</v>
      </c>
      <c r="W155">
        <v>579.29999999999995</v>
      </c>
      <c r="Y155">
        <f t="shared" si="15"/>
        <v>72126.2</v>
      </c>
      <c r="Z155">
        <f t="shared" si="19"/>
        <v>4619.5</v>
      </c>
      <c r="AA155" s="46">
        <v>8.761133602507007</v>
      </c>
    </row>
    <row r="156" spans="1:28" x14ac:dyDescent="0.25">
      <c r="A156">
        <v>5080</v>
      </c>
      <c r="B156">
        <v>18650</v>
      </c>
      <c r="C156" s="1">
        <v>42734</v>
      </c>
      <c r="D156" s="1"/>
      <c r="E156" s="48">
        <v>9</v>
      </c>
      <c r="F156" s="61"/>
      <c r="G156">
        <v>2.5</v>
      </c>
      <c r="H156">
        <v>2.2000000000000002</v>
      </c>
      <c r="I156">
        <v>2.8</v>
      </c>
      <c r="J156" s="14">
        <f t="shared" si="13"/>
        <v>1157.4000000000003</v>
      </c>
      <c r="K156" s="14">
        <f t="shared" si="18"/>
        <v>82.8</v>
      </c>
      <c r="L156" s="7" t="s">
        <v>43</v>
      </c>
      <c r="M156">
        <v>0.2</v>
      </c>
      <c r="N156">
        <v>0.5</v>
      </c>
      <c r="O156" s="14">
        <f t="shared" si="10"/>
        <v>-0.3</v>
      </c>
      <c r="P156">
        <f t="shared" si="17"/>
        <v>37.100000000000009</v>
      </c>
      <c r="Q156" s="31">
        <v>102</v>
      </c>
      <c r="R156">
        <v>1</v>
      </c>
      <c r="S156" s="41">
        <f t="shared" si="11"/>
        <v>0.5</v>
      </c>
      <c r="T156" s="41">
        <f t="shared" si="12"/>
        <v>-0.3</v>
      </c>
      <c r="U156" s="41">
        <f t="shared" si="14"/>
        <v>58.551604938271616</v>
      </c>
      <c r="W156">
        <v>359.8</v>
      </c>
      <c r="Y156">
        <f t="shared" si="15"/>
        <v>72486</v>
      </c>
      <c r="Z156">
        <f t="shared" si="19"/>
        <v>4979.3</v>
      </c>
      <c r="AA156" s="46">
        <v>8.7711885401939131</v>
      </c>
    </row>
    <row r="157" spans="1:28" x14ac:dyDescent="0.25">
      <c r="A157">
        <v>5080</v>
      </c>
      <c r="B157">
        <v>18650</v>
      </c>
      <c r="C157" s="1">
        <v>42735</v>
      </c>
      <c r="D157" s="1"/>
      <c r="E157" s="48">
        <v>10</v>
      </c>
      <c r="F157" s="61"/>
      <c r="G157">
        <v>4.2</v>
      </c>
      <c r="H157">
        <v>1.6</v>
      </c>
      <c r="I157">
        <v>6.6</v>
      </c>
      <c r="J157" s="14">
        <f t="shared" si="13"/>
        <v>1161.6000000000004</v>
      </c>
      <c r="K157" s="14">
        <f t="shared" si="18"/>
        <v>87</v>
      </c>
      <c r="L157" s="8">
        <v>15</v>
      </c>
      <c r="M157">
        <v>0.3</v>
      </c>
      <c r="N157">
        <v>0.5</v>
      </c>
      <c r="O157" s="14">
        <f t="shared" si="10"/>
        <v>-0.2</v>
      </c>
      <c r="P157">
        <f t="shared" si="17"/>
        <v>36.900000000000006</v>
      </c>
      <c r="Q157" s="31">
        <v>103</v>
      </c>
      <c r="R157">
        <v>1</v>
      </c>
      <c r="S157" s="41">
        <f t="shared" si="11"/>
        <v>0.5</v>
      </c>
      <c r="T157" s="41">
        <f t="shared" si="12"/>
        <v>-0.2</v>
      </c>
      <c r="U157" s="41">
        <f t="shared" si="14"/>
        <v>58.351604938271613</v>
      </c>
      <c r="W157">
        <v>338.2</v>
      </c>
      <c r="Y157">
        <f t="shared" si="15"/>
        <v>72824.2</v>
      </c>
      <c r="Z157">
        <f t="shared" si="19"/>
        <v>5317.5</v>
      </c>
      <c r="AA157" s="46">
        <v>8.7823646897781487</v>
      </c>
    </row>
    <row r="158" spans="1:28" x14ac:dyDescent="0.25">
      <c r="A158">
        <v>5080</v>
      </c>
      <c r="B158">
        <v>18650</v>
      </c>
      <c r="C158" s="1">
        <v>42736</v>
      </c>
      <c r="D158" s="1"/>
      <c r="E158" s="48">
        <v>11</v>
      </c>
      <c r="F158" s="61"/>
      <c r="G158">
        <v>1.9</v>
      </c>
      <c r="H158">
        <v>0.5</v>
      </c>
      <c r="I158">
        <v>2.4</v>
      </c>
      <c r="J158" s="14">
        <f t="shared" si="13"/>
        <v>1163.5000000000005</v>
      </c>
      <c r="K158" s="14">
        <f t="shared" si="18"/>
        <v>88.9</v>
      </c>
      <c r="L158" s="1"/>
      <c r="M158">
        <v>0</v>
      </c>
      <c r="N158">
        <v>0.3</v>
      </c>
      <c r="O158" s="14">
        <f t="shared" si="10"/>
        <v>-0.3</v>
      </c>
      <c r="P158">
        <f t="shared" si="17"/>
        <v>36.600000000000009</v>
      </c>
      <c r="Q158" s="31">
        <v>104</v>
      </c>
      <c r="R158">
        <v>1</v>
      </c>
      <c r="S158" s="41">
        <f t="shared" si="11"/>
        <v>0.3</v>
      </c>
      <c r="T158" s="41">
        <f t="shared" si="12"/>
        <v>-0.3</v>
      </c>
      <c r="U158" s="41">
        <f t="shared" si="14"/>
        <v>58.051604938271616</v>
      </c>
      <c r="W158">
        <v>259.5</v>
      </c>
      <c r="Y158">
        <f t="shared" si="15"/>
        <v>73083.7</v>
      </c>
      <c r="Z158">
        <f t="shared" si="19"/>
        <v>5577</v>
      </c>
      <c r="AA158" s="46">
        <v>8.7946531899783444</v>
      </c>
    </row>
    <row r="159" spans="1:28" x14ac:dyDescent="0.25">
      <c r="A159">
        <v>5080</v>
      </c>
      <c r="B159">
        <v>18650</v>
      </c>
      <c r="C159" s="1">
        <v>42737</v>
      </c>
      <c r="D159" s="1"/>
      <c r="E159" s="48">
        <v>12</v>
      </c>
      <c r="F159" s="61"/>
      <c r="G159">
        <v>2</v>
      </c>
      <c r="H159">
        <v>0.7</v>
      </c>
      <c r="I159">
        <v>2.4</v>
      </c>
      <c r="J159" s="14">
        <f t="shared" si="13"/>
        <v>1165.5000000000005</v>
      </c>
      <c r="K159" s="14">
        <f t="shared" si="18"/>
        <v>90.9</v>
      </c>
      <c r="L159" s="1"/>
      <c r="M159">
        <v>0</v>
      </c>
      <c r="N159">
        <v>0.3</v>
      </c>
      <c r="O159" s="14">
        <f t="shared" si="10"/>
        <v>-0.3</v>
      </c>
      <c r="P159">
        <f t="shared" si="17"/>
        <v>36.300000000000011</v>
      </c>
      <c r="Q159" s="31">
        <v>105</v>
      </c>
      <c r="R159">
        <v>1</v>
      </c>
      <c r="S159" s="41">
        <f t="shared" si="11"/>
        <v>0.3</v>
      </c>
      <c r="T159" s="41">
        <f t="shared" si="12"/>
        <v>-0.3</v>
      </c>
      <c r="U159" s="41">
        <f t="shared" si="14"/>
        <v>57.751604938271619</v>
      </c>
      <c r="W159">
        <v>161.1</v>
      </c>
      <c r="Y159">
        <f t="shared" si="15"/>
        <v>73244.800000000003</v>
      </c>
      <c r="Z159">
        <f t="shared" si="19"/>
        <v>5738.1</v>
      </c>
      <c r="AA159" s="46">
        <v>8.8080443683929825</v>
      </c>
    </row>
    <row r="160" spans="1:28" x14ac:dyDescent="0.25">
      <c r="A160">
        <v>5080</v>
      </c>
      <c r="B160">
        <v>18650</v>
      </c>
      <c r="C160" s="1">
        <v>42738</v>
      </c>
      <c r="D160" s="1"/>
      <c r="E160" s="48">
        <v>13</v>
      </c>
      <c r="F160" s="61"/>
      <c r="G160">
        <v>2</v>
      </c>
      <c r="H160">
        <v>1.7</v>
      </c>
      <c r="I160">
        <v>2.8</v>
      </c>
      <c r="J160" s="14">
        <f t="shared" si="13"/>
        <v>1167.5000000000005</v>
      </c>
      <c r="K160" s="14">
        <f t="shared" si="18"/>
        <v>92.9</v>
      </c>
      <c r="L160" s="1"/>
      <c r="M160">
        <v>0</v>
      </c>
      <c r="N160">
        <v>0.5</v>
      </c>
      <c r="O160" s="14">
        <f t="shared" si="10"/>
        <v>-0.5</v>
      </c>
      <c r="P160">
        <f t="shared" si="17"/>
        <v>35.800000000000011</v>
      </c>
      <c r="Q160" s="31">
        <v>106</v>
      </c>
      <c r="R160">
        <v>1</v>
      </c>
      <c r="S160" s="41">
        <f t="shared" si="11"/>
        <v>0.5</v>
      </c>
      <c r="T160" s="41">
        <f t="shared" si="12"/>
        <v>-0.5</v>
      </c>
      <c r="U160" s="41">
        <f t="shared" si="14"/>
        <v>57.251604938271619</v>
      </c>
      <c r="W160">
        <v>190.2</v>
      </c>
      <c r="Y160">
        <f t="shared" si="15"/>
        <v>73435</v>
      </c>
      <c r="Z160">
        <f t="shared" si="19"/>
        <v>5928.3</v>
      </c>
      <c r="AA160" s="46">
        <v>8.8225277685601533</v>
      </c>
    </row>
    <row r="161" spans="1:27" x14ac:dyDescent="0.25">
      <c r="A161">
        <v>5080</v>
      </c>
      <c r="B161">
        <v>18650</v>
      </c>
      <c r="C161" s="1">
        <v>42739</v>
      </c>
      <c r="D161" s="1"/>
      <c r="E161" s="48">
        <v>14</v>
      </c>
      <c r="F161" s="61"/>
      <c r="G161">
        <v>0.5</v>
      </c>
      <c r="H161">
        <v>0.1</v>
      </c>
      <c r="I161">
        <v>1.7</v>
      </c>
      <c r="J161" s="14">
        <f t="shared" si="13"/>
        <v>1168.0000000000005</v>
      </c>
      <c r="K161" s="14">
        <f t="shared" si="18"/>
        <v>93.4</v>
      </c>
      <c r="L161" s="1"/>
      <c r="M161">
        <v>0</v>
      </c>
      <c r="N161">
        <v>0.4</v>
      </c>
      <c r="O161" s="14">
        <f t="shared" si="10"/>
        <v>-0.4</v>
      </c>
      <c r="P161">
        <f t="shared" si="17"/>
        <v>35.400000000000013</v>
      </c>
      <c r="Q161" s="31">
        <v>107</v>
      </c>
      <c r="R161">
        <v>1</v>
      </c>
      <c r="S161" s="41">
        <f t="shared" si="11"/>
        <v>0.4</v>
      </c>
      <c r="T161" s="41">
        <f t="shared" si="12"/>
        <v>-0.4</v>
      </c>
      <c r="U161" s="41">
        <f t="shared" si="14"/>
        <v>56.85160493827162</v>
      </c>
      <c r="W161">
        <v>172.7</v>
      </c>
      <c r="Y161">
        <f t="shared" si="15"/>
        <v>73607.7</v>
      </c>
      <c r="Z161">
        <f t="shared" si="19"/>
        <v>6101</v>
      </c>
      <c r="AA161" s="46">
        <v>8.8380921788499744</v>
      </c>
    </row>
    <row r="162" spans="1:27" x14ac:dyDescent="0.25">
      <c r="A162">
        <v>5080</v>
      </c>
      <c r="B162">
        <v>18650</v>
      </c>
      <c r="C162" s="1">
        <v>42740</v>
      </c>
      <c r="D162" s="1"/>
      <c r="E162" s="48">
        <v>15</v>
      </c>
      <c r="F162" s="61"/>
      <c r="G162">
        <v>1.7</v>
      </c>
      <c r="H162">
        <v>0</v>
      </c>
      <c r="I162">
        <v>3.4</v>
      </c>
      <c r="J162" s="14">
        <f t="shared" si="13"/>
        <v>1169.7000000000005</v>
      </c>
      <c r="K162" s="14">
        <f t="shared" si="18"/>
        <v>95.100000000000009</v>
      </c>
      <c r="L162" s="1"/>
      <c r="M162">
        <v>0</v>
      </c>
      <c r="N162">
        <v>0.4</v>
      </c>
      <c r="O162" s="14">
        <f t="shared" si="10"/>
        <v>-0.4</v>
      </c>
      <c r="P162">
        <f t="shared" si="17"/>
        <v>35.000000000000014</v>
      </c>
      <c r="Q162" s="31">
        <v>108</v>
      </c>
      <c r="R162">
        <v>1</v>
      </c>
      <c r="S162" s="41">
        <f t="shared" si="11"/>
        <v>0.4</v>
      </c>
      <c r="T162" s="41">
        <f t="shared" si="12"/>
        <v>-0.4</v>
      </c>
      <c r="U162" s="41">
        <f t="shared" si="14"/>
        <v>56.451604938271622</v>
      </c>
      <c r="W162">
        <v>261.8</v>
      </c>
      <c r="Y162">
        <f t="shared" si="15"/>
        <v>73869.5</v>
      </c>
      <c r="Z162">
        <f t="shared" si="19"/>
        <v>6362.8</v>
      </c>
      <c r="AA162" s="46">
        <v>8.8547256630270823</v>
      </c>
    </row>
    <row r="163" spans="1:27" x14ac:dyDescent="0.25">
      <c r="A163">
        <v>5080</v>
      </c>
      <c r="B163">
        <v>18650</v>
      </c>
      <c r="C163" s="1">
        <v>42741</v>
      </c>
      <c r="D163" s="1"/>
      <c r="E163" s="48">
        <v>16</v>
      </c>
      <c r="F163" s="61"/>
      <c r="G163">
        <v>-0.1</v>
      </c>
      <c r="H163">
        <v>-3</v>
      </c>
      <c r="I163">
        <v>2.9</v>
      </c>
      <c r="J163" s="14">
        <v>1169.7</v>
      </c>
      <c r="K163" s="14">
        <v>95.1</v>
      </c>
      <c r="L163" s="1"/>
      <c r="M163">
        <v>0</v>
      </c>
      <c r="N163">
        <v>0.8</v>
      </c>
      <c r="O163" s="14">
        <f t="shared" si="10"/>
        <v>-0.8</v>
      </c>
      <c r="P163">
        <f t="shared" si="17"/>
        <v>34.200000000000017</v>
      </c>
      <c r="Q163" s="31">
        <v>109</v>
      </c>
      <c r="R163">
        <v>1</v>
      </c>
      <c r="S163" s="41">
        <f t="shared" si="11"/>
        <v>0.8</v>
      </c>
      <c r="T163" s="41">
        <f t="shared" si="12"/>
        <v>-0.8</v>
      </c>
      <c r="U163" s="41">
        <f t="shared" si="14"/>
        <v>55.651604938271625</v>
      </c>
      <c r="W163">
        <v>918.2</v>
      </c>
      <c r="Y163">
        <f t="shared" si="15"/>
        <v>74787.7</v>
      </c>
      <c r="Z163">
        <f t="shared" si="19"/>
        <v>7281</v>
      </c>
      <c r="AA163" s="46">
        <v>8.8724155923144856</v>
      </c>
    </row>
    <row r="164" spans="1:27" x14ac:dyDescent="0.25">
      <c r="A164">
        <v>5080</v>
      </c>
      <c r="B164">
        <v>18650</v>
      </c>
      <c r="C164" s="1">
        <v>42742</v>
      </c>
      <c r="D164" s="1"/>
      <c r="E164" s="48">
        <v>17</v>
      </c>
      <c r="F164" s="61"/>
      <c r="G164">
        <v>-0.2</v>
      </c>
      <c r="H164">
        <v>-3.8</v>
      </c>
      <c r="I164">
        <v>4.4000000000000004</v>
      </c>
      <c r="J164" s="14">
        <v>1169.7</v>
      </c>
      <c r="K164" s="14">
        <v>95.1</v>
      </c>
      <c r="L164" s="1"/>
      <c r="M164">
        <v>0</v>
      </c>
      <c r="N164">
        <v>0.9</v>
      </c>
      <c r="O164" s="14">
        <f t="shared" si="10"/>
        <v>-0.9</v>
      </c>
      <c r="P164">
        <f t="shared" si="17"/>
        <v>33.300000000000018</v>
      </c>
      <c r="Q164" s="31">
        <v>110</v>
      </c>
      <c r="R164">
        <v>1</v>
      </c>
      <c r="S164" s="41">
        <f t="shared" si="11"/>
        <v>0.9</v>
      </c>
      <c r="T164" s="41">
        <f t="shared" si="12"/>
        <v>-0.9</v>
      </c>
      <c r="U164" s="41">
        <f t="shared" si="14"/>
        <v>54.751604938271626</v>
      </c>
      <c r="W164">
        <v>910.1</v>
      </c>
      <c r="Y164">
        <f t="shared" si="15"/>
        <v>75697.8</v>
      </c>
      <c r="Z164">
        <f t="shared" si="19"/>
        <v>8191.1</v>
      </c>
      <c r="AA164" s="46">
        <v>8.8911486787855214</v>
      </c>
    </row>
    <row r="165" spans="1:27" x14ac:dyDescent="0.25">
      <c r="A165">
        <v>5080</v>
      </c>
      <c r="B165">
        <v>18650</v>
      </c>
      <c r="C165" s="1">
        <v>42743</v>
      </c>
      <c r="D165" s="1"/>
      <c r="E165" s="48">
        <v>18</v>
      </c>
      <c r="F165" s="61"/>
      <c r="G165">
        <v>1.7</v>
      </c>
      <c r="H165">
        <v>-2.2000000000000002</v>
      </c>
      <c r="I165">
        <v>4</v>
      </c>
      <c r="J165" s="14">
        <f t="shared" si="13"/>
        <v>1171.4000000000001</v>
      </c>
      <c r="K165" s="14">
        <f t="shared" si="18"/>
        <v>96.8</v>
      </c>
      <c r="L165" s="1"/>
      <c r="M165">
        <v>0</v>
      </c>
      <c r="N165">
        <v>0.5</v>
      </c>
      <c r="O165" s="14">
        <f t="shared" si="10"/>
        <v>-0.5</v>
      </c>
      <c r="P165">
        <f t="shared" si="17"/>
        <v>32.800000000000018</v>
      </c>
      <c r="Q165" s="31">
        <v>111</v>
      </c>
      <c r="R165">
        <v>1</v>
      </c>
      <c r="S165" s="41">
        <f t="shared" si="11"/>
        <v>0.5</v>
      </c>
      <c r="T165" s="41">
        <f t="shared" si="12"/>
        <v>-0.5</v>
      </c>
      <c r="U165" s="41">
        <f t="shared" si="14"/>
        <v>54.251604938271626</v>
      </c>
      <c r="W165">
        <v>246.3</v>
      </c>
      <c r="Y165">
        <f t="shared" si="15"/>
        <v>75944.100000000006</v>
      </c>
      <c r="Z165">
        <f t="shared" si="19"/>
        <v>8437.4</v>
      </c>
      <c r="AA165" s="46">
        <v>8.9109110099075739</v>
      </c>
    </row>
    <row r="166" spans="1:27" x14ac:dyDescent="0.25">
      <c r="A166">
        <v>5080</v>
      </c>
      <c r="B166">
        <v>18650</v>
      </c>
      <c r="C166" s="1">
        <v>42744</v>
      </c>
      <c r="D166" s="1"/>
      <c r="E166" s="14"/>
      <c r="F166" s="61"/>
      <c r="G166">
        <v>5.5</v>
      </c>
      <c r="H166">
        <v>2.4</v>
      </c>
      <c r="I166">
        <v>7.6</v>
      </c>
      <c r="J166" s="14">
        <f t="shared" si="13"/>
        <v>1176.9000000000001</v>
      </c>
      <c r="K166" s="14">
        <f t="shared" si="18"/>
        <v>102.3</v>
      </c>
      <c r="L166" s="1"/>
      <c r="M166">
        <v>3.1</v>
      </c>
      <c r="N166">
        <v>0.7</v>
      </c>
      <c r="O166" s="14">
        <f t="shared" si="10"/>
        <v>2.4000000000000004</v>
      </c>
      <c r="P166">
        <f t="shared" si="17"/>
        <v>35.200000000000017</v>
      </c>
      <c r="Q166" s="31">
        <v>112</v>
      </c>
      <c r="R166">
        <v>1</v>
      </c>
      <c r="S166" s="41">
        <f t="shared" si="11"/>
        <v>0.7</v>
      </c>
      <c r="T166" s="41">
        <f t="shared" si="12"/>
        <v>2.4000000000000004</v>
      </c>
      <c r="U166" s="41">
        <f t="shared" si="14"/>
        <v>56.651604938271625</v>
      </c>
      <c r="W166">
        <v>299</v>
      </c>
      <c r="Y166">
        <f t="shared" si="15"/>
        <v>76243.100000000006</v>
      </c>
      <c r="Z166">
        <f t="shared" si="19"/>
        <v>8736.4</v>
      </c>
      <c r="AA166" s="46">
        <v>8.9316880840597097</v>
      </c>
    </row>
    <row r="167" spans="1:27" x14ac:dyDescent="0.25">
      <c r="A167">
        <v>5080</v>
      </c>
      <c r="B167">
        <v>18650</v>
      </c>
      <c r="C167" s="1">
        <v>42745</v>
      </c>
      <c r="D167" s="1"/>
      <c r="E167" s="1"/>
      <c r="F167" s="61"/>
      <c r="G167">
        <v>7</v>
      </c>
      <c r="H167">
        <v>6.2</v>
      </c>
      <c r="I167">
        <v>7.6</v>
      </c>
      <c r="J167" s="14">
        <f t="shared" si="13"/>
        <v>1183.9000000000001</v>
      </c>
      <c r="K167" s="14">
        <f t="shared" si="18"/>
        <v>109.3</v>
      </c>
      <c r="L167" s="1"/>
      <c r="M167">
        <v>7.4</v>
      </c>
      <c r="N167">
        <v>0.6</v>
      </c>
      <c r="O167" s="14">
        <f t="shared" si="10"/>
        <v>6.8000000000000007</v>
      </c>
      <c r="P167">
        <f t="shared" si="17"/>
        <v>42.000000000000014</v>
      </c>
      <c r="Q167" s="31">
        <v>113</v>
      </c>
      <c r="R167">
        <v>1</v>
      </c>
      <c r="S167" s="41">
        <f t="shared" si="11"/>
        <v>0.6</v>
      </c>
      <c r="T167" s="41">
        <f t="shared" si="12"/>
        <v>6.8000000000000007</v>
      </c>
      <c r="U167" s="41">
        <f t="shared" si="14"/>
        <v>63.451604938271629</v>
      </c>
      <c r="W167">
        <v>174.5</v>
      </c>
      <c r="Y167">
        <f t="shared" si="15"/>
        <v>76417.600000000006</v>
      </c>
      <c r="Z167">
        <f t="shared" si="19"/>
        <v>8910.9</v>
      </c>
      <c r="AA167" s="46">
        <v>8.9534648468462219</v>
      </c>
    </row>
    <row r="168" spans="1:27" x14ac:dyDescent="0.25">
      <c r="A168">
        <v>5080</v>
      </c>
      <c r="B168">
        <v>18650</v>
      </c>
      <c r="C168" s="1">
        <v>42746</v>
      </c>
      <c r="D168" s="1"/>
      <c r="E168" s="1"/>
      <c r="F168" s="61"/>
      <c r="G168">
        <v>9.4</v>
      </c>
      <c r="H168">
        <v>6.3</v>
      </c>
      <c r="I168">
        <v>11.6</v>
      </c>
      <c r="J168" s="14">
        <f t="shared" si="13"/>
        <v>1193.3000000000002</v>
      </c>
      <c r="K168" s="14">
        <f t="shared" si="18"/>
        <v>118.7</v>
      </c>
      <c r="L168" s="1"/>
      <c r="M168">
        <v>3</v>
      </c>
      <c r="N168">
        <v>0.4</v>
      </c>
      <c r="O168" s="14">
        <f t="shared" si="10"/>
        <v>2.6</v>
      </c>
      <c r="P168">
        <f t="shared" si="17"/>
        <v>44.600000000000016</v>
      </c>
      <c r="Q168" s="31">
        <v>114</v>
      </c>
      <c r="R168">
        <v>1</v>
      </c>
      <c r="S168" s="41">
        <f t="shared" si="11"/>
        <v>0.4</v>
      </c>
      <c r="T168" s="41">
        <f t="shared" si="12"/>
        <v>2.6</v>
      </c>
      <c r="U168" s="41">
        <f t="shared" si="14"/>
        <v>66.051604938271623</v>
      </c>
      <c r="W168">
        <v>205</v>
      </c>
      <c r="Y168">
        <f t="shared" si="15"/>
        <v>76622.600000000006</v>
      </c>
      <c r="Z168">
        <f t="shared" si="19"/>
        <v>9115.9</v>
      </c>
      <c r="AA168" s="46">
        <v>8.976225728029279</v>
      </c>
    </row>
    <row r="169" spans="1:27" x14ac:dyDescent="0.25">
      <c r="A169">
        <v>5080</v>
      </c>
      <c r="B169">
        <v>18650</v>
      </c>
      <c r="C169" s="1">
        <v>42747</v>
      </c>
      <c r="D169" s="1"/>
      <c r="E169" s="1" t="s">
        <v>60</v>
      </c>
      <c r="F169" s="61"/>
      <c r="G169">
        <v>10.4</v>
      </c>
      <c r="H169">
        <v>9.4</v>
      </c>
      <c r="I169">
        <v>11.8</v>
      </c>
      <c r="J169" s="14">
        <f t="shared" si="13"/>
        <v>1203.7000000000003</v>
      </c>
      <c r="K169" s="14">
        <f t="shared" si="18"/>
        <v>129.1</v>
      </c>
      <c r="L169" s="1"/>
      <c r="M169">
        <v>4.7</v>
      </c>
      <c r="N169">
        <v>0.5</v>
      </c>
      <c r="O169" s="14">
        <f t="shared" si="10"/>
        <v>4.2</v>
      </c>
      <c r="P169">
        <f t="shared" si="17"/>
        <v>48.800000000000018</v>
      </c>
      <c r="Q169" s="31">
        <v>115</v>
      </c>
      <c r="R169">
        <v>1</v>
      </c>
      <c r="S169" s="41">
        <f t="shared" si="11"/>
        <v>0.5</v>
      </c>
      <c r="T169" s="41">
        <f t="shared" si="12"/>
        <v>4.2</v>
      </c>
      <c r="U169" s="41">
        <f t="shared" si="14"/>
        <v>70.251604938271626</v>
      </c>
      <c r="W169">
        <v>202.2</v>
      </c>
      <c r="Y169">
        <f t="shared" si="15"/>
        <v>76824.800000000003</v>
      </c>
      <c r="Z169">
        <f t="shared" si="19"/>
        <v>9318.1</v>
      </c>
      <c r="AA169" s="46">
        <v>8.9999546789065228</v>
      </c>
    </row>
    <row r="170" spans="1:27" x14ac:dyDescent="0.25">
      <c r="A170">
        <v>5080</v>
      </c>
      <c r="B170">
        <v>18650</v>
      </c>
      <c r="C170" s="1">
        <v>42748</v>
      </c>
      <c r="D170" s="1"/>
      <c r="E170" s="1"/>
      <c r="F170" s="61"/>
      <c r="G170">
        <v>5</v>
      </c>
      <c r="H170">
        <v>4.5</v>
      </c>
      <c r="I170">
        <v>5.5</v>
      </c>
      <c r="J170" s="14">
        <f t="shared" si="13"/>
        <v>1208.7000000000003</v>
      </c>
      <c r="K170" s="14">
        <f t="shared" si="18"/>
        <v>134.1</v>
      </c>
      <c r="L170" s="1"/>
      <c r="M170">
        <v>1.5</v>
      </c>
      <c r="N170">
        <v>1</v>
      </c>
      <c r="O170" s="14">
        <f t="shared" si="10"/>
        <v>0.5</v>
      </c>
      <c r="P170">
        <f t="shared" si="17"/>
        <v>49.300000000000018</v>
      </c>
      <c r="Q170" s="31">
        <v>116</v>
      </c>
      <c r="R170">
        <v>1</v>
      </c>
      <c r="S170" s="41">
        <f t="shared" si="11"/>
        <v>1</v>
      </c>
      <c r="T170" s="41">
        <f t="shared" si="12"/>
        <v>0.5</v>
      </c>
      <c r="U170" s="41">
        <f t="shared" si="14"/>
        <v>70.751604938271626</v>
      </c>
      <c r="W170">
        <v>777.2</v>
      </c>
      <c r="Y170">
        <f t="shared" si="15"/>
        <v>77602</v>
      </c>
      <c r="Z170">
        <f t="shared" si="19"/>
        <v>10095.300000000001</v>
      </c>
      <c r="AA170">
        <v>9.0246352099631633</v>
      </c>
    </row>
    <row r="171" spans="1:27" x14ac:dyDescent="0.25">
      <c r="A171">
        <v>5080</v>
      </c>
      <c r="B171">
        <v>18650</v>
      </c>
      <c r="C171" s="1">
        <v>42749</v>
      </c>
      <c r="D171" s="1"/>
      <c r="E171" s="1"/>
      <c r="F171" s="61"/>
      <c r="G171">
        <v>4</v>
      </c>
      <c r="H171">
        <v>2.7</v>
      </c>
      <c r="I171">
        <v>5.6</v>
      </c>
      <c r="J171" s="14">
        <f t="shared" si="13"/>
        <v>1212.7000000000003</v>
      </c>
      <c r="K171" s="14">
        <f t="shared" si="18"/>
        <v>138.1</v>
      </c>
      <c r="L171" s="1"/>
      <c r="M171">
        <v>0.8</v>
      </c>
      <c r="N171">
        <v>1</v>
      </c>
      <c r="O171" s="14">
        <f t="shared" si="10"/>
        <v>-0.19999999999999996</v>
      </c>
      <c r="P171">
        <f t="shared" si="17"/>
        <v>49.100000000000016</v>
      </c>
      <c r="Q171" s="31">
        <v>117</v>
      </c>
      <c r="R171">
        <v>1</v>
      </c>
      <c r="S171" s="41">
        <f t="shared" si="11"/>
        <v>1</v>
      </c>
      <c r="T171" s="41">
        <f t="shared" si="12"/>
        <v>-0.19999999999999996</v>
      </c>
      <c r="U171" s="41">
        <f t="shared" si="14"/>
        <v>70.551604938271623</v>
      </c>
      <c r="W171">
        <v>517.4</v>
      </c>
      <c r="Y171">
        <f t="shared" si="15"/>
        <v>78119.399999999994</v>
      </c>
      <c r="Z171">
        <f t="shared" si="19"/>
        <v>10612.7</v>
      </c>
      <c r="AA171">
        <v>9.0502504286330048</v>
      </c>
    </row>
    <row r="172" spans="1:27" x14ac:dyDescent="0.25">
      <c r="A172">
        <v>5080</v>
      </c>
      <c r="B172">
        <v>18650</v>
      </c>
      <c r="C172" s="1">
        <v>42750</v>
      </c>
      <c r="D172" s="1"/>
      <c r="E172" s="1"/>
      <c r="F172" s="61"/>
      <c r="G172">
        <v>4.7</v>
      </c>
      <c r="H172">
        <v>2.5</v>
      </c>
      <c r="I172">
        <v>7.5</v>
      </c>
      <c r="J172" s="14">
        <f t="shared" si="13"/>
        <v>1217.4000000000003</v>
      </c>
      <c r="K172" s="14">
        <f t="shared" si="18"/>
        <v>142.79999999999998</v>
      </c>
      <c r="L172" s="1"/>
      <c r="M172">
        <v>3.7</v>
      </c>
      <c r="N172">
        <v>0.8</v>
      </c>
      <c r="O172" s="14">
        <f t="shared" si="10"/>
        <v>2.9000000000000004</v>
      </c>
      <c r="P172">
        <f t="shared" si="17"/>
        <v>52.000000000000014</v>
      </c>
      <c r="Q172" s="31">
        <v>118</v>
      </c>
      <c r="R172">
        <v>1</v>
      </c>
      <c r="S172" s="41">
        <f t="shared" si="11"/>
        <v>0.8</v>
      </c>
      <c r="T172" s="41">
        <f t="shared" si="12"/>
        <v>2.9000000000000004</v>
      </c>
      <c r="U172" s="41">
        <f t="shared" si="14"/>
        <v>73.451604938271629</v>
      </c>
      <c r="W172">
        <v>127</v>
      </c>
      <c r="Y172">
        <f t="shared" si="15"/>
        <v>78246.399999999994</v>
      </c>
      <c r="Z172">
        <f t="shared" si="19"/>
        <v>10739.7</v>
      </c>
      <c r="AA172">
        <v>9.0767830770087414</v>
      </c>
    </row>
    <row r="173" spans="1:27" x14ac:dyDescent="0.25">
      <c r="A173">
        <v>5080</v>
      </c>
      <c r="B173">
        <v>18650</v>
      </c>
      <c r="C173" s="1">
        <v>42751</v>
      </c>
      <c r="D173" s="1"/>
      <c r="E173" s="1"/>
      <c r="F173" s="61"/>
      <c r="G173">
        <v>5.9</v>
      </c>
      <c r="H173">
        <v>4.5999999999999996</v>
      </c>
      <c r="I173">
        <v>8.5</v>
      </c>
      <c r="J173" s="14">
        <f t="shared" si="13"/>
        <v>1223.3000000000004</v>
      </c>
      <c r="K173" s="14">
        <f t="shared" si="18"/>
        <v>148.69999999999999</v>
      </c>
      <c r="L173" s="1"/>
      <c r="M173">
        <v>1.3</v>
      </c>
      <c r="N173">
        <v>1</v>
      </c>
      <c r="O173" s="14">
        <f t="shared" si="10"/>
        <v>0.30000000000000004</v>
      </c>
      <c r="P173">
        <f t="shared" si="17"/>
        <v>52.300000000000011</v>
      </c>
      <c r="Q173" s="31">
        <v>119</v>
      </c>
      <c r="R173">
        <v>1</v>
      </c>
      <c r="S173" s="41">
        <f t="shared" si="11"/>
        <v>1</v>
      </c>
      <c r="T173" s="41">
        <f t="shared" si="12"/>
        <v>0.30000000000000004</v>
      </c>
      <c r="U173" s="41">
        <f t="shared" si="14"/>
        <v>73.751604938271626</v>
      </c>
      <c r="W173">
        <v>260.3</v>
      </c>
      <c r="Y173">
        <f t="shared" si="15"/>
        <v>78506.7</v>
      </c>
      <c r="Z173">
        <f t="shared" si="19"/>
        <v>11000</v>
      </c>
      <c r="AA173">
        <v>9.1042155693486642</v>
      </c>
    </row>
    <row r="174" spans="1:27" x14ac:dyDescent="0.25">
      <c r="A174">
        <v>5080</v>
      </c>
      <c r="B174">
        <v>18650</v>
      </c>
      <c r="C174" s="1">
        <v>42752</v>
      </c>
      <c r="D174" s="1"/>
      <c r="E174" s="1"/>
      <c r="F174" s="61"/>
      <c r="G174">
        <v>0.1</v>
      </c>
      <c r="H174">
        <v>-1.1000000000000001</v>
      </c>
      <c r="I174">
        <v>1.7</v>
      </c>
      <c r="J174" s="14">
        <f t="shared" si="13"/>
        <v>1223.4000000000003</v>
      </c>
      <c r="K174" s="14">
        <f t="shared" si="18"/>
        <v>148.79999999999998</v>
      </c>
      <c r="L174" s="1"/>
      <c r="M174">
        <v>0</v>
      </c>
      <c r="N174">
        <v>1.2</v>
      </c>
      <c r="O174" s="14">
        <f t="shared" si="10"/>
        <v>-1.2</v>
      </c>
      <c r="P174">
        <f t="shared" si="17"/>
        <v>51.100000000000009</v>
      </c>
      <c r="Q174" s="31">
        <v>120</v>
      </c>
      <c r="R174">
        <v>1</v>
      </c>
      <c r="S174" s="41">
        <f t="shared" si="11"/>
        <v>1.2</v>
      </c>
      <c r="T174" s="41">
        <f t="shared" si="12"/>
        <v>-1.2</v>
      </c>
      <c r="U174" s="41">
        <f t="shared" si="14"/>
        <v>72.551604938271623</v>
      </c>
      <c r="W174">
        <v>1055.9000000000001</v>
      </c>
      <c r="Y174">
        <f t="shared" si="15"/>
        <v>79562.599999999991</v>
      </c>
      <c r="Z174">
        <f t="shared" si="19"/>
        <v>12055.9</v>
      </c>
      <c r="AA174">
        <v>9.1325300292344274</v>
      </c>
    </row>
    <row r="175" spans="1:27" x14ac:dyDescent="0.25">
      <c r="A175">
        <v>5080</v>
      </c>
      <c r="B175">
        <v>18650</v>
      </c>
      <c r="C175" s="1">
        <v>42753</v>
      </c>
      <c r="D175" s="1"/>
      <c r="E175" s="1"/>
      <c r="F175" s="61"/>
      <c r="G175">
        <v>-2.4</v>
      </c>
      <c r="H175">
        <v>-4.2</v>
      </c>
      <c r="I175">
        <v>-0.1</v>
      </c>
      <c r="J175" s="14">
        <v>1223.4000000000001</v>
      </c>
      <c r="K175" s="14">
        <v>148.80000000000001</v>
      </c>
      <c r="L175" s="1"/>
      <c r="M175">
        <v>0</v>
      </c>
      <c r="N175">
        <v>0.7</v>
      </c>
      <c r="O175" s="14">
        <f t="shared" si="10"/>
        <v>-0.7</v>
      </c>
      <c r="P175">
        <f t="shared" si="17"/>
        <v>50.400000000000006</v>
      </c>
      <c r="Q175" s="31">
        <v>121</v>
      </c>
      <c r="R175">
        <v>1</v>
      </c>
      <c r="S175" s="41">
        <f t="shared" si="11"/>
        <v>0.7</v>
      </c>
      <c r="T175" s="41">
        <f t="shared" si="12"/>
        <v>-0.7</v>
      </c>
      <c r="U175" s="41">
        <f t="shared" si="14"/>
        <v>71.85160493827162</v>
      </c>
      <c r="W175">
        <v>875.4</v>
      </c>
      <c r="Y175">
        <f t="shared" si="15"/>
        <v>80437.999999999985</v>
      </c>
      <c r="Z175">
        <f t="shared" si="19"/>
        <v>12931.3</v>
      </c>
      <c r="AA175">
        <v>9.161708326242838</v>
      </c>
    </row>
    <row r="176" spans="1:27" x14ac:dyDescent="0.25">
      <c r="A176">
        <v>5080</v>
      </c>
      <c r="B176">
        <v>18650</v>
      </c>
      <c r="C176" s="1">
        <v>42754</v>
      </c>
      <c r="D176" s="1"/>
      <c r="E176" s="1"/>
      <c r="F176" s="61"/>
      <c r="G176">
        <v>-1.9</v>
      </c>
      <c r="H176">
        <v>-4.8</v>
      </c>
      <c r="I176">
        <v>0.8</v>
      </c>
      <c r="J176" s="14">
        <v>1223.4000000000001</v>
      </c>
      <c r="K176" s="14">
        <v>148.80000000000001</v>
      </c>
      <c r="L176" s="1"/>
      <c r="M176">
        <v>0</v>
      </c>
      <c r="N176">
        <v>0.7</v>
      </c>
      <c r="O176" s="14">
        <f t="shared" si="10"/>
        <v>-0.7</v>
      </c>
      <c r="P176">
        <f t="shared" si="17"/>
        <v>49.7</v>
      </c>
      <c r="Q176" s="31">
        <v>122</v>
      </c>
      <c r="R176">
        <v>1</v>
      </c>
      <c r="S176" s="41">
        <f t="shared" si="11"/>
        <v>0.7</v>
      </c>
      <c r="T176" s="41">
        <f t="shared" si="12"/>
        <v>-0.7</v>
      </c>
      <c r="U176" s="41">
        <f t="shared" si="14"/>
        <v>71.151604938271618</v>
      </c>
      <c r="W176">
        <v>947.1</v>
      </c>
      <c r="Y176">
        <f t="shared" si="15"/>
        <v>81385.099999999991</v>
      </c>
      <c r="Z176">
        <f t="shared" si="19"/>
        <v>13878.4</v>
      </c>
      <c r="AA176">
        <v>9.1917321120033382</v>
      </c>
    </row>
    <row r="177" spans="1:28" x14ac:dyDescent="0.25">
      <c r="A177">
        <v>5080</v>
      </c>
      <c r="B177">
        <v>18650</v>
      </c>
      <c r="C177" s="1">
        <v>42755</v>
      </c>
      <c r="D177" s="1"/>
      <c r="E177" s="1"/>
      <c r="F177" s="61"/>
      <c r="G177">
        <v>1.1000000000000001</v>
      </c>
      <c r="H177">
        <v>-4</v>
      </c>
      <c r="I177">
        <v>5.4</v>
      </c>
      <c r="J177" s="14">
        <f t="shared" si="13"/>
        <v>1224.5</v>
      </c>
      <c r="K177" s="14">
        <f t="shared" si="18"/>
        <v>149.9</v>
      </c>
      <c r="L177" s="1"/>
      <c r="M177">
        <v>0</v>
      </c>
      <c r="N177">
        <v>0.7</v>
      </c>
      <c r="O177" s="14">
        <f t="shared" si="10"/>
        <v>-0.7</v>
      </c>
      <c r="P177">
        <f t="shared" si="17"/>
        <v>49</v>
      </c>
      <c r="Q177" s="31">
        <v>123</v>
      </c>
      <c r="R177">
        <v>1</v>
      </c>
      <c r="S177" s="41">
        <f t="shared" si="11"/>
        <v>0.7</v>
      </c>
      <c r="T177" s="41">
        <f t="shared" si="12"/>
        <v>-0.7</v>
      </c>
      <c r="U177" s="41">
        <f t="shared" si="14"/>
        <v>70.451604938271615</v>
      </c>
      <c r="W177">
        <v>810.2</v>
      </c>
      <c r="Y177">
        <f t="shared" si="15"/>
        <v>82195.299999999988</v>
      </c>
      <c r="Z177">
        <f t="shared" si="19"/>
        <v>14688.6</v>
      </c>
      <c r="AA177">
        <v>9.2225828555220701</v>
      </c>
    </row>
    <row r="178" spans="1:28" x14ac:dyDescent="0.25">
      <c r="A178">
        <v>5080</v>
      </c>
      <c r="B178">
        <v>18650</v>
      </c>
      <c r="C178" s="1">
        <v>42756</v>
      </c>
      <c r="D178" s="1"/>
      <c r="E178" s="1"/>
      <c r="F178" s="61"/>
      <c r="G178">
        <v>3.5</v>
      </c>
      <c r="H178">
        <v>-1</v>
      </c>
      <c r="I178">
        <v>7.9</v>
      </c>
      <c r="J178" s="14">
        <f t="shared" si="13"/>
        <v>1228</v>
      </c>
      <c r="K178" s="14">
        <f t="shared" si="18"/>
        <v>153.4</v>
      </c>
      <c r="L178" s="1"/>
      <c r="M178">
        <v>0</v>
      </c>
      <c r="N178">
        <v>1.1000000000000001</v>
      </c>
      <c r="O178" s="14">
        <f t="shared" si="10"/>
        <v>-1.1000000000000001</v>
      </c>
      <c r="P178">
        <f t="shared" si="17"/>
        <v>47.9</v>
      </c>
      <c r="Q178" s="31">
        <v>124</v>
      </c>
      <c r="R178">
        <v>1</v>
      </c>
      <c r="S178" s="41">
        <f t="shared" si="11"/>
        <v>1.1000000000000001</v>
      </c>
      <c r="T178" s="41">
        <f t="shared" si="12"/>
        <v>-1.1000000000000001</v>
      </c>
      <c r="U178" s="41">
        <f t="shared" si="14"/>
        <v>69.35160493827162</v>
      </c>
      <c r="W178">
        <v>936.5</v>
      </c>
      <c r="Y178">
        <f t="shared" si="15"/>
        <v>83131.799999999988</v>
      </c>
      <c r="Z178">
        <f t="shared" si="19"/>
        <v>15625.1</v>
      </c>
      <c r="AA178">
        <v>9.2542418776629596</v>
      </c>
    </row>
    <row r="179" spans="1:28" x14ac:dyDescent="0.25">
      <c r="A179">
        <v>5080</v>
      </c>
      <c r="B179">
        <v>18650</v>
      </c>
      <c r="C179" s="1">
        <v>42757</v>
      </c>
      <c r="D179" s="1"/>
      <c r="E179" s="1"/>
      <c r="F179" s="61"/>
      <c r="G179">
        <v>3.1</v>
      </c>
      <c r="H179">
        <v>-1</v>
      </c>
      <c r="I179">
        <v>6.4</v>
      </c>
      <c r="J179" s="14">
        <f t="shared" si="13"/>
        <v>1231.0999999999999</v>
      </c>
      <c r="K179" s="14">
        <f t="shared" si="18"/>
        <v>156.5</v>
      </c>
      <c r="L179" s="1"/>
      <c r="M179">
        <v>0.5</v>
      </c>
      <c r="N179">
        <v>0.3</v>
      </c>
      <c r="O179" s="14">
        <f t="shared" si="10"/>
        <v>0.2</v>
      </c>
      <c r="P179">
        <f t="shared" si="17"/>
        <v>48.1</v>
      </c>
      <c r="Q179" s="31">
        <v>125</v>
      </c>
      <c r="R179">
        <v>1</v>
      </c>
      <c r="S179" s="41">
        <f t="shared" si="11"/>
        <v>0.3</v>
      </c>
      <c r="T179" s="41">
        <f t="shared" si="12"/>
        <v>0.2</v>
      </c>
      <c r="U179" s="41">
        <f t="shared" si="14"/>
        <v>69.551604938271623</v>
      </c>
      <c r="W179">
        <v>234.1</v>
      </c>
      <c r="Y179">
        <f t="shared" si="15"/>
        <v>83365.899999999994</v>
      </c>
      <c r="Z179">
        <f t="shared" si="19"/>
        <v>15859.2</v>
      </c>
      <c r="AA179">
        <v>9.2866903846859135</v>
      </c>
    </row>
    <row r="180" spans="1:28" x14ac:dyDescent="0.25">
      <c r="A180">
        <v>5080</v>
      </c>
      <c r="B180">
        <v>18650</v>
      </c>
      <c r="C180" s="1">
        <v>42758</v>
      </c>
      <c r="D180" s="1"/>
      <c r="E180" s="1"/>
      <c r="F180" s="61"/>
      <c r="G180">
        <v>5.3</v>
      </c>
      <c r="H180">
        <v>3.5</v>
      </c>
      <c r="I180">
        <v>7.9</v>
      </c>
      <c r="J180" s="14">
        <f t="shared" si="13"/>
        <v>1236.3999999999999</v>
      </c>
      <c r="K180" s="14">
        <f t="shared" si="18"/>
        <v>161.80000000000001</v>
      </c>
      <c r="L180" s="1"/>
      <c r="M180">
        <v>0</v>
      </c>
      <c r="N180">
        <v>0.7</v>
      </c>
      <c r="O180" s="14">
        <f t="shared" si="10"/>
        <v>-0.7</v>
      </c>
      <c r="P180">
        <f t="shared" si="17"/>
        <v>47.4</v>
      </c>
      <c r="Q180" s="31">
        <v>126</v>
      </c>
      <c r="R180">
        <v>1</v>
      </c>
      <c r="S180" s="41">
        <f t="shared" si="11"/>
        <v>0.7</v>
      </c>
      <c r="T180" s="41">
        <f t="shared" si="12"/>
        <v>-0.7</v>
      </c>
      <c r="U180" s="41">
        <f t="shared" si="14"/>
        <v>68.85160493827162</v>
      </c>
      <c r="W180">
        <v>627.70000000000005</v>
      </c>
      <c r="Y180">
        <f t="shared" si="15"/>
        <v>83993.599999999991</v>
      </c>
      <c r="Z180">
        <f t="shared" si="19"/>
        <v>16486.900000000001</v>
      </c>
      <c r="AA180">
        <v>9.3199095007521446</v>
      </c>
    </row>
    <row r="181" spans="1:28" x14ac:dyDescent="0.25">
      <c r="A181">
        <v>5080</v>
      </c>
      <c r="B181">
        <v>18650</v>
      </c>
      <c r="C181" s="1">
        <v>42759</v>
      </c>
      <c r="D181" s="1"/>
      <c r="E181" s="1"/>
      <c r="F181" s="61"/>
      <c r="G181">
        <v>2.2000000000000002</v>
      </c>
      <c r="H181">
        <v>0.5</v>
      </c>
      <c r="I181">
        <v>3.8</v>
      </c>
      <c r="J181" s="14">
        <f t="shared" si="13"/>
        <v>1238.5999999999999</v>
      </c>
      <c r="K181" s="14">
        <f t="shared" si="18"/>
        <v>164</v>
      </c>
      <c r="L181" s="1"/>
      <c r="M181">
        <v>0</v>
      </c>
      <c r="N181">
        <v>1.1000000000000001</v>
      </c>
      <c r="O181" s="14">
        <f t="shared" si="10"/>
        <v>-1.1000000000000001</v>
      </c>
      <c r="P181">
        <f t="shared" si="17"/>
        <v>46.3</v>
      </c>
      <c r="Q181" s="31">
        <v>127</v>
      </c>
      <c r="R181">
        <v>1</v>
      </c>
      <c r="S181" s="41">
        <f t="shared" si="11"/>
        <v>1.1000000000000001</v>
      </c>
      <c r="T181" s="41">
        <f t="shared" si="12"/>
        <v>-1.1000000000000001</v>
      </c>
      <c r="U181" s="41">
        <f t="shared" si="14"/>
        <v>67.751604938271626</v>
      </c>
      <c r="W181">
        <v>1082.8</v>
      </c>
      <c r="Y181">
        <f t="shared" si="15"/>
        <v>85076.4</v>
      </c>
      <c r="Z181">
        <f t="shared" si="19"/>
        <v>17569.7</v>
      </c>
      <c r="AA181">
        <v>9.353880299316355</v>
      </c>
    </row>
    <row r="182" spans="1:28" x14ac:dyDescent="0.25">
      <c r="A182">
        <v>5080</v>
      </c>
      <c r="B182">
        <v>18650</v>
      </c>
      <c r="C182" s="1">
        <v>42760</v>
      </c>
      <c r="D182" s="1"/>
      <c r="E182" s="1"/>
      <c r="F182" s="61"/>
      <c r="G182">
        <v>-1</v>
      </c>
      <c r="H182">
        <v>-2.1</v>
      </c>
      <c r="I182">
        <v>1</v>
      </c>
      <c r="J182" s="14">
        <v>1238.5999999999999</v>
      </c>
      <c r="K182" s="14">
        <v>164</v>
      </c>
      <c r="L182" s="1"/>
      <c r="M182">
        <v>0</v>
      </c>
      <c r="N182">
        <v>0.4</v>
      </c>
      <c r="O182" s="14">
        <f t="shared" si="10"/>
        <v>-0.4</v>
      </c>
      <c r="P182">
        <f t="shared" si="17"/>
        <v>45.9</v>
      </c>
      <c r="Q182" s="31">
        <v>128</v>
      </c>
      <c r="R182">
        <v>1</v>
      </c>
      <c r="S182" s="41">
        <f t="shared" si="11"/>
        <v>0.4</v>
      </c>
      <c r="T182" s="41">
        <f t="shared" si="12"/>
        <v>-0.4</v>
      </c>
      <c r="U182" s="41">
        <f t="shared" si="14"/>
        <v>67.35160493827162</v>
      </c>
      <c r="W182">
        <v>423.6</v>
      </c>
      <c r="Y182">
        <f t="shared" si="15"/>
        <v>85500</v>
      </c>
      <c r="Z182">
        <f t="shared" si="19"/>
        <v>17993.3</v>
      </c>
      <c r="AA182">
        <v>9.3885838333353853</v>
      </c>
    </row>
    <row r="183" spans="1:28" s="42" customFormat="1" ht="15.75" thickBot="1" x14ac:dyDescent="0.3">
      <c r="A183" s="42">
        <v>5080</v>
      </c>
      <c r="B183" s="42">
        <v>18650</v>
      </c>
      <c r="C183" s="43">
        <v>42761</v>
      </c>
      <c r="D183" s="43"/>
      <c r="E183" s="43"/>
      <c r="F183" s="61"/>
      <c r="G183" s="42">
        <v>1.5</v>
      </c>
      <c r="H183" s="42">
        <v>-4.3</v>
      </c>
      <c r="I183" s="42">
        <v>7.4</v>
      </c>
      <c r="J183" s="44">
        <f t="shared" si="13"/>
        <v>1240.0999999999999</v>
      </c>
      <c r="K183" s="44">
        <f t="shared" si="18"/>
        <v>165.5</v>
      </c>
      <c r="L183" s="43"/>
      <c r="M183" s="42">
        <v>0</v>
      </c>
      <c r="N183" s="42">
        <v>0.6</v>
      </c>
      <c r="O183" s="44">
        <f t="shared" si="10"/>
        <v>-0.6</v>
      </c>
      <c r="P183" s="42">
        <f t="shared" si="17"/>
        <v>45.3</v>
      </c>
      <c r="Q183" s="42">
        <v>129</v>
      </c>
      <c r="R183" s="42">
        <v>1</v>
      </c>
      <c r="S183" s="45">
        <f t="shared" si="11"/>
        <v>0.6</v>
      </c>
      <c r="T183" s="45">
        <f t="shared" si="12"/>
        <v>-0.6</v>
      </c>
      <c r="U183" s="41">
        <f t="shared" si="14"/>
        <v>66.751604938271626</v>
      </c>
      <c r="W183" s="42">
        <v>628.29999999999995</v>
      </c>
      <c r="Y183" s="42">
        <f t="shared" si="15"/>
        <v>86128.3</v>
      </c>
      <c r="Z183" s="42">
        <f t="shared" si="19"/>
        <v>18621.599999999999</v>
      </c>
      <c r="AA183" s="42">
        <v>9.4240011642324539</v>
      </c>
    </row>
    <row r="184" spans="1:28" ht="15" customHeight="1" x14ac:dyDescent="0.25">
      <c r="A184">
        <v>5080</v>
      </c>
      <c r="B184">
        <v>18650</v>
      </c>
      <c r="C184" s="1">
        <v>42762</v>
      </c>
      <c r="D184" s="1"/>
      <c r="F184" s="64" t="s">
        <v>48</v>
      </c>
      <c r="G184">
        <v>8.8000000000000007</v>
      </c>
      <c r="H184">
        <v>3.2</v>
      </c>
      <c r="I184">
        <v>11.5</v>
      </c>
      <c r="J184" s="14">
        <f t="shared" si="13"/>
        <v>1248.8999999999999</v>
      </c>
      <c r="K184" s="14">
        <f>G184</f>
        <v>8.8000000000000007</v>
      </c>
      <c r="L184" s="24" t="s">
        <v>37</v>
      </c>
      <c r="M184">
        <v>0.1</v>
      </c>
      <c r="N184">
        <v>1.3</v>
      </c>
      <c r="O184" s="14">
        <f t="shared" ref="O184:O247" si="20">M184-N184</f>
        <v>-1.2</v>
      </c>
      <c r="P184">
        <f t="shared" si="17"/>
        <v>44.099999999999994</v>
      </c>
      <c r="Q184" s="31">
        <v>130</v>
      </c>
      <c r="R184">
        <f>1+((Q184-129)/50)*(1.15-1)</f>
        <v>1.0029999999999999</v>
      </c>
      <c r="S184" s="41">
        <f t="shared" ref="S184:S247" si="21">R184*N184</f>
        <v>1.3038999999999998</v>
      </c>
      <c r="T184" s="41">
        <f t="shared" ref="T184:T247" si="22">M184-S184</f>
        <v>-1.2038999999999997</v>
      </c>
      <c r="U184" s="41">
        <f t="shared" si="14"/>
        <v>65.547704938271622</v>
      </c>
      <c r="V184" s="34" t="s">
        <v>50</v>
      </c>
      <c r="W184">
        <v>335.9</v>
      </c>
      <c r="Y184">
        <f t="shared" si="15"/>
        <v>86464.2</v>
      </c>
      <c r="Z184">
        <f>W184</f>
        <v>335.9</v>
      </c>
      <c r="AA184">
        <v>9.4601133895654801</v>
      </c>
      <c r="AB184" s="34" t="s">
        <v>56</v>
      </c>
    </row>
    <row r="185" spans="1:28" x14ac:dyDescent="0.25">
      <c r="A185">
        <v>5080</v>
      </c>
      <c r="B185">
        <v>18650</v>
      </c>
      <c r="C185" s="1">
        <v>42763</v>
      </c>
      <c r="D185" s="1"/>
      <c r="E185" s="16"/>
      <c r="F185" s="64"/>
      <c r="G185">
        <v>7.3</v>
      </c>
      <c r="H185">
        <v>7</v>
      </c>
      <c r="I185">
        <v>10.3</v>
      </c>
      <c r="J185" s="14">
        <f t="shared" ref="J185:J248" si="23">J184+G185</f>
        <v>1256.1999999999998</v>
      </c>
      <c r="K185" s="14">
        <f t="shared" si="18"/>
        <v>16.100000000000001</v>
      </c>
      <c r="L185" s="8">
        <v>482</v>
      </c>
      <c r="M185">
        <v>0</v>
      </c>
      <c r="N185">
        <v>1.1000000000000001</v>
      </c>
      <c r="O185" s="14">
        <f t="shared" si="20"/>
        <v>-1.1000000000000001</v>
      </c>
      <c r="P185">
        <f t="shared" si="17"/>
        <v>42.999999999999993</v>
      </c>
      <c r="Q185" s="31">
        <v>131</v>
      </c>
      <c r="R185">
        <f>1+((Q185-129)/50)*(1.15-1)</f>
        <v>1.006</v>
      </c>
      <c r="S185" s="41">
        <f t="shared" si="21"/>
        <v>1.1066</v>
      </c>
      <c r="T185" s="41">
        <f t="shared" si="22"/>
        <v>-1.1066</v>
      </c>
      <c r="U185" s="41">
        <f t="shared" si="14"/>
        <v>64.441104938271621</v>
      </c>
      <c r="V185">
        <v>0</v>
      </c>
      <c r="W185">
        <v>652.70000000000005</v>
      </c>
      <c r="Y185">
        <f t="shared" ref="Y185:Y248" si="24">Y184+W185</f>
        <v>87116.9</v>
      </c>
      <c r="Z185">
        <f>Z184+W185</f>
        <v>988.6</v>
      </c>
      <c r="AA185">
        <v>9.4969016693570847</v>
      </c>
      <c r="AB185">
        <v>43211.9</v>
      </c>
    </row>
    <row r="186" spans="1:28" x14ac:dyDescent="0.25">
      <c r="A186">
        <v>5080</v>
      </c>
      <c r="B186">
        <v>18650</v>
      </c>
      <c r="C186" s="1">
        <v>42764</v>
      </c>
      <c r="D186" s="1"/>
      <c r="E186" s="16"/>
      <c r="F186" s="64"/>
      <c r="G186">
        <v>7.2</v>
      </c>
      <c r="H186">
        <v>2.2000000000000002</v>
      </c>
      <c r="I186">
        <v>11.3</v>
      </c>
      <c r="J186" s="14">
        <f t="shared" si="23"/>
        <v>1263.3999999999999</v>
      </c>
      <c r="K186" s="14">
        <f t="shared" si="18"/>
        <v>23.3</v>
      </c>
      <c r="L186" s="24" t="s">
        <v>38</v>
      </c>
      <c r="M186">
        <v>0.1</v>
      </c>
      <c r="N186">
        <v>1.3</v>
      </c>
      <c r="O186" s="14">
        <f t="shared" si="20"/>
        <v>-1.2</v>
      </c>
      <c r="P186">
        <f t="shared" si="17"/>
        <v>41.79999999999999</v>
      </c>
      <c r="Q186" s="31">
        <v>132</v>
      </c>
      <c r="R186">
        <f>1+((Q186-129)/50)*(1.15-1)</f>
        <v>1.0089999999999999</v>
      </c>
      <c r="S186" s="41">
        <f t="shared" si="21"/>
        <v>1.3116999999999999</v>
      </c>
      <c r="T186" s="41">
        <f t="shared" si="22"/>
        <v>-1.2116999999999998</v>
      </c>
      <c r="U186" s="41">
        <f t="shared" ref="U186:U249" si="25">MIN(U185+T186,157.8)</f>
        <v>63.229404938271621</v>
      </c>
      <c r="V186" s="34" t="s">
        <v>51</v>
      </c>
      <c r="W186">
        <v>914.2</v>
      </c>
      <c r="Y186">
        <f t="shared" si="24"/>
        <v>88031.099999999991</v>
      </c>
      <c r="Z186">
        <f t="shared" ref="Z186:Z233" si="26">Z185+W186</f>
        <v>1902.8000000000002</v>
      </c>
      <c r="AA186">
        <v>9.5343472510525782</v>
      </c>
      <c r="AB186" s="34" t="s">
        <v>57</v>
      </c>
    </row>
    <row r="187" spans="1:28" x14ac:dyDescent="0.25">
      <c r="A187">
        <v>5080</v>
      </c>
      <c r="B187">
        <v>18650</v>
      </c>
      <c r="C187" s="1">
        <v>42765</v>
      </c>
      <c r="D187" s="1"/>
      <c r="E187" s="16"/>
      <c r="F187" s="64"/>
      <c r="G187">
        <v>9.6</v>
      </c>
      <c r="H187">
        <v>7.6</v>
      </c>
      <c r="I187">
        <v>11.2</v>
      </c>
      <c r="J187" s="14">
        <f t="shared" si="23"/>
        <v>1272.9999999999998</v>
      </c>
      <c r="K187" s="14">
        <f t="shared" si="18"/>
        <v>32.9</v>
      </c>
      <c r="L187" s="8">
        <f>AVERAGE(G184:G233)</f>
        <v>9.6399999999999988</v>
      </c>
      <c r="M187">
        <v>0.1</v>
      </c>
      <c r="N187">
        <v>0.8</v>
      </c>
      <c r="O187" s="14">
        <f t="shared" si="20"/>
        <v>-0.70000000000000007</v>
      </c>
      <c r="P187">
        <f t="shared" si="17"/>
        <v>41.099999999999987</v>
      </c>
      <c r="Q187" s="31">
        <v>133</v>
      </c>
      <c r="R187">
        <f>1+((Q187-129)/50)*(1.15-1)</f>
        <v>1.012</v>
      </c>
      <c r="S187" s="41">
        <f t="shared" si="21"/>
        <v>0.8096000000000001</v>
      </c>
      <c r="T187" s="41">
        <f t="shared" si="22"/>
        <v>-0.70960000000000012</v>
      </c>
      <c r="U187" s="41">
        <f t="shared" si="25"/>
        <v>62.519804938271619</v>
      </c>
      <c r="V187">
        <v>0</v>
      </c>
      <c r="W187">
        <v>414.4</v>
      </c>
      <c r="Y187">
        <f t="shared" si="24"/>
        <v>88445.499999999985</v>
      </c>
      <c r="Z187">
        <f t="shared" si="26"/>
        <v>2317.2000000000003</v>
      </c>
      <c r="AA187">
        <v>9.5724314930805061</v>
      </c>
      <c r="AB187">
        <f>(AB185/100)/L185</f>
        <v>0.89651244813278019</v>
      </c>
    </row>
    <row r="188" spans="1:28" x14ac:dyDescent="0.25">
      <c r="A188">
        <v>5080</v>
      </c>
      <c r="B188">
        <v>18650</v>
      </c>
      <c r="C188" s="1">
        <v>42766</v>
      </c>
      <c r="D188" s="1"/>
      <c r="E188" s="16"/>
      <c r="F188" s="64"/>
      <c r="G188">
        <v>10.3</v>
      </c>
      <c r="H188">
        <v>8</v>
      </c>
      <c r="I188">
        <v>13</v>
      </c>
      <c r="J188" s="14">
        <f t="shared" si="23"/>
        <v>1283.2999999999997</v>
      </c>
      <c r="K188" s="14">
        <f t="shared" si="18"/>
        <v>43.2</v>
      </c>
      <c r="L188" s="24" t="s">
        <v>39</v>
      </c>
      <c r="M188">
        <v>0.1</v>
      </c>
      <c r="N188">
        <v>1.7</v>
      </c>
      <c r="O188" s="14">
        <f t="shared" si="20"/>
        <v>-1.5999999999999999</v>
      </c>
      <c r="P188">
        <f t="shared" si="17"/>
        <v>39.499999999999986</v>
      </c>
      <c r="Q188" s="31">
        <v>134</v>
      </c>
      <c r="R188">
        <f>1+((Q188-129)/50)*(1.15-1)</f>
        <v>1.0149999999999999</v>
      </c>
      <c r="S188" s="41">
        <f t="shared" si="21"/>
        <v>1.7254999999999998</v>
      </c>
      <c r="T188" s="41">
        <f t="shared" si="22"/>
        <v>-1.6254999999999997</v>
      </c>
      <c r="U188" s="41">
        <f t="shared" si="25"/>
        <v>60.894304938271617</v>
      </c>
      <c r="V188" s="34" t="s">
        <v>52</v>
      </c>
      <c r="W188">
        <v>841.2</v>
      </c>
      <c r="Y188">
        <f t="shared" si="24"/>
        <v>89286.699999999983</v>
      </c>
      <c r="Z188">
        <f t="shared" si="26"/>
        <v>3158.4000000000005</v>
      </c>
      <c r="AA188">
        <v>9.6111358869982944</v>
      </c>
      <c r="AB188" s="34" t="s">
        <v>58</v>
      </c>
    </row>
    <row r="189" spans="1:28" x14ac:dyDescent="0.25">
      <c r="A189">
        <v>5080</v>
      </c>
      <c r="B189">
        <v>18650</v>
      </c>
      <c r="C189" s="1">
        <v>42767</v>
      </c>
      <c r="D189" s="1"/>
      <c r="E189" s="16"/>
      <c r="F189" s="64"/>
      <c r="G189">
        <v>11.8</v>
      </c>
      <c r="H189">
        <v>10.3</v>
      </c>
      <c r="I189">
        <v>15.4</v>
      </c>
      <c r="J189" s="14">
        <f t="shared" si="23"/>
        <v>1295.0999999999997</v>
      </c>
      <c r="K189" s="14">
        <f t="shared" si="18"/>
        <v>55</v>
      </c>
      <c r="L189" s="9">
        <f>MIN(H184:H233)</f>
        <v>0.5</v>
      </c>
      <c r="M189">
        <v>0</v>
      </c>
      <c r="N189">
        <v>1.9</v>
      </c>
      <c r="O189" s="14">
        <f t="shared" si="20"/>
        <v>-1.9</v>
      </c>
      <c r="P189">
        <f t="shared" si="17"/>
        <v>37.599999999999987</v>
      </c>
      <c r="Q189" s="31">
        <v>135</v>
      </c>
      <c r="R189">
        <f t="shared" ref="R189:R233" si="27">1+((Q189-129)/50)*(1.15-1)</f>
        <v>1.018</v>
      </c>
      <c r="S189" s="41">
        <f t="shared" si="21"/>
        <v>1.9341999999999999</v>
      </c>
      <c r="T189" s="41">
        <f t="shared" si="22"/>
        <v>-1.9341999999999999</v>
      </c>
      <c r="U189" s="41">
        <f t="shared" si="25"/>
        <v>58.96010493827162</v>
      </c>
      <c r="V189" s="41">
        <f>MIN(U184:U233)</f>
        <v>58.96010493827162</v>
      </c>
      <c r="W189">
        <v>464.4</v>
      </c>
      <c r="Y189">
        <f t="shared" si="24"/>
        <v>89751.099999999977</v>
      </c>
      <c r="Z189">
        <f t="shared" si="26"/>
        <v>3622.8000000000006</v>
      </c>
      <c r="AA189">
        <v>9.6504420782129223</v>
      </c>
      <c r="AB189">
        <v>32</v>
      </c>
    </row>
    <row r="190" spans="1:28" x14ac:dyDescent="0.25">
      <c r="A190">
        <v>5080</v>
      </c>
      <c r="B190">
        <v>18650</v>
      </c>
      <c r="C190" s="1">
        <v>42768</v>
      </c>
      <c r="D190" s="1"/>
      <c r="E190" s="16"/>
      <c r="F190" s="64"/>
      <c r="G190">
        <v>10.5</v>
      </c>
      <c r="H190">
        <v>9.6</v>
      </c>
      <c r="I190">
        <v>13</v>
      </c>
      <c r="J190" s="14">
        <f t="shared" si="23"/>
        <v>1305.5999999999997</v>
      </c>
      <c r="K190" s="14">
        <f t="shared" si="18"/>
        <v>65.5</v>
      </c>
      <c r="L190" s="24" t="s">
        <v>40</v>
      </c>
      <c r="M190">
        <v>2.1</v>
      </c>
      <c r="N190">
        <v>1.4</v>
      </c>
      <c r="O190" s="14">
        <f t="shared" si="20"/>
        <v>0.70000000000000018</v>
      </c>
      <c r="P190">
        <f t="shared" si="17"/>
        <v>38.29999999999999</v>
      </c>
      <c r="Q190" s="31">
        <v>136</v>
      </c>
      <c r="R190">
        <f t="shared" si="27"/>
        <v>1.0209999999999999</v>
      </c>
      <c r="S190" s="41">
        <f t="shared" si="21"/>
        <v>1.4293999999999998</v>
      </c>
      <c r="T190" s="41">
        <f t="shared" si="22"/>
        <v>0.67060000000000031</v>
      </c>
      <c r="U190" s="41">
        <f t="shared" si="25"/>
        <v>59.63070493827162</v>
      </c>
      <c r="V190" s="34" t="s">
        <v>53</v>
      </c>
      <c r="W190">
        <v>217.9</v>
      </c>
      <c r="Y190">
        <f t="shared" si="24"/>
        <v>89968.999999999971</v>
      </c>
      <c r="Z190">
        <f t="shared" si="26"/>
        <v>3840.7000000000007</v>
      </c>
      <c r="AA190">
        <v>9.6903318852734728</v>
      </c>
    </row>
    <row r="191" spans="1:28" x14ac:dyDescent="0.25">
      <c r="A191">
        <v>5080</v>
      </c>
      <c r="B191">
        <v>18650</v>
      </c>
      <c r="C191" s="1">
        <v>42769</v>
      </c>
      <c r="D191" s="1"/>
      <c r="E191" s="16"/>
      <c r="F191" s="64"/>
      <c r="G191">
        <v>8.1</v>
      </c>
      <c r="H191">
        <v>4.5999999999999996</v>
      </c>
      <c r="I191">
        <v>12.6</v>
      </c>
      <c r="J191" s="14">
        <f t="shared" si="23"/>
        <v>1313.6999999999996</v>
      </c>
      <c r="K191" s="14">
        <f t="shared" si="18"/>
        <v>73.599999999999994</v>
      </c>
      <c r="L191" s="8">
        <f>MAX(I184:I233)</f>
        <v>19.3</v>
      </c>
      <c r="M191">
        <v>6.2</v>
      </c>
      <c r="N191">
        <v>1.2</v>
      </c>
      <c r="O191" s="14">
        <f t="shared" si="20"/>
        <v>5</v>
      </c>
      <c r="P191">
        <f t="shared" si="17"/>
        <v>43.29999999999999</v>
      </c>
      <c r="Q191" s="31">
        <v>137</v>
      </c>
      <c r="R191">
        <f t="shared" si="27"/>
        <v>1.024</v>
      </c>
      <c r="S191" s="41">
        <f t="shared" si="21"/>
        <v>1.2287999999999999</v>
      </c>
      <c r="T191" s="41">
        <f t="shared" si="22"/>
        <v>4.9712000000000005</v>
      </c>
      <c r="U191" s="41">
        <f t="shared" si="25"/>
        <v>64.601904938271616</v>
      </c>
      <c r="V191" s="41">
        <f>MAX(U184:U233)</f>
        <v>106.41590493827164</v>
      </c>
      <c r="W191">
        <v>560.20000000000005</v>
      </c>
      <c r="Y191">
        <f t="shared" si="24"/>
        <v>90529.199999999968</v>
      </c>
      <c r="Z191">
        <f t="shared" si="26"/>
        <v>4400.9000000000005</v>
      </c>
      <c r="AA191">
        <v>9.7307873177388764</v>
      </c>
    </row>
    <row r="192" spans="1:28" x14ac:dyDescent="0.25">
      <c r="A192">
        <v>5080</v>
      </c>
      <c r="B192">
        <v>18650</v>
      </c>
      <c r="C192" s="1">
        <v>42770</v>
      </c>
      <c r="D192" s="1"/>
      <c r="E192" s="16"/>
      <c r="F192" s="64"/>
      <c r="G192">
        <v>9.9</v>
      </c>
      <c r="H192">
        <v>7.4</v>
      </c>
      <c r="I192">
        <v>12</v>
      </c>
      <c r="J192" s="14">
        <f t="shared" si="23"/>
        <v>1323.5999999999997</v>
      </c>
      <c r="K192" s="14">
        <f t="shared" si="18"/>
        <v>83.5</v>
      </c>
      <c r="L192" s="24" t="s">
        <v>41</v>
      </c>
      <c r="M192">
        <v>19.100000000000001</v>
      </c>
      <c r="N192">
        <v>1.5</v>
      </c>
      <c r="O192" s="14">
        <f t="shared" si="20"/>
        <v>17.600000000000001</v>
      </c>
      <c r="P192">
        <f t="shared" si="17"/>
        <v>60.899999999999991</v>
      </c>
      <c r="Q192" s="31">
        <v>138</v>
      </c>
      <c r="R192">
        <f t="shared" si="27"/>
        <v>1.0269999999999999</v>
      </c>
      <c r="S192" s="41">
        <f t="shared" si="21"/>
        <v>1.5404999999999998</v>
      </c>
      <c r="T192" s="41">
        <f t="shared" si="22"/>
        <v>17.5595</v>
      </c>
      <c r="U192" s="41">
        <f t="shared" si="25"/>
        <v>82.161404938271616</v>
      </c>
      <c r="V192" s="34" t="s">
        <v>54</v>
      </c>
      <c r="W192">
        <v>638.1</v>
      </c>
      <c r="Y192">
        <f t="shared" si="24"/>
        <v>91167.299999999974</v>
      </c>
      <c r="Z192">
        <f t="shared" si="26"/>
        <v>5039.0000000000009</v>
      </c>
      <c r="AA192">
        <v>9.7717905926300936</v>
      </c>
    </row>
    <row r="193" spans="1:29" x14ac:dyDescent="0.25">
      <c r="A193">
        <v>5080</v>
      </c>
      <c r="B193">
        <v>18650</v>
      </c>
      <c r="C193" s="1">
        <v>42771</v>
      </c>
      <c r="D193" s="1"/>
      <c r="E193" s="16"/>
      <c r="F193" s="64"/>
      <c r="G193">
        <v>7.9</v>
      </c>
      <c r="H193">
        <v>7.9</v>
      </c>
      <c r="I193">
        <v>8.4</v>
      </c>
      <c r="J193" s="14">
        <f t="shared" si="23"/>
        <v>1331.4999999999998</v>
      </c>
      <c r="K193" s="14">
        <f t="shared" si="18"/>
        <v>91.4</v>
      </c>
      <c r="L193" s="8">
        <v>0</v>
      </c>
      <c r="M193">
        <v>7.1</v>
      </c>
      <c r="N193">
        <v>1.1000000000000001</v>
      </c>
      <c r="O193" s="14">
        <f t="shared" si="20"/>
        <v>6</v>
      </c>
      <c r="P193">
        <f t="shared" si="17"/>
        <v>66.899999999999991</v>
      </c>
      <c r="Q193" s="31">
        <v>139</v>
      </c>
      <c r="R193">
        <f t="shared" si="27"/>
        <v>1.03</v>
      </c>
      <c r="S193" s="41">
        <f t="shared" si="21"/>
        <v>1.1330000000000002</v>
      </c>
      <c r="T193" s="41">
        <f t="shared" si="22"/>
        <v>5.9669999999999996</v>
      </c>
      <c r="U193" s="41">
        <f t="shared" si="25"/>
        <v>88.128404938271615</v>
      </c>
      <c r="V193" s="41">
        <f>AVERAGE(U184:U233)</f>
        <v>82.054196938271616</v>
      </c>
      <c r="W193">
        <v>225.3</v>
      </c>
      <c r="Y193">
        <f t="shared" si="24"/>
        <v>91392.599999999977</v>
      </c>
      <c r="Z193">
        <f t="shared" si="26"/>
        <v>5264.3000000000011</v>
      </c>
      <c r="AA193">
        <v>9.8133241494813728</v>
      </c>
    </row>
    <row r="194" spans="1:29" x14ac:dyDescent="0.25">
      <c r="A194">
        <v>5080</v>
      </c>
      <c r="B194">
        <v>18650</v>
      </c>
      <c r="C194" s="1">
        <v>42772</v>
      </c>
      <c r="D194" s="1"/>
      <c r="E194" s="16"/>
      <c r="F194" s="64"/>
      <c r="G194">
        <v>7.3</v>
      </c>
      <c r="H194">
        <v>5.7</v>
      </c>
      <c r="I194">
        <v>8.6</v>
      </c>
      <c r="J194" s="14">
        <f t="shared" si="23"/>
        <v>1338.7999999999997</v>
      </c>
      <c r="K194" s="14">
        <f t="shared" si="18"/>
        <v>98.7</v>
      </c>
      <c r="L194" s="24" t="s">
        <v>42</v>
      </c>
      <c r="M194">
        <v>3.4</v>
      </c>
      <c r="N194">
        <v>1.3</v>
      </c>
      <c r="O194" s="14">
        <f t="shared" si="20"/>
        <v>2.0999999999999996</v>
      </c>
      <c r="P194">
        <f t="shared" si="17"/>
        <v>68.999999999999986</v>
      </c>
      <c r="Q194" s="31">
        <v>140</v>
      </c>
      <c r="R194">
        <f t="shared" si="27"/>
        <v>1.0329999999999999</v>
      </c>
      <c r="S194" s="41">
        <f t="shared" si="21"/>
        <v>1.3429</v>
      </c>
      <c r="T194" s="41">
        <f t="shared" si="22"/>
        <v>2.0571000000000002</v>
      </c>
      <c r="U194" s="41">
        <f t="shared" si="25"/>
        <v>90.18550493827162</v>
      </c>
      <c r="W194">
        <v>858.1</v>
      </c>
      <c r="Y194">
        <f t="shared" si="24"/>
        <v>92250.699999999983</v>
      </c>
      <c r="Z194">
        <f t="shared" si="26"/>
        <v>6122.4000000000015</v>
      </c>
      <c r="AA194">
        <v>9.8553706640101186</v>
      </c>
    </row>
    <row r="195" spans="1:29" x14ac:dyDescent="0.25">
      <c r="A195">
        <v>5080</v>
      </c>
      <c r="B195">
        <v>18650</v>
      </c>
      <c r="C195" s="1">
        <v>42773</v>
      </c>
      <c r="D195" s="1"/>
      <c r="E195" s="16"/>
      <c r="F195" s="64"/>
      <c r="G195">
        <v>9.6999999999999993</v>
      </c>
      <c r="H195">
        <v>7</v>
      </c>
      <c r="I195">
        <v>12.9</v>
      </c>
      <c r="J195" s="14">
        <f t="shared" si="23"/>
        <v>1348.4999999999998</v>
      </c>
      <c r="K195" s="14">
        <f t="shared" si="18"/>
        <v>108.4</v>
      </c>
      <c r="L195" s="8">
        <v>20</v>
      </c>
      <c r="M195">
        <v>5.6</v>
      </c>
      <c r="N195">
        <v>0.9</v>
      </c>
      <c r="O195" s="14">
        <f t="shared" si="20"/>
        <v>4.6999999999999993</v>
      </c>
      <c r="P195">
        <f t="shared" si="17"/>
        <v>73.699999999999989</v>
      </c>
      <c r="Q195" s="31">
        <v>141</v>
      </c>
      <c r="R195">
        <f t="shared" si="27"/>
        <v>1.036</v>
      </c>
      <c r="S195" s="41">
        <f t="shared" si="21"/>
        <v>0.93240000000000001</v>
      </c>
      <c r="T195" s="41">
        <f t="shared" si="22"/>
        <v>4.6675999999999993</v>
      </c>
      <c r="U195" s="41">
        <f t="shared" si="25"/>
        <v>94.853104938271613</v>
      </c>
      <c r="V195" s="56">
        <f>(V193*100)/157.8</f>
        <v>51.998857375330552</v>
      </c>
      <c r="W195">
        <v>341.3</v>
      </c>
      <c r="Y195">
        <f t="shared" si="24"/>
        <v>92591.999999999985</v>
      </c>
      <c r="Z195">
        <f t="shared" si="26"/>
        <v>6463.7000000000016</v>
      </c>
      <c r="AA195">
        <v>9.8979130604293797</v>
      </c>
    </row>
    <row r="196" spans="1:29" x14ac:dyDescent="0.25">
      <c r="A196">
        <v>5080</v>
      </c>
      <c r="B196">
        <v>18650</v>
      </c>
      <c r="C196" s="1">
        <v>42774</v>
      </c>
      <c r="D196" s="1"/>
      <c r="E196" s="16"/>
      <c r="F196" s="64"/>
      <c r="G196">
        <v>5.5</v>
      </c>
      <c r="H196">
        <v>3.8</v>
      </c>
      <c r="I196">
        <v>6.7</v>
      </c>
      <c r="J196" s="14">
        <f t="shared" si="23"/>
        <v>1353.9999999999998</v>
      </c>
      <c r="K196" s="14">
        <f t="shared" si="18"/>
        <v>113.9</v>
      </c>
      <c r="L196" s="24" t="s">
        <v>43</v>
      </c>
      <c r="M196">
        <v>0.8</v>
      </c>
      <c r="N196">
        <v>0.7</v>
      </c>
      <c r="O196" s="14">
        <f t="shared" si="20"/>
        <v>0.10000000000000009</v>
      </c>
      <c r="P196">
        <f t="shared" ref="P196:P259" si="28">P195+O196</f>
        <v>73.799999999999983</v>
      </c>
      <c r="Q196" s="31">
        <v>142</v>
      </c>
      <c r="R196">
        <f t="shared" si="27"/>
        <v>1.0389999999999999</v>
      </c>
      <c r="S196" s="41">
        <f t="shared" si="21"/>
        <v>0.72729999999999995</v>
      </c>
      <c r="T196" s="41">
        <f t="shared" si="22"/>
        <v>7.2700000000000098E-2</v>
      </c>
      <c r="U196" s="41">
        <f t="shared" si="25"/>
        <v>94.925804938271611</v>
      </c>
      <c r="W196">
        <v>346.9</v>
      </c>
      <c r="Y196">
        <f t="shared" si="24"/>
        <v>92938.89999999998</v>
      </c>
      <c r="Z196">
        <f t="shared" si="26"/>
        <v>6810.6000000000013</v>
      </c>
      <c r="AA196">
        <v>9.9409345224307408</v>
      </c>
    </row>
    <row r="197" spans="1:29" x14ac:dyDescent="0.25">
      <c r="A197">
        <v>5080</v>
      </c>
      <c r="B197">
        <v>18650</v>
      </c>
      <c r="C197" s="1">
        <v>42775</v>
      </c>
      <c r="D197" s="1"/>
      <c r="E197" s="16"/>
      <c r="F197" s="64"/>
      <c r="G197">
        <v>5.0999999999999996</v>
      </c>
      <c r="H197">
        <v>4</v>
      </c>
      <c r="I197">
        <v>8.6</v>
      </c>
      <c r="J197" s="14">
        <f t="shared" si="23"/>
        <v>1359.0999999999997</v>
      </c>
      <c r="K197" s="14">
        <f t="shared" si="18"/>
        <v>119</v>
      </c>
      <c r="L197" s="8">
        <v>0</v>
      </c>
      <c r="M197">
        <v>0</v>
      </c>
      <c r="N197">
        <v>1.3</v>
      </c>
      <c r="O197" s="14">
        <f t="shared" si="20"/>
        <v>-1.3</v>
      </c>
      <c r="P197">
        <f t="shared" si="28"/>
        <v>72.499999999999986</v>
      </c>
      <c r="Q197" s="31">
        <v>143</v>
      </c>
      <c r="R197">
        <f t="shared" si="27"/>
        <v>1.042</v>
      </c>
      <c r="S197" s="41">
        <f t="shared" si="21"/>
        <v>1.3546</v>
      </c>
      <c r="T197" s="41">
        <f t="shared" si="22"/>
        <v>-1.3546</v>
      </c>
      <c r="U197" s="41">
        <f t="shared" si="25"/>
        <v>93.571204938271606</v>
      </c>
      <c r="W197">
        <v>861.9</v>
      </c>
      <c r="Y197">
        <f t="shared" si="24"/>
        <v>93800.799999999974</v>
      </c>
      <c r="Z197">
        <f t="shared" si="26"/>
        <v>7672.5000000000009</v>
      </c>
      <c r="AA197">
        <v>9.9844185028689907</v>
      </c>
    </row>
    <row r="198" spans="1:29" x14ac:dyDescent="0.25">
      <c r="A198">
        <v>5080</v>
      </c>
      <c r="B198">
        <v>18650</v>
      </c>
      <c r="C198" s="1">
        <v>42776</v>
      </c>
      <c r="D198" s="1"/>
      <c r="E198" s="16"/>
      <c r="F198" s="64"/>
      <c r="G198">
        <v>6</v>
      </c>
      <c r="H198">
        <v>0.5</v>
      </c>
      <c r="I198">
        <v>11.1</v>
      </c>
      <c r="J198" s="14">
        <f t="shared" si="23"/>
        <v>1365.0999999999997</v>
      </c>
      <c r="K198" s="14">
        <f t="shared" si="18"/>
        <v>125</v>
      </c>
      <c r="L198" s="1"/>
      <c r="M198">
        <v>0.1</v>
      </c>
      <c r="N198">
        <v>1</v>
      </c>
      <c r="O198" s="14">
        <f t="shared" si="20"/>
        <v>-0.9</v>
      </c>
      <c r="P198">
        <f t="shared" si="28"/>
        <v>71.59999999999998</v>
      </c>
      <c r="Q198" s="31">
        <v>144</v>
      </c>
      <c r="R198">
        <f t="shared" si="27"/>
        <v>1.0449999999999999</v>
      </c>
      <c r="S198" s="41">
        <f t="shared" si="21"/>
        <v>1.0449999999999999</v>
      </c>
      <c r="T198" s="41">
        <f t="shared" si="22"/>
        <v>-0.94499999999999995</v>
      </c>
      <c r="U198" s="41">
        <f t="shared" si="25"/>
        <v>92.626204938271613</v>
      </c>
      <c r="W198">
        <v>652.20000000000005</v>
      </c>
      <c r="Y198">
        <f t="shared" si="24"/>
        <v>94452.999999999971</v>
      </c>
      <c r="Z198">
        <f t="shared" si="26"/>
        <v>8324.7000000000007</v>
      </c>
      <c r="AA198">
        <v>10.02834873218274</v>
      </c>
    </row>
    <row r="199" spans="1:29" x14ac:dyDescent="0.25">
      <c r="A199">
        <v>5080</v>
      </c>
      <c r="B199">
        <v>18650</v>
      </c>
      <c r="C199" s="1">
        <v>42777</v>
      </c>
      <c r="D199" s="1"/>
      <c r="E199" s="16"/>
      <c r="F199" s="64"/>
      <c r="G199">
        <v>6.1</v>
      </c>
      <c r="H199">
        <v>1.5</v>
      </c>
      <c r="I199">
        <v>11.4</v>
      </c>
      <c r="J199" s="14">
        <f t="shared" si="23"/>
        <v>1371.1999999999996</v>
      </c>
      <c r="K199" s="14">
        <f t="shared" si="18"/>
        <v>131.1</v>
      </c>
      <c r="L199" s="1"/>
      <c r="M199">
        <v>0</v>
      </c>
      <c r="N199">
        <v>0.7</v>
      </c>
      <c r="O199" s="14">
        <f t="shared" si="20"/>
        <v>-0.7</v>
      </c>
      <c r="P199">
        <f t="shared" si="28"/>
        <v>70.899999999999977</v>
      </c>
      <c r="Q199" s="31">
        <v>145</v>
      </c>
      <c r="R199">
        <f t="shared" si="27"/>
        <v>1.048</v>
      </c>
      <c r="S199" s="41">
        <f t="shared" si="21"/>
        <v>0.73360000000000003</v>
      </c>
      <c r="T199" s="41">
        <f t="shared" si="22"/>
        <v>-0.73360000000000003</v>
      </c>
      <c r="U199" s="41">
        <f t="shared" si="25"/>
        <v>91.892604938271617</v>
      </c>
      <c r="W199">
        <v>801</v>
      </c>
      <c r="Y199">
        <f t="shared" si="24"/>
        <v>95253.999999999971</v>
      </c>
      <c r="Z199">
        <f t="shared" si="26"/>
        <v>9125.7000000000007</v>
      </c>
      <c r="AA199">
        <v>10.072709225587863</v>
      </c>
    </row>
    <row r="200" spans="1:29" x14ac:dyDescent="0.25">
      <c r="A200">
        <v>5080</v>
      </c>
      <c r="B200">
        <v>18650</v>
      </c>
      <c r="C200" s="1">
        <v>42778</v>
      </c>
      <c r="D200" s="1"/>
      <c r="E200" s="16"/>
      <c r="F200" s="64"/>
      <c r="G200">
        <v>11.9</v>
      </c>
      <c r="H200">
        <v>9</v>
      </c>
      <c r="I200">
        <v>12.8</v>
      </c>
      <c r="J200" s="14">
        <f t="shared" si="23"/>
        <v>1383.0999999999997</v>
      </c>
      <c r="K200" s="14">
        <f t="shared" si="18"/>
        <v>143</v>
      </c>
      <c r="L200" s="1"/>
      <c r="M200">
        <v>0</v>
      </c>
      <c r="N200">
        <v>2</v>
      </c>
      <c r="O200" s="14">
        <f t="shared" si="20"/>
        <v>-2</v>
      </c>
      <c r="P200">
        <f t="shared" si="28"/>
        <v>68.899999999999977</v>
      </c>
      <c r="Q200" s="31">
        <v>146</v>
      </c>
      <c r="R200">
        <f t="shared" si="27"/>
        <v>1.0509999999999999</v>
      </c>
      <c r="S200" s="41">
        <f t="shared" si="21"/>
        <v>2.1019999999999999</v>
      </c>
      <c r="T200" s="41">
        <f t="shared" si="22"/>
        <v>-2.1019999999999999</v>
      </c>
      <c r="U200" s="41">
        <f t="shared" si="25"/>
        <v>89.790604938271613</v>
      </c>
      <c r="W200">
        <v>948.8</v>
      </c>
      <c r="Y200">
        <f t="shared" si="24"/>
        <v>96202.799999999974</v>
      </c>
      <c r="Z200">
        <f t="shared" si="26"/>
        <v>10074.5</v>
      </c>
      <c r="AA200">
        <v>10.117484289082595</v>
      </c>
    </row>
    <row r="201" spans="1:29" x14ac:dyDescent="0.25">
      <c r="A201">
        <v>5080</v>
      </c>
      <c r="B201">
        <v>18650</v>
      </c>
      <c r="C201" s="1">
        <v>42779</v>
      </c>
      <c r="D201" s="1"/>
      <c r="E201" s="16"/>
      <c r="F201" s="64"/>
      <c r="G201">
        <v>12.8</v>
      </c>
      <c r="H201">
        <v>12.3</v>
      </c>
      <c r="I201">
        <v>13.5</v>
      </c>
      <c r="J201" s="14">
        <f t="shared" si="23"/>
        <v>1395.8999999999996</v>
      </c>
      <c r="K201" s="14">
        <f t="shared" si="18"/>
        <v>155.80000000000001</v>
      </c>
      <c r="L201" s="1"/>
      <c r="M201">
        <v>0.5</v>
      </c>
      <c r="N201">
        <v>3</v>
      </c>
      <c r="O201" s="14">
        <f t="shared" si="20"/>
        <v>-2.5</v>
      </c>
      <c r="P201">
        <f t="shared" si="28"/>
        <v>66.399999999999977</v>
      </c>
      <c r="Q201" s="31">
        <v>147</v>
      </c>
      <c r="R201">
        <f t="shared" si="27"/>
        <v>1.054</v>
      </c>
      <c r="S201" s="41">
        <f t="shared" si="21"/>
        <v>3.1619999999999999</v>
      </c>
      <c r="T201" s="41">
        <f t="shared" si="22"/>
        <v>-2.6619999999999999</v>
      </c>
      <c r="U201" s="41">
        <f t="shared" si="25"/>
        <v>87.128604938271607</v>
      </c>
      <c r="W201">
        <v>671.7</v>
      </c>
      <c r="Y201">
        <f t="shared" si="24"/>
        <v>96874.499999999971</v>
      </c>
      <c r="Z201">
        <f t="shared" si="26"/>
        <v>10746.2</v>
      </c>
      <c r="AA201">
        <v>10.162658524304964</v>
      </c>
    </row>
    <row r="202" spans="1:29" x14ac:dyDescent="0.25">
      <c r="A202">
        <v>5080</v>
      </c>
      <c r="B202">
        <v>18650</v>
      </c>
      <c r="C202" s="1">
        <v>42780</v>
      </c>
      <c r="D202" s="1"/>
      <c r="E202" s="16"/>
      <c r="F202" s="64"/>
      <c r="G202">
        <v>11.5</v>
      </c>
      <c r="H202">
        <v>9.4</v>
      </c>
      <c r="I202">
        <v>13</v>
      </c>
      <c r="J202" s="14">
        <f t="shared" si="23"/>
        <v>1407.3999999999996</v>
      </c>
      <c r="K202" s="14">
        <f t="shared" si="18"/>
        <v>167.3</v>
      </c>
      <c r="L202" s="1"/>
      <c r="M202">
        <v>0.6</v>
      </c>
      <c r="N202">
        <v>1.1000000000000001</v>
      </c>
      <c r="O202" s="14">
        <f t="shared" si="20"/>
        <v>-0.50000000000000011</v>
      </c>
      <c r="P202">
        <f t="shared" si="28"/>
        <v>65.899999999999977</v>
      </c>
      <c r="Q202" s="31">
        <v>148</v>
      </c>
      <c r="R202">
        <f t="shared" si="27"/>
        <v>1.0569999999999999</v>
      </c>
      <c r="S202" s="41">
        <f t="shared" si="21"/>
        <v>1.1627000000000001</v>
      </c>
      <c r="T202" s="41">
        <f t="shared" si="22"/>
        <v>-0.56270000000000009</v>
      </c>
      <c r="U202" s="41">
        <f t="shared" si="25"/>
        <v>86.565904938271601</v>
      </c>
      <c r="W202">
        <v>844.3</v>
      </c>
      <c r="Y202">
        <f t="shared" si="24"/>
        <v>97718.799999999974</v>
      </c>
      <c r="Z202">
        <f t="shared" si="26"/>
        <v>11590.5</v>
      </c>
      <c r="AA202">
        <v>10.20821683228448</v>
      </c>
    </row>
    <row r="203" spans="1:29" x14ac:dyDescent="0.25">
      <c r="A203">
        <v>5080</v>
      </c>
      <c r="B203">
        <v>18650</v>
      </c>
      <c r="C203" s="1">
        <v>42781</v>
      </c>
      <c r="D203" s="1"/>
      <c r="E203" s="16"/>
      <c r="F203" s="64"/>
      <c r="G203">
        <v>11.9</v>
      </c>
      <c r="H203">
        <v>9.6999999999999993</v>
      </c>
      <c r="I203">
        <v>15.4</v>
      </c>
      <c r="J203" s="14">
        <f t="shared" si="23"/>
        <v>1419.2999999999997</v>
      </c>
      <c r="K203" s="14">
        <f t="shared" si="18"/>
        <v>179.20000000000002</v>
      </c>
      <c r="L203" s="1"/>
      <c r="M203">
        <v>0</v>
      </c>
      <c r="N203">
        <v>1.4</v>
      </c>
      <c r="O203" s="14">
        <f t="shared" si="20"/>
        <v>-1.4</v>
      </c>
      <c r="P203">
        <f t="shared" si="28"/>
        <v>64.499999999999972</v>
      </c>
      <c r="Q203" s="31">
        <v>149</v>
      </c>
      <c r="R203">
        <f t="shared" si="27"/>
        <v>1.06</v>
      </c>
      <c r="S203" s="41">
        <f t="shared" si="21"/>
        <v>1.484</v>
      </c>
      <c r="T203" s="41">
        <f t="shared" si="22"/>
        <v>-1.484</v>
      </c>
      <c r="U203" s="41">
        <f t="shared" si="25"/>
        <v>85.081904938271606</v>
      </c>
      <c r="W203">
        <v>681.4</v>
      </c>
      <c r="Y203">
        <f t="shared" si="24"/>
        <v>98400.199999999968</v>
      </c>
      <c r="Z203">
        <f t="shared" si="26"/>
        <v>12271.9</v>
      </c>
      <c r="AA203">
        <v>10.254144416131085</v>
      </c>
    </row>
    <row r="204" spans="1:29" x14ac:dyDescent="0.25">
      <c r="A204">
        <v>5080</v>
      </c>
      <c r="B204">
        <v>18650</v>
      </c>
      <c r="C204" s="1">
        <v>42782</v>
      </c>
      <c r="D204" s="1"/>
      <c r="E204" s="16"/>
      <c r="F204" s="64"/>
      <c r="G204">
        <v>11.7</v>
      </c>
      <c r="H204">
        <v>7.4</v>
      </c>
      <c r="I204">
        <v>15.5</v>
      </c>
      <c r="J204" s="14">
        <f t="shared" si="23"/>
        <v>1430.9999999999998</v>
      </c>
      <c r="K204" s="14">
        <f t="shared" si="18"/>
        <v>190.9</v>
      </c>
      <c r="L204" s="1"/>
      <c r="M204">
        <v>0</v>
      </c>
      <c r="N204">
        <v>1.6</v>
      </c>
      <c r="O204" s="14">
        <f t="shared" si="20"/>
        <v>-1.6</v>
      </c>
      <c r="P204">
        <f t="shared" si="28"/>
        <v>62.89999999999997</v>
      </c>
      <c r="Q204" s="31">
        <v>150</v>
      </c>
      <c r="R204">
        <f t="shared" si="27"/>
        <v>1.0629999999999999</v>
      </c>
      <c r="S204" s="41">
        <f t="shared" si="21"/>
        <v>1.7008000000000001</v>
      </c>
      <c r="T204" s="41">
        <f t="shared" si="22"/>
        <v>-1.7008000000000001</v>
      </c>
      <c r="U204" s="41">
        <f t="shared" si="25"/>
        <v>83.381104938271605</v>
      </c>
      <c r="W204">
        <v>1129.7</v>
      </c>
      <c r="Y204">
        <f t="shared" si="24"/>
        <v>99529.899999999965</v>
      </c>
      <c r="Z204">
        <f t="shared" si="26"/>
        <v>13401.6</v>
      </c>
      <c r="AA204">
        <v>10.300426782705006</v>
      </c>
    </row>
    <row r="205" spans="1:29" x14ac:dyDescent="0.25">
      <c r="A205">
        <v>5080</v>
      </c>
      <c r="B205">
        <v>18650</v>
      </c>
      <c r="C205" s="1">
        <v>42783</v>
      </c>
      <c r="D205" s="1"/>
      <c r="E205" s="16"/>
      <c r="F205" s="64"/>
      <c r="G205">
        <v>9.8000000000000007</v>
      </c>
      <c r="H205">
        <v>3.7</v>
      </c>
      <c r="I205">
        <v>14.8</v>
      </c>
      <c r="J205" s="14">
        <f t="shared" si="23"/>
        <v>1440.7999999999997</v>
      </c>
      <c r="K205" s="14">
        <f t="shared" si="18"/>
        <v>200.70000000000002</v>
      </c>
      <c r="L205" s="1"/>
      <c r="M205">
        <v>0.1</v>
      </c>
      <c r="N205">
        <v>1.5</v>
      </c>
      <c r="O205" s="14">
        <f t="shared" si="20"/>
        <v>-1.4</v>
      </c>
      <c r="P205">
        <f t="shared" si="28"/>
        <v>61.499999999999972</v>
      </c>
      <c r="Q205" s="31">
        <v>151</v>
      </c>
      <c r="R205">
        <f t="shared" si="27"/>
        <v>1.0660000000000001</v>
      </c>
      <c r="S205" s="41">
        <f t="shared" si="21"/>
        <v>1.5990000000000002</v>
      </c>
      <c r="T205" s="41">
        <f t="shared" si="22"/>
        <v>-1.4990000000000001</v>
      </c>
      <c r="U205" s="41">
        <f t="shared" si="25"/>
        <v>81.88210493827161</v>
      </c>
      <c r="W205">
        <v>1174.3</v>
      </c>
      <c r="Y205">
        <f t="shared" si="24"/>
        <v>100704.19999999997</v>
      </c>
      <c r="Z205">
        <f t="shared" si="26"/>
        <v>14575.9</v>
      </c>
      <c r="AA205">
        <v>10.347049743311572</v>
      </c>
    </row>
    <row r="206" spans="1:29" x14ac:dyDescent="0.25">
      <c r="A206">
        <v>5080</v>
      </c>
      <c r="B206">
        <v>18650</v>
      </c>
      <c r="C206" s="1">
        <v>42784</v>
      </c>
      <c r="D206" s="1"/>
      <c r="E206" s="16"/>
      <c r="F206" s="64"/>
      <c r="G206">
        <v>9.1999999999999993</v>
      </c>
      <c r="H206">
        <v>3.9</v>
      </c>
      <c r="I206">
        <v>14.1</v>
      </c>
      <c r="J206" s="14">
        <f t="shared" si="23"/>
        <v>1449.9999999999998</v>
      </c>
      <c r="K206" s="14">
        <f t="shared" si="18"/>
        <v>209.9</v>
      </c>
      <c r="L206" s="1"/>
      <c r="M206">
        <v>0</v>
      </c>
      <c r="N206">
        <v>1.9</v>
      </c>
      <c r="O206" s="14">
        <f t="shared" si="20"/>
        <v>-1.9</v>
      </c>
      <c r="P206">
        <f t="shared" si="28"/>
        <v>59.599999999999973</v>
      </c>
      <c r="Q206" s="31">
        <v>152</v>
      </c>
      <c r="R206">
        <f t="shared" si="27"/>
        <v>1.069</v>
      </c>
      <c r="S206" s="41">
        <f t="shared" si="21"/>
        <v>2.0310999999999999</v>
      </c>
      <c r="T206" s="41">
        <f t="shared" si="22"/>
        <v>-2.0310999999999999</v>
      </c>
      <c r="U206" s="41">
        <f t="shared" si="25"/>
        <v>79.851004938271615</v>
      </c>
      <c r="W206">
        <v>1471.5</v>
      </c>
      <c r="Y206">
        <f t="shared" si="24"/>
        <v>102175.69999999997</v>
      </c>
      <c r="Z206">
        <f t="shared" si="26"/>
        <v>16047.4</v>
      </c>
      <c r="AA206">
        <v>10.39399941346519</v>
      </c>
    </row>
    <row r="207" spans="1:29" x14ac:dyDescent="0.25">
      <c r="A207">
        <v>5080</v>
      </c>
      <c r="B207">
        <v>18650</v>
      </c>
      <c r="C207" s="1">
        <v>42785</v>
      </c>
      <c r="D207" s="1"/>
      <c r="E207" s="16"/>
      <c r="F207" s="64"/>
      <c r="G207">
        <v>9.4</v>
      </c>
      <c r="H207">
        <v>3.6</v>
      </c>
      <c r="I207">
        <v>14.2</v>
      </c>
      <c r="J207" s="14">
        <f t="shared" si="23"/>
        <v>1459.3999999999999</v>
      </c>
      <c r="K207" s="14">
        <f t="shared" si="18"/>
        <v>219.3</v>
      </c>
      <c r="L207" s="1"/>
      <c r="M207" s="74">
        <v>0</v>
      </c>
      <c r="N207">
        <v>1.1000000000000001</v>
      </c>
      <c r="O207" s="14">
        <f t="shared" si="20"/>
        <v>-1.1000000000000001</v>
      </c>
      <c r="P207">
        <f t="shared" si="28"/>
        <v>58.499999999999972</v>
      </c>
      <c r="Q207" s="31">
        <v>153</v>
      </c>
      <c r="R207">
        <f t="shared" si="27"/>
        <v>1.0720000000000001</v>
      </c>
      <c r="S207" s="41">
        <f t="shared" si="21"/>
        <v>1.1792000000000002</v>
      </c>
      <c r="T207" s="41">
        <f t="shared" si="22"/>
        <v>-1.1792000000000002</v>
      </c>
      <c r="U207" s="41">
        <f t="shared" si="25"/>
        <v>78.67180493827162</v>
      </c>
      <c r="W207">
        <v>780.4</v>
      </c>
      <c r="Y207">
        <f t="shared" si="24"/>
        <v>102956.09999999996</v>
      </c>
      <c r="Z207">
        <f t="shared" si="26"/>
        <v>16827.8</v>
      </c>
      <c r="AA207">
        <v>10.441262211766514</v>
      </c>
      <c r="AC207" s="2" t="s">
        <v>64</v>
      </c>
    </row>
    <row r="208" spans="1:29" x14ac:dyDescent="0.25">
      <c r="A208">
        <v>5080</v>
      </c>
      <c r="B208">
        <v>18650</v>
      </c>
      <c r="C208" s="1">
        <v>42786</v>
      </c>
      <c r="D208" s="1"/>
      <c r="E208" s="16"/>
      <c r="F208" s="64"/>
      <c r="G208">
        <v>9.1</v>
      </c>
      <c r="H208">
        <v>7.4</v>
      </c>
      <c r="I208">
        <v>10.6</v>
      </c>
      <c r="J208" s="14">
        <f t="shared" si="23"/>
        <v>1468.4999999999998</v>
      </c>
      <c r="K208" s="14">
        <f t="shared" si="18"/>
        <v>228.4</v>
      </c>
      <c r="L208" s="1"/>
      <c r="M208" s="74">
        <v>0</v>
      </c>
      <c r="N208">
        <v>0.7</v>
      </c>
      <c r="O208" s="14">
        <f t="shared" si="20"/>
        <v>-0.7</v>
      </c>
      <c r="P208">
        <f t="shared" si="28"/>
        <v>57.799999999999969</v>
      </c>
      <c r="Q208" s="31">
        <v>154</v>
      </c>
      <c r="R208">
        <f t="shared" si="27"/>
        <v>1.075</v>
      </c>
      <c r="S208" s="41">
        <f t="shared" si="21"/>
        <v>0.75249999999999995</v>
      </c>
      <c r="T208" s="41">
        <f t="shared" si="22"/>
        <v>-0.75249999999999995</v>
      </c>
      <c r="U208" s="41">
        <f t="shared" si="25"/>
        <v>77.919304938271623</v>
      </c>
      <c r="W208">
        <v>444.5</v>
      </c>
      <c r="Y208">
        <f t="shared" si="24"/>
        <v>103400.59999999996</v>
      </c>
      <c r="Z208">
        <f t="shared" si="26"/>
        <v>17272.3</v>
      </c>
      <c r="AA208">
        <v>10.488824857936569</v>
      </c>
      <c r="AC208" s="41">
        <f>AVERAGE(U214:U227)</f>
        <v>85.316847795414489</v>
      </c>
    </row>
    <row r="209" spans="1:31" x14ac:dyDescent="0.25">
      <c r="A209">
        <v>5080</v>
      </c>
      <c r="B209">
        <v>18650</v>
      </c>
      <c r="C209" s="1">
        <v>42787</v>
      </c>
      <c r="D209" s="1"/>
      <c r="E209" s="16"/>
      <c r="F209" s="64"/>
      <c r="G209">
        <v>10.5</v>
      </c>
      <c r="H209">
        <v>7</v>
      </c>
      <c r="I209">
        <v>13.7</v>
      </c>
      <c r="J209" s="14">
        <f t="shared" si="23"/>
        <v>1478.9999999999998</v>
      </c>
      <c r="K209" s="14">
        <f t="shared" si="18"/>
        <v>238.9</v>
      </c>
      <c r="L209" s="1"/>
      <c r="M209" s="74">
        <v>0</v>
      </c>
      <c r="N209">
        <v>0.8</v>
      </c>
      <c r="O209" s="14">
        <f t="shared" si="20"/>
        <v>-0.8</v>
      </c>
      <c r="P209">
        <f t="shared" si="28"/>
        <v>56.999999999999972</v>
      </c>
      <c r="Q209" s="31">
        <v>155</v>
      </c>
      <c r="R209">
        <f t="shared" si="27"/>
        <v>1.0779999999999998</v>
      </c>
      <c r="S209" s="41">
        <f t="shared" si="21"/>
        <v>0.86239999999999994</v>
      </c>
      <c r="T209" s="41">
        <f t="shared" si="22"/>
        <v>-0.86239999999999994</v>
      </c>
      <c r="U209" s="41">
        <f t="shared" si="25"/>
        <v>77.056904938271629</v>
      </c>
      <c r="W209">
        <v>402.7</v>
      </c>
      <c r="Y209">
        <f t="shared" si="24"/>
        <v>103803.29999999996</v>
      </c>
      <c r="Z209">
        <f t="shared" si="26"/>
        <v>17675</v>
      </c>
      <c r="AA209">
        <v>10.536674370051042</v>
      </c>
      <c r="AC209" s="2" t="s">
        <v>65</v>
      </c>
    </row>
    <row r="210" spans="1:31" x14ac:dyDescent="0.25">
      <c r="A210">
        <v>5080</v>
      </c>
      <c r="B210">
        <v>18650</v>
      </c>
      <c r="C210" s="1">
        <v>42788</v>
      </c>
      <c r="D210" s="1"/>
      <c r="E210" s="16"/>
      <c r="F210" s="64"/>
      <c r="G210">
        <v>10.8</v>
      </c>
      <c r="H210">
        <v>6.3</v>
      </c>
      <c r="I210">
        <v>14.7</v>
      </c>
      <c r="J210" s="14">
        <f t="shared" si="23"/>
        <v>1489.7999999999997</v>
      </c>
      <c r="K210" s="14">
        <f t="shared" ref="K210:K254" si="29">K209+G210</f>
        <v>249.70000000000002</v>
      </c>
      <c r="L210" s="1"/>
      <c r="M210" s="74">
        <v>0</v>
      </c>
      <c r="N210">
        <v>2.1</v>
      </c>
      <c r="O210" s="14">
        <f t="shared" si="20"/>
        <v>-2.1</v>
      </c>
      <c r="P210">
        <f t="shared" si="28"/>
        <v>54.89999999999997</v>
      </c>
      <c r="Q210" s="31">
        <v>156</v>
      </c>
      <c r="R210">
        <f t="shared" si="27"/>
        <v>1.081</v>
      </c>
      <c r="S210" s="41">
        <f t="shared" si="21"/>
        <v>2.2701000000000002</v>
      </c>
      <c r="T210" s="41">
        <f t="shared" si="22"/>
        <v>-2.2701000000000002</v>
      </c>
      <c r="U210" s="41">
        <f t="shared" si="25"/>
        <v>74.786804938271629</v>
      </c>
      <c r="W210">
        <v>1418.4</v>
      </c>
      <c r="Y210">
        <f t="shared" si="24"/>
        <v>105221.69999999995</v>
      </c>
      <c r="Z210">
        <f t="shared" si="26"/>
        <v>19093.400000000001</v>
      </c>
      <c r="AA210">
        <v>10.584798061017208</v>
      </c>
      <c r="AC210">
        <v>4</v>
      </c>
    </row>
    <row r="211" spans="1:31" x14ac:dyDescent="0.25">
      <c r="A211">
        <v>5080</v>
      </c>
      <c r="B211">
        <v>18650</v>
      </c>
      <c r="C211" s="1">
        <v>42789</v>
      </c>
      <c r="D211" s="1"/>
      <c r="E211" s="16"/>
      <c r="F211" s="64"/>
      <c r="G211">
        <v>9.8000000000000007</v>
      </c>
      <c r="H211">
        <v>4</v>
      </c>
      <c r="I211">
        <v>15.7</v>
      </c>
      <c r="J211" s="14">
        <f t="shared" si="23"/>
        <v>1499.5999999999997</v>
      </c>
      <c r="K211" s="14">
        <f t="shared" si="29"/>
        <v>259.5</v>
      </c>
      <c r="L211" s="1"/>
      <c r="M211" s="74">
        <v>0.9</v>
      </c>
      <c r="N211">
        <v>2.1</v>
      </c>
      <c r="O211" s="14">
        <f t="shared" si="20"/>
        <v>-1.2000000000000002</v>
      </c>
      <c r="P211">
        <f t="shared" si="28"/>
        <v>53.699999999999967</v>
      </c>
      <c r="Q211" s="31">
        <v>157</v>
      </c>
      <c r="R211">
        <f t="shared" si="27"/>
        <v>1.0840000000000001</v>
      </c>
      <c r="S211" s="41">
        <f t="shared" si="21"/>
        <v>2.2764000000000002</v>
      </c>
      <c r="T211" s="41">
        <f t="shared" si="22"/>
        <v>-1.3764000000000003</v>
      </c>
      <c r="U211" s="41">
        <f t="shared" si="25"/>
        <v>73.410404938271625</v>
      </c>
      <c r="W211">
        <v>1278.4000000000001</v>
      </c>
      <c r="Y211">
        <f t="shared" si="24"/>
        <v>106500.09999999995</v>
      </c>
      <c r="Z211">
        <f t="shared" si="26"/>
        <v>20371.800000000003</v>
      </c>
      <c r="AA211">
        <v>10.633183534335252</v>
      </c>
      <c r="AC211" s="2" t="s">
        <v>66</v>
      </c>
    </row>
    <row r="212" spans="1:31" x14ac:dyDescent="0.25">
      <c r="A212">
        <v>5080</v>
      </c>
      <c r="B212">
        <v>18650</v>
      </c>
      <c r="C212" s="1">
        <v>42790</v>
      </c>
      <c r="D212" s="1"/>
      <c r="E212" s="16"/>
      <c r="F212" s="64"/>
      <c r="G212">
        <v>8.5</v>
      </c>
      <c r="H212">
        <v>8</v>
      </c>
      <c r="I212">
        <v>10.5</v>
      </c>
      <c r="J212" s="14">
        <f t="shared" si="23"/>
        <v>1508.0999999999997</v>
      </c>
      <c r="K212" s="14">
        <f t="shared" si="29"/>
        <v>268</v>
      </c>
      <c r="L212" s="1"/>
      <c r="M212" s="74">
        <v>0</v>
      </c>
      <c r="N212">
        <v>1.7</v>
      </c>
      <c r="O212" s="14">
        <f t="shared" si="20"/>
        <v>-1.7</v>
      </c>
      <c r="P212">
        <f t="shared" si="28"/>
        <v>51.999999999999964</v>
      </c>
      <c r="Q212" s="31">
        <v>158</v>
      </c>
      <c r="R212">
        <f t="shared" si="27"/>
        <v>1.087</v>
      </c>
      <c r="S212" s="41">
        <f t="shared" si="21"/>
        <v>1.8478999999999999</v>
      </c>
      <c r="T212" s="41">
        <f t="shared" si="22"/>
        <v>-1.8478999999999999</v>
      </c>
      <c r="U212" s="41">
        <f t="shared" si="25"/>
        <v>71.56250493827163</v>
      </c>
      <c r="W212">
        <v>757.6</v>
      </c>
      <c r="Y212">
        <f t="shared" si="24"/>
        <v>107257.69999999995</v>
      </c>
      <c r="Z212">
        <f t="shared" si="26"/>
        <v>21129.4</v>
      </c>
      <c r="AA212">
        <v>10.681818679184572</v>
      </c>
      <c r="AC212">
        <v>4</v>
      </c>
    </row>
    <row r="213" spans="1:31" x14ac:dyDescent="0.25">
      <c r="A213">
        <v>5080</v>
      </c>
      <c r="B213">
        <v>18650</v>
      </c>
      <c r="C213" s="1">
        <v>42791</v>
      </c>
      <c r="D213" s="1"/>
      <c r="E213" s="16"/>
      <c r="F213" s="64"/>
      <c r="G213">
        <v>6.3</v>
      </c>
      <c r="H213">
        <v>1.5</v>
      </c>
      <c r="I213">
        <v>10.7</v>
      </c>
      <c r="J213" s="14">
        <f t="shared" si="23"/>
        <v>1514.3999999999996</v>
      </c>
      <c r="K213" s="14">
        <f t="shared" si="29"/>
        <v>274.3</v>
      </c>
      <c r="L213" s="1"/>
      <c r="M213" s="74">
        <v>0</v>
      </c>
      <c r="N213">
        <v>2.1</v>
      </c>
      <c r="O213" s="14">
        <f t="shared" si="20"/>
        <v>-2.1</v>
      </c>
      <c r="P213">
        <f t="shared" si="28"/>
        <v>49.899999999999963</v>
      </c>
      <c r="Q213" s="31">
        <v>159</v>
      </c>
      <c r="R213">
        <f t="shared" si="27"/>
        <v>1.0899999999999999</v>
      </c>
      <c r="S213" s="41">
        <f t="shared" si="21"/>
        <v>2.2889999999999997</v>
      </c>
      <c r="T213" s="41">
        <f t="shared" si="22"/>
        <v>-2.2889999999999997</v>
      </c>
      <c r="U213" s="41">
        <f t="shared" si="25"/>
        <v>69.273504938271628</v>
      </c>
      <c r="W213">
        <v>1631.2</v>
      </c>
      <c r="Y213">
        <f t="shared" si="24"/>
        <v>108888.89999999995</v>
      </c>
      <c r="Z213">
        <f t="shared" si="26"/>
        <v>22760.600000000002</v>
      </c>
      <c r="AA213">
        <v>10.730691664874783</v>
      </c>
      <c r="AC213" s="2" t="s">
        <v>67</v>
      </c>
    </row>
    <row r="214" spans="1:31" x14ac:dyDescent="0.25">
      <c r="A214">
        <v>5080</v>
      </c>
      <c r="B214">
        <v>18650</v>
      </c>
      <c r="C214" s="1">
        <v>42792</v>
      </c>
      <c r="D214" s="1"/>
      <c r="E214" s="16"/>
      <c r="F214" s="64"/>
      <c r="G214">
        <v>7</v>
      </c>
      <c r="H214">
        <v>1.2</v>
      </c>
      <c r="I214">
        <v>11.3</v>
      </c>
      <c r="J214" s="14">
        <f t="shared" si="23"/>
        <v>1521.3999999999996</v>
      </c>
      <c r="K214" s="14">
        <f t="shared" si="29"/>
        <v>281.3</v>
      </c>
      <c r="L214" s="1"/>
      <c r="M214" s="74">
        <v>0</v>
      </c>
      <c r="N214">
        <v>0.7</v>
      </c>
      <c r="O214" s="14">
        <f t="shared" si="20"/>
        <v>-0.7</v>
      </c>
      <c r="P214">
        <f t="shared" si="28"/>
        <v>49.19999999999996</v>
      </c>
      <c r="Q214" s="31">
        <v>160</v>
      </c>
      <c r="R214">
        <f t="shared" si="27"/>
        <v>1.093</v>
      </c>
      <c r="S214" s="41">
        <f t="shared" si="21"/>
        <v>0.76509999999999989</v>
      </c>
      <c r="T214" s="41">
        <f t="shared" si="22"/>
        <v>-0.76509999999999989</v>
      </c>
      <c r="U214" s="75">
        <f t="shared" si="25"/>
        <v>68.508404938271624</v>
      </c>
      <c r="W214">
        <v>653.20000000000005</v>
      </c>
      <c r="Y214">
        <f t="shared" si="24"/>
        <v>109542.09999999995</v>
      </c>
      <c r="Z214">
        <f t="shared" si="26"/>
        <v>23413.800000000003</v>
      </c>
      <c r="AA214">
        <v>10.779790934699793</v>
      </c>
      <c r="AC214">
        <v>0</v>
      </c>
    </row>
    <row r="215" spans="1:31" x14ac:dyDescent="0.25">
      <c r="A215">
        <v>5080</v>
      </c>
      <c r="B215">
        <v>18650</v>
      </c>
      <c r="C215" s="1">
        <v>42793</v>
      </c>
      <c r="D215" s="1"/>
      <c r="E215" s="16"/>
      <c r="F215" s="64"/>
      <c r="G215">
        <v>9.3000000000000007</v>
      </c>
      <c r="H215">
        <v>1.2</v>
      </c>
      <c r="I215">
        <v>15.2</v>
      </c>
      <c r="J215" s="14">
        <f t="shared" si="23"/>
        <v>1530.6999999999996</v>
      </c>
      <c r="K215" s="14">
        <f t="shared" si="29"/>
        <v>290.60000000000002</v>
      </c>
      <c r="L215" s="1"/>
      <c r="M215" s="74">
        <v>0</v>
      </c>
      <c r="N215">
        <v>1.9</v>
      </c>
      <c r="O215" s="14">
        <f t="shared" si="20"/>
        <v>-1.9</v>
      </c>
      <c r="P215">
        <f t="shared" si="28"/>
        <v>47.299999999999962</v>
      </c>
      <c r="Q215" s="31">
        <v>161</v>
      </c>
      <c r="R215">
        <f t="shared" si="27"/>
        <v>1.0959999999999999</v>
      </c>
      <c r="S215" s="41">
        <f t="shared" si="21"/>
        <v>2.0823999999999998</v>
      </c>
      <c r="T215" s="41">
        <f t="shared" si="22"/>
        <v>-2.0823999999999998</v>
      </c>
      <c r="U215" s="75">
        <f t="shared" si="25"/>
        <v>66.426004938271632</v>
      </c>
      <c r="W215">
        <v>1414.7</v>
      </c>
      <c r="Y215">
        <f t="shared" si="24"/>
        <v>110956.79999999994</v>
      </c>
      <c r="Z215">
        <f t="shared" si="26"/>
        <v>24828.500000000004</v>
      </c>
      <c r="AA215">
        <v>10.829105199232224</v>
      </c>
      <c r="AC215" s="2" t="s">
        <v>68</v>
      </c>
    </row>
    <row r="216" spans="1:31" x14ac:dyDescent="0.25">
      <c r="A216">
        <v>5080</v>
      </c>
      <c r="B216">
        <v>18650</v>
      </c>
      <c r="C216" s="1">
        <v>42794</v>
      </c>
      <c r="D216" s="1"/>
      <c r="E216" s="16"/>
      <c r="F216" s="64"/>
      <c r="G216">
        <v>8.4</v>
      </c>
      <c r="H216">
        <v>6.8</v>
      </c>
      <c r="I216">
        <v>10.6</v>
      </c>
      <c r="J216" s="14">
        <f t="shared" si="23"/>
        <v>1539.0999999999997</v>
      </c>
      <c r="K216" s="14">
        <f t="shared" si="29"/>
        <v>299</v>
      </c>
      <c r="L216" s="1"/>
      <c r="M216" s="74">
        <v>3.5</v>
      </c>
      <c r="N216">
        <v>1.2</v>
      </c>
      <c r="O216" s="14">
        <f t="shared" si="20"/>
        <v>2.2999999999999998</v>
      </c>
      <c r="P216">
        <f t="shared" si="28"/>
        <v>49.599999999999959</v>
      </c>
      <c r="Q216" s="31">
        <v>162</v>
      </c>
      <c r="R216">
        <f t="shared" si="27"/>
        <v>1.099</v>
      </c>
      <c r="S216" s="41">
        <f t="shared" si="21"/>
        <v>1.3188</v>
      </c>
      <c r="T216" s="41">
        <f t="shared" si="22"/>
        <v>2.1812</v>
      </c>
      <c r="U216" s="75">
        <f t="shared" si="25"/>
        <v>68.607204938271636</v>
      </c>
      <c r="W216">
        <v>483.2</v>
      </c>
      <c r="Y216">
        <f t="shared" si="24"/>
        <v>111439.99999999994</v>
      </c>
      <c r="Z216">
        <f t="shared" si="26"/>
        <v>25311.700000000004</v>
      </c>
      <c r="AA216">
        <v>10.878623429094025</v>
      </c>
      <c r="AC216">
        <f>SUM(M218:M227)</f>
        <v>51.1</v>
      </c>
    </row>
    <row r="217" spans="1:31" s="68" customFormat="1" x14ac:dyDescent="0.25">
      <c r="A217" s="68">
        <v>5080</v>
      </c>
      <c r="B217" s="68">
        <v>18650</v>
      </c>
      <c r="C217" s="69">
        <v>42795</v>
      </c>
      <c r="D217" s="69" t="s">
        <v>63</v>
      </c>
      <c r="E217" s="70"/>
      <c r="F217" s="64"/>
      <c r="G217" s="68">
        <v>9</v>
      </c>
      <c r="H217" s="68">
        <v>4.5</v>
      </c>
      <c r="I217" s="68">
        <v>12.4</v>
      </c>
      <c r="J217" s="71">
        <f t="shared" si="23"/>
        <v>1548.0999999999997</v>
      </c>
      <c r="K217" s="71">
        <f t="shared" si="29"/>
        <v>308</v>
      </c>
      <c r="L217" s="69"/>
      <c r="M217" s="68">
        <v>0</v>
      </c>
      <c r="N217" s="68">
        <v>1</v>
      </c>
      <c r="O217" s="71">
        <f t="shared" si="20"/>
        <v>-1</v>
      </c>
      <c r="P217" s="68">
        <f t="shared" si="28"/>
        <v>48.599999999999959</v>
      </c>
      <c r="Q217" s="72">
        <v>163</v>
      </c>
      <c r="R217" s="68">
        <f t="shared" si="27"/>
        <v>1.1019999999999999</v>
      </c>
      <c r="S217" s="73">
        <f t="shared" si="21"/>
        <v>1.1019999999999999</v>
      </c>
      <c r="T217" s="73">
        <f t="shared" si="22"/>
        <v>-1.1019999999999999</v>
      </c>
      <c r="U217" s="73">
        <f t="shared" si="25"/>
        <v>67.505204938271632</v>
      </c>
      <c r="W217" s="68">
        <v>559.29999999999995</v>
      </c>
      <c r="Y217" s="68">
        <f t="shared" si="24"/>
        <v>111999.29999999994</v>
      </c>
      <c r="Z217" s="68">
        <f t="shared" si="26"/>
        <v>25871.000000000004</v>
      </c>
      <c r="AA217" s="68">
        <v>10.92833484723789</v>
      </c>
    </row>
    <row r="218" spans="1:31" x14ac:dyDescent="0.25">
      <c r="A218">
        <v>5080</v>
      </c>
      <c r="B218">
        <v>18650</v>
      </c>
      <c r="C218" s="1">
        <v>42796</v>
      </c>
      <c r="D218" s="1"/>
      <c r="E218" s="16"/>
      <c r="F218" s="64"/>
      <c r="G218">
        <v>12</v>
      </c>
      <c r="H218">
        <v>8.5</v>
      </c>
      <c r="I218">
        <v>16.2</v>
      </c>
      <c r="J218" s="14">
        <f t="shared" si="23"/>
        <v>1560.0999999999997</v>
      </c>
      <c r="K218" s="14">
        <f t="shared" si="29"/>
        <v>320</v>
      </c>
      <c r="L218" s="1"/>
      <c r="M218" s="74">
        <v>0</v>
      </c>
      <c r="N218">
        <v>1.3</v>
      </c>
      <c r="O218" s="14">
        <f t="shared" si="20"/>
        <v>-1.3</v>
      </c>
      <c r="P218">
        <f t="shared" si="28"/>
        <v>47.299999999999962</v>
      </c>
      <c r="Q218" s="31">
        <v>164</v>
      </c>
      <c r="R218">
        <f t="shared" si="27"/>
        <v>1.105</v>
      </c>
      <c r="S218" s="41">
        <f t="shared" si="21"/>
        <v>1.4365000000000001</v>
      </c>
      <c r="T218" s="41">
        <f t="shared" si="22"/>
        <v>-1.4365000000000001</v>
      </c>
      <c r="U218" s="75">
        <f t="shared" si="25"/>
        <v>66.068704938271637</v>
      </c>
      <c r="W218">
        <v>893.8</v>
      </c>
      <c r="Y218">
        <f t="shared" si="24"/>
        <v>112893.09999999995</v>
      </c>
      <c r="Z218">
        <f t="shared" si="26"/>
        <v>26764.800000000003</v>
      </c>
      <c r="AA218">
        <v>10.978228920772665</v>
      </c>
    </row>
    <row r="219" spans="1:31" x14ac:dyDescent="0.25">
      <c r="A219">
        <v>5080</v>
      </c>
      <c r="B219">
        <v>18650</v>
      </c>
      <c r="C219" s="1">
        <v>42797</v>
      </c>
      <c r="D219" s="1"/>
      <c r="E219" s="16"/>
      <c r="F219" s="64"/>
      <c r="G219">
        <v>11.5</v>
      </c>
      <c r="H219">
        <v>9.1</v>
      </c>
      <c r="I219">
        <v>13.9</v>
      </c>
      <c r="J219" s="14">
        <f t="shared" si="23"/>
        <v>1571.5999999999997</v>
      </c>
      <c r="K219" s="14">
        <f t="shared" si="29"/>
        <v>331.5</v>
      </c>
      <c r="L219" s="1"/>
      <c r="M219" s="74">
        <v>21.5</v>
      </c>
      <c r="N219">
        <v>2.4</v>
      </c>
      <c r="O219" s="14">
        <f t="shared" si="20"/>
        <v>19.100000000000001</v>
      </c>
      <c r="P219">
        <f t="shared" si="28"/>
        <v>66.399999999999963</v>
      </c>
      <c r="Q219" s="31">
        <v>165</v>
      </c>
      <c r="R219">
        <f t="shared" si="27"/>
        <v>1.1079999999999999</v>
      </c>
      <c r="S219" s="41">
        <f t="shared" si="21"/>
        <v>2.6591999999999998</v>
      </c>
      <c r="T219" s="41">
        <f t="shared" si="22"/>
        <v>18.840800000000002</v>
      </c>
      <c r="U219" s="75">
        <f t="shared" si="25"/>
        <v>84.909504938271638</v>
      </c>
      <c r="W219">
        <v>1413.2</v>
      </c>
      <c r="Y219">
        <f t="shared" si="24"/>
        <v>114306.29999999994</v>
      </c>
      <c r="Z219">
        <f t="shared" si="26"/>
        <v>28178.000000000004</v>
      </c>
      <c r="AA219">
        <v>11.028295352364555</v>
      </c>
    </row>
    <row r="220" spans="1:31" x14ac:dyDescent="0.25">
      <c r="A220">
        <v>5080</v>
      </c>
      <c r="B220">
        <v>18650</v>
      </c>
      <c r="C220" s="1">
        <v>42798</v>
      </c>
      <c r="D220" s="1"/>
      <c r="E220" s="16"/>
      <c r="F220" s="64"/>
      <c r="G220">
        <v>7</v>
      </c>
      <c r="H220">
        <v>6.3</v>
      </c>
      <c r="I220">
        <v>8.1</v>
      </c>
      <c r="J220" s="14">
        <f t="shared" si="23"/>
        <v>1578.5999999999997</v>
      </c>
      <c r="K220" s="14">
        <f t="shared" si="29"/>
        <v>338.5</v>
      </c>
      <c r="L220" s="1"/>
      <c r="M220" s="74">
        <v>1.5</v>
      </c>
      <c r="N220">
        <v>1.4</v>
      </c>
      <c r="O220" s="14">
        <f t="shared" si="20"/>
        <v>0.10000000000000009</v>
      </c>
      <c r="P220">
        <f t="shared" si="28"/>
        <v>66.499999999999957</v>
      </c>
      <c r="Q220" s="31">
        <v>166</v>
      </c>
      <c r="R220">
        <f t="shared" si="27"/>
        <v>1.111</v>
      </c>
      <c r="S220" s="41">
        <f t="shared" si="21"/>
        <v>1.5553999999999999</v>
      </c>
      <c r="T220" s="41">
        <f t="shared" si="22"/>
        <v>-5.5399999999999894E-2</v>
      </c>
      <c r="U220" s="75">
        <f t="shared" si="25"/>
        <v>84.854104938271632</v>
      </c>
      <c r="W220">
        <v>685.9</v>
      </c>
      <c r="Y220">
        <f t="shared" si="24"/>
        <v>114992.19999999994</v>
      </c>
      <c r="Z220">
        <f t="shared" si="26"/>
        <v>28863.900000000005</v>
      </c>
      <c r="AA220">
        <v>11.078524071244608</v>
      </c>
      <c r="AC220" s="2" t="s">
        <v>64</v>
      </c>
      <c r="AE220" s="2" t="s">
        <v>64</v>
      </c>
    </row>
    <row r="221" spans="1:31" x14ac:dyDescent="0.25">
      <c r="A221">
        <v>5080</v>
      </c>
      <c r="B221">
        <v>18650</v>
      </c>
      <c r="C221" s="1">
        <v>42799</v>
      </c>
      <c r="D221" s="1"/>
      <c r="E221" s="16"/>
      <c r="F221" s="64"/>
      <c r="G221">
        <v>8.9</v>
      </c>
      <c r="H221">
        <v>3.8</v>
      </c>
      <c r="I221">
        <v>12.1</v>
      </c>
      <c r="J221" s="14">
        <f t="shared" si="23"/>
        <v>1587.4999999999998</v>
      </c>
      <c r="K221" s="14">
        <f t="shared" si="29"/>
        <v>347.4</v>
      </c>
      <c r="L221" s="1"/>
      <c r="M221" s="74">
        <v>4.0999999999999996</v>
      </c>
      <c r="N221">
        <v>1.1000000000000001</v>
      </c>
      <c r="O221" s="14">
        <f t="shared" si="20"/>
        <v>2.9999999999999996</v>
      </c>
      <c r="P221">
        <f t="shared" si="28"/>
        <v>69.499999999999957</v>
      </c>
      <c r="Q221" s="31">
        <v>167</v>
      </c>
      <c r="R221">
        <f t="shared" si="27"/>
        <v>1.1139999999999999</v>
      </c>
      <c r="S221" s="41">
        <f t="shared" si="21"/>
        <v>1.2254</v>
      </c>
      <c r="T221" s="41">
        <f t="shared" si="22"/>
        <v>2.8745999999999996</v>
      </c>
      <c r="U221" s="75">
        <f t="shared" si="25"/>
        <v>87.728704938271633</v>
      </c>
      <c r="W221">
        <v>988.8</v>
      </c>
      <c r="Y221">
        <f t="shared" si="24"/>
        <v>115980.99999999994</v>
      </c>
      <c r="Z221">
        <f t="shared" si="26"/>
        <v>29852.700000000004</v>
      </c>
      <c r="AA221">
        <v>11.128905223851469</v>
      </c>
      <c r="AC221" s="41">
        <f>AVERAGE(U227:U240)</f>
        <v>89.089604938271648</v>
      </c>
      <c r="AE221" s="41">
        <f>(AC208*(60/120))+(AC221*(60/120))</f>
        <v>87.203226366843069</v>
      </c>
    </row>
    <row r="222" spans="1:31" x14ac:dyDescent="0.25">
      <c r="A222">
        <v>5080</v>
      </c>
      <c r="B222">
        <v>18650</v>
      </c>
      <c r="C222" s="1">
        <v>42800</v>
      </c>
      <c r="D222" s="1"/>
      <c r="E222" s="16"/>
      <c r="F222" s="64"/>
      <c r="G222">
        <v>11.3</v>
      </c>
      <c r="H222">
        <v>9.5</v>
      </c>
      <c r="I222">
        <v>14.7</v>
      </c>
      <c r="J222" s="14">
        <f t="shared" si="23"/>
        <v>1598.7999999999997</v>
      </c>
      <c r="K222" s="14">
        <f t="shared" si="29"/>
        <v>358.7</v>
      </c>
      <c r="L222" s="1"/>
      <c r="M222" s="74">
        <v>2.6</v>
      </c>
      <c r="N222">
        <v>2.4</v>
      </c>
      <c r="O222" s="14">
        <f t="shared" si="20"/>
        <v>0.20000000000000018</v>
      </c>
      <c r="P222">
        <f t="shared" si="28"/>
        <v>69.69999999999996</v>
      </c>
      <c r="Q222" s="31">
        <v>168</v>
      </c>
      <c r="R222">
        <f t="shared" si="27"/>
        <v>1.117</v>
      </c>
      <c r="S222" s="41">
        <f t="shared" si="21"/>
        <v>2.6808000000000001</v>
      </c>
      <c r="T222" s="41">
        <f t="shared" si="22"/>
        <v>-8.0799999999999983E-2</v>
      </c>
      <c r="U222" s="75">
        <f t="shared" si="25"/>
        <v>87.647904938271637</v>
      </c>
      <c r="W222">
        <v>761.2</v>
      </c>
      <c r="Y222">
        <f t="shared" si="24"/>
        <v>116742.19999999994</v>
      </c>
      <c r="Z222">
        <f t="shared" si="26"/>
        <v>30613.900000000005</v>
      </c>
      <c r="AA222">
        <v>11.179429164137181</v>
      </c>
      <c r="AC222" s="2" t="s">
        <v>65</v>
      </c>
      <c r="AE222" s="2" t="s">
        <v>65</v>
      </c>
    </row>
    <row r="223" spans="1:31" x14ac:dyDescent="0.25">
      <c r="A223">
        <v>5080</v>
      </c>
      <c r="B223">
        <v>18650</v>
      </c>
      <c r="C223" s="1">
        <v>42801</v>
      </c>
      <c r="D223" s="1"/>
      <c r="E223" s="16"/>
      <c r="F223" s="64"/>
      <c r="G223">
        <v>9.5</v>
      </c>
      <c r="H223">
        <v>8.1999999999999993</v>
      </c>
      <c r="I223">
        <v>11.6</v>
      </c>
      <c r="J223" s="14">
        <f t="shared" si="23"/>
        <v>1608.2999999999997</v>
      </c>
      <c r="K223" s="14">
        <f t="shared" si="29"/>
        <v>368.2</v>
      </c>
      <c r="L223" s="1"/>
      <c r="M223" s="74">
        <v>20</v>
      </c>
      <c r="N223">
        <v>1.1000000000000001</v>
      </c>
      <c r="O223" s="14">
        <f t="shared" si="20"/>
        <v>18.899999999999999</v>
      </c>
      <c r="P223">
        <f t="shared" si="28"/>
        <v>88.599999999999966</v>
      </c>
      <c r="Q223" s="31">
        <v>169</v>
      </c>
      <c r="R223">
        <f t="shared" si="27"/>
        <v>1.1199999999999999</v>
      </c>
      <c r="S223" s="41">
        <f t="shared" si="21"/>
        <v>1.232</v>
      </c>
      <c r="T223" s="41">
        <f t="shared" si="22"/>
        <v>18.768000000000001</v>
      </c>
      <c r="U223" s="75">
        <f t="shared" si="25"/>
        <v>106.41590493827164</v>
      </c>
      <c r="W223">
        <v>302.5</v>
      </c>
      <c r="Y223">
        <f t="shared" si="24"/>
        <v>117044.69999999994</v>
      </c>
      <c r="Z223">
        <f t="shared" si="26"/>
        <v>30916.400000000005</v>
      </c>
      <c r="AA223">
        <v>11.23008644356233</v>
      </c>
      <c r="AC223">
        <v>3</v>
      </c>
      <c r="AE223">
        <f>(AC210*(60/120))+(AC223*(60/120))</f>
        <v>3.5</v>
      </c>
    </row>
    <row r="224" spans="1:31" x14ac:dyDescent="0.25">
      <c r="A224">
        <v>5080</v>
      </c>
      <c r="B224">
        <v>18650</v>
      </c>
      <c r="C224" s="1">
        <v>42802</v>
      </c>
      <c r="D224" s="1"/>
      <c r="E224" s="16"/>
      <c r="F224" s="64"/>
      <c r="G224">
        <v>11.9</v>
      </c>
      <c r="H224">
        <v>9.9</v>
      </c>
      <c r="I224">
        <v>13.5</v>
      </c>
      <c r="J224" s="14">
        <f t="shared" si="23"/>
        <v>1620.1999999999998</v>
      </c>
      <c r="K224" s="14">
        <f t="shared" si="29"/>
        <v>380.09999999999997</v>
      </c>
      <c r="L224" s="1"/>
      <c r="M224" s="74">
        <v>0</v>
      </c>
      <c r="N224">
        <v>1.2</v>
      </c>
      <c r="O224" s="14">
        <f t="shared" si="20"/>
        <v>-1.2</v>
      </c>
      <c r="P224">
        <f t="shared" si="28"/>
        <v>87.399999999999963</v>
      </c>
      <c r="Q224" s="31">
        <v>170</v>
      </c>
      <c r="R224">
        <f t="shared" si="27"/>
        <v>1.123</v>
      </c>
      <c r="S224" s="41">
        <f t="shared" si="21"/>
        <v>1.3475999999999999</v>
      </c>
      <c r="T224" s="41">
        <f t="shared" si="22"/>
        <v>-1.3475999999999999</v>
      </c>
      <c r="U224" s="75">
        <f t="shared" si="25"/>
        <v>105.06830493827164</v>
      </c>
      <c r="W224">
        <v>473.3</v>
      </c>
      <c r="Y224">
        <f t="shared" si="24"/>
        <v>117517.99999999994</v>
      </c>
      <c r="Z224">
        <f t="shared" si="26"/>
        <v>31389.700000000004</v>
      </c>
      <c r="AA224">
        <v>11.280867800805662</v>
      </c>
      <c r="AC224" s="2" t="s">
        <v>66</v>
      </c>
      <c r="AE224" s="2" t="s">
        <v>66</v>
      </c>
    </row>
    <row r="225" spans="1:31" x14ac:dyDescent="0.25">
      <c r="A225">
        <v>5080</v>
      </c>
      <c r="B225">
        <v>18650</v>
      </c>
      <c r="C225" s="1">
        <v>42803</v>
      </c>
      <c r="D225" s="1"/>
      <c r="E225" s="16"/>
      <c r="F225" s="64"/>
      <c r="G225">
        <v>11.5</v>
      </c>
      <c r="H225">
        <v>8.1999999999999993</v>
      </c>
      <c r="I225">
        <v>15</v>
      </c>
      <c r="J225" s="14">
        <f t="shared" si="23"/>
        <v>1631.6999999999998</v>
      </c>
      <c r="K225" s="14">
        <f t="shared" si="29"/>
        <v>391.59999999999997</v>
      </c>
      <c r="L225" s="1"/>
      <c r="M225" s="74">
        <v>0</v>
      </c>
      <c r="N225">
        <v>2.1</v>
      </c>
      <c r="O225" s="14">
        <f t="shared" si="20"/>
        <v>-2.1</v>
      </c>
      <c r="P225">
        <f t="shared" si="28"/>
        <v>85.299999999999969</v>
      </c>
      <c r="Q225" s="31">
        <v>171</v>
      </c>
      <c r="R225">
        <f t="shared" si="27"/>
        <v>1.1259999999999999</v>
      </c>
      <c r="S225" s="41">
        <f t="shared" si="21"/>
        <v>2.3645999999999998</v>
      </c>
      <c r="T225" s="41">
        <f t="shared" si="22"/>
        <v>-2.3645999999999998</v>
      </c>
      <c r="U225" s="75">
        <f t="shared" si="25"/>
        <v>102.70370493827164</v>
      </c>
      <c r="W225">
        <v>1328.4</v>
      </c>
      <c r="Y225">
        <f t="shared" si="24"/>
        <v>118846.39999999994</v>
      </c>
      <c r="Z225">
        <f t="shared" si="26"/>
        <v>32718.100000000006</v>
      </c>
      <c r="AA225">
        <v>11.331764151211944</v>
      </c>
      <c r="AC225">
        <v>5</v>
      </c>
      <c r="AE225">
        <f>(AC212*(60/120))+(AC225*(60/120))</f>
        <v>4.5</v>
      </c>
    </row>
    <row r="226" spans="1:31" x14ac:dyDescent="0.25">
      <c r="A226">
        <v>5080</v>
      </c>
      <c r="B226">
        <v>18650</v>
      </c>
      <c r="C226" s="1">
        <v>42804</v>
      </c>
      <c r="D226" s="1"/>
      <c r="E226" s="16"/>
      <c r="F226" s="64"/>
      <c r="G226">
        <v>10.9</v>
      </c>
      <c r="H226">
        <v>4.5999999999999996</v>
      </c>
      <c r="I226">
        <v>15.7</v>
      </c>
      <c r="J226" s="14">
        <f t="shared" si="23"/>
        <v>1642.6</v>
      </c>
      <c r="K226" s="14">
        <f t="shared" si="29"/>
        <v>402.49999999999994</v>
      </c>
      <c r="L226" s="1"/>
      <c r="M226" s="74">
        <v>0</v>
      </c>
      <c r="N226">
        <v>2.4</v>
      </c>
      <c r="O226" s="14">
        <f t="shared" si="20"/>
        <v>-2.4</v>
      </c>
      <c r="P226">
        <f t="shared" si="28"/>
        <v>82.899999999999963</v>
      </c>
      <c r="Q226" s="31">
        <v>172</v>
      </c>
      <c r="R226">
        <f t="shared" si="27"/>
        <v>1.129</v>
      </c>
      <c r="S226" s="41">
        <f t="shared" si="21"/>
        <v>2.7096</v>
      </c>
      <c r="T226" s="41">
        <f t="shared" si="22"/>
        <v>-2.7096</v>
      </c>
      <c r="U226" s="75">
        <f t="shared" si="25"/>
        <v>99.994104938271647</v>
      </c>
      <c r="W226">
        <v>1662.2</v>
      </c>
      <c r="Y226">
        <f t="shared" si="24"/>
        <v>120508.59999999993</v>
      </c>
      <c r="Z226">
        <f t="shared" si="26"/>
        <v>34380.300000000003</v>
      </c>
      <c r="AA226">
        <v>11.382766576000686</v>
      </c>
      <c r="AC226" s="2" t="s">
        <v>67</v>
      </c>
      <c r="AE226" s="2" t="s">
        <v>67</v>
      </c>
    </row>
    <row r="227" spans="1:31" x14ac:dyDescent="0.25">
      <c r="A227">
        <v>5080</v>
      </c>
      <c r="B227">
        <v>18650</v>
      </c>
      <c r="C227" s="1">
        <v>42805</v>
      </c>
      <c r="D227" s="1"/>
      <c r="E227" s="16"/>
      <c r="F227" s="64"/>
      <c r="G227">
        <v>12.8</v>
      </c>
      <c r="H227">
        <v>4.7</v>
      </c>
      <c r="I227">
        <v>19.3</v>
      </c>
      <c r="J227" s="14">
        <f t="shared" si="23"/>
        <v>1655.3999999999999</v>
      </c>
      <c r="K227" s="14">
        <f t="shared" si="29"/>
        <v>415.29999999999995</v>
      </c>
      <c r="L227" s="1"/>
      <c r="M227" s="74">
        <v>1.4</v>
      </c>
      <c r="N227">
        <v>3</v>
      </c>
      <c r="O227" s="14">
        <f t="shared" si="20"/>
        <v>-1.6</v>
      </c>
      <c r="P227">
        <f t="shared" si="28"/>
        <v>81.299999999999969</v>
      </c>
      <c r="Q227" s="31">
        <v>173</v>
      </c>
      <c r="R227">
        <f t="shared" si="27"/>
        <v>1.1319999999999999</v>
      </c>
      <c r="S227" s="41">
        <f t="shared" si="21"/>
        <v>3.3959999999999999</v>
      </c>
      <c r="T227" s="41">
        <f t="shared" si="22"/>
        <v>-1.996</v>
      </c>
      <c r="U227" s="75">
        <f t="shared" si="25"/>
        <v>97.998104938271652</v>
      </c>
      <c r="W227">
        <v>1704.9</v>
      </c>
      <c r="Y227">
        <f t="shared" si="24"/>
        <v>122213.49999999993</v>
      </c>
      <c r="Z227">
        <f t="shared" si="26"/>
        <v>36085.200000000004</v>
      </c>
      <c r="AA227">
        <v>11.433866311257168</v>
      </c>
      <c r="AC227">
        <v>0</v>
      </c>
      <c r="AE227">
        <f>(AC214*(60/120))+(AC227*(60/120))</f>
        <v>0</v>
      </c>
    </row>
    <row r="228" spans="1:31" x14ac:dyDescent="0.25">
      <c r="A228">
        <v>5080</v>
      </c>
      <c r="B228">
        <v>18650</v>
      </c>
      <c r="C228" s="1">
        <v>42806</v>
      </c>
      <c r="D228" s="1"/>
      <c r="E228" s="16"/>
      <c r="F228" s="64"/>
      <c r="G228">
        <v>11</v>
      </c>
      <c r="H228">
        <v>9.6</v>
      </c>
      <c r="I228">
        <v>11.8</v>
      </c>
      <c r="J228" s="14">
        <f t="shared" si="23"/>
        <v>1666.3999999999999</v>
      </c>
      <c r="K228" s="14">
        <f t="shared" si="29"/>
        <v>426.29999999999995</v>
      </c>
      <c r="L228" s="1"/>
      <c r="M228" s="74">
        <v>1.5</v>
      </c>
      <c r="N228">
        <v>1</v>
      </c>
      <c r="O228" s="14">
        <f t="shared" si="20"/>
        <v>0.5</v>
      </c>
      <c r="P228">
        <f t="shared" si="28"/>
        <v>81.799999999999969</v>
      </c>
      <c r="Q228" s="31">
        <v>174</v>
      </c>
      <c r="R228">
        <f t="shared" si="27"/>
        <v>1.135</v>
      </c>
      <c r="S228" s="41">
        <f t="shared" si="21"/>
        <v>1.135</v>
      </c>
      <c r="T228" s="41">
        <f t="shared" si="22"/>
        <v>0.36499999999999999</v>
      </c>
      <c r="U228" s="75">
        <f t="shared" si="25"/>
        <v>98.363104938271647</v>
      </c>
      <c r="W228">
        <v>295.60000000000002</v>
      </c>
      <c r="Y228">
        <f t="shared" si="24"/>
        <v>122509.09999999993</v>
      </c>
      <c r="Z228">
        <f t="shared" si="26"/>
        <v>36380.800000000003</v>
      </c>
      <c r="AA228">
        <v>11.485054736726131</v>
      </c>
      <c r="AC228" s="2" t="s">
        <v>68</v>
      </c>
      <c r="AE228" s="2" t="s">
        <v>68</v>
      </c>
    </row>
    <row r="229" spans="1:31" x14ac:dyDescent="0.25">
      <c r="A229">
        <v>5080</v>
      </c>
      <c r="B229">
        <v>18650</v>
      </c>
      <c r="C229" s="1">
        <v>42807</v>
      </c>
      <c r="D229" s="1"/>
      <c r="E229" s="16"/>
      <c r="F229" s="64"/>
      <c r="G229">
        <v>10.4</v>
      </c>
      <c r="H229">
        <v>9.3000000000000007</v>
      </c>
      <c r="I229">
        <v>12</v>
      </c>
      <c r="J229" s="14">
        <f t="shared" si="23"/>
        <v>1676.8</v>
      </c>
      <c r="K229" s="14">
        <f t="shared" si="29"/>
        <v>436.69999999999993</v>
      </c>
      <c r="L229" s="1"/>
      <c r="M229" s="74">
        <v>0.2</v>
      </c>
      <c r="N229">
        <v>0.8</v>
      </c>
      <c r="O229" s="14">
        <f t="shared" si="20"/>
        <v>-0.60000000000000009</v>
      </c>
      <c r="P229">
        <f t="shared" si="28"/>
        <v>81.199999999999974</v>
      </c>
      <c r="Q229" s="31">
        <v>175</v>
      </c>
      <c r="R229">
        <f t="shared" si="27"/>
        <v>1.1379999999999999</v>
      </c>
      <c r="S229" s="41">
        <f t="shared" si="21"/>
        <v>0.91039999999999999</v>
      </c>
      <c r="T229" s="41">
        <f t="shared" si="22"/>
        <v>-0.71039999999999992</v>
      </c>
      <c r="U229" s="75">
        <f t="shared" si="25"/>
        <v>97.652704938271654</v>
      </c>
      <c r="W229">
        <v>433.6</v>
      </c>
      <c r="Y229">
        <f t="shared" si="24"/>
        <v>122942.69999999994</v>
      </c>
      <c r="Z229">
        <f t="shared" si="26"/>
        <v>36814.400000000001</v>
      </c>
      <c r="AA229">
        <v>11.536323364427419</v>
      </c>
      <c r="AC229">
        <f>SUM(M231:M240)</f>
        <v>15.7</v>
      </c>
      <c r="AE229">
        <f>(AC216*(60/120))+(AC229*(60/120))</f>
        <v>33.4</v>
      </c>
    </row>
    <row r="230" spans="1:31" s="68" customFormat="1" x14ac:dyDescent="0.25">
      <c r="A230" s="68">
        <v>5080</v>
      </c>
      <c r="B230" s="68">
        <v>18650</v>
      </c>
      <c r="C230" s="69">
        <v>42808</v>
      </c>
      <c r="D230" s="69" t="s">
        <v>63</v>
      </c>
      <c r="E230" s="70"/>
      <c r="F230" s="64"/>
      <c r="G230" s="68">
        <v>11.1</v>
      </c>
      <c r="H230" s="68">
        <v>8.1999999999999993</v>
      </c>
      <c r="I230" s="68">
        <v>13.9</v>
      </c>
      <c r="J230" s="71">
        <f t="shared" si="23"/>
        <v>1687.8999999999999</v>
      </c>
      <c r="K230" s="71">
        <f t="shared" si="29"/>
        <v>447.79999999999995</v>
      </c>
      <c r="L230" s="69"/>
      <c r="M230" s="68">
        <v>0.1</v>
      </c>
      <c r="N230" s="68">
        <v>1.6</v>
      </c>
      <c r="O230" s="71">
        <f t="shared" si="20"/>
        <v>-1.5</v>
      </c>
      <c r="P230" s="68">
        <f t="shared" si="28"/>
        <v>79.699999999999974</v>
      </c>
      <c r="Q230" s="72">
        <v>176</v>
      </c>
      <c r="R230" s="68">
        <f t="shared" si="27"/>
        <v>1.141</v>
      </c>
      <c r="S230" s="73">
        <f t="shared" si="21"/>
        <v>1.8256000000000001</v>
      </c>
      <c r="T230" s="73">
        <f t="shared" si="22"/>
        <v>-1.7256</v>
      </c>
      <c r="U230" s="73">
        <f t="shared" si="25"/>
        <v>95.927104938271654</v>
      </c>
      <c r="W230" s="68">
        <v>1225.8</v>
      </c>
      <c r="Y230" s="68">
        <f t="shared" si="24"/>
        <v>124168.49999999994</v>
      </c>
      <c r="Z230" s="68">
        <f t="shared" si="26"/>
        <v>38040.200000000004</v>
      </c>
      <c r="AA230" s="68">
        <v>11.58766382711195</v>
      </c>
    </row>
    <row r="231" spans="1:31" x14ac:dyDescent="0.25">
      <c r="A231">
        <v>5080</v>
      </c>
      <c r="B231">
        <v>18650</v>
      </c>
      <c r="C231" s="1">
        <v>42809</v>
      </c>
      <c r="D231" s="1"/>
      <c r="E231" s="16"/>
      <c r="F231" s="64"/>
      <c r="G231">
        <v>9.5</v>
      </c>
      <c r="H231">
        <v>4.2</v>
      </c>
      <c r="I231">
        <v>14.1</v>
      </c>
      <c r="J231" s="14">
        <f t="shared" si="23"/>
        <v>1697.3999999999999</v>
      </c>
      <c r="K231" s="14">
        <f t="shared" si="29"/>
        <v>457.29999999999995</v>
      </c>
      <c r="L231" s="1"/>
      <c r="M231" s="74">
        <v>0.1</v>
      </c>
      <c r="N231">
        <v>1.6</v>
      </c>
      <c r="O231" s="14">
        <f t="shared" si="20"/>
        <v>-1.5</v>
      </c>
      <c r="P231">
        <f t="shared" si="28"/>
        <v>78.199999999999974</v>
      </c>
      <c r="Q231" s="31">
        <v>177</v>
      </c>
      <c r="R231">
        <f t="shared" si="27"/>
        <v>1.1439999999999999</v>
      </c>
      <c r="S231" s="41">
        <f t="shared" si="21"/>
        <v>1.8304</v>
      </c>
      <c r="T231" s="41">
        <f t="shared" si="22"/>
        <v>-1.7303999999999999</v>
      </c>
      <c r="U231" s="75">
        <f>MIN(U230+T231,157.8)</f>
        <v>94.196704938271651</v>
      </c>
      <c r="W231">
        <v>1356.8</v>
      </c>
      <c r="Y231">
        <f t="shared" si="24"/>
        <v>125525.29999999994</v>
      </c>
      <c r="Z231">
        <f t="shared" si="26"/>
        <v>39397.000000000007</v>
      </c>
      <c r="AA231">
        <v>11.639067866575422</v>
      </c>
    </row>
    <row r="232" spans="1:31" x14ac:dyDescent="0.25">
      <c r="A232">
        <v>5080</v>
      </c>
      <c r="B232">
        <v>18650</v>
      </c>
      <c r="C232" s="1">
        <v>42810</v>
      </c>
      <c r="D232" s="1"/>
      <c r="E232" s="16"/>
      <c r="F232" s="64"/>
      <c r="G232">
        <v>12.3</v>
      </c>
      <c r="H232">
        <v>4.5999999999999996</v>
      </c>
      <c r="I232">
        <v>18.2</v>
      </c>
      <c r="J232" s="14">
        <f t="shared" si="23"/>
        <v>1709.6999999999998</v>
      </c>
      <c r="K232" s="14">
        <f t="shared" si="29"/>
        <v>469.59999999999997</v>
      </c>
      <c r="L232" s="1"/>
      <c r="M232" s="74">
        <v>0</v>
      </c>
      <c r="N232">
        <v>3.2</v>
      </c>
      <c r="O232" s="14">
        <f t="shared" si="20"/>
        <v>-3.2</v>
      </c>
      <c r="P232">
        <f t="shared" si="28"/>
        <v>74.999999999999972</v>
      </c>
      <c r="Q232" s="31">
        <v>178</v>
      </c>
      <c r="R232">
        <f t="shared" si="27"/>
        <v>1.1469999999999998</v>
      </c>
      <c r="S232" s="41">
        <f t="shared" si="21"/>
        <v>3.6703999999999994</v>
      </c>
      <c r="T232" s="41">
        <f t="shared" si="22"/>
        <v>-3.6703999999999994</v>
      </c>
      <c r="U232" s="75">
        <f t="shared" si="25"/>
        <v>90.52630493827165</v>
      </c>
      <c r="W232">
        <v>1923.5</v>
      </c>
      <c r="Y232">
        <f t="shared" si="24"/>
        <v>127448.79999999994</v>
      </c>
      <c r="Z232">
        <f t="shared" si="26"/>
        <v>41320.500000000007</v>
      </c>
      <c r="AA232">
        <v>11.69052732184643</v>
      </c>
    </row>
    <row r="233" spans="1:31" s="42" customFormat="1" ht="15.75" thickBot="1" x14ac:dyDescent="0.3">
      <c r="A233" s="42">
        <v>5080</v>
      </c>
      <c r="B233" s="42">
        <v>18650</v>
      </c>
      <c r="C233" s="43">
        <v>42811</v>
      </c>
      <c r="D233" s="43"/>
      <c r="E233" s="23"/>
      <c r="F233" s="64"/>
      <c r="G233" s="42">
        <v>12.4</v>
      </c>
      <c r="H233" s="42">
        <v>6.1</v>
      </c>
      <c r="I233" s="42">
        <v>17.7</v>
      </c>
      <c r="J233" s="44">
        <f t="shared" si="23"/>
        <v>1722.1</v>
      </c>
      <c r="K233" s="44">
        <f t="shared" si="29"/>
        <v>481.99999999999994</v>
      </c>
      <c r="L233" s="43"/>
      <c r="M233" s="76">
        <v>0</v>
      </c>
      <c r="N233" s="42">
        <v>3</v>
      </c>
      <c r="O233" s="44">
        <f t="shared" si="20"/>
        <v>-3</v>
      </c>
      <c r="P233" s="42">
        <f t="shared" si="28"/>
        <v>71.999999999999972</v>
      </c>
      <c r="Q233" s="55">
        <v>179</v>
      </c>
      <c r="R233">
        <f t="shared" si="27"/>
        <v>1.1499999999999999</v>
      </c>
      <c r="S233" s="45">
        <f t="shared" si="21"/>
        <v>3.4499999999999997</v>
      </c>
      <c r="T233" s="45">
        <f t="shared" si="22"/>
        <v>-3.4499999999999997</v>
      </c>
      <c r="U233" s="75">
        <f t="shared" si="25"/>
        <v>87.076304938271647</v>
      </c>
      <c r="W233" s="42">
        <v>1891.4</v>
      </c>
      <c r="Y233" s="42">
        <f t="shared" si="24"/>
        <v>129340.19999999994</v>
      </c>
      <c r="Z233" s="42">
        <f t="shared" si="26"/>
        <v>43211.900000000009</v>
      </c>
      <c r="AA233" s="42">
        <v>11.74203411726481</v>
      </c>
    </row>
    <row r="234" spans="1:31" s="50" customFormat="1" ht="15" customHeight="1" x14ac:dyDescent="0.25">
      <c r="A234" s="50">
        <v>5080</v>
      </c>
      <c r="B234" s="50">
        <v>18650</v>
      </c>
      <c r="C234" s="51">
        <v>42812</v>
      </c>
      <c r="D234" s="1" t="s">
        <v>9</v>
      </c>
      <c r="E234" s="52"/>
      <c r="F234" s="65" t="s">
        <v>47</v>
      </c>
      <c r="G234" s="50">
        <v>10.4</v>
      </c>
      <c r="H234" s="50">
        <v>9.1</v>
      </c>
      <c r="I234" s="50">
        <v>11.7</v>
      </c>
      <c r="J234" s="53">
        <f t="shared" si="23"/>
        <v>1732.5</v>
      </c>
      <c r="K234" s="53">
        <f>G234</f>
        <v>10.4</v>
      </c>
      <c r="L234" s="25" t="s">
        <v>37</v>
      </c>
      <c r="M234" s="77">
        <v>0</v>
      </c>
      <c r="N234" s="50">
        <v>1.5</v>
      </c>
      <c r="O234" s="53">
        <f t="shared" si="20"/>
        <v>-1.5</v>
      </c>
      <c r="P234" s="50">
        <f t="shared" si="28"/>
        <v>70.499999999999972</v>
      </c>
      <c r="Q234" s="50">
        <v>180</v>
      </c>
      <c r="R234" s="50">
        <v>1.1499999999999999</v>
      </c>
      <c r="S234" s="54">
        <f t="shared" si="21"/>
        <v>1.7249999999999999</v>
      </c>
      <c r="T234" s="54">
        <f t="shared" si="22"/>
        <v>-1.7249999999999999</v>
      </c>
      <c r="U234" s="75">
        <f t="shared" si="25"/>
        <v>85.351304938271653</v>
      </c>
      <c r="V234" s="35" t="s">
        <v>50</v>
      </c>
      <c r="W234" s="50">
        <v>640.79999999999995</v>
      </c>
      <c r="Y234" s="50">
        <f t="shared" si="24"/>
        <v>129980.99999999994</v>
      </c>
      <c r="Z234" s="50">
        <f>W234</f>
        <v>640.79999999999995</v>
      </c>
      <c r="AA234" s="50">
        <v>11.793580250465467</v>
      </c>
      <c r="AB234" s="35" t="s">
        <v>56</v>
      </c>
    </row>
    <row r="235" spans="1:31" ht="15" customHeight="1" x14ac:dyDescent="0.25">
      <c r="A235">
        <v>5080</v>
      </c>
      <c r="B235">
        <v>18650</v>
      </c>
      <c r="C235" s="1">
        <v>42813</v>
      </c>
      <c r="E235" s="16"/>
      <c r="F235" s="65"/>
      <c r="G235">
        <v>10.5</v>
      </c>
      <c r="H235">
        <v>5</v>
      </c>
      <c r="I235">
        <v>14</v>
      </c>
      <c r="J235" s="14">
        <f t="shared" si="23"/>
        <v>1743</v>
      </c>
      <c r="K235" s="14">
        <f>K234+G235</f>
        <v>20.9</v>
      </c>
      <c r="L235" s="8">
        <v>237.7</v>
      </c>
      <c r="M235" s="74">
        <v>0</v>
      </c>
      <c r="N235">
        <v>2</v>
      </c>
      <c r="O235" s="14">
        <f t="shared" si="20"/>
        <v>-2</v>
      </c>
      <c r="P235">
        <f t="shared" si="28"/>
        <v>68.499999999999972</v>
      </c>
      <c r="Q235" s="31">
        <v>181</v>
      </c>
      <c r="R235">
        <v>1.1499999999999999</v>
      </c>
      <c r="S235" s="41">
        <f t="shared" si="21"/>
        <v>2.2999999999999998</v>
      </c>
      <c r="T235" s="41">
        <f t="shared" si="22"/>
        <v>-2.2999999999999998</v>
      </c>
      <c r="U235" s="75">
        <f t="shared" si="25"/>
        <v>83.051304938271656</v>
      </c>
      <c r="V235">
        <v>0</v>
      </c>
      <c r="W235">
        <v>1483.4</v>
      </c>
      <c r="Y235">
        <f t="shared" si="24"/>
        <v>131464.39999999994</v>
      </c>
      <c r="Z235">
        <f>Z234+W235</f>
        <v>2124.1999999999998</v>
      </c>
      <c r="AA235">
        <v>11.845157780282259</v>
      </c>
      <c r="AB235">
        <v>27454.6</v>
      </c>
    </row>
    <row r="236" spans="1:31" x14ac:dyDescent="0.25">
      <c r="A236">
        <v>5080</v>
      </c>
      <c r="B236">
        <v>18650</v>
      </c>
      <c r="C236" s="1">
        <v>42814</v>
      </c>
      <c r="D236" s="1"/>
      <c r="E236" s="16"/>
      <c r="F236" s="65"/>
      <c r="G236">
        <v>10.9</v>
      </c>
      <c r="H236">
        <v>8.8000000000000007</v>
      </c>
      <c r="I236">
        <v>13.2</v>
      </c>
      <c r="J236" s="14">
        <f t="shared" si="23"/>
        <v>1753.9</v>
      </c>
      <c r="K236" s="14">
        <f t="shared" si="29"/>
        <v>31.799999999999997</v>
      </c>
      <c r="L236" s="25" t="s">
        <v>38</v>
      </c>
      <c r="M236" s="74">
        <v>0</v>
      </c>
      <c r="N236">
        <v>1.1000000000000001</v>
      </c>
      <c r="O236" s="14">
        <f t="shared" si="20"/>
        <v>-1.1000000000000001</v>
      </c>
      <c r="P236">
        <f t="shared" si="28"/>
        <v>67.399999999999977</v>
      </c>
      <c r="Q236" s="31">
        <v>182</v>
      </c>
      <c r="R236">
        <v>1.1499999999999999</v>
      </c>
      <c r="S236" s="41">
        <f t="shared" si="21"/>
        <v>1.2649999999999999</v>
      </c>
      <c r="T236" s="41">
        <f t="shared" si="22"/>
        <v>-1.2649999999999999</v>
      </c>
      <c r="U236" s="75">
        <f t="shared" si="25"/>
        <v>81.786304938271655</v>
      </c>
      <c r="V236" s="35" t="s">
        <v>51</v>
      </c>
      <c r="W236">
        <v>506.8</v>
      </c>
      <c r="Y236">
        <f t="shared" si="24"/>
        <v>131971.19999999992</v>
      </c>
      <c r="Z236">
        <f>Z235+W236</f>
        <v>2631</v>
      </c>
      <c r="AA236">
        <v>11.896758814586057</v>
      </c>
      <c r="AB236" s="35" t="s">
        <v>57</v>
      </c>
    </row>
    <row r="237" spans="1:31" x14ac:dyDescent="0.25">
      <c r="A237">
        <v>5080</v>
      </c>
      <c r="B237">
        <v>18650</v>
      </c>
      <c r="C237" s="1">
        <v>42815</v>
      </c>
      <c r="D237" s="1"/>
      <c r="E237" s="1"/>
      <c r="F237" s="65"/>
      <c r="G237">
        <v>9.3000000000000007</v>
      </c>
      <c r="H237">
        <v>8.1999999999999993</v>
      </c>
      <c r="I237">
        <v>12.7</v>
      </c>
      <c r="J237" s="14">
        <f t="shared" si="23"/>
        <v>1763.2</v>
      </c>
      <c r="K237" s="14">
        <f t="shared" si="29"/>
        <v>41.099999999999994</v>
      </c>
      <c r="L237" s="26">
        <f>AVERAGE(G234:G254)</f>
        <v>11.319047619047618</v>
      </c>
      <c r="M237" s="74">
        <v>0.6</v>
      </c>
      <c r="N237">
        <v>1.7</v>
      </c>
      <c r="O237" s="14">
        <f t="shared" si="20"/>
        <v>-1.1000000000000001</v>
      </c>
      <c r="P237">
        <f t="shared" si="28"/>
        <v>66.299999999999983</v>
      </c>
      <c r="Q237" s="31">
        <v>183</v>
      </c>
      <c r="R237">
        <v>1.1499999999999999</v>
      </c>
      <c r="S237" s="41">
        <f t="shared" si="21"/>
        <v>1.9549999999999998</v>
      </c>
      <c r="T237" s="41">
        <f t="shared" si="22"/>
        <v>-1.355</v>
      </c>
      <c r="U237" s="75">
        <f t="shared" si="25"/>
        <v>80.431304938271651</v>
      </c>
      <c r="V237">
        <v>0</v>
      </c>
      <c r="W237">
        <v>674.8</v>
      </c>
      <c r="Y237">
        <f t="shared" si="24"/>
        <v>132645.99999999991</v>
      </c>
      <c r="Z237">
        <f t="shared" ref="Z237:Z254" si="30">Z236+W237</f>
        <v>3305.8</v>
      </c>
      <c r="AA237">
        <v>11.948375498070684</v>
      </c>
      <c r="AB237" s="41">
        <f>(AB235/100)/L235</f>
        <v>1.155010517458982</v>
      </c>
    </row>
    <row r="238" spans="1:31" x14ac:dyDescent="0.25">
      <c r="A238">
        <v>5080</v>
      </c>
      <c r="B238">
        <v>18650</v>
      </c>
      <c r="C238" s="1">
        <v>42816</v>
      </c>
      <c r="D238" s="1"/>
      <c r="E238" s="1"/>
      <c r="F238" s="65"/>
      <c r="G238">
        <v>9.1</v>
      </c>
      <c r="H238">
        <v>4.5999999999999996</v>
      </c>
      <c r="I238">
        <v>13.4</v>
      </c>
      <c r="J238" s="14">
        <f t="shared" si="23"/>
        <v>1772.3</v>
      </c>
      <c r="K238" s="14">
        <f t="shared" si="29"/>
        <v>50.199999999999996</v>
      </c>
      <c r="L238" s="25" t="s">
        <v>39</v>
      </c>
      <c r="M238" s="74">
        <v>4.2</v>
      </c>
      <c r="N238">
        <v>2</v>
      </c>
      <c r="O238" s="14">
        <f t="shared" si="20"/>
        <v>2.2000000000000002</v>
      </c>
      <c r="P238">
        <f t="shared" si="28"/>
        <v>68.499999999999986</v>
      </c>
      <c r="Q238" s="31">
        <v>184</v>
      </c>
      <c r="R238">
        <v>1.1499999999999999</v>
      </c>
      <c r="S238" s="41">
        <f t="shared" si="21"/>
        <v>2.2999999999999998</v>
      </c>
      <c r="T238" s="41">
        <f t="shared" si="22"/>
        <v>1.9000000000000004</v>
      </c>
      <c r="U238" s="75">
        <f t="shared" si="25"/>
        <v>82.331304938271657</v>
      </c>
      <c r="V238" s="35" t="s">
        <v>52</v>
      </c>
      <c r="W238">
        <v>1535.4</v>
      </c>
      <c r="Y238">
        <f t="shared" si="24"/>
        <v>134181.39999999991</v>
      </c>
      <c r="Z238">
        <f t="shared" si="30"/>
        <v>4841.2000000000007</v>
      </c>
      <c r="AA238">
        <v>12</v>
      </c>
      <c r="AB238" s="35" t="s">
        <v>58</v>
      </c>
    </row>
    <row r="239" spans="1:31" x14ac:dyDescent="0.25">
      <c r="A239">
        <v>5080</v>
      </c>
      <c r="B239">
        <v>18650</v>
      </c>
      <c r="C239" s="1">
        <v>42817</v>
      </c>
      <c r="D239" s="1"/>
      <c r="E239" s="1"/>
      <c r="F239" s="65"/>
      <c r="G239">
        <v>7.7</v>
      </c>
      <c r="H239">
        <v>5</v>
      </c>
      <c r="I239">
        <v>11.2</v>
      </c>
      <c r="J239" s="14">
        <f t="shared" si="23"/>
        <v>1780</v>
      </c>
      <c r="K239" s="14">
        <f t="shared" si="29"/>
        <v>57.9</v>
      </c>
      <c r="L239" s="9">
        <f>MIN(H234:H254)</f>
        <v>3.3</v>
      </c>
      <c r="M239" s="74">
        <v>1.7</v>
      </c>
      <c r="N239">
        <v>1.6</v>
      </c>
      <c r="O239" s="14">
        <f t="shared" si="20"/>
        <v>9.9999999999999867E-2</v>
      </c>
      <c r="P239">
        <f t="shared" si="28"/>
        <v>68.59999999999998</v>
      </c>
      <c r="Q239" s="31">
        <v>185</v>
      </c>
      <c r="R239">
        <v>1.1499999999999999</v>
      </c>
      <c r="S239" s="41">
        <f t="shared" si="21"/>
        <v>1.8399999999999999</v>
      </c>
      <c r="T239" s="41">
        <f t="shared" si="22"/>
        <v>-0.1399999999999999</v>
      </c>
      <c r="U239" s="75">
        <f t="shared" si="25"/>
        <v>82.191304938271657</v>
      </c>
      <c r="V239" s="41">
        <f>MIN(U234:U254)</f>
        <v>69.361304938271672</v>
      </c>
      <c r="W239">
        <v>1065.3</v>
      </c>
      <c r="Y239">
        <f t="shared" si="24"/>
        <v>135246.6999999999</v>
      </c>
      <c r="Z239">
        <f t="shared" si="30"/>
        <v>5906.5000000000009</v>
      </c>
      <c r="AA239">
        <v>12.051624501929316</v>
      </c>
      <c r="AB239">
        <v>6</v>
      </c>
    </row>
    <row r="240" spans="1:31" x14ac:dyDescent="0.25">
      <c r="A240">
        <v>5080</v>
      </c>
      <c r="B240">
        <v>18650</v>
      </c>
      <c r="C240" s="1">
        <v>42818</v>
      </c>
      <c r="D240" s="1"/>
      <c r="E240" s="1"/>
      <c r="F240" s="65"/>
      <c r="G240">
        <v>6.6</v>
      </c>
      <c r="H240">
        <v>3.3</v>
      </c>
      <c r="I240">
        <v>10.199999999999999</v>
      </c>
      <c r="J240" s="14">
        <f t="shared" si="23"/>
        <v>1786.6</v>
      </c>
      <c r="K240" s="14">
        <f t="shared" si="29"/>
        <v>64.5</v>
      </c>
      <c r="L240" s="25" t="s">
        <v>40</v>
      </c>
      <c r="M240" s="74">
        <v>9.1</v>
      </c>
      <c r="N240">
        <v>0.8</v>
      </c>
      <c r="O240" s="14">
        <f t="shared" si="20"/>
        <v>8.2999999999999989</v>
      </c>
      <c r="P240">
        <f t="shared" si="28"/>
        <v>76.899999999999977</v>
      </c>
      <c r="Q240" s="31">
        <v>186</v>
      </c>
      <c r="R240">
        <v>1.1499999999999999</v>
      </c>
      <c r="S240" s="41">
        <f t="shared" si="21"/>
        <v>0.91999999999999993</v>
      </c>
      <c r="T240" s="41">
        <f t="shared" si="22"/>
        <v>8.18</v>
      </c>
      <c r="U240" s="75">
        <f t="shared" si="25"/>
        <v>90.371304938271663</v>
      </c>
      <c r="V240" s="35" t="s">
        <v>53</v>
      </c>
      <c r="W240">
        <v>681</v>
      </c>
      <c r="Y240">
        <f t="shared" si="24"/>
        <v>135927.6999999999</v>
      </c>
      <c r="Z240">
        <f t="shared" si="30"/>
        <v>6587.5000000000009</v>
      </c>
      <c r="AA240">
        <v>12.103241185413941</v>
      </c>
    </row>
    <row r="241" spans="1:28" x14ac:dyDescent="0.25">
      <c r="A241">
        <v>5080</v>
      </c>
      <c r="B241">
        <v>18650</v>
      </c>
      <c r="C241" s="1">
        <v>42819</v>
      </c>
      <c r="D241" s="1"/>
      <c r="E241" s="1"/>
      <c r="F241" s="65"/>
      <c r="G241">
        <v>8.4</v>
      </c>
      <c r="H241">
        <v>5.6</v>
      </c>
      <c r="I241">
        <v>12.9</v>
      </c>
      <c r="J241" s="14">
        <f t="shared" si="23"/>
        <v>1795</v>
      </c>
      <c r="K241" s="14">
        <f t="shared" si="29"/>
        <v>72.900000000000006</v>
      </c>
      <c r="L241" s="8">
        <f>MAX(I234:I254)</f>
        <v>21.8</v>
      </c>
      <c r="M241">
        <v>1.8</v>
      </c>
      <c r="N241">
        <v>1.4</v>
      </c>
      <c r="O241" s="14">
        <f t="shared" si="20"/>
        <v>0.40000000000000013</v>
      </c>
      <c r="P241">
        <f t="shared" si="28"/>
        <v>77.299999999999983</v>
      </c>
      <c r="Q241" s="31">
        <v>187</v>
      </c>
      <c r="R241">
        <v>1.1499999999999999</v>
      </c>
      <c r="S241" s="41">
        <f t="shared" si="21"/>
        <v>1.6099999999999999</v>
      </c>
      <c r="T241" s="41">
        <f t="shared" si="22"/>
        <v>0.19000000000000017</v>
      </c>
      <c r="U241" s="41">
        <f t="shared" si="25"/>
        <v>90.561304938271661</v>
      </c>
      <c r="V241" s="41">
        <f>MAX(U234:U254)</f>
        <v>90.561304938271661</v>
      </c>
      <c r="W241">
        <v>792.5</v>
      </c>
      <c r="Y241">
        <f t="shared" si="24"/>
        <v>136720.1999999999</v>
      </c>
      <c r="Z241">
        <f t="shared" si="30"/>
        <v>7380.0000000000009</v>
      </c>
      <c r="AA241">
        <v>12.154842219717739</v>
      </c>
    </row>
    <row r="242" spans="1:28" x14ac:dyDescent="0.25">
      <c r="A242">
        <v>5080</v>
      </c>
      <c r="B242">
        <v>18650</v>
      </c>
      <c r="C242" s="1">
        <v>42820</v>
      </c>
      <c r="D242" s="1"/>
      <c r="E242" s="1"/>
      <c r="F242" s="65"/>
      <c r="G242">
        <v>11.2</v>
      </c>
      <c r="H242">
        <v>4.9000000000000004</v>
      </c>
      <c r="I242">
        <v>16.5</v>
      </c>
      <c r="J242" s="14">
        <f t="shared" si="23"/>
        <v>1806.2</v>
      </c>
      <c r="K242" s="14">
        <f t="shared" si="29"/>
        <v>84.100000000000009</v>
      </c>
      <c r="L242" s="25" t="s">
        <v>41</v>
      </c>
      <c r="M242">
        <v>0</v>
      </c>
      <c r="N242">
        <v>2.6</v>
      </c>
      <c r="O242" s="14">
        <f t="shared" si="20"/>
        <v>-2.6</v>
      </c>
      <c r="P242">
        <f t="shared" si="28"/>
        <v>74.699999999999989</v>
      </c>
      <c r="Q242" s="31">
        <v>188</v>
      </c>
      <c r="R242">
        <v>1.1499999999999999</v>
      </c>
      <c r="S242" s="41">
        <f t="shared" si="21"/>
        <v>2.9899999999999998</v>
      </c>
      <c r="T242" s="41">
        <f t="shared" si="22"/>
        <v>-2.9899999999999998</v>
      </c>
      <c r="U242" s="41">
        <f t="shared" si="25"/>
        <v>87.571304938271666</v>
      </c>
      <c r="V242" s="35" t="s">
        <v>54</v>
      </c>
      <c r="W242">
        <v>1745.2</v>
      </c>
      <c r="Y242">
        <f t="shared" si="24"/>
        <v>138465.39999999991</v>
      </c>
      <c r="Z242">
        <f t="shared" si="30"/>
        <v>9125.2000000000007</v>
      </c>
      <c r="AA242">
        <v>12.206419749534533</v>
      </c>
    </row>
    <row r="243" spans="1:28" x14ac:dyDescent="0.25">
      <c r="A243">
        <v>5080</v>
      </c>
      <c r="B243">
        <v>18650</v>
      </c>
      <c r="C243" s="1">
        <v>42821</v>
      </c>
      <c r="D243" s="1"/>
      <c r="E243" s="1"/>
      <c r="F243" s="65"/>
      <c r="G243">
        <v>12.4</v>
      </c>
      <c r="H243">
        <v>8.4</v>
      </c>
      <c r="I243">
        <v>16.100000000000001</v>
      </c>
      <c r="J243" s="14">
        <f t="shared" si="23"/>
        <v>1818.6000000000001</v>
      </c>
      <c r="K243" s="14">
        <f t="shared" si="29"/>
        <v>96.500000000000014</v>
      </c>
      <c r="L243" s="8">
        <v>0</v>
      </c>
      <c r="M243">
        <v>0</v>
      </c>
      <c r="N243">
        <v>2.4</v>
      </c>
      <c r="O243" s="14">
        <f t="shared" si="20"/>
        <v>-2.4</v>
      </c>
      <c r="P243">
        <f t="shared" si="28"/>
        <v>72.299999999999983</v>
      </c>
      <c r="Q243" s="31">
        <v>189</v>
      </c>
      <c r="R243">
        <v>1.1499999999999999</v>
      </c>
      <c r="S243" s="41">
        <f t="shared" si="21"/>
        <v>2.76</v>
      </c>
      <c r="T243" s="41">
        <f t="shared" si="22"/>
        <v>-2.76</v>
      </c>
      <c r="U243" s="41">
        <f t="shared" si="25"/>
        <v>84.811304938271661</v>
      </c>
      <c r="V243" s="41">
        <f>AVERAGE(U234:U254)</f>
        <v>82.052971604938321</v>
      </c>
      <c r="W243">
        <v>1402.5</v>
      </c>
      <c r="Y243">
        <f t="shared" si="24"/>
        <v>139867.89999999991</v>
      </c>
      <c r="Z243">
        <f t="shared" si="30"/>
        <v>10527.7</v>
      </c>
      <c r="AA243">
        <v>12.25796588273519</v>
      </c>
    </row>
    <row r="244" spans="1:28" x14ac:dyDescent="0.25">
      <c r="A244">
        <v>5080</v>
      </c>
      <c r="B244">
        <v>18650</v>
      </c>
      <c r="C244" s="1">
        <v>42822</v>
      </c>
      <c r="D244" s="1"/>
      <c r="E244" s="1"/>
      <c r="F244" s="65"/>
      <c r="G244">
        <v>13.6</v>
      </c>
      <c r="H244">
        <v>8.1</v>
      </c>
      <c r="I244">
        <v>18.3</v>
      </c>
      <c r="J244" s="14">
        <f t="shared" si="23"/>
        <v>1832.2</v>
      </c>
      <c r="K244" s="14">
        <f t="shared" si="29"/>
        <v>110.10000000000001</v>
      </c>
      <c r="L244" s="25" t="s">
        <v>42</v>
      </c>
      <c r="M244">
        <v>0.2</v>
      </c>
      <c r="N244">
        <v>2.7</v>
      </c>
      <c r="O244" s="14">
        <f t="shared" si="20"/>
        <v>-2.5</v>
      </c>
      <c r="P244">
        <f t="shared" si="28"/>
        <v>69.799999999999983</v>
      </c>
      <c r="Q244" s="31">
        <v>190</v>
      </c>
      <c r="R244">
        <v>1.1499999999999999</v>
      </c>
      <c r="S244" s="41">
        <f t="shared" si="21"/>
        <v>3.105</v>
      </c>
      <c r="T244" s="41">
        <f t="shared" si="22"/>
        <v>-2.9049999999999998</v>
      </c>
      <c r="U244" s="41">
        <f t="shared" si="25"/>
        <v>81.90630493827166</v>
      </c>
      <c r="W244">
        <v>1528.2</v>
      </c>
      <c r="Y244">
        <f t="shared" si="24"/>
        <v>141396.09999999992</v>
      </c>
      <c r="Z244">
        <f t="shared" si="30"/>
        <v>12055.900000000001</v>
      </c>
      <c r="AA244">
        <v>12.30947267815357</v>
      </c>
    </row>
    <row r="245" spans="1:28" x14ac:dyDescent="0.25">
      <c r="A245">
        <v>5080</v>
      </c>
      <c r="B245">
        <v>18650</v>
      </c>
      <c r="C245" s="1">
        <v>42823</v>
      </c>
      <c r="D245" s="1"/>
      <c r="E245" s="1"/>
      <c r="F245" s="65"/>
      <c r="G245">
        <v>14.1</v>
      </c>
      <c r="H245">
        <v>7.3</v>
      </c>
      <c r="I245">
        <v>20.100000000000001</v>
      </c>
      <c r="J245" s="14">
        <f t="shared" si="23"/>
        <v>1846.3</v>
      </c>
      <c r="K245" s="14">
        <f t="shared" si="29"/>
        <v>124.2</v>
      </c>
      <c r="L245" s="8">
        <v>6</v>
      </c>
      <c r="M245">
        <v>0</v>
      </c>
      <c r="N245">
        <v>3.4</v>
      </c>
      <c r="O245" s="14">
        <f t="shared" si="20"/>
        <v>-3.4</v>
      </c>
      <c r="P245">
        <f t="shared" si="28"/>
        <v>66.399999999999977</v>
      </c>
      <c r="Q245" s="31">
        <v>191</v>
      </c>
      <c r="R245">
        <v>1.1499999999999999</v>
      </c>
      <c r="S245" s="41">
        <f t="shared" si="21"/>
        <v>3.9099999999999997</v>
      </c>
      <c r="T245" s="41">
        <f t="shared" si="22"/>
        <v>-3.9099999999999997</v>
      </c>
      <c r="U245" s="41">
        <f t="shared" si="25"/>
        <v>77.996304938271663</v>
      </c>
      <c r="V245" s="56">
        <f>(V243*100)/157.8</f>
        <v>51.998080864979919</v>
      </c>
      <c r="W245">
        <v>1902.7</v>
      </c>
      <c r="Y245">
        <f t="shared" si="24"/>
        <v>143298.79999999993</v>
      </c>
      <c r="Z245">
        <f t="shared" si="30"/>
        <v>13958.600000000002</v>
      </c>
      <c r="AA245">
        <v>12.360932133424578</v>
      </c>
    </row>
    <row r="246" spans="1:28" x14ac:dyDescent="0.25">
      <c r="A246">
        <v>5080</v>
      </c>
      <c r="B246">
        <v>18650</v>
      </c>
      <c r="C246" s="1">
        <v>42824</v>
      </c>
      <c r="D246" s="1"/>
      <c r="E246" s="1"/>
      <c r="F246" s="65"/>
      <c r="G246">
        <v>15</v>
      </c>
      <c r="H246">
        <v>6.6</v>
      </c>
      <c r="I246">
        <v>21.8</v>
      </c>
      <c r="J246" s="14">
        <f t="shared" si="23"/>
        <v>1861.3</v>
      </c>
      <c r="K246" s="14">
        <f t="shared" si="29"/>
        <v>139.19999999999999</v>
      </c>
      <c r="L246" s="25" t="s">
        <v>43</v>
      </c>
      <c r="M246">
        <v>0</v>
      </c>
      <c r="N246">
        <v>4.3</v>
      </c>
      <c r="O246" s="14">
        <f t="shared" si="20"/>
        <v>-4.3</v>
      </c>
      <c r="P246">
        <f t="shared" si="28"/>
        <v>62.09999999999998</v>
      </c>
      <c r="Q246" s="31">
        <v>192</v>
      </c>
      <c r="R246">
        <v>1.1499999999999999</v>
      </c>
      <c r="S246" s="41">
        <f t="shared" si="21"/>
        <v>4.9449999999999994</v>
      </c>
      <c r="T246" s="41">
        <f t="shared" si="22"/>
        <v>-4.9449999999999994</v>
      </c>
      <c r="U246" s="41">
        <f t="shared" si="25"/>
        <v>73.05130493827167</v>
      </c>
      <c r="W246">
        <v>2176</v>
      </c>
      <c r="Y246">
        <f t="shared" si="24"/>
        <v>145474.79999999993</v>
      </c>
      <c r="Z246">
        <f t="shared" si="30"/>
        <v>16134.600000000002</v>
      </c>
      <c r="AA246">
        <v>12.41233617288805</v>
      </c>
    </row>
    <row r="247" spans="1:28" x14ac:dyDescent="0.25">
      <c r="A247">
        <v>5080</v>
      </c>
      <c r="B247">
        <v>18650</v>
      </c>
      <c r="C247" s="1">
        <v>42825</v>
      </c>
      <c r="D247" s="1"/>
      <c r="E247" s="1"/>
      <c r="F247" s="65"/>
      <c r="G247">
        <v>13.4</v>
      </c>
      <c r="H247">
        <v>11.1</v>
      </c>
      <c r="I247">
        <v>18.3</v>
      </c>
      <c r="J247" s="14">
        <f t="shared" si="23"/>
        <v>1874.7</v>
      </c>
      <c r="K247" s="14">
        <f t="shared" si="29"/>
        <v>152.6</v>
      </c>
      <c r="L247" s="27">
        <v>0</v>
      </c>
      <c r="M247">
        <v>16.5</v>
      </c>
      <c r="N247">
        <v>2.8</v>
      </c>
      <c r="O247" s="14">
        <f t="shared" si="20"/>
        <v>13.7</v>
      </c>
      <c r="P247">
        <f t="shared" si="28"/>
        <v>75.799999999999983</v>
      </c>
      <c r="Q247" s="31">
        <v>193</v>
      </c>
      <c r="R247">
        <v>1.1499999999999999</v>
      </c>
      <c r="S247" s="41">
        <f t="shared" si="21"/>
        <v>3.2199999999999998</v>
      </c>
      <c r="T247" s="41">
        <f t="shared" si="22"/>
        <v>13.280000000000001</v>
      </c>
      <c r="U247" s="41">
        <f t="shared" si="25"/>
        <v>86.331304938271671</v>
      </c>
      <c r="W247">
        <v>1301.2</v>
      </c>
      <c r="Y247">
        <f t="shared" si="24"/>
        <v>146775.99999999994</v>
      </c>
      <c r="Z247">
        <f t="shared" si="30"/>
        <v>17435.800000000003</v>
      </c>
      <c r="AA247">
        <v>12.463676635572581</v>
      </c>
    </row>
    <row r="248" spans="1:28" x14ac:dyDescent="0.25">
      <c r="A248">
        <v>5080</v>
      </c>
      <c r="B248">
        <v>18650</v>
      </c>
      <c r="C248" s="1">
        <v>42826</v>
      </c>
      <c r="D248" s="1"/>
      <c r="E248" s="1"/>
      <c r="F248" s="65"/>
      <c r="G248">
        <v>10.8</v>
      </c>
      <c r="H248">
        <v>8.8000000000000007</v>
      </c>
      <c r="I248">
        <v>13.5</v>
      </c>
      <c r="J248" s="14">
        <f t="shared" si="23"/>
        <v>1885.5</v>
      </c>
      <c r="K248" s="14">
        <f t="shared" si="29"/>
        <v>163.4</v>
      </c>
      <c r="M248">
        <v>2.7</v>
      </c>
      <c r="N248">
        <v>1.4</v>
      </c>
      <c r="O248" s="14">
        <f t="shared" ref="O248:O311" si="31">M248-N248</f>
        <v>1.3000000000000003</v>
      </c>
      <c r="P248">
        <f t="shared" si="28"/>
        <v>77.09999999999998</v>
      </c>
      <c r="Q248" s="31">
        <v>194</v>
      </c>
      <c r="R248">
        <v>1.1499999999999999</v>
      </c>
      <c r="S248" s="41">
        <f t="shared" ref="S248:S311" si="32">R248*N248</f>
        <v>1.6099999999999999</v>
      </c>
      <c r="T248" s="41">
        <f t="shared" ref="T248:T311" si="33">M248-S248</f>
        <v>1.0900000000000003</v>
      </c>
      <c r="U248" s="41">
        <f t="shared" si="25"/>
        <v>87.421304938271675</v>
      </c>
      <c r="W248">
        <v>591.4</v>
      </c>
      <c r="Y248">
        <f t="shared" si="24"/>
        <v>147367.39999999994</v>
      </c>
      <c r="Z248">
        <f t="shared" si="30"/>
        <v>18027.200000000004</v>
      </c>
      <c r="AA248">
        <v>12.514945263273869</v>
      </c>
    </row>
    <row r="249" spans="1:28" x14ac:dyDescent="0.25">
      <c r="A249">
        <v>5080</v>
      </c>
      <c r="B249">
        <v>18650</v>
      </c>
      <c r="C249" s="1">
        <v>42827</v>
      </c>
      <c r="D249" s="1"/>
      <c r="E249" s="1"/>
      <c r="F249" s="65"/>
      <c r="G249">
        <v>11.1</v>
      </c>
      <c r="H249">
        <v>9.1</v>
      </c>
      <c r="I249">
        <v>13.2</v>
      </c>
      <c r="J249" s="14">
        <f t="shared" ref="J249:J312" si="34">J248+G249</f>
        <v>1896.6</v>
      </c>
      <c r="K249" s="14">
        <f t="shared" si="29"/>
        <v>174.5</v>
      </c>
      <c r="L249" s="1"/>
      <c r="M249">
        <v>0.7</v>
      </c>
      <c r="N249">
        <v>2.1</v>
      </c>
      <c r="O249" s="14">
        <f t="shared" si="31"/>
        <v>-1.4000000000000001</v>
      </c>
      <c r="P249">
        <f t="shared" si="28"/>
        <v>75.699999999999974</v>
      </c>
      <c r="Q249" s="31">
        <v>195</v>
      </c>
      <c r="R249">
        <v>1.1499999999999999</v>
      </c>
      <c r="S249" s="41">
        <f t="shared" si="32"/>
        <v>2.415</v>
      </c>
      <c r="T249" s="41">
        <f t="shared" si="33"/>
        <v>-1.7150000000000001</v>
      </c>
      <c r="U249" s="41">
        <f t="shared" si="25"/>
        <v>85.706304938271671</v>
      </c>
      <c r="W249">
        <v>1069.7</v>
      </c>
      <c r="Y249">
        <f t="shared" ref="Y249:Y312" si="35">Y248+W249</f>
        <v>148437.09999999995</v>
      </c>
      <c r="Z249">
        <f t="shared" si="30"/>
        <v>19096.900000000005</v>
      </c>
      <c r="AA249">
        <v>12.566133688742832</v>
      </c>
    </row>
    <row r="250" spans="1:28" x14ac:dyDescent="0.25">
      <c r="A250">
        <v>5080</v>
      </c>
      <c r="B250">
        <v>18650</v>
      </c>
      <c r="C250" s="1">
        <v>42828</v>
      </c>
      <c r="D250" s="1"/>
      <c r="E250" s="1"/>
      <c r="F250" s="65"/>
      <c r="G250">
        <v>12.9</v>
      </c>
      <c r="H250">
        <v>8.3000000000000007</v>
      </c>
      <c r="I250">
        <v>16.100000000000001</v>
      </c>
      <c r="J250" s="14">
        <f t="shared" si="34"/>
        <v>1909.5</v>
      </c>
      <c r="K250" s="14">
        <f t="shared" si="29"/>
        <v>187.4</v>
      </c>
      <c r="L250" s="1"/>
      <c r="M250">
        <v>0</v>
      </c>
      <c r="N250">
        <v>2.2999999999999998</v>
      </c>
      <c r="O250" s="14">
        <f t="shared" si="31"/>
        <v>-2.2999999999999998</v>
      </c>
      <c r="P250">
        <f t="shared" si="28"/>
        <v>73.399999999999977</v>
      </c>
      <c r="Q250" s="31">
        <v>196</v>
      </c>
      <c r="R250">
        <v>1.1499999999999999</v>
      </c>
      <c r="S250" s="41">
        <f t="shared" si="32"/>
        <v>2.6449999999999996</v>
      </c>
      <c r="T250" s="41">
        <f t="shared" si="33"/>
        <v>-2.6449999999999996</v>
      </c>
      <c r="U250" s="41">
        <f t="shared" ref="U250:U313" si="36">MIN(U249+T250,157.8)</f>
        <v>83.061304938271675</v>
      </c>
      <c r="W250">
        <v>1474.3</v>
      </c>
      <c r="Y250">
        <f t="shared" si="35"/>
        <v>149911.39999999994</v>
      </c>
      <c r="Z250">
        <f t="shared" si="30"/>
        <v>20571.200000000004</v>
      </c>
      <c r="AA250">
        <v>12.617233423999314</v>
      </c>
    </row>
    <row r="251" spans="1:28" x14ac:dyDescent="0.25">
      <c r="A251">
        <v>5080</v>
      </c>
      <c r="B251">
        <v>18650</v>
      </c>
      <c r="C251" s="1">
        <v>42829</v>
      </c>
      <c r="D251" s="1"/>
      <c r="E251" s="1"/>
      <c r="F251" s="65"/>
      <c r="G251">
        <v>14.2</v>
      </c>
      <c r="H251">
        <v>10.5</v>
      </c>
      <c r="I251">
        <v>18.600000000000001</v>
      </c>
      <c r="J251" s="14">
        <f t="shared" si="34"/>
        <v>1923.7</v>
      </c>
      <c r="K251" s="14">
        <f t="shared" si="29"/>
        <v>201.6</v>
      </c>
      <c r="L251" s="1"/>
      <c r="M251">
        <v>0.1</v>
      </c>
      <c r="N251">
        <v>3.3</v>
      </c>
      <c r="O251" s="14">
        <f t="shared" si="31"/>
        <v>-3.1999999999999997</v>
      </c>
      <c r="P251">
        <f t="shared" si="28"/>
        <v>70.199999999999974</v>
      </c>
      <c r="Q251" s="31">
        <v>197</v>
      </c>
      <c r="R251">
        <v>1.1499999999999999</v>
      </c>
      <c r="S251" s="41">
        <f t="shared" si="32"/>
        <v>3.7949999999999995</v>
      </c>
      <c r="T251" s="41">
        <f t="shared" si="33"/>
        <v>-3.6949999999999994</v>
      </c>
      <c r="U251" s="41">
        <f t="shared" si="36"/>
        <v>79.366304938271682</v>
      </c>
      <c r="W251">
        <v>1537.4</v>
      </c>
      <c r="Y251">
        <f t="shared" si="35"/>
        <v>151448.79999999993</v>
      </c>
      <c r="Z251">
        <f t="shared" si="30"/>
        <v>22108.600000000006</v>
      </c>
      <c r="AA251">
        <v>12.668235848788054</v>
      </c>
    </row>
    <row r="252" spans="1:28" x14ac:dyDescent="0.25">
      <c r="A252">
        <v>5080</v>
      </c>
      <c r="B252">
        <v>18650</v>
      </c>
      <c r="C252" s="1">
        <v>42830</v>
      </c>
      <c r="D252" s="1"/>
      <c r="E252" s="1"/>
      <c r="F252" s="65"/>
      <c r="G252">
        <v>12.4</v>
      </c>
      <c r="H252">
        <v>9.4</v>
      </c>
      <c r="I252">
        <v>15.7</v>
      </c>
      <c r="J252" s="14">
        <f t="shared" si="34"/>
        <v>1936.1000000000001</v>
      </c>
      <c r="K252" s="14">
        <f t="shared" si="29"/>
        <v>214</v>
      </c>
      <c r="L252" s="1"/>
      <c r="M252">
        <v>0</v>
      </c>
      <c r="N252">
        <v>2</v>
      </c>
      <c r="O252" s="14">
        <f t="shared" si="31"/>
        <v>-2</v>
      </c>
      <c r="P252">
        <f t="shared" si="28"/>
        <v>68.199999999999974</v>
      </c>
      <c r="Q252" s="31">
        <v>198</v>
      </c>
      <c r="R252">
        <v>1.1499999999999999</v>
      </c>
      <c r="S252" s="41">
        <f t="shared" si="32"/>
        <v>2.2999999999999998</v>
      </c>
      <c r="T252" s="41">
        <f t="shared" si="33"/>
        <v>-2.2999999999999998</v>
      </c>
      <c r="U252" s="41">
        <f t="shared" si="36"/>
        <v>77.066304938271685</v>
      </c>
      <c r="W252">
        <v>1005.3</v>
      </c>
      <c r="Y252">
        <f t="shared" si="35"/>
        <v>152454.09999999992</v>
      </c>
      <c r="Z252">
        <f t="shared" si="30"/>
        <v>23113.900000000005</v>
      </c>
      <c r="AA252">
        <v>12.719132199194338</v>
      </c>
    </row>
    <row r="253" spans="1:28" x14ac:dyDescent="0.25">
      <c r="A253">
        <v>5080</v>
      </c>
      <c r="B253">
        <v>18650</v>
      </c>
      <c r="C253" s="1">
        <v>42831</v>
      </c>
      <c r="D253" s="1"/>
      <c r="E253" s="1"/>
      <c r="F253" s="65"/>
      <c r="G253">
        <v>11.7</v>
      </c>
      <c r="H253">
        <v>7.6</v>
      </c>
      <c r="I253">
        <v>16.100000000000001</v>
      </c>
      <c r="J253" s="14">
        <f t="shared" si="34"/>
        <v>1947.8000000000002</v>
      </c>
      <c r="K253" s="14">
        <f t="shared" si="29"/>
        <v>225.7</v>
      </c>
      <c r="L253" s="1"/>
      <c r="M253">
        <v>0</v>
      </c>
      <c r="N253">
        <v>3.2</v>
      </c>
      <c r="O253" s="14">
        <f t="shared" si="31"/>
        <v>-3.2</v>
      </c>
      <c r="P253">
        <f t="shared" si="28"/>
        <v>64.999999999999972</v>
      </c>
      <c r="Q253" s="31">
        <v>199</v>
      </c>
      <c r="R253">
        <v>1.1499999999999999</v>
      </c>
      <c r="S253" s="41">
        <f t="shared" si="32"/>
        <v>3.6799999999999997</v>
      </c>
      <c r="T253" s="41">
        <f t="shared" si="33"/>
        <v>-3.6799999999999997</v>
      </c>
      <c r="U253" s="41">
        <f t="shared" si="36"/>
        <v>73.386304938271678</v>
      </c>
      <c r="W253">
        <v>1897.7</v>
      </c>
      <c r="Y253">
        <f t="shared" si="35"/>
        <v>154351.79999999993</v>
      </c>
      <c r="Z253">
        <f t="shared" si="30"/>
        <v>25011.600000000006</v>
      </c>
      <c r="AA253">
        <v>12.76991355643767</v>
      </c>
    </row>
    <row r="254" spans="1:28" s="42" customFormat="1" ht="15.75" thickBot="1" x14ac:dyDescent="0.3">
      <c r="A254" s="42">
        <v>5080</v>
      </c>
      <c r="B254" s="42">
        <v>18650</v>
      </c>
      <c r="C254" s="43">
        <v>42832</v>
      </c>
      <c r="D254" s="43" t="s">
        <v>34</v>
      </c>
      <c r="E254" s="43"/>
      <c r="F254" s="65"/>
      <c r="G254" s="42">
        <v>12</v>
      </c>
      <c r="H254" s="42">
        <v>4.5999999999999996</v>
      </c>
      <c r="I254" s="42">
        <v>18</v>
      </c>
      <c r="J254" s="44">
        <f t="shared" si="34"/>
        <v>1959.8000000000002</v>
      </c>
      <c r="K254" s="44">
        <f t="shared" si="29"/>
        <v>237.7</v>
      </c>
      <c r="L254" s="43"/>
      <c r="M254" s="42">
        <v>0</v>
      </c>
      <c r="N254" s="42">
        <v>3.5</v>
      </c>
      <c r="O254" s="44">
        <f t="shared" si="31"/>
        <v>-3.5</v>
      </c>
      <c r="P254" s="42">
        <f t="shared" si="28"/>
        <v>61.499999999999972</v>
      </c>
      <c r="Q254" s="55">
        <v>200</v>
      </c>
      <c r="R254" s="42">
        <v>1.1499999999999999</v>
      </c>
      <c r="S254" s="45">
        <f t="shared" si="32"/>
        <v>4.0249999999999995</v>
      </c>
      <c r="T254" s="45">
        <f t="shared" si="33"/>
        <v>-4.0249999999999995</v>
      </c>
      <c r="U254" s="41">
        <f t="shared" si="36"/>
        <v>69.361304938271672</v>
      </c>
      <c r="W254" s="42">
        <v>2443</v>
      </c>
      <c r="Y254" s="42">
        <f t="shared" si="35"/>
        <v>156794.79999999993</v>
      </c>
      <c r="Z254" s="42">
        <f t="shared" si="30"/>
        <v>27454.600000000006</v>
      </c>
      <c r="AA254" s="42">
        <v>12.820570835862819</v>
      </c>
    </row>
    <row r="255" spans="1:28" s="50" customFormat="1" x14ac:dyDescent="0.25">
      <c r="A255" s="50">
        <v>5080</v>
      </c>
      <c r="B255" s="50">
        <v>18650</v>
      </c>
      <c r="C255" s="51">
        <v>42833</v>
      </c>
      <c r="E255" s="51"/>
      <c r="F255" s="66" t="s">
        <v>46</v>
      </c>
      <c r="G255" s="50">
        <v>14.8</v>
      </c>
      <c r="H255" s="50">
        <v>5.8</v>
      </c>
      <c r="I255" s="50">
        <v>21.5</v>
      </c>
      <c r="J255" s="53">
        <f t="shared" si="34"/>
        <v>1974.6000000000001</v>
      </c>
      <c r="K255" s="53">
        <f>G255</f>
        <v>14.8</v>
      </c>
      <c r="L255" s="28" t="s">
        <v>37</v>
      </c>
      <c r="M255" s="50">
        <v>0</v>
      </c>
      <c r="N255" s="50">
        <v>4.3</v>
      </c>
      <c r="O255" s="53">
        <f t="shared" si="31"/>
        <v>-4.3</v>
      </c>
      <c r="P255" s="50">
        <f t="shared" si="28"/>
        <v>57.199999999999974</v>
      </c>
      <c r="Q255" s="50">
        <v>201</v>
      </c>
      <c r="R255" s="50">
        <v>1.1499999999999999</v>
      </c>
      <c r="S255" s="54">
        <f t="shared" si="32"/>
        <v>4.9449999999999994</v>
      </c>
      <c r="T255" s="54">
        <f t="shared" si="33"/>
        <v>-4.9449999999999994</v>
      </c>
      <c r="U255" s="41">
        <f t="shared" si="36"/>
        <v>64.416304938271679</v>
      </c>
      <c r="V255" s="36" t="s">
        <v>50</v>
      </c>
      <c r="W255" s="50">
        <v>2400.8000000000002</v>
      </c>
      <c r="Y255" s="50">
        <f t="shared" si="35"/>
        <v>159195.59999999992</v>
      </c>
      <c r="Z255" s="50">
        <f>W255</f>
        <v>2400.8000000000002</v>
      </c>
      <c r="AA255" s="50">
        <v>12.87109477614853</v>
      </c>
      <c r="AB255" s="36" t="s">
        <v>56</v>
      </c>
    </row>
    <row r="256" spans="1:28" ht="15" customHeight="1" x14ac:dyDescent="0.25">
      <c r="A256">
        <v>5080</v>
      </c>
      <c r="B256">
        <v>18650</v>
      </c>
      <c r="C256" s="1">
        <v>42834</v>
      </c>
      <c r="D256" s="1"/>
      <c r="E256" s="1"/>
      <c r="F256" s="66"/>
      <c r="G256">
        <v>15.9</v>
      </c>
      <c r="H256">
        <v>11.4</v>
      </c>
      <c r="I256">
        <v>21.3</v>
      </c>
      <c r="J256" s="14">
        <f t="shared" si="34"/>
        <v>1990.5000000000002</v>
      </c>
      <c r="K256" s="14">
        <f>K255+G256</f>
        <v>30.700000000000003</v>
      </c>
      <c r="L256" s="8">
        <v>305.60000000000002</v>
      </c>
      <c r="M256">
        <v>0</v>
      </c>
      <c r="N256">
        <v>4.8</v>
      </c>
      <c r="O256" s="14">
        <f t="shared" si="31"/>
        <v>-4.8</v>
      </c>
      <c r="P256">
        <f t="shared" si="28"/>
        <v>52.399999999999977</v>
      </c>
      <c r="Q256" s="31">
        <v>202</v>
      </c>
      <c r="R256" s="31">
        <v>1.1499999999999999</v>
      </c>
      <c r="S256" s="41">
        <f t="shared" si="32"/>
        <v>5.52</v>
      </c>
      <c r="T256" s="41">
        <f t="shared" si="33"/>
        <v>-5.52</v>
      </c>
      <c r="U256" s="41">
        <f t="shared" si="36"/>
        <v>58.896304938271683</v>
      </c>
      <c r="V256">
        <v>4</v>
      </c>
      <c r="W256">
        <v>2469.8000000000002</v>
      </c>
      <c r="Y256">
        <f t="shared" si="35"/>
        <v>161665.39999999991</v>
      </c>
      <c r="Z256">
        <f>Z255+W256</f>
        <v>4870.6000000000004</v>
      </c>
      <c r="AA256">
        <v>12.921475928755392</v>
      </c>
      <c r="AB256">
        <v>49070</v>
      </c>
    </row>
    <row r="257" spans="1:28" x14ac:dyDescent="0.25">
      <c r="A257">
        <v>5080</v>
      </c>
      <c r="B257">
        <v>18650</v>
      </c>
      <c r="C257" s="1">
        <v>42835</v>
      </c>
      <c r="D257" s="1"/>
      <c r="E257" s="1"/>
      <c r="F257" s="66"/>
      <c r="G257">
        <v>16.3</v>
      </c>
      <c r="H257">
        <v>10.199999999999999</v>
      </c>
      <c r="I257">
        <v>22.5</v>
      </c>
      <c r="J257" s="14">
        <f t="shared" si="34"/>
        <v>2006.8000000000002</v>
      </c>
      <c r="K257" s="14">
        <f t="shared" ref="K257:K320" si="37">K256+G257</f>
        <v>47</v>
      </c>
      <c r="L257" s="28" t="s">
        <v>38</v>
      </c>
      <c r="M257">
        <v>0</v>
      </c>
      <c r="N257">
        <v>3.9</v>
      </c>
      <c r="O257" s="14">
        <f t="shared" si="31"/>
        <v>-3.9</v>
      </c>
      <c r="P257">
        <f t="shared" si="28"/>
        <v>48.499999999999979</v>
      </c>
      <c r="Q257" s="31">
        <v>203</v>
      </c>
      <c r="R257" s="31">
        <v>1.1499999999999999</v>
      </c>
      <c r="S257" s="41">
        <f t="shared" si="32"/>
        <v>4.4849999999999994</v>
      </c>
      <c r="T257" s="41">
        <f t="shared" si="33"/>
        <v>-4.4849999999999994</v>
      </c>
      <c r="U257" s="41">
        <f t="shared" si="36"/>
        <v>54.411304938271684</v>
      </c>
      <c r="V257" s="36" t="s">
        <v>51</v>
      </c>
      <c r="W257">
        <v>2087.8000000000002</v>
      </c>
      <c r="Y257">
        <f t="shared" si="35"/>
        <v>163753.1999999999</v>
      </c>
      <c r="Z257">
        <f t="shared" ref="Z257:Z321" si="38">Z256+W257</f>
        <v>6958.4000000000005</v>
      </c>
      <c r="AA257">
        <v>12.971704647635443</v>
      </c>
      <c r="AB257" s="36" t="s">
        <v>57</v>
      </c>
    </row>
    <row r="258" spans="1:28" x14ac:dyDescent="0.25">
      <c r="A258">
        <v>5080</v>
      </c>
      <c r="B258">
        <v>18650</v>
      </c>
      <c r="C258" s="1">
        <v>42836</v>
      </c>
      <c r="D258" s="1"/>
      <c r="E258" s="1"/>
      <c r="F258" s="66"/>
      <c r="G258">
        <v>14.2</v>
      </c>
      <c r="H258">
        <v>11.3</v>
      </c>
      <c r="I258">
        <v>17.2</v>
      </c>
      <c r="J258" s="14">
        <f t="shared" si="34"/>
        <v>2021.0000000000002</v>
      </c>
      <c r="K258" s="14">
        <f t="shared" si="37"/>
        <v>61.2</v>
      </c>
      <c r="L258" s="26">
        <f>AVERAGE(G255:G278)</f>
        <v>12.733333333333334</v>
      </c>
      <c r="M258">
        <v>0</v>
      </c>
      <c r="N258">
        <v>2.8</v>
      </c>
      <c r="O258" s="14">
        <f t="shared" si="31"/>
        <v>-2.8</v>
      </c>
      <c r="P258">
        <f t="shared" si="28"/>
        <v>45.699999999999982</v>
      </c>
      <c r="Q258" s="31">
        <v>204</v>
      </c>
      <c r="R258" s="31">
        <v>1.1499999999999999</v>
      </c>
      <c r="S258" s="41">
        <f t="shared" si="32"/>
        <v>3.2199999999999998</v>
      </c>
      <c r="T258" s="41">
        <f t="shared" si="33"/>
        <v>-3.2199999999999998</v>
      </c>
      <c r="U258" s="41">
        <f t="shared" si="36"/>
        <v>51.191304938271685</v>
      </c>
      <c r="V258">
        <v>17</v>
      </c>
      <c r="W258">
        <v>1176.2</v>
      </c>
      <c r="Y258">
        <f t="shared" si="35"/>
        <v>164929.39999999991</v>
      </c>
      <c r="Z258">
        <f t="shared" si="38"/>
        <v>8134.6</v>
      </c>
      <c r="AA258">
        <v>13.021771079227335</v>
      </c>
      <c r="AB258">
        <f>(AB256/100)/L256</f>
        <v>1.6056937172774868</v>
      </c>
    </row>
    <row r="259" spans="1:28" x14ac:dyDescent="0.25">
      <c r="A259">
        <v>5080</v>
      </c>
      <c r="B259">
        <v>18650</v>
      </c>
      <c r="C259" s="1">
        <v>42837</v>
      </c>
      <c r="D259" s="1"/>
      <c r="E259" s="1"/>
      <c r="F259" s="66"/>
      <c r="G259">
        <v>14.3</v>
      </c>
      <c r="H259">
        <v>7.8</v>
      </c>
      <c r="I259">
        <v>19.8</v>
      </c>
      <c r="J259" s="14">
        <f t="shared" si="34"/>
        <v>2035.3000000000002</v>
      </c>
      <c r="K259" s="14">
        <f t="shared" si="37"/>
        <v>75.5</v>
      </c>
      <c r="L259" s="28" t="s">
        <v>39</v>
      </c>
      <c r="M259">
        <v>0</v>
      </c>
      <c r="N259">
        <v>4.2</v>
      </c>
      <c r="O259" s="14">
        <f t="shared" si="31"/>
        <v>-4.2</v>
      </c>
      <c r="P259">
        <f t="shared" si="28"/>
        <v>41.499999999999979</v>
      </c>
      <c r="Q259" s="31">
        <v>205</v>
      </c>
      <c r="R259" s="31">
        <v>1.1499999999999999</v>
      </c>
      <c r="S259" s="41">
        <f t="shared" si="32"/>
        <v>4.83</v>
      </c>
      <c r="T259" s="41">
        <f t="shared" si="33"/>
        <v>-4.83</v>
      </c>
      <c r="U259" s="41">
        <f t="shared" si="36"/>
        <v>46.361304938271687</v>
      </c>
      <c r="V259" s="36" t="s">
        <v>52</v>
      </c>
      <c r="W259">
        <v>2525.1</v>
      </c>
      <c r="Y259">
        <f t="shared" si="35"/>
        <v>167454.49999999991</v>
      </c>
      <c r="Z259">
        <f t="shared" si="38"/>
        <v>10659.7</v>
      </c>
      <c r="AA259">
        <v>13.071665152762108</v>
      </c>
      <c r="AB259" s="36" t="s">
        <v>58</v>
      </c>
    </row>
    <row r="260" spans="1:28" x14ac:dyDescent="0.25">
      <c r="A260">
        <v>5080</v>
      </c>
      <c r="B260">
        <v>18650</v>
      </c>
      <c r="C260" s="1">
        <v>42838</v>
      </c>
      <c r="D260" s="1"/>
      <c r="E260" s="1"/>
      <c r="F260" s="66"/>
      <c r="G260">
        <v>15.4</v>
      </c>
      <c r="H260">
        <v>9.8000000000000007</v>
      </c>
      <c r="I260">
        <v>20.9</v>
      </c>
      <c r="J260" s="14">
        <f t="shared" si="34"/>
        <v>2050.7000000000003</v>
      </c>
      <c r="K260" s="14">
        <f t="shared" si="37"/>
        <v>90.9</v>
      </c>
      <c r="L260" s="9">
        <v>1.7</v>
      </c>
      <c r="M260">
        <v>0</v>
      </c>
      <c r="N260">
        <v>4.2</v>
      </c>
      <c r="O260" s="14">
        <f t="shared" si="31"/>
        <v>-4.2</v>
      </c>
      <c r="P260">
        <f t="shared" ref="P260:P318" si="39">P259+O260</f>
        <v>37.299999999999976</v>
      </c>
      <c r="Q260" s="31">
        <v>206</v>
      </c>
      <c r="R260" s="31">
        <v>1.1499999999999999</v>
      </c>
      <c r="S260" s="41">
        <f t="shared" si="32"/>
        <v>4.83</v>
      </c>
      <c r="T260" s="41">
        <f t="shared" si="33"/>
        <v>-4.83</v>
      </c>
      <c r="U260" s="41">
        <f t="shared" si="36"/>
        <v>41.531304938271688</v>
      </c>
      <c r="V260">
        <v>0</v>
      </c>
      <c r="W260">
        <v>2308.1</v>
      </c>
      <c r="Y260">
        <f t="shared" si="35"/>
        <v>169762.59999999992</v>
      </c>
      <c r="Z260">
        <f t="shared" si="38"/>
        <v>12967.800000000001</v>
      </c>
      <c r="AA260">
        <v>13.121376570905975</v>
      </c>
      <c r="AB260">
        <v>2</v>
      </c>
    </row>
    <row r="261" spans="1:28" x14ac:dyDescent="0.25">
      <c r="A261">
        <v>5080</v>
      </c>
      <c r="B261">
        <v>18650</v>
      </c>
      <c r="C261" s="1">
        <v>42839</v>
      </c>
      <c r="D261" s="1"/>
      <c r="E261" s="1"/>
      <c r="F261" s="66"/>
      <c r="G261">
        <v>14.5</v>
      </c>
      <c r="H261">
        <v>10.9</v>
      </c>
      <c r="I261">
        <v>18.899999999999999</v>
      </c>
      <c r="J261" s="14">
        <f t="shared" si="34"/>
        <v>2065.2000000000003</v>
      </c>
      <c r="K261" s="14">
        <f t="shared" si="37"/>
        <v>105.4</v>
      </c>
      <c r="L261" s="28" t="s">
        <v>40</v>
      </c>
      <c r="M261">
        <v>0</v>
      </c>
      <c r="N261">
        <v>4.4000000000000004</v>
      </c>
      <c r="O261" s="14">
        <f t="shared" si="31"/>
        <v>-4.4000000000000004</v>
      </c>
      <c r="P261">
        <f t="shared" si="39"/>
        <v>32.899999999999977</v>
      </c>
      <c r="Q261" s="31">
        <v>207</v>
      </c>
      <c r="R261" s="31">
        <v>1.1499999999999999</v>
      </c>
      <c r="S261" s="41">
        <f t="shared" si="32"/>
        <v>5.0599999999999996</v>
      </c>
      <c r="T261" s="41">
        <f t="shared" si="33"/>
        <v>-5.0599999999999996</v>
      </c>
      <c r="U261" s="41">
        <f t="shared" si="36"/>
        <v>36.471304938271686</v>
      </c>
      <c r="V261" s="36" t="s">
        <v>53</v>
      </c>
      <c r="W261">
        <v>2448.6</v>
      </c>
      <c r="Y261">
        <f t="shared" si="35"/>
        <v>172211.19999999992</v>
      </c>
      <c r="Z261">
        <f t="shared" si="38"/>
        <v>15416.400000000001</v>
      </c>
      <c r="AA261">
        <v>13.170894800767774</v>
      </c>
    </row>
    <row r="262" spans="1:28" x14ac:dyDescent="0.25">
      <c r="A262">
        <v>5080</v>
      </c>
      <c r="B262">
        <v>18650</v>
      </c>
      <c r="C262" s="1">
        <v>42840</v>
      </c>
      <c r="D262" s="1"/>
      <c r="E262" s="1"/>
      <c r="F262" s="66"/>
      <c r="G262">
        <v>11.7</v>
      </c>
      <c r="H262">
        <v>10.3</v>
      </c>
      <c r="I262">
        <v>13.3</v>
      </c>
      <c r="J262" s="14">
        <f t="shared" si="34"/>
        <v>2076.9</v>
      </c>
      <c r="K262" s="14">
        <f t="shared" si="37"/>
        <v>117.10000000000001</v>
      </c>
      <c r="L262" s="8">
        <f>MAX(I255:I278)</f>
        <v>22.9</v>
      </c>
      <c r="M262">
        <v>0</v>
      </c>
      <c r="N262">
        <v>1.3</v>
      </c>
      <c r="O262" s="14">
        <f t="shared" si="31"/>
        <v>-1.3</v>
      </c>
      <c r="P262">
        <f t="shared" si="39"/>
        <v>31.599999999999977</v>
      </c>
      <c r="Q262" s="31">
        <v>208</v>
      </c>
      <c r="R262" s="31">
        <v>1.1499999999999999</v>
      </c>
      <c r="S262" s="41">
        <f t="shared" si="32"/>
        <v>1.4949999999999999</v>
      </c>
      <c r="T262" s="41">
        <f t="shared" si="33"/>
        <v>-1.4949999999999999</v>
      </c>
      <c r="U262" s="41">
        <f t="shared" si="36"/>
        <v>34.976304938271689</v>
      </c>
      <c r="V262" s="41">
        <f>MAX(U255:U278)</f>
        <v>64.416304938271679</v>
      </c>
      <c r="W262">
        <v>540.9</v>
      </c>
      <c r="Y262">
        <f t="shared" si="35"/>
        <v>172752.09999999992</v>
      </c>
      <c r="Z262">
        <f t="shared" si="38"/>
        <v>15957.300000000001</v>
      </c>
      <c r="AA262">
        <v>13.220209065300207</v>
      </c>
    </row>
    <row r="263" spans="1:28" x14ac:dyDescent="0.25">
      <c r="A263">
        <v>5080</v>
      </c>
      <c r="B263">
        <v>18650</v>
      </c>
      <c r="C263" s="1">
        <v>42841</v>
      </c>
      <c r="D263" s="1"/>
      <c r="E263" s="1"/>
      <c r="F263" s="66"/>
      <c r="G263">
        <v>11.8</v>
      </c>
      <c r="H263">
        <v>7.9</v>
      </c>
      <c r="I263">
        <v>15.4</v>
      </c>
      <c r="J263" s="14">
        <f t="shared" si="34"/>
        <v>2088.7000000000003</v>
      </c>
      <c r="K263" s="14">
        <f t="shared" si="37"/>
        <v>128.9</v>
      </c>
      <c r="L263" s="28" t="s">
        <v>41</v>
      </c>
      <c r="M263">
        <v>0</v>
      </c>
      <c r="N263">
        <v>2</v>
      </c>
      <c r="O263" s="14">
        <f t="shared" si="31"/>
        <v>-2</v>
      </c>
      <c r="P263">
        <f t="shared" si="39"/>
        <v>29.599999999999977</v>
      </c>
      <c r="Q263" s="31">
        <v>209</v>
      </c>
      <c r="R263" s="31">
        <v>1.1499999999999999</v>
      </c>
      <c r="S263" s="41">
        <f t="shared" si="32"/>
        <v>2.2999999999999998</v>
      </c>
      <c r="T263" s="41">
        <f t="shared" si="33"/>
        <v>-2.2999999999999998</v>
      </c>
      <c r="U263" s="41">
        <f t="shared" si="36"/>
        <v>32.676304938271691</v>
      </c>
      <c r="V263" s="36" t="s">
        <v>54</v>
      </c>
      <c r="W263">
        <v>959.9</v>
      </c>
      <c r="Y263">
        <f t="shared" si="35"/>
        <v>173711.99999999991</v>
      </c>
      <c r="Z263">
        <f t="shared" si="38"/>
        <v>16917.2</v>
      </c>
      <c r="AA263">
        <v>13.269308335125217</v>
      </c>
    </row>
    <row r="264" spans="1:28" x14ac:dyDescent="0.25">
      <c r="A264">
        <v>5080</v>
      </c>
      <c r="B264">
        <v>18650</v>
      </c>
      <c r="C264" s="1">
        <v>42842</v>
      </c>
      <c r="D264" s="1"/>
      <c r="E264" s="1"/>
      <c r="F264" s="66"/>
      <c r="G264">
        <v>13.2</v>
      </c>
      <c r="H264">
        <v>6.8</v>
      </c>
      <c r="I264">
        <v>18.3</v>
      </c>
      <c r="J264" s="14">
        <f t="shared" si="34"/>
        <v>2101.9</v>
      </c>
      <c r="K264" s="14">
        <f t="shared" si="37"/>
        <v>142.1</v>
      </c>
      <c r="L264" s="8">
        <v>0</v>
      </c>
      <c r="M264">
        <v>0</v>
      </c>
      <c r="N264">
        <v>4</v>
      </c>
      <c r="O264" s="14">
        <f t="shared" si="31"/>
        <v>-4</v>
      </c>
      <c r="P264">
        <f t="shared" si="39"/>
        <v>25.599999999999977</v>
      </c>
      <c r="Q264" s="31">
        <v>210</v>
      </c>
      <c r="R264" s="31">
        <v>1.1499999999999999</v>
      </c>
      <c r="S264" s="41">
        <f t="shared" si="32"/>
        <v>4.5999999999999996</v>
      </c>
      <c r="T264" s="41">
        <f t="shared" si="33"/>
        <v>-4.5999999999999996</v>
      </c>
      <c r="U264" s="41">
        <f t="shared" si="36"/>
        <v>28.07630493827169</v>
      </c>
      <c r="V264" s="41">
        <f>AVERAGE(U255:U278)</f>
        <v>22.047065586419805</v>
      </c>
      <c r="W264">
        <v>2528.6999999999998</v>
      </c>
      <c r="Y264">
        <f t="shared" si="35"/>
        <v>176240.69999999992</v>
      </c>
      <c r="Z264">
        <f t="shared" si="38"/>
        <v>19445.900000000001</v>
      </c>
      <c r="AA264">
        <v>13.318181320815427</v>
      </c>
    </row>
    <row r="265" spans="1:28" x14ac:dyDescent="0.25">
      <c r="A265">
        <v>5080</v>
      </c>
      <c r="B265">
        <v>18650</v>
      </c>
      <c r="C265" s="1">
        <v>42843</v>
      </c>
      <c r="D265" s="1"/>
      <c r="E265" s="1"/>
      <c r="F265" s="66"/>
      <c r="G265">
        <v>12.4</v>
      </c>
      <c r="H265">
        <v>8.4</v>
      </c>
      <c r="I265">
        <v>16.8</v>
      </c>
      <c r="J265" s="14">
        <f t="shared" si="34"/>
        <v>2114.3000000000002</v>
      </c>
      <c r="K265" s="14">
        <f t="shared" si="37"/>
        <v>154.5</v>
      </c>
      <c r="L265" s="28" t="s">
        <v>42</v>
      </c>
      <c r="M265">
        <v>0</v>
      </c>
      <c r="N265">
        <v>4.8</v>
      </c>
      <c r="O265" s="14">
        <f t="shared" si="31"/>
        <v>-4.8</v>
      </c>
      <c r="P265">
        <f t="shared" si="39"/>
        <v>20.799999999999976</v>
      </c>
      <c r="Q265" s="31">
        <v>211</v>
      </c>
      <c r="R265" s="31">
        <v>1.1499999999999999</v>
      </c>
      <c r="S265" s="41">
        <f t="shared" si="32"/>
        <v>5.52</v>
      </c>
      <c r="T265" s="41">
        <f t="shared" si="33"/>
        <v>-5.52</v>
      </c>
      <c r="U265" s="41">
        <f t="shared" si="36"/>
        <v>22.55630493827169</v>
      </c>
      <c r="W265">
        <v>2672.7</v>
      </c>
      <c r="Y265">
        <f t="shared" si="35"/>
        <v>178913.39999999994</v>
      </c>
      <c r="Z265">
        <f t="shared" si="38"/>
        <v>22118.600000000002</v>
      </c>
      <c r="AA265">
        <v>13.366816465664748</v>
      </c>
    </row>
    <row r="266" spans="1:28" x14ac:dyDescent="0.25">
      <c r="A266">
        <v>5080</v>
      </c>
      <c r="B266">
        <v>18650</v>
      </c>
      <c r="C266" s="1">
        <v>42844</v>
      </c>
      <c r="D266" s="1"/>
      <c r="E266" s="1"/>
      <c r="F266" s="66"/>
      <c r="G266">
        <v>10.199999999999999</v>
      </c>
      <c r="H266">
        <v>4.4000000000000004</v>
      </c>
      <c r="I266">
        <v>14.9</v>
      </c>
      <c r="J266" s="14">
        <f t="shared" si="34"/>
        <v>2124.5</v>
      </c>
      <c r="K266" s="14">
        <f t="shared" si="37"/>
        <v>164.7</v>
      </c>
      <c r="L266" s="8">
        <v>5</v>
      </c>
      <c r="M266">
        <v>0</v>
      </c>
      <c r="N266">
        <v>4.5999999999999996</v>
      </c>
      <c r="O266" s="14">
        <f t="shared" si="31"/>
        <v>-4.5999999999999996</v>
      </c>
      <c r="P266">
        <f t="shared" si="39"/>
        <v>16.199999999999974</v>
      </c>
      <c r="Q266" s="31">
        <v>212</v>
      </c>
      <c r="R266" s="31">
        <v>1.1499999999999999</v>
      </c>
      <c r="S266" s="41">
        <f t="shared" si="32"/>
        <v>5.2899999999999991</v>
      </c>
      <c r="T266" s="41">
        <f t="shared" si="33"/>
        <v>-5.2899999999999991</v>
      </c>
      <c r="U266" s="41">
        <f t="shared" si="36"/>
        <v>17.266304938271691</v>
      </c>
      <c r="V266" s="56">
        <f>(V264*100)/157.8</f>
        <v>13.971524452737517</v>
      </c>
      <c r="W266">
        <v>2782.9</v>
      </c>
      <c r="Y266">
        <f t="shared" si="35"/>
        <v>181696.29999999993</v>
      </c>
      <c r="Z266">
        <f t="shared" si="38"/>
        <v>24901.500000000004</v>
      </c>
      <c r="AA266">
        <v>13.415201938982792</v>
      </c>
    </row>
    <row r="267" spans="1:28" x14ac:dyDescent="0.25">
      <c r="A267">
        <v>5080</v>
      </c>
      <c r="B267">
        <v>18650</v>
      </c>
      <c r="C267" s="1">
        <v>42845</v>
      </c>
      <c r="D267" s="1"/>
      <c r="E267" s="1"/>
      <c r="F267" s="66"/>
      <c r="G267">
        <v>9.5</v>
      </c>
      <c r="H267">
        <v>3</v>
      </c>
      <c r="I267">
        <v>15.7</v>
      </c>
      <c r="J267" s="14">
        <f t="shared" si="34"/>
        <v>2134</v>
      </c>
      <c r="K267" s="14">
        <f t="shared" si="37"/>
        <v>174.2</v>
      </c>
      <c r="L267" s="28" t="s">
        <v>43</v>
      </c>
      <c r="M267">
        <v>0</v>
      </c>
      <c r="N267">
        <v>4.5</v>
      </c>
      <c r="O267" s="14">
        <f t="shared" si="31"/>
        <v>-4.5</v>
      </c>
      <c r="P267">
        <f t="shared" si="39"/>
        <v>11.699999999999974</v>
      </c>
      <c r="Q267" s="31">
        <v>213</v>
      </c>
      <c r="R267" s="31">
        <v>1.1499999999999999</v>
      </c>
      <c r="S267" s="41">
        <f t="shared" si="32"/>
        <v>5.1749999999999998</v>
      </c>
      <c r="T267" s="41">
        <f t="shared" si="33"/>
        <v>-5.1749999999999998</v>
      </c>
      <c r="U267" s="41">
        <f t="shared" si="36"/>
        <v>12.091304938271691</v>
      </c>
      <c r="W267">
        <v>2797.6</v>
      </c>
      <c r="Y267">
        <f t="shared" si="35"/>
        <v>184493.89999999994</v>
      </c>
      <c r="Z267">
        <f t="shared" si="38"/>
        <v>27699.100000000002</v>
      </c>
      <c r="AA267">
        <v>13.463325629948958</v>
      </c>
    </row>
    <row r="268" spans="1:28" x14ac:dyDescent="0.25">
      <c r="A268">
        <v>5080</v>
      </c>
      <c r="B268">
        <v>18650</v>
      </c>
      <c r="C268" s="1">
        <v>42846</v>
      </c>
      <c r="D268" s="1"/>
      <c r="E268" s="1"/>
      <c r="F268" s="66"/>
      <c r="G268">
        <v>12</v>
      </c>
      <c r="H268">
        <v>1.7</v>
      </c>
      <c r="I268">
        <v>19.100000000000001</v>
      </c>
      <c r="J268" s="14">
        <f t="shared" si="34"/>
        <v>2146</v>
      </c>
      <c r="K268" s="14">
        <f t="shared" si="37"/>
        <v>186.2</v>
      </c>
      <c r="L268" s="27">
        <v>0</v>
      </c>
      <c r="M268">
        <v>0</v>
      </c>
      <c r="N268">
        <v>4.4000000000000004</v>
      </c>
      <c r="O268" s="14">
        <f t="shared" si="31"/>
        <v>-4.4000000000000004</v>
      </c>
      <c r="P268">
        <f t="shared" si="39"/>
        <v>7.2999999999999741</v>
      </c>
      <c r="Q268" s="31">
        <v>214</v>
      </c>
      <c r="R268" s="31">
        <v>1.1499999999999999</v>
      </c>
      <c r="S268" s="41">
        <f t="shared" si="32"/>
        <v>5.0599999999999996</v>
      </c>
      <c r="T268" s="41">
        <f t="shared" si="33"/>
        <v>-5.0599999999999996</v>
      </c>
      <c r="U268" s="41">
        <f t="shared" si="36"/>
        <v>7.031304938271691</v>
      </c>
      <c r="W268">
        <v>2740.5</v>
      </c>
      <c r="Y268">
        <f t="shared" si="35"/>
        <v>187234.39999999994</v>
      </c>
      <c r="Z268">
        <f t="shared" si="38"/>
        <v>30439.600000000002</v>
      </c>
      <c r="AA268">
        <v>13.511175142063429</v>
      </c>
    </row>
    <row r="269" spans="1:28" x14ac:dyDescent="0.25">
      <c r="A269">
        <v>5080</v>
      </c>
      <c r="B269">
        <v>18650</v>
      </c>
      <c r="C269" s="1">
        <v>42847</v>
      </c>
      <c r="D269" s="1"/>
      <c r="E269" s="1"/>
      <c r="F269" s="66"/>
      <c r="G269">
        <v>15.2</v>
      </c>
      <c r="H269">
        <v>6.9</v>
      </c>
      <c r="I269">
        <v>22.3</v>
      </c>
      <c r="J269" s="14">
        <f t="shared" si="34"/>
        <v>2161.1999999999998</v>
      </c>
      <c r="K269" s="14">
        <f t="shared" si="37"/>
        <v>201.39999999999998</v>
      </c>
      <c r="M269">
        <v>0</v>
      </c>
      <c r="N269">
        <v>5.4</v>
      </c>
      <c r="O269" s="14">
        <f t="shared" si="31"/>
        <v>-5.4</v>
      </c>
      <c r="P269">
        <f t="shared" si="39"/>
        <v>1.8999999999999737</v>
      </c>
      <c r="Q269" s="31">
        <v>215</v>
      </c>
      <c r="R269" s="31">
        <v>1.1499999999999999</v>
      </c>
      <c r="S269" s="41">
        <f t="shared" si="32"/>
        <v>6.21</v>
      </c>
      <c r="T269" s="41">
        <f t="shared" si="33"/>
        <v>-6.21</v>
      </c>
      <c r="U269" s="41">
        <f t="shared" si="36"/>
        <v>0.82130493827169104</v>
      </c>
      <c r="W269">
        <v>2798.5</v>
      </c>
      <c r="Y269">
        <f t="shared" si="35"/>
        <v>190032.89999999994</v>
      </c>
      <c r="Z269">
        <f t="shared" si="38"/>
        <v>33238.100000000006</v>
      </c>
      <c r="AA269">
        <v>13.558737788233485</v>
      </c>
    </row>
    <row r="270" spans="1:28" x14ac:dyDescent="0.25">
      <c r="A270">
        <v>5080</v>
      </c>
      <c r="B270">
        <v>18650</v>
      </c>
      <c r="C270" s="1">
        <v>42848</v>
      </c>
      <c r="D270" s="1"/>
      <c r="E270" s="1"/>
      <c r="F270" s="66"/>
      <c r="G270">
        <v>15.8</v>
      </c>
      <c r="H270">
        <v>7.5</v>
      </c>
      <c r="I270">
        <v>22.5</v>
      </c>
      <c r="J270" s="14">
        <f t="shared" si="34"/>
        <v>2177</v>
      </c>
      <c r="K270" s="14">
        <f t="shared" si="37"/>
        <v>217.2</v>
      </c>
      <c r="L270" s="1"/>
      <c r="M270">
        <v>0</v>
      </c>
      <c r="N270">
        <v>4.5999999999999996</v>
      </c>
      <c r="O270" s="14">
        <f t="shared" si="31"/>
        <v>-4.5999999999999996</v>
      </c>
      <c r="P270">
        <v>0</v>
      </c>
      <c r="Q270" s="31">
        <v>216</v>
      </c>
      <c r="R270" s="31">
        <v>1.1499999999999999</v>
      </c>
      <c r="S270" s="41">
        <f t="shared" si="32"/>
        <v>5.2899999999999991</v>
      </c>
      <c r="T270" s="41">
        <f t="shared" si="33"/>
        <v>-5.2899999999999991</v>
      </c>
      <c r="U270" s="41">
        <v>0</v>
      </c>
      <c r="W270">
        <v>2425.1999999999998</v>
      </c>
      <c r="Y270">
        <f t="shared" si="35"/>
        <v>192458.09999999995</v>
      </c>
      <c r="Z270">
        <f t="shared" si="38"/>
        <v>35663.300000000003</v>
      </c>
      <c r="AA270">
        <v>13.60600058653481</v>
      </c>
    </row>
    <row r="271" spans="1:28" x14ac:dyDescent="0.25">
      <c r="A271">
        <v>5080</v>
      </c>
      <c r="B271">
        <v>18650</v>
      </c>
      <c r="C271" s="1">
        <v>42849</v>
      </c>
      <c r="D271" s="1"/>
      <c r="E271" s="1"/>
      <c r="F271" s="66"/>
      <c r="G271">
        <v>16.5</v>
      </c>
      <c r="H271">
        <v>10.8</v>
      </c>
      <c r="I271">
        <v>22.9</v>
      </c>
      <c r="J271" s="14">
        <f t="shared" si="34"/>
        <v>2193.5</v>
      </c>
      <c r="K271" s="14">
        <f t="shared" si="37"/>
        <v>233.7</v>
      </c>
      <c r="L271" s="1"/>
      <c r="M271">
        <v>0</v>
      </c>
      <c r="N271">
        <v>5.7</v>
      </c>
      <c r="O271" s="14">
        <f t="shared" si="31"/>
        <v>-5.7</v>
      </c>
      <c r="P271">
        <v>0</v>
      </c>
      <c r="Q271" s="31">
        <v>217</v>
      </c>
      <c r="R271" s="31">
        <v>1.1499999999999999</v>
      </c>
      <c r="S271" s="41">
        <f t="shared" si="32"/>
        <v>6.5549999999999997</v>
      </c>
      <c r="T271" s="41">
        <f t="shared" si="33"/>
        <v>-6.5549999999999997</v>
      </c>
      <c r="U271" s="41">
        <v>0</v>
      </c>
      <c r="W271">
        <v>2695.3</v>
      </c>
      <c r="Y271">
        <f t="shared" si="35"/>
        <v>195153.39999999994</v>
      </c>
      <c r="Z271">
        <f t="shared" si="38"/>
        <v>38358.600000000006</v>
      </c>
      <c r="AA271">
        <v>13.652950256688428</v>
      </c>
    </row>
    <row r="272" spans="1:28" x14ac:dyDescent="0.25">
      <c r="A272">
        <v>5080</v>
      </c>
      <c r="B272">
        <v>18650</v>
      </c>
      <c r="C272" s="1">
        <v>42850</v>
      </c>
      <c r="D272" s="1"/>
      <c r="E272" s="1"/>
      <c r="F272" s="66"/>
      <c r="G272">
        <v>14.4</v>
      </c>
      <c r="H272">
        <v>12.9</v>
      </c>
      <c r="I272">
        <v>19</v>
      </c>
      <c r="J272" s="14">
        <f t="shared" si="34"/>
        <v>2207.9</v>
      </c>
      <c r="K272" s="14">
        <f t="shared" si="37"/>
        <v>248.1</v>
      </c>
      <c r="L272" s="1"/>
      <c r="M272">
        <v>8.3000000000000007</v>
      </c>
      <c r="N272">
        <v>2.8</v>
      </c>
      <c r="O272" s="14">
        <f t="shared" si="31"/>
        <v>5.5000000000000009</v>
      </c>
      <c r="P272">
        <f t="shared" si="39"/>
        <v>5.5000000000000009</v>
      </c>
      <c r="Q272" s="31">
        <v>218</v>
      </c>
      <c r="R272" s="31">
        <v>1.1499999999999999</v>
      </c>
      <c r="S272" s="41">
        <f t="shared" si="32"/>
        <v>3.2199999999999998</v>
      </c>
      <c r="T272" s="41">
        <f t="shared" si="33"/>
        <v>5.080000000000001</v>
      </c>
      <c r="U272" s="41">
        <f t="shared" si="36"/>
        <v>5.080000000000001</v>
      </c>
      <c r="W272">
        <v>1311.5</v>
      </c>
      <c r="Y272">
        <f t="shared" si="35"/>
        <v>196464.89999999994</v>
      </c>
      <c r="Z272">
        <f t="shared" si="38"/>
        <v>39670.100000000006</v>
      </c>
      <c r="AA272">
        <v>13.699573217294992</v>
      </c>
    </row>
    <row r="273" spans="1:28" x14ac:dyDescent="0.25">
      <c r="A273">
        <v>5080</v>
      </c>
      <c r="B273">
        <v>18650</v>
      </c>
      <c r="C273" s="1">
        <v>42851</v>
      </c>
      <c r="D273" s="1"/>
      <c r="E273" s="1"/>
      <c r="F273" s="66"/>
      <c r="G273">
        <v>7.7</v>
      </c>
      <c r="H273">
        <v>7.6</v>
      </c>
      <c r="I273">
        <v>7.9</v>
      </c>
      <c r="J273" s="14">
        <f t="shared" si="34"/>
        <v>2215.6</v>
      </c>
      <c r="K273" s="14">
        <f t="shared" si="37"/>
        <v>255.79999999999998</v>
      </c>
      <c r="L273" s="1"/>
      <c r="M273">
        <v>0.2</v>
      </c>
      <c r="N273">
        <v>1.1000000000000001</v>
      </c>
      <c r="O273" s="14">
        <f t="shared" si="31"/>
        <v>-0.90000000000000013</v>
      </c>
      <c r="P273">
        <f t="shared" si="39"/>
        <v>4.6000000000000005</v>
      </c>
      <c r="Q273" s="31">
        <v>219</v>
      </c>
      <c r="R273" s="31">
        <v>1.1499999999999999</v>
      </c>
      <c r="S273" s="41">
        <f t="shared" si="32"/>
        <v>1.2649999999999999</v>
      </c>
      <c r="T273" s="41">
        <f t="shared" si="33"/>
        <v>-1.0649999999999999</v>
      </c>
      <c r="U273" s="41">
        <f t="shared" si="36"/>
        <v>4.0150000000000006</v>
      </c>
      <c r="W273">
        <v>634.79999999999995</v>
      </c>
      <c r="Y273">
        <f t="shared" si="35"/>
        <v>197099.69999999992</v>
      </c>
      <c r="Z273">
        <f t="shared" si="38"/>
        <v>40304.900000000009</v>
      </c>
      <c r="AA273">
        <v>13.745855583868915</v>
      </c>
    </row>
    <row r="274" spans="1:28" x14ac:dyDescent="0.25">
      <c r="A274">
        <v>5080</v>
      </c>
      <c r="B274">
        <v>18650</v>
      </c>
      <c r="C274" s="1">
        <v>42852</v>
      </c>
      <c r="D274" s="1"/>
      <c r="E274" s="1"/>
      <c r="F274" s="66"/>
      <c r="G274">
        <v>7.7</v>
      </c>
      <c r="H274">
        <v>5.0999999999999996</v>
      </c>
      <c r="I274">
        <v>10.8</v>
      </c>
      <c r="J274" s="14">
        <f t="shared" si="34"/>
        <v>2223.2999999999997</v>
      </c>
      <c r="K274" s="14">
        <f t="shared" si="37"/>
        <v>263.5</v>
      </c>
      <c r="L274" s="1"/>
      <c r="M274">
        <v>0.1</v>
      </c>
      <c r="N274">
        <v>2.9</v>
      </c>
      <c r="O274" s="14">
        <f t="shared" si="31"/>
        <v>-2.8</v>
      </c>
      <c r="P274">
        <f t="shared" si="39"/>
        <v>1.8000000000000007</v>
      </c>
      <c r="Q274" s="31">
        <v>220</v>
      </c>
      <c r="R274" s="31">
        <v>1.1499999999999999</v>
      </c>
      <c r="S274" s="41">
        <f t="shared" si="32"/>
        <v>3.3349999999999995</v>
      </c>
      <c r="T274" s="41">
        <f t="shared" si="33"/>
        <v>-3.2349999999999994</v>
      </c>
      <c r="U274" s="41">
        <f t="shared" si="36"/>
        <v>0.78000000000000114</v>
      </c>
      <c r="W274">
        <v>1794.3</v>
      </c>
      <c r="Y274">
        <f t="shared" si="35"/>
        <v>198893.99999999991</v>
      </c>
      <c r="Z274">
        <f t="shared" si="38"/>
        <v>42099.200000000012</v>
      </c>
      <c r="AA274">
        <v>13.791783167715518</v>
      </c>
    </row>
    <row r="275" spans="1:28" x14ac:dyDescent="0.25">
      <c r="A275">
        <v>5080</v>
      </c>
      <c r="B275">
        <v>18650</v>
      </c>
      <c r="C275" s="1">
        <v>42853</v>
      </c>
      <c r="D275" s="1"/>
      <c r="E275" s="1"/>
      <c r="F275" s="66"/>
      <c r="G275">
        <v>8.5</v>
      </c>
      <c r="H275">
        <v>4</v>
      </c>
      <c r="I275">
        <v>13.3</v>
      </c>
      <c r="J275" s="14">
        <f t="shared" si="34"/>
        <v>2231.7999999999997</v>
      </c>
      <c r="K275" s="14">
        <f t="shared" si="37"/>
        <v>272</v>
      </c>
      <c r="L275" s="1"/>
      <c r="M275">
        <v>0</v>
      </c>
      <c r="N275">
        <v>2.6</v>
      </c>
      <c r="O275" s="14">
        <f t="shared" si="31"/>
        <v>-2.6</v>
      </c>
      <c r="P275">
        <v>0</v>
      </c>
      <c r="Q275" s="31">
        <v>221</v>
      </c>
      <c r="R275" s="31">
        <v>1.1499999999999999</v>
      </c>
      <c r="S275" s="41">
        <f t="shared" si="32"/>
        <v>2.9899999999999998</v>
      </c>
      <c r="T275" s="41">
        <f t="shared" si="33"/>
        <v>-2.9899999999999998</v>
      </c>
      <c r="U275" s="41">
        <v>0</v>
      </c>
      <c r="W275">
        <v>1521.6</v>
      </c>
      <c r="Y275">
        <f t="shared" si="35"/>
        <v>200415.59999999992</v>
      </c>
      <c r="Z275">
        <f t="shared" si="38"/>
        <v>43620.80000000001</v>
      </c>
      <c r="AA275">
        <v>13.837341475695036</v>
      </c>
    </row>
    <row r="276" spans="1:28" x14ac:dyDescent="0.25">
      <c r="A276">
        <v>5080</v>
      </c>
      <c r="B276">
        <v>18650</v>
      </c>
      <c r="C276" s="1">
        <v>42854</v>
      </c>
      <c r="D276" s="1"/>
      <c r="E276" s="1"/>
      <c r="F276" s="66"/>
      <c r="G276">
        <v>11.1</v>
      </c>
      <c r="H276">
        <v>3.4</v>
      </c>
      <c r="I276">
        <v>18.100000000000001</v>
      </c>
      <c r="J276" s="14">
        <f t="shared" si="34"/>
        <v>2242.8999999999996</v>
      </c>
      <c r="K276" s="14">
        <f t="shared" si="37"/>
        <v>283.10000000000002</v>
      </c>
      <c r="L276" s="1"/>
      <c r="M276">
        <v>0</v>
      </c>
      <c r="N276">
        <v>4.2</v>
      </c>
      <c r="O276" s="14">
        <f t="shared" si="31"/>
        <v>-4.2</v>
      </c>
      <c r="P276">
        <v>0</v>
      </c>
      <c r="Q276" s="31">
        <v>222</v>
      </c>
      <c r="R276" s="31">
        <v>1.1499999999999999</v>
      </c>
      <c r="S276" s="41">
        <f t="shared" si="32"/>
        <v>4.83</v>
      </c>
      <c r="T276" s="41">
        <f t="shared" si="33"/>
        <v>-4.83</v>
      </c>
      <c r="U276" s="41">
        <v>0</v>
      </c>
      <c r="W276">
        <v>2494.9</v>
      </c>
      <c r="Y276">
        <f t="shared" si="35"/>
        <v>202910.49999999991</v>
      </c>
      <c r="Z276">
        <f t="shared" si="38"/>
        <v>46115.700000000012</v>
      </c>
      <c r="AA276">
        <v>13.882515710917405</v>
      </c>
    </row>
    <row r="277" spans="1:28" x14ac:dyDescent="0.25">
      <c r="A277">
        <v>5080</v>
      </c>
      <c r="B277">
        <v>18650</v>
      </c>
      <c r="C277" s="1">
        <v>42855</v>
      </c>
      <c r="D277" s="1"/>
      <c r="E277" s="1"/>
      <c r="F277" s="66"/>
      <c r="G277">
        <v>11.9</v>
      </c>
      <c r="H277">
        <v>6.5</v>
      </c>
      <c r="I277">
        <v>22</v>
      </c>
      <c r="J277" s="14">
        <f t="shared" si="34"/>
        <v>2254.7999999999997</v>
      </c>
      <c r="K277" s="14">
        <f t="shared" si="37"/>
        <v>295</v>
      </c>
      <c r="L277" s="1"/>
      <c r="M277">
        <v>8.6</v>
      </c>
      <c r="N277">
        <v>4.3</v>
      </c>
      <c r="O277" s="14">
        <f t="shared" si="31"/>
        <v>4.3</v>
      </c>
      <c r="P277">
        <f t="shared" si="39"/>
        <v>4.3</v>
      </c>
      <c r="Q277" s="31">
        <v>223</v>
      </c>
      <c r="R277" s="31">
        <v>1.1499999999999999</v>
      </c>
      <c r="S277" s="41">
        <f t="shared" si="32"/>
        <v>4.9449999999999994</v>
      </c>
      <c r="T277" s="41">
        <f t="shared" si="33"/>
        <v>3.6550000000000002</v>
      </c>
      <c r="U277" s="41">
        <f t="shared" si="36"/>
        <v>3.6550000000000002</v>
      </c>
      <c r="W277">
        <v>1904.7</v>
      </c>
      <c r="Y277">
        <f t="shared" si="35"/>
        <v>204815.19999999992</v>
      </c>
      <c r="Z277">
        <f t="shared" si="38"/>
        <v>48020.400000000009</v>
      </c>
      <c r="AA277">
        <v>13.927290774412137</v>
      </c>
    </row>
    <row r="278" spans="1:28" s="42" customFormat="1" ht="15.75" thickBot="1" x14ac:dyDescent="0.3">
      <c r="A278" s="42">
        <v>5080</v>
      </c>
      <c r="B278" s="42">
        <v>18650</v>
      </c>
      <c r="C278" s="43">
        <v>42856</v>
      </c>
      <c r="D278" s="43"/>
      <c r="E278" s="43"/>
      <c r="F278" s="66"/>
      <c r="G278" s="42">
        <v>10.6</v>
      </c>
      <c r="H278" s="42">
        <v>6.5</v>
      </c>
      <c r="I278" s="42">
        <v>14.1</v>
      </c>
      <c r="J278" s="44">
        <f t="shared" si="34"/>
        <v>2265.3999999999996</v>
      </c>
      <c r="K278" s="44">
        <f t="shared" si="37"/>
        <v>305.60000000000002</v>
      </c>
      <c r="L278" s="43"/>
      <c r="M278" s="42">
        <v>5.7</v>
      </c>
      <c r="N278" s="42">
        <v>2.2000000000000002</v>
      </c>
      <c r="O278" s="44">
        <f t="shared" si="31"/>
        <v>3.5</v>
      </c>
      <c r="P278" s="42">
        <f t="shared" si="39"/>
        <v>7.8</v>
      </c>
      <c r="Q278" s="55">
        <v>224</v>
      </c>
      <c r="R278" s="55">
        <v>1.1499999999999999</v>
      </c>
      <c r="S278" s="45">
        <f t="shared" si="32"/>
        <v>2.5299999999999998</v>
      </c>
      <c r="T278" s="45">
        <f t="shared" si="33"/>
        <v>3.1700000000000004</v>
      </c>
      <c r="U278" s="41">
        <f t="shared" si="36"/>
        <v>6.8250000000000011</v>
      </c>
      <c r="W278" s="42">
        <v>1049.5999999999999</v>
      </c>
      <c r="Y278" s="42">
        <f t="shared" si="35"/>
        <v>205864.79999999993</v>
      </c>
      <c r="Z278" s="42">
        <f t="shared" si="38"/>
        <v>49070.000000000007</v>
      </c>
      <c r="AA278" s="42">
        <v>13.971651267817258</v>
      </c>
    </row>
    <row r="279" spans="1:28" s="50" customFormat="1" x14ac:dyDescent="0.25">
      <c r="A279" s="50">
        <v>5080</v>
      </c>
      <c r="B279" s="50">
        <v>18650</v>
      </c>
      <c r="C279" s="51">
        <v>42857</v>
      </c>
      <c r="D279" s="51"/>
      <c r="E279" s="51"/>
      <c r="F279" s="67" t="s">
        <v>45</v>
      </c>
      <c r="G279" s="50">
        <v>12.3</v>
      </c>
      <c r="H279" s="50">
        <v>10.1</v>
      </c>
      <c r="I279" s="50">
        <v>13.8</v>
      </c>
      <c r="J279" s="53">
        <f t="shared" si="34"/>
        <v>2277.6999999999998</v>
      </c>
      <c r="K279" s="14">
        <f>G279</f>
        <v>12.3</v>
      </c>
      <c r="L279" s="29" t="s">
        <v>37</v>
      </c>
      <c r="M279" s="50">
        <v>6.2</v>
      </c>
      <c r="N279" s="50">
        <v>1.7</v>
      </c>
      <c r="O279" s="53">
        <f t="shared" si="31"/>
        <v>4.5</v>
      </c>
      <c r="P279" s="50">
        <f t="shared" si="39"/>
        <v>12.3</v>
      </c>
      <c r="Q279" s="50">
        <v>225</v>
      </c>
      <c r="R279">
        <f>1.15+((Q279-224)/57)*(0.35-1.15)</f>
        <v>1.1359649122807016</v>
      </c>
      <c r="S279" s="54">
        <f t="shared" si="32"/>
        <v>1.9311403508771927</v>
      </c>
      <c r="T279" s="54">
        <f t="shared" si="33"/>
        <v>4.2688596491228079</v>
      </c>
      <c r="U279" s="41">
        <f t="shared" si="36"/>
        <v>11.093859649122809</v>
      </c>
      <c r="V279" s="37" t="s">
        <v>50</v>
      </c>
      <c r="W279" s="50">
        <v>1047.9000000000001</v>
      </c>
      <c r="Y279" s="50">
        <f t="shared" si="35"/>
        <v>206912.69999999992</v>
      </c>
      <c r="Z279">
        <f>W279</f>
        <v>1047.9000000000001</v>
      </c>
      <c r="AA279" s="50">
        <v>14.015581497131009</v>
      </c>
      <c r="AB279" s="37" t="s">
        <v>56</v>
      </c>
    </row>
    <row r="280" spans="1:28" ht="15" customHeight="1" x14ac:dyDescent="0.25">
      <c r="A280">
        <v>5080</v>
      </c>
      <c r="B280">
        <v>18650</v>
      </c>
      <c r="C280" s="1">
        <v>42858</v>
      </c>
      <c r="D280" s="1"/>
      <c r="E280" s="1"/>
      <c r="F280" s="67"/>
      <c r="G280">
        <v>13.6</v>
      </c>
      <c r="H280">
        <v>10.6</v>
      </c>
      <c r="I280">
        <v>16.8</v>
      </c>
      <c r="J280" s="14">
        <f t="shared" si="34"/>
        <v>2291.2999999999997</v>
      </c>
      <c r="K280" s="14">
        <f t="shared" si="37"/>
        <v>25.9</v>
      </c>
      <c r="L280" s="8">
        <v>317.10000000000002</v>
      </c>
      <c r="M280">
        <v>0</v>
      </c>
      <c r="N280">
        <v>2</v>
      </c>
      <c r="O280" s="14">
        <f t="shared" si="31"/>
        <v>-2</v>
      </c>
      <c r="P280">
        <f t="shared" si="39"/>
        <v>10.3</v>
      </c>
      <c r="Q280" s="31">
        <v>226</v>
      </c>
      <c r="R280">
        <f t="shared" ref="R280:R335" si="40">1.15+((Q280-224)/57)*(0.35-1.15)</f>
        <v>1.1219298245614033</v>
      </c>
      <c r="S280" s="41">
        <f t="shared" si="32"/>
        <v>2.2438596491228067</v>
      </c>
      <c r="T280" s="41">
        <f t="shared" si="33"/>
        <v>-2.2438596491228067</v>
      </c>
      <c r="U280" s="41">
        <f t="shared" si="36"/>
        <v>8.8500000000000014</v>
      </c>
      <c r="V280">
        <v>2</v>
      </c>
      <c r="W280">
        <v>1321.1</v>
      </c>
      <c r="Y280">
        <f t="shared" si="35"/>
        <v>208233.79999999993</v>
      </c>
      <c r="Z280">
        <f t="shared" si="38"/>
        <v>2369</v>
      </c>
      <c r="AA280">
        <v>14.059065477569259</v>
      </c>
      <c r="AB280">
        <v>33719.699999999997</v>
      </c>
    </row>
    <row r="281" spans="1:28" x14ac:dyDescent="0.25">
      <c r="A281">
        <v>5080</v>
      </c>
      <c r="B281">
        <v>18650</v>
      </c>
      <c r="C281" s="1">
        <v>42859</v>
      </c>
      <c r="D281" s="1"/>
      <c r="E281" s="1"/>
      <c r="F281" s="67"/>
      <c r="G281">
        <v>15.6</v>
      </c>
      <c r="H281">
        <v>10</v>
      </c>
      <c r="I281">
        <v>20</v>
      </c>
      <c r="J281" s="14">
        <f t="shared" si="34"/>
        <v>2306.8999999999996</v>
      </c>
      <c r="K281" s="14">
        <f t="shared" si="37"/>
        <v>41.5</v>
      </c>
      <c r="L281" s="29" t="s">
        <v>38</v>
      </c>
      <c r="M281">
        <v>0</v>
      </c>
      <c r="N281">
        <v>2.2999999999999998</v>
      </c>
      <c r="O281" s="14">
        <f t="shared" si="31"/>
        <v>-2.2999999999999998</v>
      </c>
      <c r="P281">
        <f t="shared" si="39"/>
        <v>8</v>
      </c>
      <c r="Q281" s="31">
        <v>227</v>
      </c>
      <c r="R281">
        <f t="shared" si="40"/>
        <v>1.1078947368421053</v>
      </c>
      <c r="S281" s="41">
        <f t="shared" si="32"/>
        <v>2.5481578947368417</v>
      </c>
      <c r="T281" s="41">
        <f t="shared" si="33"/>
        <v>-2.5481578947368417</v>
      </c>
      <c r="U281" s="41">
        <f t="shared" si="36"/>
        <v>6.3018421052631597</v>
      </c>
      <c r="V281" s="37" t="s">
        <v>51</v>
      </c>
      <c r="W281">
        <v>1341.5</v>
      </c>
      <c r="Y281">
        <f t="shared" si="35"/>
        <v>209575.29999999993</v>
      </c>
      <c r="Z281">
        <f t="shared" si="38"/>
        <v>3710.5</v>
      </c>
      <c r="AA281">
        <v>14.10208693957062</v>
      </c>
      <c r="AB281" s="37" t="s">
        <v>57</v>
      </c>
    </row>
    <row r="282" spans="1:28" x14ac:dyDescent="0.25">
      <c r="A282">
        <v>5080</v>
      </c>
      <c r="B282">
        <v>18650</v>
      </c>
      <c r="C282" s="1">
        <v>42860</v>
      </c>
      <c r="D282" s="1"/>
      <c r="E282" s="1"/>
      <c r="F282" s="67"/>
      <c r="G282">
        <v>14</v>
      </c>
      <c r="H282">
        <v>11.9</v>
      </c>
      <c r="I282">
        <v>16.100000000000001</v>
      </c>
      <c r="J282" s="14">
        <f t="shared" si="34"/>
        <v>2320.8999999999996</v>
      </c>
      <c r="K282" s="14">
        <f t="shared" si="37"/>
        <v>55.5</v>
      </c>
      <c r="L282" s="26">
        <f>AVERAGE(G279:G298)</f>
        <v>15.855000000000004</v>
      </c>
      <c r="M282">
        <v>11.4</v>
      </c>
      <c r="N282">
        <v>2.2000000000000002</v>
      </c>
      <c r="O282" s="14">
        <f t="shared" si="31"/>
        <v>9.1999999999999993</v>
      </c>
      <c r="P282">
        <f t="shared" si="39"/>
        <v>17.2</v>
      </c>
      <c r="Q282" s="31">
        <v>228</v>
      </c>
      <c r="R282">
        <f t="shared" si="40"/>
        <v>1.093859649122807</v>
      </c>
      <c r="S282" s="41">
        <f t="shared" si="32"/>
        <v>2.4064912280701756</v>
      </c>
      <c r="T282" s="41">
        <f t="shared" si="33"/>
        <v>8.9935087719298252</v>
      </c>
      <c r="U282" s="41">
        <f t="shared" si="36"/>
        <v>15.295350877192984</v>
      </c>
      <c r="V282">
        <v>18</v>
      </c>
      <c r="W282">
        <v>835.8</v>
      </c>
      <c r="Y282">
        <f t="shared" si="35"/>
        <v>210411.09999999992</v>
      </c>
      <c r="Z282">
        <f t="shared" si="38"/>
        <v>4546.3</v>
      </c>
      <c r="AA282">
        <v>14.14462933598988</v>
      </c>
      <c r="AB282">
        <f>(AB280/100)/L280</f>
        <v>1.0633774834437084</v>
      </c>
    </row>
    <row r="283" spans="1:28" x14ac:dyDescent="0.25">
      <c r="A283">
        <v>5080</v>
      </c>
      <c r="B283">
        <v>18650</v>
      </c>
      <c r="C283" s="1">
        <v>42861</v>
      </c>
      <c r="D283" s="1"/>
      <c r="E283" s="1"/>
      <c r="F283" s="67"/>
      <c r="G283">
        <v>14.3</v>
      </c>
      <c r="H283">
        <v>11.9</v>
      </c>
      <c r="I283">
        <v>18.100000000000001</v>
      </c>
      <c r="J283" s="14">
        <f t="shared" si="34"/>
        <v>2335.1999999999998</v>
      </c>
      <c r="K283" s="14">
        <f t="shared" si="37"/>
        <v>69.8</v>
      </c>
      <c r="L283" s="29" t="s">
        <v>39</v>
      </c>
      <c r="M283">
        <v>3.3</v>
      </c>
      <c r="N283">
        <v>3</v>
      </c>
      <c r="O283" s="14">
        <f t="shared" si="31"/>
        <v>0.29999999999999982</v>
      </c>
      <c r="P283">
        <f t="shared" si="39"/>
        <v>17.5</v>
      </c>
      <c r="Q283" s="31">
        <v>229</v>
      </c>
      <c r="R283">
        <f t="shared" si="40"/>
        <v>1.0798245614035087</v>
      </c>
      <c r="S283" s="41">
        <f t="shared" si="32"/>
        <v>3.2394736842105258</v>
      </c>
      <c r="T283" s="41">
        <f t="shared" si="33"/>
        <v>6.0526315789473983E-2</v>
      </c>
      <c r="U283" s="41">
        <f t="shared" si="36"/>
        <v>15.355877192982458</v>
      </c>
      <c r="V283" s="37" t="s">
        <v>52</v>
      </c>
      <c r="W283">
        <v>1458.8</v>
      </c>
      <c r="Y283">
        <f t="shared" si="35"/>
        <v>211869.89999999991</v>
      </c>
      <c r="Z283">
        <f t="shared" si="38"/>
        <v>6005.1</v>
      </c>
      <c r="AA283">
        <v>14.186675850518627</v>
      </c>
      <c r="AB283" s="37" t="s">
        <v>58</v>
      </c>
    </row>
    <row r="284" spans="1:28" x14ac:dyDescent="0.25">
      <c r="A284">
        <v>5080</v>
      </c>
      <c r="B284">
        <v>18650</v>
      </c>
      <c r="C284" s="1">
        <v>42862</v>
      </c>
      <c r="D284" s="1"/>
      <c r="E284" s="1"/>
      <c r="F284" s="67"/>
      <c r="G284">
        <v>14.2</v>
      </c>
      <c r="H284">
        <v>8.8000000000000007</v>
      </c>
      <c r="I284">
        <v>18.3</v>
      </c>
      <c r="J284" s="14">
        <f t="shared" si="34"/>
        <v>2349.3999999999996</v>
      </c>
      <c r="K284" s="14">
        <f t="shared" si="37"/>
        <v>84</v>
      </c>
      <c r="L284" s="9">
        <f>MIN(H279:H298)</f>
        <v>8.1999999999999993</v>
      </c>
      <c r="M284">
        <v>0</v>
      </c>
      <c r="N284">
        <v>3.8</v>
      </c>
      <c r="O284" s="14">
        <f t="shared" si="31"/>
        <v>-3.8</v>
      </c>
      <c r="P284">
        <f t="shared" si="39"/>
        <v>13.7</v>
      </c>
      <c r="Q284" s="31">
        <v>230</v>
      </c>
      <c r="R284">
        <f t="shared" si="40"/>
        <v>1.0657894736842104</v>
      </c>
      <c r="S284" s="41">
        <f t="shared" si="32"/>
        <v>4.0499999999999989</v>
      </c>
      <c r="T284" s="41">
        <f t="shared" si="33"/>
        <v>-4.0499999999999989</v>
      </c>
      <c r="U284" s="41">
        <f t="shared" si="36"/>
        <v>11.305877192982459</v>
      </c>
      <c r="V284">
        <v>0</v>
      </c>
      <c r="W284">
        <v>2431.6</v>
      </c>
      <c r="Y284">
        <f t="shared" si="35"/>
        <v>214301.49999999991</v>
      </c>
      <c r="Z284">
        <f t="shared" si="38"/>
        <v>8436.7000000000007</v>
      </c>
      <c r="AA284">
        <v>14.228209407369905</v>
      </c>
      <c r="AB284">
        <v>2</v>
      </c>
    </row>
    <row r="285" spans="1:28" x14ac:dyDescent="0.25">
      <c r="A285">
        <v>5080</v>
      </c>
      <c r="B285">
        <v>18650</v>
      </c>
      <c r="C285" s="1">
        <v>42863</v>
      </c>
      <c r="D285" s="1"/>
      <c r="E285" s="1"/>
      <c r="F285" s="67"/>
      <c r="G285">
        <v>14.8</v>
      </c>
      <c r="H285">
        <v>10.3</v>
      </c>
      <c r="I285">
        <v>18.600000000000001</v>
      </c>
      <c r="J285" s="14">
        <f t="shared" si="34"/>
        <v>2364.1999999999998</v>
      </c>
      <c r="K285" s="14">
        <f t="shared" si="37"/>
        <v>98.8</v>
      </c>
      <c r="L285" s="29" t="s">
        <v>40</v>
      </c>
      <c r="M285">
        <v>0</v>
      </c>
      <c r="N285">
        <v>3.6</v>
      </c>
      <c r="O285" s="14">
        <f t="shared" si="31"/>
        <v>-3.6</v>
      </c>
      <c r="P285">
        <f t="shared" si="39"/>
        <v>10.1</v>
      </c>
      <c r="Q285" s="31">
        <v>231</v>
      </c>
      <c r="R285">
        <f t="shared" si="40"/>
        <v>1.0517543859649121</v>
      </c>
      <c r="S285" s="41">
        <f t="shared" si="32"/>
        <v>3.7863157894736839</v>
      </c>
      <c r="T285" s="41">
        <f t="shared" si="33"/>
        <v>-3.7863157894736839</v>
      </c>
      <c r="U285" s="41">
        <f t="shared" si="36"/>
        <v>7.5195614035087752</v>
      </c>
      <c r="V285" s="37" t="s">
        <v>53</v>
      </c>
      <c r="W285">
        <v>2059</v>
      </c>
      <c r="Y285">
        <f t="shared" si="35"/>
        <v>216360.49999999991</v>
      </c>
      <c r="Z285">
        <f t="shared" si="38"/>
        <v>10495.7</v>
      </c>
      <c r="AA285">
        <v>14.269212682261124</v>
      </c>
    </row>
    <row r="286" spans="1:28" x14ac:dyDescent="0.25">
      <c r="A286">
        <v>5080</v>
      </c>
      <c r="B286">
        <v>18650</v>
      </c>
      <c r="C286" s="1">
        <v>42864</v>
      </c>
      <c r="D286" s="1"/>
      <c r="E286" s="1"/>
      <c r="F286" s="67"/>
      <c r="G286">
        <v>14.8</v>
      </c>
      <c r="H286">
        <v>8.1999999999999993</v>
      </c>
      <c r="I286">
        <v>19.3</v>
      </c>
      <c r="J286" s="14">
        <f t="shared" si="34"/>
        <v>2379</v>
      </c>
      <c r="K286" s="14">
        <f t="shared" si="37"/>
        <v>113.6</v>
      </c>
      <c r="L286" s="8">
        <v>27.4</v>
      </c>
      <c r="M286">
        <v>0</v>
      </c>
      <c r="N286">
        <v>4.2</v>
      </c>
      <c r="O286" s="14">
        <f t="shared" si="31"/>
        <v>-4.2</v>
      </c>
      <c r="P286">
        <f t="shared" si="39"/>
        <v>5.8999999999999995</v>
      </c>
      <c r="Q286" s="31">
        <v>232</v>
      </c>
      <c r="R286">
        <f t="shared" si="40"/>
        <v>1.037719298245614</v>
      </c>
      <c r="S286" s="41">
        <f t="shared" si="32"/>
        <v>4.358421052631579</v>
      </c>
      <c r="T286" s="41">
        <f t="shared" si="33"/>
        <v>-4.358421052631579</v>
      </c>
      <c r="U286" s="41">
        <f t="shared" si="36"/>
        <v>3.1611403508771962</v>
      </c>
      <c r="V286" s="41">
        <f>MAX(U279:U298)</f>
        <v>22.479736842105265</v>
      </c>
      <c r="W286">
        <v>2546.1</v>
      </c>
      <c r="Y286">
        <f t="shared" si="35"/>
        <v>218906.59999999992</v>
      </c>
      <c r="Z286">
        <f t="shared" si="38"/>
        <v>13041.800000000001</v>
      </c>
      <c r="AA286">
        <v>14.309668114726525</v>
      </c>
    </row>
    <row r="287" spans="1:28" x14ac:dyDescent="0.25">
      <c r="A287">
        <v>5080</v>
      </c>
      <c r="B287">
        <v>18650</v>
      </c>
      <c r="C287" s="1">
        <v>42865</v>
      </c>
      <c r="D287" s="1"/>
      <c r="E287" s="1"/>
      <c r="F287" s="67"/>
      <c r="G287">
        <v>16</v>
      </c>
      <c r="H287">
        <v>13.2</v>
      </c>
      <c r="I287">
        <v>19.8</v>
      </c>
      <c r="J287" s="14">
        <f t="shared" si="34"/>
        <v>2395</v>
      </c>
      <c r="K287" s="14">
        <f t="shared" si="37"/>
        <v>129.6</v>
      </c>
      <c r="L287" s="29" t="s">
        <v>41</v>
      </c>
      <c r="M287">
        <v>3.3</v>
      </c>
      <c r="N287">
        <v>3.4</v>
      </c>
      <c r="O287" s="14">
        <f t="shared" si="31"/>
        <v>-0.10000000000000009</v>
      </c>
      <c r="P287">
        <f t="shared" si="39"/>
        <v>5.7999999999999989</v>
      </c>
      <c r="Q287" s="31">
        <v>233</v>
      </c>
      <c r="R287">
        <f t="shared" si="40"/>
        <v>1.0236842105263158</v>
      </c>
      <c r="S287" s="41">
        <f t="shared" si="32"/>
        <v>3.4805263157894735</v>
      </c>
      <c r="T287" s="41">
        <f t="shared" si="33"/>
        <v>-0.18052631578947365</v>
      </c>
      <c r="U287" s="41">
        <f t="shared" si="36"/>
        <v>2.9806140350877226</v>
      </c>
      <c r="V287" s="37" t="s">
        <v>54</v>
      </c>
      <c r="W287">
        <v>1317.9</v>
      </c>
      <c r="Y287">
        <f t="shared" si="35"/>
        <v>220224.49999999991</v>
      </c>
      <c r="Z287">
        <f t="shared" si="38"/>
        <v>14359.7</v>
      </c>
      <c r="AA287">
        <v>14.349557921787078</v>
      </c>
    </row>
    <row r="288" spans="1:28" x14ac:dyDescent="0.25">
      <c r="A288">
        <v>5080</v>
      </c>
      <c r="B288">
        <v>18650</v>
      </c>
      <c r="C288" s="1">
        <v>42866</v>
      </c>
      <c r="D288" s="1"/>
      <c r="E288" s="1"/>
      <c r="F288" s="67"/>
      <c r="G288">
        <v>16.3</v>
      </c>
      <c r="H288">
        <v>14</v>
      </c>
      <c r="I288">
        <v>19</v>
      </c>
      <c r="J288" s="14">
        <f t="shared" si="34"/>
        <v>2411.3000000000002</v>
      </c>
      <c r="K288" s="14">
        <f t="shared" si="37"/>
        <v>145.9</v>
      </c>
      <c r="L288" s="8">
        <v>3</v>
      </c>
      <c r="M288">
        <v>11.7</v>
      </c>
      <c r="N288">
        <v>2.1</v>
      </c>
      <c r="O288" s="14">
        <f t="shared" si="31"/>
        <v>9.6</v>
      </c>
      <c r="P288">
        <f t="shared" si="39"/>
        <v>15.399999999999999</v>
      </c>
      <c r="Q288" s="31">
        <v>234</v>
      </c>
      <c r="R288">
        <f t="shared" si="40"/>
        <v>1.0096491228070175</v>
      </c>
      <c r="S288" s="41">
        <f t="shared" si="32"/>
        <v>2.1202631578947368</v>
      </c>
      <c r="T288" s="41">
        <f t="shared" si="33"/>
        <v>9.5797368421052624</v>
      </c>
      <c r="U288" s="41">
        <f t="shared" si="36"/>
        <v>12.560350877192985</v>
      </c>
      <c r="V288" s="41">
        <f>AVERAGE(U279:U298)</f>
        <v>10.699912280701756</v>
      </c>
      <c r="W288">
        <v>1034.2</v>
      </c>
      <c r="Y288">
        <f t="shared" si="35"/>
        <v>221258.69999999992</v>
      </c>
      <c r="Z288">
        <f t="shared" si="38"/>
        <v>15393.900000000001</v>
      </c>
      <c r="AA288">
        <v>14.388864113001706</v>
      </c>
    </row>
    <row r="289" spans="1:28" x14ac:dyDescent="0.25">
      <c r="A289">
        <v>5080</v>
      </c>
      <c r="B289">
        <v>18650</v>
      </c>
      <c r="C289" s="1">
        <v>42867</v>
      </c>
      <c r="D289" s="1"/>
      <c r="E289" s="1"/>
      <c r="F289" s="67"/>
      <c r="G289">
        <v>17.7</v>
      </c>
      <c r="H289">
        <v>12.9</v>
      </c>
      <c r="I289">
        <v>21.6</v>
      </c>
      <c r="J289" s="14">
        <f t="shared" si="34"/>
        <v>2429</v>
      </c>
      <c r="K289" s="14">
        <f t="shared" si="37"/>
        <v>163.6</v>
      </c>
      <c r="L289" s="29" t="s">
        <v>42</v>
      </c>
      <c r="M289">
        <v>7.3</v>
      </c>
      <c r="N289">
        <v>3.4</v>
      </c>
      <c r="O289" s="14">
        <f t="shared" si="31"/>
        <v>3.9</v>
      </c>
      <c r="P289">
        <f t="shared" si="39"/>
        <v>19.299999999999997</v>
      </c>
      <c r="Q289" s="31">
        <v>235</v>
      </c>
      <c r="R289">
        <f t="shared" si="40"/>
        <v>0.99561403508771917</v>
      </c>
      <c r="S289" s="41">
        <f t="shared" si="32"/>
        <v>3.3850877192982449</v>
      </c>
      <c r="T289" s="41">
        <f t="shared" si="33"/>
        <v>3.9149122807017549</v>
      </c>
      <c r="U289" s="41">
        <f t="shared" si="36"/>
        <v>16.475263157894741</v>
      </c>
      <c r="W289">
        <v>1881.1</v>
      </c>
      <c r="Y289">
        <f t="shared" si="35"/>
        <v>223139.79999999993</v>
      </c>
      <c r="Z289">
        <f t="shared" si="38"/>
        <v>17275</v>
      </c>
      <c r="AA289">
        <v>14.427568506919494</v>
      </c>
    </row>
    <row r="290" spans="1:28" x14ac:dyDescent="0.25">
      <c r="A290">
        <v>5080</v>
      </c>
      <c r="B290">
        <v>18650</v>
      </c>
      <c r="C290" s="1">
        <v>42868</v>
      </c>
      <c r="D290" s="1"/>
      <c r="E290" s="1"/>
      <c r="F290" s="67"/>
      <c r="G290">
        <v>16.399999999999999</v>
      </c>
      <c r="H290">
        <v>13.8</v>
      </c>
      <c r="I290">
        <v>20.3</v>
      </c>
      <c r="J290" s="14">
        <f t="shared" si="34"/>
        <v>2445.4</v>
      </c>
      <c r="K290" s="14">
        <f t="shared" si="37"/>
        <v>180</v>
      </c>
      <c r="L290" s="8">
        <v>0</v>
      </c>
      <c r="M290">
        <v>0.1</v>
      </c>
      <c r="N290">
        <v>3.3</v>
      </c>
      <c r="O290" s="14">
        <f t="shared" si="31"/>
        <v>-3.1999999999999997</v>
      </c>
      <c r="P290">
        <f t="shared" si="39"/>
        <v>16.099999999999998</v>
      </c>
      <c r="Q290" s="31">
        <v>236</v>
      </c>
      <c r="R290">
        <f t="shared" si="40"/>
        <v>0.981578947368421</v>
      </c>
      <c r="S290" s="41">
        <f t="shared" si="32"/>
        <v>3.2392105263157891</v>
      </c>
      <c r="T290" s="41">
        <f t="shared" si="33"/>
        <v>-3.139210526315789</v>
      </c>
      <c r="U290" s="41">
        <f t="shared" si="36"/>
        <v>13.336052631578951</v>
      </c>
      <c r="V290" s="56">
        <f>(V288*100)/157.8</f>
        <v>6.7806795188224047</v>
      </c>
      <c r="W290">
        <v>1723.5</v>
      </c>
      <c r="Y290">
        <f t="shared" si="35"/>
        <v>224863.29999999993</v>
      </c>
      <c r="Z290">
        <f t="shared" si="38"/>
        <v>18998.5</v>
      </c>
      <c r="AA290">
        <v>14.46565274894742</v>
      </c>
    </row>
    <row r="291" spans="1:28" x14ac:dyDescent="0.25">
      <c r="A291">
        <v>5080</v>
      </c>
      <c r="B291">
        <v>18650</v>
      </c>
      <c r="C291" s="1">
        <v>42869</v>
      </c>
      <c r="D291" s="1"/>
      <c r="E291" s="1"/>
      <c r="F291" s="67"/>
      <c r="G291">
        <v>17.899999999999999</v>
      </c>
      <c r="H291">
        <v>11.8</v>
      </c>
      <c r="I291">
        <v>22.9</v>
      </c>
      <c r="J291" s="14">
        <f t="shared" si="34"/>
        <v>2463.3000000000002</v>
      </c>
      <c r="K291" s="14">
        <f t="shared" si="37"/>
        <v>197.9</v>
      </c>
      <c r="L291" s="29" t="s">
        <v>43</v>
      </c>
      <c r="M291">
        <v>0.1</v>
      </c>
      <c r="N291">
        <v>3.8</v>
      </c>
      <c r="O291" s="14">
        <f t="shared" si="31"/>
        <v>-3.6999999999999997</v>
      </c>
      <c r="P291">
        <f t="shared" si="39"/>
        <v>12.399999999999999</v>
      </c>
      <c r="Q291" s="31">
        <v>237</v>
      </c>
      <c r="R291">
        <f t="shared" si="40"/>
        <v>0.96754385964912271</v>
      </c>
      <c r="S291" s="41">
        <f t="shared" si="32"/>
        <v>3.6766666666666663</v>
      </c>
      <c r="T291" s="41">
        <f t="shared" si="33"/>
        <v>-3.5766666666666662</v>
      </c>
      <c r="U291" s="41">
        <f t="shared" si="36"/>
        <v>9.7593859649122852</v>
      </c>
      <c r="W291">
        <v>2021.6</v>
      </c>
      <c r="Y291">
        <f t="shared" si="35"/>
        <v>226884.89999999994</v>
      </c>
      <c r="Z291">
        <f t="shared" si="38"/>
        <v>21020.1</v>
      </c>
      <c r="AA291">
        <v>14.503098330642915</v>
      </c>
    </row>
    <row r="292" spans="1:28" x14ac:dyDescent="0.25">
      <c r="A292">
        <v>5080</v>
      </c>
      <c r="B292">
        <v>18650</v>
      </c>
      <c r="C292" s="1">
        <v>42870</v>
      </c>
      <c r="D292" s="1"/>
      <c r="E292" s="1"/>
      <c r="F292" s="67"/>
      <c r="G292">
        <v>19.899999999999999</v>
      </c>
      <c r="H292">
        <v>13.7</v>
      </c>
      <c r="I292">
        <v>25.8</v>
      </c>
      <c r="J292" s="14">
        <f t="shared" si="34"/>
        <v>2483.2000000000003</v>
      </c>
      <c r="K292" s="14">
        <f t="shared" si="37"/>
        <v>217.8</v>
      </c>
      <c r="L292" s="27">
        <v>0</v>
      </c>
      <c r="M292">
        <v>0</v>
      </c>
      <c r="N292">
        <v>4.9000000000000004</v>
      </c>
      <c r="O292" s="14">
        <f t="shared" si="31"/>
        <v>-4.9000000000000004</v>
      </c>
      <c r="P292">
        <f t="shared" si="39"/>
        <v>7.4999999999999982</v>
      </c>
      <c r="Q292" s="31">
        <v>238</v>
      </c>
      <c r="R292">
        <f t="shared" si="40"/>
        <v>0.95350877192982453</v>
      </c>
      <c r="S292" s="41">
        <f t="shared" si="32"/>
        <v>4.6721929824561403</v>
      </c>
      <c r="T292" s="41">
        <f t="shared" si="33"/>
        <v>-4.6721929824561403</v>
      </c>
      <c r="U292" s="41">
        <f t="shared" si="36"/>
        <v>5.0871929824561448</v>
      </c>
      <c r="W292">
        <v>2493.5</v>
      </c>
      <c r="Y292">
        <f t="shared" si="35"/>
        <v>229378.39999999994</v>
      </c>
      <c r="Z292">
        <f t="shared" si="38"/>
        <v>23513.599999999999</v>
      </c>
      <c r="AA292">
        <v>14.53988661043452</v>
      </c>
    </row>
    <row r="293" spans="1:28" x14ac:dyDescent="0.25">
      <c r="A293">
        <v>5080</v>
      </c>
      <c r="B293">
        <v>18650</v>
      </c>
      <c r="C293" s="1">
        <v>42871</v>
      </c>
      <c r="D293" s="1"/>
      <c r="E293" s="1"/>
      <c r="F293" s="67"/>
      <c r="G293">
        <v>21.9</v>
      </c>
      <c r="H293">
        <v>16.100000000000001</v>
      </c>
      <c r="I293">
        <v>27.4</v>
      </c>
      <c r="J293" s="14">
        <f t="shared" si="34"/>
        <v>2505.1000000000004</v>
      </c>
      <c r="K293" s="14">
        <f t="shared" si="37"/>
        <v>239.70000000000002</v>
      </c>
      <c r="M293">
        <v>0</v>
      </c>
      <c r="N293">
        <v>6.3</v>
      </c>
      <c r="O293" s="14">
        <f t="shared" si="31"/>
        <v>-6.3</v>
      </c>
      <c r="P293">
        <f t="shared" si="39"/>
        <v>1.1999999999999984</v>
      </c>
      <c r="Q293" s="31">
        <v>239</v>
      </c>
      <c r="R293">
        <f t="shared" si="40"/>
        <v>0.93947368421052624</v>
      </c>
      <c r="S293" s="41">
        <f t="shared" si="32"/>
        <v>5.9186842105263153</v>
      </c>
      <c r="T293" s="41">
        <f t="shared" si="33"/>
        <v>-5.9186842105263153</v>
      </c>
      <c r="U293" s="41">
        <v>0</v>
      </c>
      <c r="W293">
        <v>2803</v>
      </c>
      <c r="Y293">
        <f t="shared" si="35"/>
        <v>232181.39999999994</v>
      </c>
      <c r="Z293">
        <f t="shared" si="38"/>
        <v>26316.6</v>
      </c>
      <c r="AA293">
        <v>14.575998835767544</v>
      </c>
    </row>
    <row r="294" spans="1:28" x14ac:dyDescent="0.25">
      <c r="A294">
        <v>5080</v>
      </c>
      <c r="B294">
        <v>18650</v>
      </c>
      <c r="C294" s="1">
        <v>42872</v>
      </c>
      <c r="D294" s="1"/>
      <c r="E294" s="1"/>
      <c r="F294" s="67"/>
      <c r="G294">
        <v>20.7</v>
      </c>
      <c r="H294">
        <v>17.3</v>
      </c>
      <c r="I294">
        <v>26.4</v>
      </c>
      <c r="J294" s="14">
        <f t="shared" si="34"/>
        <v>2525.8000000000002</v>
      </c>
      <c r="K294" s="14">
        <f t="shared" si="37"/>
        <v>260.40000000000003</v>
      </c>
      <c r="L294" s="1"/>
      <c r="M294">
        <v>0.7</v>
      </c>
      <c r="N294">
        <v>6.5</v>
      </c>
      <c r="O294" s="14">
        <f t="shared" si="31"/>
        <v>-5.8</v>
      </c>
      <c r="P294">
        <v>0</v>
      </c>
      <c r="Q294" s="31">
        <v>240</v>
      </c>
      <c r="R294">
        <f t="shared" si="40"/>
        <v>0.92543859649122795</v>
      </c>
      <c r="S294" s="41">
        <f t="shared" si="32"/>
        <v>6.015350877192982</v>
      </c>
      <c r="T294" s="41">
        <f t="shared" si="33"/>
        <v>-5.3153508771929818</v>
      </c>
      <c r="U294" s="41">
        <v>0</v>
      </c>
      <c r="W294">
        <v>2615.6</v>
      </c>
      <c r="Y294">
        <f t="shared" si="35"/>
        <v>234796.99999999994</v>
      </c>
      <c r="Z294">
        <f t="shared" si="38"/>
        <v>28932.199999999997</v>
      </c>
      <c r="AA294">
        <v>14.611416166664613</v>
      </c>
    </row>
    <row r="295" spans="1:28" x14ac:dyDescent="0.25">
      <c r="A295">
        <v>5080</v>
      </c>
      <c r="B295">
        <v>18650</v>
      </c>
      <c r="C295" s="1">
        <v>42873</v>
      </c>
      <c r="D295" s="1"/>
      <c r="E295" s="1"/>
      <c r="F295" s="67"/>
      <c r="G295">
        <v>13.1</v>
      </c>
      <c r="H295">
        <v>10.199999999999999</v>
      </c>
      <c r="I295">
        <v>15.9</v>
      </c>
      <c r="J295" s="14">
        <f t="shared" si="34"/>
        <v>2538.9</v>
      </c>
      <c r="K295" s="14">
        <f t="shared" si="37"/>
        <v>273.50000000000006</v>
      </c>
      <c r="L295" s="1"/>
      <c r="M295">
        <v>23.3</v>
      </c>
      <c r="N295">
        <v>0.9</v>
      </c>
      <c r="O295" s="14">
        <f t="shared" si="31"/>
        <v>22.400000000000002</v>
      </c>
      <c r="P295">
        <f t="shared" si="39"/>
        <v>22.400000000000002</v>
      </c>
      <c r="Q295" s="31">
        <v>241</v>
      </c>
      <c r="R295">
        <f t="shared" si="40"/>
        <v>0.91140350877192977</v>
      </c>
      <c r="S295" s="41">
        <f t="shared" si="32"/>
        <v>0.82026315789473681</v>
      </c>
      <c r="T295" s="41">
        <f t="shared" si="33"/>
        <v>22.479736842105265</v>
      </c>
      <c r="U295" s="41">
        <f t="shared" si="36"/>
        <v>22.479736842105265</v>
      </c>
      <c r="W295">
        <v>521.79999999999995</v>
      </c>
      <c r="Y295">
        <f t="shared" si="35"/>
        <v>235318.79999999993</v>
      </c>
      <c r="Z295">
        <f t="shared" si="38"/>
        <v>29453.999999999996</v>
      </c>
      <c r="AA295">
        <v>14.646119700683645</v>
      </c>
    </row>
    <row r="296" spans="1:28" x14ac:dyDescent="0.25">
      <c r="A296">
        <v>5080</v>
      </c>
      <c r="B296">
        <v>18650</v>
      </c>
      <c r="C296" s="1">
        <v>42874</v>
      </c>
      <c r="D296" s="1"/>
      <c r="E296" s="1"/>
      <c r="F296" s="67"/>
      <c r="G296">
        <v>12.1</v>
      </c>
      <c r="H296">
        <v>8.1999999999999993</v>
      </c>
      <c r="I296">
        <v>16.100000000000001</v>
      </c>
      <c r="J296" s="14">
        <f t="shared" si="34"/>
        <v>2551</v>
      </c>
      <c r="K296" s="14">
        <f t="shared" si="37"/>
        <v>285.60000000000008</v>
      </c>
      <c r="L296" s="1"/>
      <c r="M296">
        <v>0.7</v>
      </c>
      <c r="N296">
        <v>2.7</v>
      </c>
      <c r="O296" s="14">
        <f t="shared" si="31"/>
        <v>-2</v>
      </c>
      <c r="P296">
        <f t="shared" si="39"/>
        <v>20.400000000000002</v>
      </c>
      <c r="Q296" s="31">
        <v>242</v>
      </c>
      <c r="R296">
        <f t="shared" si="40"/>
        <v>0.89736842105263159</v>
      </c>
      <c r="S296" s="41">
        <f t="shared" si="32"/>
        <v>2.4228947368421054</v>
      </c>
      <c r="T296" s="41">
        <f t="shared" si="33"/>
        <v>-1.7228947368421055</v>
      </c>
      <c r="U296" s="41">
        <f t="shared" si="36"/>
        <v>20.756842105263161</v>
      </c>
      <c r="W296">
        <v>1484.5</v>
      </c>
      <c r="Y296">
        <f t="shared" si="35"/>
        <v>236803.29999999993</v>
      </c>
      <c r="Z296">
        <f t="shared" si="38"/>
        <v>30938.499999999996</v>
      </c>
      <c r="AA296">
        <v>14.680090499247854</v>
      </c>
    </row>
    <row r="297" spans="1:28" x14ac:dyDescent="0.25">
      <c r="A297">
        <v>5080</v>
      </c>
      <c r="B297">
        <v>18650</v>
      </c>
      <c r="C297" s="1">
        <v>42875</v>
      </c>
      <c r="D297" s="1"/>
      <c r="E297" s="1"/>
      <c r="F297" s="67"/>
      <c r="G297">
        <v>14.1</v>
      </c>
      <c r="H297">
        <v>9.3000000000000007</v>
      </c>
      <c r="I297">
        <v>19.2</v>
      </c>
      <c r="J297" s="14">
        <f t="shared" si="34"/>
        <v>2565.1</v>
      </c>
      <c r="K297" s="14">
        <f t="shared" si="37"/>
        <v>299.7000000000001</v>
      </c>
      <c r="L297" s="1"/>
      <c r="M297">
        <v>0</v>
      </c>
      <c r="N297">
        <v>3.5</v>
      </c>
      <c r="O297" s="14">
        <f t="shared" si="31"/>
        <v>-3.5</v>
      </c>
      <c r="P297">
        <f t="shared" si="39"/>
        <v>16.900000000000002</v>
      </c>
      <c r="Q297" s="31">
        <v>243</v>
      </c>
      <c r="R297">
        <f t="shared" si="40"/>
        <v>0.8833333333333333</v>
      </c>
      <c r="S297" s="41">
        <f t="shared" si="32"/>
        <v>3.0916666666666668</v>
      </c>
      <c r="T297" s="41">
        <f t="shared" si="33"/>
        <v>-3.0916666666666668</v>
      </c>
      <c r="U297" s="41">
        <f t="shared" si="36"/>
        <v>17.665175438596492</v>
      </c>
      <c r="W297">
        <v>1821.8</v>
      </c>
      <c r="Y297">
        <f t="shared" si="35"/>
        <v>238625.09999999992</v>
      </c>
      <c r="Z297">
        <f t="shared" si="38"/>
        <v>32760.299999999996</v>
      </c>
      <c r="AA297">
        <v>14.713309615314085</v>
      </c>
    </row>
    <row r="298" spans="1:28" s="42" customFormat="1" ht="15.75" thickBot="1" x14ac:dyDescent="0.3">
      <c r="A298" s="42">
        <v>5080</v>
      </c>
      <c r="B298" s="42">
        <v>18650</v>
      </c>
      <c r="C298" s="43">
        <v>42876</v>
      </c>
      <c r="D298" s="43"/>
      <c r="E298" s="43"/>
      <c r="F298" s="67"/>
      <c r="G298" s="42">
        <v>17.399999999999999</v>
      </c>
      <c r="H298" s="42">
        <v>10.5</v>
      </c>
      <c r="I298" s="42">
        <v>23</v>
      </c>
      <c r="J298" s="44">
        <f t="shared" si="34"/>
        <v>2582.5</v>
      </c>
      <c r="K298" s="44">
        <f t="shared" si="37"/>
        <v>317.10000000000008</v>
      </c>
      <c r="L298" s="43"/>
      <c r="M298" s="42">
        <v>0</v>
      </c>
      <c r="N298" s="42">
        <v>4.2</v>
      </c>
      <c r="O298" s="44">
        <f t="shared" si="31"/>
        <v>-4.2</v>
      </c>
      <c r="P298" s="42">
        <f t="shared" si="39"/>
        <v>12.700000000000003</v>
      </c>
      <c r="Q298" s="42">
        <v>244</v>
      </c>
      <c r="R298">
        <f t="shared" si="40"/>
        <v>0.86929824561403501</v>
      </c>
      <c r="S298" s="45">
        <f t="shared" si="32"/>
        <v>3.6510526315789473</v>
      </c>
      <c r="T298" s="45">
        <f t="shared" si="33"/>
        <v>-3.6510526315789473</v>
      </c>
      <c r="U298" s="41">
        <f t="shared" si="36"/>
        <v>14.014122807017545</v>
      </c>
      <c r="W298" s="42">
        <v>2007.3</v>
      </c>
      <c r="Y298" s="42">
        <f t="shared" si="35"/>
        <v>240632.39999999991</v>
      </c>
      <c r="Z298" s="42">
        <f t="shared" si="38"/>
        <v>34767.599999999999</v>
      </c>
      <c r="AA298" s="42">
        <v>14.74575812233704</v>
      </c>
    </row>
    <row r="299" spans="1:28" ht="15" customHeight="1" x14ac:dyDescent="0.25">
      <c r="A299">
        <v>5080</v>
      </c>
      <c r="B299">
        <v>18650</v>
      </c>
      <c r="C299" s="1">
        <v>42877</v>
      </c>
      <c r="D299" s="1"/>
      <c r="E299" s="1"/>
      <c r="F299" s="62" t="s">
        <v>44</v>
      </c>
      <c r="G299">
        <v>18.7</v>
      </c>
      <c r="H299">
        <v>15.4</v>
      </c>
      <c r="I299">
        <v>24.5</v>
      </c>
      <c r="J299" s="14">
        <f t="shared" si="34"/>
        <v>2601.1999999999998</v>
      </c>
      <c r="K299" s="14">
        <f>G299</f>
        <v>18.7</v>
      </c>
      <c r="L299" s="30" t="s">
        <v>37</v>
      </c>
      <c r="M299">
        <v>9</v>
      </c>
      <c r="N299">
        <v>4.8</v>
      </c>
      <c r="O299" s="14">
        <f t="shared" si="31"/>
        <v>4.2</v>
      </c>
      <c r="P299">
        <f t="shared" si="39"/>
        <v>16.900000000000002</v>
      </c>
      <c r="Q299" s="31">
        <v>245</v>
      </c>
      <c r="R299">
        <f t="shared" si="40"/>
        <v>0.85526315789473673</v>
      </c>
      <c r="S299" s="41">
        <f t="shared" si="32"/>
        <v>4.1052631578947363</v>
      </c>
      <c r="T299" s="41">
        <f t="shared" si="33"/>
        <v>4.8947368421052637</v>
      </c>
      <c r="U299" s="41">
        <f t="shared" si="36"/>
        <v>18.90885964912281</v>
      </c>
      <c r="V299" s="38" t="s">
        <v>50</v>
      </c>
      <c r="W299">
        <v>1817.1</v>
      </c>
      <c r="Y299">
        <f t="shared" si="35"/>
        <v>242449.49999999991</v>
      </c>
      <c r="Z299">
        <f>W299</f>
        <v>1817.1</v>
      </c>
      <c r="AA299">
        <v>14.77741714447793</v>
      </c>
      <c r="AB299" s="38" t="s">
        <v>56</v>
      </c>
    </row>
    <row r="300" spans="1:28" x14ac:dyDescent="0.25">
      <c r="A300">
        <v>5080</v>
      </c>
      <c r="B300">
        <v>18650</v>
      </c>
      <c r="C300" s="1">
        <v>42878</v>
      </c>
      <c r="D300" s="1"/>
      <c r="E300" s="1"/>
      <c r="F300" s="62"/>
      <c r="G300">
        <v>15.6</v>
      </c>
      <c r="H300">
        <v>13.6</v>
      </c>
      <c r="I300">
        <v>18</v>
      </c>
      <c r="J300" s="14">
        <f t="shared" si="34"/>
        <v>2616.7999999999997</v>
      </c>
      <c r="K300" s="14">
        <f t="shared" si="37"/>
        <v>34.299999999999997</v>
      </c>
      <c r="L300" s="8">
        <v>419.3</v>
      </c>
      <c r="M300">
        <v>0</v>
      </c>
      <c r="N300">
        <v>1.9</v>
      </c>
      <c r="O300" s="14">
        <f t="shared" si="31"/>
        <v>-1.9</v>
      </c>
      <c r="P300">
        <f t="shared" si="39"/>
        <v>15.000000000000002</v>
      </c>
      <c r="Q300" s="31">
        <v>246</v>
      </c>
      <c r="R300">
        <f t="shared" si="40"/>
        <v>0.84122807017543855</v>
      </c>
      <c r="S300" s="41">
        <f t="shared" si="32"/>
        <v>1.5983333333333332</v>
      </c>
      <c r="T300" s="41">
        <f t="shared" si="33"/>
        <v>-1.5983333333333332</v>
      </c>
      <c r="U300" s="41">
        <f t="shared" si="36"/>
        <v>17.310526315789478</v>
      </c>
      <c r="V300">
        <v>3</v>
      </c>
      <c r="W300">
        <v>885.7</v>
      </c>
      <c r="Y300">
        <f t="shared" si="35"/>
        <v>243335.19999999992</v>
      </c>
      <c r="Z300">
        <f t="shared" si="38"/>
        <v>2702.8</v>
      </c>
      <c r="AA300">
        <v>14.808267887996662</v>
      </c>
      <c r="AB300">
        <v>41883.9</v>
      </c>
    </row>
    <row r="301" spans="1:28" x14ac:dyDescent="0.25">
      <c r="A301">
        <v>5080</v>
      </c>
      <c r="B301">
        <v>18650</v>
      </c>
      <c r="C301" s="1">
        <v>42879</v>
      </c>
      <c r="D301" s="1"/>
      <c r="E301" s="1"/>
      <c r="F301" s="62"/>
      <c r="G301">
        <v>19.2</v>
      </c>
      <c r="H301">
        <v>13.4</v>
      </c>
      <c r="I301">
        <v>25.1</v>
      </c>
      <c r="J301" s="14">
        <f t="shared" si="34"/>
        <v>2635.9999999999995</v>
      </c>
      <c r="K301" s="14">
        <f t="shared" si="37"/>
        <v>53.5</v>
      </c>
      <c r="L301" s="30" t="s">
        <v>38</v>
      </c>
      <c r="M301">
        <v>0</v>
      </c>
      <c r="N301">
        <v>4.5</v>
      </c>
      <c r="O301" s="14">
        <f t="shared" si="31"/>
        <v>-4.5</v>
      </c>
      <c r="P301">
        <f t="shared" si="39"/>
        <v>10.500000000000002</v>
      </c>
      <c r="Q301" s="31">
        <v>247</v>
      </c>
      <c r="R301">
        <f t="shared" si="40"/>
        <v>0.82719298245614037</v>
      </c>
      <c r="S301" s="41">
        <f t="shared" si="32"/>
        <v>3.7223684210526318</v>
      </c>
      <c r="T301" s="41">
        <f t="shared" si="33"/>
        <v>-3.7223684210526318</v>
      </c>
      <c r="U301" s="41">
        <f t="shared" si="36"/>
        <v>13.588157894736845</v>
      </c>
      <c r="V301" s="38" t="s">
        <v>51</v>
      </c>
      <c r="W301">
        <v>2300.4</v>
      </c>
      <c r="Y301">
        <f t="shared" si="35"/>
        <v>245635.59999999992</v>
      </c>
      <c r="Z301">
        <f t="shared" si="38"/>
        <v>5003.2000000000007</v>
      </c>
      <c r="AA301">
        <v>14.83829167375716</v>
      </c>
      <c r="AB301" s="38" t="s">
        <v>57</v>
      </c>
    </row>
    <row r="302" spans="1:28" x14ac:dyDescent="0.25">
      <c r="A302">
        <v>5080</v>
      </c>
      <c r="B302">
        <v>18650</v>
      </c>
      <c r="C302" s="1">
        <v>42880</v>
      </c>
      <c r="D302" s="1"/>
      <c r="E302" s="1"/>
      <c r="F302" s="62"/>
      <c r="G302">
        <v>22.7</v>
      </c>
      <c r="H302">
        <v>15.7</v>
      </c>
      <c r="I302">
        <v>28.7</v>
      </c>
      <c r="J302" s="14">
        <f t="shared" si="34"/>
        <v>2658.6999999999994</v>
      </c>
      <c r="K302" s="14">
        <f t="shared" si="37"/>
        <v>76.2</v>
      </c>
      <c r="L302" s="8">
        <f>AVERAGE(G299:G319)</f>
        <v>19.966666666666665</v>
      </c>
      <c r="M302">
        <v>0</v>
      </c>
      <c r="N302">
        <v>6.5</v>
      </c>
      <c r="O302" s="14">
        <f t="shared" si="31"/>
        <v>-6.5</v>
      </c>
      <c r="P302">
        <f t="shared" si="39"/>
        <v>4.0000000000000018</v>
      </c>
      <c r="Q302" s="31">
        <v>248</v>
      </c>
      <c r="R302">
        <f t="shared" si="40"/>
        <v>0.81315789473684208</v>
      </c>
      <c r="S302" s="41">
        <f t="shared" si="32"/>
        <v>5.2855263157894736</v>
      </c>
      <c r="T302" s="41">
        <f t="shared" si="33"/>
        <v>-5.2855263157894736</v>
      </c>
      <c r="U302" s="41">
        <f t="shared" si="36"/>
        <v>8.3026315789473717</v>
      </c>
      <c r="V302">
        <v>18</v>
      </c>
      <c r="W302">
        <v>3007.4</v>
      </c>
      <c r="Y302">
        <f t="shared" si="35"/>
        <v>248642.99999999991</v>
      </c>
      <c r="Z302">
        <f t="shared" si="38"/>
        <v>8010.6</v>
      </c>
      <c r="AA302">
        <v>14.867469970765571</v>
      </c>
      <c r="AB302">
        <f>(AB300/100)/L300</f>
        <v>0.99890054853326971</v>
      </c>
    </row>
    <row r="303" spans="1:28" x14ac:dyDescent="0.25">
      <c r="A303">
        <v>5080</v>
      </c>
      <c r="B303">
        <v>18650</v>
      </c>
      <c r="C303" s="1">
        <v>42881</v>
      </c>
      <c r="D303" s="1"/>
      <c r="E303" s="1"/>
      <c r="F303" s="62"/>
      <c r="G303">
        <v>22.3</v>
      </c>
      <c r="H303">
        <v>18.399999999999999</v>
      </c>
      <c r="I303">
        <v>28.1</v>
      </c>
      <c r="J303" s="14">
        <f t="shared" si="34"/>
        <v>2680.9999999999995</v>
      </c>
      <c r="K303" s="14">
        <f t="shared" si="37"/>
        <v>98.5</v>
      </c>
      <c r="L303" s="30" t="s">
        <v>39</v>
      </c>
      <c r="M303">
        <v>0</v>
      </c>
      <c r="N303">
        <v>7.8</v>
      </c>
      <c r="O303" s="14">
        <f t="shared" si="31"/>
        <v>-7.8</v>
      </c>
      <c r="P303">
        <v>0</v>
      </c>
      <c r="Q303" s="31">
        <v>249</v>
      </c>
      <c r="R303">
        <f t="shared" si="40"/>
        <v>0.79912280701754379</v>
      </c>
      <c r="S303" s="41">
        <f t="shared" si="32"/>
        <v>6.2331578947368413</v>
      </c>
      <c r="T303" s="41">
        <f t="shared" si="33"/>
        <v>-6.2331578947368413</v>
      </c>
      <c r="U303" s="41">
        <f t="shared" si="36"/>
        <v>2.0694736842105304</v>
      </c>
      <c r="V303" s="38" t="s">
        <v>52</v>
      </c>
      <c r="W303">
        <v>2772.6</v>
      </c>
      <c r="Y303">
        <f t="shared" si="35"/>
        <v>251415.59999999992</v>
      </c>
      <c r="Z303">
        <f t="shared" si="38"/>
        <v>10783.2</v>
      </c>
      <c r="AA303">
        <v>14.895784430651334</v>
      </c>
      <c r="AB303" s="38" t="s">
        <v>58</v>
      </c>
    </row>
    <row r="304" spans="1:28" x14ac:dyDescent="0.25">
      <c r="A304">
        <v>5080</v>
      </c>
      <c r="B304">
        <v>18650</v>
      </c>
      <c r="C304" s="1">
        <v>42882</v>
      </c>
      <c r="D304" s="1"/>
      <c r="E304" s="1"/>
      <c r="F304" s="62"/>
      <c r="G304">
        <v>21.5</v>
      </c>
      <c r="H304">
        <v>17.5</v>
      </c>
      <c r="I304">
        <v>25.7</v>
      </c>
      <c r="J304" s="14">
        <f t="shared" si="34"/>
        <v>2702.4999999999995</v>
      </c>
      <c r="K304" s="14">
        <f t="shared" si="37"/>
        <v>120</v>
      </c>
      <c r="L304" s="8">
        <f>MIN(H299:H319)</f>
        <v>12.1</v>
      </c>
      <c r="M304">
        <v>0</v>
      </c>
      <c r="N304">
        <v>6.3</v>
      </c>
      <c r="O304" s="14">
        <f t="shared" si="31"/>
        <v>-6.3</v>
      </c>
      <c r="P304">
        <v>0</v>
      </c>
      <c r="Q304" s="31">
        <v>250</v>
      </c>
      <c r="R304">
        <f t="shared" si="40"/>
        <v>0.7850877192982455</v>
      </c>
      <c r="S304" s="41">
        <f t="shared" si="32"/>
        <v>4.9460526315789464</v>
      </c>
      <c r="T304" s="41">
        <f t="shared" si="33"/>
        <v>-4.9460526315789464</v>
      </c>
      <c r="U304" s="41">
        <v>0</v>
      </c>
      <c r="V304">
        <v>0</v>
      </c>
      <c r="W304">
        <v>2600.6999999999998</v>
      </c>
      <c r="Y304">
        <f t="shared" si="35"/>
        <v>254016.29999999993</v>
      </c>
      <c r="Z304">
        <f t="shared" si="38"/>
        <v>13383.900000000001</v>
      </c>
      <c r="AA304">
        <v>14.923216922991257</v>
      </c>
      <c r="AB304">
        <v>3</v>
      </c>
    </row>
    <row r="305" spans="1:27" x14ac:dyDescent="0.25">
      <c r="A305">
        <v>5080</v>
      </c>
      <c r="B305">
        <v>18650</v>
      </c>
      <c r="C305" s="1">
        <v>42883</v>
      </c>
      <c r="D305" s="1"/>
      <c r="E305" s="1"/>
      <c r="F305" s="62"/>
      <c r="G305">
        <v>22.4</v>
      </c>
      <c r="H305">
        <v>17.3</v>
      </c>
      <c r="I305">
        <v>27.2</v>
      </c>
      <c r="J305" s="14">
        <f t="shared" si="34"/>
        <v>2724.8999999999996</v>
      </c>
      <c r="K305" s="14">
        <f t="shared" si="37"/>
        <v>142.4</v>
      </c>
      <c r="L305" s="30" t="s">
        <v>40</v>
      </c>
      <c r="M305">
        <v>0</v>
      </c>
      <c r="N305">
        <v>8.1</v>
      </c>
      <c r="O305" s="14">
        <f t="shared" si="31"/>
        <v>-8.1</v>
      </c>
      <c r="P305">
        <v>0</v>
      </c>
      <c r="Q305" s="31">
        <v>251</v>
      </c>
      <c r="R305">
        <f t="shared" si="40"/>
        <v>0.77105263157894732</v>
      </c>
      <c r="S305" s="41">
        <f t="shared" si="32"/>
        <v>6.2455263157894727</v>
      </c>
      <c r="T305" s="41">
        <f t="shared" si="33"/>
        <v>-6.2455263157894727</v>
      </c>
      <c r="U305" s="41">
        <v>0</v>
      </c>
      <c r="V305" s="38" t="s">
        <v>53</v>
      </c>
      <c r="W305">
        <v>2903.2</v>
      </c>
      <c r="Y305">
        <f t="shared" si="35"/>
        <v>256919.49999999994</v>
      </c>
      <c r="Z305">
        <f t="shared" si="38"/>
        <v>16287.100000000002</v>
      </c>
      <c r="AA305">
        <v>14.949749571366993</v>
      </c>
    </row>
    <row r="306" spans="1:27" x14ac:dyDescent="0.25">
      <c r="A306">
        <v>5080</v>
      </c>
      <c r="B306">
        <v>18650</v>
      </c>
      <c r="C306" s="1">
        <v>42884</v>
      </c>
      <c r="D306" s="1"/>
      <c r="E306" s="1"/>
      <c r="F306" s="62"/>
      <c r="G306">
        <v>19.8</v>
      </c>
      <c r="H306">
        <v>18.5</v>
      </c>
      <c r="I306">
        <v>22.2</v>
      </c>
      <c r="J306" s="14">
        <f t="shared" si="34"/>
        <v>2744.7</v>
      </c>
      <c r="K306" s="14">
        <f t="shared" si="37"/>
        <v>162.20000000000002</v>
      </c>
      <c r="L306" s="8">
        <f>MAX(I299:I319)</f>
        <v>31.7</v>
      </c>
      <c r="M306">
        <v>0.4</v>
      </c>
      <c r="N306">
        <v>2.1</v>
      </c>
      <c r="O306" s="14">
        <f t="shared" si="31"/>
        <v>-1.7000000000000002</v>
      </c>
      <c r="P306">
        <v>0</v>
      </c>
      <c r="Q306" s="31">
        <v>252</v>
      </c>
      <c r="R306">
        <f t="shared" si="40"/>
        <v>0.75701754385964914</v>
      </c>
      <c r="S306" s="41">
        <f t="shared" si="32"/>
        <v>1.5897368421052633</v>
      </c>
      <c r="T306" s="41">
        <f t="shared" si="33"/>
        <v>-1.1897368421052632</v>
      </c>
      <c r="U306" s="41">
        <v>0</v>
      </c>
      <c r="V306" s="41">
        <f>MAX(U299:U319)</f>
        <v>34.071666666666665</v>
      </c>
      <c r="W306">
        <v>803.1</v>
      </c>
      <c r="Y306">
        <f t="shared" si="35"/>
        <v>257722.59999999995</v>
      </c>
      <c r="Z306">
        <f t="shared" si="38"/>
        <v>17090.2</v>
      </c>
      <c r="AA306">
        <v>14.975364790036835</v>
      </c>
    </row>
    <row r="307" spans="1:27" x14ac:dyDescent="0.25">
      <c r="A307">
        <v>5080</v>
      </c>
      <c r="B307">
        <v>18650</v>
      </c>
      <c r="C307" s="1">
        <v>42885</v>
      </c>
      <c r="D307" s="1"/>
      <c r="E307" s="1"/>
      <c r="F307" s="62"/>
      <c r="G307">
        <v>18.2</v>
      </c>
      <c r="H307">
        <v>17.399999999999999</v>
      </c>
      <c r="I307">
        <v>19.5</v>
      </c>
      <c r="J307" s="14">
        <f t="shared" si="34"/>
        <v>2762.8999999999996</v>
      </c>
      <c r="K307" s="14">
        <f t="shared" si="37"/>
        <v>180.4</v>
      </c>
      <c r="L307" s="30" t="s">
        <v>41</v>
      </c>
      <c r="M307">
        <v>28.5</v>
      </c>
      <c r="N307">
        <v>1.6</v>
      </c>
      <c r="O307" s="14">
        <f t="shared" si="31"/>
        <v>26.9</v>
      </c>
      <c r="P307">
        <f t="shared" si="39"/>
        <v>26.9</v>
      </c>
      <c r="Q307" s="31">
        <v>253</v>
      </c>
      <c r="R307">
        <f t="shared" si="40"/>
        <v>0.74298245614035086</v>
      </c>
      <c r="S307" s="41">
        <f t="shared" si="32"/>
        <v>1.1887719298245614</v>
      </c>
      <c r="T307" s="41">
        <f t="shared" si="33"/>
        <v>27.311228070175439</v>
      </c>
      <c r="U307" s="41">
        <f t="shared" si="36"/>
        <v>27.311228070175439</v>
      </c>
      <c r="V307" s="38" t="s">
        <v>54</v>
      </c>
      <c r="W307">
        <v>977.4</v>
      </c>
      <c r="Y307">
        <f t="shared" si="35"/>
        <v>258699.99999999994</v>
      </c>
      <c r="Z307">
        <f t="shared" si="38"/>
        <v>18067.600000000002</v>
      </c>
      <c r="AA307">
        <v>15.000045321093475</v>
      </c>
    </row>
    <row r="308" spans="1:27" x14ac:dyDescent="0.25">
      <c r="A308">
        <v>5080</v>
      </c>
      <c r="B308">
        <v>18650</v>
      </c>
      <c r="C308" s="1">
        <v>42886</v>
      </c>
      <c r="D308" s="1"/>
      <c r="E308" s="1"/>
      <c r="F308" s="62"/>
      <c r="G308">
        <v>19</v>
      </c>
      <c r="H308">
        <v>16.399999999999999</v>
      </c>
      <c r="I308">
        <v>22.5</v>
      </c>
      <c r="J308" s="14">
        <f t="shared" si="34"/>
        <v>2781.8999999999996</v>
      </c>
      <c r="K308" s="14">
        <f t="shared" si="37"/>
        <v>199.4</v>
      </c>
      <c r="L308" s="8">
        <v>10</v>
      </c>
      <c r="M308">
        <v>7.9</v>
      </c>
      <c r="N308">
        <v>2.7</v>
      </c>
      <c r="O308" s="14">
        <f t="shared" si="31"/>
        <v>5.2</v>
      </c>
      <c r="P308">
        <f t="shared" si="39"/>
        <v>32.1</v>
      </c>
      <c r="Q308" s="31">
        <v>254</v>
      </c>
      <c r="R308">
        <f t="shared" si="40"/>
        <v>0.72894736842105257</v>
      </c>
      <c r="S308" s="41">
        <f t="shared" si="32"/>
        <v>1.9681578947368421</v>
      </c>
      <c r="T308" s="41">
        <f t="shared" si="33"/>
        <v>5.9318421052631578</v>
      </c>
      <c r="U308" s="41">
        <f t="shared" si="36"/>
        <v>33.243070175438596</v>
      </c>
      <c r="V308" s="41">
        <f>AVERAGE(U299:U319)</f>
        <v>19.219381787802845</v>
      </c>
      <c r="W308">
        <v>1307.3</v>
      </c>
      <c r="Y308">
        <f t="shared" si="35"/>
        <v>260007.29999999993</v>
      </c>
      <c r="Z308">
        <f t="shared" si="38"/>
        <v>19374.900000000001</v>
      </c>
      <c r="AA308">
        <v>15.023774271970721</v>
      </c>
    </row>
    <row r="309" spans="1:27" x14ac:dyDescent="0.25">
      <c r="A309">
        <v>5080</v>
      </c>
      <c r="B309">
        <v>18650</v>
      </c>
      <c r="C309" s="1">
        <v>42887</v>
      </c>
      <c r="D309" s="1"/>
      <c r="E309" s="1"/>
      <c r="F309" s="62"/>
      <c r="G309">
        <v>21.6</v>
      </c>
      <c r="H309">
        <v>16.2</v>
      </c>
      <c r="I309">
        <v>26.3</v>
      </c>
      <c r="J309" s="14">
        <f t="shared" si="34"/>
        <v>2803.4999999999995</v>
      </c>
      <c r="K309" s="14">
        <f t="shared" si="37"/>
        <v>221</v>
      </c>
      <c r="L309" s="30" t="s">
        <v>42</v>
      </c>
      <c r="M309">
        <v>0</v>
      </c>
      <c r="N309">
        <v>4.4000000000000004</v>
      </c>
      <c r="O309" s="14">
        <f t="shared" si="31"/>
        <v>-4.4000000000000004</v>
      </c>
      <c r="P309">
        <f t="shared" si="39"/>
        <v>27.700000000000003</v>
      </c>
      <c r="Q309" s="31">
        <v>255</v>
      </c>
      <c r="R309">
        <f t="shared" si="40"/>
        <v>0.71491228070175428</v>
      </c>
      <c r="S309" s="41">
        <f t="shared" si="32"/>
        <v>3.1456140350877191</v>
      </c>
      <c r="T309" s="41">
        <f t="shared" si="33"/>
        <v>-3.1456140350877191</v>
      </c>
      <c r="U309" s="41">
        <f t="shared" si="36"/>
        <v>30.097456140350879</v>
      </c>
      <c r="W309">
        <v>2143</v>
      </c>
      <c r="Y309">
        <f t="shared" si="35"/>
        <v>262150.29999999993</v>
      </c>
      <c r="Z309">
        <f t="shared" si="38"/>
        <v>21517.9</v>
      </c>
      <c r="AA309">
        <v>15.046535153153778</v>
      </c>
    </row>
    <row r="310" spans="1:27" x14ac:dyDescent="0.25">
      <c r="A310">
        <v>5080</v>
      </c>
      <c r="B310">
        <v>18650</v>
      </c>
      <c r="C310" s="1">
        <v>42888</v>
      </c>
      <c r="D310" s="1"/>
      <c r="E310" s="1"/>
      <c r="F310" s="62"/>
      <c r="G310">
        <v>22.5</v>
      </c>
      <c r="H310">
        <v>17.5</v>
      </c>
      <c r="I310">
        <v>27.3</v>
      </c>
      <c r="J310" s="14">
        <f t="shared" si="34"/>
        <v>2825.9999999999995</v>
      </c>
      <c r="K310" s="14">
        <f t="shared" si="37"/>
        <v>243.5</v>
      </c>
      <c r="L310" s="8">
        <v>0</v>
      </c>
      <c r="M310">
        <v>0.1</v>
      </c>
      <c r="N310">
        <v>4.8</v>
      </c>
      <c r="O310" s="14">
        <f t="shared" si="31"/>
        <v>-4.7</v>
      </c>
      <c r="P310">
        <f t="shared" si="39"/>
        <v>23.000000000000004</v>
      </c>
      <c r="Q310" s="31">
        <v>256</v>
      </c>
      <c r="R310">
        <f t="shared" si="40"/>
        <v>0.7008771929824561</v>
      </c>
      <c r="S310" s="41">
        <f t="shared" si="32"/>
        <v>3.3642105263157891</v>
      </c>
      <c r="T310" s="41">
        <f t="shared" si="33"/>
        <v>-3.264210526315789</v>
      </c>
      <c r="U310" s="41">
        <f t="shared" si="36"/>
        <v>26.833245614035089</v>
      </c>
      <c r="V310" s="56">
        <f>(V308*100)/157.8</f>
        <v>12.179582882004336</v>
      </c>
      <c r="W310">
        <v>2334.1</v>
      </c>
      <c r="Y310">
        <f t="shared" si="35"/>
        <v>264484.39999999991</v>
      </c>
      <c r="Z310">
        <f t="shared" si="38"/>
        <v>23852</v>
      </c>
      <c r="AA310">
        <v>15.06831191594029</v>
      </c>
    </row>
    <row r="311" spans="1:27" x14ac:dyDescent="0.25">
      <c r="A311">
        <v>5080</v>
      </c>
      <c r="B311">
        <v>18650</v>
      </c>
      <c r="C311" s="1">
        <v>42889</v>
      </c>
      <c r="D311" s="1"/>
      <c r="E311" s="1"/>
      <c r="F311" s="62"/>
      <c r="G311">
        <v>17.5</v>
      </c>
      <c r="H311">
        <v>17.100000000000001</v>
      </c>
      <c r="I311">
        <v>18.3</v>
      </c>
      <c r="J311" s="14">
        <f t="shared" si="34"/>
        <v>2843.4999999999995</v>
      </c>
      <c r="K311" s="14">
        <f t="shared" si="37"/>
        <v>261</v>
      </c>
      <c r="L311" s="30" t="s">
        <v>43</v>
      </c>
      <c r="M311">
        <v>8.1999999999999993</v>
      </c>
      <c r="N311">
        <v>1.4</v>
      </c>
      <c r="O311" s="14">
        <f t="shared" si="31"/>
        <v>6.7999999999999989</v>
      </c>
      <c r="P311">
        <f t="shared" si="39"/>
        <v>29.800000000000004</v>
      </c>
      <c r="Q311" s="31">
        <v>257</v>
      </c>
      <c r="R311">
        <f t="shared" si="40"/>
        <v>0.68684210526315781</v>
      </c>
      <c r="S311" s="41">
        <f t="shared" si="32"/>
        <v>0.96157894736842087</v>
      </c>
      <c r="T311" s="41">
        <f t="shared" si="33"/>
        <v>7.238421052631578</v>
      </c>
      <c r="U311" s="41">
        <f t="shared" si="36"/>
        <v>34.071666666666665</v>
      </c>
      <c r="W311">
        <v>610.70000000000005</v>
      </c>
      <c r="Y311">
        <f t="shared" si="35"/>
        <v>265095.09999999992</v>
      </c>
      <c r="Z311">
        <f t="shared" si="38"/>
        <v>24462.7</v>
      </c>
      <c r="AA311">
        <v>15.089088990092426</v>
      </c>
    </row>
    <row r="312" spans="1:27" x14ac:dyDescent="0.25">
      <c r="A312">
        <v>5080</v>
      </c>
      <c r="B312">
        <v>18650</v>
      </c>
      <c r="C312" s="1">
        <v>42890</v>
      </c>
      <c r="D312" s="1"/>
      <c r="E312" s="1"/>
      <c r="F312" s="62"/>
      <c r="G312">
        <v>15.6</v>
      </c>
      <c r="H312">
        <v>14</v>
      </c>
      <c r="I312">
        <v>17.7</v>
      </c>
      <c r="J312" s="14">
        <f t="shared" si="34"/>
        <v>2859.0999999999995</v>
      </c>
      <c r="K312" s="14">
        <f t="shared" si="37"/>
        <v>276.60000000000002</v>
      </c>
      <c r="L312" s="8">
        <v>0</v>
      </c>
      <c r="M312">
        <v>0</v>
      </c>
      <c r="N312">
        <v>3</v>
      </c>
      <c r="O312" s="14">
        <f t="shared" ref="O312:O335" si="41">M312-N312</f>
        <v>-3</v>
      </c>
      <c r="P312">
        <f t="shared" si="39"/>
        <v>26.800000000000004</v>
      </c>
      <c r="Q312" s="31">
        <v>258</v>
      </c>
      <c r="R312">
        <f t="shared" si="40"/>
        <v>0.67280701754385963</v>
      </c>
      <c r="S312" s="41">
        <f t="shared" ref="S312:S335" si="42">R312*N312</f>
        <v>2.0184210526315791</v>
      </c>
      <c r="T312" s="41">
        <f t="shared" ref="T312:T335" si="43">M312-S312</f>
        <v>-2.0184210526315791</v>
      </c>
      <c r="U312" s="41">
        <f t="shared" si="36"/>
        <v>32.053245614035085</v>
      </c>
      <c r="W312">
        <v>1819.6</v>
      </c>
      <c r="Y312">
        <f t="shared" si="35"/>
        <v>266914.6999999999</v>
      </c>
      <c r="Z312">
        <f t="shared" si="38"/>
        <v>26282.3</v>
      </c>
      <c r="AA312">
        <v>15.108851321214477</v>
      </c>
    </row>
    <row r="313" spans="1:27" x14ac:dyDescent="0.25">
      <c r="A313">
        <v>5080</v>
      </c>
      <c r="B313">
        <v>18650</v>
      </c>
      <c r="C313" s="1">
        <v>42891</v>
      </c>
      <c r="D313" s="1"/>
      <c r="E313" s="1"/>
      <c r="F313" s="62"/>
      <c r="G313">
        <v>17.399999999999999</v>
      </c>
      <c r="H313">
        <v>13.7</v>
      </c>
      <c r="I313">
        <v>21.7</v>
      </c>
      <c r="J313" s="14">
        <f t="shared" ref="J313:J335" si="44">J312+G313</f>
        <v>2876.4999999999995</v>
      </c>
      <c r="K313" s="14">
        <f t="shared" si="37"/>
        <v>294</v>
      </c>
      <c r="L313" s="1"/>
      <c r="M313">
        <v>0.2</v>
      </c>
      <c r="N313">
        <v>3.7</v>
      </c>
      <c r="O313" s="14">
        <f t="shared" si="41"/>
        <v>-3.5</v>
      </c>
      <c r="P313">
        <f t="shared" si="39"/>
        <v>23.300000000000004</v>
      </c>
      <c r="Q313" s="31">
        <v>259</v>
      </c>
      <c r="R313">
        <f t="shared" si="40"/>
        <v>0.65877192982456134</v>
      </c>
      <c r="S313" s="41">
        <f t="shared" si="42"/>
        <v>2.4374561403508772</v>
      </c>
      <c r="T313" s="41">
        <f t="shared" si="43"/>
        <v>-2.237456140350877</v>
      </c>
      <c r="U313" s="41">
        <f t="shared" si="36"/>
        <v>29.815789473684209</v>
      </c>
      <c r="W313">
        <v>1782.2</v>
      </c>
      <c r="Y313">
        <f t="shared" ref="Y313:Y335" si="45">Y312+W313</f>
        <v>268696.89999999991</v>
      </c>
      <c r="Z313">
        <f t="shared" si="38"/>
        <v>28064.5</v>
      </c>
      <c r="AA313">
        <v>15.127584407685513</v>
      </c>
    </row>
    <row r="314" spans="1:27" x14ac:dyDescent="0.25">
      <c r="A314">
        <v>5080</v>
      </c>
      <c r="B314">
        <v>18650</v>
      </c>
      <c r="C314" s="1">
        <v>42892</v>
      </c>
      <c r="D314" s="1"/>
      <c r="E314" s="1"/>
      <c r="F314" s="62"/>
      <c r="G314">
        <v>17.2</v>
      </c>
      <c r="H314">
        <v>14.5</v>
      </c>
      <c r="I314">
        <v>20.100000000000001</v>
      </c>
      <c r="J314" s="14">
        <f t="shared" si="44"/>
        <v>2893.6999999999994</v>
      </c>
      <c r="K314" s="14">
        <f t="shared" si="37"/>
        <v>311.2</v>
      </c>
      <c r="L314" s="1"/>
      <c r="M314">
        <v>0</v>
      </c>
      <c r="N314">
        <v>4.4000000000000004</v>
      </c>
      <c r="O314" s="14">
        <f t="shared" si="41"/>
        <v>-4.4000000000000004</v>
      </c>
      <c r="P314">
        <f t="shared" si="39"/>
        <v>18.900000000000006</v>
      </c>
      <c r="Q314" s="31">
        <v>260</v>
      </c>
      <c r="R314">
        <f t="shared" si="40"/>
        <v>0.64473684210526316</v>
      </c>
      <c r="S314" s="41">
        <f t="shared" si="42"/>
        <v>2.8368421052631581</v>
      </c>
      <c r="T314" s="41">
        <f t="shared" si="43"/>
        <v>-2.8368421052631581</v>
      </c>
      <c r="U314" s="41">
        <f t="shared" ref="U314:U335" si="46">MIN(U313+T314,157.8)</f>
        <v>26.97894736842105</v>
      </c>
      <c r="W314">
        <v>1989.9</v>
      </c>
      <c r="Y314">
        <f t="shared" si="45"/>
        <v>270686.79999999993</v>
      </c>
      <c r="Z314">
        <f t="shared" si="38"/>
        <v>30054.400000000001</v>
      </c>
      <c r="AA314">
        <v>15.145274336972918</v>
      </c>
    </row>
    <row r="315" spans="1:27" x14ac:dyDescent="0.25">
      <c r="A315">
        <v>5080</v>
      </c>
      <c r="B315">
        <v>18650</v>
      </c>
      <c r="C315" s="1">
        <v>42893</v>
      </c>
      <c r="D315" s="1"/>
      <c r="E315" s="1"/>
      <c r="F315" s="62"/>
      <c r="G315">
        <v>17</v>
      </c>
      <c r="H315">
        <v>12.1</v>
      </c>
      <c r="I315">
        <v>20.7</v>
      </c>
      <c r="J315" s="14">
        <f t="shared" si="44"/>
        <v>2910.6999999999994</v>
      </c>
      <c r="K315" s="14">
        <f t="shared" si="37"/>
        <v>328.2</v>
      </c>
      <c r="L315" s="1"/>
      <c r="M315">
        <v>0</v>
      </c>
      <c r="N315">
        <v>4.2</v>
      </c>
      <c r="O315" s="14">
        <f t="shared" si="41"/>
        <v>-4.2</v>
      </c>
      <c r="P315">
        <f t="shared" si="39"/>
        <v>14.700000000000006</v>
      </c>
      <c r="Q315" s="31">
        <v>261</v>
      </c>
      <c r="R315">
        <f t="shared" si="40"/>
        <v>0.63070175438596487</v>
      </c>
      <c r="S315" s="41">
        <f t="shared" si="42"/>
        <v>2.6489473684210525</v>
      </c>
      <c r="T315" s="41">
        <f t="shared" si="43"/>
        <v>-2.6489473684210525</v>
      </c>
      <c r="U315" s="41">
        <f t="shared" si="46"/>
        <v>24.33</v>
      </c>
      <c r="W315">
        <v>2109</v>
      </c>
      <c r="Y315">
        <f t="shared" si="45"/>
        <v>272795.79999999993</v>
      </c>
      <c r="Z315">
        <f t="shared" si="38"/>
        <v>32163.4</v>
      </c>
      <c r="AA315">
        <v>15.161907821150026</v>
      </c>
    </row>
    <row r="316" spans="1:27" x14ac:dyDescent="0.25">
      <c r="A316">
        <v>5080</v>
      </c>
      <c r="B316">
        <v>18650</v>
      </c>
      <c r="C316" s="1">
        <v>42894</v>
      </c>
      <c r="D316" s="1"/>
      <c r="E316" s="1"/>
      <c r="F316" s="62"/>
      <c r="G316">
        <v>20.9</v>
      </c>
      <c r="H316">
        <v>14.5</v>
      </c>
      <c r="I316">
        <v>27.9</v>
      </c>
      <c r="J316" s="14">
        <f t="shared" si="44"/>
        <v>2931.5999999999995</v>
      </c>
      <c r="K316" s="14">
        <f t="shared" si="37"/>
        <v>349.09999999999997</v>
      </c>
      <c r="L316" s="1"/>
      <c r="M316">
        <v>3.8</v>
      </c>
      <c r="N316">
        <v>6.9</v>
      </c>
      <c r="O316" s="14">
        <f t="shared" si="41"/>
        <v>-3.1000000000000005</v>
      </c>
      <c r="P316">
        <f t="shared" si="39"/>
        <v>11.600000000000005</v>
      </c>
      <c r="Q316" s="31">
        <v>262</v>
      </c>
      <c r="R316">
        <f t="shared" si="40"/>
        <v>0.6166666666666667</v>
      </c>
      <c r="S316" s="41">
        <f t="shared" si="42"/>
        <v>4.2550000000000008</v>
      </c>
      <c r="T316" s="41">
        <f t="shared" si="43"/>
        <v>-0.45500000000000096</v>
      </c>
      <c r="U316" s="41">
        <f t="shared" si="46"/>
        <v>23.874999999999996</v>
      </c>
      <c r="W316">
        <v>2874.2</v>
      </c>
      <c r="Y316">
        <f t="shared" si="45"/>
        <v>275669.99999999994</v>
      </c>
      <c r="Z316">
        <f t="shared" si="38"/>
        <v>35037.599999999999</v>
      </c>
      <c r="AA316">
        <v>15.177472231439845</v>
      </c>
    </row>
    <row r="317" spans="1:27" x14ac:dyDescent="0.25">
      <c r="A317">
        <v>5080</v>
      </c>
      <c r="B317">
        <v>18650</v>
      </c>
      <c r="C317" s="1">
        <v>42895</v>
      </c>
      <c r="D317" s="1"/>
      <c r="E317" s="1"/>
      <c r="F317" s="62"/>
      <c r="G317">
        <v>20.399999999999999</v>
      </c>
      <c r="H317">
        <v>17.600000000000001</v>
      </c>
      <c r="I317">
        <v>23.3</v>
      </c>
      <c r="J317" s="14">
        <f t="shared" si="44"/>
        <v>2951.9999999999995</v>
      </c>
      <c r="K317" s="14">
        <f t="shared" si="37"/>
        <v>369.49999999999994</v>
      </c>
      <c r="L317" s="1"/>
      <c r="M317">
        <v>0</v>
      </c>
      <c r="N317">
        <v>2.8</v>
      </c>
      <c r="O317" s="14">
        <f t="shared" si="41"/>
        <v>-2.8</v>
      </c>
      <c r="P317">
        <f t="shared" si="39"/>
        <v>8.8000000000000043</v>
      </c>
      <c r="Q317" s="31">
        <v>263</v>
      </c>
      <c r="R317">
        <f t="shared" si="40"/>
        <v>0.60263157894736841</v>
      </c>
      <c r="S317" s="41">
        <f t="shared" si="42"/>
        <v>1.6873684210526314</v>
      </c>
      <c r="T317" s="41">
        <f t="shared" si="43"/>
        <v>-1.6873684210526314</v>
      </c>
      <c r="U317" s="41">
        <f t="shared" si="46"/>
        <v>22.187631578947364</v>
      </c>
      <c r="W317">
        <v>1214.4000000000001</v>
      </c>
      <c r="Y317">
        <f t="shared" si="45"/>
        <v>276884.39999999997</v>
      </c>
      <c r="Z317">
        <f t="shared" si="38"/>
        <v>36252</v>
      </c>
      <c r="AA317">
        <v>15.191955631607014</v>
      </c>
    </row>
    <row r="318" spans="1:27" x14ac:dyDescent="0.25">
      <c r="A318">
        <v>5080</v>
      </c>
      <c r="B318">
        <v>18650</v>
      </c>
      <c r="C318" s="1">
        <v>42896</v>
      </c>
      <c r="D318" s="1"/>
      <c r="E318" s="1"/>
      <c r="F318" s="62"/>
      <c r="G318">
        <v>24.1</v>
      </c>
      <c r="H318">
        <v>18.399999999999999</v>
      </c>
      <c r="I318">
        <v>29.3</v>
      </c>
      <c r="J318" s="14">
        <f t="shared" si="44"/>
        <v>2976.0999999999995</v>
      </c>
      <c r="K318" s="14">
        <f t="shared" si="37"/>
        <v>393.59999999999997</v>
      </c>
      <c r="L318" s="1"/>
      <c r="M318">
        <v>0</v>
      </c>
      <c r="N318">
        <v>7</v>
      </c>
      <c r="O318" s="14">
        <f t="shared" si="41"/>
        <v>-7</v>
      </c>
      <c r="P318">
        <f t="shared" si="39"/>
        <v>1.8000000000000043</v>
      </c>
      <c r="Q318" s="31">
        <v>264</v>
      </c>
      <c r="R318">
        <f t="shared" si="40"/>
        <v>0.58859649122807012</v>
      </c>
      <c r="S318" s="41">
        <f t="shared" si="42"/>
        <v>4.1201754385964904</v>
      </c>
      <c r="T318" s="41">
        <f t="shared" si="43"/>
        <v>-4.1201754385964904</v>
      </c>
      <c r="U318" s="41">
        <f t="shared" si="46"/>
        <v>18.067456140350874</v>
      </c>
      <c r="W318">
        <v>3140</v>
      </c>
      <c r="Y318">
        <f t="shared" si="45"/>
        <v>280024.39999999997</v>
      </c>
      <c r="Z318">
        <f t="shared" si="38"/>
        <v>39392</v>
      </c>
      <c r="AA318">
        <v>15.205346810021654</v>
      </c>
    </row>
    <row r="319" spans="1:27" s="42" customFormat="1" ht="15.75" thickBot="1" x14ac:dyDescent="0.3">
      <c r="A319" s="42">
        <v>5080</v>
      </c>
      <c r="B319" s="42">
        <v>18650</v>
      </c>
      <c r="C319" s="43">
        <v>42897</v>
      </c>
      <c r="D319" s="43"/>
      <c r="E319" s="43"/>
      <c r="F319" s="62"/>
      <c r="G319" s="42">
        <v>25.7</v>
      </c>
      <c r="H319" s="42">
        <v>19.600000000000001</v>
      </c>
      <c r="I319" s="42">
        <v>31.7</v>
      </c>
      <c r="J319" s="44">
        <f t="shared" si="44"/>
        <v>3001.7999999999993</v>
      </c>
      <c r="K319" s="44">
        <f t="shared" si="37"/>
        <v>419.29999999999995</v>
      </c>
      <c r="L319" s="43"/>
      <c r="M319" s="42">
        <v>0</v>
      </c>
      <c r="N319" s="42">
        <v>6.1</v>
      </c>
      <c r="O319" s="44">
        <f t="shared" si="41"/>
        <v>-6.1</v>
      </c>
      <c r="P319" s="42">
        <v>0</v>
      </c>
      <c r="Q319" s="42">
        <v>265</v>
      </c>
      <c r="R319">
        <f t="shared" si="40"/>
        <v>0.57456140350877183</v>
      </c>
      <c r="S319" s="45">
        <f t="shared" si="42"/>
        <v>3.5048245614035078</v>
      </c>
      <c r="T319" s="45">
        <f t="shared" si="43"/>
        <v>-3.5048245614035078</v>
      </c>
      <c r="U319" s="41">
        <f t="shared" si="46"/>
        <v>14.562631578947366</v>
      </c>
      <c r="W319" s="42">
        <v>2491.9</v>
      </c>
      <c r="Y319" s="42">
        <f t="shared" si="45"/>
        <v>282516.3</v>
      </c>
      <c r="Z319" s="42">
        <f t="shared" si="38"/>
        <v>41883.9</v>
      </c>
      <c r="AA319" s="42">
        <v>15.217635310221848</v>
      </c>
    </row>
    <row r="320" spans="1:27" x14ac:dyDescent="0.25">
      <c r="A320">
        <v>5080</v>
      </c>
      <c r="B320">
        <v>18650</v>
      </c>
      <c r="C320" s="1">
        <v>42898</v>
      </c>
      <c r="D320" s="63" t="s">
        <v>49</v>
      </c>
      <c r="E320" s="63"/>
      <c r="F320" s="63"/>
      <c r="G320">
        <v>22.6</v>
      </c>
      <c r="H320">
        <v>18.7</v>
      </c>
      <c r="I320">
        <v>26.2</v>
      </c>
      <c r="J320" s="14">
        <f t="shared" si="44"/>
        <v>3024.3999999999992</v>
      </c>
      <c r="K320" s="14">
        <f t="shared" si="37"/>
        <v>441.9</v>
      </c>
      <c r="L320" s="1"/>
      <c r="M320">
        <v>0</v>
      </c>
      <c r="N320">
        <v>3.9</v>
      </c>
      <c r="O320" s="14">
        <f t="shared" si="41"/>
        <v>-3.9</v>
      </c>
      <c r="P320">
        <v>0</v>
      </c>
      <c r="Q320" s="31">
        <v>266</v>
      </c>
      <c r="R320">
        <f t="shared" si="40"/>
        <v>0.56052631578947365</v>
      </c>
      <c r="S320" s="41">
        <f t="shared" si="42"/>
        <v>2.186052631578947</v>
      </c>
      <c r="T320" s="41">
        <f t="shared" si="43"/>
        <v>-2.186052631578947</v>
      </c>
      <c r="U320" s="41">
        <f t="shared" si="46"/>
        <v>12.376578947368419</v>
      </c>
      <c r="W320">
        <v>1551.6</v>
      </c>
      <c r="Y320">
        <f t="shared" si="45"/>
        <v>284067.89999999997</v>
      </c>
      <c r="Z320">
        <f>Z319+W320</f>
        <v>43435.5</v>
      </c>
      <c r="AA320">
        <v>15.228811459806087</v>
      </c>
    </row>
    <row r="321" spans="1:27" x14ac:dyDescent="0.25">
      <c r="A321">
        <v>5080</v>
      </c>
      <c r="B321">
        <v>18650</v>
      </c>
      <c r="C321" s="1">
        <v>42899</v>
      </c>
      <c r="D321" s="1"/>
      <c r="E321" s="1"/>
      <c r="F321" s="1"/>
      <c r="G321">
        <v>26.5</v>
      </c>
      <c r="H321">
        <v>20.8</v>
      </c>
      <c r="I321">
        <v>31.3</v>
      </c>
      <c r="J321" s="14">
        <f t="shared" si="44"/>
        <v>3050.8999999999992</v>
      </c>
      <c r="K321" s="14">
        <f t="shared" ref="K321:K335" si="47">K320+G321</f>
        <v>468.4</v>
      </c>
      <c r="L321" s="1"/>
      <c r="M321">
        <v>0</v>
      </c>
      <c r="N321">
        <v>5.7</v>
      </c>
      <c r="O321" s="14">
        <f t="shared" si="41"/>
        <v>-5.7</v>
      </c>
      <c r="P321">
        <v>0</v>
      </c>
      <c r="Q321" s="31">
        <v>267</v>
      </c>
      <c r="R321">
        <f t="shared" si="40"/>
        <v>0.54649122807017536</v>
      </c>
      <c r="S321" s="41">
        <f t="shared" si="42"/>
        <v>3.1149999999999998</v>
      </c>
      <c r="T321" s="41">
        <f t="shared" si="43"/>
        <v>-3.1149999999999998</v>
      </c>
      <c r="U321" s="41">
        <f t="shared" si="46"/>
        <v>9.2615789473684185</v>
      </c>
      <c r="W321">
        <v>2521.1</v>
      </c>
      <c r="Y321">
        <f t="shared" si="45"/>
        <v>286588.99999999994</v>
      </c>
      <c r="Z321">
        <f t="shared" si="38"/>
        <v>45956.6</v>
      </c>
      <c r="AA321">
        <v>15.238866397492993</v>
      </c>
    </row>
    <row r="322" spans="1:27" x14ac:dyDescent="0.25">
      <c r="A322">
        <v>5080</v>
      </c>
      <c r="B322">
        <v>18650</v>
      </c>
      <c r="C322" s="1">
        <v>42900</v>
      </c>
      <c r="D322" s="1"/>
      <c r="E322" s="1"/>
      <c r="F322" s="1"/>
      <c r="G322">
        <v>27.4</v>
      </c>
      <c r="H322">
        <v>21.7</v>
      </c>
      <c r="I322">
        <v>32.299999999999997</v>
      </c>
      <c r="J322" s="14">
        <f t="shared" si="44"/>
        <v>3078.2999999999993</v>
      </c>
      <c r="K322" s="14">
        <f t="shared" si="47"/>
        <v>495.79999999999995</v>
      </c>
      <c r="L322" s="1"/>
      <c r="M322">
        <v>0</v>
      </c>
      <c r="N322">
        <v>6.7</v>
      </c>
      <c r="O322" s="14">
        <f t="shared" si="41"/>
        <v>-6.7</v>
      </c>
      <c r="P322">
        <v>0</v>
      </c>
      <c r="Q322" s="31">
        <v>268</v>
      </c>
      <c r="R322">
        <f t="shared" si="40"/>
        <v>0.53245614035087718</v>
      </c>
      <c r="S322" s="41">
        <f t="shared" si="42"/>
        <v>3.5674561403508771</v>
      </c>
      <c r="T322" s="41">
        <f t="shared" si="43"/>
        <v>-3.5674561403508771</v>
      </c>
      <c r="U322" s="41">
        <f t="shared" si="46"/>
        <v>5.6941228070175409</v>
      </c>
      <c r="W322">
        <v>2718.1</v>
      </c>
      <c r="Y322">
        <f t="shared" si="45"/>
        <v>289307.09999999992</v>
      </c>
      <c r="Z322">
        <f t="shared" ref="Z322:Z335" si="48">Z321+W322</f>
        <v>48674.7</v>
      </c>
      <c r="AA322">
        <v>15.247792098193392</v>
      </c>
    </row>
    <row r="323" spans="1:27" x14ac:dyDescent="0.25">
      <c r="A323">
        <v>5080</v>
      </c>
      <c r="B323">
        <v>18650</v>
      </c>
      <c r="C323" s="1">
        <v>42901</v>
      </c>
      <c r="D323" s="1"/>
      <c r="E323" s="1"/>
      <c r="F323" s="1"/>
      <c r="G323">
        <v>23.1</v>
      </c>
      <c r="H323">
        <v>19.2</v>
      </c>
      <c r="I323">
        <v>26.9</v>
      </c>
      <c r="J323" s="14">
        <f t="shared" si="44"/>
        <v>3101.3999999999992</v>
      </c>
      <c r="K323" s="14">
        <f t="shared" si="47"/>
        <v>518.9</v>
      </c>
      <c r="L323" s="1"/>
      <c r="M323">
        <v>0</v>
      </c>
      <c r="N323">
        <v>3.2</v>
      </c>
      <c r="O323" s="14">
        <f t="shared" si="41"/>
        <v>-3.2</v>
      </c>
      <c r="P323">
        <v>0</v>
      </c>
      <c r="Q323" s="31">
        <v>269</v>
      </c>
      <c r="R323">
        <f t="shared" si="40"/>
        <v>0.51842105263157889</v>
      </c>
      <c r="S323" s="41">
        <f t="shared" si="42"/>
        <v>1.6589473684210525</v>
      </c>
      <c r="T323" s="41">
        <f t="shared" si="43"/>
        <v>-1.6589473684210525</v>
      </c>
      <c r="U323" s="41">
        <f t="shared" si="46"/>
        <v>4.0351754385964886</v>
      </c>
      <c r="W323">
        <v>877.3</v>
      </c>
      <c r="Y323">
        <f t="shared" si="45"/>
        <v>290184.39999999991</v>
      </c>
      <c r="Z323">
        <f t="shared" si="48"/>
        <v>49552</v>
      </c>
      <c r="AA323">
        <v>15.255581395948669</v>
      </c>
    </row>
    <row r="324" spans="1:27" x14ac:dyDescent="0.25">
      <c r="A324">
        <v>5080</v>
      </c>
      <c r="B324">
        <v>18650</v>
      </c>
      <c r="C324" s="1">
        <v>42902</v>
      </c>
      <c r="D324" s="1"/>
      <c r="E324" s="1"/>
      <c r="F324" s="1"/>
      <c r="G324">
        <v>23.4</v>
      </c>
      <c r="H324">
        <v>19.399999999999999</v>
      </c>
      <c r="I324">
        <v>27.7</v>
      </c>
      <c r="J324" s="14">
        <f t="shared" si="44"/>
        <v>3124.7999999999993</v>
      </c>
      <c r="K324" s="14">
        <f t="shared" si="47"/>
        <v>542.29999999999995</v>
      </c>
      <c r="L324" s="1"/>
      <c r="M324">
        <v>0</v>
      </c>
      <c r="N324">
        <v>6.8</v>
      </c>
      <c r="O324" s="14">
        <f t="shared" si="41"/>
        <v>-6.8</v>
      </c>
      <c r="P324">
        <v>0</v>
      </c>
      <c r="Q324" s="31">
        <v>270</v>
      </c>
      <c r="R324">
        <f t="shared" si="40"/>
        <v>0.50438596491228072</v>
      </c>
      <c r="S324" s="41">
        <f t="shared" si="42"/>
        <v>3.4298245614035086</v>
      </c>
      <c r="T324" s="41">
        <f t="shared" si="43"/>
        <v>-3.4298245614035086</v>
      </c>
      <c r="U324" s="41">
        <f t="shared" si="46"/>
        <v>0.60535087719298009</v>
      </c>
      <c r="W324">
        <v>2430.5</v>
      </c>
      <c r="Y324">
        <f t="shared" si="45"/>
        <v>292614.89999999991</v>
      </c>
      <c r="Z324">
        <f t="shared" si="48"/>
        <v>51982.5</v>
      </c>
      <c r="AA324">
        <v>15.262228004600038</v>
      </c>
    </row>
    <row r="325" spans="1:27" x14ac:dyDescent="0.25">
      <c r="A325">
        <v>5080</v>
      </c>
      <c r="B325">
        <v>18650</v>
      </c>
      <c r="C325" s="1">
        <v>42903</v>
      </c>
      <c r="D325" s="1"/>
      <c r="E325" s="1"/>
      <c r="F325" s="1"/>
      <c r="G325">
        <v>24.4</v>
      </c>
      <c r="H325">
        <v>18.5</v>
      </c>
      <c r="I325">
        <v>29.9</v>
      </c>
      <c r="J325" s="14">
        <f t="shared" si="44"/>
        <v>3149.1999999999994</v>
      </c>
      <c r="K325" s="14">
        <f t="shared" si="47"/>
        <v>566.69999999999993</v>
      </c>
      <c r="L325" s="1"/>
      <c r="M325">
        <v>0</v>
      </c>
      <c r="N325">
        <v>8</v>
      </c>
      <c r="O325" s="14">
        <f t="shared" si="41"/>
        <v>-8</v>
      </c>
      <c r="P325">
        <v>0</v>
      </c>
      <c r="Q325" s="31">
        <v>271</v>
      </c>
      <c r="R325">
        <f t="shared" si="40"/>
        <v>0.49035087719298243</v>
      </c>
      <c r="S325" s="41">
        <f t="shared" si="42"/>
        <v>3.9228070175438594</v>
      </c>
      <c r="T325" s="41">
        <f t="shared" si="43"/>
        <v>-3.9228070175438594</v>
      </c>
      <c r="U325" s="41">
        <v>0</v>
      </c>
      <c r="W325">
        <v>3298.8</v>
      </c>
      <c r="Y325">
        <f t="shared" si="45"/>
        <v>295913.6999999999</v>
      </c>
      <c r="Z325">
        <f t="shared" si="48"/>
        <v>55281.3</v>
      </c>
      <c r="AA325">
        <v>15.267726536065039</v>
      </c>
    </row>
    <row r="326" spans="1:27" x14ac:dyDescent="0.25">
      <c r="A326">
        <v>5080</v>
      </c>
      <c r="B326">
        <v>18650</v>
      </c>
      <c r="C326" s="1">
        <v>42904</v>
      </c>
      <c r="D326" s="1"/>
      <c r="E326" s="1"/>
      <c r="F326" s="1"/>
      <c r="G326">
        <v>25.3</v>
      </c>
      <c r="H326">
        <v>19.7</v>
      </c>
      <c r="I326">
        <v>31.1</v>
      </c>
      <c r="J326" s="14">
        <f t="shared" si="44"/>
        <v>3174.4999999999995</v>
      </c>
      <c r="K326" s="14">
        <f t="shared" si="47"/>
        <v>591.99999999999989</v>
      </c>
      <c r="L326" s="1"/>
      <c r="M326">
        <v>0</v>
      </c>
      <c r="N326">
        <v>8.1999999999999993</v>
      </c>
      <c r="O326" s="14">
        <f t="shared" si="41"/>
        <v>-8.1999999999999993</v>
      </c>
      <c r="P326">
        <v>0</v>
      </c>
      <c r="Q326" s="31">
        <v>272</v>
      </c>
      <c r="R326">
        <f t="shared" si="40"/>
        <v>0.47631578947368425</v>
      </c>
      <c r="S326" s="41">
        <f t="shared" si="42"/>
        <v>3.9057894736842105</v>
      </c>
      <c r="T326" s="41">
        <f t="shared" si="43"/>
        <v>-3.9057894736842105</v>
      </c>
      <c r="U326" s="41">
        <v>0</v>
      </c>
      <c r="W326">
        <v>3299</v>
      </c>
      <c r="Y326">
        <f t="shared" si="45"/>
        <v>299212.6999999999</v>
      </c>
      <c r="Z326">
        <f t="shared" si="48"/>
        <v>58580.3</v>
      </c>
      <c r="AA326">
        <v>15.272072516110727</v>
      </c>
    </row>
    <row r="327" spans="1:27" x14ac:dyDescent="0.25">
      <c r="A327">
        <v>5080</v>
      </c>
      <c r="B327">
        <v>18650</v>
      </c>
      <c r="C327" s="1">
        <v>42905</v>
      </c>
      <c r="D327" s="1"/>
      <c r="E327" s="1"/>
      <c r="F327" s="1"/>
      <c r="G327">
        <v>26</v>
      </c>
      <c r="H327">
        <v>20.5</v>
      </c>
      <c r="I327">
        <v>30.5</v>
      </c>
      <c r="J327" s="14">
        <f t="shared" si="44"/>
        <v>3200.4999999999995</v>
      </c>
      <c r="K327" s="14">
        <f t="shared" si="47"/>
        <v>617.99999999999989</v>
      </c>
      <c r="L327" s="1"/>
      <c r="M327">
        <v>0</v>
      </c>
      <c r="N327">
        <v>8.8000000000000007</v>
      </c>
      <c r="O327" s="14">
        <f t="shared" si="41"/>
        <v>-8.8000000000000007</v>
      </c>
      <c r="P327">
        <v>0</v>
      </c>
      <c r="Q327" s="31">
        <v>273</v>
      </c>
      <c r="R327">
        <f t="shared" si="40"/>
        <v>0.46228070175438596</v>
      </c>
      <c r="S327" s="41">
        <f t="shared" si="42"/>
        <v>4.0680701754385966</v>
      </c>
      <c r="T327" s="41">
        <f t="shared" si="43"/>
        <v>-4.0680701754385966</v>
      </c>
      <c r="U327" s="41">
        <v>0</v>
      </c>
      <c r="W327">
        <v>3263.4</v>
      </c>
      <c r="Y327">
        <f t="shared" si="45"/>
        <v>302476.09999999992</v>
      </c>
      <c r="Z327">
        <f t="shared" si="48"/>
        <v>61843.700000000004</v>
      </c>
      <c r="AA327">
        <v>15.275262397527273</v>
      </c>
    </row>
    <row r="328" spans="1:27" x14ac:dyDescent="0.25">
      <c r="A328">
        <v>5080</v>
      </c>
      <c r="B328">
        <v>18650</v>
      </c>
      <c r="C328" s="1">
        <v>42906</v>
      </c>
      <c r="D328" s="1"/>
      <c r="E328" s="1"/>
      <c r="F328" s="1"/>
      <c r="G328">
        <v>27.6</v>
      </c>
      <c r="H328">
        <v>22.8</v>
      </c>
      <c r="I328">
        <v>32.5</v>
      </c>
      <c r="J328" s="14">
        <f t="shared" si="44"/>
        <v>3228.0999999999995</v>
      </c>
      <c r="K328" s="14">
        <f t="shared" si="47"/>
        <v>645.59999999999991</v>
      </c>
      <c r="L328" s="1"/>
      <c r="M328">
        <v>0</v>
      </c>
      <c r="N328">
        <v>7.2</v>
      </c>
      <c r="O328" s="14">
        <f t="shared" si="41"/>
        <v>-7.2</v>
      </c>
      <c r="P328">
        <v>0</v>
      </c>
      <c r="Q328" s="31">
        <v>274</v>
      </c>
      <c r="R328">
        <f t="shared" si="40"/>
        <v>0.44824561403508778</v>
      </c>
      <c r="S328" s="41">
        <f t="shared" si="42"/>
        <v>3.2273684210526321</v>
      </c>
      <c r="T328" s="41">
        <f t="shared" si="43"/>
        <v>-3.2273684210526321</v>
      </c>
      <c r="U328" s="41">
        <v>0</v>
      </c>
      <c r="W328">
        <v>2650.5</v>
      </c>
      <c r="Y328">
        <f t="shared" si="45"/>
        <v>305126.59999999992</v>
      </c>
      <c r="Z328">
        <f t="shared" si="48"/>
        <v>64494.200000000004</v>
      </c>
      <c r="AA328">
        <v>15.277293570620845</v>
      </c>
    </row>
    <row r="329" spans="1:27" x14ac:dyDescent="0.25">
      <c r="A329">
        <v>5080</v>
      </c>
      <c r="B329">
        <v>18650</v>
      </c>
      <c r="C329" s="1">
        <v>42907</v>
      </c>
      <c r="D329" s="1"/>
      <c r="E329" s="1"/>
      <c r="F329" s="1"/>
      <c r="G329">
        <v>28.5</v>
      </c>
      <c r="H329">
        <v>22.4</v>
      </c>
      <c r="I329">
        <v>34.299999999999997</v>
      </c>
      <c r="J329" s="14">
        <f t="shared" si="44"/>
        <v>3256.5999999999995</v>
      </c>
      <c r="K329" s="14">
        <f t="shared" si="47"/>
        <v>674.09999999999991</v>
      </c>
      <c r="L329" s="1"/>
      <c r="M329">
        <v>0</v>
      </c>
      <c r="N329">
        <v>8.1999999999999993</v>
      </c>
      <c r="O329" s="14">
        <f t="shared" si="41"/>
        <v>-8.1999999999999993</v>
      </c>
      <c r="P329">
        <v>0</v>
      </c>
      <c r="Q329" s="31">
        <v>275</v>
      </c>
      <c r="R329">
        <f t="shared" si="40"/>
        <v>0.43421052631578949</v>
      </c>
      <c r="S329" s="41">
        <f t="shared" si="42"/>
        <v>3.5605263157894735</v>
      </c>
      <c r="T329" s="41">
        <f t="shared" si="43"/>
        <v>-3.5605263157894735</v>
      </c>
      <c r="U329" s="41">
        <v>0</v>
      </c>
      <c r="W329">
        <v>3234.9</v>
      </c>
      <c r="Y329">
        <f t="shared" si="45"/>
        <v>308361.49999999994</v>
      </c>
      <c r="Z329">
        <f t="shared" si="48"/>
        <v>67729.100000000006</v>
      </c>
      <c r="AA329">
        <v>15.278164370960791</v>
      </c>
    </row>
    <row r="330" spans="1:27" x14ac:dyDescent="0.25">
      <c r="A330">
        <v>5080</v>
      </c>
      <c r="B330">
        <v>18650</v>
      </c>
      <c r="C330" s="1">
        <v>42908</v>
      </c>
      <c r="D330" s="1"/>
      <c r="E330" s="1"/>
      <c r="F330" s="1"/>
      <c r="G330">
        <v>29.1</v>
      </c>
      <c r="H330">
        <v>22.5</v>
      </c>
      <c r="I330">
        <v>35.700000000000003</v>
      </c>
      <c r="J330" s="14">
        <f t="shared" si="44"/>
        <v>3285.6999999999994</v>
      </c>
      <c r="K330" s="14">
        <f t="shared" si="47"/>
        <v>703.19999999999993</v>
      </c>
      <c r="L330" s="1"/>
      <c r="M330">
        <v>0</v>
      </c>
      <c r="N330">
        <v>8.1999999999999993</v>
      </c>
      <c r="O330" s="14">
        <f t="shared" si="41"/>
        <v>-8.1999999999999993</v>
      </c>
      <c r="P330">
        <v>0</v>
      </c>
      <c r="Q330" s="31">
        <v>276</v>
      </c>
      <c r="R330">
        <f t="shared" si="40"/>
        <v>0.4201754385964912</v>
      </c>
      <c r="S330" s="41">
        <f t="shared" si="42"/>
        <v>3.4454385964912277</v>
      </c>
      <c r="T330" s="41">
        <f t="shared" si="43"/>
        <v>-3.4454385964912277</v>
      </c>
      <c r="U330" s="41">
        <v>0</v>
      </c>
      <c r="W330">
        <v>2987</v>
      </c>
      <c r="Y330">
        <f t="shared" si="45"/>
        <v>311348.49999999994</v>
      </c>
      <c r="Z330">
        <f t="shared" si="48"/>
        <v>70716.100000000006</v>
      </c>
      <c r="AA330">
        <v>15.277874084332893</v>
      </c>
    </row>
    <row r="331" spans="1:27" x14ac:dyDescent="0.25">
      <c r="A331">
        <v>5080</v>
      </c>
      <c r="B331">
        <v>18650</v>
      </c>
      <c r="C331" s="1">
        <v>42909</v>
      </c>
      <c r="D331" s="1"/>
      <c r="E331" s="1"/>
      <c r="F331" s="1"/>
      <c r="G331">
        <v>22.1</v>
      </c>
      <c r="H331">
        <v>20.3</v>
      </c>
      <c r="I331">
        <v>24</v>
      </c>
      <c r="J331" s="14">
        <f t="shared" si="44"/>
        <v>3307.7999999999993</v>
      </c>
      <c r="K331" s="14">
        <f t="shared" si="47"/>
        <v>725.3</v>
      </c>
      <c r="L331" s="1"/>
      <c r="M331">
        <v>0</v>
      </c>
      <c r="N331">
        <v>2.5</v>
      </c>
      <c r="O331" s="14">
        <f t="shared" si="41"/>
        <v>-2.5</v>
      </c>
      <c r="P331">
        <v>0</v>
      </c>
      <c r="Q331" s="31">
        <v>277</v>
      </c>
      <c r="R331">
        <f t="shared" si="40"/>
        <v>0.40614035087719291</v>
      </c>
      <c r="S331" s="41">
        <f t="shared" si="42"/>
        <v>1.0153508771929822</v>
      </c>
      <c r="T331" s="41">
        <f t="shared" si="43"/>
        <v>-1.0153508771929822</v>
      </c>
      <c r="U331" s="41">
        <v>0</v>
      </c>
      <c r="W331">
        <v>742.5</v>
      </c>
      <c r="Y331">
        <f t="shared" si="45"/>
        <v>312090.99999999994</v>
      </c>
      <c r="Z331">
        <f t="shared" si="48"/>
        <v>71458.600000000006</v>
      </c>
      <c r="AA331">
        <v>15.276422948867735</v>
      </c>
    </row>
    <row r="332" spans="1:27" x14ac:dyDescent="0.25">
      <c r="A332">
        <v>5080</v>
      </c>
      <c r="B332">
        <v>18650</v>
      </c>
      <c r="C332" s="1">
        <v>42910</v>
      </c>
      <c r="D332" s="1"/>
      <c r="E332" s="1"/>
      <c r="F332" s="1"/>
      <c r="G332">
        <v>21.8</v>
      </c>
      <c r="H332">
        <v>19.7</v>
      </c>
      <c r="I332">
        <v>23.4</v>
      </c>
      <c r="J332" s="14">
        <f t="shared" si="44"/>
        <v>3329.5999999999995</v>
      </c>
      <c r="K332" s="14">
        <f t="shared" si="47"/>
        <v>747.09999999999991</v>
      </c>
      <c r="L332" s="1"/>
      <c r="M332">
        <v>0</v>
      </c>
      <c r="N332">
        <v>3.1</v>
      </c>
      <c r="O332" s="14">
        <f t="shared" si="41"/>
        <v>-3.1</v>
      </c>
      <c r="P332">
        <v>0</v>
      </c>
      <c r="Q332" s="31">
        <v>278</v>
      </c>
      <c r="R332">
        <f t="shared" si="40"/>
        <v>0.39210526315789473</v>
      </c>
      <c r="S332" s="41">
        <f t="shared" si="42"/>
        <v>1.2155263157894738</v>
      </c>
      <c r="T332" s="41">
        <f t="shared" si="43"/>
        <v>-1.2155263157894738</v>
      </c>
      <c r="U332" s="41">
        <v>0</v>
      </c>
      <c r="W332">
        <v>796.5</v>
      </c>
      <c r="Y332">
        <f t="shared" si="45"/>
        <v>312887.49999999994</v>
      </c>
      <c r="Z332">
        <f t="shared" si="48"/>
        <v>72255.100000000006</v>
      </c>
      <c r="AA332">
        <v>15.273812154330868</v>
      </c>
    </row>
    <row r="333" spans="1:27" x14ac:dyDescent="0.25">
      <c r="A333">
        <v>5080</v>
      </c>
      <c r="B333">
        <v>18650</v>
      </c>
      <c r="C333" s="1">
        <v>42911</v>
      </c>
      <c r="D333" s="1"/>
      <c r="E333" s="1"/>
      <c r="F333" s="1"/>
      <c r="G333">
        <v>22.6</v>
      </c>
      <c r="H333">
        <v>17.399999999999999</v>
      </c>
      <c r="I333">
        <v>26.8</v>
      </c>
      <c r="J333" s="14">
        <f t="shared" si="44"/>
        <v>3352.1999999999994</v>
      </c>
      <c r="K333" s="14">
        <f t="shared" si="47"/>
        <v>769.69999999999993</v>
      </c>
      <c r="L333" s="1"/>
      <c r="M333">
        <v>0.6</v>
      </c>
      <c r="N333">
        <v>4.5999999999999996</v>
      </c>
      <c r="O333" s="14">
        <f t="shared" si="41"/>
        <v>-3.9999999999999996</v>
      </c>
      <c r="P333">
        <v>0</v>
      </c>
      <c r="Q333" s="31">
        <v>279</v>
      </c>
      <c r="R333">
        <f t="shared" si="40"/>
        <v>0.37807017543859645</v>
      </c>
      <c r="S333" s="41">
        <f t="shared" si="42"/>
        <v>1.7391228070175435</v>
      </c>
      <c r="T333" s="41">
        <f t="shared" si="43"/>
        <v>-1.1391228070175434</v>
      </c>
      <c r="U333" s="41">
        <v>0</v>
      </c>
      <c r="W333">
        <v>2058.8000000000002</v>
      </c>
      <c r="Y333">
        <f t="shared" si="45"/>
        <v>314946.29999999993</v>
      </c>
      <c r="Z333">
        <f t="shared" si="48"/>
        <v>74313.900000000009</v>
      </c>
      <c r="AA333">
        <v>15.270043838579245</v>
      </c>
    </row>
    <row r="334" spans="1:27" x14ac:dyDescent="0.25">
      <c r="A334">
        <v>5080</v>
      </c>
      <c r="B334">
        <v>18650</v>
      </c>
      <c r="C334" s="1">
        <v>42912</v>
      </c>
      <c r="D334" s="1"/>
      <c r="E334" s="1"/>
      <c r="F334" s="1"/>
      <c r="G334">
        <v>22.5</v>
      </c>
      <c r="H334">
        <v>19</v>
      </c>
      <c r="I334">
        <v>27.1</v>
      </c>
      <c r="J334" s="14">
        <f t="shared" si="44"/>
        <v>3374.6999999999994</v>
      </c>
      <c r="K334" s="14">
        <f t="shared" si="47"/>
        <v>792.19999999999993</v>
      </c>
      <c r="L334" s="1"/>
      <c r="M334">
        <v>0.2</v>
      </c>
      <c r="N334">
        <v>3.4</v>
      </c>
      <c r="O334" s="14">
        <f t="shared" si="41"/>
        <v>-3.1999999999999997</v>
      </c>
      <c r="P334">
        <v>0</v>
      </c>
      <c r="Q334" s="31">
        <v>280</v>
      </c>
      <c r="R334">
        <f t="shared" si="40"/>
        <v>0.36403508771929827</v>
      </c>
      <c r="S334" s="41">
        <f t="shared" si="42"/>
        <v>1.237719298245614</v>
      </c>
      <c r="T334" s="41">
        <f t="shared" si="43"/>
        <v>-1.037719298245614</v>
      </c>
      <c r="U334" s="41">
        <v>0</v>
      </c>
      <c r="W334">
        <v>1492.3</v>
      </c>
      <c r="Y334">
        <f t="shared" si="45"/>
        <v>316438.59999999992</v>
      </c>
      <c r="Z334">
        <f t="shared" si="48"/>
        <v>75806.200000000012</v>
      </c>
      <c r="AA334">
        <v>15.265121081206027</v>
      </c>
    </row>
    <row r="335" spans="1:27" x14ac:dyDescent="0.25">
      <c r="A335">
        <v>5080</v>
      </c>
      <c r="B335">
        <v>18650</v>
      </c>
      <c r="C335" s="1">
        <v>42913</v>
      </c>
      <c r="D335" s="1"/>
      <c r="E335" s="1"/>
      <c r="F335" s="1"/>
      <c r="G335">
        <v>20.9</v>
      </c>
      <c r="H335">
        <v>18.399999999999999</v>
      </c>
      <c r="I335">
        <v>27.7</v>
      </c>
      <c r="J335" s="14">
        <f t="shared" si="44"/>
        <v>3395.5999999999995</v>
      </c>
      <c r="K335" s="14">
        <f t="shared" si="47"/>
        <v>813.09999999999991</v>
      </c>
      <c r="L335" s="1"/>
      <c r="M335">
        <v>16.5</v>
      </c>
      <c r="N335">
        <v>4.9000000000000004</v>
      </c>
      <c r="O335" s="14">
        <f t="shared" si="41"/>
        <v>11.6</v>
      </c>
      <c r="P335">
        <f t="shared" ref="P335" si="49">P334+O335</f>
        <v>11.6</v>
      </c>
      <c r="Q335" s="31">
        <v>281</v>
      </c>
      <c r="R335">
        <f t="shared" si="40"/>
        <v>0.35</v>
      </c>
      <c r="S335" s="41">
        <f t="shared" si="42"/>
        <v>1.7150000000000001</v>
      </c>
      <c r="T335" s="41">
        <f t="shared" si="43"/>
        <v>14.785</v>
      </c>
      <c r="U335" s="41">
        <f t="shared" si="46"/>
        <v>14.785</v>
      </c>
      <c r="W335">
        <v>2109.1</v>
      </c>
      <c r="Y335">
        <f t="shared" si="45"/>
        <v>318547.6999999999</v>
      </c>
      <c r="Z335">
        <f t="shared" si="48"/>
        <v>77915.300000000017</v>
      </c>
      <c r="AA335">
        <v>15.259047894413476</v>
      </c>
    </row>
    <row r="336" spans="1:27" s="11" customFormat="1" x14ac:dyDescent="0.25">
      <c r="A336" s="59" t="s">
        <v>32</v>
      </c>
      <c r="B336" s="59"/>
      <c r="C336" s="59"/>
      <c r="D336" s="59"/>
      <c r="E336" s="59"/>
      <c r="F336" s="59"/>
      <c r="J336" s="15"/>
      <c r="K336" s="15"/>
      <c r="L336" s="12"/>
      <c r="O336" s="15"/>
      <c r="P336"/>
      <c r="T336" s="15"/>
    </row>
    <row r="337" spans="1:23" x14ac:dyDescent="0.25">
      <c r="A337">
        <v>5080</v>
      </c>
      <c r="B337">
        <v>18650</v>
      </c>
      <c r="C337" s="1">
        <v>42914</v>
      </c>
      <c r="D337" s="1"/>
      <c r="E337" s="1"/>
      <c r="F337" s="1"/>
      <c r="G337">
        <v>19.3</v>
      </c>
      <c r="H337">
        <v>16.8</v>
      </c>
      <c r="I337">
        <v>25</v>
      </c>
      <c r="L337" s="1"/>
      <c r="M337">
        <v>4.5999999999999996</v>
      </c>
      <c r="N337">
        <v>4.5</v>
      </c>
      <c r="W337">
        <v>1686.2</v>
      </c>
    </row>
    <row r="338" spans="1:23" x14ac:dyDescent="0.25">
      <c r="A338">
        <v>5080</v>
      </c>
      <c r="B338">
        <v>18650</v>
      </c>
      <c r="C338" s="1">
        <v>42915</v>
      </c>
      <c r="D338" s="1"/>
      <c r="E338" s="1"/>
      <c r="F338" s="1"/>
      <c r="G338">
        <v>17.600000000000001</v>
      </c>
      <c r="H338">
        <v>14.9</v>
      </c>
      <c r="I338">
        <v>20.5</v>
      </c>
      <c r="L338" s="1"/>
      <c r="M338">
        <v>0</v>
      </c>
      <c r="N338">
        <v>5.8</v>
      </c>
      <c r="W338">
        <v>2589.4</v>
      </c>
    </row>
    <row r="339" spans="1:23" x14ac:dyDescent="0.25">
      <c r="A339">
        <v>5080</v>
      </c>
      <c r="B339">
        <v>18650</v>
      </c>
      <c r="C339" s="1">
        <v>42916</v>
      </c>
      <c r="D339" s="1"/>
      <c r="E339" s="1"/>
      <c r="F339" s="1"/>
      <c r="G339">
        <v>15</v>
      </c>
      <c r="H339">
        <v>13.9</v>
      </c>
      <c r="I339">
        <v>17.600000000000001</v>
      </c>
      <c r="L339" s="1"/>
      <c r="M339">
        <v>3.4</v>
      </c>
      <c r="N339">
        <v>2.9</v>
      </c>
      <c r="W339">
        <v>1121.2</v>
      </c>
    </row>
    <row r="340" spans="1:23" x14ac:dyDescent="0.25">
      <c r="A340">
        <v>5080</v>
      </c>
      <c r="B340">
        <v>18650</v>
      </c>
      <c r="C340" s="1">
        <v>42917</v>
      </c>
      <c r="D340" s="1"/>
      <c r="E340" s="1"/>
      <c r="F340" s="1"/>
      <c r="G340">
        <v>15.5</v>
      </c>
      <c r="H340">
        <v>13.4</v>
      </c>
      <c r="I340">
        <v>17.899999999999999</v>
      </c>
      <c r="L340" s="1"/>
      <c r="M340">
        <v>7.5</v>
      </c>
      <c r="N340">
        <v>2.1</v>
      </c>
      <c r="W340">
        <v>795.7</v>
      </c>
    </row>
    <row r="341" spans="1:23" x14ac:dyDescent="0.25">
      <c r="A341">
        <v>5080</v>
      </c>
      <c r="B341">
        <v>18650</v>
      </c>
      <c r="C341" s="1">
        <v>42918</v>
      </c>
      <c r="D341" s="1"/>
      <c r="E341" s="1"/>
      <c r="F341" s="1"/>
      <c r="G341">
        <v>18.100000000000001</v>
      </c>
      <c r="H341">
        <v>14.4</v>
      </c>
      <c r="I341">
        <v>21.3</v>
      </c>
      <c r="L341" s="1"/>
      <c r="M341">
        <v>0</v>
      </c>
      <c r="N341">
        <v>3</v>
      </c>
      <c r="W341">
        <v>1122.5999999999999</v>
      </c>
    </row>
    <row r="342" spans="1:23" x14ac:dyDescent="0.25">
      <c r="A342">
        <v>5080</v>
      </c>
      <c r="B342">
        <v>18650</v>
      </c>
      <c r="C342" s="1">
        <v>42919</v>
      </c>
      <c r="D342" s="1"/>
      <c r="E342" s="1"/>
      <c r="F342" s="1"/>
      <c r="G342">
        <v>21.3</v>
      </c>
      <c r="H342">
        <v>18.100000000000001</v>
      </c>
      <c r="I342">
        <v>25.4</v>
      </c>
      <c r="L342" s="1"/>
      <c r="M342">
        <v>0.2</v>
      </c>
      <c r="N342">
        <v>4.5</v>
      </c>
      <c r="W342">
        <v>2048.1</v>
      </c>
    </row>
    <row r="343" spans="1:23" x14ac:dyDescent="0.25">
      <c r="A343">
        <v>5080</v>
      </c>
      <c r="B343">
        <v>18650</v>
      </c>
      <c r="C343" s="1">
        <v>42920</v>
      </c>
      <c r="D343" s="1"/>
      <c r="E343" s="1"/>
      <c r="F343" s="1"/>
      <c r="G343">
        <v>24.2</v>
      </c>
      <c r="H343">
        <v>17.399999999999999</v>
      </c>
      <c r="I343">
        <v>31.1</v>
      </c>
      <c r="L343" s="1"/>
      <c r="M343">
        <v>0</v>
      </c>
      <c r="N343">
        <v>7.1</v>
      </c>
      <c r="W343">
        <v>2794.8</v>
      </c>
    </row>
    <row r="344" spans="1:23" x14ac:dyDescent="0.25">
      <c r="A344">
        <v>5080</v>
      </c>
      <c r="B344">
        <v>18650</v>
      </c>
      <c r="C344" s="1">
        <v>42921</v>
      </c>
      <c r="D344" s="1"/>
      <c r="E344" s="1"/>
      <c r="F344" s="1"/>
      <c r="G344">
        <v>24.3</v>
      </c>
      <c r="H344">
        <v>20.399999999999999</v>
      </c>
      <c r="I344">
        <v>28.5</v>
      </c>
      <c r="L344" s="1"/>
      <c r="M344">
        <v>0</v>
      </c>
      <c r="N344">
        <v>8.9</v>
      </c>
      <c r="W344">
        <v>3266.4</v>
      </c>
    </row>
    <row r="345" spans="1:23" x14ac:dyDescent="0.25">
      <c r="A345">
        <v>5080</v>
      </c>
      <c r="B345">
        <v>18650</v>
      </c>
      <c r="C345" s="1">
        <v>42922</v>
      </c>
      <c r="D345" s="1"/>
      <c r="E345" s="1"/>
      <c r="F345" s="1"/>
      <c r="G345">
        <v>24</v>
      </c>
      <c r="H345">
        <v>19.899999999999999</v>
      </c>
      <c r="I345">
        <v>27.6</v>
      </c>
      <c r="L345" s="1"/>
      <c r="M345">
        <v>0</v>
      </c>
      <c r="N345">
        <v>5.5</v>
      </c>
      <c r="W345">
        <v>2201</v>
      </c>
    </row>
    <row r="346" spans="1:23" x14ac:dyDescent="0.25">
      <c r="A346">
        <v>5080</v>
      </c>
      <c r="B346">
        <v>18650</v>
      </c>
      <c r="C346" s="1">
        <v>42923</v>
      </c>
      <c r="D346" s="1"/>
      <c r="E346" s="1"/>
      <c r="F346" s="1"/>
      <c r="G346">
        <v>27.8</v>
      </c>
      <c r="H346">
        <v>20.5</v>
      </c>
      <c r="I346">
        <v>33.799999999999997</v>
      </c>
      <c r="L346" s="1"/>
      <c r="M346">
        <v>0</v>
      </c>
      <c r="N346">
        <v>7</v>
      </c>
      <c r="W346">
        <v>2500</v>
      </c>
    </row>
    <row r="347" spans="1:23" x14ac:dyDescent="0.25">
      <c r="A347">
        <v>5080</v>
      </c>
      <c r="B347">
        <v>18650</v>
      </c>
      <c r="C347" s="1">
        <v>42924</v>
      </c>
      <c r="D347" s="1"/>
      <c r="E347" s="1"/>
      <c r="F347" s="1"/>
      <c r="G347">
        <v>23.6</v>
      </c>
      <c r="H347">
        <v>21.3</v>
      </c>
      <c r="I347">
        <v>27</v>
      </c>
      <c r="L347" s="1"/>
      <c r="M347">
        <v>12.9</v>
      </c>
      <c r="N347">
        <v>1.8</v>
      </c>
      <c r="W347">
        <v>953.9</v>
      </c>
    </row>
    <row r="348" spans="1:23" x14ac:dyDescent="0.25">
      <c r="A348">
        <v>5080</v>
      </c>
      <c r="B348">
        <v>18650</v>
      </c>
      <c r="C348" s="1">
        <v>42925</v>
      </c>
      <c r="D348" s="1"/>
      <c r="E348" s="1"/>
      <c r="F348" s="1"/>
      <c r="G348">
        <v>20.399999999999999</v>
      </c>
      <c r="H348">
        <v>17.7</v>
      </c>
      <c r="I348">
        <v>24.8</v>
      </c>
      <c r="L348" s="1"/>
      <c r="M348">
        <v>1.8</v>
      </c>
      <c r="N348">
        <v>2.7</v>
      </c>
      <c r="W348">
        <v>888.1</v>
      </c>
    </row>
    <row r="349" spans="1:23" x14ac:dyDescent="0.25">
      <c r="A349">
        <v>5080</v>
      </c>
      <c r="B349">
        <v>18650</v>
      </c>
      <c r="C349" s="1">
        <v>42926</v>
      </c>
      <c r="D349" s="1"/>
      <c r="E349" s="1"/>
      <c r="F349" s="1"/>
      <c r="G349">
        <v>19.899999999999999</v>
      </c>
      <c r="H349">
        <v>17.399999999999999</v>
      </c>
      <c r="I349">
        <v>22.3</v>
      </c>
      <c r="L349" s="1"/>
      <c r="M349">
        <v>0</v>
      </c>
      <c r="N349">
        <v>2.5</v>
      </c>
      <c r="W349">
        <v>1174.8</v>
      </c>
    </row>
    <row r="350" spans="1:23" x14ac:dyDescent="0.25">
      <c r="A350">
        <v>5080</v>
      </c>
      <c r="B350">
        <v>18650</v>
      </c>
      <c r="C350" s="1">
        <v>42927</v>
      </c>
      <c r="D350" s="1"/>
      <c r="E350" s="1"/>
      <c r="F350" s="1"/>
      <c r="G350">
        <v>21.4</v>
      </c>
      <c r="H350">
        <v>18</v>
      </c>
      <c r="I350">
        <v>25.4</v>
      </c>
      <c r="L350" s="1"/>
      <c r="M350">
        <v>0</v>
      </c>
      <c r="N350">
        <v>2.2999999999999998</v>
      </c>
      <c r="W350">
        <v>893.3</v>
      </c>
    </row>
    <row r="351" spans="1:23" x14ac:dyDescent="0.25">
      <c r="A351">
        <v>5080</v>
      </c>
      <c r="B351">
        <v>18650</v>
      </c>
      <c r="C351" s="1">
        <v>42928</v>
      </c>
      <c r="D351" s="1"/>
      <c r="E351" s="1"/>
      <c r="F351" s="1"/>
      <c r="G351">
        <v>21.3</v>
      </c>
      <c r="H351">
        <v>18.899999999999999</v>
      </c>
      <c r="I351">
        <v>23.9</v>
      </c>
      <c r="L351" s="1"/>
      <c r="M351">
        <v>0</v>
      </c>
      <c r="N351">
        <v>2.5</v>
      </c>
      <c r="W351">
        <v>874.5</v>
      </c>
    </row>
    <row r="352" spans="1:23" x14ac:dyDescent="0.25">
      <c r="A352">
        <v>5080</v>
      </c>
      <c r="B352">
        <v>18650</v>
      </c>
      <c r="C352" s="1">
        <v>42929</v>
      </c>
      <c r="D352" s="1"/>
      <c r="E352" s="1"/>
      <c r="F352" s="1"/>
      <c r="G352">
        <v>21.5</v>
      </c>
      <c r="H352">
        <v>18.899999999999999</v>
      </c>
      <c r="I352">
        <v>25.5</v>
      </c>
      <c r="L352" s="1"/>
      <c r="M352">
        <v>0</v>
      </c>
      <c r="N352">
        <v>3.4</v>
      </c>
      <c r="W352">
        <v>1178.2</v>
      </c>
    </row>
    <row r="353" spans="1:23" x14ac:dyDescent="0.25">
      <c r="A353">
        <v>5080</v>
      </c>
      <c r="B353">
        <v>18650</v>
      </c>
      <c r="C353" s="1">
        <v>42930</v>
      </c>
      <c r="D353" s="1"/>
      <c r="E353" s="1"/>
      <c r="F353" s="1"/>
      <c r="G353">
        <v>21.4</v>
      </c>
      <c r="H353">
        <v>18.600000000000001</v>
      </c>
      <c r="I353">
        <v>24.5</v>
      </c>
      <c r="L353" s="1"/>
      <c r="M353">
        <v>0</v>
      </c>
      <c r="N353">
        <v>4.5999999999999996</v>
      </c>
      <c r="W353">
        <v>1658.7</v>
      </c>
    </row>
    <row r="354" spans="1:23" x14ac:dyDescent="0.25">
      <c r="A354">
        <v>5080</v>
      </c>
      <c r="B354">
        <v>18650</v>
      </c>
      <c r="C354" s="1">
        <v>42931</v>
      </c>
      <c r="D354" s="1"/>
      <c r="E354" s="1"/>
      <c r="F354" s="1"/>
      <c r="G354">
        <v>22.9</v>
      </c>
      <c r="H354">
        <v>18</v>
      </c>
      <c r="I354">
        <v>28</v>
      </c>
      <c r="L354" s="1"/>
      <c r="M354">
        <v>0</v>
      </c>
      <c r="N354">
        <v>7.3</v>
      </c>
      <c r="W354">
        <v>3116.1</v>
      </c>
    </row>
    <row r="355" spans="1:23" x14ac:dyDescent="0.25">
      <c r="A355">
        <v>5080</v>
      </c>
      <c r="B355">
        <v>18650</v>
      </c>
      <c r="C355" s="1">
        <v>42932</v>
      </c>
      <c r="D355" s="1"/>
      <c r="E355" s="1"/>
      <c r="F355" s="1"/>
      <c r="G355">
        <v>25.4</v>
      </c>
      <c r="H355">
        <v>18.100000000000001</v>
      </c>
      <c r="I355">
        <v>32.5</v>
      </c>
      <c r="L355" s="1"/>
      <c r="M355">
        <v>0</v>
      </c>
      <c r="N355">
        <v>7.7</v>
      </c>
      <c r="W355">
        <v>3206.6</v>
      </c>
    </row>
    <row r="356" spans="1:23" x14ac:dyDescent="0.25">
      <c r="A356">
        <v>5080</v>
      </c>
      <c r="B356">
        <v>18650</v>
      </c>
      <c r="C356" s="1">
        <v>42933</v>
      </c>
      <c r="D356" s="1"/>
      <c r="E356" s="1"/>
      <c r="F356" s="1"/>
      <c r="G356">
        <v>25.4</v>
      </c>
      <c r="H356">
        <v>20.8</v>
      </c>
      <c r="I356">
        <v>31.8</v>
      </c>
      <c r="L356" s="1"/>
      <c r="M356">
        <v>0</v>
      </c>
      <c r="N356">
        <v>9</v>
      </c>
      <c r="W356">
        <v>2863.6</v>
      </c>
    </row>
    <row r="357" spans="1:23" x14ac:dyDescent="0.25">
      <c r="A357">
        <v>5080</v>
      </c>
      <c r="B357">
        <v>18650</v>
      </c>
      <c r="C357" s="1">
        <v>42934</v>
      </c>
      <c r="D357" s="1"/>
      <c r="E357" s="1"/>
      <c r="F357" s="1"/>
      <c r="G357">
        <v>25.5</v>
      </c>
      <c r="H357">
        <v>20</v>
      </c>
      <c r="I357">
        <v>30.3</v>
      </c>
      <c r="L357" s="1"/>
      <c r="M357">
        <v>0</v>
      </c>
      <c r="N357">
        <v>7.3</v>
      </c>
      <c r="W357">
        <v>2493.4</v>
      </c>
    </row>
    <row r="358" spans="1:23" x14ac:dyDescent="0.25">
      <c r="A358">
        <v>5080</v>
      </c>
      <c r="B358">
        <v>18650</v>
      </c>
      <c r="C358" s="1">
        <v>42935</v>
      </c>
      <c r="D358" s="1"/>
      <c r="E358" s="1"/>
      <c r="F358" s="1"/>
      <c r="G358">
        <v>24.3</v>
      </c>
      <c r="H358">
        <v>22.7</v>
      </c>
      <c r="I358">
        <v>26.8</v>
      </c>
      <c r="L358" s="1"/>
      <c r="M358">
        <v>24.7</v>
      </c>
      <c r="N358">
        <v>3.9</v>
      </c>
      <c r="W358">
        <v>1679</v>
      </c>
    </row>
    <row r="359" spans="1:23" x14ac:dyDescent="0.25">
      <c r="A359">
        <v>5080</v>
      </c>
      <c r="B359">
        <v>18650</v>
      </c>
      <c r="C359" s="1">
        <v>42936</v>
      </c>
      <c r="D359" s="1"/>
      <c r="E359" s="1"/>
      <c r="F359" s="1"/>
      <c r="G359">
        <v>20</v>
      </c>
      <c r="H359">
        <v>19.3</v>
      </c>
      <c r="I359">
        <v>21.5</v>
      </c>
      <c r="L359" s="1"/>
      <c r="M359">
        <v>0.8</v>
      </c>
      <c r="N359">
        <v>1.9</v>
      </c>
      <c r="W359">
        <v>787.9</v>
      </c>
    </row>
    <row r="360" spans="1:23" x14ac:dyDescent="0.25">
      <c r="A360">
        <v>5080</v>
      </c>
      <c r="B360">
        <v>18650</v>
      </c>
      <c r="C360" s="1">
        <v>42937</v>
      </c>
      <c r="D360" s="1"/>
      <c r="E360" s="1"/>
      <c r="F360" s="1"/>
      <c r="G360">
        <v>20.100000000000001</v>
      </c>
      <c r="H360">
        <v>17.600000000000001</v>
      </c>
      <c r="I360">
        <v>23.3</v>
      </c>
      <c r="L360" s="1"/>
      <c r="M360">
        <v>2.7</v>
      </c>
      <c r="N360">
        <v>3.8</v>
      </c>
      <c r="W360">
        <v>1814.6</v>
      </c>
    </row>
    <row r="361" spans="1:23" x14ac:dyDescent="0.25">
      <c r="A361">
        <v>5080</v>
      </c>
      <c r="B361">
        <v>18650</v>
      </c>
      <c r="C361" s="1">
        <v>42938</v>
      </c>
      <c r="D361" s="1"/>
      <c r="E361" s="1"/>
      <c r="F361" s="1"/>
      <c r="G361">
        <v>21.4</v>
      </c>
      <c r="H361">
        <v>17.100000000000001</v>
      </c>
      <c r="I361">
        <v>24.7</v>
      </c>
      <c r="L361" s="1"/>
      <c r="M361">
        <v>0</v>
      </c>
      <c r="N361">
        <v>2.9</v>
      </c>
      <c r="W361">
        <v>1074.5999999999999</v>
      </c>
    </row>
    <row r="362" spans="1:23" x14ac:dyDescent="0.25">
      <c r="A362">
        <v>5080</v>
      </c>
      <c r="B362">
        <v>18650</v>
      </c>
      <c r="C362" s="1">
        <v>42939</v>
      </c>
      <c r="D362" s="1"/>
      <c r="E362" s="1"/>
      <c r="F362" s="1"/>
      <c r="G362">
        <v>20.2</v>
      </c>
      <c r="H362">
        <v>18.399999999999999</v>
      </c>
      <c r="I362">
        <v>22.3</v>
      </c>
      <c r="L362" s="1"/>
      <c r="M362">
        <v>1.1000000000000001</v>
      </c>
      <c r="N362">
        <v>2.7</v>
      </c>
      <c r="W362">
        <v>819.7</v>
      </c>
    </row>
    <row r="363" spans="1:23" x14ac:dyDescent="0.25">
      <c r="A363">
        <v>5080</v>
      </c>
      <c r="B363">
        <v>18650</v>
      </c>
      <c r="C363" s="1">
        <v>42940</v>
      </c>
      <c r="D363" s="1"/>
      <c r="E363" s="1"/>
      <c r="F363" s="1"/>
      <c r="G363">
        <v>19.3</v>
      </c>
      <c r="H363">
        <v>17.7</v>
      </c>
      <c r="I363">
        <v>22.6</v>
      </c>
      <c r="L363" s="1"/>
      <c r="M363">
        <v>2.1</v>
      </c>
      <c r="N363">
        <v>3.2</v>
      </c>
      <c r="W363">
        <v>1071.5999999999999</v>
      </c>
    </row>
    <row r="364" spans="1:23" x14ac:dyDescent="0.25">
      <c r="A364">
        <v>5080</v>
      </c>
      <c r="B364">
        <v>18650</v>
      </c>
      <c r="C364" s="1">
        <v>42941</v>
      </c>
      <c r="D364" s="1"/>
      <c r="E364" s="1"/>
      <c r="F364" s="1"/>
      <c r="G364">
        <v>19.5</v>
      </c>
      <c r="H364">
        <v>15.9</v>
      </c>
      <c r="I364">
        <v>23</v>
      </c>
      <c r="L364" s="1"/>
      <c r="M364">
        <v>0.1</v>
      </c>
      <c r="N364">
        <v>4.2</v>
      </c>
      <c r="W364">
        <v>2001.6</v>
      </c>
    </row>
    <row r="365" spans="1:23" x14ac:dyDescent="0.25">
      <c r="A365">
        <v>5080</v>
      </c>
      <c r="B365">
        <v>18650</v>
      </c>
      <c r="C365" s="1">
        <v>42942</v>
      </c>
      <c r="D365" s="1"/>
      <c r="E365" s="1"/>
      <c r="F365" s="1"/>
      <c r="G365">
        <v>19.8</v>
      </c>
      <c r="H365">
        <v>15.7</v>
      </c>
      <c r="I365">
        <v>24.1</v>
      </c>
      <c r="L365" s="1"/>
      <c r="M365">
        <v>0</v>
      </c>
      <c r="N365">
        <v>3</v>
      </c>
      <c r="W365">
        <v>1222.5999999999999</v>
      </c>
    </row>
    <row r="366" spans="1:23" x14ac:dyDescent="0.25">
      <c r="A366">
        <v>5080</v>
      </c>
      <c r="B366">
        <v>18650</v>
      </c>
      <c r="C366" s="1">
        <v>42943</v>
      </c>
      <c r="D366" s="1"/>
      <c r="E366" s="1"/>
      <c r="F366" s="1"/>
      <c r="G366">
        <v>22.9</v>
      </c>
      <c r="H366">
        <v>17.7</v>
      </c>
      <c r="I366">
        <v>27.4</v>
      </c>
      <c r="L366" s="1"/>
      <c r="M366">
        <v>0</v>
      </c>
      <c r="N366">
        <v>4.5</v>
      </c>
      <c r="W366">
        <v>1985.5</v>
      </c>
    </row>
    <row r="367" spans="1:23" x14ac:dyDescent="0.25">
      <c r="A367">
        <v>5080</v>
      </c>
      <c r="B367">
        <v>18650</v>
      </c>
      <c r="C367" s="1">
        <v>42944</v>
      </c>
      <c r="D367" s="1"/>
      <c r="E367" s="1"/>
      <c r="F367" s="1"/>
      <c r="G367">
        <v>22.8</v>
      </c>
      <c r="H367">
        <v>19.600000000000001</v>
      </c>
      <c r="I367">
        <v>26.3</v>
      </c>
      <c r="L367" s="1"/>
      <c r="M367">
        <v>0</v>
      </c>
      <c r="N367">
        <v>2.7</v>
      </c>
      <c r="W367">
        <v>1145</v>
      </c>
    </row>
    <row r="368" spans="1:23" x14ac:dyDescent="0.25">
      <c r="A368">
        <v>5080</v>
      </c>
      <c r="B368">
        <v>18650</v>
      </c>
      <c r="C368" s="1">
        <v>42945</v>
      </c>
      <c r="D368" s="1"/>
      <c r="E368" s="1"/>
      <c r="F368" s="1"/>
      <c r="G368">
        <v>24.9</v>
      </c>
      <c r="H368">
        <v>17.600000000000001</v>
      </c>
      <c r="I368">
        <v>31.9</v>
      </c>
      <c r="L368" s="1"/>
      <c r="M368">
        <v>0</v>
      </c>
      <c r="N368">
        <v>3.3</v>
      </c>
      <c r="W368">
        <v>1280.9000000000001</v>
      </c>
    </row>
    <row r="369" spans="1:23" x14ac:dyDescent="0.25">
      <c r="A369">
        <v>5080</v>
      </c>
      <c r="B369">
        <v>18650</v>
      </c>
      <c r="C369" s="1">
        <v>42946</v>
      </c>
      <c r="D369" s="1"/>
      <c r="E369" s="1"/>
      <c r="F369" s="1"/>
      <c r="G369">
        <v>23.9</v>
      </c>
      <c r="H369">
        <v>20.3</v>
      </c>
      <c r="I369">
        <v>26.6</v>
      </c>
      <c r="L369" s="1"/>
      <c r="M369">
        <v>0</v>
      </c>
      <c r="N369">
        <v>3.2</v>
      </c>
      <c r="W369">
        <v>1102.5999999999999</v>
      </c>
    </row>
    <row r="370" spans="1:23" x14ac:dyDescent="0.25">
      <c r="A370">
        <v>5080</v>
      </c>
      <c r="B370">
        <v>18650</v>
      </c>
      <c r="C370" s="1">
        <v>42947</v>
      </c>
      <c r="D370" s="1"/>
      <c r="E370" s="1"/>
      <c r="F370" s="1"/>
      <c r="G370">
        <v>23.4</v>
      </c>
      <c r="H370">
        <v>20.2</v>
      </c>
      <c r="I370">
        <v>25.9</v>
      </c>
      <c r="L370" s="1"/>
      <c r="M370">
        <v>0</v>
      </c>
      <c r="N370">
        <v>3.8</v>
      </c>
      <c r="W370">
        <v>1580.1</v>
      </c>
    </row>
    <row r="371" spans="1:23" x14ac:dyDescent="0.25">
      <c r="A371">
        <v>5080</v>
      </c>
      <c r="B371">
        <v>18650</v>
      </c>
      <c r="C371" s="1">
        <v>42948</v>
      </c>
      <c r="D371" s="1"/>
      <c r="E371" s="1"/>
      <c r="F371" s="1"/>
      <c r="G371">
        <v>24.1</v>
      </c>
      <c r="H371">
        <v>19.3</v>
      </c>
      <c r="I371">
        <v>27.7</v>
      </c>
      <c r="L371" s="1"/>
      <c r="M371">
        <v>0</v>
      </c>
      <c r="N371">
        <v>3.7</v>
      </c>
      <c r="W371">
        <v>1768.5</v>
      </c>
    </row>
    <row r="372" spans="1:23" x14ac:dyDescent="0.25">
      <c r="A372">
        <v>5080</v>
      </c>
      <c r="B372">
        <v>18650</v>
      </c>
      <c r="C372" s="1">
        <v>42949</v>
      </c>
      <c r="D372" s="1"/>
      <c r="E372" s="1"/>
      <c r="F372" s="1"/>
      <c r="G372">
        <v>26.7</v>
      </c>
      <c r="H372">
        <v>19.100000000000001</v>
      </c>
      <c r="I372">
        <v>33.299999999999997</v>
      </c>
      <c r="L372" s="1"/>
      <c r="M372">
        <v>0</v>
      </c>
      <c r="N372">
        <v>4.0999999999999996</v>
      </c>
      <c r="W372">
        <v>1644.4</v>
      </c>
    </row>
    <row r="373" spans="1:23" x14ac:dyDescent="0.25">
      <c r="A373">
        <v>5080</v>
      </c>
      <c r="B373">
        <v>18650</v>
      </c>
      <c r="C373" s="1">
        <v>42950</v>
      </c>
      <c r="D373" s="1"/>
      <c r="E373" s="1"/>
      <c r="F373" s="1"/>
      <c r="G373">
        <v>25.6</v>
      </c>
      <c r="H373">
        <v>19.5</v>
      </c>
      <c r="I373">
        <v>30.3</v>
      </c>
      <c r="L373" s="1"/>
      <c r="M373">
        <v>0</v>
      </c>
      <c r="N373">
        <v>7.3</v>
      </c>
      <c r="W373">
        <v>2905.3</v>
      </c>
    </row>
    <row r="374" spans="1:23" x14ac:dyDescent="0.25">
      <c r="A374">
        <v>5080</v>
      </c>
      <c r="B374">
        <v>18650</v>
      </c>
      <c r="C374" s="1">
        <v>42951</v>
      </c>
      <c r="D374" s="1"/>
      <c r="E374" s="1"/>
      <c r="F374" s="1"/>
      <c r="G374">
        <v>26.3</v>
      </c>
      <c r="H374">
        <v>20.9</v>
      </c>
      <c r="I374">
        <v>31.2</v>
      </c>
      <c r="L374" s="1"/>
      <c r="M374">
        <v>0</v>
      </c>
      <c r="N374">
        <v>6.3</v>
      </c>
      <c r="W374">
        <v>2381.9</v>
      </c>
    </row>
    <row r="375" spans="1:23" x14ac:dyDescent="0.25">
      <c r="A375">
        <v>5080</v>
      </c>
      <c r="B375">
        <v>18650</v>
      </c>
      <c r="C375" s="1">
        <v>42952</v>
      </c>
      <c r="D375" s="1"/>
      <c r="E375" s="1"/>
      <c r="F375" s="1"/>
      <c r="G375">
        <v>22.6</v>
      </c>
      <c r="H375">
        <v>21.4</v>
      </c>
      <c r="I375">
        <v>24.7</v>
      </c>
      <c r="L375" s="1"/>
      <c r="M375">
        <v>0.9</v>
      </c>
      <c r="N375">
        <v>3</v>
      </c>
      <c r="W375">
        <v>731.2</v>
      </c>
    </row>
    <row r="376" spans="1:23" x14ac:dyDescent="0.25">
      <c r="A376">
        <v>5080</v>
      </c>
      <c r="B376">
        <v>18650</v>
      </c>
      <c r="C376" s="1">
        <v>42953</v>
      </c>
      <c r="D376" s="1"/>
      <c r="E376" s="1"/>
      <c r="F376" s="1"/>
      <c r="G376">
        <v>21.4</v>
      </c>
      <c r="H376">
        <v>16.5</v>
      </c>
      <c r="I376">
        <v>26.6</v>
      </c>
      <c r="L376" s="1"/>
      <c r="M376">
        <v>0</v>
      </c>
      <c r="N376">
        <v>4.3</v>
      </c>
      <c r="W376">
        <v>1256.9000000000001</v>
      </c>
    </row>
    <row r="377" spans="1:23" x14ac:dyDescent="0.25">
      <c r="A377">
        <v>5080</v>
      </c>
      <c r="B377">
        <v>18650</v>
      </c>
      <c r="C377" s="1">
        <v>42954</v>
      </c>
      <c r="D377" s="1"/>
      <c r="E377" s="1"/>
      <c r="F377" s="1"/>
      <c r="G377">
        <v>23.1</v>
      </c>
      <c r="H377">
        <v>15.7</v>
      </c>
      <c r="I377">
        <v>29.3</v>
      </c>
      <c r="L377" s="1"/>
      <c r="M377">
        <v>8.5</v>
      </c>
      <c r="N377">
        <v>5.3</v>
      </c>
      <c r="W377">
        <v>2231.3000000000002</v>
      </c>
    </row>
    <row r="378" spans="1:23" x14ac:dyDescent="0.25">
      <c r="A378">
        <v>5080</v>
      </c>
      <c r="B378">
        <v>18650</v>
      </c>
      <c r="C378" s="1">
        <v>42955</v>
      </c>
      <c r="D378" s="1"/>
      <c r="E378" s="1"/>
      <c r="F378" s="1"/>
      <c r="G378">
        <v>18.8</v>
      </c>
      <c r="H378">
        <v>16.5</v>
      </c>
      <c r="I378">
        <v>21.5</v>
      </c>
      <c r="L378" s="1"/>
      <c r="M378">
        <v>0</v>
      </c>
      <c r="N378">
        <v>3.8</v>
      </c>
      <c r="W378">
        <v>1568.2</v>
      </c>
    </row>
    <row r="379" spans="1:23" x14ac:dyDescent="0.25">
      <c r="A379">
        <v>5080</v>
      </c>
      <c r="B379">
        <v>18650</v>
      </c>
      <c r="C379" s="1">
        <v>42956</v>
      </c>
      <c r="D379" s="1"/>
      <c r="E379" s="1"/>
      <c r="F379" s="1"/>
      <c r="G379">
        <v>16.8</v>
      </c>
      <c r="H379">
        <v>14</v>
      </c>
      <c r="I379">
        <v>19.399999999999999</v>
      </c>
      <c r="L379" s="1"/>
      <c r="M379">
        <v>0</v>
      </c>
      <c r="N379">
        <v>3.3</v>
      </c>
      <c r="W379">
        <v>1812.3</v>
      </c>
    </row>
    <row r="380" spans="1:23" x14ac:dyDescent="0.25">
      <c r="A380">
        <v>5080</v>
      </c>
      <c r="B380">
        <v>18650</v>
      </c>
      <c r="C380" s="1">
        <v>42957</v>
      </c>
      <c r="D380" s="1"/>
      <c r="E380" s="1"/>
      <c r="F380" s="1"/>
      <c r="G380">
        <v>17.100000000000001</v>
      </c>
      <c r="H380">
        <v>13.6</v>
      </c>
      <c r="I380">
        <v>21.7</v>
      </c>
      <c r="L380" s="1"/>
      <c r="M380">
        <v>1.8</v>
      </c>
      <c r="N380">
        <v>3</v>
      </c>
      <c r="W380">
        <v>1251.4000000000001</v>
      </c>
    </row>
    <row r="381" spans="1:23" x14ac:dyDescent="0.25">
      <c r="A381">
        <v>5080</v>
      </c>
      <c r="B381">
        <v>18650</v>
      </c>
      <c r="C381" s="1">
        <v>42958</v>
      </c>
      <c r="D381" s="1"/>
      <c r="E381" s="1"/>
      <c r="F381" s="1"/>
      <c r="G381">
        <v>17.600000000000001</v>
      </c>
      <c r="H381">
        <v>14.1</v>
      </c>
      <c r="I381">
        <v>21</v>
      </c>
      <c r="L381" s="1"/>
      <c r="M381">
        <v>0.2</v>
      </c>
      <c r="N381">
        <v>4.3</v>
      </c>
      <c r="W381">
        <v>2028.3</v>
      </c>
    </row>
    <row r="382" spans="1:23" x14ac:dyDescent="0.25">
      <c r="A382">
        <v>5080</v>
      </c>
      <c r="B382">
        <v>18650</v>
      </c>
      <c r="C382" s="1">
        <v>42959</v>
      </c>
      <c r="D382" s="1"/>
      <c r="E382" s="1"/>
      <c r="F382" s="1"/>
      <c r="G382">
        <v>18.8</v>
      </c>
      <c r="H382">
        <v>12.9</v>
      </c>
      <c r="I382">
        <v>23.6</v>
      </c>
      <c r="L382" s="1"/>
      <c r="M382">
        <v>0</v>
      </c>
      <c r="N382">
        <v>4.3</v>
      </c>
      <c r="W382">
        <v>2135.8000000000002</v>
      </c>
    </row>
    <row r="383" spans="1:23" x14ac:dyDescent="0.25">
      <c r="A383">
        <v>5080</v>
      </c>
      <c r="B383">
        <v>18650</v>
      </c>
      <c r="C383" s="1">
        <v>42960</v>
      </c>
      <c r="D383" s="1"/>
      <c r="E383" s="1"/>
      <c r="F383" s="1"/>
      <c r="G383">
        <v>21.2</v>
      </c>
      <c r="H383">
        <v>14</v>
      </c>
      <c r="I383">
        <v>26.9</v>
      </c>
      <c r="L383" s="1"/>
      <c r="M383">
        <v>0</v>
      </c>
      <c r="N383">
        <v>4.5999999999999996</v>
      </c>
      <c r="W383">
        <v>2367.6</v>
      </c>
    </row>
    <row r="384" spans="1:23" x14ac:dyDescent="0.25">
      <c r="A384">
        <v>5080</v>
      </c>
      <c r="B384">
        <v>18650</v>
      </c>
      <c r="C384" s="1">
        <v>42961</v>
      </c>
      <c r="D384" s="1"/>
      <c r="E384" s="1"/>
      <c r="F384" s="1"/>
      <c r="G384">
        <v>25</v>
      </c>
      <c r="H384">
        <v>18.2</v>
      </c>
      <c r="I384">
        <v>32.4</v>
      </c>
      <c r="L384" s="1"/>
      <c r="M384">
        <v>0.3</v>
      </c>
      <c r="N384">
        <v>7</v>
      </c>
      <c r="W384">
        <v>2308.1999999999998</v>
      </c>
    </row>
    <row r="385" spans="1:23" x14ac:dyDescent="0.25">
      <c r="A385">
        <v>5080</v>
      </c>
      <c r="B385">
        <v>18650</v>
      </c>
      <c r="C385" s="1">
        <v>42962</v>
      </c>
      <c r="D385" s="1"/>
      <c r="E385" s="1"/>
      <c r="F385" s="1"/>
      <c r="G385">
        <v>22.7</v>
      </c>
      <c r="H385">
        <v>20.7</v>
      </c>
      <c r="I385">
        <v>24.8</v>
      </c>
      <c r="L385" s="1"/>
      <c r="M385">
        <v>1.8</v>
      </c>
      <c r="N385">
        <v>2.2000000000000002</v>
      </c>
      <c r="W385">
        <v>1059</v>
      </c>
    </row>
    <row r="386" spans="1:23" x14ac:dyDescent="0.25">
      <c r="A386">
        <v>5080</v>
      </c>
      <c r="B386">
        <v>18650</v>
      </c>
      <c r="C386" s="1">
        <v>42963</v>
      </c>
      <c r="D386" s="1"/>
      <c r="E386" s="1"/>
      <c r="F386" s="1"/>
      <c r="G386">
        <v>22.7</v>
      </c>
      <c r="H386">
        <v>19.899999999999999</v>
      </c>
      <c r="I386">
        <v>26</v>
      </c>
      <c r="L386" s="1"/>
      <c r="M386">
        <v>0</v>
      </c>
      <c r="N386">
        <v>2</v>
      </c>
      <c r="W386">
        <v>721.1</v>
      </c>
    </row>
    <row r="387" spans="1:23" x14ac:dyDescent="0.25">
      <c r="A387">
        <v>5080</v>
      </c>
      <c r="B387">
        <v>18650</v>
      </c>
      <c r="C387" s="1">
        <v>42964</v>
      </c>
      <c r="D387" s="1"/>
      <c r="E387" s="1"/>
      <c r="F387" s="1"/>
      <c r="G387">
        <v>23.6</v>
      </c>
      <c r="H387">
        <v>17.399999999999999</v>
      </c>
      <c r="I387">
        <v>29.3</v>
      </c>
      <c r="L387" s="1"/>
      <c r="M387">
        <v>0</v>
      </c>
      <c r="N387">
        <v>5.4</v>
      </c>
      <c r="W387">
        <v>2315.3000000000002</v>
      </c>
    </row>
    <row r="388" spans="1:23" x14ac:dyDescent="0.25">
      <c r="A388">
        <v>5080</v>
      </c>
      <c r="B388">
        <v>18650</v>
      </c>
      <c r="C388" s="1">
        <v>42965</v>
      </c>
      <c r="D388" s="1"/>
      <c r="E388" s="1"/>
      <c r="F388" s="1"/>
      <c r="G388">
        <v>22.3</v>
      </c>
      <c r="H388">
        <v>19.3</v>
      </c>
      <c r="I388">
        <v>27.5</v>
      </c>
      <c r="L388" s="1"/>
      <c r="M388">
        <v>0.1</v>
      </c>
      <c r="N388">
        <v>4.2</v>
      </c>
      <c r="W388">
        <v>1206.4000000000001</v>
      </c>
    </row>
    <row r="389" spans="1:23" x14ac:dyDescent="0.25">
      <c r="A389">
        <v>5080</v>
      </c>
      <c r="B389">
        <v>18650</v>
      </c>
      <c r="C389" s="1">
        <v>42966</v>
      </c>
      <c r="D389" s="1"/>
      <c r="E389" s="1"/>
      <c r="F389" s="1"/>
      <c r="G389">
        <v>20.2</v>
      </c>
      <c r="H389">
        <v>17.5</v>
      </c>
      <c r="I389">
        <v>23.4</v>
      </c>
      <c r="L389" s="1"/>
      <c r="M389">
        <v>0</v>
      </c>
      <c r="N389">
        <v>4.5999999999999996</v>
      </c>
      <c r="W389">
        <v>1873.1</v>
      </c>
    </row>
    <row r="390" spans="1:23" x14ac:dyDescent="0.25">
      <c r="A390">
        <v>5080</v>
      </c>
      <c r="B390">
        <v>18650</v>
      </c>
      <c r="C390" s="1">
        <v>42967</v>
      </c>
      <c r="D390" s="1"/>
      <c r="E390" s="1"/>
      <c r="F390" s="1"/>
      <c r="G390">
        <v>19.2</v>
      </c>
      <c r="H390">
        <v>12.5</v>
      </c>
      <c r="I390">
        <v>24.9</v>
      </c>
      <c r="L390" s="1"/>
      <c r="M390">
        <v>0</v>
      </c>
      <c r="N390">
        <v>6.4</v>
      </c>
      <c r="W390">
        <v>2772.1</v>
      </c>
    </row>
    <row r="391" spans="1:23" x14ac:dyDescent="0.25">
      <c r="A391">
        <v>5080</v>
      </c>
      <c r="B391">
        <v>18650</v>
      </c>
      <c r="C391" s="1">
        <v>42968</v>
      </c>
      <c r="D391" s="1"/>
      <c r="E391" s="1"/>
      <c r="F391" s="1"/>
      <c r="G391">
        <v>22.8</v>
      </c>
      <c r="H391">
        <v>12.7</v>
      </c>
      <c r="I391">
        <v>31.5</v>
      </c>
      <c r="L391" s="1"/>
      <c r="M391">
        <v>0</v>
      </c>
      <c r="N391">
        <v>6.8</v>
      </c>
      <c r="W391">
        <v>2629.9</v>
      </c>
    </row>
    <row r="392" spans="1:23" x14ac:dyDescent="0.25">
      <c r="A392">
        <v>5080</v>
      </c>
      <c r="B392">
        <v>18650</v>
      </c>
      <c r="C392" s="1">
        <v>42969</v>
      </c>
      <c r="D392" s="1"/>
      <c r="E392" s="1"/>
      <c r="F392" s="1"/>
      <c r="G392">
        <v>26.6</v>
      </c>
      <c r="H392">
        <v>19.2</v>
      </c>
      <c r="I392">
        <v>33.6</v>
      </c>
      <c r="L392" s="1"/>
      <c r="M392">
        <v>0.6</v>
      </c>
      <c r="N392">
        <v>8</v>
      </c>
      <c r="W392">
        <v>2559.1</v>
      </c>
    </row>
    <row r="393" spans="1:23" x14ac:dyDescent="0.25">
      <c r="A393">
        <v>5080</v>
      </c>
      <c r="B393">
        <v>18650</v>
      </c>
      <c r="C393" s="1">
        <v>42970</v>
      </c>
      <c r="D393" s="1"/>
      <c r="E393" s="1"/>
      <c r="F393" s="1"/>
      <c r="G393">
        <v>23.3</v>
      </c>
      <c r="H393">
        <v>19.8</v>
      </c>
      <c r="I393">
        <v>26.1</v>
      </c>
      <c r="L393" s="1"/>
      <c r="M393">
        <v>0</v>
      </c>
      <c r="N393">
        <v>3.9</v>
      </c>
      <c r="W393">
        <v>1707.7</v>
      </c>
    </row>
    <row r="394" spans="1:23" x14ac:dyDescent="0.25">
      <c r="A394">
        <v>5080</v>
      </c>
      <c r="B394">
        <v>18650</v>
      </c>
      <c r="C394" s="1">
        <v>42971</v>
      </c>
      <c r="D394" s="1"/>
      <c r="E394" s="1"/>
      <c r="F394" s="1"/>
      <c r="G394">
        <v>25.6</v>
      </c>
      <c r="H394">
        <v>19.600000000000001</v>
      </c>
      <c r="I394">
        <v>30.2</v>
      </c>
      <c r="L394" s="1"/>
      <c r="M394">
        <v>0.1</v>
      </c>
      <c r="N394">
        <v>4.9000000000000004</v>
      </c>
      <c r="W394">
        <v>1977.3</v>
      </c>
    </row>
    <row r="395" spans="1:23" x14ac:dyDescent="0.25">
      <c r="A395">
        <v>5080</v>
      </c>
      <c r="B395">
        <v>18650</v>
      </c>
      <c r="C395" s="1">
        <v>42972</v>
      </c>
      <c r="D395" s="1"/>
      <c r="E395" s="1"/>
      <c r="F395" s="1"/>
      <c r="G395">
        <v>24.8</v>
      </c>
      <c r="H395">
        <v>19.600000000000001</v>
      </c>
      <c r="I395">
        <v>28.9</v>
      </c>
      <c r="L395" s="1"/>
      <c r="M395">
        <v>0</v>
      </c>
      <c r="N395">
        <v>4.3</v>
      </c>
      <c r="W395">
        <v>1598.4</v>
      </c>
    </row>
    <row r="396" spans="1:23" x14ac:dyDescent="0.25">
      <c r="A396">
        <v>5080</v>
      </c>
      <c r="B396">
        <v>18650</v>
      </c>
      <c r="C396" s="1">
        <v>42973</v>
      </c>
      <c r="D396" s="1"/>
      <c r="E396" s="1"/>
      <c r="F396" s="1"/>
      <c r="G396">
        <v>26.1</v>
      </c>
      <c r="H396">
        <v>21.8</v>
      </c>
      <c r="I396">
        <v>31.4</v>
      </c>
      <c r="L396" s="1"/>
      <c r="M396">
        <v>0</v>
      </c>
      <c r="N396">
        <v>6.2</v>
      </c>
      <c r="W396">
        <v>2063.6999999999998</v>
      </c>
    </row>
    <row r="397" spans="1:23" x14ac:dyDescent="0.25">
      <c r="A397">
        <v>5080</v>
      </c>
      <c r="B397">
        <v>18650</v>
      </c>
      <c r="C397" s="1">
        <v>42974</v>
      </c>
      <c r="D397" s="1"/>
      <c r="E397" s="1"/>
      <c r="F397" s="1"/>
      <c r="G397">
        <v>25.6</v>
      </c>
      <c r="H397">
        <v>22.5</v>
      </c>
      <c r="I397">
        <v>32.5</v>
      </c>
      <c r="L397" s="1"/>
      <c r="M397">
        <v>1.3</v>
      </c>
      <c r="N397">
        <v>4.5</v>
      </c>
      <c r="W397">
        <v>1488.2</v>
      </c>
    </row>
    <row r="398" spans="1:23" x14ac:dyDescent="0.25">
      <c r="A398">
        <v>5080</v>
      </c>
      <c r="B398">
        <v>18650</v>
      </c>
      <c r="C398" s="1">
        <v>42975</v>
      </c>
      <c r="D398" s="1"/>
      <c r="E398" s="1"/>
      <c r="F398" s="1"/>
      <c r="G398">
        <v>25.9</v>
      </c>
      <c r="H398">
        <v>18.5</v>
      </c>
      <c r="I398">
        <v>32.299999999999997</v>
      </c>
      <c r="L398" s="1"/>
      <c r="M398">
        <v>0</v>
      </c>
      <c r="N398">
        <v>5.4</v>
      </c>
      <c r="W398">
        <v>2166.5</v>
      </c>
    </row>
    <row r="399" spans="1:23" x14ac:dyDescent="0.25">
      <c r="A399">
        <v>5080</v>
      </c>
      <c r="B399">
        <v>18650</v>
      </c>
      <c r="C399" s="1">
        <v>42976</v>
      </c>
      <c r="D399" s="1"/>
      <c r="E399" s="1"/>
      <c r="F399" s="1"/>
      <c r="G399">
        <v>25.6</v>
      </c>
      <c r="H399">
        <v>22.2</v>
      </c>
      <c r="I399">
        <v>30</v>
      </c>
      <c r="L399" s="1"/>
      <c r="M399">
        <v>0</v>
      </c>
      <c r="N399">
        <v>5.3</v>
      </c>
      <c r="W399">
        <v>2119.4</v>
      </c>
    </row>
    <row r="400" spans="1:23" x14ac:dyDescent="0.25">
      <c r="A400">
        <v>5080</v>
      </c>
      <c r="B400">
        <v>18650</v>
      </c>
      <c r="C400" s="1">
        <v>42977</v>
      </c>
      <c r="D400" s="1"/>
      <c r="E400" s="1"/>
      <c r="F400" s="1"/>
      <c r="G400">
        <v>22.4</v>
      </c>
      <c r="H400">
        <v>20.100000000000001</v>
      </c>
      <c r="I400">
        <v>27.6</v>
      </c>
      <c r="L400" s="1"/>
      <c r="M400">
        <v>26</v>
      </c>
      <c r="N400">
        <v>3.1</v>
      </c>
      <c r="W400">
        <v>1311.2</v>
      </c>
    </row>
    <row r="401" spans="1:23" x14ac:dyDescent="0.25">
      <c r="A401">
        <v>5080</v>
      </c>
      <c r="B401">
        <v>18650</v>
      </c>
      <c r="C401" s="1">
        <v>42978</v>
      </c>
      <c r="D401" s="1"/>
      <c r="E401" s="1"/>
      <c r="F401" s="1"/>
      <c r="G401">
        <v>17.600000000000001</v>
      </c>
      <c r="H401">
        <v>15.7</v>
      </c>
      <c r="I401">
        <v>19.7</v>
      </c>
      <c r="L401" s="1"/>
      <c r="M401">
        <v>0.6</v>
      </c>
      <c r="N401">
        <v>2.6</v>
      </c>
      <c r="W401">
        <v>1226.4000000000001</v>
      </c>
    </row>
  </sheetData>
  <mergeCells count="14">
    <mergeCell ref="M1:P1"/>
    <mergeCell ref="Q1:U1"/>
    <mergeCell ref="W1:AB1"/>
    <mergeCell ref="A54:F54"/>
    <mergeCell ref="A336:F336"/>
    <mergeCell ref="F55:F143"/>
    <mergeCell ref="F144:F183"/>
    <mergeCell ref="F299:F319"/>
    <mergeCell ref="G1:L1"/>
    <mergeCell ref="D320:F320"/>
    <mergeCell ref="F184:F233"/>
    <mergeCell ref="F234:F254"/>
    <mergeCell ref="F255:F278"/>
    <mergeCell ref="F279:F298"/>
  </mergeCells>
  <conditionalFormatting sqref="O2">
    <cfRule type="cellIs" dxfId="43" priority="22" operator="lessThan">
      <formula>0</formula>
    </cfRule>
  </conditionalFormatting>
  <conditionalFormatting sqref="O1:O2">
    <cfRule type="cellIs" dxfId="42" priority="21" operator="lessThan">
      <formula>0</formula>
    </cfRule>
  </conditionalFormatting>
  <conditionalFormatting sqref="L145 L153 L157 L155">
    <cfRule type="cellIs" dxfId="41" priority="19" operator="lessThanOrEqual">
      <formula>0</formula>
    </cfRule>
    <cfRule type="cellIs" dxfId="40" priority="20" operator="lessThanOrEqual">
      <formula>5</formula>
    </cfRule>
  </conditionalFormatting>
  <conditionalFormatting sqref="L56 L64 L68 L66">
    <cfRule type="cellIs" dxfId="39" priority="17" operator="lessThanOrEqual">
      <formula>0</formula>
    </cfRule>
    <cfRule type="cellIs" dxfId="38" priority="18" operator="lessThanOrEqual">
      <formula>5</formula>
    </cfRule>
  </conditionalFormatting>
  <conditionalFormatting sqref="G1:I1048576">
    <cfRule type="cellIs" dxfId="37" priority="6" operator="greaterThanOrEqual">
      <formula>25</formula>
    </cfRule>
    <cfRule type="cellIs" dxfId="36" priority="15" operator="between">
      <formula>0</formula>
      <formula>5</formula>
    </cfRule>
    <cfRule type="cellIs" dxfId="35" priority="16" operator="lessThan">
      <formula>0</formula>
    </cfRule>
  </conditionalFormatting>
  <conditionalFormatting sqref="L185 L193 L197 L195">
    <cfRule type="cellIs" dxfId="34" priority="13" operator="lessThanOrEqual">
      <formula>0</formula>
    </cfRule>
    <cfRule type="cellIs" dxfId="33" priority="14" operator="lessThanOrEqual">
      <formula>5</formula>
    </cfRule>
  </conditionalFormatting>
  <conditionalFormatting sqref="L235 L247 L245 L243">
    <cfRule type="cellIs" dxfId="32" priority="11" operator="lessThanOrEqual">
      <formula>0</formula>
    </cfRule>
    <cfRule type="cellIs" dxfId="31" priority="12" operator="lessThanOrEqual">
      <formula>5</formula>
    </cfRule>
  </conditionalFormatting>
  <conditionalFormatting sqref="L256 L264 L266 L268">
    <cfRule type="cellIs" dxfId="30" priority="9" operator="lessThanOrEqual">
      <formula>0</formula>
    </cfRule>
    <cfRule type="cellIs" dxfId="29" priority="10" operator="lessThanOrEqual">
      <formula>5</formula>
    </cfRule>
  </conditionalFormatting>
  <conditionalFormatting sqref="L280 L290">
    <cfRule type="cellIs" dxfId="28" priority="7" operator="lessThanOrEqual">
      <formula>0</formula>
    </cfRule>
    <cfRule type="cellIs" dxfId="27" priority="8" operator="lessThanOrEqual">
      <formula>5</formula>
    </cfRule>
  </conditionalFormatting>
  <conditionalFormatting sqref="O1:O1048576 P56 P64:P65">
    <cfRule type="cellIs" dxfId="26" priority="5" operator="lessThan">
      <formula>0</formula>
    </cfRule>
  </conditionalFormatting>
  <conditionalFormatting sqref="T55:T335">
    <cfRule type="cellIs" dxfId="25" priority="4" operator="lessThan">
      <formula>0</formula>
    </cfRule>
  </conditionalFormatting>
  <conditionalFormatting sqref="W1:W1048576">
    <cfRule type="cellIs" dxfId="24" priority="3" operator="lessThan">
      <formula>900</formula>
    </cfRule>
  </conditionalFormatting>
  <conditionalFormatting sqref="U55:U335">
    <cfRule type="cellIs" dxfId="23" priority="1" operator="equal">
      <formula>0</formula>
    </cfRule>
    <cfRule type="cellIs" dxfId="22" priority="2" operator="lessThan">
      <formula>52.6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topLeftCell="B1" zoomScale="85" zoomScaleNormal="85" workbookViewId="0">
      <pane xSplit="5" ySplit="2" topLeftCell="G211" activePane="bottomRight" state="frozen"/>
      <selection activeCell="B1" sqref="B1"/>
      <selection pane="topRight" activeCell="G1" sqref="G1"/>
      <selection pane="bottomLeft" activeCell="B3" sqref="B3"/>
      <selection pane="bottomRight" activeCell="O320" sqref="O320"/>
    </sheetView>
  </sheetViews>
  <sheetFormatPr baseColWidth="10" defaultRowHeight="15" x14ac:dyDescent="0.25"/>
  <cols>
    <col min="10" max="11" width="11.42578125" style="14"/>
    <col min="15" max="15" width="11.42578125" style="14"/>
    <col min="20" max="20" width="11.42578125" style="14"/>
  </cols>
  <sheetData>
    <row r="1" spans="1:28" x14ac:dyDescent="0.25">
      <c r="G1" s="57" t="s">
        <v>12</v>
      </c>
      <c r="H1" s="57"/>
      <c r="I1" s="57"/>
      <c r="J1" s="57"/>
      <c r="K1" s="57"/>
      <c r="L1" s="57"/>
      <c r="M1" s="57" t="s">
        <v>16</v>
      </c>
      <c r="N1" s="57"/>
      <c r="O1" s="57"/>
      <c r="P1" s="57"/>
      <c r="Q1" s="57" t="s">
        <v>17</v>
      </c>
      <c r="R1" s="57"/>
      <c r="S1" s="57"/>
      <c r="T1" s="57"/>
      <c r="U1" s="57"/>
      <c r="V1" s="49"/>
      <c r="W1" s="57" t="s">
        <v>25</v>
      </c>
      <c r="X1" s="57"/>
      <c r="Y1" s="57"/>
      <c r="Z1" s="57"/>
      <c r="AA1" s="57"/>
      <c r="AB1" s="57"/>
    </row>
    <row r="2" spans="1:28" x14ac:dyDescent="0.25">
      <c r="A2" s="2" t="s">
        <v>0</v>
      </c>
      <c r="B2" s="2" t="s">
        <v>1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4</v>
      </c>
      <c r="H2" s="2" t="s">
        <v>7</v>
      </c>
      <c r="I2" s="2" t="s">
        <v>8</v>
      </c>
      <c r="J2" s="13" t="s">
        <v>13</v>
      </c>
      <c r="K2" s="13" t="s">
        <v>14</v>
      </c>
      <c r="L2" s="5" t="s">
        <v>15</v>
      </c>
      <c r="M2" s="4" t="s">
        <v>3</v>
      </c>
      <c r="N2" s="4" t="s">
        <v>6</v>
      </c>
      <c r="O2" s="39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39" t="s">
        <v>23</v>
      </c>
      <c r="U2" s="6" t="s">
        <v>24</v>
      </c>
      <c r="V2" s="5" t="s">
        <v>55</v>
      </c>
      <c r="W2" s="4" t="s">
        <v>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</row>
    <row r="3" spans="1:28" x14ac:dyDescent="0.25">
      <c r="A3">
        <v>5080</v>
      </c>
      <c r="B3">
        <v>18650</v>
      </c>
      <c r="C3" s="1">
        <v>42582</v>
      </c>
      <c r="D3" s="1"/>
      <c r="E3" s="1"/>
      <c r="F3" s="1"/>
      <c r="G3">
        <v>20</v>
      </c>
      <c r="H3">
        <v>18.600000000000001</v>
      </c>
      <c r="I3">
        <v>21.8</v>
      </c>
      <c r="L3" s="1"/>
      <c r="M3">
        <v>0.9</v>
      </c>
      <c r="N3">
        <v>2.6</v>
      </c>
      <c r="O3" s="14">
        <f>M3-N3</f>
        <v>-1.7000000000000002</v>
      </c>
      <c r="P3">
        <v>0</v>
      </c>
      <c r="W3">
        <v>789.6</v>
      </c>
    </row>
    <row r="4" spans="1:28" x14ac:dyDescent="0.25">
      <c r="A4">
        <v>5080</v>
      </c>
      <c r="B4">
        <v>18650</v>
      </c>
      <c r="C4" s="1">
        <v>42583</v>
      </c>
      <c r="D4" s="1"/>
      <c r="E4" s="1"/>
      <c r="F4" s="1"/>
      <c r="G4">
        <v>20.9</v>
      </c>
      <c r="H4">
        <v>16.7</v>
      </c>
      <c r="I4">
        <v>25.1</v>
      </c>
      <c r="L4" s="1"/>
      <c r="M4">
        <v>0</v>
      </c>
      <c r="N4">
        <v>3.5</v>
      </c>
      <c r="O4" s="14">
        <f t="shared" ref="O4:O53" si="0">M4-N4</f>
        <v>-3.5</v>
      </c>
      <c r="P4">
        <v>0</v>
      </c>
      <c r="W4">
        <v>1367.9</v>
      </c>
    </row>
    <row r="5" spans="1:28" x14ac:dyDescent="0.25">
      <c r="A5">
        <v>5080</v>
      </c>
      <c r="B5">
        <v>18650</v>
      </c>
      <c r="C5" s="1">
        <v>42584</v>
      </c>
      <c r="D5" s="1"/>
      <c r="E5" s="1"/>
      <c r="F5" s="1"/>
      <c r="G5">
        <v>21.6</v>
      </c>
      <c r="H5">
        <v>16.2</v>
      </c>
      <c r="I5">
        <v>26.4</v>
      </c>
      <c r="L5" s="1"/>
      <c r="M5">
        <v>0</v>
      </c>
      <c r="N5">
        <v>6.2</v>
      </c>
      <c r="O5" s="14">
        <f t="shared" si="0"/>
        <v>-6.2</v>
      </c>
      <c r="P5">
        <v>0</v>
      </c>
      <c r="W5">
        <v>2902.9</v>
      </c>
    </row>
    <row r="6" spans="1:28" x14ac:dyDescent="0.25">
      <c r="A6">
        <v>5080</v>
      </c>
      <c r="B6">
        <v>18650</v>
      </c>
      <c r="C6" s="1">
        <v>42585</v>
      </c>
      <c r="D6" s="1"/>
      <c r="E6" s="1"/>
      <c r="F6" s="1"/>
      <c r="G6">
        <v>24.3</v>
      </c>
      <c r="H6">
        <v>17.600000000000001</v>
      </c>
      <c r="I6">
        <v>30.4</v>
      </c>
      <c r="L6" s="1"/>
      <c r="M6">
        <v>0</v>
      </c>
      <c r="N6">
        <v>6.2</v>
      </c>
      <c r="O6" s="14">
        <f t="shared" si="0"/>
        <v>-6.2</v>
      </c>
      <c r="P6">
        <v>0</v>
      </c>
      <c r="W6">
        <v>2524.6</v>
      </c>
    </row>
    <row r="7" spans="1:28" x14ac:dyDescent="0.25">
      <c r="A7">
        <v>5080</v>
      </c>
      <c r="B7">
        <v>18650</v>
      </c>
      <c r="C7" s="1">
        <v>42586</v>
      </c>
      <c r="D7" s="1"/>
      <c r="E7" s="1"/>
      <c r="F7" s="1"/>
      <c r="G7">
        <v>21.1</v>
      </c>
      <c r="H7">
        <v>18.7</v>
      </c>
      <c r="I7">
        <v>24.8</v>
      </c>
      <c r="L7" s="1"/>
      <c r="M7">
        <v>1.8</v>
      </c>
      <c r="N7">
        <v>5</v>
      </c>
      <c r="O7" s="14">
        <f t="shared" si="0"/>
        <v>-3.2</v>
      </c>
      <c r="P7">
        <v>0</v>
      </c>
      <c r="W7">
        <v>2147.8000000000002</v>
      </c>
    </row>
    <row r="8" spans="1:28" x14ac:dyDescent="0.25">
      <c r="A8">
        <v>5080</v>
      </c>
      <c r="B8">
        <v>18650</v>
      </c>
      <c r="C8" s="1">
        <v>42587</v>
      </c>
      <c r="D8" s="1"/>
      <c r="E8" s="1"/>
      <c r="F8" s="1"/>
      <c r="G8">
        <v>20.5</v>
      </c>
      <c r="H8">
        <v>16.2</v>
      </c>
      <c r="I8">
        <v>24.3</v>
      </c>
      <c r="L8" s="1"/>
      <c r="M8">
        <v>0</v>
      </c>
      <c r="N8">
        <v>4.8</v>
      </c>
      <c r="O8" s="14">
        <f t="shared" si="0"/>
        <v>-4.8</v>
      </c>
      <c r="P8">
        <v>0</v>
      </c>
      <c r="W8">
        <v>1940</v>
      </c>
    </row>
    <row r="9" spans="1:28" x14ac:dyDescent="0.25">
      <c r="A9">
        <v>5080</v>
      </c>
      <c r="B9">
        <v>18650</v>
      </c>
      <c r="C9" s="1">
        <v>42588</v>
      </c>
      <c r="D9" s="1"/>
      <c r="E9" s="1"/>
      <c r="F9" s="1"/>
      <c r="G9">
        <v>21.9</v>
      </c>
      <c r="H9">
        <v>16.399999999999999</v>
      </c>
      <c r="I9">
        <v>26.3</v>
      </c>
      <c r="L9" s="1"/>
      <c r="M9">
        <v>0</v>
      </c>
      <c r="N9">
        <v>6</v>
      </c>
      <c r="O9" s="14">
        <f t="shared" si="0"/>
        <v>-6</v>
      </c>
      <c r="P9">
        <v>0</v>
      </c>
      <c r="W9">
        <v>2460.8000000000002</v>
      </c>
    </row>
    <row r="10" spans="1:28" x14ac:dyDescent="0.25">
      <c r="A10">
        <v>5080</v>
      </c>
      <c r="B10">
        <v>18650</v>
      </c>
      <c r="C10" s="1">
        <v>42589</v>
      </c>
      <c r="D10" s="1"/>
      <c r="E10" s="1"/>
      <c r="F10" s="1"/>
      <c r="G10">
        <v>23.6</v>
      </c>
      <c r="H10">
        <v>17.5</v>
      </c>
      <c r="I10">
        <v>28.9</v>
      </c>
      <c r="L10" s="1"/>
      <c r="M10">
        <v>0</v>
      </c>
      <c r="N10">
        <v>7.1</v>
      </c>
      <c r="O10" s="14">
        <f t="shared" si="0"/>
        <v>-7.1</v>
      </c>
      <c r="P10">
        <v>0</v>
      </c>
      <c r="W10">
        <v>2933.3</v>
      </c>
    </row>
    <row r="11" spans="1:28" x14ac:dyDescent="0.25">
      <c r="A11">
        <v>5080</v>
      </c>
      <c r="B11">
        <v>18650</v>
      </c>
      <c r="C11" s="1">
        <v>42590</v>
      </c>
      <c r="D11" s="1"/>
      <c r="E11" s="1"/>
      <c r="F11" s="1"/>
      <c r="G11">
        <v>24.8</v>
      </c>
      <c r="H11">
        <v>19.7</v>
      </c>
      <c r="I11">
        <v>29.9</v>
      </c>
      <c r="L11" s="1"/>
      <c r="M11">
        <v>0.2</v>
      </c>
      <c r="N11">
        <v>7.3</v>
      </c>
      <c r="O11" s="14">
        <f t="shared" si="0"/>
        <v>-7.1</v>
      </c>
      <c r="P11">
        <v>0</v>
      </c>
      <c r="W11">
        <v>2908.8</v>
      </c>
    </row>
    <row r="12" spans="1:28" x14ac:dyDescent="0.25">
      <c r="A12">
        <v>5080</v>
      </c>
      <c r="B12">
        <v>18650</v>
      </c>
      <c r="C12" s="1">
        <v>42591</v>
      </c>
      <c r="D12" s="1"/>
      <c r="E12" s="1"/>
      <c r="F12" s="1"/>
      <c r="G12">
        <v>20.399999999999999</v>
      </c>
      <c r="H12">
        <v>17.399999999999999</v>
      </c>
      <c r="I12">
        <v>23.9</v>
      </c>
      <c r="L12" s="1"/>
      <c r="M12">
        <v>0</v>
      </c>
      <c r="N12">
        <v>2.6</v>
      </c>
      <c r="O12" s="14">
        <f t="shared" si="0"/>
        <v>-2.6</v>
      </c>
      <c r="P12">
        <v>0</v>
      </c>
      <c r="W12">
        <v>898.9</v>
      </c>
    </row>
    <row r="13" spans="1:28" x14ac:dyDescent="0.25">
      <c r="A13">
        <v>5080</v>
      </c>
      <c r="B13">
        <v>18650</v>
      </c>
      <c r="C13" s="1">
        <v>42592</v>
      </c>
      <c r="D13" s="1"/>
      <c r="E13" s="1"/>
      <c r="F13" s="1"/>
      <c r="G13">
        <v>19.3</v>
      </c>
      <c r="H13">
        <v>14.3</v>
      </c>
      <c r="I13">
        <v>23.4</v>
      </c>
      <c r="L13" s="1"/>
      <c r="M13">
        <v>0</v>
      </c>
      <c r="N13">
        <v>6</v>
      </c>
      <c r="O13" s="14">
        <f t="shared" si="0"/>
        <v>-6</v>
      </c>
      <c r="P13">
        <v>0</v>
      </c>
      <c r="W13">
        <v>2427.8000000000002</v>
      </c>
    </row>
    <row r="14" spans="1:28" x14ac:dyDescent="0.25">
      <c r="A14">
        <v>5080</v>
      </c>
      <c r="B14">
        <v>18650</v>
      </c>
      <c r="C14" s="1">
        <v>42593</v>
      </c>
      <c r="D14" s="1"/>
      <c r="E14" s="1"/>
      <c r="F14" s="1"/>
      <c r="G14">
        <v>19.100000000000001</v>
      </c>
      <c r="H14">
        <v>13.6</v>
      </c>
      <c r="I14">
        <v>23.3</v>
      </c>
      <c r="L14" s="1"/>
      <c r="M14">
        <v>0</v>
      </c>
      <c r="N14">
        <v>6</v>
      </c>
      <c r="O14" s="14">
        <f t="shared" si="0"/>
        <v>-6</v>
      </c>
      <c r="P14">
        <v>0</v>
      </c>
      <c r="W14">
        <v>2420.1</v>
      </c>
    </row>
    <row r="15" spans="1:28" x14ac:dyDescent="0.25">
      <c r="A15">
        <v>5080</v>
      </c>
      <c r="B15">
        <v>18650</v>
      </c>
      <c r="C15" s="1">
        <v>42594</v>
      </c>
      <c r="D15" s="1"/>
      <c r="E15" s="1"/>
      <c r="F15" s="1"/>
      <c r="G15">
        <v>22</v>
      </c>
      <c r="H15">
        <v>14.6</v>
      </c>
      <c r="I15">
        <v>28.4</v>
      </c>
      <c r="L15" s="1"/>
      <c r="M15">
        <v>0</v>
      </c>
      <c r="N15">
        <v>5.8</v>
      </c>
      <c r="O15" s="14">
        <f t="shared" si="0"/>
        <v>-5.8</v>
      </c>
      <c r="P15">
        <v>0</v>
      </c>
      <c r="W15">
        <v>2447.6</v>
      </c>
    </row>
    <row r="16" spans="1:28" x14ac:dyDescent="0.25">
      <c r="A16">
        <v>5080</v>
      </c>
      <c r="B16">
        <v>18650</v>
      </c>
      <c r="C16" s="1">
        <v>42595</v>
      </c>
      <c r="D16" s="1"/>
      <c r="E16" s="1"/>
      <c r="F16" s="1"/>
      <c r="G16">
        <v>24.9</v>
      </c>
      <c r="H16">
        <v>17.7</v>
      </c>
      <c r="I16">
        <v>31</v>
      </c>
      <c r="L16" s="1"/>
      <c r="M16">
        <v>0</v>
      </c>
      <c r="N16">
        <v>7.8</v>
      </c>
      <c r="O16" s="14">
        <f t="shared" si="0"/>
        <v>-7.8</v>
      </c>
      <c r="P16">
        <v>0</v>
      </c>
      <c r="W16">
        <v>2726.4</v>
      </c>
    </row>
    <row r="17" spans="1:23" x14ac:dyDescent="0.25">
      <c r="A17">
        <v>5080</v>
      </c>
      <c r="B17">
        <v>18650</v>
      </c>
      <c r="C17" s="1">
        <v>42596</v>
      </c>
      <c r="D17" s="1"/>
      <c r="E17" s="1"/>
      <c r="F17" s="1"/>
      <c r="G17">
        <v>24.6</v>
      </c>
      <c r="H17">
        <v>17.399999999999999</v>
      </c>
      <c r="I17">
        <v>31.3</v>
      </c>
      <c r="L17" s="1"/>
      <c r="M17">
        <v>0</v>
      </c>
      <c r="N17">
        <v>7.5</v>
      </c>
      <c r="O17" s="14">
        <f t="shared" si="0"/>
        <v>-7.5</v>
      </c>
      <c r="P17">
        <v>0</v>
      </c>
      <c r="W17">
        <v>2841.7</v>
      </c>
    </row>
    <row r="18" spans="1:23" x14ac:dyDescent="0.25">
      <c r="A18">
        <v>5080</v>
      </c>
      <c r="B18">
        <v>18650</v>
      </c>
      <c r="C18" s="1">
        <v>42597</v>
      </c>
      <c r="D18" s="1"/>
      <c r="E18" s="1"/>
      <c r="F18" s="1"/>
      <c r="G18">
        <v>24.9</v>
      </c>
      <c r="H18">
        <v>19.2</v>
      </c>
      <c r="I18">
        <v>31.4</v>
      </c>
      <c r="L18" s="1"/>
      <c r="M18">
        <v>0</v>
      </c>
      <c r="N18">
        <v>7</v>
      </c>
      <c r="O18" s="14">
        <f t="shared" si="0"/>
        <v>-7</v>
      </c>
      <c r="P18">
        <v>0</v>
      </c>
      <c r="W18">
        <v>2656.9</v>
      </c>
    </row>
    <row r="19" spans="1:23" x14ac:dyDescent="0.25">
      <c r="A19">
        <v>5080</v>
      </c>
      <c r="B19">
        <v>18650</v>
      </c>
      <c r="C19" s="1">
        <v>42598</v>
      </c>
      <c r="D19" s="1"/>
      <c r="E19" s="1"/>
      <c r="F19" s="1"/>
      <c r="G19">
        <v>27.1</v>
      </c>
      <c r="H19">
        <v>20.5</v>
      </c>
      <c r="I19">
        <v>33</v>
      </c>
      <c r="L19" s="1"/>
      <c r="M19">
        <v>0</v>
      </c>
      <c r="N19">
        <v>5.0999999999999996</v>
      </c>
      <c r="O19" s="14">
        <f t="shared" si="0"/>
        <v>-5.0999999999999996</v>
      </c>
      <c r="P19">
        <v>0</v>
      </c>
      <c r="W19">
        <v>1848.5</v>
      </c>
    </row>
    <row r="20" spans="1:23" x14ac:dyDescent="0.25">
      <c r="A20">
        <v>5080</v>
      </c>
      <c r="B20">
        <v>18650</v>
      </c>
      <c r="C20" s="1">
        <v>42599</v>
      </c>
      <c r="D20" s="1"/>
      <c r="E20" s="1"/>
      <c r="F20" s="1"/>
      <c r="G20">
        <v>23.9</v>
      </c>
      <c r="H20">
        <v>20.8</v>
      </c>
      <c r="I20">
        <v>26</v>
      </c>
      <c r="L20" s="1"/>
      <c r="M20">
        <v>0</v>
      </c>
      <c r="N20">
        <v>4.0999999999999996</v>
      </c>
      <c r="O20" s="14">
        <f t="shared" si="0"/>
        <v>-4.0999999999999996</v>
      </c>
      <c r="P20">
        <v>0</v>
      </c>
      <c r="W20">
        <v>1490.2</v>
      </c>
    </row>
    <row r="21" spans="1:23" x14ac:dyDescent="0.25">
      <c r="A21">
        <v>5080</v>
      </c>
      <c r="B21">
        <v>18650</v>
      </c>
      <c r="C21" s="1">
        <v>42600</v>
      </c>
      <c r="D21" s="1"/>
      <c r="E21" s="1"/>
      <c r="F21" s="1"/>
      <c r="G21">
        <v>21.7</v>
      </c>
      <c r="H21">
        <v>20.3</v>
      </c>
      <c r="I21">
        <v>24.1</v>
      </c>
      <c r="L21" s="1"/>
      <c r="M21">
        <v>0</v>
      </c>
      <c r="N21">
        <v>3.3</v>
      </c>
      <c r="O21" s="14">
        <f t="shared" si="0"/>
        <v>-3.3</v>
      </c>
      <c r="P21">
        <v>0</v>
      </c>
      <c r="W21">
        <v>1327.3</v>
      </c>
    </row>
    <row r="22" spans="1:23" x14ac:dyDescent="0.25">
      <c r="A22">
        <v>5080</v>
      </c>
      <c r="B22">
        <v>18650</v>
      </c>
      <c r="C22" s="1">
        <v>42601</v>
      </c>
      <c r="D22" s="1"/>
      <c r="E22" s="1"/>
      <c r="F22" s="1"/>
      <c r="G22">
        <v>23.9</v>
      </c>
      <c r="H22">
        <v>16.399999999999999</v>
      </c>
      <c r="I22">
        <v>30.6</v>
      </c>
      <c r="L22" s="1"/>
      <c r="M22">
        <v>9.1999999999999993</v>
      </c>
      <c r="N22">
        <v>4.5999999999999996</v>
      </c>
      <c r="O22" s="14">
        <f t="shared" si="0"/>
        <v>4.5999999999999996</v>
      </c>
      <c r="P22">
        <f>O22</f>
        <v>4.5999999999999996</v>
      </c>
      <c r="W22">
        <v>1901.2</v>
      </c>
    </row>
    <row r="23" spans="1:23" x14ac:dyDescent="0.25">
      <c r="A23">
        <v>5080</v>
      </c>
      <c r="B23">
        <v>18650</v>
      </c>
      <c r="C23" s="1">
        <v>42602</v>
      </c>
      <c r="D23" s="1"/>
      <c r="E23" s="1"/>
      <c r="F23" s="1"/>
      <c r="G23">
        <v>18.3</v>
      </c>
      <c r="H23">
        <v>16.8</v>
      </c>
      <c r="I23">
        <v>19.899999999999999</v>
      </c>
      <c r="L23" s="1"/>
      <c r="M23">
        <v>5.5</v>
      </c>
      <c r="N23">
        <v>1.7</v>
      </c>
      <c r="O23" s="14">
        <f t="shared" si="0"/>
        <v>3.8</v>
      </c>
      <c r="P23">
        <f>P22+O23</f>
        <v>8.3999999999999986</v>
      </c>
      <c r="W23">
        <v>666</v>
      </c>
    </row>
    <row r="24" spans="1:23" x14ac:dyDescent="0.25">
      <c r="A24">
        <v>5080</v>
      </c>
      <c r="B24">
        <v>18650</v>
      </c>
      <c r="C24" s="1">
        <v>42603</v>
      </c>
      <c r="D24" s="1"/>
      <c r="E24" s="1"/>
      <c r="F24" s="1"/>
      <c r="G24">
        <v>19.899999999999999</v>
      </c>
      <c r="H24">
        <v>16.2</v>
      </c>
      <c r="I24">
        <v>23.9</v>
      </c>
      <c r="L24" s="1"/>
      <c r="M24">
        <v>0</v>
      </c>
      <c r="N24">
        <v>4.3</v>
      </c>
      <c r="O24" s="14">
        <f t="shared" si="0"/>
        <v>-4.3</v>
      </c>
      <c r="P24">
        <f t="shared" ref="P24:P53" si="1">P23+O24</f>
        <v>4.0999999999999988</v>
      </c>
      <c r="W24">
        <v>1914.6</v>
      </c>
    </row>
    <row r="25" spans="1:23" x14ac:dyDescent="0.25">
      <c r="A25">
        <v>5080</v>
      </c>
      <c r="B25">
        <v>18650</v>
      </c>
      <c r="C25" s="1">
        <v>42604</v>
      </c>
      <c r="D25" s="1"/>
      <c r="E25" s="1"/>
      <c r="F25" s="1"/>
      <c r="G25">
        <v>22.1</v>
      </c>
      <c r="H25">
        <v>14.6</v>
      </c>
      <c r="I25">
        <v>28.9</v>
      </c>
      <c r="L25" s="1"/>
      <c r="M25">
        <v>0</v>
      </c>
      <c r="N25">
        <v>6.6</v>
      </c>
      <c r="O25" s="14">
        <f t="shared" si="0"/>
        <v>-6.6</v>
      </c>
      <c r="P25">
        <v>0</v>
      </c>
      <c r="W25">
        <v>2551</v>
      </c>
    </row>
    <row r="26" spans="1:23" x14ac:dyDescent="0.25">
      <c r="A26">
        <v>5080</v>
      </c>
      <c r="B26">
        <v>18650</v>
      </c>
      <c r="C26" s="1">
        <v>42605</v>
      </c>
      <c r="D26" s="1"/>
      <c r="E26" s="1"/>
      <c r="F26" s="1"/>
      <c r="G26">
        <v>24.6</v>
      </c>
      <c r="H26">
        <v>17.5</v>
      </c>
      <c r="I26">
        <v>30.9</v>
      </c>
      <c r="L26" s="1"/>
      <c r="M26">
        <v>0</v>
      </c>
      <c r="N26">
        <v>8.1</v>
      </c>
      <c r="O26" s="14">
        <f t="shared" si="0"/>
        <v>-8.1</v>
      </c>
      <c r="P26">
        <v>0</v>
      </c>
      <c r="W26">
        <v>2633.7</v>
      </c>
    </row>
    <row r="27" spans="1:23" x14ac:dyDescent="0.25">
      <c r="A27">
        <v>5080</v>
      </c>
      <c r="B27">
        <v>18650</v>
      </c>
      <c r="C27" s="1">
        <v>42606</v>
      </c>
      <c r="D27" s="1"/>
      <c r="E27" s="1"/>
      <c r="F27" s="1"/>
      <c r="G27">
        <v>24.9</v>
      </c>
      <c r="H27">
        <v>16.600000000000001</v>
      </c>
      <c r="I27">
        <v>31.4</v>
      </c>
      <c r="L27" s="1"/>
      <c r="M27">
        <v>0</v>
      </c>
      <c r="N27">
        <v>7.1</v>
      </c>
      <c r="O27" s="14">
        <f t="shared" si="0"/>
        <v>-7.1</v>
      </c>
      <c r="P27">
        <v>0</v>
      </c>
      <c r="W27">
        <v>2568.3000000000002</v>
      </c>
    </row>
    <row r="28" spans="1:23" x14ac:dyDescent="0.25">
      <c r="A28">
        <v>5080</v>
      </c>
      <c r="B28">
        <v>18650</v>
      </c>
      <c r="C28" s="1">
        <v>42607</v>
      </c>
      <c r="D28" s="1"/>
      <c r="E28" s="1"/>
      <c r="F28" s="1"/>
      <c r="G28">
        <v>25.7</v>
      </c>
      <c r="H28">
        <v>18.7</v>
      </c>
      <c r="I28">
        <v>32.5</v>
      </c>
      <c r="L28" s="1"/>
      <c r="M28">
        <v>0</v>
      </c>
      <c r="N28">
        <v>8</v>
      </c>
      <c r="O28" s="14">
        <f t="shared" si="0"/>
        <v>-8</v>
      </c>
      <c r="P28">
        <v>0</v>
      </c>
      <c r="W28">
        <v>2515.8000000000002</v>
      </c>
    </row>
    <row r="29" spans="1:23" x14ac:dyDescent="0.25">
      <c r="A29">
        <v>5080</v>
      </c>
      <c r="B29">
        <v>18650</v>
      </c>
      <c r="C29" s="1">
        <v>42608</v>
      </c>
      <c r="D29" s="1"/>
      <c r="E29" s="1"/>
      <c r="F29" s="1"/>
      <c r="G29">
        <v>24.8</v>
      </c>
      <c r="H29">
        <v>19.8</v>
      </c>
      <c r="I29">
        <v>31.7</v>
      </c>
      <c r="L29" s="1"/>
      <c r="M29">
        <v>0</v>
      </c>
      <c r="N29">
        <v>5.9</v>
      </c>
      <c r="O29" s="14">
        <f t="shared" si="0"/>
        <v>-5.9</v>
      </c>
      <c r="P29">
        <v>0</v>
      </c>
      <c r="W29">
        <v>2371.1</v>
      </c>
    </row>
    <row r="30" spans="1:23" x14ac:dyDescent="0.25">
      <c r="A30">
        <v>5080</v>
      </c>
      <c r="B30">
        <v>18650</v>
      </c>
      <c r="C30" s="1">
        <v>42609</v>
      </c>
      <c r="D30" s="1"/>
      <c r="E30" s="1"/>
      <c r="F30" s="1"/>
      <c r="G30">
        <v>25.5</v>
      </c>
      <c r="H30">
        <v>18.899999999999999</v>
      </c>
      <c r="I30">
        <v>31.8</v>
      </c>
      <c r="L30" s="1"/>
      <c r="M30">
        <v>0.6</v>
      </c>
      <c r="N30">
        <v>6.5</v>
      </c>
      <c r="O30" s="14">
        <f t="shared" si="0"/>
        <v>-5.9</v>
      </c>
      <c r="P30">
        <v>0</v>
      </c>
      <c r="W30">
        <v>2017.4</v>
      </c>
    </row>
    <row r="31" spans="1:23" x14ac:dyDescent="0.25">
      <c r="A31">
        <v>5080</v>
      </c>
      <c r="B31">
        <v>18650</v>
      </c>
      <c r="C31" s="1">
        <v>42610</v>
      </c>
      <c r="D31" s="1"/>
      <c r="E31" s="1"/>
      <c r="F31" s="1"/>
      <c r="G31">
        <v>23.2</v>
      </c>
      <c r="H31">
        <v>20.399999999999999</v>
      </c>
      <c r="I31">
        <v>26.2</v>
      </c>
      <c r="L31" s="1"/>
      <c r="M31">
        <v>1.1000000000000001</v>
      </c>
      <c r="N31">
        <v>2.8</v>
      </c>
      <c r="O31" s="14">
        <f t="shared" si="0"/>
        <v>-1.6999999999999997</v>
      </c>
      <c r="P31">
        <v>0</v>
      </c>
      <c r="W31">
        <v>854.5</v>
      </c>
    </row>
    <row r="32" spans="1:23" x14ac:dyDescent="0.25">
      <c r="A32">
        <v>5080</v>
      </c>
      <c r="B32">
        <v>18650</v>
      </c>
      <c r="C32" s="1">
        <v>42611</v>
      </c>
      <c r="D32" s="1"/>
      <c r="E32" s="1"/>
      <c r="F32" s="1"/>
      <c r="G32">
        <v>20.8</v>
      </c>
      <c r="H32">
        <v>19.100000000000001</v>
      </c>
      <c r="I32">
        <v>22.7</v>
      </c>
      <c r="L32" s="1"/>
      <c r="M32">
        <v>0</v>
      </c>
      <c r="N32">
        <v>3.6</v>
      </c>
      <c r="O32" s="14">
        <f t="shared" si="0"/>
        <v>-3.6</v>
      </c>
      <c r="P32">
        <v>0</v>
      </c>
      <c r="W32">
        <v>1219.2</v>
      </c>
    </row>
    <row r="33" spans="1:23" x14ac:dyDescent="0.25">
      <c r="A33">
        <v>5080</v>
      </c>
      <c r="B33">
        <v>18650</v>
      </c>
      <c r="C33" s="1">
        <v>42612</v>
      </c>
      <c r="D33" s="1"/>
      <c r="E33" s="1"/>
      <c r="F33" s="1"/>
      <c r="G33">
        <v>21.2</v>
      </c>
      <c r="H33">
        <v>15.3</v>
      </c>
      <c r="I33">
        <v>26.1</v>
      </c>
      <c r="L33" s="1"/>
      <c r="M33">
        <v>0</v>
      </c>
      <c r="N33">
        <v>4.3</v>
      </c>
      <c r="O33" s="14">
        <f t="shared" si="0"/>
        <v>-4.3</v>
      </c>
      <c r="P33">
        <v>0</v>
      </c>
      <c r="W33">
        <v>1971.8</v>
      </c>
    </row>
    <row r="34" spans="1:23" x14ac:dyDescent="0.25">
      <c r="A34">
        <v>5080</v>
      </c>
      <c r="B34">
        <v>18650</v>
      </c>
      <c r="C34" s="1">
        <v>42613</v>
      </c>
      <c r="D34" s="1"/>
      <c r="E34" s="1"/>
      <c r="F34" s="1"/>
      <c r="G34">
        <v>23</v>
      </c>
      <c r="H34">
        <v>14.9</v>
      </c>
      <c r="I34">
        <v>28.9</v>
      </c>
      <c r="L34" s="1"/>
      <c r="M34">
        <v>0</v>
      </c>
      <c r="N34">
        <v>4.8</v>
      </c>
      <c r="O34" s="14">
        <f t="shared" si="0"/>
        <v>-4.8</v>
      </c>
      <c r="P34">
        <v>0</v>
      </c>
      <c r="W34">
        <v>2030.6</v>
      </c>
    </row>
    <row r="35" spans="1:23" x14ac:dyDescent="0.25">
      <c r="A35">
        <v>5080</v>
      </c>
      <c r="B35">
        <v>18650</v>
      </c>
      <c r="C35" s="1">
        <v>42614</v>
      </c>
      <c r="D35" s="1"/>
      <c r="E35" s="1"/>
      <c r="F35" s="1"/>
      <c r="G35">
        <v>24.8</v>
      </c>
      <c r="H35">
        <v>19.8</v>
      </c>
      <c r="I35">
        <v>29.5</v>
      </c>
      <c r="L35" s="1"/>
      <c r="M35">
        <v>0</v>
      </c>
      <c r="N35">
        <v>5.7</v>
      </c>
      <c r="O35" s="14">
        <f t="shared" si="0"/>
        <v>-5.7</v>
      </c>
      <c r="P35">
        <v>0</v>
      </c>
      <c r="W35">
        <v>1961.4</v>
      </c>
    </row>
    <row r="36" spans="1:23" x14ac:dyDescent="0.25">
      <c r="A36">
        <v>5080</v>
      </c>
      <c r="B36">
        <v>18650</v>
      </c>
      <c r="C36" s="1">
        <v>42615</v>
      </c>
      <c r="D36" s="1"/>
      <c r="E36" s="1"/>
      <c r="F36" s="1"/>
      <c r="G36">
        <v>25</v>
      </c>
      <c r="H36">
        <v>17.399999999999999</v>
      </c>
      <c r="I36">
        <v>30.9</v>
      </c>
      <c r="L36" s="1"/>
      <c r="M36">
        <v>0</v>
      </c>
      <c r="N36">
        <v>5.6</v>
      </c>
      <c r="O36" s="14">
        <f t="shared" si="0"/>
        <v>-5.6</v>
      </c>
      <c r="P36">
        <v>0</v>
      </c>
      <c r="W36">
        <v>2106.4</v>
      </c>
    </row>
    <row r="37" spans="1:23" x14ac:dyDescent="0.25">
      <c r="A37">
        <v>5080</v>
      </c>
      <c r="B37">
        <v>18650</v>
      </c>
      <c r="C37" s="1">
        <v>42616</v>
      </c>
      <c r="D37" s="1"/>
      <c r="E37" s="1"/>
      <c r="F37" s="1"/>
      <c r="G37">
        <v>25</v>
      </c>
      <c r="H37">
        <v>18.3</v>
      </c>
      <c r="I37">
        <v>30.7</v>
      </c>
      <c r="L37" s="1"/>
      <c r="M37">
        <v>0</v>
      </c>
      <c r="N37">
        <v>5.2</v>
      </c>
      <c r="O37" s="14">
        <f t="shared" si="0"/>
        <v>-5.2</v>
      </c>
      <c r="P37">
        <v>0</v>
      </c>
      <c r="W37">
        <v>2062.5</v>
      </c>
    </row>
    <row r="38" spans="1:23" x14ac:dyDescent="0.25">
      <c r="A38">
        <v>5080</v>
      </c>
      <c r="B38">
        <v>18650</v>
      </c>
      <c r="C38" s="1">
        <v>42617</v>
      </c>
      <c r="D38" s="1"/>
      <c r="E38" s="1"/>
      <c r="F38" s="1"/>
      <c r="G38">
        <v>24.8</v>
      </c>
      <c r="H38">
        <v>20.7</v>
      </c>
      <c r="I38">
        <v>29.4</v>
      </c>
      <c r="L38" s="1"/>
      <c r="M38">
        <v>0</v>
      </c>
      <c r="N38">
        <v>5.2</v>
      </c>
      <c r="O38" s="14">
        <f t="shared" si="0"/>
        <v>-5.2</v>
      </c>
      <c r="P38">
        <v>0</v>
      </c>
      <c r="W38">
        <v>1900.3</v>
      </c>
    </row>
    <row r="39" spans="1:23" x14ac:dyDescent="0.25">
      <c r="A39">
        <v>5080</v>
      </c>
      <c r="B39">
        <v>18650</v>
      </c>
      <c r="C39" s="1">
        <v>42618</v>
      </c>
      <c r="D39" s="1"/>
      <c r="E39" s="1"/>
      <c r="F39" s="1"/>
      <c r="G39">
        <v>22.6</v>
      </c>
      <c r="H39">
        <v>19.2</v>
      </c>
      <c r="I39">
        <v>26.4</v>
      </c>
      <c r="L39" s="1"/>
      <c r="M39">
        <v>0</v>
      </c>
      <c r="N39">
        <v>6</v>
      </c>
      <c r="O39" s="14">
        <f t="shared" si="0"/>
        <v>-6</v>
      </c>
      <c r="P39">
        <v>0</v>
      </c>
      <c r="W39">
        <v>2447.4</v>
      </c>
    </row>
    <row r="40" spans="1:23" x14ac:dyDescent="0.25">
      <c r="A40">
        <v>5080</v>
      </c>
      <c r="B40">
        <v>18650</v>
      </c>
      <c r="C40" s="1">
        <v>42619</v>
      </c>
      <c r="D40" s="1"/>
      <c r="E40" s="1"/>
      <c r="F40" s="1"/>
      <c r="G40">
        <v>24.8</v>
      </c>
      <c r="H40">
        <v>18.7</v>
      </c>
      <c r="I40">
        <v>29.9</v>
      </c>
      <c r="L40" s="1"/>
      <c r="M40">
        <v>0</v>
      </c>
      <c r="N40">
        <v>5.8</v>
      </c>
      <c r="O40" s="14">
        <f t="shared" si="0"/>
        <v>-5.8</v>
      </c>
      <c r="P40">
        <v>0</v>
      </c>
      <c r="W40">
        <v>2336</v>
      </c>
    </row>
    <row r="41" spans="1:23" x14ac:dyDescent="0.25">
      <c r="A41">
        <v>5080</v>
      </c>
      <c r="B41">
        <v>18650</v>
      </c>
      <c r="C41" s="1">
        <v>42620</v>
      </c>
      <c r="D41" s="1"/>
      <c r="E41" s="1"/>
      <c r="F41" s="1"/>
      <c r="G41">
        <v>24.1</v>
      </c>
      <c r="H41">
        <v>18</v>
      </c>
      <c r="I41">
        <v>30.3</v>
      </c>
      <c r="L41" s="1"/>
      <c r="M41">
        <v>0.8</v>
      </c>
      <c r="N41">
        <v>7</v>
      </c>
      <c r="O41" s="14">
        <f t="shared" si="0"/>
        <v>-6.2</v>
      </c>
      <c r="P41">
        <v>0</v>
      </c>
      <c r="W41">
        <v>2338.6</v>
      </c>
    </row>
    <row r="42" spans="1:23" x14ac:dyDescent="0.25">
      <c r="A42">
        <v>5080</v>
      </c>
      <c r="B42">
        <v>18650</v>
      </c>
      <c r="C42" s="1">
        <v>42621</v>
      </c>
      <c r="D42" s="1"/>
      <c r="E42" s="1"/>
      <c r="F42" s="1"/>
      <c r="G42">
        <v>22</v>
      </c>
      <c r="H42">
        <v>19.600000000000001</v>
      </c>
      <c r="I42">
        <v>25</v>
      </c>
      <c r="L42" s="1"/>
      <c r="M42">
        <v>0</v>
      </c>
      <c r="N42">
        <v>4.2</v>
      </c>
      <c r="O42" s="14">
        <f t="shared" si="0"/>
        <v>-4.2</v>
      </c>
      <c r="P42">
        <v>0</v>
      </c>
      <c r="W42">
        <v>1401.7</v>
      </c>
    </row>
    <row r="43" spans="1:23" x14ac:dyDescent="0.25">
      <c r="A43">
        <v>5080</v>
      </c>
      <c r="B43">
        <v>18650</v>
      </c>
      <c r="C43" s="1">
        <v>42622</v>
      </c>
      <c r="D43" s="1"/>
      <c r="E43" s="1"/>
      <c r="F43" s="1"/>
      <c r="G43">
        <v>22</v>
      </c>
      <c r="H43">
        <v>16.3</v>
      </c>
      <c r="I43">
        <v>27.2</v>
      </c>
      <c r="L43" s="1"/>
      <c r="M43">
        <v>0.8</v>
      </c>
      <c r="N43">
        <v>4.5999999999999996</v>
      </c>
      <c r="O43" s="14">
        <f t="shared" si="0"/>
        <v>-3.8</v>
      </c>
      <c r="P43">
        <v>0</v>
      </c>
      <c r="W43">
        <v>1742.5</v>
      </c>
    </row>
    <row r="44" spans="1:23" x14ac:dyDescent="0.25">
      <c r="A44">
        <v>5080</v>
      </c>
      <c r="B44">
        <v>18650</v>
      </c>
      <c r="C44" s="1">
        <v>42623</v>
      </c>
      <c r="D44" s="1"/>
      <c r="E44" s="1"/>
      <c r="F44" s="1"/>
      <c r="G44">
        <v>22</v>
      </c>
      <c r="H44">
        <v>15.9</v>
      </c>
      <c r="I44">
        <v>27.2</v>
      </c>
      <c r="L44" s="1"/>
      <c r="M44">
        <v>0</v>
      </c>
      <c r="N44">
        <v>5.0999999999999996</v>
      </c>
      <c r="O44" s="14">
        <f t="shared" si="0"/>
        <v>-5.0999999999999996</v>
      </c>
      <c r="P44">
        <v>0</v>
      </c>
      <c r="W44">
        <v>2210.5</v>
      </c>
    </row>
    <row r="45" spans="1:23" x14ac:dyDescent="0.25">
      <c r="A45">
        <v>5080</v>
      </c>
      <c r="B45">
        <v>18650</v>
      </c>
      <c r="C45" s="1">
        <v>42624</v>
      </c>
      <c r="D45" s="1"/>
      <c r="E45" s="1"/>
      <c r="F45" s="1"/>
      <c r="G45">
        <v>23.1</v>
      </c>
      <c r="H45">
        <v>16.2</v>
      </c>
      <c r="I45">
        <v>28.4</v>
      </c>
      <c r="L45" s="1"/>
      <c r="M45">
        <v>0</v>
      </c>
      <c r="N45">
        <v>4.8</v>
      </c>
      <c r="O45" s="14">
        <f t="shared" si="0"/>
        <v>-4.8</v>
      </c>
      <c r="P45">
        <v>0</v>
      </c>
      <c r="W45">
        <v>2116.3000000000002</v>
      </c>
    </row>
    <row r="46" spans="1:23" x14ac:dyDescent="0.25">
      <c r="A46">
        <v>5080</v>
      </c>
      <c r="B46">
        <v>18650</v>
      </c>
      <c r="C46" s="1">
        <v>42625</v>
      </c>
      <c r="D46" s="1"/>
      <c r="E46" s="1"/>
      <c r="F46" s="1"/>
      <c r="G46">
        <v>25.2</v>
      </c>
      <c r="H46">
        <v>19</v>
      </c>
      <c r="I46">
        <v>30.8</v>
      </c>
      <c r="L46" s="1"/>
      <c r="M46">
        <v>0</v>
      </c>
      <c r="N46">
        <v>6.8</v>
      </c>
      <c r="O46" s="14">
        <f t="shared" si="0"/>
        <v>-6.8</v>
      </c>
      <c r="P46">
        <v>0</v>
      </c>
      <c r="W46">
        <v>2299.4</v>
      </c>
    </row>
    <row r="47" spans="1:23" x14ac:dyDescent="0.25">
      <c r="A47">
        <v>5080</v>
      </c>
      <c r="B47">
        <v>18650</v>
      </c>
      <c r="C47" s="1">
        <v>42626</v>
      </c>
      <c r="D47" s="1"/>
      <c r="E47" s="1"/>
      <c r="F47" s="1"/>
      <c r="G47">
        <v>24.6</v>
      </c>
      <c r="H47">
        <v>22.6</v>
      </c>
      <c r="I47">
        <v>30.4</v>
      </c>
      <c r="L47" s="1"/>
      <c r="M47">
        <v>13.4</v>
      </c>
      <c r="N47">
        <v>6.6</v>
      </c>
      <c r="O47" s="14">
        <f t="shared" si="0"/>
        <v>6.8000000000000007</v>
      </c>
      <c r="P47">
        <f t="shared" si="1"/>
        <v>6.8000000000000007</v>
      </c>
      <c r="W47">
        <v>1967.8</v>
      </c>
    </row>
    <row r="48" spans="1:23" x14ac:dyDescent="0.25">
      <c r="A48">
        <v>5080</v>
      </c>
      <c r="B48">
        <v>18650</v>
      </c>
      <c r="C48" s="1">
        <v>42627</v>
      </c>
      <c r="D48" s="1"/>
      <c r="E48" s="1"/>
      <c r="F48" s="1"/>
      <c r="G48">
        <v>15.9</v>
      </c>
      <c r="H48">
        <v>15.7</v>
      </c>
      <c r="I48">
        <v>16.8</v>
      </c>
      <c r="L48" s="1"/>
      <c r="M48">
        <v>5.8</v>
      </c>
      <c r="N48">
        <v>1</v>
      </c>
      <c r="O48" s="14">
        <f t="shared" si="0"/>
        <v>4.8</v>
      </c>
      <c r="P48">
        <f t="shared" si="1"/>
        <v>11.600000000000001</v>
      </c>
      <c r="W48">
        <v>505.3</v>
      </c>
    </row>
    <row r="49" spans="1:28" x14ac:dyDescent="0.25">
      <c r="A49">
        <v>5080</v>
      </c>
      <c r="B49">
        <v>18650</v>
      </c>
      <c r="C49" s="1">
        <v>42628</v>
      </c>
      <c r="D49" s="1"/>
      <c r="E49" s="1"/>
      <c r="F49" s="1"/>
      <c r="G49">
        <v>16.899999999999999</v>
      </c>
      <c r="H49">
        <v>11.6</v>
      </c>
      <c r="I49">
        <v>20.7</v>
      </c>
      <c r="L49" s="1"/>
      <c r="M49">
        <v>2.2999999999999998</v>
      </c>
      <c r="N49">
        <v>1.7</v>
      </c>
      <c r="O49" s="14">
        <f t="shared" si="0"/>
        <v>0.59999999999999987</v>
      </c>
      <c r="P49">
        <f t="shared" si="1"/>
        <v>12.200000000000001</v>
      </c>
      <c r="W49">
        <v>905.8</v>
      </c>
    </row>
    <row r="50" spans="1:28" x14ac:dyDescent="0.25">
      <c r="A50">
        <v>5080</v>
      </c>
      <c r="B50">
        <v>18650</v>
      </c>
      <c r="C50" s="1">
        <v>42629</v>
      </c>
      <c r="D50" s="1"/>
      <c r="E50" s="1"/>
      <c r="F50" s="1"/>
      <c r="G50">
        <v>16.8</v>
      </c>
      <c r="H50">
        <v>14.9</v>
      </c>
      <c r="I50">
        <v>20.6</v>
      </c>
      <c r="L50" s="1"/>
      <c r="M50">
        <v>0.8</v>
      </c>
      <c r="N50">
        <v>2.7</v>
      </c>
      <c r="O50" s="14">
        <f t="shared" si="0"/>
        <v>-1.9000000000000001</v>
      </c>
      <c r="P50">
        <f t="shared" si="1"/>
        <v>10.3</v>
      </c>
      <c r="W50">
        <v>1214.7</v>
      </c>
    </row>
    <row r="51" spans="1:28" x14ac:dyDescent="0.25">
      <c r="A51">
        <v>5080</v>
      </c>
      <c r="B51">
        <v>18650</v>
      </c>
      <c r="C51" s="1">
        <v>42630</v>
      </c>
      <c r="D51" s="1"/>
      <c r="E51" s="1"/>
      <c r="F51" s="1"/>
      <c r="G51">
        <v>16.5</v>
      </c>
      <c r="H51">
        <v>14.1</v>
      </c>
      <c r="I51">
        <v>19.5</v>
      </c>
      <c r="L51" s="1"/>
      <c r="M51">
        <v>0</v>
      </c>
      <c r="N51">
        <v>3.5</v>
      </c>
      <c r="O51" s="14">
        <f t="shared" si="0"/>
        <v>-3.5</v>
      </c>
      <c r="P51">
        <f t="shared" si="1"/>
        <v>6.8000000000000007</v>
      </c>
      <c r="V51">
        <v>157.80000000000001</v>
      </c>
      <c r="W51">
        <v>1470</v>
      </c>
    </row>
    <row r="52" spans="1:28" x14ac:dyDescent="0.25">
      <c r="A52">
        <v>5080</v>
      </c>
      <c r="B52">
        <v>18650</v>
      </c>
      <c r="C52" s="1">
        <v>42631</v>
      </c>
      <c r="D52" s="1"/>
      <c r="E52" s="1"/>
      <c r="F52" s="1"/>
      <c r="G52">
        <v>15.8</v>
      </c>
      <c r="H52">
        <v>12.5</v>
      </c>
      <c r="I52">
        <v>17.899999999999999</v>
      </c>
      <c r="L52" s="1"/>
      <c r="M52">
        <v>0</v>
      </c>
      <c r="N52">
        <v>1.9</v>
      </c>
      <c r="O52" s="14">
        <f t="shared" si="0"/>
        <v>-1.9</v>
      </c>
      <c r="P52">
        <f t="shared" si="1"/>
        <v>4.9000000000000004</v>
      </c>
      <c r="V52">
        <f>V51/3</f>
        <v>52.6</v>
      </c>
      <c r="W52">
        <v>818.8</v>
      </c>
    </row>
    <row r="53" spans="1:28" s="17" customFormat="1" ht="15.75" thickBot="1" x14ac:dyDescent="0.3">
      <c r="A53" s="17">
        <v>5080</v>
      </c>
      <c r="B53" s="17">
        <v>18650</v>
      </c>
      <c r="C53" s="18">
        <v>42632</v>
      </c>
      <c r="D53" s="18"/>
      <c r="E53" s="18"/>
      <c r="F53" s="18"/>
      <c r="G53" s="17">
        <v>18.100000000000001</v>
      </c>
      <c r="H53" s="17">
        <v>14.5</v>
      </c>
      <c r="I53" s="17">
        <v>21.2</v>
      </c>
      <c r="J53" s="19"/>
      <c r="K53" s="19"/>
      <c r="L53" s="18"/>
      <c r="M53" s="17">
        <v>0</v>
      </c>
      <c r="N53" s="17">
        <v>2.9</v>
      </c>
      <c r="O53" s="14">
        <f t="shared" si="0"/>
        <v>-2.9</v>
      </c>
      <c r="P53">
        <f t="shared" si="1"/>
        <v>2.0000000000000004</v>
      </c>
      <c r="T53" s="19"/>
      <c r="W53" s="17">
        <v>1217.5999999999999</v>
      </c>
    </row>
    <row r="54" spans="1:28" s="20" customFormat="1" ht="15.75" thickBot="1" x14ac:dyDescent="0.3">
      <c r="A54" s="58" t="s">
        <v>31</v>
      </c>
      <c r="B54" s="58"/>
      <c r="C54" s="58"/>
      <c r="D54" s="58"/>
      <c r="E54" s="58"/>
      <c r="F54" s="58"/>
      <c r="J54" s="21"/>
      <c r="K54" s="21"/>
      <c r="L54" s="22"/>
      <c r="O54" s="21"/>
      <c r="T54" s="21"/>
    </row>
    <row r="55" spans="1:28" x14ac:dyDescent="0.25">
      <c r="A55">
        <v>5080</v>
      </c>
      <c r="B55">
        <v>18650</v>
      </c>
      <c r="C55" s="1">
        <v>42633</v>
      </c>
      <c r="D55" s="1"/>
      <c r="E55" s="1"/>
      <c r="F55" s="60" t="s">
        <v>35</v>
      </c>
      <c r="G55">
        <v>18.7</v>
      </c>
      <c r="H55">
        <v>14.8</v>
      </c>
      <c r="I55">
        <v>22.8</v>
      </c>
      <c r="J55" s="14">
        <f>G55</f>
        <v>18.7</v>
      </c>
      <c r="L55" s="10" t="s">
        <v>37</v>
      </c>
      <c r="M55">
        <v>0.1</v>
      </c>
      <c r="N55">
        <v>2.5</v>
      </c>
      <c r="O55" s="14">
        <f>M55-N55</f>
        <v>-2.4</v>
      </c>
      <c r="P55">
        <v>0</v>
      </c>
      <c r="Q55">
        <v>1</v>
      </c>
      <c r="R55">
        <v>0.35</v>
      </c>
      <c r="S55" s="41">
        <f>R55*N55</f>
        <v>0.875</v>
      </c>
      <c r="T55" s="41">
        <f>M55-S55</f>
        <v>-0.77500000000000002</v>
      </c>
      <c r="U55" s="41">
        <f>P53+T55</f>
        <v>1.2250000000000005</v>
      </c>
      <c r="V55" s="32" t="s">
        <v>50</v>
      </c>
      <c r="W55">
        <v>971.2</v>
      </c>
      <c r="Y55">
        <f>W55</f>
        <v>971.2</v>
      </c>
      <c r="AA55">
        <v>12.02581273947338</v>
      </c>
      <c r="AB55" s="32" t="s">
        <v>56</v>
      </c>
    </row>
    <row r="56" spans="1:28" x14ac:dyDescent="0.25">
      <c r="A56">
        <v>5080</v>
      </c>
      <c r="B56">
        <v>18650</v>
      </c>
      <c r="C56" s="1">
        <v>42634</v>
      </c>
      <c r="D56" s="1"/>
      <c r="E56" s="1"/>
      <c r="F56" s="60"/>
      <c r="G56">
        <v>18.5</v>
      </c>
      <c r="H56">
        <v>14.3</v>
      </c>
      <c r="I56">
        <v>23.7</v>
      </c>
      <c r="J56" s="14">
        <f>J55+G56</f>
        <v>37.200000000000003</v>
      </c>
      <c r="L56" s="8">
        <v>1074.5999999999999</v>
      </c>
      <c r="M56">
        <v>0</v>
      </c>
      <c r="N56">
        <v>3.4</v>
      </c>
      <c r="O56" s="14">
        <f t="shared" ref="O56:O119" si="2">M56-N56</f>
        <v>-3.4</v>
      </c>
      <c r="P56" s="40">
        <v>0</v>
      </c>
      <c r="Q56">
        <v>2</v>
      </c>
      <c r="R56">
        <v>0.35</v>
      </c>
      <c r="S56" s="41">
        <f t="shared" ref="S56:S119" si="3">R56*N56</f>
        <v>1.19</v>
      </c>
      <c r="T56" s="41">
        <f t="shared" ref="T56:T119" si="4">M56-S56</f>
        <v>-1.19</v>
      </c>
      <c r="U56" s="41">
        <f>MIN(U55+T56,157.8)</f>
        <v>3.5000000000000586E-2</v>
      </c>
      <c r="V56">
        <v>18</v>
      </c>
      <c r="W56">
        <v>1641.8</v>
      </c>
      <c r="Y56">
        <f>Y55+W56</f>
        <v>2613</v>
      </c>
      <c r="AA56">
        <v>11.974187260526621</v>
      </c>
      <c r="AB56">
        <v>67506.7</v>
      </c>
    </row>
    <row r="57" spans="1:28" x14ac:dyDescent="0.25">
      <c r="A57">
        <v>5080</v>
      </c>
      <c r="B57">
        <v>18650</v>
      </c>
      <c r="C57" s="1">
        <v>42635</v>
      </c>
      <c r="D57" s="1"/>
      <c r="E57" s="1"/>
      <c r="F57" s="60"/>
      <c r="G57">
        <v>18.5</v>
      </c>
      <c r="H57">
        <v>11.2</v>
      </c>
      <c r="I57">
        <v>24.1</v>
      </c>
      <c r="J57" s="14">
        <f t="shared" ref="J57:J120" si="5">J56+G57</f>
        <v>55.7</v>
      </c>
      <c r="L57" s="10" t="s">
        <v>38</v>
      </c>
      <c r="M57">
        <v>0</v>
      </c>
      <c r="N57">
        <v>3.9</v>
      </c>
      <c r="O57" s="14">
        <f t="shared" si="2"/>
        <v>-3.9</v>
      </c>
      <c r="P57">
        <v>0</v>
      </c>
      <c r="Q57">
        <v>3</v>
      </c>
      <c r="R57">
        <v>0.35</v>
      </c>
      <c r="S57" s="41">
        <f t="shared" si="3"/>
        <v>1.365</v>
      </c>
      <c r="T57" s="41">
        <f t="shared" si="4"/>
        <v>-1.365</v>
      </c>
      <c r="U57" s="41">
        <v>0</v>
      </c>
      <c r="V57" s="32" t="s">
        <v>51</v>
      </c>
      <c r="W57">
        <v>1998.1</v>
      </c>
      <c r="Y57">
        <f t="shared" ref="Y57:Y120" si="6">Y56+W57</f>
        <v>4611.1000000000004</v>
      </c>
      <c r="AA57">
        <v>11.92256569003384</v>
      </c>
      <c r="AB57" s="32" t="s">
        <v>57</v>
      </c>
    </row>
    <row r="58" spans="1:28" x14ac:dyDescent="0.25">
      <c r="A58">
        <v>5080</v>
      </c>
      <c r="B58">
        <v>18650</v>
      </c>
      <c r="C58" s="1">
        <v>42636</v>
      </c>
      <c r="D58" s="1"/>
      <c r="E58" s="1"/>
      <c r="F58" s="60"/>
      <c r="G58">
        <v>19.399999999999999</v>
      </c>
      <c r="H58">
        <v>14.1</v>
      </c>
      <c r="I58">
        <v>24.7</v>
      </c>
      <c r="J58" s="14">
        <f t="shared" si="5"/>
        <v>75.099999999999994</v>
      </c>
      <c r="L58" s="8">
        <f>AVERAGE(G55:G143)</f>
        <v>12.074157303370791</v>
      </c>
      <c r="M58">
        <v>0</v>
      </c>
      <c r="N58">
        <v>2.2999999999999998</v>
      </c>
      <c r="O58" s="14">
        <f t="shared" si="2"/>
        <v>-2.2999999999999998</v>
      </c>
      <c r="P58">
        <v>0</v>
      </c>
      <c r="Q58">
        <v>4</v>
      </c>
      <c r="R58">
        <v>0.35</v>
      </c>
      <c r="S58" s="41">
        <f t="shared" si="3"/>
        <v>0.80499999999999994</v>
      </c>
      <c r="T58" s="41">
        <f t="shared" si="4"/>
        <v>-0.80499999999999994</v>
      </c>
      <c r="U58" s="41">
        <v>0</v>
      </c>
      <c r="V58">
        <v>36</v>
      </c>
      <c r="W58">
        <v>1278.0999999999999</v>
      </c>
      <c r="Y58">
        <f t="shared" si="6"/>
        <v>5889.2000000000007</v>
      </c>
      <c r="AA58">
        <v>11.870955851049526</v>
      </c>
      <c r="AB58">
        <f>(AB56/100)/L56</f>
        <v>0.6282030522985298</v>
      </c>
    </row>
    <row r="59" spans="1:28" x14ac:dyDescent="0.25">
      <c r="A59">
        <v>5080</v>
      </c>
      <c r="B59">
        <v>18650</v>
      </c>
      <c r="C59" s="1">
        <v>42637</v>
      </c>
      <c r="D59" s="1"/>
      <c r="E59" s="1"/>
      <c r="F59" s="60"/>
      <c r="G59">
        <v>19.8</v>
      </c>
      <c r="H59">
        <v>12.8</v>
      </c>
      <c r="I59">
        <v>26.1</v>
      </c>
      <c r="J59" s="14">
        <f t="shared" si="5"/>
        <v>94.899999999999991</v>
      </c>
      <c r="L59" s="10" t="s">
        <v>39</v>
      </c>
      <c r="M59">
        <v>0</v>
      </c>
      <c r="N59">
        <v>4.4000000000000004</v>
      </c>
      <c r="O59" s="14">
        <f t="shared" si="2"/>
        <v>-4.4000000000000004</v>
      </c>
      <c r="P59">
        <v>0</v>
      </c>
      <c r="Q59">
        <v>5</v>
      </c>
      <c r="R59">
        <v>0.35</v>
      </c>
      <c r="S59" s="41">
        <f t="shared" si="3"/>
        <v>1.54</v>
      </c>
      <c r="T59" s="41">
        <f t="shared" si="4"/>
        <v>-1.54</v>
      </c>
      <c r="U59" s="41">
        <v>0</v>
      </c>
      <c r="V59" s="32" t="s">
        <v>52</v>
      </c>
      <c r="W59">
        <v>1778.6</v>
      </c>
      <c r="Y59">
        <f t="shared" si="6"/>
        <v>7667.8000000000011</v>
      </c>
      <c r="AA59">
        <v>11.819365585061311</v>
      </c>
      <c r="AB59" s="32" t="s">
        <v>58</v>
      </c>
    </row>
    <row r="60" spans="1:28" x14ac:dyDescent="0.25">
      <c r="A60">
        <v>5080</v>
      </c>
      <c r="B60">
        <v>18650</v>
      </c>
      <c r="C60" s="1">
        <v>42638</v>
      </c>
      <c r="D60" s="1"/>
      <c r="E60" s="1"/>
      <c r="F60" s="60"/>
      <c r="G60">
        <v>18.3</v>
      </c>
      <c r="H60">
        <v>18.100000000000001</v>
      </c>
      <c r="I60">
        <v>20.399999999999999</v>
      </c>
      <c r="J60" s="14">
        <f t="shared" si="5"/>
        <v>113.19999999999999</v>
      </c>
      <c r="L60" s="9">
        <f>MIN(H55:H143)</f>
        <v>-2</v>
      </c>
      <c r="M60">
        <v>0.6</v>
      </c>
      <c r="N60">
        <v>2.2999999999999998</v>
      </c>
      <c r="O60" s="14">
        <f t="shared" si="2"/>
        <v>-1.6999999999999997</v>
      </c>
      <c r="P60">
        <v>0</v>
      </c>
      <c r="Q60">
        <v>6</v>
      </c>
      <c r="R60">
        <v>0.35</v>
      </c>
      <c r="S60" s="41">
        <f t="shared" si="3"/>
        <v>0.80499999999999994</v>
      </c>
      <c r="T60" s="41">
        <f t="shared" si="4"/>
        <v>-0.20499999999999996</v>
      </c>
      <c r="U60" s="41">
        <v>0</v>
      </c>
      <c r="V60">
        <v>0</v>
      </c>
      <c r="W60">
        <v>901.1</v>
      </c>
      <c r="Y60">
        <f t="shared" si="6"/>
        <v>8568.9000000000015</v>
      </c>
      <c r="AA60">
        <v>11.767802764257356</v>
      </c>
      <c r="AB60">
        <v>65</v>
      </c>
    </row>
    <row r="61" spans="1:28" x14ac:dyDescent="0.25">
      <c r="A61">
        <v>5080</v>
      </c>
      <c r="B61">
        <v>18650</v>
      </c>
      <c r="C61" s="1">
        <v>42639</v>
      </c>
      <c r="D61" s="1"/>
      <c r="E61" s="1"/>
      <c r="F61" s="60"/>
      <c r="G61">
        <v>17</v>
      </c>
      <c r="H61">
        <v>12.8</v>
      </c>
      <c r="I61">
        <v>20.5</v>
      </c>
      <c r="J61" s="14">
        <f t="shared" si="5"/>
        <v>130.19999999999999</v>
      </c>
      <c r="L61" s="10" t="s">
        <v>40</v>
      </c>
      <c r="M61">
        <v>0</v>
      </c>
      <c r="N61">
        <v>1.8</v>
      </c>
      <c r="O61" s="14">
        <f t="shared" si="2"/>
        <v>-1.8</v>
      </c>
      <c r="P61">
        <v>0</v>
      </c>
      <c r="Q61">
        <v>7</v>
      </c>
      <c r="R61">
        <v>0.35</v>
      </c>
      <c r="S61" s="41">
        <f t="shared" si="3"/>
        <v>0.63</v>
      </c>
      <c r="T61" s="41">
        <f t="shared" si="4"/>
        <v>-0.63</v>
      </c>
      <c r="U61" s="41">
        <v>0</v>
      </c>
      <c r="V61" s="32" t="s">
        <v>53</v>
      </c>
      <c r="W61">
        <v>1011.7</v>
      </c>
      <c r="Y61">
        <f t="shared" si="6"/>
        <v>9580.6000000000022</v>
      </c>
      <c r="AA61">
        <v>11.716275303761472</v>
      </c>
    </row>
    <row r="62" spans="1:28" x14ac:dyDescent="0.25">
      <c r="A62">
        <v>5080</v>
      </c>
      <c r="B62">
        <v>18650</v>
      </c>
      <c r="C62" s="1">
        <v>42640</v>
      </c>
      <c r="D62" s="1" t="s">
        <v>33</v>
      </c>
      <c r="E62" s="1"/>
      <c r="F62" s="60"/>
      <c r="G62">
        <v>18.399999999999999</v>
      </c>
      <c r="H62">
        <v>12.6</v>
      </c>
      <c r="I62">
        <v>23.7</v>
      </c>
      <c r="J62" s="14">
        <f t="shared" si="5"/>
        <v>148.6</v>
      </c>
      <c r="L62" s="8">
        <f>MAX(I55:I143)</f>
        <v>26.6</v>
      </c>
      <c r="M62">
        <v>0</v>
      </c>
      <c r="N62">
        <v>3.3</v>
      </c>
      <c r="O62" s="14">
        <f t="shared" si="2"/>
        <v>-3.3</v>
      </c>
      <c r="P62">
        <v>0</v>
      </c>
      <c r="Q62">
        <v>8</v>
      </c>
      <c r="R62">
        <v>0.35</v>
      </c>
      <c r="S62" s="41">
        <f t="shared" si="3"/>
        <v>1.1549999999999998</v>
      </c>
      <c r="T62" s="41">
        <f t="shared" si="4"/>
        <v>-1.1549999999999998</v>
      </c>
      <c r="U62" s="41">
        <v>0</v>
      </c>
      <c r="V62" s="41">
        <f>MAX(U55:U143)</f>
        <v>76.508518518518514</v>
      </c>
      <c r="W62">
        <v>1477.1</v>
      </c>
      <c r="Y62">
        <f t="shared" si="6"/>
        <v>11057.700000000003</v>
      </c>
      <c r="AA62">
        <v>11.664791173822838</v>
      </c>
    </row>
    <row r="63" spans="1:28" x14ac:dyDescent="0.25">
      <c r="A63">
        <v>5080</v>
      </c>
      <c r="B63">
        <v>18650</v>
      </c>
      <c r="C63" s="1">
        <v>42641</v>
      </c>
      <c r="D63" s="1"/>
      <c r="E63" s="1"/>
      <c r="F63" s="60"/>
      <c r="G63">
        <v>19.399999999999999</v>
      </c>
      <c r="H63">
        <v>12.8</v>
      </c>
      <c r="I63">
        <v>24.8</v>
      </c>
      <c r="J63" s="14">
        <f t="shared" si="5"/>
        <v>168</v>
      </c>
      <c r="L63" s="10" t="s">
        <v>41</v>
      </c>
      <c r="M63">
        <v>0</v>
      </c>
      <c r="N63">
        <v>4.0999999999999996</v>
      </c>
      <c r="O63" s="14">
        <f t="shared" si="2"/>
        <v>-4.0999999999999996</v>
      </c>
      <c r="P63">
        <v>0</v>
      </c>
      <c r="Q63">
        <v>9</v>
      </c>
      <c r="R63">
        <f>0.35+((Q63-8)/81)*(1-0.35)</f>
        <v>0.35802469135802467</v>
      </c>
      <c r="S63" s="41">
        <f t="shared" si="3"/>
        <v>1.467901234567901</v>
      </c>
      <c r="T63" s="41">
        <f t="shared" si="4"/>
        <v>-1.467901234567901</v>
      </c>
      <c r="U63" s="41">
        <v>0</v>
      </c>
      <c r="V63" s="32" t="s">
        <v>54</v>
      </c>
      <c r="W63">
        <v>1880.7</v>
      </c>
      <c r="Y63">
        <f t="shared" si="6"/>
        <v>12938.400000000003</v>
      </c>
      <c r="AA63">
        <v>11.613358411946718</v>
      </c>
    </row>
    <row r="64" spans="1:28" x14ac:dyDescent="0.25">
      <c r="A64">
        <v>5080</v>
      </c>
      <c r="B64">
        <v>18650</v>
      </c>
      <c r="C64" s="1">
        <v>42642</v>
      </c>
      <c r="D64" s="1"/>
      <c r="E64" s="1"/>
      <c r="F64" s="60"/>
      <c r="G64">
        <v>19.899999999999999</v>
      </c>
      <c r="H64">
        <v>12</v>
      </c>
      <c r="I64">
        <v>26.6</v>
      </c>
      <c r="J64" s="14">
        <f t="shared" si="5"/>
        <v>187.9</v>
      </c>
      <c r="L64" s="8">
        <v>4</v>
      </c>
      <c r="M64">
        <v>0</v>
      </c>
      <c r="N64">
        <v>4.2</v>
      </c>
      <c r="O64" s="14">
        <f t="shared" si="2"/>
        <v>-4.2</v>
      </c>
      <c r="P64" s="40">
        <v>0</v>
      </c>
      <c r="Q64">
        <v>10</v>
      </c>
      <c r="R64">
        <f t="shared" ref="R64:R127" si="7">0.35+((Q64-8)/81)*(1-0.35)</f>
        <v>0.36604938271604937</v>
      </c>
      <c r="S64" s="41">
        <f t="shared" si="3"/>
        <v>1.5374074074074073</v>
      </c>
      <c r="T64" s="41">
        <f t="shared" si="4"/>
        <v>-1.5374074074074073</v>
      </c>
      <c r="U64" s="41">
        <v>0</v>
      </c>
      <c r="V64" s="41">
        <f>AVERAGE(U55:U143)</f>
        <v>33.801665279511717</v>
      </c>
      <c r="W64">
        <v>1609.5</v>
      </c>
      <c r="Y64">
        <f t="shared" si="6"/>
        <v>14547.900000000003</v>
      </c>
      <c r="AA64">
        <v>11.56198513495244</v>
      </c>
    </row>
    <row r="65" spans="1:27" x14ac:dyDescent="0.25">
      <c r="A65">
        <v>5080</v>
      </c>
      <c r="B65">
        <v>18650</v>
      </c>
      <c r="C65" s="1">
        <v>42643</v>
      </c>
      <c r="D65" s="1"/>
      <c r="E65" s="1"/>
      <c r="F65" s="60"/>
      <c r="G65">
        <v>21.5</v>
      </c>
      <c r="H65">
        <v>18</v>
      </c>
      <c r="I65">
        <v>25.7</v>
      </c>
      <c r="J65" s="14">
        <f t="shared" si="5"/>
        <v>209.4</v>
      </c>
      <c r="L65" s="10" t="s">
        <v>42</v>
      </c>
      <c r="M65">
        <v>0.4</v>
      </c>
      <c r="N65">
        <v>4.0999999999999996</v>
      </c>
      <c r="O65" s="14">
        <f t="shared" si="2"/>
        <v>-3.6999999999999997</v>
      </c>
      <c r="P65" s="40">
        <v>0</v>
      </c>
      <c r="Q65">
        <v>11</v>
      </c>
      <c r="R65">
        <f t="shared" si="7"/>
        <v>0.37407407407407406</v>
      </c>
      <c r="S65" s="41">
        <f t="shared" si="3"/>
        <v>1.5337037037037036</v>
      </c>
      <c r="T65" s="41">
        <f t="shared" si="4"/>
        <v>-1.1337037037037034</v>
      </c>
      <c r="U65" s="41">
        <v>0</v>
      </c>
      <c r="W65">
        <v>1546.3</v>
      </c>
      <c r="Y65">
        <f t="shared" si="6"/>
        <v>16094.200000000003</v>
      </c>
      <c r="AA65">
        <v>11.510679550944143</v>
      </c>
    </row>
    <row r="66" spans="1:27" x14ac:dyDescent="0.25">
      <c r="A66">
        <v>5080</v>
      </c>
      <c r="B66">
        <v>18650</v>
      </c>
      <c r="C66" s="1">
        <v>42644</v>
      </c>
      <c r="D66" s="1"/>
      <c r="E66" s="1"/>
      <c r="F66" s="60"/>
      <c r="G66">
        <v>18.3</v>
      </c>
      <c r="H66">
        <v>17</v>
      </c>
      <c r="I66">
        <v>19.899999999999999</v>
      </c>
      <c r="J66" s="14">
        <f t="shared" si="5"/>
        <v>227.70000000000002</v>
      </c>
      <c r="L66" s="8">
        <v>14</v>
      </c>
      <c r="M66">
        <v>3.3</v>
      </c>
      <c r="N66">
        <v>1.4</v>
      </c>
      <c r="O66" s="14">
        <f t="shared" si="2"/>
        <v>1.9</v>
      </c>
      <c r="P66">
        <f>O66</f>
        <v>1.9</v>
      </c>
      <c r="Q66">
        <v>12</v>
      </c>
      <c r="R66">
        <f t="shared" si="7"/>
        <v>0.38209876543209875</v>
      </c>
      <c r="S66" s="41">
        <f t="shared" si="3"/>
        <v>0.53493827160493823</v>
      </c>
      <c r="T66" s="41">
        <f t="shared" si="4"/>
        <v>2.7650617283950618</v>
      </c>
      <c r="U66" s="41">
        <f t="shared" ref="U66:U129" si="8">MIN(U65+T66,157.8)</f>
        <v>2.7650617283950618</v>
      </c>
      <c r="V66">
        <f>(V64*100)/157.8</f>
        <v>21.420573687903495</v>
      </c>
      <c r="W66">
        <v>507.7</v>
      </c>
      <c r="Y66">
        <f t="shared" si="6"/>
        <v>16601.900000000001</v>
      </c>
      <c r="AA66">
        <v>11.459449971179502</v>
      </c>
    </row>
    <row r="67" spans="1:27" x14ac:dyDescent="0.25">
      <c r="A67">
        <v>5080</v>
      </c>
      <c r="B67">
        <v>18650</v>
      </c>
      <c r="C67" s="1">
        <v>42645</v>
      </c>
      <c r="D67" s="1"/>
      <c r="E67" s="1"/>
      <c r="F67" s="60"/>
      <c r="G67">
        <v>16.899999999999999</v>
      </c>
      <c r="H67">
        <v>14.9</v>
      </c>
      <c r="I67">
        <v>19.600000000000001</v>
      </c>
      <c r="J67" s="14">
        <f t="shared" si="5"/>
        <v>244.60000000000002</v>
      </c>
      <c r="L67" s="10" t="s">
        <v>43</v>
      </c>
      <c r="M67">
        <v>0.4</v>
      </c>
      <c r="N67">
        <v>2.1</v>
      </c>
      <c r="O67" s="14">
        <f t="shared" si="2"/>
        <v>-1.7000000000000002</v>
      </c>
      <c r="P67">
        <f>P66+O67</f>
        <v>0.19999999999999973</v>
      </c>
      <c r="Q67">
        <v>13</v>
      </c>
      <c r="R67">
        <f t="shared" si="7"/>
        <v>0.39012345679012345</v>
      </c>
      <c r="S67" s="41">
        <f t="shared" si="3"/>
        <v>0.81925925925925924</v>
      </c>
      <c r="T67" s="41">
        <f t="shared" si="4"/>
        <v>-0.41925925925925922</v>
      </c>
      <c r="U67" s="41">
        <f t="shared" si="8"/>
        <v>2.3458024691358026</v>
      </c>
      <c r="W67">
        <v>978.5</v>
      </c>
      <c r="Y67">
        <f t="shared" si="6"/>
        <v>17580.400000000001</v>
      </c>
      <c r="AA67">
        <v>11.408304821820844</v>
      </c>
    </row>
    <row r="68" spans="1:27" x14ac:dyDescent="0.25">
      <c r="A68">
        <v>5080</v>
      </c>
      <c r="B68">
        <v>18650</v>
      </c>
      <c r="C68" s="1">
        <v>42646</v>
      </c>
      <c r="D68" s="1"/>
      <c r="E68" s="1"/>
      <c r="F68" s="60"/>
      <c r="G68">
        <v>17.100000000000001</v>
      </c>
      <c r="H68">
        <v>10.8</v>
      </c>
      <c r="I68">
        <v>22.5</v>
      </c>
      <c r="J68" s="14">
        <f t="shared" si="5"/>
        <v>261.70000000000005</v>
      </c>
      <c r="L68" s="8">
        <v>2</v>
      </c>
      <c r="M68">
        <v>0</v>
      </c>
      <c r="N68">
        <v>3.7</v>
      </c>
      <c r="O68" s="14">
        <f t="shared" si="2"/>
        <v>-3.7</v>
      </c>
      <c r="P68">
        <v>0</v>
      </c>
      <c r="Q68">
        <v>14</v>
      </c>
      <c r="R68">
        <f t="shared" si="7"/>
        <v>0.39814814814814814</v>
      </c>
      <c r="S68" s="41">
        <f t="shared" si="3"/>
        <v>1.4731481481481481</v>
      </c>
      <c r="T68" s="41">
        <f t="shared" si="4"/>
        <v>-1.4731481481481481</v>
      </c>
      <c r="U68" s="41">
        <f t="shared" si="8"/>
        <v>0.8726543209876545</v>
      </c>
      <c r="W68">
        <v>1735</v>
      </c>
      <c r="Y68">
        <f t="shared" si="6"/>
        <v>19315.400000000001</v>
      </c>
      <c r="AA68">
        <v>11.357252655552434</v>
      </c>
    </row>
    <row r="69" spans="1:27" x14ac:dyDescent="0.25">
      <c r="A69">
        <v>5080</v>
      </c>
      <c r="B69">
        <v>18650</v>
      </c>
      <c r="C69" s="1">
        <v>42647</v>
      </c>
      <c r="D69" s="1"/>
      <c r="E69" s="1"/>
      <c r="F69" s="60"/>
      <c r="G69">
        <v>19</v>
      </c>
      <c r="H69">
        <v>11.1</v>
      </c>
      <c r="I69">
        <v>25.2</v>
      </c>
      <c r="J69" s="14">
        <f t="shared" si="5"/>
        <v>280.70000000000005</v>
      </c>
      <c r="L69" s="1"/>
      <c r="M69">
        <v>0</v>
      </c>
      <c r="N69">
        <v>3.6</v>
      </c>
      <c r="O69" s="14">
        <f t="shared" si="2"/>
        <v>-3.6</v>
      </c>
      <c r="P69">
        <v>0</v>
      </c>
      <c r="Q69">
        <v>15</v>
      </c>
      <c r="R69">
        <f t="shared" si="7"/>
        <v>0.40617283950617283</v>
      </c>
      <c r="S69" s="41">
        <f t="shared" si="3"/>
        <v>1.4622222222222223</v>
      </c>
      <c r="T69" s="41">
        <f t="shared" si="4"/>
        <v>-1.4622222222222223</v>
      </c>
      <c r="U69" s="41">
        <v>0</v>
      </c>
      <c r="W69">
        <v>1532</v>
      </c>
      <c r="Y69">
        <f t="shared" si="6"/>
        <v>20847.400000000001</v>
      </c>
      <c r="AA69">
        <v>11.306302163046906</v>
      </c>
    </row>
    <row r="70" spans="1:27" x14ac:dyDescent="0.25">
      <c r="A70">
        <v>5080</v>
      </c>
      <c r="B70">
        <v>18650</v>
      </c>
      <c r="C70" s="1">
        <v>42648</v>
      </c>
      <c r="D70" s="1"/>
      <c r="E70" s="1"/>
      <c r="F70" s="60"/>
      <c r="G70">
        <v>19.399999999999999</v>
      </c>
      <c r="H70">
        <v>17</v>
      </c>
      <c r="I70">
        <v>22</v>
      </c>
      <c r="J70" s="14">
        <f t="shared" si="5"/>
        <v>300.10000000000002</v>
      </c>
      <c r="L70" s="1"/>
      <c r="M70">
        <v>0</v>
      </c>
      <c r="N70">
        <v>2.2999999999999998</v>
      </c>
      <c r="O70" s="14">
        <f t="shared" si="2"/>
        <v>-2.2999999999999998</v>
      </c>
      <c r="P70">
        <v>0</v>
      </c>
      <c r="Q70">
        <v>16</v>
      </c>
      <c r="R70">
        <f t="shared" si="7"/>
        <v>0.41419753086419753</v>
      </c>
      <c r="S70" s="41">
        <f t="shared" si="3"/>
        <v>0.95265432098765424</v>
      </c>
      <c r="T70" s="41">
        <f t="shared" si="4"/>
        <v>-0.95265432098765424</v>
      </c>
      <c r="U70" s="41">
        <v>0</v>
      </c>
      <c r="W70">
        <v>812.5</v>
      </c>
      <c r="Y70">
        <f t="shared" si="6"/>
        <v>21659.9</v>
      </c>
      <c r="AA70">
        <v>11.255462184262941</v>
      </c>
    </row>
    <row r="71" spans="1:27" x14ac:dyDescent="0.25">
      <c r="A71">
        <v>5080</v>
      </c>
      <c r="B71">
        <v>18650</v>
      </c>
      <c r="C71" s="1">
        <v>42649</v>
      </c>
      <c r="D71" s="1"/>
      <c r="E71" s="1"/>
      <c r="F71" s="60"/>
      <c r="G71">
        <v>18.2</v>
      </c>
      <c r="H71">
        <v>16.3</v>
      </c>
      <c r="I71">
        <v>21.6</v>
      </c>
      <c r="J71" s="14">
        <f t="shared" si="5"/>
        <v>318.3</v>
      </c>
      <c r="L71" s="1"/>
      <c r="M71">
        <v>0</v>
      </c>
      <c r="N71">
        <v>2.7</v>
      </c>
      <c r="O71" s="14">
        <f t="shared" si="2"/>
        <v>-2.7</v>
      </c>
      <c r="P71">
        <v>0</v>
      </c>
      <c r="Q71">
        <v>17</v>
      </c>
      <c r="R71">
        <f t="shared" si="7"/>
        <v>0.42222222222222217</v>
      </c>
      <c r="S71" s="41">
        <f t="shared" si="3"/>
        <v>1.1399999999999999</v>
      </c>
      <c r="T71" s="41">
        <f t="shared" si="4"/>
        <v>-1.1399999999999999</v>
      </c>
      <c r="U71" s="41">
        <v>0</v>
      </c>
      <c r="W71">
        <v>1210.4000000000001</v>
      </c>
      <c r="Y71">
        <f t="shared" si="6"/>
        <v>22870.300000000003</v>
      </c>
      <c r="AA71">
        <v>11.204741719555393</v>
      </c>
    </row>
    <row r="72" spans="1:27" x14ac:dyDescent="0.25">
      <c r="A72">
        <v>5080</v>
      </c>
      <c r="B72">
        <v>18650</v>
      </c>
      <c r="C72" s="1">
        <v>42650</v>
      </c>
      <c r="D72" s="1"/>
      <c r="E72" s="1"/>
      <c r="F72" s="60"/>
      <c r="G72">
        <v>14.4</v>
      </c>
      <c r="H72">
        <v>10.3</v>
      </c>
      <c r="I72">
        <v>18.2</v>
      </c>
      <c r="J72" s="14">
        <f t="shared" si="5"/>
        <v>332.7</v>
      </c>
      <c r="L72" s="1"/>
      <c r="M72">
        <v>0</v>
      </c>
      <c r="N72">
        <v>1.5</v>
      </c>
      <c r="O72" s="14">
        <f t="shared" si="2"/>
        <v>-1.5</v>
      </c>
      <c r="P72">
        <v>0</v>
      </c>
      <c r="Q72">
        <v>18</v>
      </c>
      <c r="R72">
        <f t="shared" si="7"/>
        <v>0.43024691358024691</v>
      </c>
      <c r="S72" s="41">
        <f t="shared" si="3"/>
        <v>0.64537037037037037</v>
      </c>
      <c r="T72" s="41">
        <f t="shared" si="4"/>
        <v>-0.64537037037037037</v>
      </c>
      <c r="U72" s="41">
        <v>0</v>
      </c>
      <c r="W72">
        <v>813.6</v>
      </c>
      <c r="Y72">
        <f t="shared" si="6"/>
        <v>23683.9</v>
      </c>
      <c r="AA72">
        <v>11.154149940578034</v>
      </c>
    </row>
    <row r="73" spans="1:27" x14ac:dyDescent="0.25">
      <c r="A73">
        <v>5080</v>
      </c>
      <c r="B73">
        <v>18650</v>
      </c>
      <c r="C73" s="1">
        <v>42651</v>
      </c>
      <c r="D73" s="1"/>
      <c r="E73" s="1"/>
      <c r="F73" s="60"/>
      <c r="G73">
        <v>12.9</v>
      </c>
      <c r="H73">
        <v>9.3000000000000007</v>
      </c>
      <c r="I73">
        <v>16.899999999999999</v>
      </c>
      <c r="J73" s="14">
        <f t="shared" si="5"/>
        <v>345.59999999999997</v>
      </c>
      <c r="L73" s="1"/>
      <c r="M73">
        <v>0</v>
      </c>
      <c r="N73">
        <v>2.4</v>
      </c>
      <c r="O73" s="14">
        <f t="shared" si="2"/>
        <v>-2.4</v>
      </c>
      <c r="P73">
        <v>0</v>
      </c>
      <c r="Q73">
        <v>19</v>
      </c>
      <c r="R73">
        <f t="shared" si="7"/>
        <v>0.43827160493827155</v>
      </c>
      <c r="S73" s="41">
        <f t="shared" si="3"/>
        <v>1.0518518518518516</v>
      </c>
      <c r="T73" s="41">
        <f t="shared" si="4"/>
        <v>-1.0518518518518516</v>
      </c>
      <c r="U73" s="41">
        <v>0</v>
      </c>
      <c r="W73">
        <v>942.3</v>
      </c>
      <c r="Y73">
        <f t="shared" si="6"/>
        <v>24626.2</v>
      </c>
      <c r="AA73">
        <v>11.103696200957993</v>
      </c>
    </row>
    <row r="74" spans="1:27" x14ac:dyDescent="0.25">
      <c r="A74">
        <v>5080</v>
      </c>
      <c r="B74">
        <v>18650</v>
      </c>
      <c r="C74" s="1">
        <v>42652</v>
      </c>
      <c r="D74" s="1"/>
      <c r="E74" s="1"/>
      <c r="F74" s="60"/>
      <c r="G74">
        <v>13.1</v>
      </c>
      <c r="H74">
        <v>8.9</v>
      </c>
      <c r="I74">
        <v>18.100000000000001</v>
      </c>
      <c r="J74" s="14">
        <f t="shared" si="5"/>
        <v>358.7</v>
      </c>
      <c r="L74" s="1"/>
      <c r="M74">
        <v>0</v>
      </c>
      <c r="N74">
        <v>3.2</v>
      </c>
      <c r="O74" s="14">
        <f t="shared" si="2"/>
        <v>-3.2</v>
      </c>
      <c r="P74">
        <v>0</v>
      </c>
      <c r="Q74">
        <v>20</v>
      </c>
      <c r="R74">
        <f t="shared" si="7"/>
        <v>0.4462962962962963</v>
      </c>
      <c r="S74" s="41">
        <f t="shared" si="3"/>
        <v>1.4281481481481482</v>
      </c>
      <c r="T74" s="41">
        <f t="shared" si="4"/>
        <v>-1.4281481481481482</v>
      </c>
      <c r="U74" s="41">
        <v>0</v>
      </c>
      <c r="W74">
        <v>1286.3</v>
      </c>
      <c r="Y74">
        <f t="shared" si="6"/>
        <v>25912.5</v>
      </c>
      <c r="AA74">
        <v>11.053390046719926</v>
      </c>
    </row>
    <row r="75" spans="1:27" x14ac:dyDescent="0.25">
      <c r="A75">
        <v>5080</v>
      </c>
      <c r="B75">
        <v>18650</v>
      </c>
      <c r="C75" s="1">
        <v>42653</v>
      </c>
      <c r="D75" s="1"/>
      <c r="E75" s="1"/>
      <c r="F75" s="60"/>
      <c r="G75">
        <v>11.7</v>
      </c>
      <c r="H75">
        <v>7.1</v>
      </c>
      <c r="I75">
        <v>16.3</v>
      </c>
      <c r="J75" s="14">
        <f t="shared" si="5"/>
        <v>370.4</v>
      </c>
      <c r="L75" s="1"/>
      <c r="M75">
        <v>0</v>
      </c>
      <c r="N75">
        <v>3.3</v>
      </c>
      <c r="O75" s="14">
        <f t="shared" si="2"/>
        <v>-3.3</v>
      </c>
      <c r="P75">
        <v>0</v>
      </c>
      <c r="Q75">
        <v>21</v>
      </c>
      <c r="R75">
        <f t="shared" si="7"/>
        <v>0.45432098765432094</v>
      </c>
      <c r="S75" s="41">
        <f t="shared" si="3"/>
        <v>1.4992592592592591</v>
      </c>
      <c r="T75" s="41">
        <f t="shared" si="4"/>
        <v>-1.4992592592592591</v>
      </c>
      <c r="U75" s="41">
        <v>0</v>
      </c>
      <c r="W75">
        <v>1640.8</v>
      </c>
      <c r="Y75">
        <f t="shared" si="6"/>
        <v>27553.3</v>
      </c>
      <c r="AA75">
        <v>11.0032412264367</v>
      </c>
    </row>
    <row r="76" spans="1:27" x14ac:dyDescent="0.25">
      <c r="A76">
        <v>5080</v>
      </c>
      <c r="B76">
        <v>18650</v>
      </c>
      <c r="C76" s="1">
        <v>42654</v>
      </c>
      <c r="D76" s="1"/>
      <c r="E76" s="1"/>
      <c r="F76" s="60"/>
      <c r="G76">
        <v>12.1</v>
      </c>
      <c r="H76">
        <v>7.9</v>
      </c>
      <c r="I76">
        <v>15.4</v>
      </c>
      <c r="J76" s="14">
        <f t="shared" si="5"/>
        <v>382.5</v>
      </c>
      <c r="L76" s="1"/>
      <c r="M76">
        <v>0</v>
      </c>
      <c r="N76">
        <v>2.2000000000000002</v>
      </c>
      <c r="O76" s="14">
        <f t="shared" si="2"/>
        <v>-2.2000000000000002</v>
      </c>
      <c r="P76">
        <v>0</v>
      </c>
      <c r="Q76">
        <v>22</v>
      </c>
      <c r="R76">
        <f t="shared" si="7"/>
        <v>0.46234567901234563</v>
      </c>
      <c r="S76" s="41">
        <f t="shared" si="3"/>
        <v>1.0171604938271606</v>
      </c>
      <c r="T76" s="41">
        <f t="shared" si="4"/>
        <v>-1.0171604938271606</v>
      </c>
      <c r="U76" s="41">
        <v>0</v>
      </c>
      <c r="W76">
        <v>305.5</v>
      </c>
      <c r="Y76">
        <f t="shared" si="6"/>
        <v>27858.799999999999</v>
      </c>
      <c r="AA76">
        <v>10.953259701082121</v>
      </c>
    </row>
    <row r="77" spans="1:27" x14ac:dyDescent="0.25">
      <c r="A77">
        <v>5080</v>
      </c>
      <c r="B77">
        <v>18650</v>
      </c>
      <c r="C77" s="1">
        <v>42655</v>
      </c>
      <c r="D77" s="1"/>
      <c r="E77" s="1"/>
      <c r="F77" s="60"/>
      <c r="G77">
        <v>13</v>
      </c>
      <c r="H77">
        <v>9.9</v>
      </c>
      <c r="I77">
        <v>15.3</v>
      </c>
      <c r="J77" s="14">
        <f t="shared" si="5"/>
        <v>395.5</v>
      </c>
      <c r="L77" s="1"/>
      <c r="M77">
        <v>0.6</v>
      </c>
      <c r="N77">
        <v>2.2000000000000002</v>
      </c>
      <c r="O77" s="14">
        <f t="shared" si="2"/>
        <v>-1.6</v>
      </c>
      <c r="P77">
        <v>0</v>
      </c>
      <c r="Q77">
        <v>23</v>
      </c>
      <c r="R77">
        <f t="shared" si="7"/>
        <v>0.47037037037037033</v>
      </c>
      <c r="S77" s="41">
        <f t="shared" si="3"/>
        <v>1.0348148148148149</v>
      </c>
      <c r="T77" s="41">
        <f t="shared" si="4"/>
        <v>-0.43481481481481488</v>
      </c>
      <c r="U77" s="41">
        <v>0</v>
      </c>
      <c r="W77">
        <v>553.1</v>
      </c>
      <c r="Y77">
        <f t="shared" si="6"/>
        <v>28411.899999999998</v>
      </c>
      <c r="AA77">
        <v>10.903455653560037</v>
      </c>
    </row>
    <row r="78" spans="1:27" x14ac:dyDescent="0.25">
      <c r="A78">
        <v>5080</v>
      </c>
      <c r="B78">
        <v>18650</v>
      </c>
      <c r="C78" s="1">
        <v>42656</v>
      </c>
      <c r="D78" s="1"/>
      <c r="E78" s="1"/>
      <c r="F78" s="60"/>
      <c r="G78">
        <v>15.9</v>
      </c>
      <c r="H78">
        <v>13.3</v>
      </c>
      <c r="I78">
        <v>18.399999999999999</v>
      </c>
      <c r="J78" s="14">
        <f t="shared" si="5"/>
        <v>411.4</v>
      </c>
      <c r="L78" s="1"/>
      <c r="M78">
        <v>21.4</v>
      </c>
      <c r="N78">
        <v>0.9</v>
      </c>
      <c r="O78" s="14">
        <f t="shared" si="2"/>
        <v>20.5</v>
      </c>
      <c r="P78">
        <f t="shared" ref="P78:P141" si="9">P77+O78</f>
        <v>20.5</v>
      </c>
      <c r="Q78">
        <v>24</v>
      </c>
      <c r="R78">
        <f t="shared" si="7"/>
        <v>0.47839506172839508</v>
      </c>
      <c r="S78" s="41">
        <f t="shared" si="3"/>
        <v>0.43055555555555558</v>
      </c>
      <c r="T78" s="41">
        <f t="shared" si="4"/>
        <v>20.969444444444441</v>
      </c>
      <c r="U78" s="41">
        <f t="shared" si="8"/>
        <v>20.969444444444441</v>
      </c>
      <c r="W78">
        <v>227.1</v>
      </c>
      <c r="Y78">
        <f t="shared" si="6"/>
        <v>28638.999999999996</v>
      </c>
      <c r="AA78">
        <v>10.853839497882763</v>
      </c>
    </row>
    <row r="79" spans="1:27" x14ac:dyDescent="0.25">
      <c r="A79">
        <v>5080</v>
      </c>
      <c r="B79">
        <v>18650</v>
      </c>
      <c r="C79" s="1">
        <v>42657</v>
      </c>
      <c r="D79" s="1"/>
      <c r="E79" s="1"/>
      <c r="F79" s="60"/>
      <c r="G79">
        <v>12.7</v>
      </c>
      <c r="H79">
        <v>12.8</v>
      </c>
      <c r="I79">
        <v>14</v>
      </c>
      <c r="J79" s="14">
        <f t="shared" si="5"/>
        <v>424.09999999999997</v>
      </c>
      <c r="L79" s="1"/>
      <c r="M79">
        <v>2.5</v>
      </c>
      <c r="N79">
        <v>0.9</v>
      </c>
      <c r="O79" s="14">
        <f t="shared" si="2"/>
        <v>1.6</v>
      </c>
      <c r="P79">
        <f t="shared" si="9"/>
        <v>22.1</v>
      </c>
      <c r="Q79">
        <v>25</v>
      </c>
      <c r="R79">
        <f t="shared" si="7"/>
        <v>0.48641975308641971</v>
      </c>
      <c r="S79" s="41">
        <f t="shared" si="3"/>
        <v>0.43777777777777777</v>
      </c>
      <c r="T79" s="41">
        <f t="shared" si="4"/>
        <v>2.0622222222222222</v>
      </c>
      <c r="U79" s="41">
        <f t="shared" si="8"/>
        <v>23.031666666666663</v>
      </c>
      <c r="W79">
        <v>272.8</v>
      </c>
      <c r="Y79">
        <f t="shared" si="6"/>
        <v>28911.799999999996</v>
      </c>
      <c r="AA79">
        <v>10.804421887970468</v>
      </c>
    </row>
    <row r="80" spans="1:27" x14ac:dyDescent="0.25">
      <c r="A80">
        <v>5080</v>
      </c>
      <c r="B80">
        <v>18650</v>
      </c>
      <c r="C80" s="1">
        <v>42658</v>
      </c>
      <c r="D80" s="1"/>
      <c r="E80" s="1"/>
      <c r="F80" s="60"/>
      <c r="G80">
        <v>13.8</v>
      </c>
      <c r="H80">
        <v>7.5</v>
      </c>
      <c r="I80">
        <v>20.100000000000001</v>
      </c>
      <c r="J80" s="14">
        <f t="shared" si="5"/>
        <v>437.9</v>
      </c>
      <c r="L80" s="1"/>
      <c r="M80">
        <v>0</v>
      </c>
      <c r="N80">
        <v>2.8</v>
      </c>
      <c r="O80" s="14">
        <f t="shared" si="2"/>
        <v>-2.8</v>
      </c>
      <c r="P80">
        <f t="shared" si="9"/>
        <v>19.3</v>
      </c>
      <c r="Q80">
        <v>26</v>
      </c>
      <c r="R80">
        <f t="shared" si="7"/>
        <v>0.49444444444444441</v>
      </c>
      <c r="S80" s="41">
        <f t="shared" si="3"/>
        <v>1.3844444444444444</v>
      </c>
      <c r="T80" s="41">
        <f t="shared" si="4"/>
        <v>-1.3844444444444444</v>
      </c>
      <c r="U80" s="41">
        <f t="shared" si="8"/>
        <v>21.647222222222219</v>
      </c>
      <c r="W80">
        <v>1457.5</v>
      </c>
      <c r="Y80">
        <f t="shared" si="6"/>
        <v>30369.299999999996</v>
      </c>
      <c r="AA80">
        <v>10.755213726041745</v>
      </c>
    </row>
    <row r="81" spans="1:27" x14ac:dyDescent="0.25">
      <c r="A81">
        <v>5080</v>
      </c>
      <c r="B81">
        <v>18650</v>
      </c>
      <c r="C81" s="1">
        <v>42659</v>
      </c>
      <c r="D81" s="1"/>
      <c r="E81" s="1"/>
      <c r="F81" s="60"/>
      <c r="G81">
        <v>14</v>
      </c>
      <c r="H81">
        <v>9.6</v>
      </c>
      <c r="I81">
        <v>18</v>
      </c>
      <c r="J81" s="14">
        <f t="shared" si="5"/>
        <v>451.9</v>
      </c>
      <c r="L81" s="1"/>
      <c r="M81">
        <v>0</v>
      </c>
      <c r="N81">
        <v>0.9</v>
      </c>
      <c r="O81" s="14">
        <f t="shared" si="2"/>
        <v>-0.9</v>
      </c>
      <c r="P81">
        <f t="shared" si="9"/>
        <v>18.400000000000002</v>
      </c>
      <c r="Q81">
        <v>27</v>
      </c>
      <c r="R81">
        <f t="shared" si="7"/>
        <v>0.5024691358024691</v>
      </c>
      <c r="S81" s="41">
        <f t="shared" si="3"/>
        <v>0.45222222222222219</v>
      </c>
      <c r="T81" s="41">
        <f t="shared" si="4"/>
        <v>-0.45222222222222219</v>
      </c>
      <c r="U81" s="41">
        <f t="shared" si="8"/>
        <v>21.194999999999997</v>
      </c>
      <c r="W81">
        <v>593.1</v>
      </c>
      <c r="Y81">
        <f t="shared" si="6"/>
        <v>30962.399999999994</v>
      </c>
      <c r="AA81">
        <v>10.706226170564268</v>
      </c>
    </row>
    <row r="82" spans="1:27" x14ac:dyDescent="0.25">
      <c r="A82">
        <v>5080</v>
      </c>
      <c r="B82">
        <v>18650</v>
      </c>
      <c r="C82" s="1">
        <v>42660</v>
      </c>
      <c r="D82" s="1"/>
      <c r="E82" s="1"/>
      <c r="F82" s="60"/>
      <c r="G82">
        <v>17.100000000000001</v>
      </c>
      <c r="H82">
        <v>13.7</v>
      </c>
      <c r="I82">
        <v>20.100000000000001</v>
      </c>
      <c r="J82" s="14">
        <f t="shared" si="5"/>
        <v>469</v>
      </c>
      <c r="L82" s="1"/>
      <c r="M82">
        <v>0.5</v>
      </c>
      <c r="N82">
        <v>1.2</v>
      </c>
      <c r="O82" s="14">
        <f t="shared" si="2"/>
        <v>-0.7</v>
      </c>
      <c r="P82">
        <f t="shared" si="9"/>
        <v>17.700000000000003</v>
      </c>
      <c r="Q82">
        <v>28</v>
      </c>
      <c r="R82">
        <f t="shared" si="7"/>
        <v>0.51049382716049374</v>
      </c>
      <c r="S82" s="41">
        <f t="shared" si="3"/>
        <v>0.61259259259259247</v>
      </c>
      <c r="T82" s="41">
        <f t="shared" si="4"/>
        <v>-0.11259259259259247</v>
      </c>
      <c r="U82" s="41">
        <f t="shared" si="8"/>
        <v>21.082407407407405</v>
      </c>
      <c r="W82">
        <v>820</v>
      </c>
      <c r="Y82">
        <f t="shared" si="6"/>
        <v>31782.399999999994</v>
      </c>
      <c r="AA82">
        <v>10.657470643733003</v>
      </c>
    </row>
    <row r="83" spans="1:27" x14ac:dyDescent="0.25">
      <c r="A83">
        <v>5080</v>
      </c>
      <c r="B83">
        <v>18650</v>
      </c>
      <c r="C83" s="1">
        <v>42661</v>
      </c>
      <c r="D83" s="1"/>
      <c r="E83" s="1"/>
      <c r="F83" s="60"/>
      <c r="G83">
        <v>15.6</v>
      </c>
      <c r="H83">
        <v>13.7</v>
      </c>
      <c r="I83">
        <v>18.8</v>
      </c>
      <c r="J83" s="14">
        <f t="shared" si="5"/>
        <v>484.6</v>
      </c>
      <c r="L83" s="1"/>
      <c r="M83">
        <v>0</v>
      </c>
      <c r="N83">
        <v>1.6</v>
      </c>
      <c r="O83" s="14">
        <f t="shared" si="2"/>
        <v>-1.6</v>
      </c>
      <c r="P83">
        <f t="shared" si="9"/>
        <v>16.100000000000001</v>
      </c>
      <c r="Q83">
        <v>29</v>
      </c>
      <c r="R83">
        <f t="shared" si="7"/>
        <v>0.51851851851851849</v>
      </c>
      <c r="S83" s="41">
        <f t="shared" si="3"/>
        <v>0.82962962962962961</v>
      </c>
      <c r="T83" s="41">
        <f t="shared" si="4"/>
        <v>-0.82962962962962961</v>
      </c>
      <c r="U83" s="41">
        <f t="shared" si="8"/>
        <v>20.252777777777776</v>
      </c>
      <c r="W83">
        <v>776.8</v>
      </c>
      <c r="Y83">
        <f t="shared" si="6"/>
        <v>32559.199999999993</v>
      </c>
      <c r="AA83">
        <v>10.608958838442119</v>
      </c>
    </row>
    <row r="84" spans="1:27" x14ac:dyDescent="0.25">
      <c r="A84">
        <v>5080</v>
      </c>
      <c r="B84">
        <v>18650</v>
      </c>
      <c r="C84" s="1">
        <v>42662</v>
      </c>
      <c r="D84" s="1"/>
      <c r="E84" s="1"/>
      <c r="F84" s="60"/>
      <c r="G84">
        <v>13.3</v>
      </c>
      <c r="H84">
        <v>8.1999999999999993</v>
      </c>
      <c r="I84">
        <v>17.600000000000001</v>
      </c>
      <c r="J84" s="14">
        <f t="shared" si="5"/>
        <v>497.90000000000003</v>
      </c>
      <c r="L84" s="1"/>
      <c r="M84">
        <v>0</v>
      </c>
      <c r="N84">
        <v>1.6</v>
      </c>
      <c r="O84" s="14">
        <f t="shared" si="2"/>
        <v>-1.6</v>
      </c>
      <c r="P84">
        <f t="shared" si="9"/>
        <v>14.500000000000002</v>
      </c>
      <c r="Q84">
        <v>30</v>
      </c>
      <c r="R84">
        <f t="shared" si="7"/>
        <v>0.52654320987654324</v>
      </c>
      <c r="S84" s="41">
        <f t="shared" si="3"/>
        <v>0.84246913580246918</v>
      </c>
      <c r="T84" s="41">
        <f t="shared" si="4"/>
        <v>-0.84246913580246918</v>
      </c>
      <c r="U84" s="41">
        <f t="shared" si="8"/>
        <v>19.410308641975305</v>
      </c>
      <c r="W84">
        <v>744.9</v>
      </c>
      <c r="Y84">
        <f t="shared" si="6"/>
        <v>33304.099999999991</v>
      </c>
      <c r="AA84">
        <v>10.560702724715288</v>
      </c>
    </row>
    <row r="85" spans="1:27" x14ac:dyDescent="0.25">
      <c r="A85">
        <v>5080</v>
      </c>
      <c r="B85">
        <v>18650</v>
      </c>
      <c r="C85" s="1">
        <v>42663</v>
      </c>
      <c r="D85" s="1"/>
      <c r="E85" s="1"/>
      <c r="F85" s="60"/>
      <c r="G85">
        <v>12.3</v>
      </c>
      <c r="H85">
        <v>11.3</v>
      </c>
      <c r="I85">
        <v>15.5</v>
      </c>
      <c r="J85" s="14">
        <f t="shared" si="5"/>
        <v>510.20000000000005</v>
      </c>
      <c r="L85" s="1"/>
      <c r="M85">
        <v>0</v>
      </c>
      <c r="N85">
        <v>2.2000000000000002</v>
      </c>
      <c r="O85" s="14">
        <f t="shared" si="2"/>
        <v>-2.2000000000000002</v>
      </c>
      <c r="P85">
        <f t="shared" si="9"/>
        <v>12.3</v>
      </c>
      <c r="Q85">
        <v>31</v>
      </c>
      <c r="R85">
        <f t="shared" si="7"/>
        <v>0.53456790123456788</v>
      </c>
      <c r="S85" s="41">
        <f t="shared" si="3"/>
        <v>1.1760493827160494</v>
      </c>
      <c r="T85" s="41">
        <f t="shared" si="4"/>
        <v>-1.1760493827160494</v>
      </c>
      <c r="U85" s="41">
        <f t="shared" si="8"/>
        <v>18.234259259259257</v>
      </c>
      <c r="W85">
        <v>807.9</v>
      </c>
      <c r="Y85">
        <f t="shared" si="6"/>
        <v>34111.999999999993</v>
      </c>
      <c r="AA85">
        <v>10.512714555557887</v>
      </c>
    </row>
    <row r="86" spans="1:27" x14ac:dyDescent="0.25">
      <c r="A86">
        <v>5080</v>
      </c>
      <c r="B86">
        <v>18650</v>
      </c>
      <c r="C86" s="1">
        <v>42664</v>
      </c>
      <c r="D86" s="1"/>
      <c r="E86" s="1"/>
      <c r="F86" s="60"/>
      <c r="G86">
        <v>9.8000000000000007</v>
      </c>
      <c r="H86">
        <v>5.0999999999999996</v>
      </c>
      <c r="I86">
        <v>14.8</v>
      </c>
      <c r="J86" s="14">
        <f t="shared" si="5"/>
        <v>520</v>
      </c>
      <c r="L86" s="1"/>
      <c r="M86">
        <v>0</v>
      </c>
      <c r="N86">
        <v>1.7</v>
      </c>
      <c r="O86" s="14">
        <f t="shared" si="2"/>
        <v>-1.7</v>
      </c>
      <c r="P86">
        <f t="shared" si="9"/>
        <v>10.600000000000001</v>
      </c>
      <c r="Q86">
        <v>32</v>
      </c>
      <c r="R86">
        <f t="shared" si="7"/>
        <v>0.54259259259259252</v>
      </c>
      <c r="S86" s="41">
        <f t="shared" si="3"/>
        <v>0.92240740740740723</v>
      </c>
      <c r="T86" s="41">
        <f t="shared" si="4"/>
        <v>-0.92240740740740723</v>
      </c>
      <c r="U86" s="41">
        <f t="shared" si="8"/>
        <v>17.311851851851848</v>
      </c>
      <c r="W86">
        <v>1309.8</v>
      </c>
      <c r="Y86">
        <f t="shared" si="6"/>
        <v>35421.799999999996</v>
      </c>
      <c r="AA86">
        <v>10.465006872193218</v>
      </c>
    </row>
    <row r="87" spans="1:27" x14ac:dyDescent="0.25">
      <c r="A87">
        <v>5080</v>
      </c>
      <c r="B87">
        <v>18650</v>
      </c>
      <c r="C87" s="1">
        <v>42665</v>
      </c>
      <c r="D87" s="1"/>
      <c r="E87" s="1"/>
      <c r="F87" s="60"/>
      <c r="G87">
        <v>11.2</v>
      </c>
      <c r="H87">
        <v>4.2</v>
      </c>
      <c r="I87">
        <v>17.2</v>
      </c>
      <c r="J87" s="14">
        <f t="shared" si="5"/>
        <v>531.20000000000005</v>
      </c>
      <c r="L87" s="1"/>
      <c r="M87">
        <v>0</v>
      </c>
      <c r="N87">
        <v>2.2000000000000002</v>
      </c>
      <c r="O87" s="14">
        <f t="shared" si="2"/>
        <v>-2.2000000000000002</v>
      </c>
      <c r="P87">
        <f t="shared" si="9"/>
        <v>8.4000000000000021</v>
      </c>
      <c r="Q87">
        <v>33</v>
      </c>
      <c r="R87">
        <f t="shared" si="7"/>
        <v>0.55061728395061726</v>
      </c>
      <c r="S87" s="41">
        <f t="shared" si="3"/>
        <v>1.211358024691358</v>
      </c>
      <c r="T87" s="41">
        <f t="shared" si="4"/>
        <v>-1.211358024691358</v>
      </c>
      <c r="U87" s="41">
        <f t="shared" si="8"/>
        <v>16.100493827160491</v>
      </c>
      <c r="W87">
        <v>1205.8</v>
      </c>
      <c r="Y87">
        <f t="shared" si="6"/>
        <v>36627.599999999999</v>
      </c>
      <c r="AA87">
        <v>10.417592508643724</v>
      </c>
    </row>
    <row r="88" spans="1:27" x14ac:dyDescent="0.25">
      <c r="A88">
        <v>5080</v>
      </c>
      <c r="B88">
        <v>18650</v>
      </c>
      <c r="C88" s="1">
        <v>42666</v>
      </c>
      <c r="D88" s="1"/>
      <c r="E88" s="1"/>
      <c r="F88" s="60"/>
      <c r="G88">
        <v>18</v>
      </c>
      <c r="H88">
        <v>12.8</v>
      </c>
      <c r="I88">
        <v>21.2</v>
      </c>
      <c r="J88" s="14">
        <f t="shared" si="5"/>
        <v>549.20000000000005</v>
      </c>
      <c r="L88" s="1"/>
      <c r="M88">
        <v>0</v>
      </c>
      <c r="N88">
        <v>2</v>
      </c>
      <c r="O88" s="14">
        <f t="shared" si="2"/>
        <v>-2</v>
      </c>
      <c r="P88">
        <f t="shared" si="9"/>
        <v>6.4000000000000021</v>
      </c>
      <c r="Q88">
        <v>34</v>
      </c>
      <c r="R88">
        <f t="shared" si="7"/>
        <v>0.55864197530864201</v>
      </c>
      <c r="S88" s="41">
        <f t="shared" si="3"/>
        <v>1.117283950617284</v>
      </c>
      <c r="T88" s="41">
        <f t="shared" si="4"/>
        <v>-1.117283950617284</v>
      </c>
      <c r="U88" s="41">
        <f t="shared" si="8"/>
        <v>14.983209876543206</v>
      </c>
      <c r="W88">
        <v>894.4</v>
      </c>
      <c r="Y88">
        <f t="shared" si="6"/>
        <v>37522</v>
      </c>
      <c r="AA88">
        <v>10.370484595617016</v>
      </c>
    </row>
    <row r="89" spans="1:27" x14ac:dyDescent="0.25">
      <c r="A89">
        <v>5080</v>
      </c>
      <c r="B89">
        <v>18650</v>
      </c>
      <c r="C89" s="1">
        <v>42667</v>
      </c>
      <c r="D89" s="1"/>
      <c r="E89" s="1"/>
      <c r="F89" s="60"/>
      <c r="G89">
        <v>16.7</v>
      </c>
      <c r="H89">
        <v>14.5</v>
      </c>
      <c r="I89">
        <v>19.600000000000001</v>
      </c>
      <c r="J89" s="14">
        <f t="shared" si="5"/>
        <v>565.90000000000009</v>
      </c>
      <c r="L89" s="1"/>
      <c r="M89">
        <v>9.6</v>
      </c>
      <c r="N89">
        <v>0.9</v>
      </c>
      <c r="O89" s="14">
        <f t="shared" si="2"/>
        <v>8.6999999999999993</v>
      </c>
      <c r="P89">
        <f t="shared" si="9"/>
        <v>15.100000000000001</v>
      </c>
      <c r="Q89">
        <v>35</v>
      </c>
      <c r="R89">
        <f t="shared" si="7"/>
        <v>0.56666666666666665</v>
      </c>
      <c r="S89" s="41">
        <f t="shared" si="3"/>
        <v>0.51</v>
      </c>
      <c r="T89" s="41">
        <f t="shared" si="4"/>
        <v>9.09</v>
      </c>
      <c r="U89" s="41">
        <f t="shared" si="8"/>
        <v>24.073209876543206</v>
      </c>
      <c r="W89">
        <v>325.7</v>
      </c>
      <c r="Y89">
        <f t="shared" si="6"/>
        <v>37847.699999999997</v>
      </c>
      <c r="AA89">
        <v>10.323696563655524</v>
      </c>
    </row>
    <row r="90" spans="1:27" x14ac:dyDescent="0.25">
      <c r="A90">
        <v>5080</v>
      </c>
      <c r="B90">
        <v>18650</v>
      </c>
      <c r="C90" s="1">
        <v>42668</v>
      </c>
      <c r="D90" s="1"/>
      <c r="E90" s="1"/>
      <c r="F90" s="60"/>
      <c r="G90">
        <v>15.9</v>
      </c>
      <c r="H90">
        <v>14.1</v>
      </c>
      <c r="I90">
        <v>18</v>
      </c>
      <c r="J90" s="14">
        <f t="shared" si="5"/>
        <v>581.80000000000007</v>
      </c>
      <c r="L90" s="1"/>
      <c r="M90">
        <v>0.1</v>
      </c>
      <c r="N90">
        <v>0.8</v>
      </c>
      <c r="O90" s="14">
        <f t="shared" si="2"/>
        <v>-0.70000000000000007</v>
      </c>
      <c r="P90">
        <f t="shared" si="9"/>
        <v>14.400000000000002</v>
      </c>
      <c r="Q90">
        <v>36</v>
      </c>
      <c r="R90">
        <f t="shared" si="7"/>
        <v>0.57469135802469129</v>
      </c>
      <c r="S90" s="41">
        <f t="shared" si="3"/>
        <v>0.45975308641975304</v>
      </c>
      <c r="T90" s="41">
        <f t="shared" si="4"/>
        <v>-0.35975308641975301</v>
      </c>
      <c r="U90" s="41">
        <f t="shared" si="8"/>
        <v>23.713456790123452</v>
      </c>
      <c r="W90">
        <v>364.1</v>
      </c>
      <c r="Y90">
        <f t="shared" si="6"/>
        <v>38211.799999999996</v>
      </c>
      <c r="AA90">
        <v>10.277242145507653</v>
      </c>
    </row>
    <row r="91" spans="1:27" x14ac:dyDescent="0.25">
      <c r="A91">
        <v>5080</v>
      </c>
      <c r="B91">
        <v>18650</v>
      </c>
      <c r="C91" s="1">
        <v>42669</v>
      </c>
      <c r="D91" s="1"/>
      <c r="E91" s="1"/>
      <c r="F91" s="60"/>
      <c r="G91">
        <v>15</v>
      </c>
      <c r="H91">
        <v>14.2</v>
      </c>
      <c r="I91">
        <v>16.7</v>
      </c>
      <c r="J91" s="14">
        <f t="shared" si="5"/>
        <v>596.80000000000007</v>
      </c>
      <c r="L91" s="1"/>
      <c r="M91">
        <v>0.1</v>
      </c>
      <c r="N91">
        <v>0.8</v>
      </c>
      <c r="O91" s="14">
        <f t="shared" si="2"/>
        <v>-0.70000000000000007</v>
      </c>
      <c r="P91">
        <f t="shared" si="9"/>
        <v>13.700000000000003</v>
      </c>
      <c r="Q91">
        <v>37</v>
      </c>
      <c r="R91">
        <f t="shared" si="7"/>
        <v>0.58271604938271604</v>
      </c>
      <c r="S91" s="41">
        <f t="shared" si="3"/>
        <v>0.46617283950617283</v>
      </c>
      <c r="T91" s="41">
        <f t="shared" si="4"/>
        <v>-0.36617283950617285</v>
      </c>
      <c r="U91" s="41">
        <f t="shared" si="8"/>
        <v>23.347283950617278</v>
      </c>
      <c r="W91">
        <v>323.8</v>
      </c>
      <c r="Y91">
        <f t="shared" si="6"/>
        <v>38535.599999999999</v>
      </c>
      <c r="AA91">
        <v>10.231135377677576</v>
      </c>
    </row>
    <row r="92" spans="1:27" x14ac:dyDescent="0.25">
      <c r="A92">
        <v>5080</v>
      </c>
      <c r="B92">
        <v>18650</v>
      </c>
      <c r="C92" s="1">
        <v>42670</v>
      </c>
      <c r="D92" s="1"/>
      <c r="E92" s="1"/>
      <c r="F92" s="60"/>
      <c r="G92">
        <v>10.1</v>
      </c>
      <c r="H92">
        <v>10.199999999999999</v>
      </c>
      <c r="I92">
        <v>11.5</v>
      </c>
      <c r="J92" s="14">
        <f t="shared" si="5"/>
        <v>606.90000000000009</v>
      </c>
      <c r="L92" s="1"/>
      <c r="M92">
        <v>0.4</v>
      </c>
      <c r="N92">
        <v>0.8</v>
      </c>
      <c r="O92" s="14">
        <f t="shared" si="2"/>
        <v>-0.4</v>
      </c>
      <c r="P92">
        <f t="shared" si="9"/>
        <v>13.300000000000002</v>
      </c>
      <c r="Q92">
        <v>38</v>
      </c>
      <c r="R92">
        <f t="shared" si="7"/>
        <v>0.59074074074074068</v>
      </c>
      <c r="S92" s="41">
        <f t="shared" si="3"/>
        <v>0.47259259259259256</v>
      </c>
      <c r="T92" s="41">
        <f t="shared" si="4"/>
        <v>-7.2592592592592542E-2</v>
      </c>
      <c r="U92" s="41">
        <f t="shared" si="8"/>
        <v>23.274691358024686</v>
      </c>
      <c r="W92">
        <v>338.7</v>
      </c>
      <c r="Y92">
        <f t="shared" si="6"/>
        <v>38874.299999999996</v>
      </c>
      <c r="AA92">
        <v>10.185390601110155</v>
      </c>
    </row>
    <row r="93" spans="1:27" x14ac:dyDescent="0.25">
      <c r="A93">
        <v>5080</v>
      </c>
      <c r="B93">
        <v>18650</v>
      </c>
      <c r="C93" s="1">
        <v>42671</v>
      </c>
      <c r="D93" s="1"/>
      <c r="E93" s="1"/>
      <c r="F93" s="60"/>
      <c r="G93">
        <v>8</v>
      </c>
      <c r="H93">
        <v>5.9</v>
      </c>
      <c r="I93">
        <v>9.5</v>
      </c>
      <c r="J93" s="14">
        <f t="shared" si="5"/>
        <v>614.90000000000009</v>
      </c>
      <c r="L93" s="1"/>
      <c r="M93">
        <v>0.3</v>
      </c>
      <c r="N93">
        <v>0.9</v>
      </c>
      <c r="O93" s="14">
        <f t="shared" si="2"/>
        <v>-0.60000000000000009</v>
      </c>
      <c r="P93">
        <f t="shared" si="9"/>
        <v>12.700000000000003</v>
      </c>
      <c r="Q93">
        <v>39</v>
      </c>
      <c r="R93">
        <f t="shared" si="7"/>
        <v>0.59876543209876543</v>
      </c>
      <c r="S93" s="41">
        <f t="shared" si="3"/>
        <v>0.53888888888888886</v>
      </c>
      <c r="T93" s="41">
        <f t="shared" si="4"/>
        <v>-0.23888888888888887</v>
      </c>
      <c r="U93" s="41">
        <f t="shared" si="8"/>
        <v>23.035802469135799</v>
      </c>
      <c r="W93">
        <v>303.60000000000002</v>
      </c>
      <c r="Y93">
        <f t="shared" si="6"/>
        <v>39177.899999999994</v>
      </c>
      <c r="AA93">
        <v>10.140022460967062</v>
      </c>
    </row>
    <row r="94" spans="1:27" x14ac:dyDescent="0.25">
      <c r="A94">
        <v>5080</v>
      </c>
      <c r="B94">
        <v>18650</v>
      </c>
      <c r="C94" s="1">
        <v>42672</v>
      </c>
      <c r="D94" s="1"/>
      <c r="E94" s="1"/>
      <c r="F94" s="60"/>
      <c r="G94">
        <v>9.8000000000000007</v>
      </c>
      <c r="H94">
        <v>5.7</v>
      </c>
      <c r="I94">
        <v>13.2</v>
      </c>
      <c r="J94" s="14">
        <f t="shared" si="5"/>
        <v>624.70000000000005</v>
      </c>
      <c r="L94" s="1"/>
      <c r="M94">
        <v>0</v>
      </c>
      <c r="N94">
        <v>1.6</v>
      </c>
      <c r="O94" s="14">
        <f t="shared" si="2"/>
        <v>-1.6</v>
      </c>
      <c r="P94">
        <f t="shared" si="9"/>
        <v>11.100000000000003</v>
      </c>
      <c r="Q94">
        <v>40</v>
      </c>
      <c r="R94">
        <f t="shared" si="7"/>
        <v>0.60679012345679006</v>
      </c>
      <c r="S94" s="41">
        <f t="shared" si="3"/>
        <v>0.97086419753086417</v>
      </c>
      <c r="T94" s="41">
        <f t="shared" si="4"/>
        <v>-0.97086419753086417</v>
      </c>
      <c r="U94" s="41">
        <f t="shared" si="8"/>
        <v>22.064938271604934</v>
      </c>
      <c r="W94">
        <v>832.1</v>
      </c>
      <c r="Y94">
        <f t="shared" si="6"/>
        <v>40009.999999999993</v>
      </c>
      <c r="AA94">
        <v>10.095045905449966</v>
      </c>
    </row>
    <row r="95" spans="1:27" x14ac:dyDescent="0.25">
      <c r="A95">
        <v>5080</v>
      </c>
      <c r="B95">
        <v>18650</v>
      </c>
      <c r="C95" s="1">
        <v>42673</v>
      </c>
      <c r="D95" s="1"/>
      <c r="E95" s="1"/>
      <c r="F95" s="60"/>
      <c r="G95">
        <v>11.6</v>
      </c>
      <c r="H95">
        <v>4</v>
      </c>
      <c r="I95">
        <v>18.3</v>
      </c>
      <c r="J95" s="14">
        <f t="shared" si="5"/>
        <v>636.30000000000007</v>
      </c>
      <c r="L95" s="1"/>
      <c r="M95">
        <v>0</v>
      </c>
      <c r="N95">
        <v>2.2000000000000002</v>
      </c>
      <c r="O95" s="14">
        <f t="shared" si="2"/>
        <v>-2.2000000000000002</v>
      </c>
      <c r="P95">
        <f t="shared" si="9"/>
        <v>8.9000000000000021</v>
      </c>
      <c r="Q95">
        <v>41</v>
      </c>
      <c r="R95">
        <f t="shared" si="7"/>
        <v>0.61481481481481481</v>
      </c>
      <c r="S95" s="41">
        <f t="shared" si="3"/>
        <v>1.3525925925925928</v>
      </c>
      <c r="T95" s="41">
        <f t="shared" si="4"/>
        <v>-1.3525925925925928</v>
      </c>
      <c r="U95" s="41">
        <f t="shared" si="8"/>
        <v>20.712345679012341</v>
      </c>
      <c r="W95">
        <v>1256.3</v>
      </c>
      <c r="Y95">
        <f t="shared" si="6"/>
        <v>41266.299999999996</v>
      </c>
      <c r="AA95">
        <v>10.050476183626628</v>
      </c>
    </row>
    <row r="96" spans="1:27" x14ac:dyDescent="0.25">
      <c r="A96">
        <v>5080</v>
      </c>
      <c r="B96">
        <v>18650</v>
      </c>
      <c r="C96" s="1">
        <v>42674</v>
      </c>
      <c r="D96" s="1"/>
      <c r="E96" s="1"/>
      <c r="F96" s="60"/>
      <c r="G96">
        <v>13.7</v>
      </c>
      <c r="H96">
        <v>7.3</v>
      </c>
      <c r="I96">
        <v>19.3</v>
      </c>
      <c r="J96" s="14">
        <f t="shared" si="5"/>
        <v>650.00000000000011</v>
      </c>
      <c r="L96" s="1"/>
      <c r="M96">
        <v>0.1</v>
      </c>
      <c r="N96">
        <v>2.6</v>
      </c>
      <c r="O96" s="14">
        <f t="shared" si="2"/>
        <v>-2.5</v>
      </c>
      <c r="P96">
        <f t="shared" si="9"/>
        <v>6.4000000000000021</v>
      </c>
      <c r="Q96">
        <v>42</v>
      </c>
      <c r="R96">
        <f t="shared" si="7"/>
        <v>0.62283950617283945</v>
      </c>
      <c r="S96" s="41">
        <f t="shared" si="3"/>
        <v>1.6193827160493826</v>
      </c>
      <c r="T96" s="41">
        <f t="shared" si="4"/>
        <v>-1.5193827160493825</v>
      </c>
      <c r="U96" s="41">
        <f t="shared" si="8"/>
        <v>19.192962962962959</v>
      </c>
      <c r="W96">
        <v>1255.2</v>
      </c>
      <c r="Y96">
        <f t="shared" si="6"/>
        <v>42521.499999999993</v>
      </c>
      <c r="AA96">
        <v>10.00632884221598</v>
      </c>
    </row>
    <row r="97" spans="1:27" x14ac:dyDescent="0.25">
      <c r="A97">
        <v>5080</v>
      </c>
      <c r="B97">
        <v>18650</v>
      </c>
      <c r="C97" s="1">
        <v>42675</v>
      </c>
      <c r="D97" s="1"/>
      <c r="E97" s="1"/>
      <c r="F97" s="60"/>
      <c r="G97">
        <v>14.2</v>
      </c>
      <c r="H97">
        <v>8.6</v>
      </c>
      <c r="I97">
        <v>21</v>
      </c>
      <c r="J97" s="14">
        <f t="shared" si="5"/>
        <v>664.20000000000016</v>
      </c>
      <c r="L97" s="1"/>
      <c r="M97">
        <v>0.1</v>
      </c>
      <c r="N97">
        <v>2.4</v>
      </c>
      <c r="O97" s="14">
        <f t="shared" si="2"/>
        <v>-2.2999999999999998</v>
      </c>
      <c r="P97">
        <f t="shared" si="9"/>
        <v>4.1000000000000023</v>
      </c>
      <c r="Q97">
        <v>43</v>
      </c>
      <c r="R97">
        <f t="shared" si="7"/>
        <v>0.6308641975308642</v>
      </c>
      <c r="S97" s="41">
        <f t="shared" si="3"/>
        <v>1.5140740740740741</v>
      </c>
      <c r="T97" s="41">
        <f t="shared" si="4"/>
        <v>-1.414074074074074</v>
      </c>
      <c r="U97" s="41">
        <f t="shared" si="8"/>
        <v>17.778888888888886</v>
      </c>
      <c r="W97">
        <v>1205.7</v>
      </c>
      <c r="Y97">
        <f t="shared" si="6"/>
        <v>43727.19999999999</v>
      </c>
      <c r="AA97">
        <v>9.9626197212889096</v>
      </c>
    </row>
    <row r="98" spans="1:27" x14ac:dyDescent="0.25">
      <c r="A98">
        <v>5080</v>
      </c>
      <c r="B98">
        <v>18650</v>
      </c>
      <c r="C98" s="1">
        <v>42676</v>
      </c>
      <c r="D98" s="1"/>
      <c r="E98" s="1"/>
      <c r="F98" s="60"/>
      <c r="G98">
        <v>12.9</v>
      </c>
      <c r="H98">
        <v>6.8</v>
      </c>
      <c r="I98">
        <v>19</v>
      </c>
      <c r="J98" s="14">
        <f t="shared" si="5"/>
        <v>677.10000000000014</v>
      </c>
      <c r="L98" s="1"/>
      <c r="M98">
        <v>0.2</v>
      </c>
      <c r="N98">
        <v>1.8</v>
      </c>
      <c r="O98" s="14">
        <f t="shared" si="2"/>
        <v>-1.6</v>
      </c>
      <c r="P98">
        <f t="shared" si="9"/>
        <v>2.5000000000000022</v>
      </c>
      <c r="Q98">
        <v>44</v>
      </c>
      <c r="R98">
        <f t="shared" si="7"/>
        <v>0.63888888888888884</v>
      </c>
      <c r="S98" s="41">
        <f t="shared" si="3"/>
        <v>1.1499999999999999</v>
      </c>
      <c r="T98" s="41">
        <f t="shared" si="4"/>
        <v>-0.95</v>
      </c>
      <c r="U98" s="41">
        <f t="shared" si="8"/>
        <v>16.828888888888887</v>
      </c>
      <c r="W98">
        <v>1086.2</v>
      </c>
      <c r="Y98">
        <f t="shared" si="6"/>
        <v>44813.399999999987</v>
      </c>
      <c r="AA98">
        <v>9.9193649488421478</v>
      </c>
    </row>
    <row r="99" spans="1:27" x14ac:dyDescent="0.25">
      <c r="A99">
        <v>5080</v>
      </c>
      <c r="B99">
        <v>18650</v>
      </c>
      <c r="C99" s="1">
        <v>42677</v>
      </c>
      <c r="D99" s="1"/>
      <c r="E99" s="1"/>
      <c r="F99" s="60"/>
      <c r="G99">
        <v>9.9</v>
      </c>
      <c r="H99">
        <v>9.4</v>
      </c>
      <c r="I99">
        <v>10.8</v>
      </c>
      <c r="J99" s="14">
        <f t="shared" si="5"/>
        <v>687.00000000000011</v>
      </c>
      <c r="L99" s="1"/>
      <c r="M99">
        <v>0</v>
      </c>
      <c r="N99">
        <v>0.7</v>
      </c>
      <c r="O99" s="14">
        <f t="shared" si="2"/>
        <v>-0.7</v>
      </c>
      <c r="P99">
        <f t="shared" si="9"/>
        <v>1.8000000000000023</v>
      </c>
      <c r="Q99">
        <v>45</v>
      </c>
      <c r="R99">
        <f t="shared" si="7"/>
        <v>0.64691358024691348</v>
      </c>
      <c r="S99" s="41">
        <f t="shared" si="3"/>
        <v>0.45283950617283941</v>
      </c>
      <c r="T99" s="41">
        <f t="shared" si="4"/>
        <v>-0.45283950617283941</v>
      </c>
      <c r="U99" s="41">
        <f t="shared" si="8"/>
        <v>16.376049382716047</v>
      </c>
      <c r="W99">
        <v>307.89999999999998</v>
      </c>
      <c r="Y99">
        <f t="shared" si="6"/>
        <v>45121.299999999988</v>
      </c>
      <c r="AA99">
        <v>9.8765809342039912</v>
      </c>
    </row>
    <row r="100" spans="1:27" x14ac:dyDescent="0.25">
      <c r="A100">
        <v>5080</v>
      </c>
      <c r="B100">
        <v>18650</v>
      </c>
      <c r="C100" s="1">
        <v>42678</v>
      </c>
      <c r="D100" s="1"/>
      <c r="E100" s="1"/>
      <c r="F100" s="60"/>
      <c r="G100">
        <v>11.9</v>
      </c>
      <c r="H100">
        <v>6.3</v>
      </c>
      <c r="I100">
        <v>16.8</v>
      </c>
      <c r="J100" s="14">
        <f t="shared" si="5"/>
        <v>698.90000000000009</v>
      </c>
      <c r="L100" s="1"/>
      <c r="M100">
        <v>2.1</v>
      </c>
      <c r="N100">
        <v>0.8</v>
      </c>
      <c r="O100" s="14">
        <f t="shared" si="2"/>
        <v>1.3</v>
      </c>
      <c r="P100">
        <f t="shared" si="9"/>
        <v>3.1000000000000023</v>
      </c>
      <c r="Q100">
        <v>46</v>
      </c>
      <c r="R100">
        <f t="shared" si="7"/>
        <v>0.65493827160493823</v>
      </c>
      <c r="S100" s="41">
        <f t="shared" si="3"/>
        <v>0.52395061728395065</v>
      </c>
      <c r="T100" s="41">
        <f t="shared" si="4"/>
        <v>1.5760493827160493</v>
      </c>
      <c r="U100" s="41">
        <f t="shared" si="8"/>
        <v>17.952098765432098</v>
      </c>
      <c r="W100">
        <v>422.6</v>
      </c>
      <c r="Y100">
        <f t="shared" si="6"/>
        <v>45543.899999999987</v>
      </c>
      <c r="AA100">
        <v>9.8342843602319885</v>
      </c>
    </row>
    <row r="101" spans="1:27" x14ac:dyDescent="0.25">
      <c r="A101">
        <v>5080</v>
      </c>
      <c r="B101">
        <v>18650</v>
      </c>
      <c r="C101" s="1">
        <v>42679</v>
      </c>
      <c r="D101" s="1"/>
      <c r="E101" s="1"/>
      <c r="F101" s="60"/>
      <c r="G101">
        <v>11.2</v>
      </c>
      <c r="H101">
        <v>10.6</v>
      </c>
      <c r="I101">
        <v>12.3</v>
      </c>
      <c r="J101" s="14">
        <f t="shared" si="5"/>
        <v>710.10000000000014</v>
      </c>
      <c r="L101" s="1"/>
      <c r="M101">
        <v>8</v>
      </c>
      <c r="N101">
        <v>0.7</v>
      </c>
      <c r="O101" s="14">
        <f t="shared" si="2"/>
        <v>7.3</v>
      </c>
      <c r="P101">
        <f t="shared" si="9"/>
        <v>10.400000000000002</v>
      </c>
      <c r="Q101">
        <v>47</v>
      </c>
      <c r="R101">
        <f t="shared" si="7"/>
        <v>0.66296296296296298</v>
      </c>
      <c r="S101" s="41">
        <f t="shared" si="3"/>
        <v>0.46407407407407403</v>
      </c>
      <c r="T101" s="41">
        <f t="shared" si="4"/>
        <v>7.5359259259259259</v>
      </c>
      <c r="U101" s="41">
        <f t="shared" si="8"/>
        <v>25.488024691358024</v>
      </c>
      <c r="W101">
        <v>156.19999999999999</v>
      </c>
      <c r="Y101">
        <f t="shared" si="6"/>
        <v>45700.099999999984</v>
      </c>
      <c r="AA101">
        <v>9.7924921742647815</v>
      </c>
    </row>
    <row r="102" spans="1:27" x14ac:dyDescent="0.25">
      <c r="A102">
        <v>5080</v>
      </c>
      <c r="B102">
        <v>18650</v>
      </c>
      <c r="C102" s="1">
        <v>42680</v>
      </c>
      <c r="D102" s="1"/>
      <c r="E102" s="1"/>
      <c r="F102" s="60"/>
      <c r="G102">
        <v>7.7</v>
      </c>
      <c r="H102">
        <v>6.2</v>
      </c>
      <c r="I102">
        <v>10</v>
      </c>
      <c r="J102" s="14">
        <f t="shared" si="5"/>
        <v>717.80000000000018</v>
      </c>
      <c r="L102" s="1"/>
      <c r="M102">
        <v>2.4</v>
      </c>
      <c r="N102">
        <v>0.8</v>
      </c>
      <c r="O102" s="14">
        <f t="shared" si="2"/>
        <v>1.5999999999999999</v>
      </c>
      <c r="P102">
        <f t="shared" si="9"/>
        <v>12.000000000000002</v>
      </c>
      <c r="Q102">
        <v>48</v>
      </c>
      <c r="R102">
        <f t="shared" si="7"/>
        <v>0.67098765432098761</v>
      </c>
      <c r="S102" s="41">
        <f t="shared" si="3"/>
        <v>0.53679012345679011</v>
      </c>
      <c r="T102" s="41">
        <f t="shared" si="4"/>
        <v>1.8632098765432099</v>
      </c>
      <c r="U102" s="41">
        <f t="shared" si="8"/>
        <v>27.351234567901233</v>
      </c>
      <c r="W102">
        <v>375.6</v>
      </c>
      <c r="Y102">
        <f t="shared" si="6"/>
        <v>46075.699999999983</v>
      </c>
      <c r="AA102">
        <v>9.7512215777924069</v>
      </c>
    </row>
    <row r="103" spans="1:27" x14ac:dyDescent="0.25">
      <c r="A103">
        <v>5080</v>
      </c>
      <c r="B103">
        <v>18650</v>
      </c>
      <c r="C103" s="1">
        <v>42681</v>
      </c>
      <c r="D103" s="1"/>
      <c r="E103" s="1"/>
      <c r="F103" s="60"/>
      <c r="G103">
        <v>6.4</v>
      </c>
      <c r="H103">
        <v>4.9000000000000004</v>
      </c>
      <c r="I103">
        <v>7.8</v>
      </c>
      <c r="J103" s="14">
        <f t="shared" si="5"/>
        <v>724.20000000000016</v>
      </c>
      <c r="L103" s="1"/>
      <c r="M103">
        <v>0.1</v>
      </c>
      <c r="N103">
        <v>0.6</v>
      </c>
      <c r="O103" s="14">
        <f t="shared" si="2"/>
        <v>-0.5</v>
      </c>
      <c r="P103">
        <f t="shared" si="9"/>
        <v>11.500000000000002</v>
      </c>
      <c r="Q103">
        <v>49</v>
      </c>
      <c r="R103">
        <f t="shared" si="7"/>
        <v>0.67901234567901236</v>
      </c>
      <c r="S103" s="41">
        <f t="shared" si="3"/>
        <v>0.40740740740740738</v>
      </c>
      <c r="T103" s="41">
        <f t="shared" si="4"/>
        <v>-0.30740740740740735</v>
      </c>
      <c r="U103" s="41">
        <f t="shared" si="8"/>
        <v>27.043827160493827</v>
      </c>
      <c r="W103">
        <v>332.3</v>
      </c>
      <c r="Y103">
        <f t="shared" si="6"/>
        <v>46407.999999999985</v>
      </c>
      <c r="AA103">
        <v>9.7104900148123274</v>
      </c>
    </row>
    <row r="104" spans="1:27" x14ac:dyDescent="0.25">
      <c r="A104">
        <v>5080</v>
      </c>
      <c r="B104">
        <v>18650</v>
      </c>
      <c r="C104" s="1">
        <v>42682</v>
      </c>
      <c r="D104" s="1"/>
      <c r="E104" s="1"/>
      <c r="F104" s="60"/>
      <c r="G104">
        <v>7.5</v>
      </c>
      <c r="H104">
        <v>5.2</v>
      </c>
      <c r="I104">
        <v>8.9</v>
      </c>
      <c r="J104" s="14">
        <f t="shared" si="5"/>
        <v>731.70000000000016</v>
      </c>
      <c r="L104" s="1"/>
      <c r="M104">
        <v>5.7</v>
      </c>
      <c r="N104">
        <v>1</v>
      </c>
      <c r="O104" s="14">
        <f t="shared" si="2"/>
        <v>4.7</v>
      </c>
      <c r="P104">
        <f t="shared" si="9"/>
        <v>16.200000000000003</v>
      </c>
      <c r="Q104">
        <v>50</v>
      </c>
      <c r="R104">
        <f t="shared" si="7"/>
        <v>0.687037037037037</v>
      </c>
      <c r="S104" s="41">
        <f t="shared" si="3"/>
        <v>0.687037037037037</v>
      </c>
      <c r="T104" s="41">
        <f t="shared" si="4"/>
        <v>5.0129629629629635</v>
      </c>
      <c r="U104" s="41">
        <f t="shared" si="8"/>
        <v>32.056790123456793</v>
      </c>
      <c r="W104">
        <v>624.5</v>
      </c>
      <c r="Y104">
        <f t="shared" si="6"/>
        <v>47032.499999999985</v>
      </c>
      <c r="AA104">
        <v>9.6703151588414968</v>
      </c>
    </row>
    <row r="105" spans="1:27" x14ac:dyDescent="0.25">
      <c r="A105">
        <v>5080</v>
      </c>
      <c r="B105">
        <v>18650</v>
      </c>
      <c r="C105" s="1">
        <v>42683</v>
      </c>
      <c r="D105" s="1"/>
      <c r="E105" s="1"/>
      <c r="F105" s="60"/>
      <c r="G105">
        <v>10.3</v>
      </c>
      <c r="H105">
        <v>8</v>
      </c>
      <c r="I105">
        <v>13.3</v>
      </c>
      <c r="J105" s="14">
        <f t="shared" si="5"/>
        <v>742.00000000000011</v>
      </c>
      <c r="L105" s="1"/>
      <c r="M105">
        <v>4.4000000000000004</v>
      </c>
      <c r="N105">
        <v>1.4</v>
      </c>
      <c r="O105" s="14">
        <f t="shared" si="2"/>
        <v>3.0000000000000004</v>
      </c>
      <c r="P105">
        <f t="shared" si="9"/>
        <v>19.200000000000003</v>
      </c>
      <c r="Q105">
        <v>51</v>
      </c>
      <c r="R105">
        <f t="shared" si="7"/>
        <v>0.69506172839506175</v>
      </c>
      <c r="S105" s="41">
        <f t="shared" si="3"/>
        <v>0.97308641975308641</v>
      </c>
      <c r="T105" s="41">
        <f t="shared" si="4"/>
        <v>3.4269135802469139</v>
      </c>
      <c r="U105" s="41">
        <f t="shared" si="8"/>
        <v>35.483703703703704</v>
      </c>
      <c r="W105">
        <v>480.8</v>
      </c>
      <c r="Y105">
        <f t="shared" si="6"/>
        <v>47513.299999999988</v>
      </c>
      <c r="AA105">
        <v>9.6307148985585336</v>
      </c>
    </row>
    <row r="106" spans="1:27" x14ac:dyDescent="0.25">
      <c r="A106">
        <v>5080</v>
      </c>
      <c r="B106">
        <v>18650</v>
      </c>
      <c r="C106" s="1">
        <v>42684</v>
      </c>
      <c r="D106" s="1"/>
      <c r="E106" s="1"/>
      <c r="F106" s="60"/>
      <c r="G106">
        <v>11.2</v>
      </c>
      <c r="H106">
        <v>9.6999999999999993</v>
      </c>
      <c r="I106">
        <v>13.2</v>
      </c>
      <c r="J106" s="14">
        <f t="shared" si="5"/>
        <v>753.20000000000016</v>
      </c>
      <c r="L106" s="1"/>
      <c r="M106">
        <v>10.8</v>
      </c>
      <c r="N106">
        <v>1</v>
      </c>
      <c r="O106" s="14">
        <f t="shared" si="2"/>
        <v>9.8000000000000007</v>
      </c>
      <c r="P106">
        <f t="shared" si="9"/>
        <v>29.000000000000004</v>
      </c>
      <c r="Q106">
        <v>52</v>
      </c>
      <c r="R106">
        <f t="shared" si="7"/>
        <v>0.70308641975308639</v>
      </c>
      <c r="S106" s="41">
        <f t="shared" si="3"/>
        <v>0.70308641975308639</v>
      </c>
      <c r="T106" s="41">
        <f t="shared" si="4"/>
        <v>10.096913580246914</v>
      </c>
      <c r="U106" s="41">
        <f t="shared" si="8"/>
        <v>45.580617283950616</v>
      </c>
      <c r="W106">
        <v>284.5</v>
      </c>
      <c r="Y106">
        <f t="shared" si="6"/>
        <v>47797.799999999988</v>
      </c>
      <c r="AA106">
        <v>9.5917073220541358</v>
      </c>
    </row>
    <row r="107" spans="1:27" x14ac:dyDescent="0.25">
      <c r="A107">
        <v>5080</v>
      </c>
      <c r="B107">
        <v>18650</v>
      </c>
      <c r="C107" s="1">
        <v>42685</v>
      </c>
      <c r="D107" s="1"/>
      <c r="E107" s="1"/>
      <c r="F107" s="60"/>
      <c r="G107">
        <v>11.7</v>
      </c>
      <c r="H107">
        <v>10.8</v>
      </c>
      <c r="I107">
        <v>12.7</v>
      </c>
      <c r="J107" s="14">
        <f t="shared" si="5"/>
        <v>764.9000000000002</v>
      </c>
      <c r="L107" s="1"/>
      <c r="M107">
        <v>1.4</v>
      </c>
      <c r="N107">
        <v>0.9</v>
      </c>
      <c r="O107" s="14">
        <f t="shared" si="2"/>
        <v>0.49999999999999989</v>
      </c>
      <c r="P107">
        <f t="shared" si="9"/>
        <v>29.500000000000004</v>
      </c>
      <c r="Q107">
        <v>53</v>
      </c>
      <c r="R107">
        <f t="shared" si="7"/>
        <v>0.71111111111111114</v>
      </c>
      <c r="S107" s="41">
        <f t="shared" si="3"/>
        <v>0.64</v>
      </c>
      <c r="T107" s="41">
        <f t="shared" si="4"/>
        <v>0.7599999999999999</v>
      </c>
      <c r="U107" s="41">
        <f t="shared" si="8"/>
        <v>46.340617283950614</v>
      </c>
      <c r="W107">
        <v>521</v>
      </c>
      <c r="Y107">
        <f t="shared" si="6"/>
        <v>48318.799999999988</v>
      </c>
      <c r="AA107">
        <v>9.5533106996726485</v>
      </c>
    </row>
    <row r="108" spans="1:27" x14ac:dyDescent="0.25">
      <c r="A108">
        <v>5080</v>
      </c>
      <c r="B108">
        <v>18650</v>
      </c>
      <c r="C108" s="1">
        <v>42686</v>
      </c>
      <c r="D108" s="1"/>
      <c r="E108" s="1"/>
      <c r="F108" s="60"/>
      <c r="G108">
        <v>11.2</v>
      </c>
      <c r="H108">
        <v>8.6999999999999993</v>
      </c>
      <c r="I108">
        <v>14.2</v>
      </c>
      <c r="J108" s="14">
        <f t="shared" si="5"/>
        <v>776.10000000000025</v>
      </c>
      <c r="L108" s="1"/>
      <c r="M108">
        <v>2.6</v>
      </c>
      <c r="N108">
        <v>1</v>
      </c>
      <c r="O108" s="14">
        <f t="shared" si="2"/>
        <v>1.6</v>
      </c>
      <c r="P108">
        <f t="shared" si="9"/>
        <v>31.100000000000005</v>
      </c>
      <c r="Q108">
        <v>54</v>
      </c>
      <c r="R108">
        <f t="shared" si="7"/>
        <v>0.71913580246913578</v>
      </c>
      <c r="S108" s="41">
        <f t="shared" si="3"/>
        <v>0.71913580246913578</v>
      </c>
      <c r="T108" s="41">
        <f t="shared" si="4"/>
        <v>1.8808641975308644</v>
      </c>
      <c r="U108" s="41">
        <f t="shared" si="8"/>
        <v>48.221481481481476</v>
      </c>
      <c r="W108">
        <v>807.8</v>
      </c>
      <c r="Y108">
        <f t="shared" si="6"/>
        <v>49126.599999999991</v>
      </c>
      <c r="AA108">
        <v>9.5155434654326907</v>
      </c>
    </row>
    <row r="109" spans="1:27" x14ac:dyDescent="0.25">
      <c r="A109">
        <v>5080</v>
      </c>
      <c r="B109">
        <v>18650</v>
      </c>
      <c r="C109" s="1">
        <v>42687</v>
      </c>
      <c r="D109" s="1"/>
      <c r="E109" s="1"/>
      <c r="F109" s="60"/>
      <c r="G109">
        <v>11.4</v>
      </c>
      <c r="H109">
        <v>9.6999999999999993</v>
      </c>
      <c r="I109">
        <v>14.2</v>
      </c>
      <c r="J109" s="14">
        <f t="shared" si="5"/>
        <v>787.50000000000023</v>
      </c>
      <c r="L109" s="1"/>
      <c r="M109">
        <v>9.6</v>
      </c>
      <c r="N109">
        <v>0.7</v>
      </c>
      <c r="O109" s="14">
        <f t="shared" si="2"/>
        <v>8.9</v>
      </c>
      <c r="P109">
        <f t="shared" si="9"/>
        <v>40.000000000000007</v>
      </c>
      <c r="Q109">
        <v>55</v>
      </c>
      <c r="R109">
        <f t="shared" si="7"/>
        <v>0.72716049382716053</v>
      </c>
      <c r="S109" s="41">
        <f t="shared" si="3"/>
        <v>0.50901234567901232</v>
      </c>
      <c r="T109" s="41">
        <f t="shared" si="4"/>
        <v>9.0909876543209869</v>
      </c>
      <c r="U109" s="41">
        <f t="shared" si="8"/>
        <v>57.312469135802459</v>
      </c>
      <c r="W109">
        <v>172</v>
      </c>
      <c r="Y109">
        <f t="shared" si="6"/>
        <v>49298.599999999991</v>
      </c>
      <c r="AA109">
        <v>9.4784241970205709</v>
      </c>
    </row>
    <row r="110" spans="1:27" x14ac:dyDescent="0.25">
      <c r="A110">
        <v>5080</v>
      </c>
      <c r="B110">
        <v>18650</v>
      </c>
      <c r="C110" s="1">
        <v>42688</v>
      </c>
      <c r="D110" s="1"/>
      <c r="E110" s="1"/>
      <c r="F110" s="60"/>
      <c r="G110">
        <v>9.6999999999999993</v>
      </c>
      <c r="H110">
        <v>9.5</v>
      </c>
      <c r="I110">
        <v>10.3</v>
      </c>
      <c r="J110" s="14">
        <f t="shared" si="5"/>
        <v>797.20000000000027</v>
      </c>
      <c r="L110" s="1"/>
      <c r="M110">
        <v>0</v>
      </c>
      <c r="N110">
        <v>0.9</v>
      </c>
      <c r="O110" s="14">
        <f t="shared" si="2"/>
        <v>-0.9</v>
      </c>
      <c r="P110">
        <f t="shared" si="9"/>
        <v>39.100000000000009</v>
      </c>
      <c r="Q110">
        <v>56</v>
      </c>
      <c r="R110">
        <f t="shared" si="7"/>
        <v>0.73518518518518516</v>
      </c>
      <c r="S110" s="41">
        <f t="shared" si="3"/>
        <v>0.66166666666666663</v>
      </c>
      <c r="T110" s="41">
        <f t="shared" si="4"/>
        <v>-0.66166666666666663</v>
      </c>
      <c r="U110" s="41">
        <f t="shared" si="8"/>
        <v>56.65080246913579</v>
      </c>
      <c r="W110">
        <v>359.4</v>
      </c>
      <c r="Y110">
        <f t="shared" si="6"/>
        <v>49657.999999999993</v>
      </c>
      <c r="AA110">
        <v>9.4419715943563212</v>
      </c>
    </row>
    <row r="111" spans="1:27" x14ac:dyDescent="0.25">
      <c r="A111">
        <v>5080</v>
      </c>
      <c r="B111">
        <v>18650</v>
      </c>
      <c r="C111" s="1">
        <v>42689</v>
      </c>
      <c r="D111" s="1"/>
      <c r="E111" s="1"/>
      <c r="F111" s="60"/>
      <c r="G111">
        <v>8.3000000000000007</v>
      </c>
      <c r="H111">
        <v>7</v>
      </c>
      <c r="I111">
        <v>9.9</v>
      </c>
      <c r="J111" s="14">
        <f t="shared" si="5"/>
        <v>805.50000000000023</v>
      </c>
      <c r="L111" s="1"/>
      <c r="M111">
        <v>0</v>
      </c>
      <c r="N111">
        <v>0.9</v>
      </c>
      <c r="O111" s="14">
        <f t="shared" si="2"/>
        <v>-0.9</v>
      </c>
      <c r="P111">
        <f t="shared" si="9"/>
        <v>38.20000000000001</v>
      </c>
      <c r="Q111">
        <v>57</v>
      </c>
      <c r="R111">
        <f t="shared" si="7"/>
        <v>0.7432098765432098</v>
      </c>
      <c r="S111" s="41">
        <f t="shared" si="3"/>
        <v>0.66888888888888887</v>
      </c>
      <c r="T111" s="41">
        <f t="shared" si="4"/>
        <v>-0.66888888888888887</v>
      </c>
      <c r="U111" s="41">
        <f t="shared" si="8"/>
        <v>55.981913580246903</v>
      </c>
      <c r="W111">
        <v>391.2</v>
      </c>
      <c r="Y111">
        <f t="shared" si="6"/>
        <v>50049.19999999999</v>
      </c>
      <c r="AA111">
        <v>9.4062044567388838</v>
      </c>
    </row>
    <row r="112" spans="1:27" x14ac:dyDescent="0.25">
      <c r="A112">
        <v>5080</v>
      </c>
      <c r="B112">
        <v>18650</v>
      </c>
      <c r="C112" s="1">
        <v>42690</v>
      </c>
      <c r="D112" s="1"/>
      <c r="E112" s="1"/>
      <c r="F112" s="60"/>
      <c r="G112">
        <v>10.4</v>
      </c>
      <c r="H112">
        <v>8.1</v>
      </c>
      <c r="I112">
        <v>12</v>
      </c>
      <c r="J112" s="14">
        <f t="shared" si="5"/>
        <v>815.9000000000002</v>
      </c>
      <c r="L112" s="1"/>
      <c r="M112">
        <v>0</v>
      </c>
      <c r="N112">
        <v>0.5</v>
      </c>
      <c r="O112" s="14">
        <f t="shared" si="2"/>
        <v>-0.5</v>
      </c>
      <c r="P112">
        <f t="shared" si="9"/>
        <v>37.70000000000001</v>
      </c>
      <c r="Q112">
        <v>58</v>
      </c>
      <c r="R112">
        <f t="shared" si="7"/>
        <v>0.75123456790123455</v>
      </c>
      <c r="S112" s="41">
        <f t="shared" si="3"/>
        <v>0.37561728395061728</v>
      </c>
      <c r="T112" s="41">
        <f t="shared" si="4"/>
        <v>-0.37561728395061728</v>
      </c>
      <c r="U112" s="41">
        <f t="shared" si="8"/>
        <v>55.606296296296286</v>
      </c>
      <c r="W112">
        <v>200.9</v>
      </c>
      <c r="Y112">
        <f t="shared" si="6"/>
        <v>50250.099999999991</v>
      </c>
      <c r="AA112">
        <v>9.3711416585841771</v>
      </c>
    </row>
    <row r="113" spans="1:27" x14ac:dyDescent="0.25">
      <c r="A113">
        <v>5080</v>
      </c>
      <c r="B113">
        <v>18650</v>
      </c>
      <c r="C113" s="1">
        <v>42691</v>
      </c>
      <c r="D113" s="1"/>
      <c r="E113" s="1"/>
      <c r="F113" s="60"/>
      <c r="G113">
        <v>11.5</v>
      </c>
      <c r="H113">
        <v>9.9</v>
      </c>
      <c r="I113">
        <v>15.2</v>
      </c>
      <c r="J113" s="14">
        <f t="shared" si="5"/>
        <v>827.4000000000002</v>
      </c>
      <c r="L113" s="1"/>
      <c r="M113">
        <v>0.2</v>
      </c>
      <c r="N113">
        <v>1.5</v>
      </c>
      <c r="O113" s="14">
        <f t="shared" si="2"/>
        <v>-1.3</v>
      </c>
      <c r="P113">
        <f t="shared" si="9"/>
        <v>36.400000000000013</v>
      </c>
      <c r="Q113">
        <v>59</v>
      </c>
      <c r="R113">
        <f t="shared" si="7"/>
        <v>0.7592592592592593</v>
      </c>
      <c r="S113" s="41">
        <f t="shared" si="3"/>
        <v>1.1388888888888888</v>
      </c>
      <c r="T113" s="41">
        <f t="shared" si="4"/>
        <v>-0.93888888888888888</v>
      </c>
      <c r="U113" s="41">
        <f t="shared" si="8"/>
        <v>54.667407407407396</v>
      </c>
      <c r="W113">
        <v>752.1</v>
      </c>
      <c r="Y113">
        <f t="shared" si="6"/>
        <v>51002.19999999999</v>
      </c>
      <c r="AA113">
        <v>9.3368021237774173</v>
      </c>
    </row>
    <row r="114" spans="1:27" x14ac:dyDescent="0.25">
      <c r="A114">
        <v>5080</v>
      </c>
      <c r="B114">
        <v>18650</v>
      </c>
      <c r="C114" s="1">
        <v>42692</v>
      </c>
      <c r="D114" s="1"/>
      <c r="E114" s="1"/>
      <c r="F114" s="60"/>
      <c r="G114">
        <v>11.4</v>
      </c>
      <c r="H114">
        <v>9.5</v>
      </c>
      <c r="I114">
        <v>12.8</v>
      </c>
      <c r="J114" s="14">
        <f t="shared" si="5"/>
        <v>838.80000000000018</v>
      </c>
      <c r="L114" s="1"/>
      <c r="M114">
        <v>1.6</v>
      </c>
      <c r="N114">
        <v>0.5</v>
      </c>
      <c r="O114" s="14">
        <f t="shared" si="2"/>
        <v>1.1000000000000001</v>
      </c>
      <c r="P114">
        <f t="shared" si="9"/>
        <v>37.500000000000014</v>
      </c>
      <c r="Q114">
        <v>60</v>
      </c>
      <c r="R114">
        <f t="shared" si="7"/>
        <v>0.76728395061728394</v>
      </c>
      <c r="S114" s="41">
        <f t="shared" si="3"/>
        <v>0.38364197530864197</v>
      </c>
      <c r="T114" s="41">
        <f t="shared" si="4"/>
        <v>1.2163580246913581</v>
      </c>
      <c r="U114" s="41">
        <f t="shared" si="8"/>
        <v>55.883765432098755</v>
      </c>
      <c r="W114">
        <v>283</v>
      </c>
      <c r="Y114">
        <f t="shared" si="6"/>
        <v>51285.19999999999</v>
      </c>
      <c r="AA114">
        <v>9.3032047986692135</v>
      </c>
    </row>
    <row r="115" spans="1:27" x14ac:dyDescent="0.25">
      <c r="A115">
        <v>5080</v>
      </c>
      <c r="B115">
        <v>18650</v>
      </c>
      <c r="C115" s="1">
        <v>42693</v>
      </c>
      <c r="D115" s="1"/>
      <c r="E115" s="1"/>
      <c r="F115" s="60"/>
      <c r="G115">
        <v>10.3</v>
      </c>
      <c r="H115">
        <v>8.9</v>
      </c>
      <c r="I115">
        <v>12.4</v>
      </c>
      <c r="J115" s="14">
        <f t="shared" si="5"/>
        <v>849.10000000000014</v>
      </c>
      <c r="L115" s="1"/>
      <c r="M115">
        <v>0</v>
      </c>
      <c r="N115">
        <v>1.1000000000000001</v>
      </c>
      <c r="O115" s="14">
        <f t="shared" si="2"/>
        <v>-1.1000000000000001</v>
      </c>
      <c r="P115">
        <f t="shared" si="9"/>
        <v>36.400000000000013</v>
      </c>
      <c r="Q115">
        <v>61</v>
      </c>
      <c r="R115">
        <f t="shared" si="7"/>
        <v>0.77530864197530858</v>
      </c>
      <c r="S115" s="41">
        <f t="shared" si="3"/>
        <v>0.85283950617283955</v>
      </c>
      <c r="T115" s="41">
        <f t="shared" si="4"/>
        <v>-0.85283950617283955</v>
      </c>
      <c r="U115" s="41">
        <f t="shared" si="8"/>
        <v>55.030925925925914</v>
      </c>
      <c r="W115">
        <v>620.9</v>
      </c>
      <c r="Y115">
        <f t="shared" si="6"/>
        <v>51906.099999999991</v>
      </c>
      <c r="AA115">
        <v>9.2703686237534093</v>
      </c>
    </row>
    <row r="116" spans="1:27" x14ac:dyDescent="0.25">
      <c r="A116">
        <v>5080</v>
      </c>
      <c r="B116">
        <v>18650</v>
      </c>
      <c r="C116" s="1">
        <v>42694</v>
      </c>
      <c r="D116" s="1"/>
      <c r="E116" s="1"/>
      <c r="F116" s="60"/>
      <c r="G116">
        <v>12.3</v>
      </c>
      <c r="H116">
        <v>8.3000000000000007</v>
      </c>
      <c r="I116">
        <v>16.399999999999999</v>
      </c>
      <c r="J116" s="14">
        <f t="shared" si="5"/>
        <v>861.40000000000009</v>
      </c>
      <c r="L116" s="1"/>
      <c r="M116">
        <v>0</v>
      </c>
      <c r="N116">
        <v>1.9</v>
      </c>
      <c r="O116" s="14">
        <f t="shared" si="2"/>
        <v>-1.9</v>
      </c>
      <c r="P116">
        <f t="shared" si="9"/>
        <v>34.500000000000014</v>
      </c>
      <c r="Q116">
        <v>62</v>
      </c>
      <c r="R116">
        <f t="shared" si="7"/>
        <v>0.78333333333333333</v>
      </c>
      <c r="S116" s="41">
        <f t="shared" si="3"/>
        <v>1.4883333333333333</v>
      </c>
      <c r="T116" s="41">
        <f t="shared" si="4"/>
        <v>-1.4883333333333333</v>
      </c>
      <c r="U116" s="41">
        <f t="shared" si="8"/>
        <v>53.542592592592584</v>
      </c>
      <c r="W116">
        <v>885.7</v>
      </c>
      <c r="Y116">
        <f t="shared" si="6"/>
        <v>52791.799999999988</v>
      </c>
      <c r="AA116">
        <v>9.2383125040736385</v>
      </c>
    </row>
    <row r="117" spans="1:27" x14ac:dyDescent="0.25">
      <c r="A117">
        <v>5080</v>
      </c>
      <c r="B117">
        <v>18650</v>
      </c>
      <c r="C117" s="1">
        <v>42695</v>
      </c>
      <c r="D117" s="1"/>
      <c r="E117" s="1"/>
      <c r="F117" s="60"/>
      <c r="G117">
        <v>12.7</v>
      </c>
      <c r="H117">
        <v>10.3</v>
      </c>
      <c r="I117">
        <v>16.2</v>
      </c>
      <c r="J117" s="14">
        <f t="shared" si="5"/>
        <v>874.10000000000014</v>
      </c>
      <c r="L117" s="1"/>
      <c r="M117">
        <v>2.6</v>
      </c>
      <c r="N117">
        <v>0.9</v>
      </c>
      <c r="O117" s="14">
        <f t="shared" si="2"/>
        <v>1.7000000000000002</v>
      </c>
      <c r="P117">
        <f t="shared" si="9"/>
        <v>36.200000000000017</v>
      </c>
      <c r="Q117">
        <v>63</v>
      </c>
      <c r="R117">
        <f t="shared" si="7"/>
        <v>0.79135802469135808</v>
      </c>
      <c r="S117" s="41">
        <f t="shared" si="3"/>
        <v>0.71222222222222231</v>
      </c>
      <c r="T117" s="41">
        <f t="shared" si="4"/>
        <v>1.8877777777777778</v>
      </c>
      <c r="U117" s="41">
        <f t="shared" si="8"/>
        <v>55.430370370370362</v>
      </c>
      <c r="W117">
        <v>311.7</v>
      </c>
      <c r="Y117">
        <f t="shared" si="6"/>
        <v>53103.499999999985</v>
      </c>
      <c r="AA117">
        <v>9.2070552784147051</v>
      </c>
    </row>
    <row r="118" spans="1:27" x14ac:dyDescent="0.25">
      <c r="A118">
        <v>5080</v>
      </c>
      <c r="B118">
        <v>18650</v>
      </c>
      <c r="C118" s="1">
        <v>42696</v>
      </c>
      <c r="D118" s="1"/>
      <c r="E118" s="1"/>
      <c r="F118" s="60"/>
      <c r="G118">
        <v>10.8</v>
      </c>
      <c r="H118">
        <v>9.5</v>
      </c>
      <c r="I118">
        <v>12.7</v>
      </c>
      <c r="J118" s="14">
        <f t="shared" si="5"/>
        <v>884.90000000000009</v>
      </c>
      <c r="L118" s="1"/>
      <c r="M118">
        <v>1.3</v>
      </c>
      <c r="N118">
        <v>0.6</v>
      </c>
      <c r="O118" s="14">
        <f t="shared" si="2"/>
        <v>0.70000000000000007</v>
      </c>
      <c r="P118">
        <f t="shared" si="9"/>
        <v>36.90000000000002</v>
      </c>
      <c r="Q118">
        <v>64</v>
      </c>
      <c r="R118">
        <f t="shared" si="7"/>
        <v>0.79938271604938271</v>
      </c>
      <c r="S118" s="41">
        <f t="shared" si="3"/>
        <v>0.47962962962962963</v>
      </c>
      <c r="T118" s="41">
        <f t="shared" si="4"/>
        <v>0.82037037037037042</v>
      </c>
      <c r="U118" s="41">
        <f t="shared" si="8"/>
        <v>56.250740740740731</v>
      </c>
      <c r="W118">
        <v>143.69999999999999</v>
      </c>
      <c r="Y118">
        <f t="shared" si="6"/>
        <v>53247.199999999983</v>
      </c>
      <c r="AA118">
        <v>9.1766156873444036</v>
      </c>
    </row>
    <row r="119" spans="1:27" x14ac:dyDescent="0.25">
      <c r="A119">
        <v>5080</v>
      </c>
      <c r="B119">
        <v>18650</v>
      </c>
      <c r="C119" s="1">
        <v>42697</v>
      </c>
      <c r="D119" s="1"/>
      <c r="E119" s="1"/>
      <c r="F119" s="60"/>
      <c r="G119">
        <v>9.5</v>
      </c>
      <c r="H119">
        <v>7.8</v>
      </c>
      <c r="I119">
        <v>10.7</v>
      </c>
      <c r="J119" s="14">
        <f t="shared" si="5"/>
        <v>894.40000000000009</v>
      </c>
      <c r="L119" s="1"/>
      <c r="M119">
        <v>20.5</v>
      </c>
      <c r="N119">
        <v>0.3</v>
      </c>
      <c r="O119" s="14">
        <f t="shared" si="2"/>
        <v>20.2</v>
      </c>
      <c r="P119">
        <f t="shared" si="9"/>
        <v>57.100000000000023</v>
      </c>
      <c r="Q119">
        <v>65</v>
      </c>
      <c r="R119">
        <f t="shared" si="7"/>
        <v>0.80740740740740735</v>
      </c>
      <c r="S119" s="41">
        <f t="shared" si="3"/>
        <v>0.2422222222222222</v>
      </c>
      <c r="T119" s="41">
        <f t="shared" si="4"/>
        <v>20.257777777777779</v>
      </c>
      <c r="U119" s="41">
        <f t="shared" si="8"/>
        <v>76.508518518518514</v>
      </c>
      <c r="W119">
        <v>133.5</v>
      </c>
      <c r="Y119">
        <f t="shared" si="6"/>
        <v>53380.699999999983</v>
      </c>
      <c r="AA119">
        <v>9.1470123401811332</v>
      </c>
    </row>
    <row r="120" spans="1:27" x14ac:dyDescent="0.25">
      <c r="A120">
        <v>5080</v>
      </c>
      <c r="B120">
        <v>18650</v>
      </c>
      <c r="C120" s="1">
        <v>42698</v>
      </c>
      <c r="D120" s="1"/>
      <c r="E120" s="1"/>
      <c r="F120" s="60"/>
      <c r="G120">
        <v>9.6</v>
      </c>
      <c r="H120">
        <v>8.5</v>
      </c>
      <c r="I120">
        <v>10.4</v>
      </c>
      <c r="J120" s="14">
        <f t="shared" si="5"/>
        <v>904.00000000000011</v>
      </c>
      <c r="L120" s="1"/>
      <c r="M120">
        <v>0</v>
      </c>
      <c r="N120">
        <v>0.4</v>
      </c>
      <c r="O120" s="14">
        <f t="shared" ref="O120:O183" si="10">M120-N120</f>
        <v>-0.4</v>
      </c>
      <c r="P120">
        <f t="shared" si="9"/>
        <v>56.700000000000024</v>
      </c>
      <c r="Q120">
        <v>66</v>
      </c>
      <c r="R120">
        <f t="shared" si="7"/>
        <v>0.81543209876543199</v>
      </c>
      <c r="S120" s="41">
        <f t="shared" ref="S120:S183" si="11">R120*N120</f>
        <v>0.32617283950617282</v>
      </c>
      <c r="T120" s="41">
        <f t="shared" ref="T120:T183" si="12">M120-S120</f>
        <v>-0.32617283950617282</v>
      </c>
      <c r="U120" s="41">
        <f t="shared" si="8"/>
        <v>76.182345679012343</v>
      </c>
      <c r="W120">
        <v>292.39999999999998</v>
      </c>
      <c r="Y120">
        <f t="shared" si="6"/>
        <v>53673.099999999984</v>
      </c>
      <c r="AA120">
        <v>9.1182636809723761</v>
      </c>
    </row>
    <row r="121" spans="1:27" x14ac:dyDescent="0.25">
      <c r="A121">
        <v>5080</v>
      </c>
      <c r="B121">
        <v>18650</v>
      </c>
      <c r="C121" s="1">
        <v>42699</v>
      </c>
      <c r="D121" s="1"/>
      <c r="E121" s="1"/>
      <c r="F121" s="60"/>
      <c r="G121">
        <v>8.9</v>
      </c>
      <c r="H121">
        <v>7.5</v>
      </c>
      <c r="I121">
        <v>13</v>
      </c>
      <c r="J121" s="14">
        <f t="shared" ref="J121:J184" si="13">J120+G121</f>
        <v>912.90000000000009</v>
      </c>
      <c r="L121" s="1"/>
      <c r="M121">
        <v>0.1</v>
      </c>
      <c r="N121">
        <v>1</v>
      </c>
      <c r="O121" s="14">
        <f t="shared" si="10"/>
        <v>-0.9</v>
      </c>
      <c r="P121">
        <f t="shared" si="9"/>
        <v>55.800000000000026</v>
      </c>
      <c r="Q121">
        <v>67</v>
      </c>
      <c r="R121">
        <f t="shared" si="7"/>
        <v>0.82345679012345685</v>
      </c>
      <c r="S121" s="41">
        <f t="shared" si="11"/>
        <v>0.82345679012345685</v>
      </c>
      <c r="T121" s="41">
        <f t="shared" si="12"/>
        <v>-0.72345679012345687</v>
      </c>
      <c r="U121" s="41">
        <f t="shared" si="8"/>
        <v>75.458888888888893</v>
      </c>
      <c r="W121">
        <v>731.8</v>
      </c>
      <c r="Y121">
        <f t="shared" ref="Y121:Y184" si="14">Y120+W121</f>
        <v>54404.899999999987</v>
      </c>
      <c r="AA121">
        <v>9.0903879535790377</v>
      </c>
    </row>
    <row r="122" spans="1:27" x14ac:dyDescent="0.25">
      <c r="A122">
        <v>5080</v>
      </c>
      <c r="B122">
        <v>18650</v>
      </c>
      <c r="C122" s="1">
        <v>42700</v>
      </c>
      <c r="D122" s="1"/>
      <c r="E122" s="1"/>
      <c r="F122" s="60"/>
      <c r="G122">
        <v>5.9</v>
      </c>
      <c r="H122">
        <v>0.7</v>
      </c>
      <c r="I122">
        <v>10.7</v>
      </c>
      <c r="J122" s="14">
        <f t="shared" si="13"/>
        <v>918.80000000000007</v>
      </c>
      <c r="L122" s="1"/>
      <c r="M122">
        <v>0.1</v>
      </c>
      <c r="N122">
        <v>0.2</v>
      </c>
      <c r="O122" s="14">
        <f t="shared" si="10"/>
        <v>-0.1</v>
      </c>
      <c r="P122">
        <f t="shared" si="9"/>
        <v>55.700000000000024</v>
      </c>
      <c r="Q122">
        <v>68</v>
      </c>
      <c r="R122">
        <f t="shared" si="7"/>
        <v>0.83148148148148149</v>
      </c>
      <c r="S122" s="41">
        <f t="shared" si="11"/>
        <v>0.1662962962962963</v>
      </c>
      <c r="T122" s="41">
        <f t="shared" si="12"/>
        <v>-6.6296296296296298E-2</v>
      </c>
      <c r="U122" s="41">
        <f t="shared" si="8"/>
        <v>75.392592592592592</v>
      </c>
      <c r="W122">
        <v>302.8</v>
      </c>
      <c r="Y122">
        <f t="shared" si="14"/>
        <v>54707.69999999999</v>
      </c>
      <c r="AA122">
        <v>9.0634031659703655</v>
      </c>
    </row>
    <row r="123" spans="1:27" x14ac:dyDescent="0.25">
      <c r="A123">
        <v>5080</v>
      </c>
      <c r="B123">
        <v>18650</v>
      </c>
      <c r="C123" s="1">
        <v>42701</v>
      </c>
      <c r="D123" s="1"/>
      <c r="E123" s="1"/>
      <c r="F123" s="60"/>
      <c r="G123">
        <v>9.4</v>
      </c>
      <c r="H123">
        <v>6</v>
      </c>
      <c r="I123">
        <v>14.9</v>
      </c>
      <c r="J123" s="14">
        <f t="shared" si="13"/>
        <v>928.2</v>
      </c>
      <c r="L123" s="1"/>
      <c r="M123">
        <v>0.2</v>
      </c>
      <c r="N123">
        <v>1.4</v>
      </c>
      <c r="O123" s="14">
        <f t="shared" si="10"/>
        <v>-1.2</v>
      </c>
      <c r="P123">
        <f t="shared" si="9"/>
        <v>54.500000000000021</v>
      </c>
      <c r="Q123">
        <v>69</v>
      </c>
      <c r="R123">
        <f t="shared" si="7"/>
        <v>0.83950617283950613</v>
      </c>
      <c r="S123" s="41">
        <f t="shared" si="11"/>
        <v>1.1753086419753085</v>
      </c>
      <c r="T123" s="41">
        <f t="shared" si="12"/>
        <v>-0.97530864197530853</v>
      </c>
      <c r="U123" s="41">
        <f t="shared" si="8"/>
        <v>74.417283950617289</v>
      </c>
      <c r="W123">
        <v>716.8</v>
      </c>
      <c r="Y123">
        <f t="shared" si="14"/>
        <v>55424.499999999993</v>
      </c>
      <c r="AA123">
        <v>9.0373270538438479</v>
      </c>
    </row>
    <row r="124" spans="1:27" x14ac:dyDescent="0.25">
      <c r="A124">
        <v>5080</v>
      </c>
      <c r="B124">
        <v>18650</v>
      </c>
      <c r="C124" s="1">
        <v>42702</v>
      </c>
      <c r="D124" s="1"/>
      <c r="E124" s="1"/>
      <c r="F124" s="60"/>
      <c r="G124">
        <v>6.1</v>
      </c>
      <c r="H124">
        <v>5.3</v>
      </c>
      <c r="I124">
        <v>6.9</v>
      </c>
      <c r="J124" s="14">
        <f t="shared" si="13"/>
        <v>934.30000000000007</v>
      </c>
      <c r="L124" s="1"/>
      <c r="M124">
        <v>0.1</v>
      </c>
      <c r="N124">
        <v>0.3</v>
      </c>
      <c r="O124" s="14">
        <f t="shared" si="10"/>
        <v>-0.19999999999999998</v>
      </c>
      <c r="P124">
        <f t="shared" si="9"/>
        <v>54.300000000000018</v>
      </c>
      <c r="Q124">
        <v>70</v>
      </c>
      <c r="R124">
        <f t="shared" si="7"/>
        <v>0.84753086419753076</v>
      </c>
      <c r="S124" s="41">
        <f t="shared" si="11"/>
        <v>0.25425925925925924</v>
      </c>
      <c r="T124" s="41">
        <f t="shared" si="12"/>
        <v>-0.15425925925925923</v>
      </c>
      <c r="U124" s="41">
        <f t="shared" si="8"/>
        <v>74.263024691358027</v>
      </c>
      <c r="W124">
        <v>127.2</v>
      </c>
      <c r="Y124">
        <f t="shared" si="14"/>
        <v>55551.69999999999</v>
      </c>
      <c r="AA124">
        <v>9.0121770436938338</v>
      </c>
    </row>
    <row r="125" spans="1:27" x14ac:dyDescent="0.25">
      <c r="A125">
        <v>5080</v>
      </c>
      <c r="B125">
        <v>18650</v>
      </c>
      <c r="C125" s="1">
        <v>42703</v>
      </c>
      <c r="D125" s="1"/>
      <c r="E125" s="1" t="s">
        <v>59</v>
      </c>
      <c r="F125" s="60"/>
      <c r="G125">
        <v>7.5</v>
      </c>
      <c r="H125">
        <v>5.3</v>
      </c>
      <c r="I125">
        <v>9.9</v>
      </c>
      <c r="J125" s="14">
        <f t="shared" si="13"/>
        <v>941.80000000000007</v>
      </c>
      <c r="L125" s="1"/>
      <c r="M125">
        <v>0</v>
      </c>
      <c r="N125">
        <v>0.5</v>
      </c>
      <c r="O125" s="14">
        <f t="shared" si="10"/>
        <v>-0.5</v>
      </c>
      <c r="P125">
        <f t="shared" si="9"/>
        <v>53.800000000000018</v>
      </c>
      <c r="Q125">
        <v>71</v>
      </c>
      <c r="R125">
        <f t="shared" si="7"/>
        <v>0.85555555555555551</v>
      </c>
      <c r="S125" s="41">
        <f t="shared" si="11"/>
        <v>0.42777777777777776</v>
      </c>
      <c r="T125" s="41">
        <f t="shared" si="12"/>
        <v>-0.42777777777777776</v>
      </c>
      <c r="U125" s="41">
        <f t="shared" si="8"/>
        <v>73.835246913580249</v>
      </c>
      <c r="W125">
        <v>226.7</v>
      </c>
      <c r="Y125">
        <f t="shared" si="14"/>
        <v>55778.399999999987</v>
      </c>
      <c r="AA125" s="46">
        <v>8.9879702154616385</v>
      </c>
    </row>
    <row r="126" spans="1:27" x14ac:dyDescent="0.25">
      <c r="A126">
        <v>5080</v>
      </c>
      <c r="B126">
        <v>18650</v>
      </c>
      <c r="C126" s="1">
        <v>42704</v>
      </c>
      <c r="D126" s="1"/>
      <c r="E126" s="1"/>
      <c r="F126" s="60"/>
      <c r="G126">
        <v>8.6999999999999993</v>
      </c>
      <c r="H126">
        <v>5.8</v>
      </c>
      <c r="I126">
        <v>13.5</v>
      </c>
      <c r="J126" s="14">
        <f t="shared" si="13"/>
        <v>950.50000000000011</v>
      </c>
      <c r="L126" s="1"/>
      <c r="M126">
        <v>0</v>
      </c>
      <c r="N126">
        <v>1.6</v>
      </c>
      <c r="O126" s="14">
        <f t="shared" si="10"/>
        <v>-1.6</v>
      </c>
      <c r="P126">
        <f t="shared" si="9"/>
        <v>52.200000000000017</v>
      </c>
      <c r="Q126">
        <v>72</v>
      </c>
      <c r="R126">
        <f t="shared" si="7"/>
        <v>0.86358024691358026</v>
      </c>
      <c r="S126" s="41">
        <f t="shared" si="11"/>
        <v>1.3817283950617285</v>
      </c>
      <c r="T126" s="41">
        <f t="shared" si="12"/>
        <v>-1.3817283950617285</v>
      </c>
      <c r="U126" s="41">
        <f t="shared" si="8"/>
        <v>72.453518518518521</v>
      </c>
      <c r="W126">
        <v>899.8</v>
      </c>
      <c r="Y126">
        <f t="shared" si="14"/>
        <v>56678.19999999999</v>
      </c>
      <c r="AA126" s="46">
        <v>8.9647232649083719</v>
      </c>
    </row>
    <row r="127" spans="1:27" x14ac:dyDescent="0.25">
      <c r="A127">
        <v>5080</v>
      </c>
      <c r="B127">
        <v>18650</v>
      </c>
      <c r="C127" s="1">
        <v>42705</v>
      </c>
      <c r="D127" s="1"/>
      <c r="E127" s="1"/>
      <c r="F127" s="60"/>
      <c r="G127">
        <v>5.6</v>
      </c>
      <c r="H127">
        <v>2</v>
      </c>
      <c r="I127">
        <v>10.8</v>
      </c>
      <c r="J127" s="14">
        <f t="shared" si="13"/>
        <v>956.10000000000014</v>
      </c>
      <c r="L127" s="1"/>
      <c r="M127">
        <v>0.2</v>
      </c>
      <c r="N127">
        <v>1.2</v>
      </c>
      <c r="O127" s="14">
        <f t="shared" si="10"/>
        <v>-1</v>
      </c>
      <c r="P127">
        <f t="shared" si="9"/>
        <v>51.200000000000017</v>
      </c>
      <c r="Q127">
        <v>73</v>
      </c>
      <c r="R127">
        <f t="shared" si="7"/>
        <v>0.8716049382716049</v>
      </c>
      <c r="S127" s="41">
        <f t="shared" si="11"/>
        <v>1.0459259259259259</v>
      </c>
      <c r="T127" s="41">
        <f t="shared" si="12"/>
        <v>-0.84592592592592597</v>
      </c>
      <c r="U127" s="41">
        <f t="shared" si="8"/>
        <v>71.607592592592596</v>
      </c>
      <c r="W127">
        <v>883.4</v>
      </c>
      <c r="Y127">
        <f t="shared" si="14"/>
        <v>57561.599999999991</v>
      </c>
      <c r="AA127" s="46">
        <v>8.9424524658597502</v>
      </c>
    </row>
    <row r="128" spans="1:27" x14ac:dyDescent="0.25">
      <c r="A128">
        <v>5080</v>
      </c>
      <c r="B128">
        <v>18650</v>
      </c>
      <c r="C128" s="1">
        <v>42706</v>
      </c>
      <c r="D128" s="1"/>
      <c r="E128" s="48">
        <v>1</v>
      </c>
      <c r="F128" s="60"/>
      <c r="G128">
        <v>2</v>
      </c>
      <c r="H128">
        <v>-0.4</v>
      </c>
      <c r="I128">
        <v>5.6</v>
      </c>
      <c r="J128" s="14">
        <f t="shared" si="13"/>
        <v>958.10000000000014</v>
      </c>
      <c r="L128" s="1"/>
      <c r="M128">
        <v>0.2</v>
      </c>
      <c r="N128">
        <v>1</v>
      </c>
      <c r="O128" s="14">
        <f t="shared" si="10"/>
        <v>-0.8</v>
      </c>
      <c r="P128">
        <f t="shared" si="9"/>
        <v>50.40000000000002</v>
      </c>
      <c r="Q128">
        <v>74</v>
      </c>
      <c r="R128">
        <f t="shared" ref="R128:R142" si="15">0.35+((Q128-8)/81)*(1-0.35)</f>
        <v>0.87962962962962965</v>
      </c>
      <c r="S128" s="41">
        <f t="shared" si="11"/>
        <v>0.87962962962962965</v>
      </c>
      <c r="T128" s="41">
        <f t="shared" si="12"/>
        <v>-0.67962962962962958</v>
      </c>
      <c r="U128" s="41">
        <f t="shared" si="8"/>
        <v>70.927962962962965</v>
      </c>
      <c r="W128">
        <v>555.9</v>
      </c>
      <c r="Y128">
        <f t="shared" si="14"/>
        <v>58117.499999999993</v>
      </c>
      <c r="AA128" s="46">
        <v>8.921173632479162</v>
      </c>
    </row>
    <row r="129" spans="1:28" x14ac:dyDescent="0.25">
      <c r="A129">
        <v>5080</v>
      </c>
      <c r="B129">
        <v>18650</v>
      </c>
      <c r="C129" s="1">
        <v>42707</v>
      </c>
      <c r="D129" s="1"/>
      <c r="E129" s="14"/>
      <c r="F129" s="60"/>
      <c r="G129">
        <v>5.2</v>
      </c>
      <c r="H129">
        <v>-2</v>
      </c>
      <c r="I129">
        <v>10.5</v>
      </c>
      <c r="J129" s="14">
        <f t="shared" si="13"/>
        <v>963.30000000000018</v>
      </c>
      <c r="L129" s="1"/>
      <c r="M129">
        <v>0.1</v>
      </c>
      <c r="N129">
        <v>1</v>
      </c>
      <c r="O129" s="14">
        <f t="shared" si="10"/>
        <v>-0.9</v>
      </c>
      <c r="P129">
        <f t="shared" si="9"/>
        <v>49.500000000000021</v>
      </c>
      <c r="Q129">
        <v>75</v>
      </c>
      <c r="R129">
        <f t="shared" si="15"/>
        <v>0.88765432098765429</v>
      </c>
      <c r="S129" s="41">
        <f t="shared" si="11"/>
        <v>0.88765432098765429</v>
      </c>
      <c r="T129" s="41">
        <f t="shared" si="12"/>
        <v>-0.78765432098765431</v>
      </c>
      <c r="U129" s="41">
        <f t="shared" si="8"/>
        <v>70.140308641975309</v>
      </c>
      <c r="W129">
        <v>809.3</v>
      </c>
      <c r="Y129">
        <f t="shared" si="14"/>
        <v>58926.799999999996</v>
      </c>
      <c r="AA129" s="46">
        <v>8.9009020817318181</v>
      </c>
    </row>
    <row r="130" spans="1:28" x14ac:dyDescent="0.25">
      <c r="A130">
        <v>5080</v>
      </c>
      <c r="B130">
        <v>18650</v>
      </c>
      <c r="C130" s="1">
        <v>42708</v>
      </c>
      <c r="D130" s="1"/>
      <c r="E130" s="14"/>
      <c r="F130" s="60"/>
      <c r="G130">
        <v>12.1</v>
      </c>
      <c r="H130">
        <v>7.8</v>
      </c>
      <c r="I130">
        <v>15.2</v>
      </c>
      <c r="J130" s="14">
        <f t="shared" si="13"/>
        <v>975.4000000000002</v>
      </c>
      <c r="L130" s="1"/>
      <c r="M130">
        <v>0</v>
      </c>
      <c r="N130">
        <v>1.3</v>
      </c>
      <c r="O130" s="14">
        <f t="shared" si="10"/>
        <v>-1.3</v>
      </c>
      <c r="P130">
        <f t="shared" si="9"/>
        <v>48.200000000000024</v>
      </c>
      <c r="Q130">
        <v>76</v>
      </c>
      <c r="R130">
        <f t="shared" si="15"/>
        <v>0.89567901234567893</v>
      </c>
      <c r="S130" s="41">
        <f t="shared" si="11"/>
        <v>1.1643827160493827</v>
      </c>
      <c r="T130" s="41">
        <f t="shared" si="12"/>
        <v>-1.1643827160493827</v>
      </c>
      <c r="U130" s="41">
        <f t="shared" ref="U130:U193" si="16">MIN(U129+T130,157.8)</f>
        <v>68.975925925925921</v>
      </c>
      <c r="W130">
        <v>700.9</v>
      </c>
      <c r="Y130">
        <f t="shared" si="14"/>
        <v>59627.7</v>
      </c>
      <c r="AA130" s="46">
        <v>8.8816525962080419</v>
      </c>
    </row>
    <row r="131" spans="1:28" x14ac:dyDescent="0.25">
      <c r="A131">
        <v>5080</v>
      </c>
      <c r="B131">
        <v>18650</v>
      </c>
      <c r="C131" s="1">
        <v>42709</v>
      </c>
      <c r="D131" s="1"/>
      <c r="E131" s="14"/>
      <c r="F131" s="60"/>
      <c r="G131">
        <v>11.7</v>
      </c>
      <c r="H131">
        <v>10.5</v>
      </c>
      <c r="I131">
        <v>15.6</v>
      </c>
      <c r="J131" s="14">
        <f t="shared" si="13"/>
        <v>987.10000000000025</v>
      </c>
      <c r="L131" s="1"/>
      <c r="M131">
        <v>0</v>
      </c>
      <c r="N131">
        <v>1.7</v>
      </c>
      <c r="O131" s="14">
        <f t="shared" si="10"/>
        <v>-1.7</v>
      </c>
      <c r="P131">
        <f t="shared" si="9"/>
        <v>46.500000000000021</v>
      </c>
      <c r="Q131">
        <v>77</v>
      </c>
      <c r="R131">
        <f t="shared" si="15"/>
        <v>0.90370370370370368</v>
      </c>
      <c r="S131" s="41">
        <f t="shared" si="11"/>
        <v>1.5362962962962963</v>
      </c>
      <c r="T131" s="41">
        <f t="shared" si="12"/>
        <v>-1.5362962962962963</v>
      </c>
      <c r="U131" s="41">
        <f t="shared" si="16"/>
        <v>67.439629629629621</v>
      </c>
      <c r="W131">
        <v>623.6</v>
      </c>
      <c r="Y131">
        <f t="shared" si="14"/>
        <v>60251.299999999996</v>
      </c>
      <c r="AA131" s="46">
        <v>8.8634393874782145</v>
      </c>
    </row>
    <row r="132" spans="1:28" x14ac:dyDescent="0.25">
      <c r="A132">
        <v>5080</v>
      </c>
      <c r="B132">
        <v>18650</v>
      </c>
      <c r="C132" s="1">
        <v>42710</v>
      </c>
      <c r="D132" s="1"/>
      <c r="E132" s="14"/>
      <c r="F132" s="60"/>
      <c r="G132">
        <v>8.3000000000000007</v>
      </c>
      <c r="H132">
        <v>4.3</v>
      </c>
      <c r="I132">
        <v>12</v>
      </c>
      <c r="J132" s="14">
        <f t="shared" si="13"/>
        <v>995.4000000000002</v>
      </c>
      <c r="L132" s="1"/>
      <c r="M132">
        <v>0.2</v>
      </c>
      <c r="N132">
        <v>1.1000000000000001</v>
      </c>
      <c r="O132" s="14">
        <f t="shared" si="10"/>
        <v>-0.90000000000000013</v>
      </c>
      <c r="P132">
        <f t="shared" si="9"/>
        <v>45.600000000000023</v>
      </c>
      <c r="Q132">
        <v>78</v>
      </c>
      <c r="R132">
        <f t="shared" si="15"/>
        <v>0.91172839506172831</v>
      </c>
      <c r="S132" s="41">
        <f t="shared" si="11"/>
        <v>1.0029012345679011</v>
      </c>
      <c r="T132" s="41">
        <f t="shared" si="12"/>
        <v>-0.80290123456790119</v>
      </c>
      <c r="U132" s="41">
        <f t="shared" si="16"/>
        <v>66.636728395061724</v>
      </c>
      <c r="W132">
        <v>827.6</v>
      </c>
      <c r="Y132">
        <f t="shared" si="14"/>
        <v>61078.899999999994</v>
      </c>
      <c r="AA132" s="46">
        <v>8.8462760601549899</v>
      </c>
    </row>
    <row r="133" spans="1:28" x14ac:dyDescent="0.25">
      <c r="A133">
        <v>5080</v>
      </c>
      <c r="B133">
        <v>18650</v>
      </c>
      <c r="C133" s="1">
        <v>42711</v>
      </c>
      <c r="D133" s="1"/>
      <c r="E133" s="14"/>
      <c r="F133" s="60"/>
      <c r="G133">
        <v>8.3000000000000007</v>
      </c>
      <c r="H133">
        <v>3.3</v>
      </c>
      <c r="I133">
        <v>12.1</v>
      </c>
      <c r="J133" s="14">
        <f t="shared" si="13"/>
        <v>1003.7000000000002</v>
      </c>
      <c r="L133" s="1"/>
      <c r="M133">
        <v>0</v>
      </c>
      <c r="N133">
        <v>1.1000000000000001</v>
      </c>
      <c r="O133" s="14">
        <f t="shared" si="10"/>
        <v>-1.1000000000000001</v>
      </c>
      <c r="P133">
        <f t="shared" si="9"/>
        <v>44.500000000000021</v>
      </c>
      <c r="Q133">
        <v>79</v>
      </c>
      <c r="R133">
        <f t="shared" si="15"/>
        <v>0.91975308641975306</v>
      </c>
      <c r="S133" s="41">
        <f t="shared" si="11"/>
        <v>1.0117283950617284</v>
      </c>
      <c r="T133" s="41">
        <f t="shared" si="12"/>
        <v>-1.0117283950617284</v>
      </c>
      <c r="U133" s="41">
        <f t="shared" si="16"/>
        <v>65.625</v>
      </c>
      <c r="W133">
        <v>768.2</v>
      </c>
      <c r="Y133">
        <f t="shared" si="14"/>
        <v>61847.099999999991</v>
      </c>
      <c r="AA133" s="46">
        <v>8.8301755768403378</v>
      </c>
    </row>
    <row r="134" spans="1:28" x14ac:dyDescent="0.25">
      <c r="A134">
        <v>5080</v>
      </c>
      <c r="B134">
        <v>18650</v>
      </c>
      <c r="C134" s="1">
        <v>42712</v>
      </c>
      <c r="D134" s="1"/>
      <c r="E134" s="14"/>
      <c r="F134" s="60"/>
      <c r="G134">
        <v>9.1</v>
      </c>
      <c r="H134">
        <v>3.3</v>
      </c>
      <c r="I134">
        <v>13.3</v>
      </c>
      <c r="J134" s="14">
        <f t="shared" si="13"/>
        <v>1012.8000000000002</v>
      </c>
      <c r="L134" s="1"/>
      <c r="M134">
        <v>0.1</v>
      </c>
      <c r="N134">
        <v>1.1000000000000001</v>
      </c>
      <c r="O134" s="14">
        <f t="shared" si="10"/>
        <v>-1</v>
      </c>
      <c r="P134">
        <f t="shared" si="9"/>
        <v>43.500000000000021</v>
      </c>
      <c r="Q134">
        <v>80</v>
      </c>
      <c r="R134">
        <f t="shared" si="15"/>
        <v>0.9277777777777777</v>
      </c>
      <c r="S134" s="41">
        <f t="shared" si="11"/>
        <v>1.0205555555555557</v>
      </c>
      <c r="T134" s="41">
        <f t="shared" si="12"/>
        <v>-0.92055555555555568</v>
      </c>
      <c r="U134" s="41">
        <f t="shared" si="16"/>
        <v>64.704444444444448</v>
      </c>
      <c r="W134">
        <v>842.1</v>
      </c>
      <c r="Y134">
        <f t="shared" si="14"/>
        <v>62689.19999999999</v>
      </c>
      <c r="AA134" s="46">
        <v>8.8151502241355253</v>
      </c>
    </row>
    <row r="135" spans="1:28" x14ac:dyDescent="0.25">
      <c r="A135">
        <v>5080</v>
      </c>
      <c r="B135">
        <v>18650</v>
      </c>
      <c r="C135" s="1">
        <v>42713</v>
      </c>
      <c r="D135" s="1"/>
      <c r="E135" s="14"/>
      <c r="F135" s="60"/>
      <c r="G135">
        <v>8.6</v>
      </c>
      <c r="H135">
        <v>4.8</v>
      </c>
      <c r="I135">
        <v>13.8</v>
      </c>
      <c r="J135" s="14">
        <f t="shared" si="13"/>
        <v>1021.4000000000002</v>
      </c>
      <c r="L135" s="1"/>
      <c r="M135">
        <v>0.1</v>
      </c>
      <c r="N135">
        <v>1.1000000000000001</v>
      </c>
      <c r="O135" s="14">
        <f t="shared" si="10"/>
        <v>-1</v>
      </c>
      <c r="P135">
        <f t="shared" si="9"/>
        <v>42.500000000000021</v>
      </c>
      <c r="Q135">
        <v>81</v>
      </c>
      <c r="R135">
        <f t="shared" si="15"/>
        <v>0.93580246913580245</v>
      </c>
      <c r="S135" s="41">
        <f t="shared" si="11"/>
        <v>1.0293827160493827</v>
      </c>
      <c r="T135" s="41">
        <f t="shared" si="12"/>
        <v>-0.92938271604938272</v>
      </c>
      <c r="U135" s="41">
        <f t="shared" si="16"/>
        <v>63.775061728395066</v>
      </c>
      <c r="W135">
        <v>720.2</v>
      </c>
      <c r="Y135">
        <f t="shared" si="14"/>
        <v>63409.399999999987</v>
      </c>
      <c r="AA135" s="46">
        <v>8.8012115798913388</v>
      </c>
    </row>
    <row r="136" spans="1:28" x14ac:dyDescent="0.25">
      <c r="A136">
        <v>5080</v>
      </c>
      <c r="B136">
        <v>18650</v>
      </c>
      <c r="C136" s="1">
        <v>42714</v>
      </c>
      <c r="D136" s="1"/>
      <c r="E136" s="14"/>
      <c r="F136" s="60"/>
      <c r="G136">
        <v>6</v>
      </c>
      <c r="H136">
        <v>5.3</v>
      </c>
      <c r="I136">
        <v>7</v>
      </c>
      <c r="J136" s="14">
        <f t="shared" si="13"/>
        <v>1027.4000000000001</v>
      </c>
      <c r="L136" s="1"/>
      <c r="M136">
        <v>0.2</v>
      </c>
      <c r="N136">
        <v>0.8</v>
      </c>
      <c r="O136" s="14">
        <f t="shared" si="10"/>
        <v>-0.60000000000000009</v>
      </c>
      <c r="P136">
        <f t="shared" si="9"/>
        <v>41.90000000000002</v>
      </c>
      <c r="Q136">
        <v>82</v>
      </c>
      <c r="R136">
        <f t="shared" si="15"/>
        <v>0.94382716049382709</v>
      </c>
      <c r="S136" s="41">
        <f t="shared" si="11"/>
        <v>0.75506172839506169</v>
      </c>
      <c r="T136" s="41">
        <f t="shared" si="12"/>
        <v>-0.55506172839506163</v>
      </c>
      <c r="U136" s="41">
        <f t="shared" si="16"/>
        <v>63.220000000000006</v>
      </c>
      <c r="W136">
        <v>432.5</v>
      </c>
      <c r="Y136">
        <f t="shared" si="14"/>
        <v>63841.899999999987</v>
      </c>
      <c r="AA136" s="46">
        <v>8.7883704818734891</v>
      </c>
    </row>
    <row r="137" spans="1:28" x14ac:dyDescent="0.25">
      <c r="A137">
        <v>5080</v>
      </c>
      <c r="B137">
        <v>18650</v>
      </c>
      <c r="C137" s="1">
        <v>42715</v>
      </c>
      <c r="D137" s="1"/>
      <c r="E137" s="14"/>
      <c r="F137" s="60"/>
      <c r="G137">
        <v>5.9</v>
      </c>
      <c r="H137">
        <v>0.7</v>
      </c>
      <c r="I137">
        <v>9.1</v>
      </c>
      <c r="J137" s="14">
        <f t="shared" si="13"/>
        <v>1033.3000000000002</v>
      </c>
      <c r="L137" s="1"/>
      <c r="M137">
        <v>0.1</v>
      </c>
      <c r="N137">
        <v>0.8</v>
      </c>
      <c r="O137" s="14">
        <f t="shared" si="10"/>
        <v>-0.70000000000000007</v>
      </c>
      <c r="P137">
        <f t="shared" si="9"/>
        <v>41.200000000000017</v>
      </c>
      <c r="Q137">
        <v>83</v>
      </c>
      <c r="R137">
        <f t="shared" si="15"/>
        <v>0.95185185185185184</v>
      </c>
      <c r="S137" s="41">
        <f t="shared" si="11"/>
        <v>0.76148148148148154</v>
      </c>
      <c r="T137" s="41">
        <f t="shared" si="12"/>
        <v>-0.66148148148148156</v>
      </c>
      <c r="U137" s="41">
        <f t="shared" si="16"/>
        <v>62.558518518518525</v>
      </c>
      <c r="W137">
        <v>603.9</v>
      </c>
      <c r="Y137">
        <f t="shared" si="14"/>
        <v>64445.799999999988</v>
      </c>
      <c r="AA137" s="46">
        <v>8.7766369980144372</v>
      </c>
    </row>
    <row r="138" spans="1:28" x14ac:dyDescent="0.25">
      <c r="A138">
        <v>5080</v>
      </c>
      <c r="B138">
        <v>18650</v>
      </c>
      <c r="C138" s="1">
        <v>42716</v>
      </c>
      <c r="D138" s="1"/>
      <c r="E138" s="48">
        <v>2</v>
      </c>
      <c r="F138" s="60"/>
      <c r="G138">
        <v>4.9000000000000004</v>
      </c>
      <c r="H138">
        <v>4.2</v>
      </c>
      <c r="I138">
        <v>6.8</v>
      </c>
      <c r="J138" s="14">
        <f t="shared" si="13"/>
        <v>1038.2000000000003</v>
      </c>
      <c r="L138" s="1"/>
      <c r="M138">
        <v>0.1</v>
      </c>
      <c r="N138">
        <v>0.8</v>
      </c>
      <c r="O138" s="14">
        <f t="shared" si="10"/>
        <v>-0.70000000000000007</v>
      </c>
      <c r="P138">
        <f t="shared" si="9"/>
        <v>40.500000000000014</v>
      </c>
      <c r="Q138">
        <v>84</v>
      </c>
      <c r="R138">
        <f t="shared" si="15"/>
        <v>0.95987654320987648</v>
      </c>
      <c r="S138" s="41">
        <f t="shared" si="11"/>
        <v>0.76790123456790127</v>
      </c>
      <c r="T138" s="41">
        <f t="shared" si="12"/>
        <v>-0.66790123456790129</v>
      </c>
      <c r="U138" s="41">
        <f t="shared" si="16"/>
        <v>61.890617283950625</v>
      </c>
      <c r="W138">
        <v>415.9</v>
      </c>
      <c r="Y138">
        <f t="shared" si="14"/>
        <v>64861.69999999999</v>
      </c>
      <c r="AA138" s="46">
        <v>8.7660203984173961</v>
      </c>
    </row>
    <row r="139" spans="1:28" x14ac:dyDescent="0.25">
      <c r="A139">
        <v>5080</v>
      </c>
      <c r="B139">
        <v>18650</v>
      </c>
      <c r="C139" s="1">
        <v>42717</v>
      </c>
      <c r="D139" s="1"/>
      <c r="E139" s="14"/>
      <c r="F139" s="60"/>
      <c r="G139">
        <v>5.2</v>
      </c>
      <c r="H139">
        <v>0.7</v>
      </c>
      <c r="I139">
        <v>8.6999999999999993</v>
      </c>
      <c r="J139" s="14">
        <f t="shared" si="13"/>
        <v>1043.4000000000003</v>
      </c>
      <c r="L139" s="1"/>
      <c r="M139">
        <v>0.1</v>
      </c>
      <c r="N139">
        <v>0.8</v>
      </c>
      <c r="O139" s="14">
        <f t="shared" si="10"/>
        <v>-0.70000000000000007</v>
      </c>
      <c r="P139">
        <f t="shared" si="9"/>
        <v>39.800000000000011</v>
      </c>
      <c r="Q139">
        <v>85</v>
      </c>
      <c r="R139">
        <f t="shared" si="15"/>
        <v>0.96790123456790123</v>
      </c>
      <c r="S139" s="41">
        <f t="shared" si="11"/>
        <v>0.774320987654321</v>
      </c>
      <c r="T139" s="41">
        <f t="shared" si="12"/>
        <v>-0.67432098765432102</v>
      </c>
      <c r="U139" s="41">
        <f t="shared" si="16"/>
        <v>61.216296296296306</v>
      </c>
      <c r="W139">
        <v>549.6</v>
      </c>
      <c r="Y139">
        <f t="shared" si="14"/>
        <v>65411.299999999988</v>
      </c>
      <c r="AA139" s="46">
        <v>8.7565291292715948</v>
      </c>
    </row>
    <row r="140" spans="1:28" x14ac:dyDescent="0.25">
      <c r="A140">
        <v>5080</v>
      </c>
      <c r="B140">
        <v>18650</v>
      </c>
      <c r="C140" s="1">
        <v>42718</v>
      </c>
      <c r="D140" s="1"/>
      <c r="E140" s="14"/>
      <c r="F140" s="60"/>
      <c r="G140">
        <v>8.6</v>
      </c>
      <c r="H140">
        <v>5.2</v>
      </c>
      <c r="I140">
        <v>11.8</v>
      </c>
      <c r="J140" s="14">
        <f t="shared" si="13"/>
        <v>1052.0000000000002</v>
      </c>
      <c r="L140" s="1"/>
      <c r="M140">
        <v>0</v>
      </c>
      <c r="N140">
        <v>0.7</v>
      </c>
      <c r="O140" s="14">
        <f t="shared" si="10"/>
        <v>-0.7</v>
      </c>
      <c r="P140">
        <f t="shared" si="9"/>
        <v>39.100000000000009</v>
      </c>
      <c r="Q140">
        <v>86</v>
      </c>
      <c r="R140">
        <f t="shared" si="15"/>
        <v>0.97592592592592586</v>
      </c>
      <c r="S140" s="41">
        <f t="shared" si="11"/>
        <v>0.68314814814814806</v>
      </c>
      <c r="T140" s="41">
        <f t="shared" si="12"/>
        <v>-0.68314814814814806</v>
      </c>
      <c r="U140" s="41">
        <f t="shared" si="16"/>
        <v>60.533148148148157</v>
      </c>
      <c r="W140">
        <v>247.8</v>
      </c>
      <c r="Y140">
        <f t="shared" si="14"/>
        <v>65659.099999999991</v>
      </c>
      <c r="AA140" s="46">
        <v>8.7481707888294515</v>
      </c>
    </row>
    <row r="141" spans="1:28" x14ac:dyDescent="0.25">
      <c r="A141">
        <v>5080</v>
      </c>
      <c r="B141">
        <v>18650</v>
      </c>
      <c r="C141" s="1">
        <v>42719</v>
      </c>
      <c r="D141" s="1"/>
      <c r="E141" s="14"/>
      <c r="F141" s="60"/>
      <c r="G141">
        <v>5.9</v>
      </c>
      <c r="H141">
        <v>1.6</v>
      </c>
      <c r="I141">
        <v>8.1</v>
      </c>
      <c r="J141" s="14">
        <f t="shared" si="13"/>
        <v>1057.9000000000003</v>
      </c>
      <c r="L141" s="1"/>
      <c r="M141">
        <v>0</v>
      </c>
      <c r="N141">
        <v>0.8</v>
      </c>
      <c r="O141" s="14">
        <f t="shared" si="10"/>
        <v>-0.8</v>
      </c>
      <c r="P141">
        <f t="shared" si="9"/>
        <v>38.300000000000011</v>
      </c>
      <c r="Q141">
        <v>87</v>
      </c>
      <c r="R141">
        <f t="shared" si="15"/>
        <v>0.98395061728395061</v>
      </c>
      <c r="S141" s="41">
        <f t="shared" si="11"/>
        <v>0.78716049382716058</v>
      </c>
      <c r="T141" s="41">
        <f t="shared" si="12"/>
        <v>-0.78716049382716058</v>
      </c>
      <c r="U141" s="41">
        <f t="shared" si="16"/>
        <v>59.745987654320999</v>
      </c>
      <c r="W141">
        <v>536.9</v>
      </c>
      <c r="Y141">
        <f t="shared" si="14"/>
        <v>66195.999999999985</v>
      </c>
      <c r="AA141" s="46">
        <v>8.7409521055865245</v>
      </c>
    </row>
    <row r="142" spans="1:28" x14ac:dyDescent="0.25">
      <c r="A142">
        <v>5080</v>
      </c>
      <c r="B142">
        <v>18650</v>
      </c>
      <c r="C142" s="1">
        <v>42720</v>
      </c>
      <c r="D142" s="1"/>
      <c r="E142" s="14"/>
      <c r="F142" s="60"/>
      <c r="G142">
        <v>9</v>
      </c>
      <c r="H142">
        <v>5.3</v>
      </c>
      <c r="I142">
        <v>12.2</v>
      </c>
      <c r="J142" s="14">
        <f t="shared" si="13"/>
        <v>1066.9000000000003</v>
      </c>
      <c r="L142" s="1"/>
      <c r="M142">
        <v>0</v>
      </c>
      <c r="N142">
        <v>0.7</v>
      </c>
      <c r="O142" s="14">
        <f t="shared" si="10"/>
        <v>-0.7</v>
      </c>
      <c r="P142">
        <f t="shared" ref="P142:P205" si="17">P141+O142</f>
        <v>37.600000000000009</v>
      </c>
      <c r="Q142">
        <v>88</v>
      </c>
      <c r="R142">
        <f t="shared" si="15"/>
        <v>0.99197530864197525</v>
      </c>
      <c r="S142" s="41">
        <f t="shared" si="11"/>
        <v>0.69438271604938262</v>
      </c>
      <c r="T142" s="41">
        <f t="shared" si="12"/>
        <v>-0.69438271604938262</v>
      </c>
      <c r="U142" s="41">
        <f t="shared" si="16"/>
        <v>59.051604938271616</v>
      </c>
      <c r="W142">
        <v>540.79999999999995</v>
      </c>
      <c r="Y142">
        <f t="shared" si="14"/>
        <v>66736.799999999988</v>
      </c>
      <c r="AA142" s="46">
        <v>8.7348789187939726</v>
      </c>
    </row>
    <row r="143" spans="1:28" s="42" customFormat="1" ht="15.75" thickBot="1" x14ac:dyDescent="0.3">
      <c r="A143" s="42">
        <v>5080</v>
      </c>
      <c r="B143" s="42">
        <v>18650</v>
      </c>
      <c r="C143" s="43">
        <v>42721</v>
      </c>
      <c r="D143" s="43"/>
      <c r="E143" s="44"/>
      <c r="F143" s="60"/>
      <c r="G143" s="42">
        <v>7.7</v>
      </c>
      <c r="H143" s="42">
        <v>5</v>
      </c>
      <c r="I143" s="42">
        <v>11.4</v>
      </c>
      <c r="J143" s="44">
        <f t="shared" si="13"/>
        <v>1074.6000000000004</v>
      </c>
      <c r="K143" s="44"/>
      <c r="L143" s="43"/>
      <c r="M143" s="42">
        <v>0</v>
      </c>
      <c r="N143" s="42">
        <v>1</v>
      </c>
      <c r="O143" s="44">
        <f t="shared" si="10"/>
        <v>-1</v>
      </c>
      <c r="P143" s="42">
        <f t="shared" si="17"/>
        <v>36.600000000000009</v>
      </c>
      <c r="Q143" s="42">
        <v>89</v>
      </c>
      <c r="R143" s="42">
        <f>0.35+((Q143-8)/81)*(1-0.35)</f>
        <v>1</v>
      </c>
      <c r="S143" s="45">
        <f t="shared" si="11"/>
        <v>1</v>
      </c>
      <c r="T143" s="45">
        <f t="shared" si="12"/>
        <v>-1</v>
      </c>
      <c r="U143" s="41">
        <f t="shared" si="16"/>
        <v>58.051604938271616</v>
      </c>
      <c r="W143" s="42">
        <v>769.9</v>
      </c>
      <c r="Y143" s="42">
        <f t="shared" si="14"/>
        <v>67506.699999999983</v>
      </c>
      <c r="AA143" s="47">
        <v>8.7299561614207555</v>
      </c>
    </row>
    <row r="144" spans="1:28" x14ac:dyDescent="0.25">
      <c r="A144">
        <v>5080</v>
      </c>
      <c r="B144">
        <v>18650</v>
      </c>
      <c r="C144" s="1">
        <v>42722</v>
      </c>
      <c r="D144" s="1"/>
      <c r="E144" s="48">
        <v>3</v>
      </c>
      <c r="F144" s="61" t="s">
        <v>36</v>
      </c>
      <c r="G144">
        <v>4</v>
      </c>
      <c r="H144">
        <v>0.8</v>
      </c>
      <c r="I144">
        <v>6.9</v>
      </c>
      <c r="J144" s="14">
        <f t="shared" si="13"/>
        <v>1078.6000000000004</v>
      </c>
      <c r="K144" s="14">
        <f>G144</f>
        <v>4</v>
      </c>
      <c r="L144" s="7" t="s">
        <v>37</v>
      </c>
      <c r="M144">
        <v>0.2</v>
      </c>
      <c r="N144">
        <v>0.8</v>
      </c>
      <c r="O144" s="14">
        <f t="shared" si="10"/>
        <v>-0.60000000000000009</v>
      </c>
      <c r="P144">
        <f t="shared" si="17"/>
        <v>36.000000000000007</v>
      </c>
      <c r="Q144" s="31">
        <v>90</v>
      </c>
      <c r="R144">
        <v>1</v>
      </c>
      <c r="S144" s="41">
        <f t="shared" si="11"/>
        <v>0.8</v>
      </c>
      <c r="T144" s="41">
        <f t="shared" si="12"/>
        <v>-0.60000000000000009</v>
      </c>
      <c r="U144" s="41">
        <f t="shared" si="16"/>
        <v>57.451604938271615</v>
      </c>
      <c r="V144" s="33" t="s">
        <v>50</v>
      </c>
      <c r="W144">
        <v>694.3</v>
      </c>
      <c r="Y144">
        <f t="shared" si="14"/>
        <v>68200.999999999985</v>
      </c>
      <c r="Z144">
        <f>W144</f>
        <v>694.3</v>
      </c>
      <c r="AA144" s="46">
        <v>8.7261878456691306</v>
      </c>
      <c r="AB144" s="33" t="s">
        <v>56</v>
      </c>
    </row>
    <row r="145" spans="1:28" x14ac:dyDescent="0.25">
      <c r="A145">
        <v>5080</v>
      </c>
      <c r="B145">
        <v>18650</v>
      </c>
      <c r="C145" s="1">
        <v>42723</v>
      </c>
      <c r="D145" s="1"/>
      <c r="E145" s="48">
        <v>4</v>
      </c>
      <c r="F145" s="61"/>
      <c r="G145">
        <v>3</v>
      </c>
      <c r="H145">
        <v>-0.6</v>
      </c>
      <c r="I145">
        <v>4.9000000000000004</v>
      </c>
      <c r="J145" s="14">
        <f t="shared" si="13"/>
        <v>1081.6000000000004</v>
      </c>
      <c r="K145" s="14">
        <f>K144+G145</f>
        <v>7</v>
      </c>
      <c r="L145" s="8">
        <v>165.5</v>
      </c>
      <c r="M145">
        <v>1.3</v>
      </c>
      <c r="N145">
        <v>0.3</v>
      </c>
      <c r="O145" s="14">
        <f t="shared" si="10"/>
        <v>1</v>
      </c>
      <c r="P145">
        <f t="shared" si="17"/>
        <v>37.000000000000007</v>
      </c>
      <c r="Q145" s="31">
        <v>91</v>
      </c>
      <c r="R145">
        <v>1</v>
      </c>
      <c r="S145" s="41">
        <f t="shared" si="11"/>
        <v>0.3</v>
      </c>
      <c r="T145" s="41">
        <f t="shared" si="12"/>
        <v>1</v>
      </c>
      <c r="U145" s="41">
        <f t="shared" si="16"/>
        <v>58.451604938271615</v>
      </c>
      <c r="V145">
        <v>0</v>
      </c>
      <c r="W145">
        <v>207.1</v>
      </c>
      <c r="Y145">
        <f t="shared" si="14"/>
        <v>68408.099999999991</v>
      </c>
      <c r="Z145">
        <f>Z144+W145</f>
        <v>901.4</v>
      </c>
      <c r="AA145" s="46">
        <v>8.7235770511322652</v>
      </c>
      <c r="AB145">
        <v>18621.599999999999</v>
      </c>
    </row>
    <row r="146" spans="1:28" x14ac:dyDescent="0.25">
      <c r="A146">
        <v>5080</v>
      </c>
      <c r="B146">
        <v>18650</v>
      </c>
      <c r="C146" s="1">
        <v>42724</v>
      </c>
      <c r="D146" s="1"/>
      <c r="E146" s="48">
        <v>5</v>
      </c>
      <c r="F146" s="61"/>
      <c r="G146">
        <v>4.5</v>
      </c>
      <c r="H146">
        <v>4.2</v>
      </c>
      <c r="I146">
        <v>6.1</v>
      </c>
      <c r="J146" s="14">
        <f t="shared" si="13"/>
        <v>1086.1000000000004</v>
      </c>
      <c r="K146" s="14">
        <f t="shared" ref="K146:K209" si="18">K145+G146</f>
        <v>11.5</v>
      </c>
      <c r="L146" s="7" t="s">
        <v>38</v>
      </c>
      <c r="M146">
        <v>0</v>
      </c>
      <c r="N146">
        <v>0.6</v>
      </c>
      <c r="O146" s="14">
        <f t="shared" si="10"/>
        <v>-0.6</v>
      </c>
      <c r="P146">
        <f t="shared" si="17"/>
        <v>36.400000000000006</v>
      </c>
      <c r="Q146" s="31">
        <v>92</v>
      </c>
      <c r="R146">
        <v>1</v>
      </c>
      <c r="S146" s="41">
        <f t="shared" si="11"/>
        <v>0.6</v>
      </c>
      <c r="T146" s="41">
        <f t="shared" si="12"/>
        <v>-0.6</v>
      </c>
      <c r="U146" s="41">
        <f t="shared" si="16"/>
        <v>57.851604938271613</v>
      </c>
      <c r="V146" s="33" t="s">
        <v>51</v>
      </c>
      <c r="W146">
        <v>503.8</v>
      </c>
      <c r="Y146">
        <f t="shared" si="14"/>
        <v>68911.899999999994</v>
      </c>
      <c r="Z146">
        <f t="shared" ref="Z146:Z183" si="19">Z145+W146</f>
        <v>1405.2</v>
      </c>
      <c r="AA146" s="46">
        <v>8.7221259156671049</v>
      </c>
      <c r="AB146" s="33" t="s">
        <v>57</v>
      </c>
    </row>
    <row r="147" spans="1:28" x14ac:dyDescent="0.25">
      <c r="A147">
        <v>5080</v>
      </c>
      <c r="B147">
        <v>18650</v>
      </c>
      <c r="C147" s="1">
        <v>42725</v>
      </c>
      <c r="D147" s="1"/>
      <c r="E147" s="48">
        <v>6</v>
      </c>
      <c r="F147" s="61"/>
      <c r="G147">
        <v>3.2</v>
      </c>
      <c r="H147">
        <v>-0.6</v>
      </c>
      <c r="I147">
        <v>7.4</v>
      </c>
      <c r="J147" s="14">
        <f t="shared" si="13"/>
        <v>1089.3000000000004</v>
      </c>
      <c r="K147" s="14">
        <f t="shared" si="18"/>
        <v>14.7</v>
      </c>
      <c r="L147" s="8">
        <f>AVERAGE(G144:G183)</f>
        <v>3.9974999999999996</v>
      </c>
      <c r="M147">
        <v>0</v>
      </c>
      <c r="N147">
        <v>0.9</v>
      </c>
      <c r="O147" s="14">
        <f t="shared" si="10"/>
        <v>-0.9</v>
      </c>
      <c r="P147">
        <f t="shared" si="17"/>
        <v>35.500000000000007</v>
      </c>
      <c r="Q147" s="31">
        <v>93</v>
      </c>
      <c r="R147">
        <v>1</v>
      </c>
      <c r="S147" s="41">
        <f t="shared" si="11"/>
        <v>0.9</v>
      </c>
      <c r="T147" s="41">
        <f t="shared" si="12"/>
        <v>-0.9</v>
      </c>
      <c r="U147" s="41">
        <f t="shared" si="16"/>
        <v>56.951604938271615</v>
      </c>
      <c r="V147">
        <v>0</v>
      </c>
      <c r="W147">
        <v>801.8</v>
      </c>
      <c r="Y147">
        <f t="shared" si="14"/>
        <v>69713.7</v>
      </c>
      <c r="Z147">
        <f t="shared" si="19"/>
        <v>2207</v>
      </c>
      <c r="AA147" s="46">
        <v>8.7218356290392087</v>
      </c>
      <c r="AB147">
        <f>(AB145/100)/L145</f>
        <v>1.1251722054380664</v>
      </c>
    </row>
    <row r="148" spans="1:28" x14ac:dyDescent="0.25">
      <c r="A148">
        <v>5080</v>
      </c>
      <c r="B148">
        <v>18650</v>
      </c>
      <c r="C148" s="1">
        <v>42726</v>
      </c>
      <c r="D148" s="1"/>
      <c r="E148" s="48">
        <v>7</v>
      </c>
      <c r="F148" s="61"/>
      <c r="G148">
        <v>4</v>
      </c>
      <c r="H148">
        <v>-0.5</v>
      </c>
      <c r="I148">
        <v>11.3</v>
      </c>
      <c r="J148" s="14">
        <f t="shared" si="13"/>
        <v>1093.3000000000004</v>
      </c>
      <c r="K148" s="14">
        <f t="shared" si="18"/>
        <v>18.7</v>
      </c>
      <c r="L148" s="7" t="s">
        <v>39</v>
      </c>
      <c r="M148">
        <v>3.4</v>
      </c>
      <c r="N148">
        <v>0.8</v>
      </c>
      <c r="O148" s="14">
        <f t="shared" si="10"/>
        <v>2.5999999999999996</v>
      </c>
      <c r="P148">
        <f t="shared" si="17"/>
        <v>38.100000000000009</v>
      </c>
      <c r="Q148" s="31">
        <v>94</v>
      </c>
      <c r="R148">
        <v>1</v>
      </c>
      <c r="S148" s="41">
        <f t="shared" si="11"/>
        <v>0.8</v>
      </c>
      <c r="T148" s="41">
        <f t="shared" si="12"/>
        <v>2.5999999999999996</v>
      </c>
      <c r="U148" s="41">
        <f t="shared" si="16"/>
        <v>59.551604938271616</v>
      </c>
      <c r="V148" s="33" t="s">
        <v>52</v>
      </c>
      <c r="W148">
        <v>276.7</v>
      </c>
      <c r="Y148">
        <f t="shared" si="14"/>
        <v>69990.399999999994</v>
      </c>
      <c r="Z148">
        <f t="shared" si="19"/>
        <v>2483.6999999999998</v>
      </c>
      <c r="AA148" s="46">
        <v>8.722706429379155</v>
      </c>
      <c r="AB148" s="33" t="s">
        <v>58</v>
      </c>
    </row>
    <row r="149" spans="1:28" x14ac:dyDescent="0.25">
      <c r="A149">
        <v>5080</v>
      </c>
      <c r="B149">
        <v>18650</v>
      </c>
      <c r="C149" s="1">
        <v>42727</v>
      </c>
      <c r="D149" s="1"/>
      <c r="E149" s="14"/>
      <c r="F149" s="61"/>
      <c r="G149">
        <v>11.5</v>
      </c>
      <c r="H149">
        <v>6.6</v>
      </c>
      <c r="I149">
        <v>13.9</v>
      </c>
      <c r="J149" s="14">
        <f t="shared" si="13"/>
        <v>1104.8000000000004</v>
      </c>
      <c r="K149" s="14">
        <f t="shared" si="18"/>
        <v>30.2</v>
      </c>
      <c r="L149" s="9">
        <f>MIN(H144:H183)</f>
        <v>-4.8</v>
      </c>
      <c r="M149">
        <v>3.6</v>
      </c>
      <c r="N149">
        <v>0.3</v>
      </c>
      <c r="O149" s="14">
        <f t="shared" si="10"/>
        <v>3.3000000000000003</v>
      </c>
      <c r="P149">
        <f t="shared" si="17"/>
        <v>41.400000000000006</v>
      </c>
      <c r="Q149" s="31">
        <v>95</v>
      </c>
      <c r="R149">
        <v>1</v>
      </c>
      <c r="S149" s="41">
        <f t="shared" si="11"/>
        <v>0.3</v>
      </c>
      <c r="T149" s="41">
        <f t="shared" si="12"/>
        <v>3.3000000000000003</v>
      </c>
      <c r="U149" s="41">
        <f t="shared" si="16"/>
        <v>62.851604938271613</v>
      </c>
      <c r="V149" s="41">
        <f>MIN(U144:U183)</f>
        <v>54.251604938271626</v>
      </c>
      <c r="W149">
        <v>181.4</v>
      </c>
      <c r="Y149">
        <f t="shared" si="14"/>
        <v>70171.799999999988</v>
      </c>
      <c r="Z149">
        <f t="shared" si="19"/>
        <v>2665.1</v>
      </c>
      <c r="AA149" s="46">
        <v>8.724737602472727</v>
      </c>
      <c r="AB149">
        <v>34</v>
      </c>
    </row>
    <row r="150" spans="1:28" x14ac:dyDescent="0.25">
      <c r="A150">
        <v>5080</v>
      </c>
      <c r="B150">
        <v>18650</v>
      </c>
      <c r="C150" s="1">
        <v>42728</v>
      </c>
      <c r="D150" s="1"/>
      <c r="E150" s="14"/>
      <c r="F150" s="61"/>
      <c r="G150">
        <v>12</v>
      </c>
      <c r="H150">
        <v>10.9</v>
      </c>
      <c r="I150">
        <v>12.7</v>
      </c>
      <c r="J150" s="14">
        <f t="shared" si="13"/>
        <v>1116.8000000000004</v>
      </c>
      <c r="K150" s="14">
        <f t="shared" si="18"/>
        <v>42.2</v>
      </c>
      <c r="L150" s="7" t="s">
        <v>40</v>
      </c>
      <c r="M150">
        <v>0</v>
      </c>
      <c r="N150">
        <v>0.5</v>
      </c>
      <c r="O150" s="14">
        <f t="shared" si="10"/>
        <v>-0.5</v>
      </c>
      <c r="P150">
        <f t="shared" si="17"/>
        <v>40.900000000000006</v>
      </c>
      <c r="Q150" s="31">
        <v>96</v>
      </c>
      <c r="R150">
        <v>1</v>
      </c>
      <c r="S150" s="41">
        <f t="shared" si="11"/>
        <v>0.5</v>
      </c>
      <c r="T150" s="41">
        <f t="shared" si="12"/>
        <v>-0.5</v>
      </c>
      <c r="U150" s="41">
        <f t="shared" si="16"/>
        <v>62.351604938271613</v>
      </c>
      <c r="V150" s="33" t="s">
        <v>53</v>
      </c>
      <c r="W150">
        <v>173.9</v>
      </c>
      <c r="Y150">
        <f t="shared" si="14"/>
        <v>70345.699999999983</v>
      </c>
      <c r="Z150">
        <f t="shared" si="19"/>
        <v>2839</v>
      </c>
      <c r="AA150" s="46">
        <v>8.7279274838892729</v>
      </c>
      <c r="AB150" t="s">
        <v>61</v>
      </c>
    </row>
    <row r="151" spans="1:28" x14ac:dyDescent="0.25">
      <c r="A151">
        <v>5080</v>
      </c>
      <c r="B151">
        <v>18650</v>
      </c>
      <c r="C151" s="1">
        <v>42729</v>
      </c>
      <c r="D151" s="1"/>
      <c r="E151" s="14"/>
      <c r="F151" s="61"/>
      <c r="G151">
        <v>11.6</v>
      </c>
      <c r="H151">
        <v>11</v>
      </c>
      <c r="I151">
        <v>12.7</v>
      </c>
      <c r="J151" s="14">
        <f t="shared" si="13"/>
        <v>1128.4000000000003</v>
      </c>
      <c r="K151" s="14">
        <f t="shared" si="18"/>
        <v>53.800000000000004</v>
      </c>
      <c r="L151" s="8">
        <f>MAX(I144:I183)</f>
        <v>13.9</v>
      </c>
      <c r="M151">
        <v>0</v>
      </c>
      <c r="N151">
        <v>0.6</v>
      </c>
      <c r="O151" s="14">
        <f t="shared" si="10"/>
        <v>-0.6</v>
      </c>
      <c r="P151">
        <f t="shared" si="17"/>
        <v>40.300000000000004</v>
      </c>
      <c r="Q151" s="31">
        <v>97</v>
      </c>
      <c r="R151">
        <v>1</v>
      </c>
      <c r="S151" s="41">
        <f t="shared" si="11"/>
        <v>0.6</v>
      </c>
      <c r="T151" s="41">
        <f t="shared" si="12"/>
        <v>-0.6</v>
      </c>
      <c r="U151" s="41">
        <f t="shared" si="16"/>
        <v>61.751604938271612</v>
      </c>
      <c r="V151" s="41">
        <f>MAX(U144:U183)</f>
        <v>73.751604938271626</v>
      </c>
      <c r="W151">
        <v>195</v>
      </c>
      <c r="Y151">
        <f t="shared" si="14"/>
        <v>70540.699999999983</v>
      </c>
      <c r="Z151">
        <f t="shared" si="19"/>
        <v>3034</v>
      </c>
      <c r="AA151" s="46">
        <v>8.7322734639349608</v>
      </c>
      <c r="AB151">
        <v>18</v>
      </c>
    </row>
    <row r="152" spans="1:28" x14ac:dyDescent="0.25">
      <c r="A152">
        <v>5080</v>
      </c>
      <c r="B152">
        <v>18650</v>
      </c>
      <c r="C152" s="1">
        <v>42730</v>
      </c>
      <c r="D152" s="1"/>
      <c r="E152" s="14"/>
      <c r="F152" s="61"/>
      <c r="G152">
        <v>10.4</v>
      </c>
      <c r="H152">
        <v>9.1</v>
      </c>
      <c r="I152">
        <v>12.4</v>
      </c>
      <c r="J152" s="14">
        <f t="shared" si="13"/>
        <v>1138.8000000000004</v>
      </c>
      <c r="K152" s="14">
        <f t="shared" si="18"/>
        <v>64.2</v>
      </c>
      <c r="L152" s="7" t="s">
        <v>41</v>
      </c>
      <c r="M152">
        <v>0</v>
      </c>
      <c r="N152">
        <v>0.8</v>
      </c>
      <c r="O152" s="14">
        <f t="shared" si="10"/>
        <v>-0.8</v>
      </c>
      <c r="P152">
        <f t="shared" si="17"/>
        <v>39.500000000000007</v>
      </c>
      <c r="Q152" s="31">
        <v>98</v>
      </c>
      <c r="R152">
        <v>1</v>
      </c>
      <c r="S152" s="41">
        <f t="shared" si="11"/>
        <v>0.8</v>
      </c>
      <c r="T152" s="41">
        <f t="shared" si="12"/>
        <v>-0.8</v>
      </c>
      <c r="U152" s="41">
        <f t="shared" si="16"/>
        <v>60.951604938271615</v>
      </c>
      <c r="V152" s="33" t="s">
        <v>54</v>
      </c>
      <c r="W152">
        <v>213.5</v>
      </c>
      <c r="Y152">
        <f t="shared" si="14"/>
        <v>70754.199999999983</v>
      </c>
      <c r="Z152">
        <f t="shared" si="19"/>
        <v>3247.5</v>
      </c>
      <c r="AA152" s="46">
        <v>8.737771995399962</v>
      </c>
    </row>
    <row r="153" spans="1:28" x14ac:dyDescent="0.25">
      <c r="A153">
        <v>5080</v>
      </c>
      <c r="B153">
        <v>18650</v>
      </c>
      <c r="C153" s="1">
        <v>42731</v>
      </c>
      <c r="D153" s="1"/>
      <c r="E153" s="14"/>
      <c r="F153" s="61"/>
      <c r="G153">
        <v>7.5</v>
      </c>
      <c r="H153">
        <v>5.7</v>
      </c>
      <c r="I153">
        <v>9.1</v>
      </c>
      <c r="J153" s="14">
        <f t="shared" si="13"/>
        <v>1146.3000000000004</v>
      </c>
      <c r="K153" s="14">
        <f t="shared" si="18"/>
        <v>71.7</v>
      </c>
      <c r="L153" s="8">
        <v>0</v>
      </c>
      <c r="M153">
        <v>0.1</v>
      </c>
      <c r="N153">
        <v>0.6</v>
      </c>
      <c r="O153" s="14">
        <f t="shared" si="10"/>
        <v>-0.5</v>
      </c>
      <c r="P153">
        <f t="shared" si="17"/>
        <v>39.000000000000007</v>
      </c>
      <c r="Q153" s="31">
        <v>99</v>
      </c>
      <c r="R153">
        <v>1</v>
      </c>
      <c r="S153" s="41">
        <f t="shared" si="11"/>
        <v>0.6</v>
      </c>
      <c r="T153" s="41">
        <f t="shared" si="12"/>
        <v>-0.5</v>
      </c>
      <c r="U153" s="41">
        <f t="shared" si="16"/>
        <v>60.451604938271615</v>
      </c>
      <c r="V153" s="41">
        <f>AVERAGE(U144:U183)</f>
        <v>63.136604938271617</v>
      </c>
      <c r="W153">
        <v>256.60000000000002</v>
      </c>
      <c r="Y153">
        <f t="shared" si="14"/>
        <v>71010.799999999988</v>
      </c>
      <c r="Z153">
        <f t="shared" si="19"/>
        <v>3504.1</v>
      </c>
      <c r="AA153" s="46">
        <v>8.7444186040513312</v>
      </c>
    </row>
    <row r="154" spans="1:28" x14ac:dyDescent="0.25">
      <c r="A154">
        <v>5080</v>
      </c>
      <c r="B154">
        <v>18650</v>
      </c>
      <c r="C154" s="1">
        <v>42732</v>
      </c>
      <c r="D154" s="1"/>
      <c r="E154" s="14"/>
      <c r="F154" s="61"/>
      <c r="G154">
        <v>5.3</v>
      </c>
      <c r="H154">
        <v>2.6</v>
      </c>
      <c r="I154">
        <v>8.6</v>
      </c>
      <c r="J154" s="14">
        <f t="shared" si="13"/>
        <v>1151.6000000000004</v>
      </c>
      <c r="K154" s="14">
        <f t="shared" si="18"/>
        <v>77</v>
      </c>
      <c r="L154" s="7" t="s">
        <v>42</v>
      </c>
      <c r="M154">
        <v>0.1</v>
      </c>
      <c r="N154">
        <v>1</v>
      </c>
      <c r="O154" s="14">
        <f t="shared" si="10"/>
        <v>-0.9</v>
      </c>
      <c r="P154">
        <f t="shared" si="17"/>
        <v>38.100000000000009</v>
      </c>
      <c r="Q154" s="31">
        <v>100</v>
      </c>
      <c r="R154">
        <v>1</v>
      </c>
      <c r="S154" s="41">
        <f t="shared" si="11"/>
        <v>1</v>
      </c>
      <c r="T154" s="41">
        <f t="shared" si="12"/>
        <v>-0.9</v>
      </c>
      <c r="U154" s="41">
        <f t="shared" si="16"/>
        <v>59.551604938271616</v>
      </c>
      <c r="W154">
        <v>536.1</v>
      </c>
      <c r="Y154">
        <f t="shared" si="14"/>
        <v>71546.899999999994</v>
      </c>
      <c r="Z154">
        <f t="shared" si="19"/>
        <v>4040.2</v>
      </c>
      <c r="AA154" s="46">
        <v>8.7522079018066083</v>
      </c>
    </row>
    <row r="155" spans="1:28" x14ac:dyDescent="0.25">
      <c r="A155">
        <v>5080</v>
      </c>
      <c r="B155">
        <v>18650</v>
      </c>
      <c r="C155" s="1">
        <v>42733</v>
      </c>
      <c r="D155" s="1"/>
      <c r="E155" s="48">
        <v>8</v>
      </c>
      <c r="F155" s="61"/>
      <c r="G155">
        <v>3.3</v>
      </c>
      <c r="H155">
        <v>-0.5</v>
      </c>
      <c r="I155">
        <v>6.5</v>
      </c>
      <c r="J155" s="14">
        <f t="shared" si="13"/>
        <v>1154.9000000000003</v>
      </c>
      <c r="K155" s="14">
        <f t="shared" si="18"/>
        <v>80.3</v>
      </c>
      <c r="L155" s="8">
        <v>17</v>
      </c>
      <c r="M155">
        <v>0.1</v>
      </c>
      <c r="N155">
        <v>0.8</v>
      </c>
      <c r="O155" s="14">
        <f t="shared" si="10"/>
        <v>-0.70000000000000007</v>
      </c>
      <c r="P155">
        <f t="shared" si="17"/>
        <v>37.400000000000006</v>
      </c>
      <c r="Q155" s="31">
        <v>101</v>
      </c>
      <c r="R155">
        <v>1</v>
      </c>
      <c r="S155" s="41">
        <f t="shared" si="11"/>
        <v>0.8</v>
      </c>
      <c r="T155" s="41">
        <f t="shared" si="12"/>
        <v>-0.70000000000000007</v>
      </c>
      <c r="U155" s="41">
        <f t="shared" si="16"/>
        <v>58.851604938271613</v>
      </c>
      <c r="V155">
        <f>(V153*100)/157.8</f>
        <v>40.010522774570099</v>
      </c>
      <c r="W155">
        <v>579.29999999999995</v>
      </c>
      <c r="Y155">
        <f t="shared" si="14"/>
        <v>72126.2</v>
      </c>
      <c r="Z155">
        <f t="shared" si="19"/>
        <v>4619.5</v>
      </c>
      <c r="AA155" s="46">
        <v>8.761133602507007</v>
      </c>
    </row>
    <row r="156" spans="1:28" x14ac:dyDescent="0.25">
      <c r="A156">
        <v>5080</v>
      </c>
      <c r="B156">
        <v>18650</v>
      </c>
      <c r="C156" s="1">
        <v>42734</v>
      </c>
      <c r="D156" s="1"/>
      <c r="E156" s="48">
        <v>9</v>
      </c>
      <c r="F156" s="61"/>
      <c r="G156">
        <v>2.5</v>
      </c>
      <c r="H156">
        <v>2.2000000000000002</v>
      </c>
      <c r="I156">
        <v>2.8</v>
      </c>
      <c r="J156" s="14">
        <f t="shared" si="13"/>
        <v>1157.4000000000003</v>
      </c>
      <c r="K156" s="14">
        <f t="shared" si="18"/>
        <v>82.8</v>
      </c>
      <c r="L156" s="7" t="s">
        <v>43</v>
      </c>
      <c r="M156">
        <v>0.2</v>
      </c>
      <c r="N156">
        <v>0.5</v>
      </c>
      <c r="O156" s="14">
        <f t="shared" si="10"/>
        <v>-0.3</v>
      </c>
      <c r="P156">
        <f t="shared" si="17"/>
        <v>37.100000000000009</v>
      </c>
      <c r="Q156" s="31">
        <v>102</v>
      </c>
      <c r="R156">
        <v>1</v>
      </c>
      <c r="S156" s="41">
        <f t="shared" si="11"/>
        <v>0.5</v>
      </c>
      <c r="T156" s="41">
        <f t="shared" si="12"/>
        <v>-0.3</v>
      </c>
      <c r="U156" s="41">
        <f t="shared" si="16"/>
        <v>58.551604938271616</v>
      </c>
      <c r="W156">
        <v>359.8</v>
      </c>
      <c r="Y156">
        <f t="shared" si="14"/>
        <v>72486</v>
      </c>
      <c r="Z156">
        <f t="shared" si="19"/>
        <v>4979.3</v>
      </c>
      <c r="AA156" s="46">
        <v>8.7711885401939131</v>
      </c>
    </row>
    <row r="157" spans="1:28" x14ac:dyDescent="0.25">
      <c r="A157">
        <v>5080</v>
      </c>
      <c r="B157">
        <v>18650</v>
      </c>
      <c r="C157" s="1">
        <v>42735</v>
      </c>
      <c r="D157" s="1"/>
      <c r="E157" s="48">
        <v>10</v>
      </c>
      <c r="F157" s="61"/>
      <c r="G157">
        <v>4.2</v>
      </c>
      <c r="H157">
        <v>1.6</v>
      </c>
      <c r="I157">
        <v>6.6</v>
      </c>
      <c r="J157" s="14">
        <f t="shared" si="13"/>
        <v>1161.6000000000004</v>
      </c>
      <c r="K157" s="14">
        <f t="shared" si="18"/>
        <v>87</v>
      </c>
      <c r="L157" s="8">
        <v>15</v>
      </c>
      <c r="M157">
        <v>0.3</v>
      </c>
      <c r="N157">
        <v>0.5</v>
      </c>
      <c r="O157" s="14">
        <f t="shared" si="10"/>
        <v>-0.2</v>
      </c>
      <c r="P157">
        <f t="shared" si="17"/>
        <v>36.900000000000006</v>
      </c>
      <c r="Q157" s="31">
        <v>103</v>
      </c>
      <c r="R157">
        <v>1</v>
      </c>
      <c r="S157" s="41">
        <f t="shared" si="11"/>
        <v>0.5</v>
      </c>
      <c r="T157" s="41">
        <f t="shared" si="12"/>
        <v>-0.2</v>
      </c>
      <c r="U157" s="41">
        <f t="shared" si="16"/>
        <v>58.351604938271613</v>
      </c>
      <c r="W157">
        <v>338.2</v>
      </c>
      <c r="Y157">
        <f t="shared" si="14"/>
        <v>72824.2</v>
      </c>
      <c r="Z157">
        <f t="shared" si="19"/>
        <v>5317.5</v>
      </c>
      <c r="AA157" s="46">
        <v>8.7823646897781487</v>
      </c>
    </row>
    <row r="158" spans="1:28" x14ac:dyDescent="0.25">
      <c r="A158">
        <v>5080</v>
      </c>
      <c r="B158">
        <v>18650</v>
      </c>
      <c r="C158" s="1">
        <v>42736</v>
      </c>
      <c r="D158" s="1"/>
      <c r="E158" s="48">
        <v>11</v>
      </c>
      <c r="F158" s="61"/>
      <c r="G158">
        <v>1.9</v>
      </c>
      <c r="H158">
        <v>0.5</v>
      </c>
      <c r="I158">
        <v>2.4</v>
      </c>
      <c r="J158" s="14">
        <f t="shared" si="13"/>
        <v>1163.5000000000005</v>
      </c>
      <c r="K158" s="14">
        <f t="shared" si="18"/>
        <v>88.9</v>
      </c>
      <c r="L158" s="1"/>
      <c r="M158">
        <v>0</v>
      </c>
      <c r="N158">
        <v>0.3</v>
      </c>
      <c r="O158" s="14">
        <f t="shared" si="10"/>
        <v>-0.3</v>
      </c>
      <c r="P158">
        <f t="shared" si="17"/>
        <v>36.600000000000009</v>
      </c>
      <c r="Q158" s="31">
        <v>104</v>
      </c>
      <c r="R158">
        <v>1</v>
      </c>
      <c r="S158" s="41">
        <f t="shared" si="11"/>
        <v>0.3</v>
      </c>
      <c r="T158" s="41">
        <f t="shared" si="12"/>
        <v>-0.3</v>
      </c>
      <c r="U158" s="41">
        <f t="shared" si="16"/>
        <v>58.051604938271616</v>
      </c>
      <c r="W158">
        <v>259.5</v>
      </c>
      <c r="Y158">
        <f t="shared" si="14"/>
        <v>73083.7</v>
      </c>
      <c r="Z158">
        <f t="shared" si="19"/>
        <v>5577</v>
      </c>
      <c r="AA158" s="46">
        <v>8.7946531899783444</v>
      </c>
    </row>
    <row r="159" spans="1:28" x14ac:dyDescent="0.25">
      <c r="A159">
        <v>5080</v>
      </c>
      <c r="B159">
        <v>18650</v>
      </c>
      <c r="C159" s="1">
        <v>42737</v>
      </c>
      <c r="D159" s="1"/>
      <c r="E159" s="48">
        <v>12</v>
      </c>
      <c r="F159" s="61"/>
      <c r="G159">
        <v>2</v>
      </c>
      <c r="H159">
        <v>0.7</v>
      </c>
      <c r="I159">
        <v>2.4</v>
      </c>
      <c r="J159" s="14">
        <f t="shared" si="13"/>
        <v>1165.5000000000005</v>
      </c>
      <c r="K159" s="14">
        <f t="shared" si="18"/>
        <v>90.9</v>
      </c>
      <c r="L159" s="1"/>
      <c r="M159">
        <v>0</v>
      </c>
      <c r="N159">
        <v>0.3</v>
      </c>
      <c r="O159" s="14">
        <f t="shared" si="10"/>
        <v>-0.3</v>
      </c>
      <c r="P159">
        <f t="shared" si="17"/>
        <v>36.300000000000011</v>
      </c>
      <c r="Q159" s="31">
        <v>105</v>
      </c>
      <c r="R159">
        <v>1</v>
      </c>
      <c r="S159" s="41">
        <f t="shared" si="11"/>
        <v>0.3</v>
      </c>
      <c r="T159" s="41">
        <f t="shared" si="12"/>
        <v>-0.3</v>
      </c>
      <c r="U159" s="41">
        <f t="shared" si="16"/>
        <v>57.751604938271619</v>
      </c>
      <c r="W159">
        <v>161.1</v>
      </c>
      <c r="Y159">
        <f t="shared" si="14"/>
        <v>73244.800000000003</v>
      </c>
      <c r="Z159">
        <f t="shared" si="19"/>
        <v>5738.1</v>
      </c>
      <c r="AA159" s="46">
        <v>8.8080443683929825</v>
      </c>
    </row>
    <row r="160" spans="1:28" x14ac:dyDescent="0.25">
      <c r="A160">
        <v>5080</v>
      </c>
      <c r="B160">
        <v>18650</v>
      </c>
      <c r="C160" s="1">
        <v>42738</v>
      </c>
      <c r="D160" s="1"/>
      <c r="E160" s="48">
        <v>13</v>
      </c>
      <c r="F160" s="61"/>
      <c r="G160">
        <v>2</v>
      </c>
      <c r="H160">
        <v>1.7</v>
      </c>
      <c r="I160">
        <v>2.8</v>
      </c>
      <c r="J160" s="14">
        <f t="shared" si="13"/>
        <v>1167.5000000000005</v>
      </c>
      <c r="K160" s="14">
        <f t="shared" si="18"/>
        <v>92.9</v>
      </c>
      <c r="L160" s="1"/>
      <c r="M160">
        <v>0</v>
      </c>
      <c r="N160">
        <v>0.5</v>
      </c>
      <c r="O160" s="14">
        <f t="shared" si="10"/>
        <v>-0.5</v>
      </c>
      <c r="P160">
        <f t="shared" si="17"/>
        <v>35.800000000000011</v>
      </c>
      <c r="Q160" s="31">
        <v>106</v>
      </c>
      <c r="R160">
        <v>1</v>
      </c>
      <c r="S160" s="41">
        <f t="shared" si="11"/>
        <v>0.5</v>
      </c>
      <c r="T160" s="41">
        <f t="shared" si="12"/>
        <v>-0.5</v>
      </c>
      <c r="U160" s="41">
        <f t="shared" si="16"/>
        <v>57.251604938271619</v>
      </c>
      <c r="W160">
        <v>190.2</v>
      </c>
      <c r="Y160">
        <f t="shared" si="14"/>
        <v>73435</v>
      </c>
      <c r="Z160">
        <f t="shared" si="19"/>
        <v>5928.3</v>
      </c>
      <c r="AA160" s="46">
        <v>8.8225277685601533</v>
      </c>
    </row>
    <row r="161" spans="1:27" x14ac:dyDescent="0.25">
      <c r="A161">
        <v>5080</v>
      </c>
      <c r="B161">
        <v>18650</v>
      </c>
      <c r="C161" s="1">
        <v>42739</v>
      </c>
      <c r="D161" s="1"/>
      <c r="E161" s="48">
        <v>14</v>
      </c>
      <c r="F161" s="61"/>
      <c r="G161">
        <v>0.5</v>
      </c>
      <c r="H161">
        <v>0.1</v>
      </c>
      <c r="I161">
        <v>1.7</v>
      </c>
      <c r="J161" s="14">
        <f t="shared" si="13"/>
        <v>1168.0000000000005</v>
      </c>
      <c r="K161" s="14">
        <f t="shared" si="18"/>
        <v>93.4</v>
      </c>
      <c r="L161" s="1"/>
      <c r="M161">
        <v>0</v>
      </c>
      <c r="N161">
        <v>0.4</v>
      </c>
      <c r="O161" s="14">
        <f t="shared" si="10"/>
        <v>-0.4</v>
      </c>
      <c r="P161">
        <f t="shared" si="17"/>
        <v>35.400000000000013</v>
      </c>
      <c r="Q161" s="31">
        <v>107</v>
      </c>
      <c r="R161">
        <v>1</v>
      </c>
      <c r="S161" s="41">
        <f t="shared" si="11"/>
        <v>0.4</v>
      </c>
      <c r="T161" s="41">
        <f t="shared" si="12"/>
        <v>-0.4</v>
      </c>
      <c r="U161" s="41">
        <f t="shared" si="16"/>
        <v>56.85160493827162</v>
      </c>
      <c r="W161">
        <v>172.7</v>
      </c>
      <c r="Y161">
        <f t="shared" si="14"/>
        <v>73607.7</v>
      </c>
      <c r="Z161">
        <f t="shared" si="19"/>
        <v>6101</v>
      </c>
      <c r="AA161" s="46">
        <v>8.8380921788499744</v>
      </c>
    </row>
    <row r="162" spans="1:27" x14ac:dyDescent="0.25">
      <c r="A162">
        <v>5080</v>
      </c>
      <c r="B162">
        <v>18650</v>
      </c>
      <c r="C162" s="1">
        <v>42740</v>
      </c>
      <c r="D162" s="1"/>
      <c r="E162" s="48">
        <v>15</v>
      </c>
      <c r="F162" s="61"/>
      <c r="G162">
        <v>1.7</v>
      </c>
      <c r="H162">
        <v>0</v>
      </c>
      <c r="I162">
        <v>3.4</v>
      </c>
      <c r="J162" s="14">
        <f t="shared" si="13"/>
        <v>1169.7000000000005</v>
      </c>
      <c r="K162" s="14">
        <f t="shared" si="18"/>
        <v>95.100000000000009</v>
      </c>
      <c r="L162" s="1"/>
      <c r="M162">
        <v>0</v>
      </c>
      <c r="N162">
        <v>0.4</v>
      </c>
      <c r="O162" s="14">
        <f t="shared" si="10"/>
        <v>-0.4</v>
      </c>
      <c r="P162">
        <f t="shared" si="17"/>
        <v>35.000000000000014</v>
      </c>
      <c r="Q162" s="31">
        <v>108</v>
      </c>
      <c r="R162">
        <v>1</v>
      </c>
      <c r="S162" s="41">
        <f t="shared" si="11"/>
        <v>0.4</v>
      </c>
      <c r="T162" s="41">
        <f t="shared" si="12"/>
        <v>-0.4</v>
      </c>
      <c r="U162" s="41">
        <f t="shared" si="16"/>
        <v>56.451604938271622</v>
      </c>
      <c r="W162">
        <v>261.8</v>
      </c>
      <c r="Y162">
        <f t="shared" si="14"/>
        <v>73869.5</v>
      </c>
      <c r="Z162">
        <f t="shared" si="19"/>
        <v>6362.8</v>
      </c>
      <c r="AA162" s="46">
        <v>8.8547256630270823</v>
      </c>
    </row>
    <row r="163" spans="1:27" x14ac:dyDescent="0.25">
      <c r="A163">
        <v>5080</v>
      </c>
      <c r="B163">
        <v>18650</v>
      </c>
      <c r="C163" s="1">
        <v>42741</v>
      </c>
      <c r="D163" s="1"/>
      <c r="E163" s="48">
        <v>16</v>
      </c>
      <c r="F163" s="61"/>
      <c r="G163">
        <v>-0.1</v>
      </c>
      <c r="H163">
        <v>-3</v>
      </c>
      <c r="I163">
        <v>2.9</v>
      </c>
      <c r="J163" s="14">
        <v>1169.7</v>
      </c>
      <c r="K163" s="14">
        <v>95.1</v>
      </c>
      <c r="L163" s="1"/>
      <c r="M163">
        <v>0</v>
      </c>
      <c r="N163">
        <v>0.8</v>
      </c>
      <c r="O163" s="14">
        <f t="shared" si="10"/>
        <v>-0.8</v>
      </c>
      <c r="P163">
        <f t="shared" si="17"/>
        <v>34.200000000000017</v>
      </c>
      <c r="Q163" s="31">
        <v>109</v>
      </c>
      <c r="R163">
        <v>1</v>
      </c>
      <c r="S163" s="41">
        <f t="shared" si="11"/>
        <v>0.8</v>
      </c>
      <c r="T163" s="41">
        <f t="shared" si="12"/>
        <v>-0.8</v>
      </c>
      <c r="U163" s="41">
        <f t="shared" si="16"/>
        <v>55.651604938271625</v>
      </c>
      <c r="W163">
        <v>918.2</v>
      </c>
      <c r="Y163">
        <f t="shared" si="14"/>
        <v>74787.7</v>
      </c>
      <c r="Z163">
        <f t="shared" si="19"/>
        <v>7281</v>
      </c>
      <c r="AA163" s="46">
        <v>8.8724155923144856</v>
      </c>
    </row>
    <row r="164" spans="1:27" x14ac:dyDescent="0.25">
      <c r="A164">
        <v>5080</v>
      </c>
      <c r="B164">
        <v>18650</v>
      </c>
      <c r="C164" s="1">
        <v>42742</v>
      </c>
      <c r="D164" s="1"/>
      <c r="E164" s="48">
        <v>17</v>
      </c>
      <c r="F164" s="61"/>
      <c r="G164">
        <v>-0.2</v>
      </c>
      <c r="H164">
        <v>-3.8</v>
      </c>
      <c r="I164">
        <v>4.4000000000000004</v>
      </c>
      <c r="J164" s="14">
        <v>1169.7</v>
      </c>
      <c r="K164" s="14">
        <v>95.1</v>
      </c>
      <c r="L164" s="1"/>
      <c r="M164">
        <v>0</v>
      </c>
      <c r="N164">
        <v>0.9</v>
      </c>
      <c r="O164" s="14">
        <f t="shared" si="10"/>
        <v>-0.9</v>
      </c>
      <c r="P164">
        <f t="shared" si="17"/>
        <v>33.300000000000018</v>
      </c>
      <c r="Q164" s="31">
        <v>110</v>
      </c>
      <c r="R164">
        <v>1</v>
      </c>
      <c r="S164" s="41">
        <f t="shared" si="11"/>
        <v>0.9</v>
      </c>
      <c r="T164" s="41">
        <f t="shared" si="12"/>
        <v>-0.9</v>
      </c>
      <c r="U164" s="41">
        <f t="shared" si="16"/>
        <v>54.751604938271626</v>
      </c>
      <c r="W164">
        <v>910.1</v>
      </c>
      <c r="Y164">
        <f t="shared" si="14"/>
        <v>75697.8</v>
      </c>
      <c r="Z164">
        <f t="shared" si="19"/>
        <v>8191.1</v>
      </c>
      <c r="AA164" s="46">
        <v>8.8911486787855214</v>
      </c>
    </row>
    <row r="165" spans="1:27" x14ac:dyDescent="0.25">
      <c r="A165">
        <v>5080</v>
      </c>
      <c r="B165">
        <v>18650</v>
      </c>
      <c r="C165" s="1">
        <v>42743</v>
      </c>
      <c r="D165" s="1"/>
      <c r="E165" s="48">
        <v>18</v>
      </c>
      <c r="F165" s="61"/>
      <c r="G165">
        <v>1.7</v>
      </c>
      <c r="H165">
        <v>-2.2000000000000002</v>
      </c>
      <c r="I165">
        <v>4</v>
      </c>
      <c r="J165" s="14">
        <f t="shared" si="13"/>
        <v>1171.4000000000001</v>
      </c>
      <c r="K165" s="14">
        <f t="shared" si="18"/>
        <v>96.8</v>
      </c>
      <c r="L165" s="1"/>
      <c r="M165">
        <v>0</v>
      </c>
      <c r="N165">
        <v>0.5</v>
      </c>
      <c r="O165" s="14">
        <f t="shared" si="10"/>
        <v>-0.5</v>
      </c>
      <c r="P165">
        <f t="shared" si="17"/>
        <v>32.800000000000018</v>
      </c>
      <c r="Q165" s="31">
        <v>111</v>
      </c>
      <c r="R165">
        <v>1</v>
      </c>
      <c r="S165" s="41">
        <f t="shared" si="11"/>
        <v>0.5</v>
      </c>
      <c r="T165" s="41">
        <f t="shared" si="12"/>
        <v>-0.5</v>
      </c>
      <c r="U165" s="41">
        <f t="shared" si="16"/>
        <v>54.251604938271626</v>
      </c>
      <c r="W165">
        <v>246.3</v>
      </c>
      <c r="Y165">
        <f t="shared" si="14"/>
        <v>75944.100000000006</v>
      </c>
      <c r="Z165">
        <f t="shared" si="19"/>
        <v>8437.4</v>
      </c>
      <c r="AA165" s="46">
        <v>8.9109110099075739</v>
      </c>
    </row>
    <row r="166" spans="1:27" x14ac:dyDescent="0.25">
      <c r="A166">
        <v>5080</v>
      </c>
      <c r="B166">
        <v>18650</v>
      </c>
      <c r="C166" s="1">
        <v>42744</v>
      </c>
      <c r="D166" s="1"/>
      <c r="E166" s="14"/>
      <c r="F166" s="61"/>
      <c r="G166">
        <v>5.5</v>
      </c>
      <c r="H166">
        <v>2.4</v>
      </c>
      <c r="I166">
        <v>7.6</v>
      </c>
      <c r="J166" s="14">
        <f t="shared" si="13"/>
        <v>1176.9000000000001</v>
      </c>
      <c r="K166" s="14">
        <f t="shared" si="18"/>
        <v>102.3</v>
      </c>
      <c r="L166" s="1"/>
      <c r="M166">
        <v>3.1</v>
      </c>
      <c r="N166">
        <v>0.7</v>
      </c>
      <c r="O166" s="14">
        <f t="shared" si="10"/>
        <v>2.4000000000000004</v>
      </c>
      <c r="P166">
        <f t="shared" si="17"/>
        <v>35.200000000000017</v>
      </c>
      <c r="Q166" s="31">
        <v>112</v>
      </c>
      <c r="R166">
        <v>1</v>
      </c>
      <c r="S166" s="41">
        <f t="shared" si="11"/>
        <v>0.7</v>
      </c>
      <c r="T166" s="41">
        <f t="shared" si="12"/>
        <v>2.4000000000000004</v>
      </c>
      <c r="U166" s="41">
        <f t="shared" si="16"/>
        <v>56.651604938271625</v>
      </c>
      <c r="W166">
        <v>299</v>
      </c>
      <c r="Y166">
        <f t="shared" si="14"/>
        <v>76243.100000000006</v>
      </c>
      <c r="Z166">
        <f t="shared" si="19"/>
        <v>8736.4</v>
      </c>
      <c r="AA166" s="46">
        <v>8.9316880840597097</v>
      </c>
    </row>
    <row r="167" spans="1:27" x14ac:dyDescent="0.25">
      <c r="A167">
        <v>5080</v>
      </c>
      <c r="B167">
        <v>18650</v>
      </c>
      <c r="C167" s="1">
        <v>42745</v>
      </c>
      <c r="D167" s="1"/>
      <c r="E167" s="1"/>
      <c r="F167" s="61"/>
      <c r="G167">
        <v>7</v>
      </c>
      <c r="H167">
        <v>6.2</v>
      </c>
      <c r="I167">
        <v>7.6</v>
      </c>
      <c r="J167" s="14">
        <f t="shared" si="13"/>
        <v>1183.9000000000001</v>
      </c>
      <c r="K167" s="14">
        <f t="shared" si="18"/>
        <v>109.3</v>
      </c>
      <c r="L167" s="1"/>
      <c r="M167">
        <v>7.4</v>
      </c>
      <c r="N167">
        <v>0.6</v>
      </c>
      <c r="O167" s="14">
        <f t="shared" si="10"/>
        <v>6.8000000000000007</v>
      </c>
      <c r="P167">
        <f t="shared" si="17"/>
        <v>42.000000000000014</v>
      </c>
      <c r="Q167" s="31">
        <v>113</v>
      </c>
      <c r="R167">
        <v>1</v>
      </c>
      <c r="S167" s="41">
        <f t="shared" si="11"/>
        <v>0.6</v>
      </c>
      <c r="T167" s="41">
        <f t="shared" si="12"/>
        <v>6.8000000000000007</v>
      </c>
      <c r="U167" s="41">
        <f t="shared" si="16"/>
        <v>63.451604938271629</v>
      </c>
      <c r="W167">
        <v>174.5</v>
      </c>
      <c r="Y167">
        <f t="shared" si="14"/>
        <v>76417.600000000006</v>
      </c>
      <c r="Z167">
        <f t="shared" si="19"/>
        <v>8910.9</v>
      </c>
      <c r="AA167" s="46">
        <v>8.9534648468462219</v>
      </c>
    </row>
    <row r="168" spans="1:27" x14ac:dyDescent="0.25">
      <c r="A168">
        <v>5080</v>
      </c>
      <c r="B168">
        <v>18650</v>
      </c>
      <c r="C168" s="1">
        <v>42746</v>
      </c>
      <c r="D168" s="1"/>
      <c r="E168" s="1"/>
      <c r="F168" s="61"/>
      <c r="G168">
        <v>9.4</v>
      </c>
      <c r="H168">
        <v>6.3</v>
      </c>
      <c r="I168">
        <v>11.6</v>
      </c>
      <c r="J168" s="14">
        <f t="shared" si="13"/>
        <v>1193.3000000000002</v>
      </c>
      <c r="K168" s="14">
        <f t="shared" si="18"/>
        <v>118.7</v>
      </c>
      <c r="L168" s="1"/>
      <c r="M168">
        <v>3</v>
      </c>
      <c r="N168">
        <v>0.4</v>
      </c>
      <c r="O168" s="14">
        <f t="shared" si="10"/>
        <v>2.6</v>
      </c>
      <c r="P168">
        <f t="shared" si="17"/>
        <v>44.600000000000016</v>
      </c>
      <c r="Q168" s="31">
        <v>114</v>
      </c>
      <c r="R168">
        <v>1</v>
      </c>
      <c r="S168" s="41">
        <f t="shared" si="11"/>
        <v>0.4</v>
      </c>
      <c r="T168" s="41">
        <f t="shared" si="12"/>
        <v>2.6</v>
      </c>
      <c r="U168" s="41">
        <f t="shared" si="16"/>
        <v>66.051604938271623</v>
      </c>
      <c r="W168">
        <v>205</v>
      </c>
      <c r="Y168">
        <f t="shared" si="14"/>
        <v>76622.600000000006</v>
      </c>
      <c r="Z168">
        <f t="shared" si="19"/>
        <v>9115.9</v>
      </c>
      <c r="AA168" s="46">
        <v>8.976225728029279</v>
      </c>
    </row>
    <row r="169" spans="1:27" x14ac:dyDescent="0.25">
      <c r="A169">
        <v>5080</v>
      </c>
      <c r="B169">
        <v>18650</v>
      </c>
      <c r="C169" s="1">
        <v>42747</v>
      </c>
      <c r="D169" s="1"/>
      <c r="E169" s="1" t="s">
        <v>60</v>
      </c>
      <c r="F169" s="61"/>
      <c r="G169">
        <v>10.4</v>
      </c>
      <c r="H169">
        <v>9.4</v>
      </c>
      <c r="I169">
        <v>11.8</v>
      </c>
      <c r="J169" s="14">
        <f t="shared" si="13"/>
        <v>1203.7000000000003</v>
      </c>
      <c r="K169" s="14">
        <f t="shared" si="18"/>
        <v>129.1</v>
      </c>
      <c r="L169" s="1"/>
      <c r="M169">
        <v>4.7</v>
      </c>
      <c r="N169">
        <v>0.5</v>
      </c>
      <c r="O169" s="14">
        <f t="shared" si="10"/>
        <v>4.2</v>
      </c>
      <c r="P169">
        <f t="shared" si="17"/>
        <v>48.800000000000018</v>
      </c>
      <c r="Q169" s="31">
        <v>115</v>
      </c>
      <c r="R169">
        <v>1</v>
      </c>
      <c r="S169" s="41">
        <f t="shared" si="11"/>
        <v>0.5</v>
      </c>
      <c r="T169" s="41">
        <f t="shared" si="12"/>
        <v>4.2</v>
      </c>
      <c r="U169" s="41">
        <f t="shared" si="16"/>
        <v>70.251604938271626</v>
      </c>
      <c r="W169">
        <v>202.2</v>
      </c>
      <c r="Y169">
        <f t="shared" si="14"/>
        <v>76824.800000000003</v>
      </c>
      <c r="Z169">
        <f t="shared" si="19"/>
        <v>9318.1</v>
      </c>
      <c r="AA169" s="46">
        <v>8.9999546789065228</v>
      </c>
    </row>
    <row r="170" spans="1:27" x14ac:dyDescent="0.25">
      <c r="A170">
        <v>5080</v>
      </c>
      <c r="B170">
        <v>18650</v>
      </c>
      <c r="C170" s="1">
        <v>42748</v>
      </c>
      <c r="D170" s="1"/>
      <c r="E170" s="1"/>
      <c r="F170" s="61"/>
      <c r="G170">
        <v>5</v>
      </c>
      <c r="H170">
        <v>4.5</v>
      </c>
      <c r="I170">
        <v>5.5</v>
      </c>
      <c r="J170" s="14">
        <f t="shared" si="13"/>
        <v>1208.7000000000003</v>
      </c>
      <c r="K170" s="14">
        <f t="shared" si="18"/>
        <v>134.1</v>
      </c>
      <c r="L170" s="1"/>
      <c r="M170">
        <v>1.5</v>
      </c>
      <c r="N170">
        <v>1</v>
      </c>
      <c r="O170" s="14">
        <f t="shared" si="10"/>
        <v>0.5</v>
      </c>
      <c r="P170">
        <f t="shared" si="17"/>
        <v>49.300000000000018</v>
      </c>
      <c r="Q170" s="31">
        <v>116</v>
      </c>
      <c r="R170">
        <v>1</v>
      </c>
      <c r="S170" s="41">
        <f t="shared" si="11"/>
        <v>1</v>
      </c>
      <c r="T170" s="41">
        <f t="shared" si="12"/>
        <v>0.5</v>
      </c>
      <c r="U170" s="41">
        <f t="shared" si="16"/>
        <v>70.751604938271626</v>
      </c>
      <c r="W170">
        <v>777.2</v>
      </c>
      <c r="Y170">
        <f t="shared" si="14"/>
        <v>77602</v>
      </c>
      <c r="Z170">
        <f t="shared" si="19"/>
        <v>10095.300000000001</v>
      </c>
      <c r="AA170">
        <v>9.0246352099631633</v>
      </c>
    </row>
    <row r="171" spans="1:27" x14ac:dyDescent="0.25">
      <c r="A171">
        <v>5080</v>
      </c>
      <c r="B171">
        <v>18650</v>
      </c>
      <c r="C171" s="1">
        <v>42749</v>
      </c>
      <c r="D171" s="1"/>
      <c r="E171" s="1"/>
      <c r="F171" s="61"/>
      <c r="G171">
        <v>4</v>
      </c>
      <c r="H171">
        <v>2.7</v>
      </c>
      <c r="I171">
        <v>5.6</v>
      </c>
      <c r="J171" s="14">
        <f t="shared" si="13"/>
        <v>1212.7000000000003</v>
      </c>
      <c r="K171" s="14">
        <f t="shared" si="18"/>
        <v>138.1</v>
      </c>
      <c r="L171" s="1"/>
      <c r="M171">
        <v>0.8</v>
      </c>
      <c r="N171">
        <v>1</v>
      </c>
      <c r="O171" s="14">
        <f t="shared" si="10"/>
        <v>-0.19999999999999996</v>
      </c>
      <c r="P171">
        <f t="shared" si="17"/>
        <v>49.100000000000016</v>
      </c>
      <c r="Q171" s="31">
        <v>117</v>
      </c>
      <c r="R171">
        <v>1</v>
      </c>
      <c r="S171" s="41">
        <f t="shared" si="11"/>
        <v>1</v>
      </c>
      <c r="T171" s="41">
        <f t="shared" si="12"/>
        <v>-0.19999999999999996</v>
      </c>
      <c r="U171" s="41">
        <f t="shared" si="16"/>
        <v>70.551604938271623</v>
      </c>
      <c r="W171">
        <v>517.4</v>
      </c>
      <c r="Y171">
        <f t="shared" si="14"/>
        <v>78119.399999999994</v>
      </c>
      <c r="Z171">
        <f t="shared" si="19"/>
        <v>10612.7</v>
      </c>
      <c r="AA171">
        <v>9.0502504286330048</v>
      </c>
    </row>
    <row r="172" spans="1:27" x14ac:dyDescent="0.25">
      <c r="A172">
        <v>5080</v>
      </c>
      <c r="B172">
        <v>18650</v>
      </c>
      <c r="C172" s="1">
        <v>42750</v>
      </c>
      <c r="D172" s="1"/>
      <c r="E172" s="1"/>
      <c r="F172" s="61"/>
      <c r="G172">
        <v>4.7</v>
      </c>
      <c r="H172">
        <v>2.5</v>
      </c>
      <c r="I172">
        <v>7.5</v>
      </c>
      <c r="J172" s="14">
        <f t="shared" si="13"/>
        <v>1217.4000000000003</v>
      </c>
      <c r="K172" s="14">
        <f t="shared" si="18"/>
        <v>142.79999999999998</v>
      </c>
      <c r="L172" s="1"/>
      <c r="M172">
        <v>3.7</v>
      </c>
      <c r="N172">
        <v>0.8</v>
      </c>
      <c r="O172" s="14">
        <f t="shared" si="10"/>
        <v>2.9000000000000004</v>
      </c>
      <c r="P172">
        <f t="shared" si="17"/>
        <v>52.000000000000014</v>
      </c>
      <c r="Q172" s="31">
        <v>118</v>
      </c>
      <c r="R172">
        <v>1</v>
      </c>
      <c r="S172" s="41">
        <f t="shared" si="11"/>
        <v>0.8</v>
      </c>
      <c r="T172" s="41">
        <f t="shared" si="12"/>
        <v>2.9000000000000004</v>
      </c>
      <c r="U172" s="41">
        <f t="shared" si="16"/>
        <v>73.451604938271629</v>
      </c>
      <c r="W172">
        <v>127</v>
      </c>
      <c r="Y172">
        <f t="shared" si="14"/>
        <v>78246.399999999994</v>
      </c>
      <c r="Z172">
        <f t="shared" si="19"/>
        <v>10739.7</v>
      </c>
      <c r="AA172">
        <v>9.0767830770087414</v>
      </c>
    </row>
    <row r="173" spans="1:27" x14ac:dyDescent="0.25">
      <c r="A173">
        <v>5080</v>
      </c>
      <c r="B173">
        <v>18650</v>
      </c>
      <c r="C173" s="1">
        <v>42751</v>
      </c>
      <c r="D173" s="1"/>
      <c r="E173" s="1"/>
      <c r="F173" s="61"/>
      <c r="G173">
        <v>5.9</v>
      </c>
      <c r="H173">
        <v>4.5999999999999996</v>
      </c>
      <c r="I173">
        <v>8.5</v>
      </c>
      <c r="J173" s="14">
        <f t="shared" si="13"/>
        <v>1223.3000000000004</v>
      </c>
      <c r="K173" s="14">
        <f t="shared" si="18"/>
        <v>148.69999999999999</v>
      </c>
      <c r="L173" s="1"/>
      <c r="M173">
        <v>1.3</v>
      </c>
      <c r="N173">
        <v>1</v>
      </c>
      <c r="O173" s="14">
        <f t="shared" si="10"/>
        <v>0.30000000000000004</v>
      </c>
      <c r="P173">
        <f t="shared" si="17"/>
        <v>52.300000000000011</v>
      </c>
      <c r="Q173" s="31">
        <v>119</v>
      </c>
      <c r="R173">
        <v>1</v>
      </c>
      <c r="S173" s="41">
        <f t="shared" si="11"/>
        <v>1</v>
      </c>
      <c r="T173" s="41">
        <f t="shared" si="12"/>
        <v>0.30000000000000004</v>
      </c>
      <c r="U173" s="41">
        <f t="shared" si="16"/>
        <v>73.751604938271626</v>
      </c>
      <c r="W173">
        <v>260.3</v>
      </c>
      <c r="Y173">
        <f t="shared" si="14"/>
        <v>78506.7</v>
      </c>
      <c r="Z173">
        <f t="shared" si="19"/>
        <v>11000</v>
      </c>
      <c r="AA173">
        <v>9.1042155693486642</v>
      </c>
    </row>
    <row r="174" spans="1:27" x14ac:dyDescent="0.25">
      <c r="A174">
        <v>5080</v>
      </c>
      <c r="B174">
        <v>18650</v>
      </c>
      <c r="C174" s="1">
        <v>42752</v>
      </c>
      <c r="D174" s="1"/>
      <c r="E174" s="1"/>
      <c r="F174" s="61"/>
      <c r="G174">
        <v>0.1</v>
      </c>
      <c r="H174">
        <v>-1.1000000000000001</v>
      </c>
      <c r="I174">
        <v>1.7</v>
      </c>
      <c r="J174" s="14">
        <f t="shared" si="13"/>
        <v>1223.4000000000003</v>
      </c>
      <c r="K174" s="14">
        <f t="shared" si="18"/>
        <v>148.79999999999998</v>
      </c>
      <c r="L174" s="1"/>
      <c r="M174">
        <v>0</v>
      </c>
      <c r="N174">
        <v>1.2</v>
      </c>
      <c r="O174" s="14">
        <f t="shared" si="10"/>
        <v>-1.2</v>
      </c>
      <c r="P174">
        <f t="shared" si="17"/>
        <v>51.100000000000009</v>
      </c>
      <c r="Q174" s="31">
        <v>120</v>
      </c>
      <c r="R174">
        <v>1</v>
      </c>
      <c r="S174" s="41">
        <f t="shared" si="11"/>
        <v>1.2</v>
      </c>
      <c r="T174" s="41">
        <f t="shared" si="12"/>
        <v>-1.2</v>
      </c>
      <c r="U174" s="41">
        <f t="shared" si="16"/>
        <v>72.551604938271623</v>
      </c>
      <c r="W174">
        <v>1055.9000000000001</v>
      </c>
      <c r="Y174">
        <f t="shared" si="14"/>
        <v>79562.599999999991</v>
      </c>
      <c r="Z174">
        <f t="shared" si="19"/>
        <v>12055.9</v>
      </c>
      <c r="AA174">
        <v>9.1325300292344274</v>
      </c>
    </row>
    <row r="175" spans="1:27" x14ac:dyDescent="0.25">
      <c r="A175">
        <v>5080</v>
      </c>
      <c r="B175">
        <v>18650</v>
      </c>
      <c r="C175" s="1">
        <v>42753</v>
      </c>
      <c r="D175" s="1"/>
      <c r="E175" s="1"/>
      <c r="F175" s="61"/>
      <c r="G175">
        <v>-2.4</v>
      </c>
      <c r="H175">
        <v>-4.2</v>
      </c>
      <c r="I175">
        <v>-0.1</v>
      </c>
      <c r="J175" s="14">
        <v>1223.4000000000001</v>
      </c>
      <c r="K175" s="14">
        <v>148.80000000000001</v>
      </c>
      <c r="L175" s="1"/>
      <c r="M175">
        <v>0</v>
      </c>
      <c r="N175">
        <v>0.7</v>
      </c>
      <c r="O175" s="14">
        <f t="shared" si="10"/>
        <v>-0.7</v>
      </c>
      <c r="P175">
        <f t="shared" si="17"/>
        <v>50.400000000000006</v>
      </c>
      <c r="Q175" s="31">
        <v>121</v>
      </c>
      <c r="R175">
        <v>1</v>
      </c>
      <c r="S175" s="41">
        <f t="shared" si="11"/>
        <v>0.7</v>
      </c>
      <c r="T175" s="41">
        <f t="shared" si="12"/>
        <v>-0.7</v>
      </c>
      <c r="U175" s="41">
        <f t="shared" si="16"/>
        <v>71.85160493827162</v>
      </c>
      <c r="W175">
        <v>875.4</v>
      </c>
      <c r="Y175">
        <f t="shared" si="14"/>
        <v>80437.999999999985</v>
      </c>
      <c r="Z175">
        <f t="shared" si="19"/>
        <v>12931.3</v>
      </c>
      <c r="AA175">
        <v>9.161708326242838</v>
      </c>
    </row>
    <row r="176" spans="1:27" x14ac:dyDescent="0.25">
      <c r="A176">
        <v>5080</v>
      </c>
      <c r="B176">
        <v>18650</v>
      </c>
      <c r="C176" s="1">
        <v>42754</v>
      </c>
      <c r="D176" s="1"/>
      <c r="E176" s="1"/>
      <c r="F176" s="61"/>
      <c r="G176">
        <v>-1.9</v>
      </c>
      <c r="H176">
        <v>-4.8</v>
      </c>
      <c r="I176">
        <v>0.8</v>
      </c>
      <c r="J176" s="14">
        <v>1223.4000000000001</v>
      </c>
      <c r="K176" s="14">
        <v>148.80000000000001</v>
      </c>
      <c r="L176" s="1"/>
      <c r="M176">
        <v>0</v>
      </c>
      <c r="N176">
        <v>0.7</v>
      </c>
      <c r="O176" s="14">
        <f t="shared" si="10"/>
        <v>-0.7</v>
      </c>
      <c r="P176">
        <f t="shared" si="17"/>
        <v>49.7</v>
      </c>
      <c r="Q176" s="31">
        <v>122</v>
      </c>
      <c r="R176">
        <v>1</v>
      </c>
      <c r="S176" s="41">
        <f t="shared" si="11"/>
        <v>0.7</v>
      </c>
      <c r="T176" s="41">
        <f t="shared" si="12"/>
        <v>-0.7</v>
      </c>
      <c r="U176" s="41">
        <f t="shared" si="16"/>
        <v>71.151604938271618</v>
      </c>
      <c r="W176">
        <v>947.1</v>
      </c>
      <c r="Y176">
        <f t="shared" si="14"/>
        <v>81385.099999999991</v>
      </c>
      <c r="Z176">
        <f t="shared" si="19"/>
        <v>13878.4</v>
      </c>
      <c r="AA176">
        <v>9.1917321120033382</v>
      </c>
    </row>
    <row r="177" spans="1:28" x14ac:dyDescent="0.25">
      <c r="A177">
        <v>5080</v>
      </c>
      <c r="B177">
        <v>18650</v>
      </c>
      <c r="C177" s="1">
        <v>42755</v>
      </c>
      <c r="D177" s="1"/>
      <c r="E177" s="1"/>
      <c r="F177" s="61"/>
      <c r="G177">
        <v>1.1000000000000001</v>
      </c>
      <c r="H177">
        <v>-4</v>
      </c>
      <c r="I177">
        <v>5.4</v>
      </c>
      <c r="J177" s="14">
        <f t="shared" si="13"/>
        <v>1224.5</v>
      </c>
      <c r="K177" s="14">
        <f t="shared" si="18"/>
        <v>149.9</v>
      </c>
      <c r="L177" s="1"/>
      <c r="M177">
        <v>0</v>
      </c>
      <c r="N177">
        <v>0.7</v>
      </c>
      <c r="O177" s="14">
        <f t="shared" si="10"/>
        <v>-0.7</v>
      </c>
      <c r="P177">
        <f t="shared" si="17"/>
        <v>49</v>
      </c>
      <c r="Q177" s="31">
        <v>123</v>
      </c>
      <c r="R177">
        <v>1</v>
      </c>
      <c r="S177" s="41">
        <f t="shared" si="11"/>
        <v>0.7</v>
      </c>
      <c r="T177" s="41">
        <f t="shared" si="12"/>
        <v>-0.7</v>
      </c>
      <c r="U177" s="41">
        <f t="shared" si="16"/>
        <v>70.451604938271615</v>
      </c>
      <c r="W177">
        <v>810.2</v>
      </c>
      <c r="Y177">
        <f t="shared" si="14"/>
        <v>82195.299999999988</v>
      </c>
      <c r="Z177">
        <f t="shared" si="19"/>
        <v>14688.6</v>
      </c>
      <c r="AA177">
        <v>9.2225828555220701</v>
      </c>
    </row>
    <row r="178" spans="1:28" x14ac:dyDescent="0.25">
      <c r="A178">
        <v>5080</v>
      </c>
      <c r="B178">
        <v>18650</v>
      </c>
      <c r="C178" s="1">
        <v>42756</v>
      </c>
      <c r="D178" s="1"/>
      <c r="E178" s="1"/>
      <c r="F178" s="61"/>
      <c r="G178">
        <v>3.5</v>
      </c>
      <c r="H178">
        <v>-1</v>
      </c>
      <c r="I178">
        <v>7.9</v>
      </c>
      <c r="J178" s="14">
        <f t="shared" si="13"/>
        <v>1228</v>
      </c>
      <c r="K178" s="14">
        <f t="shared" si="18"/>
        <v>153.4</v>
      </c>
      <c r="L178" s="1"/>
      <c r="M178">
        <v>0</v>
      </c>
      <c r="N178">
        <v>1.1000000000000001</v>
      </c>
      <c r="O178" s="14">
        <f t="shared" si="10"/>
        <v>-1.1000000000000001</v>
      </c>
      <c r="P178">
        <f t="shared" si="17"/>
        <v>47.9</v>
      </c>
      <c r="Q178" s="31">
        <v>124</v>
      </c>
      <c r="R178">
        <v>1</v>
      </c>
      <c r="S178" s="41">
        <f t="shared" si="11"/>
        <v>1.1000000000000001</v>
      </c>
      <c r="T178" s="41">
        <f t="shared" si="12"/>
        <v>-1.1000000000000001</v>
      </c>
      <c r="U178" s="41">
        <f t="shared" si="16"/>
        <v>69.35160493827162</v>
      </c>
      <c r="W178">
        <v>936.5</v>
      </c>
      <c r="Y178">
        <f t="shared" si="14"/>
        <v>83131.799999999988</v>
      </c>
      <c r="Z178">
        <f t="shared" si="19"/>
        <v>15625.1</v>
      </c>
      <c r="AA178">
        <v>9.2542418776629596</v>
      </c>
    </row>
    <row r="179" spans="1:28" x14ac:dyDescent="0.25">
      <c r="A179">
        <v>5080</v>
      </c>
      <c r="B179">
        <v>18650</v>
      </c>
      <c r="C179" s="1">
        <v>42757</v>
      </c>
      <c r="D179" s="1"/>
      <c r="E179" s="1"/>
      <c r="F179" s="61"/>
      <c r="G179">
        <v>3.1</v>
      </c>
      <c r="H179">
        <v>-1</v>
      </c>
      <c r="I179">
        <v>6.4</v>
      </c>
      <c r="J179" s="14">
        <f t="shared" si="13"/>
        <v>1231.0999999999999</v>
      </c>
      <c r="K179" s="14">
        <f t="shared" si="18"/>
        <v>156.5</v>
      </c>
      <c r="L179" s="1"/>
      <c r="M179">
        <v>0.5</v>
      </c>
      <c r="N179">
        <v>0.3</v>
      </c>
      <c r="O179" s="14">
        <f t="shared" si="10"/>
        <v>0.2</v>
      </c>
      <c r="P179">
        <f t="shared" si="17"/>
        <v>48.1</v>
      </c>
      <c r="Q179" s="31">
        <v>125</v>
      </c>
      <c r="R179">
        <v>1</v>
      </c>
      <c r="S179" s="41">
        <f t="shared" si="11"/>
        <v>0.3</v>
      </c>
      <c r="T179" s="41">
        <f t="shared" si="12"/>
        <v>0.2</v>
      </c>
      <c r="U179" s="41">
        <f t="shared" si="16"/>
        <v>69.551604938271623</v>
      </c>
      <c r="W179">
        <v>234.1</v>
      </c>
      <c r="Y179">
        <f t="shared" si="14"/>
        <v>83365.899999999994</v>
      </c>
      <c r="Z179">
        <f t="shared" si="19"/>
        <v>15859.2</v>
      </c>
      <c r="AA179">
        <v>9.2866903846859135</v>
      </c>
    </row>
    <row r="180" spans="1:28" x14ac:dyDescent="0.25">
      <c r="A180">
        <v>5080</v>
      </c>
      <c r="B180">
        <v>18650</v>
      </c>
      <c r="C180" s="1">
        <v>42758</v>
      </c>
      <c r="D180" s="1"/>
      <c r="E180" s="1"/>
      <c r="F180" s="61"/>
      <c r="G180">
        <v>5.3</v>
      </c>
      <c r="H180">
        <v>3.5</v>
      </c>
      <c r="I180">
        <v>7.9</v>
      </c>
      <c r="J180" s="14">
        <f t="shared" si="13"/>
        <v>1236.3999999999999</v>
      </c>
      <c r="K180" s="14">
        <f t="shared" si="18"/>
        <v>161.80000000000001</v>
      </c>
      <c r="L180" s="1"/>
      <c r="M180">
        <v>0</v>
      </c>
      <c r="N180">
        <v>0.7</v>
      </c>
      <c r="O180" s="14">
        <f t="shared" si="10"/>
        <v>-0.7</v>
      </c>
      <c r="P180">
        <f t="shared" si="17"/>
        <v>47.4</v>
      </c>
      <c r="Q180" s="31">
        <v>126</v>
      </c>
      <c r="R180">
        <v>1</v>
      </c>
      <c r="S180" s="41">
        <f t="shared" si="11"/>
        <v>0.7</v>
      </c>
      <c r="T180" s="41">
        <f t="shared" si="12"/>
        <v>-0.7</v>
      </c>
      <c r="U180" s="41">
        <f t="shared" si="16"/>
        <v>68.85160493827162</v>
      </c>
      <c r="W180">
        <v>627.70000000000005</v>
      </c>
      <c r="Y180">
        <f t="shared" si="14"/>
        <v>83993.599999999991</v>
      </c>
      <c r="Z180">
        <f t="shared" si="19"/>
        <v>16486.900000000001</v>
      </c>
      <c r="AA180">
        <v>9.3199095007521446</v>
      </c>
    </row>
    <row r="181" spans="1:28" x14ac:dyDescent="0.25">
      <c r="A181">
        <v>5080</v>
      </c>
      <c r="B181">
        <v>18650</v>
      </c>
      <c r="C181" s="1">
        <v>42759</v>
      </c>
      <c r="D181" s="1"/>
      <c r="E181" s="1"/>
      <c r="F181" s="61"/>
      <c r="G181">
        <v>2.2000000000000002</v>
      </c>
      <c r="H181">
        <v>0.5</v>
      </c>
      <c r="I181">
        <v>3.8</v>
      </c>
      <c r="J181" s="14">
        <f t="shared" si="13"/>
        <v>1238.5999999999999</v>
      </c>
      <c r="K181" s="14">
        <f t="shared" si="18"/>
        <v>164</v>
      </c>
      <c r="L181" s="1"/>
      <c r="M181">
        <v>0</v>
      </c>
      <c r="N181">
        <v>1.1000000000000001</v>
      </c>
      <c r="O181" s="14">
        <f t="shared" si="10"/>
        <v>-1.1000000000000001</v>
      </c>
      <c r="P181">
        <f t="shared" si="17"/>
        <v>46.3</v>
      </c>
      <c r="Q181" s="31">
        <v>127</v>
      </c>
      <c r="R181">
        <v>1</v>
      </c>
      <c r="S181" s="41">
        <f t="shared" si="11"/>
        <v>1.1000000000000001</v>
      </c>
      <c r="T181" s="41">
        <f t="shared" si="12"/>
        <v>-1.1000000000000001</v>
      </c>
      <c r="U181" s="41">
        <f t="shared" si="16"/>
        <v>67.751604938271626</v>
      </c>
      <c r="W181">
        <v>1082.8</v>
      </c>
      <c r="Y181">
        <f t="shared" si="14"/>
        <v>85076.4</v>
      </c>
      <c r="Z181">
        <f t="shared" si="19"/>
        <v>17569.7</v>
      </c>
      <c r="AA181">
        <v>9.353880299316355</v>
      </c>
    </row>
    <row r="182" spans="1:28" x14ac:dyDescent="0.25">
      <c r="A182">
        <v>5080</v>
      </c>
      <c r="B182">
        <v>18650</v>
      </c>
      <c r="C182" s="1">
        <v>42760</v>
      </c>
      <c r="D182" s="1"/>
      <c r="E182" s="1"/>
      <c r="F182" s="61"/>
      <c r="G182">
        <v>-1</v>
      </c>
      <c r="H182">
        <v>-2.1</v>
      </c>
      <c r="I182">
        <v>1</v>
      </c>
      <c r="J182" s="14">
        <v>1238.5999999999999</v>
      </c>
      <c r="K182" s="14">
        <v>164</v>
      </c>
      <c r="L182" s="1"/>
      <c r="M182">
        <v>0</v>
      </c>
      <c r="N182">
        <v>0.4</v>
      </c>
      <c r="O182" s="14">
        <f t="shared" si="10"/>
        <v>-0.4</v>
      </c>
      <c r="P182">
        <f t="shared" si="17"/>
        <v>45.9</v>
      </c>
      <c r="Q182" s="31">
        <v>128</v>
      </c>
      <c r="R182">
        <v>1</v>
      </c>
      <c r="S182" s="41">
        <f t="shared" si="11"/>
        <v>0.4</v>
      </c>
      <c r="T182" s="41">
        <f t="shared" si="12"/>
        <v>-0.4</v>
      </c>
      <c r="U182" s="41">
        <f t="shared" si="16"/>
        <v>67.35160493827162</v>
      </c>
      <c r="W182">
        <v>423.6</v>
      </c>
      <c r="Y182">
        <f t="shared" si="14"/>
        <v>85500</v>
      </c>
      <c r="Z182">
        <f t="shared" si="19"/>
        <v>17993.3</v>
      </c>
      <c r="AA182">
        <v>9.3885838333353853</v>
      </c>
    </row>
    <row r="183" spans="1:28" s="42" customFormat="1" ht="15.75" thickBot="1" x14ac:dyDescent="0.3">
      <c r="A183" s="42">
        <v>5080</v>
      </c>
      <c r="B183" s="42">
        <v>18650</v>
      </c>
      <c r="C183" s="43">
        <v>42761</v>
      </c>
      <c r="D183" s="43"/>
      <c r="E183" s="43"/>
      <c r="F183" s="61"/>
      <c r="G183" s="42">
        <v>1.5</v>
      </c>
      <c r="H183" s="42">
        <v>-4.3</v>
      </c>
      <c r="I183" s="42">
        <v>7.4</v>
      </c>
      <c r="J183" s="44">
        <f t="shared" si="13"/>
        <v>1240.0999999999999</v>
      </c>
      <c r="K183" s="44">
        <f t="shared" si="18"/>
        <v>165.5</v>
      </c>
      <c r="L183" s="43"/>
      <c r="M183" s="42">
        <v>0</v>
      </c>
      <c r="N183" s="42">
        <v>0.6</v>
      </c>
      <c r="O183" s="44">
        <f t="shared" si="10"/>
        <v>-0.6</v>
      </c>
      <c r="P183" s="42">
        <f t="shared" si="17"/>
        <v>45.3</v>
      </c>
      <c r="Q183" s="42">
        <v>129</v>
      </c>
      <c r="R183" s="42">
        <v>1</v>
      </c>
      <c r="S183" s="45">
        <f t="shared" si="11"/>
        <v>0.6</v>
      </c>
      <c r="T183" s="45">
        <f t="shared" si="12"/>
        <v>-0.6</v>
      </c>
      <c r="U183" s="41">
        <f t="shared" si="16"/>
        <v>66.751604938271626</v>
      </c>
      <c r="W183" s="42">
        <v>628.29999999999995</v>
      </c>
      <c r="Y183" s="42">
        <f t="shared" si="14"/>
        <v>86128.3</v>
      </c>
      <c r="Z183" s="42">
        <f t="shared" si="19"/>
        <v>18621.599999999999</v>
      </c>
      <c r="AA183" s="42">
        <v>9.4240011642324539</v>
      </c>
    </row>
    <row r="184" spans="1:28" ht="15" customHeight="1" x14ac:dyDescent="0.25">
      <c r="A184">
        <v>5080</v>
      </c>
      <c r="B184">
        <v>18650</v>
      </c>
      <c r="C184" s="1">
        <v>42762</v>
      </c>
      <c r="D184" s="1"/>
      <c r="F184" s="64" t="s">
        <v>48</v>
      </c>
      <c r="G184">
        <v>8.8000000000000007</v>
      </c>
      <c r="H184">
        <v>3.2</v>
      </c>
      <c r="I184">
        <v>11.5</v>
      </c>
      <c r="J184" s="14">
        <f t="shared" si="13"/>
        <v>1248.8999999999999</v>
      </c>
      <c r="K184" s="14">
        <f>G184</f>
        <v>8.8000000000000007</v>
      </c>
      <c r="L184" s="24" t="s">
        <v>37</v>
      </c>
      <c r="M184">
        <v>0.1</v>
      </c>
      <c r="N184">
        <v>1.3</v>
      </c>
      <c r="O184" s="14">
        <f t="shared" ref="O184:O247" si="20">M184-N184</f>
        <v>-1.2</v>
      </c>
      <c r="P184">
        <f t="shared" si="17"/>
        <v>44.099999999999994</v>
      </c>
      <c r="Q184" s="31">
        <v>130</v>
      </c>
      <c r="R184">
        <f>1+((Q184-129)/49)*(1.15-1)</f>
        <v>1.0030612244897958</v>
      </c>
      <c r="S184" s="41">
        <f t="shared" ref="S184:S247" si="21">R184*N184</f>
        <v>1.3039795918367347</v>
      </c>
      <c r="T184" s="41">
        <f t="shared" ref="T184:T247" si="22">M184-S184</f>
        <v>-1.2039795918367346</v>
      </c>
      <c r="U184" s="41">
        <f t="shared" si="16"/>
        <v>65.547625346434899</v>
      </c>
      <c r="V184" s="34" t="s">
        <v>50</v>
      </c>
      <c r="W184">
        <v>335.9</v>
      </c>
      <c r="Y184">
        <f t="shared" si="14"/>
        <v>86464.2</v>
      </c>
      <c r="Z184">
        <f>W184</f>
        <v>335.9</v>
      </c>
      <c r="AA184">
        <v>9.4601133895654801</v>
      </c>
      <c r="AB184" s="34" t="s">
        <v>56</v>
      </c>
    </row>
    <row r="185" spans="1:28" x14ac:dyDescent="0.25">
      <c r="A185">
        <v>5080</v>
      </c>
      <c r="B185">
        <v>18650</v>
      </c>
      <c r="C185" s="1">
        <v>42763</v>
      </c>
      <c r="D185" s="1"/>
      <c r="E185" s="16"/>
      <c r="F185" s="64"/>
      <c r="G185">
        <v>7.3</v>
      </c>
      <c r="H185">
        <v>7</v>
      </c>
      <c r="I185">
        <v>10.3</v>
      </c>
      <c r="J185" s="14">
        <f t="shared" ref="J185:J248" si="23">J184+G185</f>
        <v>1256.1999999999998</v>
      </c>
      <c r="K185" s="14">
        <f t="shared" si="18"/>
        <v>16.100000000000001</v>
      </c>
      <c r="L185" s="8">
        <v>469.6</v>
      </c>
      <c r="M185">
        <v>0</v>
      </c>
      <c r="N185">
        <v>1.1000000000000001</v>
      </c>
      <c r="O185" s="14">
        <f t="shared" si="20"/>
        <v>-1.1000000000000001</v>
      </c>
      <c r="P185">
        <f t="shared" si="17"/>
        <v>42.999999999999993</v>
      </c>
      <c r="Q185" s="31">
        <v>131</v>
      </c>
      <c r="R185">
        <f t="shared" ref="R185:R232" si="24">1+((Q185-129)/49)*(1.15-1)</f>
        <v>1.0061224489795919</v>
      </c>
      <c r="S185" s="41">
        <f t="shared" si="21"/>
        <v>1.1067346938775513</v>
      </c>
      <c r="T185" s="41">
        <f t="shared" si="22"/>
        <v>-1.1067346938775513</v>
      </c>
      <c r="U185" s="41">
        <f t="shared" si="16"/>
        <v>64.440890652557343</v>
      </c>
      <c r="V185">
        <v>0</v>
      </c>
      <c r="W185">
        <v>652.70000000000005</v>
      </c>
      <c r="Y185">
        <f t="shared" ref="Y185:Y248" si="25">Y184+W185</f>
        <v>87116.9</v>
      </c>
      <c r="Z185">
        <f>Z184+W185</f>
        <v>988.6</v>
      </c>
      <c r="AA185">
        <v>9.4969016693570847</v>
      </c>
      <c r="AB185">
        <v>41320.5</v>
      </c>
    </row>
    <row r="186" spans="1:28" x14ac:dyDescent="0.25">
      <c r="A186">
        <v>5080</v>
      </c>
      <c r="B186">
        <v>18650</v>
      </c>
      <c r="C186" s="1">
        <v>42764</v>
      </c>
      <c r="D186" s="1"/>
      <c r="E186" s="16"/>
      <c r="F186" s="64"/>
      <c r="G186">
        <v>7.2</v>
      </c>
      <c r="H186">
        <v>2.2000000000000002</v>
      </c>
      <c r="I186">
        <v>11.3</v>
      </c>
      <c r="J186" s="14">
        <f t="shared" si="23"/>
        <v>1263.3999999999999</v>
      </c>
      <c r="K186" s="14">
        <f t="shared" si="18"/>
        <v>23.3</v>
      </c>
      <c r="L186" s="24" t="s">
        <v>38</v>
      </c>
      <c r="M186">
        <v>0.1</v>
      </c>
      <c r="N186">
        <v>1.3</v>
      </c>
      <c r="O186" s="14">
        <f t="shared" si="20"/>
        <v>-1.2</v>
      </c>
      <c r="P186">
        <f t="shared" si="17"/>
        <v>41.79999999999999</v>
      </c>
      <c r="Q186" s="31">
        <v>132</v>
      </c>
      <c r="R186">
        <f t="shared" si="24"/>
        <v>1.0091836734693878</v>
      </c>
      <c r="S186" s="41">
        <f t="shared" si="21"/>
        <v>1.3119387755102041</v>
      </c>
      <c r="T186" s="41">
        <f t="shared" si="22"/>
        <v>-1.211938775510204</v>
      </c>
      <c r="U186" s="41">
        <f t="shared" si="16"/>
        <v>63.228951877047137</v>
      </c>
      <c r="V186" s="34" t="s">
        <v>51</v>
      </c>
      <c r="W186">
        <v>914.2</v>
      </c>
      <c r="Y186">
        <f t="shared" si="25"/>
        <v>88031.099999999991</v>
      </c>
      <c r="Z186">
        <f t="shared" ref="Z186:Z249" si="26">Z185+W186</f>
        <v>1902.8000000000002</v>
      </c>
      <c r="AA186">
        <v>9.5343472510525782</v>
      </c>
      <c r="AB186" s="34" t="s">
        <v>57</v>
      </c>
    </row>
    <row r="187" spans="1:28" x14ac:dyDescent="0.25">
      <c r="A187">
        <v>5080</v>
      </c>
      <c r="B187">
        <v>18650</v>
      </c>
      <c r="C187" s="1">
        <v>42765</v>
      </c>
      <c r="D187" s="1"/>
      <c r="E187" s="16"/>
      <c r="F187" s="64"/>
      <c r="G187">
        <v>9.6</v>
      </c>
      <c r="H187">
        <v>7.6</v>
      </c>
      <c r="I187">
        <v>11.2</v>
      </c>
      <c r="J187" s="14">
        <f t="shared" si="23"/>
        <v>1272.9999999999998</v>
      </c>
      <c r="K187" s="14">
        <f t="shared" si="18"/>
        <v>32.9</v>
      </c>
      <c r="L187" s="8">
        <f>AVERAGE(G184:G232)</f>
        <v>9.5836734693877546</v>
      </c>
      <c r="M187">
        <v>0.1</v>
      </c>
      <c r="N187">
        <v>0.8</v>
      </c>
      <c r="O187" s="14">
        <f t="shared" si="20"/>
        <v>-0.70000000000000007</v>
      </c>
      <c r="P187">
        <f t="shared" si="17"/>
        <v>41.099999999999987</v>
      </c>
      <c r="Q187" s="31">
        <v>133</v>
      </c>
      <c r="R187">
        <f t="shared" si="24"/>
        <v>1.0122448979591836</v>
      </c>
      <c r="S187" s="41">
        <f t="shared" si="21"/>
        <v>0.80979591836734688</v>
      </c>
      <c r="T187" s="41">
        <f t="shared" si="22"/>
        <v>-0.7097959183673469</v>
      </c>
      <c r="U187" s="41">
        <f t="shared" si="16"/>
        <v>62.519155958679789</v>
      </c>
      <c r="V187">
        <v>0</v>
      </c>
      <c r="W187">
        <v>414.4</v>
      </c>
      <c r="Y187">
        <f t="shared" si="25"/>
        <v>88445.499999999985</v>
      </c>
      <c r="Z187">
        <f t="shared" si="26"/>
        <v>2317.2000000000003</v>
      </c>
      <c r="AA187">
        <v>9.5724314930805061</v>
      </c>
      <c r="AB187">
        <f>(AB185/100)/L185</f>
        <v>0.87990843270868813</v>
      </c>
    </row>
    <row r="188" spans="1:28" x14ac:dyDescent="0.25">
      <c r="A188">
        <v>5080</v>
      </c>
      <c r="B188">
        <v>18650</v>
      </c>
      <c r="C188" s="1">
        <v>42766</v>
      </c>
      <c r="D188" s="1"/>
      <c r="E188" s="16"/>
      <c r="F188" s="64"/>
      <c r="G188">
        <v>10.3</v>
      </c>
      <c r="H188">
        <v>8</v>
      </c>
      <c r="I188">
        <v>13</v>
      </c>
      <c r="J188" s="14">
        <f t="shared" si="23"/>
        <v>1283.2999999999997</v>
      </c>
      <c r="K188" s="14">
        <f t="shared" si="18"/>
        <v>43.2</v>
      </c>
      <c r="L188" s="24" t="s">
        <v>39</v>
      </c>
      <c r="M188">
        <v>0.1</v>
      </c>
      <c r="N188">
        <v>1.7</v>
      </c>
      <c r="O188" s="14">
        <f t="shared" si="20"/>
        <v>-1.5999999999999999</v>
      </c>
      <c r="P188">
        <f t="shared" si="17"/>
        <v>39.499999999999986</v>
      </c>
      <c r="Q188" s="31">
        <v>134</v>
      </c>
      <c r="R188">
        <f t="shared" si="24"/>
        <v>1.0153061224489797</v>
      </c>
      <c r="S188" s="41">
        <f t="shared" si="21"/>
        <v>1.7260204081632653</v>
      </c>
      <c r="T188" s="41">
        <f t="shared" si="22"/>
        <v>-1.6260204081632652</v>
      </c>
      <c r="U188" s="41">
        <f t="shared" si="16"/>
        <v>60.893135550516526</v>
      </c>
      <c r="V188" s="34" t="s">
        <v>52</v>
      </c>
      <c r="W188">
        <v>841.2</v>
      </c>
      <c r="Y188">
        <f t="shared" si="25"/>
        <v>89286.699999999983</v>
      </c>
      <c r="Z188">
        <f t="shared" si="26"/>
        <v>3158.4000000000005</v>
      </c>
      <c r="AA188">
        <v>9.6111358869982944</v>
      </c>
      <c r="AB188" s="34" t="s">
        <v>58</v>
      </c>
    </row>
    <row r="189" spans="1:28" x14ac:dyDescent="0.25">
      <c r="A189">
        <v>5080</v>
      </c>
      <c r="B189">
        <v>18650</v>
      </c>
      <c r="C189" s="1">
        <v>42767</v>
      </c>
      <c r="D189" s="1"/>
      <c r="E189" s="16"/>
      <c r="F189" s="64"/>
      <c r="G189">
        <v>11.8</v>
      </c>
      <c r="H189">
        <v>10.3</v>
      </c>
      <c r="I189">
        <v>15.4</v>
      </c>
      <c r="J189" s="14">
        <f t="shared" si="23"/>
        <v>1295.0999999999997</v>
      </c>
      <c r="K189" s="14">
        <f t="shared" si="18"/>
        <v>55</v>
      </c>
      <c r="L189" s="9">
        <f>MIN(H184:H232)</f>
        <v>0.5</v>
      </c>
      <c r="M189">
        <v>0</v>
      </c>
      <c r="N189">
        <v>1.9</v>
      </c>
      <c r="O189" s="14">
        <f t="shared" si="20"/>
        <v>-1.9</v>
      </c>
      <c r="P189">
        <f t="shared" si="17"/>
        <v>37.599999999999987</v>
      </c>
      <c r="Q189" s="31">
        <v>135</v>
      </c>
      <c r="R189">
        <f t="shared" si="24"/>
        <v>1.0183673469387755</v>
      </c>
      <c r="S189" s="41">
        <f t="shared" si="21"/>
        <v>1.9348979591836735</v>
      </c>
      <c r="T189" s="41">
        <f t="shared" si="22"/>
        <v>-1.9348979591836735</v>
      </c>
      <c r="U189" s="41">
        <f t="shared" si="16"/>
        <v>58.958237591332853</v>
      </c>
      <c r="V189" s="41">
        <f>MIN(U184:U232)</f>
        <v>58.958237591332853</v>
      </c>
      <c r="W189">
        <v>464.4</v>
      </c>
      <c r="Y189">
        <f t="shared" si="25"/>
        <v>89751.099999999977</v>
      </c>
      <c r="Z189">
        <f t="shared" si="26"/>
        <v>3622.8000000000006</v>
      </c>
      <c r="AA189">
        <v>9.6504420782129223</v>
      </c>
      <c r="AB189">
        <v>32</v>
      </c>
    </row>
    <row r="190" spans="1:28" x14ac:dyDescent="0.25">
      <c r="A190">
        <v>5080</v>
      </c>
      <c r="B190">
        <v>18650</v>
      </c>
      <c r="C190" s="1">
        <v>42768</v>
      </c>
      <c r="D190" s="1"/>
      <c r="E190" s="16"/>
      <c r="F190" s="64"/>
      <c r="G190">
        <v>10.5</v>
      </c>
      <c r="H190">
        <v>9.6</v>
      </c>
      <c r="I190">
        <v>13</v>
      </c>
      <c r="J190" s="14">
        <f t="shared" si="23"/>
        <v>1305.5999999999997</v>
      </c>
      <c r="K190" s="14">
        <f t="shared" si="18"/>
        <v>65.5</v>
      </c>
      <c r="L190" s="24" t="s">
        <v>40</v>
      </c>
      <c r="M190">
        <v>2.1</v>
      </c>
      <c r="N190">
        <v>1.4</v>
      </c>
      <c r="O190" s="14">
        <f t="shared" si="20"/>
        <v>0.70000000000000018</v>
      </c>
      <c r="P190">
        <f t="shared" si="17"/>
        <v>38.29999999999999</v>
      </c>
      <c r="Q190" s="31">
        <v>136</v>
      </c>
      <c r="R190">
        <f t="shared" si="24"/>
        <v>1.0214285714285714</v>
      </c>
      <c r="S190" s="41">
        <f t="shared" si="21"/>
        <v>1.4299999999999997</v>
      </c>
      <c r="T190" s="41">
        <f t="shared" si="22"/>
        <v>0.67000000000000037</v>
      </c>
      <c r="U190" s="41">
        <f t="shared" si="16"/>
        <v>59.628237591332855</v>
      </c>
      <c r="V190" s="34" t="s">
        <v>53</v>
      </c>
      <c r="W190">
        <v>217.9</v>
      </c>
      <c r="Y190">
        <f t="shared" si="25"/>
        <v>89968.999999999971</v>
      </c>
      <c r="Z190">
        <f t="shared" si="26"/>
        <v>3840.7000000000007</v>
      </c>
      <c r="AA190">
        <v>9.6903318852734728</v>
      </c>
    </row>
    <row r="191" spans="1:28" x14ac:dyDescent="0.25">
      <c r="A191">
        <v>5080</v>
      </c>
      <c r="B191">
        <v>18650</v>
      </c>
      <c r="C191" s="1">
        <v>42769</v>
      </c>
      <c r="D191" s="1"/>
      <c r="E191" s="16"/>
      <c r="F191" s="64"/>
      <c r="G191">
        <v>8.1</v>
      </c>
      <c r="H191">
        <v>4.5999999999999996</v>
      </c>
      <c r="I191">
        <v>12.6</v>
      </c>
      <c r="J191" s="14">
        <f t="shared" si="23"/>
        <v>1313.6999999999996</v>
      </c>
      <c r="K191" s="14">
        <f t="shared" si="18"/>
        <v>73.599999999999994</v>
      </c>
      <c r="L191" s="8">
        <f>MAX(I184:I232)</f>
        <v>19.3</v>
      </c>
      <c r="M191">
        <v>6.2</v>
      </c>
      <c r="N191">
        <v>1.2</v>
      </c>
      <c r="O191" s="14">
        <f t="shared" si="20"/>
        <v>5</v>
      </c>
      <c r="P191">
        <f t="shared" si="17"/>
        <v>43.29999999999999</v>
      </c>
      <c r="Q191" s="31">
        <v>137</v>
      </c>
      <c r="R191">
        <f t="shared" si="24"/>
        <v>1.0244897959183674</v>
      </c>
      <c r="S191" s="41">
        <f t="shared" si="21"/>
        <v>1.2293877551020409</v>
      </c>
      <c r="T191" s="41">
        <f t="shared" si="22"/>
        <v>4.9706122448979588</v>
      </c>
      <c r="U191" s="41">
        <f t="shared" si="16"/>
        <v>64.598849836230812</v>
      </c>
      <c r="V191" s="41">
        <f>MAX(U184:U232)</f>
        <v>106.34170697908793</v>
      </c>
      <c r="W191">
        <v>560.20000000000005</v>
      </c>
      <c r="Y191">
        <f t="shared" si="25"/>
        <v>90529.199999999968</v>
      </c>
      <c r="Z191">
        <f t="shared" si="26"/>
        <v>4400.9000000000005</v>
      </c>
      <c r="AA191">
        <v>9.7307873177388764</v>
      </c>
    </row>
    <row r="192" spans="1:28" x14ac:dyDescent="0.25">
      <c r="A192">
        <v>5080</v>
      </c>
      <c r="B192">
        <v>18650</v>
      </c>
      <c r="C192" s="1">
        <v>42770</v>
      </c>
      <c r="D192" s="1"/>
      <c r="E192" s="16"/>
      <c r="F192" s="64"/>
      <c r="G192">
        <v>9.9</v>
      </c>
      <c r="H192">
        <v>7.4</v>
      </c>
      <c r="I192">
        <v>12</v>
      </c>
      <c r="J192" s="14">
        <f t="shared" si="23"/>
        <v>1323.5999999999997</v>
      </c>
      <c r="K192" s="14">
        <f t="shared" si="18"/>
        <v>83.5</v>
      </c>
      <c r="L192" s="24" t="s">
        <v>41</v>
      </c>
      <c r="M192">
        <v>19.100000000000001</v>
      </c>
      <c r="N192">
        <v>1.5</v>
      </c>
      <c r="O192" s="14">
        <f t="shared" si="20"/>
        <v>17.600000000000001</v>
      </c>
      <c r="P192">
        <f t="shared" si="17"/>
        <v>60.899999999999991</v>
      </c>
      <c r="Q192" s="31">
        <v>138</v>
      </c>
      <c r="R192">
        <f t="shared" si="24"/>
        <v>1.0275510204081633</v>
      </c>
      <c r="S192" s="41">
        <f t="shared" si="21"/>
        <v>1.541326530612245</v>
      </c>
      <c r="T192" s="41">
        <f t="shared" si="22"/>
        <v>17.558673469387756</v>
      </c>
      <c r="U192" s="41">
        <f t="shared" si="16"/>
        <v>82.157523305618568</v>
      </c>
      <c r="V192" s="34" t="s">
        <v>54</v>
      </c>
      <c r="W192">
        <v>638.1</v>
      </c>
      <c r="Y192">
        <f t="shared" si="25"/>
        <v>91167.299999999974</v>
      </c>
      <c r="Z192">
        <f t="shared" si="26"/>
        <v>5039.0000000000009</v>
      </c>
      <c r="AA192">
        <v>9.7717905926300936</v>
      </c>
    </row>
    <row r="193" spans="1:27" x14ac:dyDescent="0.25">
      <c r="A193">
        <v>5080</v>
      </c>
      <c r="B193">
        <v>18650</v>
      </c>
      <c r="C193" s="1">
        <v>42771</v>
      </c>
      <c r="D193" s="1"/>
      <c r="E193" s="16"/>
      <c r="F193" s="64"/>
      <c r="G193">
        <v>7.9</v>
      </c>
      <c r="H193">
        <v>7.9</v>
      </c>
      <c r="I193">
        <v>8.4</v>
      </c>
      <c r="J193" s="14">
        <f t="shared" si="23"/>
        <v>1331.4999999999998</v>
      </c>
      <c r="K193" s="14">
        <f t="shared" si="18"/>
        <v>91.4</v>
      </c>
      <c r="L193" s="8">
        <v>0</v>
      </c>
      <c r="M193">
        <v>7.1</v>
      </c>
      <c r="N193">
        <v>1.1000000000000001</v>
      </c>
      <c r="O193" s="14">
        <f t="shared" si="20"/>
        <v>6</v>
      </c>
      <c r="P193">
        <f t="shared" si="17"/>
        <v>66.899999999999991</v>
      </c>
      <c r="Q193" s="31">
        <v>139</v>
      </c>
      <c r="R193">
        <f t="shared" si="24"/>
        <v>1.0306122448979591</v>
      </c>
      <c r="S193" s="41">
        <f t="shared" si="21"/>
        <v>1.133673469387755</v>
      </c>
      <c r="T193" s="41">
        <f t="shared" si="22"/>
        <v>5.9663265306122444</v>
      </c>
      <c r="U193" s="41">
        <f t="shared" si="16"/>
        <v>88.123849836230818</v>
      </c>
      <c r="V193" s="41">
        <f>AVERAGE(U184:U232)</f>
        <v>81.913181364760575</v>
      </c>
      <c r="W193">
        <v>225.3</v>
      </c>
      <c r="Y193">
        <f t="shared" si="25"/>
        <v>91392.599999999977</v>
      </c>
      <c r="Z193">
        <f t="shared" si="26"/>
        <v>5264.3000000000011</v>
      </c>
      <c r="AA193">
        <v>9.8133241494813728</v>
      </c>
    </row>
    <row r="194" spans="1:27" x14ac:dyDescent="0.25">
      <c r="A194">
        <v>5080</v>
      </c>
      <c r="B194">
        <v>18650</v>
      </c>
      <c r="C194" s="1">
        <v>42772</v>
      </c>
      <c r="D194" s="1"/>
      <c r="E194" s="16"/>
      <c r="F194" s="64"/>
      <c r="G194">
        <v>7.3</v>
      </c>
      <c r="H194">
        <v>5.7</v>
      </c>
      <c r="I194">
        <v>8.6</v>
      </c>
      <c r="J194" s="14">
        <f t="shared" si="23"/>
        <v>1338.7999999999997</v>
      </c>
      <c r="K194" s="14">
        <f t="shared" si="18"/>
        <v>98.7</v>
      </c>
      <c r="L194" s="24" t="s">
        <v>42</v>
      </c>
      <c r="M194">
        <v>3.4</v>
      </c>
      <c r="N194">
        <v>1.3</v>
      </c>
      <c r="O194" s="14">
        <f t="shared" si="20"/>
        <v>2.0999999999999996</v>
      </c>
      <c r="P194">
        <f t="shared" si="17"/>
        <v>68.999999999999986</v>
      </c>
      <c r="Q194" s="31">
        <v>140</v>
      </c>
      <c r="R194">
        <f t="shared" si="24"/>
        <v>1.0336734693877552</v>
      </c>
      <c r="S194" s="41">
        <f t="shared" si="21"/>
        <v>1.3437755102040818</v>
      </c>
      <c r="T194" s="41">
        <f t="shared" si="22"/>
        <v>2.0562244897959179</v>
      </c>
      <c r="U194" s="41">
        <f t="shared" ref="U194:U257" si="27">MIN(U193+T194,157.8)</f>
        <v>90.180074326026741</v>
      </c>
      <c r="W194">
        <v>858.1</v>
      </c>
      <c r="Y194">
        <f t="shared" si="25"/>
        <v>92250.699999999983</v>
      </c>
      <c r="Z194">
        <f t="shared" si="26"/>
        <v>6122.4000000000015</v>
      </c>
      <c r="AA194">
        <v>9.8553706640101186</v>
      </c>
    </row>
    <row r="195" spans="1:27" x14ac:dyDescent="0.25">
      <c r="A195">
        <v>5080</v>
      </c>
      <c r="B195">
        <v>18650</v>
      </c>
      <c r="C195" s="1">
        <v>42773</v>
      </c>
      <c r="D195" s="1"/>
      <c r="E195" s="16"/>
      <c r="F195" s="64"/>
      <c r="G195">
        <v>9.6999999999999993</v>
      </c>
      <c r="H195">
        <v>7</v>
      </c>
      <c r="I195">
        <v>12.9</v>
      </c>
      <c r="J195" s="14">
        <f t="shared" si="23"/>
        <v>1348.4999999999998</v>
      </c>
      <c r="K195" s="14">
        <f t="shared" si="18"/>
        <v>108.4</v>
      </c>
      <c r="L195" s="8">
        <v>20</v>
      </c>
      <c r="M195">
        <v>5.6</v>
      </c>
      <c r="N195">
        <v>0.9</v>
      </c>
      <c r="O195" s="14">
        <f t="shared" si="20"/>
        <v>4.6999999999999993</v>
      </c>
      <c r="P195">
        <f t="shared" si="17"/>
        <v>73.699999999999989</v>
      </c>
      <c r="Q195" s="31">
        <v>141</v>
      </c>
      <c r="R195">
        <f t="shared" si="24"/>
        <v>1.036734693877551</v>
      </c>
      <c r="S195" s="41">
        <f t="shared" si="21"/>
        <v>0.93306122448979589</v>
      </c>
      <c r="T195" s="41">
        <f t="shared" si="22"/>
        <v>4.6669387755102036</v>
      </c>
      <c r="U195" s="41">
        <f t="shared" si="27"/>
        <v>94.847013101536945</v>
      </c>
      <c r="V195" s="56">
        <f>(V193*100)/157.8</f>
        <v>51.909493894018105</v>
      </c>
      <c r="W195">
        <v>341.3</v>
      </c>
      <c r="Y195">
        <f t="shared" si="25"/>
        <v>92591.999999999985</v>
      </c>
      <c r="Z195">
        <f t="shared" si="26"/>
        <v>6463.7000000000016</v>
      </c>
      <c r="AA195">
        <v>9.8979130604293797</v>
      </c>
    </row>
    <row r="196" spans="1:27" x14ac:dyDescent="0.25">
      <c r="A196">
        <v>5080</v>
      </c>
      <c r="B196">
        <v>18650</v>
      </c>
      <c r="C196" s="1">
        <v>42774</v>
      </c>
      <c r="D196" s="1"/>
      <c r="E196" s="16"/>
      <c r="F196" s="64"/>
      <c r="G196">
        <v>5.5</v>
      </c>
      <c r="H196">
        <v>3.8</v>
      </c>
      <c r="I196">
        <v>6.7</v>
      </c>
      <c r="J196" s="14">
        <f t="shared" si="23"/>
        <v>1353.9999999999998</v>
      </c>
      <c r="K196" s="14">
        <f t="shared" si="18"/>
        <v>113.9</v>
      </c>
      <c r="L196" s="24" t="s">
        <v>43</v>
      </c>
      <c r="M196">
        <v>0.8</v>
      </c>
      <c r="N196">
        <v>0.7</v>
      </c>
      <c r="O196" s="14">
        <f t="shared" si="20"/>
        <v>0.10000000000000009</v>
      </c>
      <c r="P196">
        <f t="shared" si="17"/>
        <v>73.799999999999983</v>
      </c>
      <c r="Q196" s="31">
        <v>142</v>
      </c>
      <c r="R196">
        <f t="shared" si="24"/>
        <v>1.0397959183673469</v>
      </c>
      <c r="S196" s="41">
        <f t="shared" si="21"/>
        <v>0.72785714285714276</v>
      </c>
      <c r="T196" s="41">
        <f t="shared" si="22"/>
        <v>7.2142857142857286E-2</v>
      </c>
      <c r="U196" s="41">
        <f t="shared" si="27"/>
        <v>94.919155958679795</v>
      </c>
      <c r="W196">
        <v>346.9</v>
      </c>
      <c r="Y196">
        <f t="shared" si="25"/>
        <v>92938.89999999998</v>
      </c>
      <c r="Z196">
        <f t="shared" si="26"/>
        <v>6810.6000000000013</v>
      </c>
      <c r="AA196">
        <v>9.9409345224307408</v>
      </c>
    </row>
    <row r="197" spans="1:27" x14ac:dyDescent="0.25">
      <c r="A197">
        <v>5080</v>
      </c>
      <c r="B197">
        <v>18650</v>
      </c>
      <c r="C197" s="1">
        <v>42775</v>
      </c>
      <c r="D197" s="1"/>
      <c r="E197" s="16"/>
      <c r="F197" s="64"/>
      <c r="G197">
        <v>5.0999999999999996</v>
      </c>
      <c r="H197">
        <v>4</v>
      </c>
      <c r="I197">
        <v>8.6</v>
      </c>
      <c r="J197" s="14">
        <f t="shared" si="23"/>
        <v>1359.0999999999997</v>
      </c>
      <c r="K197" s="14">
        <f t="shared" si="18"/>
        <v>119</v>
      </c>
      <c r="L197" s="8">
        <v>0</v>
      </c>
      <c r="M197">
        <v>0</v>
      </c>
      <c r="N197">
        <v>1.3</v>
      </c>
      <c r="O197" s="14">
        <f t="shared" si="20"/>
        <v>-1.3</v>
      </c>
      <c r="P197">
        <f t="shared" si="17"/>
        <v>72.499999999999986</v>
      </c>
      <c r="Q197" s="31">
        <v>143</v>
      </c>
      <c r="R197">
        <f t="shared" si="24"/>
        <v>1.0428571428571429</v>
      </c>
      <c r="S197" s="41">
        <f t="shared" si="21"/>
        <v>1.3557142857142859</v>
      </c>
      <c r="T197" s="41">
        <f t="shared" si="22"/>
        <v>-1.3557142857142859</v>
      </c>
      <c r="U197" s="41">
        <f t="shared" si="27"/>
        <v>93.56344167296551</v>
      </c>
      <c r="W197">
        <v>861.9</v>
      </c>
      <c r="Y197">
        <f t="shared" si="25"/>
        <v>93800.799999999974</v>
      </c>
      <c r="Z197">
        <f t="shared" si="26"/>
        <v>7672.5000000000009</v>
      </c>
      <c r="AA197">
        <v>9.9844185028689907</v>
      </c>
    </row>
    <row r="198" spans="1:27" x14ac:dyDescent="0.25">
      <c r="A198">
        <v>5080</v>
      </c>
      <c r="B198">
        <v>18650</v>
      </c>
      <c r="C198" s="1">
        <v>42776</v>
      </c>
      <c r="D198" s="1"/>
      <c r="E198" s="16"/>
      <c r="F198" s="64"/>
      <c r="G198">
        <v>6</v>
      </c>
      <c r="H198">
        <v>0.5</v>
      </c>
      <c r="I198">
        <v>11.1</v>
      </c>
      <c r="J198" s="14">
        <f t="shared" si="23"/>
        <v>1365.0999999999997</v>
      </c>
      <c r="K198" s="14">
        <f t="shared" si="18"/>
        <v>125</v>
      </c>
      <c r="L198" s="1"/>
      <c r="M198">
        <v>0.1</v>
      </c>
      <c r="N198">
        <v>1</v>
      </c>
      <c r="O198" s="14">
        <f t="shared" si="20"/>
        <v>-0.9</v>
      </c>
      <c r="P198">
        <f t="shared" si="17"/>
        <v>71.59999999999998</v>
      </c>
      <c r="Q198" s="31">
        <v>144</v>
      </c>
      <c r="R198">
        <f t="shared" si="24"/>
        <v>1.0459183673469388</v>
      </c>
      <c r="S198" s="41">
        <f t="shared" si="21"/>
        <v>1.0459183673469388</v>
      </c>
      <c r="T198" s="41">
        <f t="shared" si="22"/>
        <v>-0.94591836734693879</v>
      </c>
      <c r="U198" s="41">
        <f t="shared" si="27"/>
        <v>92.617523305618576</v>
      </c>
      <c r="W198">
        <v>652.20000000000005</v>
      </c>
      <c r="Y198">
        <f t="shared" si="25"/>
        <v>94452.999999999971</v>
      </c>
      <c r="Z198">
        <f t="shared" si="26"/>
        <v>8324.7000000000007</v>
      </c>
      <c r="AA198">
        <v>10.02834873218274</v>
      </c>
    </row>
    <row r="199" spans="1:27" x14ac:dyDescent="0.25">
      <c r="A199">
        <v>5080</v>
      </c>
      <c r="B199">
        <v>18650</v>
      </c>
      <c r="C199" s="1">
        <v>42777</v>
      </c>
      <c r="D199" s="1"/>
      <c r="E199" s="16"/>
      <c r="F199" s="64"/>
      <c r="G199">
        <v>6.1</v>
      </c>
      <c r="H199">
        <v>1.5</v>
      </c>
      <c r="I199">
        <v>11.4</v>
      </c>
      <c r="J199" s="14">
        <f t="shared" si="23"/>
        <v>1371.1999999999996</v>
      </c>
      <c r="K199" s="14">
        <f t="shared" si="18"/>
        <v>131.1</v>
      </c>
      <c r="L199" s="1"/>
      <c r="M199">
        <v>0</v>
      </c>
      <c r="N199">
        <v>0.7</v>
      </c>
      <c r="O199" s="14">
        <f t="shared" si="20"/>
        <v>-0.7</v>
      </c>
      <c r="P199">
        <f t="shared" si="17"/>
        <v>70.899999999999977</v>
      </c>
      <c r="Q199" s="31">
        <v>145</v>
      </c>
      <c r="R199">
        <f t="shared" si="24"/>
        <v>1.0489795918367346</v>
      </c>
      <c r="S199" s="41">
        <f t="shared" si="21"/>
        <v>0.73428571428571421</v>
      </c>
      <c r="T199" s="41">
        <f t="shared" si="22"/>
        <v>-0.73428571428571421</v>
      </c>
      <c r="U199" s="41">
        <f t="shared" si="27"/>
        <v>91.883237591332858</v>
      </c>
      <c r="W199">
        <v>801</v>
      </c>
      <c r="Y199">
        <f t="shared" si="25"/>
        <v>95253.999999999971</v>
      </c>
      <c r="Z199">
        <f t="shared" si="26"/>
        <v>9125.7000000000007</v>
      </c>
      <c r="AA199">
        <v>10.072709225587863</v>
      </c>
    </row>
    <row r="200" spans="1:27" x14ac:dyDescent="0.25">
      <c r="A200">
        <v>5080</v>
      </c>
      <c r="B200">
        <v>18650</v>
      </c>
      <c r="C200" s="1">
        <v>42778</v>
      </c>
      <c r="D200" s="1"/>
      <c r="E200" s="16"/>
      <c r="F200" s="64"/>
      <c r="G200">
        <v>11.9</v>
      </c>
      <c r="H200">
        <v>9</v>
      </c>
      <c r="I200">
        <v>12.8</v>
      </c>
      <c r="J200" s="14">
        <f t="shared" si="23"/>
        <v>1383.0999999999997</v>
      </c>
      <c r="K200" s="14">
        <f t="shared" si="18"/>
        <v>143</v>
      </c>
      <c r="L200" s="1"/>
      <c r="M200">
        <v>0</v>
      </c>
      <c r="N200">
        <v>2</v>
      </c>
      <c r="O200" s="14">
        <f t="shared" si="20"/>
        <v>-2</v>
      </c>
      <c r="P200">
        <f t="shared" si="17"/>
        <v>68.899999999999977</v>
      </c>
      <c r="Q200" s="31">
        <v>146</v>
      </c>
      <c r="R200">
        <f t="shared" si="24"/>
        <v>1.0520408163265307</v>
      </c>
      <c r="S200" s="41">
        <f t="shared" si="21"/>
        <v>2.1040816326530614</v>
      </c>
      <c r="T200" s="41">
        <f t="shared" si="22"/>
        <v>-2.1040816326530614</v>
      </c>
      <c r="U200" s="41">
        <f t="shared" si="27"/>
        <v>89.779155958679794</v>
      </c>
      <c r="W200">
        <v>948.8</v>
      </c>
      <c r="Y200">
        <f t="shared" si="25"/>
        <v>96202.799999999974</v>
      </c>
      <c r="Z200">
        <f t="shared" si="26"/>
        <v>10074.5</v>
      </c>
      <c r="AA200">
        <v>10.117484289082595</v>
      </c>
    </row>
    <row r="201" spans="1:27" x14ac:dyDescent="0.25">
      <c r="A201">
        <v>5080</v>
      </c>
      <c r="B201">
        <v>18650</v>
      </c>
      <c r="C201" s="1">
        <v>42779</v>
      </c>
      <c r="D201" s="1"/>
      <c r="E201" s="16"/>
      <c r="F201" s="64"/>
      <c r="G201">
        <v>12.8</v>
      </c>
      <c r="H201">
        <v>12.3</v>
      </c>
      <c r="I201">
        <v>13.5</v>
      </c>
      <c r="J201" s="14">
        <f t="shared" si="23"/>
        <v>1395.8999999999996</v>
      </c>
      <c r="K201" s="14">
        <f t="shared" si="18"/>
        <v>155.80000000000001</v>
      </c>
      <c r="L201" s="1"/>
      <c r="M201">
        <v>0.5</v>
      </c>
      <c r="N201">
        <v>3</v>
      </c>
      <c r="O201" s="14">
        <f t="shared" si="20"/>
        <v>-2.5</v>
      </c>
      <c r="P201">
        <f t="shared" si="17"/>
        <v>66.399999999999977</v>
      </c>
      <c r="Q201" s="31">
        <v>147</v>
      </c>
      <c r="R201">
        <f t="shared" si="24"/>
        <v>1.0551020408163265</v>
      </c>
      <c r="S201" s="41">
        <f t="shared" si="21"/>
        <v>3.1653061224489796</v>
      </c>
      <c r="T201" s="41">
        <f t="shared" si="22"/>
        <v>-2.6653061224489796</v>
      </c>
      <c r="U201" s="41">
        <f t="shared" si="27"/>
        <v>87.113849836230813</v>
      </c>
      <c r="W201">
        <v>671.7</v>
      </c>
      <c r="Y201">
        <f t="shared" si="25"/>
        <v>96874.499999999971</v>
      </c>
      <c r="Z201">
        <f t="shared" si="26"/>
        <v>10746.2</v>
      </c>
      <c r="AA201">
        <v>10.162658524304964</v>
      </c>
    </row>
    <row r="202" spans="1:27" x14ac:dyDescent="0.25">
      <c r="A202">
        <v>5080</v>
      </c>
      <c r="B202">
        <v>18650</v>
      </c>
      <c r="C202" s="1">
        <v>42780</v>
      </c>
      <c r="D202" s="1"/>
      <c r="E202" s="16"/>
      <c r="F202" s="64"/>
      <c r="G202">
        <v>11.5</v>
      </c>
      <c r="H202">
        <v>9.4</v>
      </c>
      <c r="I202">
        <v>13</v>
      </c>
      <c r="J202" s="14">
        <f t="shared" si="23"/>
        <v>1407.3999999999996</v>
      </c>
      <c r="K202" s="14">
        <f t="shared" si="18"/>
        <v>167.3</v>
      </c>
      <c r="L202" s="1"/>
      <c r="M202">
        <v>0.6</v>
      </c>
      <c r="N202">
        <v>1.1000000000000001</v>
      </c>
      <c r="O202" s="14">
        <f t="shared" si="20"/>
        <v>-0.50000000000000011</v>
      </c>
      <c r="P202">
        <f t="shared" si="17"/>
        <v>65.899999999999977</v>
      </c>
      <c r="Q202" s="31">
        <v>148</v>
      </c>
      <c r="R202">
        <f t="shared" si="24"/>
        <v>1.0581632653061224</v>
      </c>
      <c r="S202" s="41">
        <f t="shared" si="21"/>
        <v>1.1639795918367346</v>
      </c>
      <c r="T202" s="41">
        <f t="shared" si="22"/>
        <v>-0.56397959183673463</v>
      </c>
      <c r="U202" s="41">
        <f t="shared" si="27"/>
        <v>86.549870244394072</v>
      </c>
      <c r="W202">
        <v>844.3</v>
      </c>
      <c r="Y202">
        <f t="shared" si="25"/>
        <v>97718.799999999974</v>
      </c>
      <c r="Z202">
        <f t="shared" si="26"/>
        <v>11590.5</v>
      </c>
      <c r="AA202">
        <v>10.20821683228448</v>
      </c>
    </row>
    <row r="203" spans="1:27" x14ac:dyDescent="0.25">
      <c r="A203">
        <v>5080</v>
      </c>
      <c r="B203">
        <v>18650</v>
      </c>
      <c r="C203" s="1">
        <v>42781</v>
      </c>
      <c r="D203" s="1"/>
      <c r="E203" s="16"/>
      <c r="F203" s="64"/>
      <c r="G203">
        <v>11.9</v>
      </c>
      <c r="H203">
        <v>9.6999999999999993</v>
      </c>
      <c r="I203">
        <v>15.4</v>
      </c>
      <c r="J203" s="14">
        <f t="shared" si="23"/>
        <v>1419.2999999999997</v>
      </c>
      <c r="K203" s="14">
        <f t="shared" si="18"/>
        <v>179.20000000000002</v>
      </c>
      <c r="L203" s="1"/>
      <c r="M203">
        <v>0</v>
      </c>
      <c r="N203">
        <v>1.4</v>
      </c>
      <c r="O203" s="14">
        <f t="shared" si="20"/>
        <v>-1.4</v>
      </c>
      <c r="P203">
        <f t="shared" si="17"/>
        <v>64.499999999999972</v>
      </c>
      <c r="Q203" s="31">
        <v>149</v>
      </c>
      <c r="R203">
        <f t="shared" si="24"/>
        <v>1.0612244897959184</v>
      </c>
      <c r="S203" s="41">
        <f t="shared" si="21"/>
        <v>1.4857142857142858</v>
      </c>
      <c r="T203" s="41">
        <f t="shared" si="22"/>
        <v>-1.4857142857142858</v>
      </c>
      <c r="U203" s="41">
        <f t="shared" si="27"/>
        <v>85.064155958679791</v>
      </c>
      <c r="W203">
        <v>681.4</v>
      </c>
      <c r="Y203">
        <f t="shared" si="25"/>
        <v>98400.199999999968</v>
      </c>
      <c r="Z203">
        <f t="shared" si="26"/>
        <v>12271.9</v>
      </c>
      <c r="AA203">
        <v>10.254144416131085</v>
      </c>
    </row>
    <row r="204" spans="1:27" x14ac:dyDescent="0.25">
      <c r="A204">
        <v>5080</v>
      </c>
      <c r="B204">
        <v>18650</v>
      </c>
      <c r="C204" s="1">
        <v>42782</v>
      </c>
      <c r="D204" s="1"/>
      <c r="E204" s="16"/>
      <c r="F204" s="64"/>
      <c r="G204">
        <v>11.7</v>
      </c>
      <c r="H204">
        <v>7.4</v>
      </c>
      <c r="I204">
        <v>15.5</v>
      </c>
      <c r="J204" s="14">
        <f t="shared" si="23"/>
        <v>1430.9999999999998</v>
      </c>
      <c r="K204" s="14">
        <f t="shared" si="18"/>
        <v>190.9</v>
      </c>
      <c r="L204" s="1"/>
      <c r="M204">
        <v>0</v>
      </c>
      <c r="N204">
        <v>1.6</v>
      </c>
      <c r="O204" s="14">
        <f t="shared" si="20"/>
        <v>-1.6</v>
      </c>
      <c r="P204">
        <f t="shared" si="17"/>
        <v>62.89999999999997</v>
      </c>
      <c r="Q204" s="31">
        <v>150</v>
      </c>
      <c r="R204">
        <f t="shared" si="24"/>
        <v>1.0642857142857143</v>
      </c>
      <c r="S204" s="41">
        <f t="shared" si="21"/>
        <v>1.7028571428571428</v>
      </c>
      <c r="T204" s="41">
        <f t="shared" si="22"/>
        <v>-1.7028571428571428</v>
      </c>
      <c r="U204" s="41">
        <f t="shared" si="27"/>
        <v>83.36129881582265</v>
      </c>
      <c r="W204">
        <v>1129.7</v>
      </c>
      <c r="Y204">
        <f t="shared" si="25"/>
        <v>99529.899999999965</v>
      </c>
      <c r="Z204">
        <f t="shared" si="26"/>
        <v>13401.6</v>
      </c>
      <c r="AA204">
        <v>10.300426782705006</v>
      </c>
    </row>
    <row r="205" spans="1:27" x14ac:dyDescent="0.25">
      <c r="A205">
        <v>5080</v>
      </c>
      <c r="B205">
        <v>18650</v>
      </c>
      <c r="C205" s="1">
        <v>42783</v>
      </c>
      <c r="D205" s="1"/>
      <c r="E205" s="16"/>
      <c r="F205" s="64"/>
      <c r="G205">
        <v>9.8000000000000007</v>
      </c>
      <c r="H205">
        <v>3.7</v>
      </c>
      <c r="I205">
        <v>14.8</v>
      </c>
      <c r="J205" s="14">
        <f t="shared" si="23"/>
        <v>1440.7999999999997</v>
      </c>
      <c r="K205" s="14">
        <f t="shared" si="18"/>
        <v>200.70000000000002</v>
      </c>
      <c r="L205" s="1"/>
      <c r="M205">
        <v>0.1</v>
      </c>
      <c r="N205">
        <v>1.5</v>
      </c>
      <c r="O205" s="14">
        <f t="shared" si="20"/>
        <v>-1.4</v>
      </c>
      <c r="P205">
        <f t="shared" si="17"/>
        <v>61.499999999999972</v>
      </c>
      <c r="Q205" s="31">
        <v>151</v>
      </c>
      <c r="R205">
        <f t="shared" si="24"/>
        <v>1.0673469387755101</v>
      </c>
      <c r="S205" s="41">
        <f t="shared" si="21"/>
        <v>1.6010204081632651</v>
      </c>
      <c r="T205" s="41">
        <f t="shared" si="22"/>
        <v>-1.501020408163265</v>
      </c>
      <c r="U205" s="41">
        <f t="shared" si="27"/>
        <v>81.860278407659379</v>
      </c>
      <c r="W205">
        <v>1174.3</v>
      </c>
      <c r="Y205">
        <f t="shared" si="25"/>
        <v>100704.19999999997</v>
      </c>
      <c r="Z205">
        <f t="shared" si="26"/>
        <v>14575.9</v>
      </c>
      <c r="AA205">
        <v>10.347049743311572</v>
      </c>
    </row>
    <row r="206" spans="1:27" x14ac:dyDescent="0.25">
      <c r="A206">
        <v>5080</v>
      </c>
      <c r="B206">
        <v>18650</v>
      </c>
      <c r="C206" s="1">
        <v>42784</v>
      </c>
      <c r="D206" s="1"/>
      <c r="E206" s="16"/>
      <c r="F206" s="64"/>
      <c r="G206">
        <v>9.1999999999999993</v>
      </c>
      <c r="H206">
        <v>3.9</v>
      </c>
      <c r="I206">
        <v>14.1</v>
      </c>
      <c r="J206" s="14">
        <f t="shared" si="23"/>
        <v>1449.9999999999998</v>
      </c>
      <c r="K206" s="14">
        <f t="shared" si="18"/>
        <v>209.9</v>
      </c>
      <c r="L206" s="1"/>
      <c r="M206">
        <v>0</v>
      </c>
      <c r="N206">
        <v>1.9</v>
      </c>
      <c r="O206" s="14">
        <f t="shared" si="20"/>
        <v>-1.9</v>
      </c>
      <c r="P206">
        <f t="shared" ref="P206:P269" si="28">P205+O206</f>
        <v>59.599999999999973</v>
      </c>
      <c r="Q206" s="31">
        <v>152</v>
      </c>
      <c r="R206">
        <f t="shared" si="24"/>
        <v>1.0704081632653062</v>
      </c>
      <c r="S206" s="41">
        <f t="shared" si="21"/>
        <v>2.0337755102040815</v>
      </c>
      <c r="T206" s="41">
        <f t="shared" si="22"/>
        <v>-2.0337755102040815</v>
      </c>
      <c r="U206" s="41">
        <f t="shared" si="27"/>
        <v>79.826502897455299</v>
      </c>
      <c r="W206">
        <v>1471.5</v>
      </c>
      <c r="Y206">
        <f t="shared" si="25"/>
        <v>102175.69999999997</v>
      </c>
      <c r="Z206">
        <f t="shared" si="26"/>
        <v>16047.4</v>
      </c>
      <c r="AA206">
        <v>10.39399941346519</v>
      </c>
    </row>
    <row r="207" spans="1:27" x14ac:dyDescent="0.25">
      <c r="A207">
        <v>5080</v>
      </c>
      <c r="B207">
        <v>18650</v>
      </c>
      <c r="C207" s="1">
        <v>42785</v>
      </c>
      <c r="D207" s="1"/>
      <c r="E207" s="16"/>
      <c r="F207" s="64"/>
      <c r="G207">
        <v>9.4</v>
      </c>
      <c r="H207">
        <v>3.6</v>
      </c>
      <c r="I207">
        <v>14.2</v>
      </c>
      <c r="J207" s="14">
        <f t="shared" si="23"/>
        <v>1459.3999999999999</v>
      </c>
      <c r="K207" s="14">
        <f t="shared" si="18"/>
        <v>219.3</v>
      </c>
      <c r="L207" s="1"/>
      <c r="M207">
        <v>0</v>
      </c>
      <c r="N207">
        <v>1.1000000000000001</v>
      </c>
      <c r="O207" s="14">
        <f t="shared" si="20"/>
        <v>-1.1000000000000001</v>
      </c>
      <c r="P207">
        <f t="shared" si="28"/>
        <v>58.499999999999972</v>
      </c>
      <c r="Q207" s="31">
        <v>153</v>
      </c>
      <c r="R207">
        <f t="shared" si="24"/>
        <v>1.073469387755102</v>
      </c>
      <c r="S207" s="41">
        <f t="shared" si="21"/>
        <v>1.1808163265306124</v>
      </c>
      <c r="T207" s="41">
        <f t="shared" si="22"/>
        <v>-1.1808163265306124</v>
      </c>
      <c r="U207" s="41">
        <f t="shared" si="27"/>
        <v>78.645686570924681</v>
      </c>
      <c r="W207">
        <v>780.4</v>
      </c>
      <c r="Y207">
        <f t="shared" si="25"/>
        <v>102956.09999999996</v>
      </c>
      <c r="Z207">
        <f t="shared" si="26"/>
        <v>16827.8</v>
      </c>
      <c r="AA207">
        <v>10.441262211766514</v>
      </c>
    </row>
    <row r="208" spans="1:27" x14ac:dyDescent="0.25">
      <c r="A208">
        <v>5080</v>
      </c>
      <c r="B208">
        <v>18650</v>
      </c>
      <c r="C208" s="1">
        <v>42786</v>
      </c>
      <c r="D208" s="1"/>
      <c r="E208" s="16"/>
      <c r="F208" s="64"/>
      <c r="G208">
        <v>9.1</v>
      </c>
      <c r="H208">
        <v>7.4</v>
      </c>
      <c r="I208">
        <v>10.6</v>
      </c>
      <c r="J208" s="14">
        <f t="shared" si="23"/>
        <v>1468.4999999999998</v>
      </c>
      <c r="K208" s="14">
        <f t="shared" si="18"/>
        <v>228.4</v>
      </c>
      <c r="L208" s="1"/>
      <c r="M208">
        <v>0</v>
      </c>
      <c r="N208">
        <v>0.7</v>
      </c>
      <c r="O208" s="14">
        <f t="shared" si="20"/>
        <v>-0.7</v>
      </c>
      <c r="P208">
        <f t="shared" si="28"/>
        <v>57.799999999999969</v>
      </c>
      <c r="Q208" s="31">
        <v>154</v>
      </c>
      <c r="R208">
        <f t="shared" si="24"/>
        <v>1.0765306122448979</v>
      </c>
      <c r="S208" s="41">
        <f t="shared" si="21"/>
        <v>0.75357142857142845</v>
      </c>
      <c r="T208" s="41">
        <f t="shared" si="22"/>
        <v>-0.75357142857142845</v>
      </c>
      <c r="U208" s="41">
        <f t="shared" si="27"/>
        <v>77.892115142353248</v>
      </c>
      <c r="W208">
        <v>444.5</v>
      </c>
      <c r="Y208">
        <f t="shared" si="25"/>
        <v>103400.59999999996</v>
      </c>
      <c r="Z208">
        <f t="shared" si="26"/>
        <v>17272.3</v>
      </c>
      <c r="AA208">
        <v>10.488824857936569</v>
      </c>
    </row>
    <row r="209" spans="1:27" x14ac:dyDescent="0.25">
      <c r="A209">
        <v>5080</v>
      </c>
      <c r="B209">
        <v>18650</v>
      </c>
      <c r="C209" s="1">
        <v>42787</v>
      </c>
      <c r="D209" s="1"/>
      <c r="E209" s="16"/>
      <c r="F209" s="64"/>
      <c r="G209">
        <v>10.5</v>
      </c>
      <c r="H209">
        <v>7</v>
      </c>
      <c r="I209">
        <v>13.7</v>
      </c>
      <c r="J209" s="14">
        <f t="shared" si="23"/>
        <v>1478.9999999999998</v>
      </c>
      <c r="K209" s="14">
        <f t="shared" si="18"/>
        <v>238.9</v>
      </c>
      <c r="L209" s="1"/>
      <c r="M209">
        <v>0</v>
      </c>
      <c r="N209">
        <v>0.8</v>
      </c>
      <c r="O209" s="14">
        <f t="shared" si="20"/>
        <v>-0.8</v>
      </c>
      <c r="P209">
        <f t="shared" si="28"/>
        <v>56.999999999999972</v>
      </c>
      <c r="Q209" s="31">
        <v>155</v>
      </c>
      <c r="R209">
        <f t="shared" si="24"/>
        <v>1.0795918367346937</v>
      </c>
      <c r="S209" s="41">
        <f t="shared" si="21"/>
        <v>0.86367346938775502</v>
      </c>
      <c r="T209" s="41">
        <f t="shared" si="22"/>
        <v>-0.86367346938775502</v>
      </c>
      <c r="U209" s="41">
        <f t="shared" si="27"/>
        <v>77.028441672965499</v>
      </c>
      <c r="W209">
        <v>402.7</v>
      </c>
      <c r="Y209">
        <f t="shared" si="25"/>
        <v>103803.29999999996</v>
      </c>
      <c r="Z209">
        <f t="shared" si="26"/>
        <v>17675</v>
      </c>
      <c r="AA209">
        <v>10.536674370051042</v>
      </c>
    </row>
    <row r="210" spans="1:27" x14ac:dyDescent="0.25">
      <c r="A210">
        <v>5080</v>
      </c>
      <c r="B210">
        <v>18650</v>
      </c>
      <c r="C210" s="1">
        <v>42788</v>
      </c>
      <c r="D210" s="1"/>
      <c r="E210" s="16"/>
      <c r="F210" s="64"/>
      <c r="G210">
        <v>10.8</v>
      </c>
      <c r="H210">
        <v>6.3</v>
      </c>
      <c r="I210">
        <v>14.7</v>
      </c>
      <c r="J210" s="14">
        <f t="shared" si="23"/>
        <v>1489.7999999999997</v>
      </c>
      <c r="K210" s="14">
        <f t="shared" ref="K210:K273" si="29">K209+G210</f>
        <v>249.70000000000002</v>
      </c>
      <c r="L210" s="1"/>
      <c r="M210">
        <v>0</v>
      </c>
      <c r="N210">
        <v>2.1</v>
      </c>
      <c r="O210" s="14">
        <f t="shared" si="20"/>
        <v>-2.1</v>
      </c>
      <c r="P210">
        <f t="shared" si="28"/>
        <v>54.89999999999997</v>
      </c>
      <c r="Q210" s="31">
        <v>156</v>
      </c>
      <c r="R210">
        <f t="shared" si="24"/>
        <v>1.0826530612244898</v>
      </c>
      <c r="S210" s="41">
        <f t="shared" si="21"/>
        <v>2.2735714285714286</v>
      </c>
      <c r="T210" s="41">
        <f t="shared" si="22"/>
        <v>-2.2735714285714286</v>
      </c>
      <c r="U210" s="41">
        <f t="shared" si="27"/>
        <v>74.75487024439407</v>
      </c>
      <c r="W210">
        <v>1418.4</v>
      </c>
      <c r="Y210">
        <f t="shared" si="25"/>
        <v>105221.69999999995</v>
      </c>
      <c r="Z210">
        <f t="shared" si="26"/>
        <v>19093.400000000001</v>
      </c>
      <c r="AA210">
        <v>10.584798061017208</v>
      </c>
    </row>
    <row r="211" spans="1:27" x14ac:dyDescent="0.25">
      <c r="A211">
        <v>5080</v>
      </c>
      <c r="B211">
        <v>18650</v>
      </c>
      <c r="C211" s="1">
        <v>42789</v>
      </c>
      <c r="D211" s="1"/>
      <c r="E211" s="16"/>
      <c r="F211" s="64"/>
      <c r="G211">
        <v>9.8000000000000007</v>
      </c>
      <c r="H211">
        <v>4</v>
      </c>
      <c r="I211">
        <v>15.7</v>
      </c>
      <c r="J211" s="14">
        <f t="shared" si="23"/>
        <v>1499.5999999999997</v>
      </c>
      <c r="K211" s="14">
        <f t="shared" si="29"/>
        <v>259.5</v>
      </c>
      <c r="L211" s="1"/>
      <c r="M211">
        <v>0.9</v>
      </c>
      <c r="N211">
        <v>2.1</v>
      </c>
      <c r="O211" s="14">
        <f t="shared" si="20"/>
        <v>-1.2000000000000002</v>
      </c>
      <c r="P211">
        <f t="shared" si="28"/>
        <v>53.699999999999967</v>
      </c>
      <c r="Q211" s="31">
        <v>157</v>
      </c>
      <c r="R211">
        <f t="shared" si="24"/>
        <v>1.0857142857142856</v>
      </c>
      <c r="S211" s="41">
        <f t="shared" si="21"/>
        <v>2.2799999999999998</v>
      </c>
      <c r="T211" s="41">
        <f t="shared" si="22"/>
        <v>-1.38</v>
      </c>
      <c r="U211" s="41">
        <f t="shared" si="27"/>
        <v>73.374870244394074</v>
      </c>
      <c r="W211">
        <v>1278.4000000000001</v>
      </c>
      <c r="Y211">
        <f t="shared" si="25"/>
        <v>106500.09999999995</v>
      </c>
      <c r="Z211">
        <f t="shared" si="26"/>
        <v>20371.800000000003</v>
      </c>
      <c r="AA211">
        <v>10.633183534335252</v>
      </c>
    </row>
    <row r="212" spans="1:27" x14ac:dyDescent="0.25">
      <c r="A212">
        <v>5080</v>
      </c>
      <c r="B212">
        <v>18650</v>
      </c>
      <c r="C212" s="1">
        <v>42790</v>
      </c>
      <c r="D212" s="1"/>
      <c r="E212" s="16"/>
      <c r="F212" s="64"/>
      <c r="G212">
        <v>8.5</v>
      </c>
      <c r="H212">
        <v>8</v>
      </c>
      <c r="I212">
        <v>10.5</v>
      </c>
      <c r="J212" s="14">
        <f t="shared" si="23"/>
        <v>1508.0999999999997</v>
      </c>
      <c r="K212" s="14">
        <f t="shared" si="29"/>
        <v>268</v>
      </c>
      <c r="L212" s="1"/>
      <c r="M212">
        <v>0</v>
      </c>
      <c r="N212">
        <v>1.7</v>
      </c>
      <c r="O212" s="14">
        <f t="shared" si="20"/>
        <v>-1.7</v>
      </c>
      <c r="P212">
        <f t="shared" si="28"/>
        <v>51.999999999999964</v>
      </c>
      <c r="Q212" s="31">
        <v>158</v>
      </c>
      <c r="R212">
        <f t="shared" si="24"/>
        <v>1.0887755102040815</v>
      </c>
      <c r="S212" s="41">
        <f t="shared" si="21"/>
        <v>1.8509183673469385</v>
      </c>
      <c r="T212" s="41">
        <f t="shared" si="22"/>
        <v>-1.8509183673469385</v>
      </c>
      <c r="U212" s="41">
        <f t="shared" si="27"/>
        <v>71.523951877047139</v>
      </c>
      <c r="W212">
        <v>757.6</v>
      </c>
      <c r="Y212">
        <f t="shared" si="25"/>
        <v>107257.69999999995</v>
      </c>
      <c r="Z212">
        <f t="shared" si="26"/>
        <v>21129.4</v>
      </c>
      <c r="AA212">
        <v>10.681818679184572</v>
      </c>
    </row>
    <row r="213" spans="1:27" x14ac:dyDescent="0.25">
      <c r="A213">
        <v>5080</v>
      </c>
      <c r="B213">
        <v>18650</v>
      </c>
      <c r="C213" s="1">
        <v>42791</v>
      </c>
      <c r="D213" s="1"/>
      <c r="E213" s="16"/>
      <c r="F213" s="64"/>
      <c r="G213">
        <v>6.3</v>
      </c>
      <c r="H213">
        <v>1.5</v>
      </c>
      <c r="I213">
        <v>10.7</v>
      </c>
      <c r="J213" s="14">
        <f t="shared" si="23"/>
        <v>1514.3999999999996</v>
      </c>
      <c r="K213" s="14">
        <f t="shared" si="29"/>
        <v>274.3</v>
      </c>
      <c r="L213" s="1"/>
      <c r="M213">
        <v>0</v>
      </c>
      <c r="N213">
        <v>2.1</v>
      </c>
      <c r="O213" s="14">
        <f t="shared" si="20"/>
        <v>-2.1</v>
      </c>
      <c r="P213">
        <f t="shared" si="28"/>
        <v>49.899999999999963</v>
      </c>
      <c r="Q213" s="31">
        <v>159</v>
      </c>
      <c r="R213">
        <f t="shared" si="24"/>
        <v>1.0918367346938775</v>
      </c>
      <c r="S213" s="41">
        <f t="shared" si="21"/>
        <v>2.2928571428571431</v>
      </c>
      <c r="T213" s="41">
        <f t="shared" si="22"/>
        <v>-2.2928571428571431</v>
      </c>
      <c r="U213" s="41">
        <f t="shared" si="27"/>
        <v>69.231094734189995</v>
      </c>
      <c r="W213">
        <v>1631.2</v>
      </c>
      <c r="Y213">
        <f t="shared" si="25"/>
        <v>108888.89999999995</v>
      </c>
      <c r="Z213">
        <f t="shared" si="26"/>
        <v>22760.600000000002</v>
      </c>
      <c r="AA213">
        <v>10.730691664874783</v>
      </c>
    </row>
    <row r="214" spans="1:27" x14ac:dyDescent="0.25">
      <c r="A214">
        <v>5080</v>
      </c>
      <c r="B214">
        <v>18650</v>
      </c>
      <c r="C214" s="1">
        <v>42792</v>
      </c>
      <c r="D214" s="1"/>
      <c r="E214" s="16"/>
      <c r="F214" s="64"/>
      <c r="G214">
        <v>7</v>
      </c>
      <c r="H214">
        <v>1.2</v>
      </c>
      <c r="I214">
        <v>11.3</v>
      </c>
      <c r="J214" s="14">
        <f t="shared" si="23"/>
        <v>1521.3999999999996</v>
      </c>
      <c r="K214" s="14">
        <f t="shared" si="29"/>
        <v>281.3</v>
      </c>
      <c r="L214" s="1"/>
      <c r="M214">
        <v>0</v>
      </c>
      <c r="N214">
        <v>0.7</v>
      </c>
      <c r="O214" s="14">
        <f t="shared" si="20"/>
        <v>-0.7</v>
      </c>
      <c r="P214">
        <f t="shared" si="28"/>
        <v>49.19999999999996</v>
      </c>
      <c r="Q214" s="31">
        <v>160</v>
      </c>
      <c r="R214">
        <f t="shared" si="24"/>
        <v>1.0948979591836734</v>
      </c>
      <c r="S214" s="41">
        <f t="shared" si="21"/>
        <v>0.76642857142857135</v>
      </c>
      <c r="T214" s="41">
        <f t="shared" si="22"/>
        <v>-0.76642857142857135</v>
      </c>
      <c r="U214" s="41">
        <f t="shared" si="27"/>
        <v>68.464666162761418</v>
      </c>
      <c r="W214">
        <v>653.20000000000005</v>
      </c>
      <c r="Y214">
        <f t="shared" si="25"/>
        <v>109542.09999999995</v>
      </c>
      <c r="Z214">
        <f t="shared" si="26"/>
        <v>23413.800000000003</v>
      </c>
      <c r="AA214">
        <v>10.779790934699793</v>
      </c>
    </row>
    <row r="215" spans="1:27" x14ac:dyDescent="0.25">
      <c r="A215">
        <v>5080</v>
      </c>
      <c r="B215">
        <v>18650</v>
      </c>
      <c r="C215" s="1">
        <v>42793</v>
      </c>
      <c r="D215" s="1"/>
      <c r="E215" s="16"/>
      <c r="F215" s="64"/>
      <c r="G215">
        <v>9.3000000000000007</v>
      </c>
      <c r="H215">
        <v>1.2</v>
      </c>
      <c r="I215">
        <v>15.2</v>
      </c>
      <c r="J215" s="14">
        <f t="shared" si="23"/>
        <v>1530.6999999999996</v>
      </c>
      <c r="K215" s="14">
        <f t="shared" si="29"/>
        <v>290.60000000000002</v>
      </c>
      <c r="L215" s="1"/>
      <c r="M215">
        <v>0</v>
      </c>
      <c r="N215">
        <v>1.9</v>
      </c>
      <c r="O215" s="14">
        <f t="shared" si="20"/>
        <v>-1.9</v>
      </c>
      <c r="P215">
        <f t="shared" si="28"/>
        <v>47.299999999999962</v>
      </c>
      <c r="Q215" s="31">
        <v>161</v>
      </c>
      <c r="R215">
        <f t="shared" si="24"/>
        <v>1.0979591836734692</v>
      </c>
      <c r="S215" s="41">
        <f t="shared" si="21"/>
        <v>2.0861224489795913</v>
      </c>
      <c r="T215" s="41">
        <f t="shared" si="22"/>
        <v>-2.0861224489795913</v>
      </c>
      <c r="U215" s="41">
        <f t="shared" si="27"/>
        <v>66.378543713781823</v>
      </c>
      <c r="W215">
        <v>1414.7</v>
      </c>
      <c r="Y215">
        <f t="shared" si="25"/>
        <v>110956.79999999994</v>
      </c>
      <c r="Z215">
        <f t="shared" si="26"/>
        <v>24828.500000000004</v>
      </c>
      <c r="AA215">
        <v>10.829105199232224</v>
      </c>
    </row>
    <row r="216" spans="1:27" x14ac:dyDescent="0.25">
      <c r="A216">
        <v>5080</v>
      </c>
      <c r="B216">
        <v>18650</v>
      </c>
      <c r="C216" s="1">
        <v>42794</v>
      </c>
      <c r="D216" s="1"/>
      <c r="E216" s="16"/>
      <c r="F216" s="64"/>
      <c r="G216">
        <v>8.4</v>
      </c>
      <c r="H216">
        <v>6.8</v>
      </c>
      <c r="I216">
        <v>10.6</v>
      </c>
      <c r="J216" s="14">
        <f t="shared" si="23"/>
        <v>1539.0999999999997</v>
      </c>
      <c r="K216" s="14">
        <f t="shared" si="29"/>
        <v>299</v>
      </c>
      <c r="L216" s="1"/>
      <c r="M216">
        <v>3.5</v>
      </c>
      <c r="N216">
        <v>1.2</v>
      </c>
      <c r="O216" s="14">
        <f t="shared" si="20"/>
        <v>2.2999999999999998</v>
      </c>
      <c r="P216">
        <f t="shared" si="28"/>
        <v>49.599999999999959</v>
      </c>
      <c r="Q216" s="31">
        <v>162</v>
      </c>
      <c r="R216">
        <f t="shared" si="24"/>
        <v>1.1010204081632653</v>
      </c>
      <c r="S216" s="41">
        <f t="shared" si="21"/>
        <v>1.3212244897959182</v>
      </c>
      <c r="T216" s="41">
        <f t="shared" si="22"/>
        <v>2.1787755102040816</v>
      </c>
      <c r="U216" s="41">
        <f t="shared" si="27"/>
        <v>68.5573192239859</v>
      </c>
      <c r="W216">
        <v>483.2</v>
      </c>
      <c r="Y216">
        <f t="shared" si="25"/>
        <v>111439.99999999994</v>
      </c>
      <c r="Z216">
        <f t="shared" si="26"/>
        <v>25311.700000000004</v>
      </c>
      <c r="AA216">
        <v>10.878623429094025</v>
      </c>
    </row>
    <row r="217" spans="1:27" x14ac:dyDescent="0.25">
      <c r="A217">
        <v>5080</v>
      </c>
      <c r="B217">
        <v>18650</v>
      </c>
      <c r="C217" s="1">
        <v>42795</v>
      </c>
      <c r="D217" s="1"/>
      <c r="E217" s="16"/>
      <c r="F217" s="64"/>
      <c r="G217">
        <v>9</v>
      </c>
      <c r="H217">
        <v>4.5</v>
      </c>
      <c r="I217">
        <v>12.4</v>
      </c>
      <c r="J217" s="14">
        <f t="shared" si="23"/>
        <v>1548.0999999999997</v>
      </c>
      <c r="K217" s="14">
        <f t="shared" si="29"/>
        <v>308</v>
      </c>
      <c r="L217" s="1"/>
      <c r="M217">
        <v>0</v>
      </c>
      <c r="N217">
        <v>1</v>
      </c>
      <c r="O217" s="14">
        <f t="shared" si="20"/>
        <v>-1</v>
      </c>
      <c r="P217">
        <f t="shared" si="28"/>
        <v>48.599999999999959</v>
      </c>
      <c r="Q217" s="31">
        <v>163</v>
      </c>
      <c r="R217">
        <f t="shared" si="24"/>
        <v>1.1040816326530611</v>
      </c>
      <c r="S217" s="41">
        <f t="shared" si="21"/>
        <v>1.1040816326530611</v>
      </c>
      <c r="T217" s="41">
        <f t="shared" si="22"/>
        <v>-1.1040816326530611</v>
      </c>
      <c r="U217" s="41">
        <f t="shared" si="27"/>
        <v>67.453237591332837</v>
      </c>
      <c r="W217">
        <v>559.29999999999995</v>
      </c>
      <c r="Y217">
        <f t="shared" si="25"/>
        <v>111999.29999999994</v>
      </c>
      <c r="Z217">
        <f t="shared" si="26"/>
        <v>25871.000000000004</v>
      </c>
      <c r="AA217">
        <v>10.92833484723789</v>
      </c>
    </row>
    <row r="218" spans="1:27" x14ac:dyDescent="0.25">
      <c r="A218">
        <v>5080</v>
      </c>
      <c r="B218">
        <v>18650</v>
      </c>
      <c r="C218" s="1">
        <v>42796</v>
      </c>
      <c r="D218" s="1"/>
      <c r="E218" s="16"/>
      <c r="F218" s="64"/>
      <c r="G218">
        <v>12</v>
      </c>
      <c r="H218">
        <v>8.5</v>
      </c>
      <c r="I218">
        <v>16.2</v>
      </c>
      <c r="J218" s="14">
        <f t="shared" si="23"/>
        <v>1560.0999999999997</v>
      </c>
      <c r="K218" s="14">
        <f t="shared" si="29"/>
        <v>320</v>
      </c>
      <c r="L218" s="1"/>
      <c r="M218">
        <v>0</v>
      </c>
      <c r="N218">
        <v>1.3</v>
      </c>
      <c r="O218" s="14">
        <f t="shared" si="20"/>
        <v>-1.3</v>
      </c>
      <c r="P218">
        <f t="shared" si="28"/>
        <v>47.299999999999962</v>
      </c>
      <c r="Q218" s="31">
        <v>164</v>
      </c>
      <c r="R218">
        <f t="shared" si="24"/>
        <v>1.107142857142857</v>
      </c>
      <c r="S218" s="41">
        <f t="shared" si="21"/>
        <v>1.4392857142857141</v>
      </c>
      <c r="T218" s="41">
        <f t="shared" si="22"/>
        <v>-1.4392857142857141</v>
      </c>
      <c r="U218" s="41">
        <f t="shared" si="27"/>
        <v>66.01395187704712</v>
      </c>
      <c r="W218">
        <v>893.8</v>
      </c>
      <c r="Y218">
        <f t="shared" si="25"/>
        <v>112893.09999999995</v>
      </c>
      <c r="Z218">
        <f t="shared" si="26"/>
        <v>26764.800000000003</v>
      </c>
      <c r="AA218">
        <v>10.978228920772665</v>
      </c>
    </row>
    <row r="219" spans="1:27" x14ac:dyDescent="0.25">
      <c r="A219">
        <v>5080</v>
      </c>
      <c r="B219">
        <v>18650</v>
      </c>
      <c r="C219" s="1">
        <v>42797</v>
      </c>
      <c r="D219" s="1"/>
      <c r="E219" s="16"/>
      <c r="F219" s="64"/>
      <c r="G219">
        <v>11.5</v>
      </c>
      <c r="H219">
        <v>9.1</v>
      </c>
      <c r="I219">
        <v>13.9</v>
      </c>
      <c r="J219" s="14">
        <f t="shared" si="23"/>
        <v>1571.5999999999997</v>
      </c>
      <c r="K219" s="14">
        <f t="shared" si="29"/>
        <v>331.5</v>
      </c>
      <c r="L219" s="1"/>
      <c r="M219">
        <v>21.5</v>
      </c>
      <c r="N219">
        <v>2.4</v>
      </c>
      <c r="O219" s="14">
        <f t="shared" si="20"/>
        <v>19.100000000000001</v>
      </c>
      <c r="P219">
        <f t="shared" si="28"/>
        <v>66.399999999999963</v>
      </c>
      <c r="Q219" s="31">
        <v>165</v>
      </c>
      <c r="R219">
        <f t="shared" si="24"/>
        <v>1.1102040816326531</v>
      </c>
      <c r="S219" s="41">
        <f t="shared" si="21"/>
        <v>2.6644897959183673</v>
      </c>
      <c r="T219" s="41">
        <f t="shared" si="22"/>
        <v>18.835510204081633</v>
      </c>
      <c r="U219" s="41">
        <f t="shared" si="27"/>
        <v>84.849462081128749</v>
      </c>
      <c r="W219">
        <v>1413.2</v>
      </c>
      <c r="Y219">
        <f t="shared" si="25"/>
        <v>114306.29999999994</v>
      </c>
      <c r="Z219">
        <f t="shared" si="26"/>
        <v>28178.000000000004</v>
      </c>
      <c r="AA219">
        <v>11.028295352364555</v>
      </c>
    </row>
    <row r="220" spans="1:27" x14ac:dyDescent="0.25">
      <c r="A220">
        <v>5080</v>
      </c>
      <c r="B220">
        <v>18650</v>
      </c>
      <c r="C220" s="1">
        <v>42798</v>
      </c>
      <c r="D220" s="1"/>
      <c r="E220" s="16"/>
      <c r="F220" s="64"/>
      <c r="G220">
        <v>7</v>
      </c>
      <c r="H220">
        <v>6.3</v>
      </c>
      <c r="I220">
        <v>8.1</v>
      </c>
      <c r="J220" s="14">
        <f t="shared" si="23"/>
        <v>1578.5999999999997</v>
      </c>
      <c r="K220" s="14">
        <f t="shared" si="29"/>
        <v>338.5</v>
      </c>
      <c r="L220" s="1"/>
      <c r="M220">
        <v>1.5</v>
      </c>
      <c r="N220">
        <v>1.4</v>
      </c>
      <c r="O220" s="14">
        <f t="shared" si="20"/>
        <v>0.10000000000000009</v>
      </c>
      <c r="P220">
        <f t="shared" si="28"/>
        <v>66.499999999999957</v>
      </c>
      <c r="Q220" s="31">
        <v>166</v>
      </c>
      <c r="R220">
        <f t="shared" si="24"/>
        <v>1.1132653061224489</v>
      </c>
      <c r="S220" s="41">
        <f t="shared" si="21"/>
        <v>1.5585714285714283</v>
      </c>
      <c r="T220" s="41">
        <f t="shared" si="22"/>
        <v>-5.8571428571428275E-2</v>
      </c>
      <c r="U220" s="41">
        <f t="shared" si="27"/>
        <v>84.790890652557323</v>
      </c>
      <c r="W220">
        <v>685.9</v>
      </c>
      <c r="Y220">
        <f t="shared" si="25"/>
        <v>114992.19999999994</v>
      </c>
      <c r="Z220">
        <f t="shared" si="26"/>
        <v>28863.900000000005</v>
      </c>
      <c r="AA220">
        <v>11.078524071244608</v>
      </c>
    </row>
    <row r="221" spans="1:27" x14ac:dyDescent="0.25">
      <c r="A221">
        <v>5080</v>
      </c>
      <c r="B221">
        <v>18650</v>
      </c>
      <c r="C221" s="1">
        <v>42799</v>
      </c>
      <c r="D221" s="1"/>
      <c r="E221" s="16"/>
      <c r="F221" s="64"/>
      <c r="G221">
        <v>8.9</v>
      </c>
      <c r="H221">
        <v>3.8</v>
      </c>
      <c r="I221">
        <v>12.1</v>
      </c>
      <c r="J221" s="14">
        <f t="shared" si="23"/>
        <v>1587.4999999999998</v>
      </c>
      <c r="K221" s="14">
        <f t="shared" si="29"/>
        <v>347.4</v>
      </c>
      <c r="L221" s="1"/>
      <c r="M221">
        <v>4.0999999999999996</v>
      </c>
      <c r="N221">
        <v>1.1000000000000001</v>
      </c>
      <c r="O221" s="14">
        <f t="shared" si="20"/>
        <v>2.9999999999999996</v>
      </c>
      <c r="P221">
        <f t="shared" si="28"/>
        <v>69.499999999999957</v>
      </c>
      <c r="Q221" s="31">
        <v>167</v>
      </c>
      <c r="R221">
        <f t="shared" si="24"/>
        <v>1.1163265306122447</v>
      </c>
      <c r="S221" s="41">
        <f t="shared" si="21"/>
        <v>1.2279591836734693</v>
      </c>
      <c r="T221" s="41">
        <f t="shared" si="22"/>
        <v>2.8720408163265301</v>
      </c>
      <c r="U221" s="41">
        <f t="shared" si="27"/>
        <v>87.662931468883855</v>
      </c>
      <c r="W221">
        <v>988.8</v>
      </c>
      <c r="Y221">
        <f t="shared" si="25"/>
        <v>115980.99999999994</v>
      </c>
      <c r="Z221">
        <f t="shared" si="26"/>
        <v>29852.700000000004</v>
      </c>
      <c r="AA221">
        <v>11.128905223851469</v>
      </c>
    </row>
    <row r="222" spans="1:27" x14ac:dyDescent="0.25">
      <c r="A222">
        <v>5080</v>
      </c>
      <c r="B222">
        <v>18650</v>
      </c>
      <c r="C222" s="1">
        <v>42800</v>
      </c>
      <c r="D222" s="1"/>
      <c r="E222" s="16"/>
      <c r="F222" s="64"/>
      <c r="G222">
        <v>11.3</v>
      </c>
      <c r="H222">
        <v>9.5</v>
      </c>
      <c r="I222">
        <v>14.7</v>
      </c>
      <c r="J222" s="14">
        <f t="shared" si="23"/>
        <v>1598.7999999999997</v>
      </c>
      <c r="K222" s="14">
        <f t="shared" si="29"/>
        <v>358.7</v>
      </c>
      <c r="L222" s="1"/>
      <c r="M222">
        <v>2.6</v>
      </c>
      <c r="N222">
        <v>2.4</v>
      </c>
      <c r="O222" s="14">
        <f t="shared" si="20"/>
        <v>0.20000000000000018</v>
      </c>
      <c r="P222">
        <f t="shared" si="28"/>
        <v>69.69999999999996</v>
      </c>
      <c r="Q222" s="31">
        <v>168</v>
      </c>
      <c r="R222">
        <f t="shared" si="24"/>
        <v>1.1193877551020408</v>
      </c>
      <c r="S222" s="41">
        <f t="shared" si="21"/>
        <v>2.6865306122448978</v>
      </c>
      <c r="T222" s="41">
        <f t="shared" si="22"/>
        <v>-8.6530612244897664E-2</v>
      </c>
      <c r="U222" s="41">
        <f t="shared" si="27"/>
        <v>87.576400856638955</v>
      </c>
      <c r="W222">
        <v>761.2</v>
      </c>
      <c r="Y222">
        <f t="shared" si="25"/>
        <v>116742.19999999994</v>
      </c>
      <c r="Z222">
        <f t="shared" si="26"/>
        <v>30613.900000000005</v>
      </c>
      <c r="AA222">
        <v>11.179429164137181</v>
      </c>
    </row>
    <row r="223" spans="1:27" x14ac:dyDescent="0.25">
      <c r="A223">
        <v>5080</v>
      </c>
      <c r="B223">
        <v>18650</v>
      </c>
      <c r="C223" s="1">
        <v>42801</v>
      </c>
      <c r="D223" s="1"/>
      <c r="E223" s="16"/>
      <c r="F223" s="64"/>
      <c r="G223">
        <v>9.5</v>
      </c>
      <c r="H223">
        <v>8.1999999999999993</v>
      </c>
      <c r="I223">
        <v>11.6</v>
      </c>
      <c r="J223" s="14">
        <f t="shared" si="23"/>
        <v>1608.2999999999997</v>
      </c>
      <c r="K223" s="14">
        <f t="shared" si="29"/>
        <v>368.2</v>
      </c>
      <c r="L223" s="1"/>
      <c r="M223">
        <v>20</v>
      </c>
      <c r="N223">
        <v>1.1000000000000001</v>
      </c>
      <c r="O223" s="14">
        <f t="shared" si="20"/>
        <v>18.899999999999999</v>
      </c>
      <c r="P223">
        <f t="shared" si="28"/>
        <v>88.599999999999966</v>
      </c>
      <c r="Q223" s="31">
        <v>169</v>
      </c>
      <c r="R223">
        <f t="shared" si="24"/>
        <v>1.1224489795918366</v>
      </c>
      <c r="S223" s="41">
        <f t="shared" si="21"/>
        <v>1.2346938775510203</v>
      </c>
      <c r="T223" s="41">
        <f t="shared" si="22"/>
        <v>18.76530612244898</v>
      </c>
      <c r="U223" s="41">
        <f t="shared" si="27"/>
        <v>106.34170697908793</v>
      </c>
      <c r="W223">
        <v>302.5</v>
      </c>
      <c r="Y223">
        <f t="shared" si="25"/>
        <v>117044.69999999994</v>
      </c>
      <c r="Z223">
        <f t="shared" si="26"/>
        <v>30916.400000000005</v>
      </c>
      <c r="AA223">
        <v>11.23008644356233</v>
      </c>
    </row>
    <row r="224" spans="1:27" x14ac:dyDescent="0.25">
      <c r="A224">
        <v>5080</v>
      </c>
      <c r="B224">
        <v>18650</v>
      </c>
      <c r="C224" s="1">
        <v>42802</v>
      </c>
      <c r="D224" s="1"/>
      <c r="E224" s="16"/>
      <c r="F224" s="64"/>
      <c r="G224">
        <v>11.9</v>
      </c>
      <c r="H224">
        <v>9.9</v>
      </c>
      <c r="I224">
        <v>13.5</v>
      </c>
      <c r="J224" s="14">
        <f t="shared" si="23"/>
        <v>1620.1999999999998</v>
      </c>
      <c r="K224" s="14">
        <f t="shared" si="29"/>
        <v>380.09999999999997</v>
      </c>
      <c r="L224" s="1"/>
      <c r="M224">
        <v>0</v>
      </c>
      <c r="N224">
        <v>1.2</v>
      </c>
      <c r="O224" s="14">
        <f t="shared" si="20"/>
        <v>-1.2</v>
      </c>
      <c r="P224">
        <f t="shared" si="28"/>
        <v>87.399999999999963</v>
      </c>
      <c r="Q224" s="31">
        <v>170</v>
      </c>
      <c r="R224">
        <f t="shared" si="24"/>
        <v>1.1255102040816325</v>
      </c>
      <c r="S224" s="41">
        <f t="shared" si="21"/>
        <v>1.3506122448979589</v>
      </c>
      <c r="T224" s="41">
        <f t="shared" si="22"/>
        <v>-1.3506122448979589</v>
      </c>
      <c r="U224" s="41">
        <f t="shared" si="27"/>
        <v>104.99109473418997</v>
      </c>
      <c r="W224">
        <v>473.3</v>
      </c>
      <c r="Y224">
        <f t="shared" si="25"/>
        <v>117517.99999999994</v>
      </c>
      <c r="Z224">
        <f t="shared" si="26"/>
        <v>31389.700000000004</v>
      </c>
      <c r="AA224">
        <v>11.280867800805662</v>
      </c>
    </row>
    <row r="225" spans="1:28" x14ac:dyDescent="0.25">
      <c r="A225">
        <v>5080</v>
      </c>
      <c r="B225">
        <v>18650</v>
      </c>
      <c r="C225" s="1">
        <v>42803</v>
      </c>
      <c r="D225" s="1"/>
      <c r="E225" s="16"/>
      <c r="F225" s="64"/>
      <c r="G225">
        <v>11.5</v>
      </c>
      <c r="H225">
        <v>8.1999999999999993</v>
      </c>
      <c r="I225">
        <v>15</v>
      </c>
      <c r="J225" s="14">
        <f t="shared" si="23"/>
        <v>1631.6999999999998</v>
      </c>
      <c r="K225" s="14">
        <f t="shared" si="29"/>
        <v>391.59999999999997</v>
      </c>
      <c r="L225" s="1"/>
      <c r="M225">
        <v>0</v>
      </c>
      <c r="N225">
        <v>2.1</v>
      </c>
      <c r="O225" s="14">
        <f t="shared" si="20"/>
        <v>-2.1</v>
      </c>
      <c r="P225">
        <f t="shared" si="28"/>
        <v>85.299999999999969</v>
      </c>
      <c r="Q225" s="31">
        <v>171</v>
      </c>
      <c r="R225">
        <f t="shared" si="24"/>
        <v>1.1285714285714286</v>
      </c>
      <c r="S225" s="41">
        <f t="shared" si="21"/>
        <v>2.37</v>
      </c>
      <c r="T225" s="41">
        <f t="shared" si="22"/>
        <v>-2.37</v>
      </c>
      <c r="U225" s="41">
        <f t="shared" si="27"/>
        <v>102.62109473418997</v>
      </c>
      <c r="W225">
        <v>1328.4</v>
      </c>
      <c r="Y225">
        <f t="shared" si="25"/>
        <v>118846.39999999994</v>
      </c>
      <c r="Z225">
        <f t="shared" si="26"/>
        <v>32718.100000000006</v>
      </c>
      <c r="AA225">
        <v>11.331764151211944</v>
      </c>
    </row>
    <row r="226" spans="1:28" x14ac:dyDescent="0.25">
      <c r="A226">
        <v>5080</v>
      </c>
      <c r="B226">
        <v>18650</v>
      </c>
      <c r="C226" s="1">
        <v>42804</v>
      </c>
      <c r="D226" s="1"/>
      <c r="E226" s="16"/>
      <c r="F226" s="64"/>
      <c r="G226">
        <v>10.9</v>
      </c>
      <c r="H226">
        <v>4.5999999999999996</v>
      </c>
      <c r="I226">
        <v>15.7</v>
      </c>
      <c r="J226" s="14">
        <f t="shared" si="23"/>
        <v>1642.6</v>
      </c>
      <c r="K226" s="14">
        <f t="shared" si="29"/>
        <v>402.49999999999994</v>
      </c>
      <c r="L226" s="1"/>
      <c r="M226">
        <v>0</v>
      </c>
      <c r="N226">
        <v>2.4</v>
      </c>
      <c r="O226" s="14">
        <f t="shared" si="20"/>
        <v>-2.4</v>
      </c>
      <c r="P226">
        <f t="shared" si="28"/>
        <v>82.899999999999963</v>
      </c>
      <c r="Q226" s="31">
        <v>172</v>
      </c>
      <c r="R226">
        <f t="shared" si="24"/>
        <v>1.1316326530612244</v>
      </c>
      <c r="S226" s="41">
        <f t="shared" si="21"/>
        <v>2.7159183673469385</v>
      </c>
      <c r="T226" s="41">
        <f t="shared" si="22"/>
        <v>-2.7159183673469385</v>
      </c>
      <c r="U226" s="41">
        <f t="shared" si="27"/>
        <v>99.905176366843023</v>
      </c>
      <c r="W226">
        <v>1662.2</v>
      </c>
      <c r="Y226">
        <f t="shared" si="25"/>
        <v>120508.59999999993</v>
      </c>
      <c r="Z226">
        <f t="shared" si="26"/>
        <v>34380.300000000003</v>
      </c>
      <c r="AA226">
        <v>11.382766576000686</v>
      </c>
    </row>
    <row r="227" spans="1:28" x14ac:dyDescent="0.25">
      <c r="A227">
        <v>5080</v>
      </c>
      <c r="B227">
        <v>18650</v>
      </c>
      <c r="C227" s="1">
        <v>42805</v>
      </c>
      <c r="D227" s="1"/>
      <c r="E227" s="16"/>
      <c r="F227" s="64"/>
      <c r="G227">
        <v>12.8</v>
      </c>
      <c r="H227">
        <v>4.7</v>
      </c>
      <c r="I227">
        <v>19.3</v>
      </c>
      <c r="J227" s="14">
        <f t="shared" si="23"/>
        <v>1655.3999999999999</v>
      </c>
      <c r="K227" s="14">
        <f t="shared" si="29"/>
        <v>415.29999999999995</v>
      </c>
      <c r="L227" s="1"/>
      <c r="M227">
        <v>1.4</v>
      </c>
      <c r="N227">
        <v>3</v>
      </c>
      <c r="O227" s="14">
        <f t="shared" si="20"/>
        <v>-1.6</v>
      </c>
      <c r="P227">
        <f t="shared" si="28"/>
        <v>81.299999999999969</v>
      </c>
      <c r="Q227" s="31">
        <v>173</v>
      </c>
      <c r="R227">
        <f t="shared" si="24"/>
        <v>1.1346938775510202</v>
      </c>
      <c r="S227" s="41">
        <f t="shared" si="21"/>
        <v>3.4040816326530607</v>
      </c>
      <c r="T227" s="41">
        <f t="shared" si="22"/>
        <v>-2.0040816326530608</v>
      </c>
      <c r="U227" s="41">
        <f t="shared" si="27"/>
        <v>97.901094734189968</v>
      </c>
      <c r="W227">
        <v>1704.9</v>
      </c>
      <c r="Y227">
        <f t="shared" si="25"/>
        <v>122213.49999999993</v>
      </c>
      <c r="Z227">
        <f t="shared" si="26"/>
        <v>36085.200000000004</v>
      </c>
      <c r="AA227">
        <v>11.433866311257168</v>
      </c>
    </row>
    <row r="228" spans="1:28" x14ac:dyDescent="0.25">
      <c r="A228">
        <v>5080</v>
      </c>
      <c r="B228">
        <v>18650</v>
      </c>
      <c r="C228" s="1">
        <v>42806</v>
      </c>
      <c r="D228" s="1"/>
      <c r="E228" s="16"/>
      <c r="F228" s="64"/>
      <c r="G228">
        <v>11</v>
      </c>
      <c r="H228">
        <v>9.6</v>
      </c>
      <c r="I228">
        <v>11.8</v>
      </c>
      <c r="J228" s="14">
        <f t="shared" si="23"/>
        <v>1666.3999999999999</v>
      </c>
      <c r="K228" s="14">
        <f t="shared" si="29"/>
        <v>426.29999999999995</v>
      </c>
      <c r="L228" s="1"/>
      <c r="M228">
        <v>1.5</v>
      </c>
      <c r="N228">
        <v>1</v>
      </c>
      <c r="O228" s="14">
        <f t="shared" si="20"/>
        <v>0.5</v>
      </c>
      <c r="P228">
        <f t="shared" si="28"/>
        <v>81.799999999999969</v>
      </c>
      <c r="Q228" s="31">
        <v>174</v>
      </c>
      <c r="R228">
        <f t="shared" si="24"/>
        <v>1.1377551020408163</v>
      </c>
      <c r="S228" s="41">
        <f t="shared" si="21"/>
        <v>1.1377551020408163</v>
      </c>
      <c r="T228" s="41">
        <f t="shared" si="22"/>
        <v>0.36224489795918369</v>
      </c>
      <c r="U228" s="41">
        <f t="shared" si="27"/>
        <v>98.263339632149155</v>
      </c>
      <c r="W228">
        <v>295.60000000000002</v>
      </c>
      <c r="Y228">
        <f t="shared" si="25"/>
        <v>122509.09999999993</v>
      </c>
      <c r="Z228">
        <f t="shared" si="26"/>
        <v>36380.800000000003</v>
      </c>
      <c r="AA228">
        <v>11.485054736726131</v>
      </c>
    </row>
    <row r="229" spans="1:28" x14ac:dyDescent="0.25">
      <c r="A229">
        <v>5080</v>
      </c>
      <c r="B229">
        <v>18650</v>
      </c>
      <c r="C229" s="1">
        <v>42807</v>
      </c>
      <c r="D229" s="1"/>
      <c r="E229" s="16"/>
      <c r="F229" s="64"/>
      <c r="G229">
        <v>10.4</v>
      </c>
      <c r="H229">
        <v>9.3000000000000007</v>
      </c>
      <c r="I229">
        <v>12</v>
      </c>
      <c r="J229" s="14">
        <f t="shared" si="23"/>
        <v>1676.8</v>
      </c>
      <c r="K229" s="14">
        <f t="shared" si="29"/>
        <v>436.69999999999993</v>
      </c>
      <c r="L229" s="1"/>
      <c r="M229">
        <v>0.2</v>
      </c>
      <c r="N229">
        <v>0.8</v>
      </c>
      <c r="O229" s="14">
        <f t="shared" si="20"/>
        <v>-0.60000000000000009</v>
      </c>
      <c r="P229">
        <f t="shared" si="28"/>
        <v>81.199999999999974</v>
      </c>
      <c r="Q229" s="31">
        <v>175</v>
      </c>
      <c r="R229">
        <f t="shared" si="24"/>
        <v>1.1408163265306122</v>
      </c>
      <c r="S229" s="41">
        <f t="shared" si="21"/>
        <v>0.91265306122448975</v>
      </c>
      <c r="T229" s="41">
        <f t="shared" si="22"/>
        <v>-0.71265306122448968</v>
      </c>
      <c r="U229" s="41">
        <f t="shared" si="27"/>
        <v>97.550686570924668</v>
      </c>
      <c r="W229">
        <v>433.6</v>
      </c>
      <c r="Y229">
        <f t="shared" si="25"/>
        <v>122942.69999999994</v>
      </c>
      <c r="Z229">
        <f t="shared" si="26"/>
        <v>36814.400000000001</v>
      </c>
      <c r="AA229">
        <v>11.536323364427419</v>
      </c>
    </row>
    <row r="230" spans="1:28" x14ac:dyDescent="0.25">
      <c r="A230">
        <v>5080</v>
      </c>
      <c r="B230">
        <v>18650</v>
      </c>
      <c r="C230" s="1">
        <v>42808</v>
      </c>
      <c r="D230" s="1"/>
      <c r="E230" s="16"/>
      <c r="F230" s="64"/>
      <c r="G230">
        <v>11.1</v>
      </c>
      <c r="H230">
        <v>8.1999999999999993</v>
      </c>
      <c r="I230">
        <v>13.9</v>
      </c>
      <c r="J230" s="14">
        <f t="shared" si="23"/>
        <v>1687.8999999999999</v>
      </c>
      <c r="K230" s="14">
        <f t="shared" si="29"/>
        <v>447.79999999999995</v>
      </c>
      <c r="L230" s="1"/>
      <c r="M230">
        <v>0.1</v>
      </c>
      <c r="N230">
        <v>1.6</v>
      </c>
      <c r="O230" s="14">
        <f t="shared" si="20"/>
        <v>-1.5</v>
      </c>
      <c r="P230">
        <f t="shared" si="28"/>
        <v>79.699999999999974</v>
      </c>
      <c r="Q230" s="31">
        <v>176</v>
      </c>
      <c r="R230">
        <f t="shared" si="24"/>
        <v>1.143877551020408</v>
      </c>
      <c r="S230" s="41">
        <f t="shared" si="21"/>
        <v>1.8302040816326528</v>
      </c>
      <c r="T230" s="41">
        <f t="shared" si="22"/>
        <v>-1.7302040816326527</v>
      </c>
      <c r="U230" s="41">
        <f t="shared" si="27"/>
        <v>95.820482489292019</v>
      </c>
      <c r="W230">
        <v>1225.8</v>
      </c>
      <c r="Y230">
        <f t="shared" si="25"/>
        <v>124168.49999999994</v>
      </c>
      <c r="Z230">
        <f t="shared" si="26"/>
        <v>38040.200000000004</v>
      </c>
      <c r="AA230">
        <v>11.58766382711195</v>
      </c>
    </row>
    <row r="231" spans="1:28" x14ac:dyDescent="0.25">
      <c r="A231">
        <v>5080</v>
      </c>
      <c r="B231">
        <v>18650</v>
      </c>
      <c r="C231" s="1">
        <v>42809</v>
      </c>
      <c r="D231" s="1"/>
      <c r="E231" s="16"/>
      <c r="F231" s="64"/>
      <c r="G231">
        <v>9.5</v>
      </c>
      <c r="H231">
        <v>4.2</v>
      </c>
      <c r="I231">
        <v>14.1</v>
      </c>
      <c r="J231" s="14">
        <f t="shared" si="23"/>
        <v>1697.3999999999999</v>
      </c>
      <c r="K231" s="14">
        <f t="shared" si="29"/>
        <v>457.29999999999995</v>
      </c>
      <c r="L231" s="1"/>
      <c r="M231">
        <v>0.1</v>
      </c>
      <c r="N231">
        <v>1.6</v>
      </c>
      <c r="O231" s="14">
        <f t="shared" si="20"/>
        <v>-1.5</v>
      </c>
      <c r="P231">
        <f t="shared" si="28"/>
        <v>78.199999999999974</v>
      </c>
      <c r="Q231" s="31">
        <v>177</v>
      </c>
      <c r="R231">
        <f t="shared" si="24"/>
        <v>1.1469387755102041</v>
      </c>
      <c r="S231" s="41">
        <f t="shared" si="21"/>
        <v>1.8351020408163266</v>
      </c>
      <c r="T231" s="41">
        <f t="shared" si="22"/>
        <v>-1.7351020408163265</v>
      </c>
      <c r="U231" s="41">
        <f t="shared" si="27"/>
        <v>94.085380448475689</v>
      </c>
      <c r="W231">
        <v>1356.8</v>
      </c>
      <c r="Y231">
        <f t="shared" si="25"/>
        <v>125525.29999999994</v>
      </c>
      <c r="Z231">
        <f t="shared" si="26"/>
        <v>39397.000000000007</v>
      </c>
      <c r="AA231">
        <v>11.639067866575422</v>
      </c>
    </row>
    <row r="232" spans="1:28" s="42" customFormat="1" ht="15.75" thickBot="1" x14ac:dyDescent="0.3">
      <c r="A232" s="42">
        <v>5080</v>
      </c>
      <c r="B232" s="42">
        <v>18650</v>
      </c>
      <c r="C232" s="43">
        <v>42810</v>
      </c>
      <c r="D232" s="43"/>
      <c r="E232" s="23"/>
      <c r="F232" s="64"/>
      <c r="G232" s="42">
        <v>12.3</v>
      </c>
      <c r="H232" s="42">
        <v>4.5999999999999996</v>
      </c>
      <c r="I232" s="42">
        <v>18.2</v>
      </c>
      <c r="J232" s="44">
        <f t="shared" si="23"/>
        <v>1709.6999999999998</v>
      </c>
      <c r="K232" s="44">
        <f t="shared" si="29"/>
        <v>469.59999999999997</v>
      </c>
      <c r="L232" s="43"/>
      <c r="M232" s="42">
        <v>0</v>
      </c>
      <c r="N232" s="42">
        <v>3.2</v>
      </c>
      <c r="O232" s="44">
        <f t="shared" si="20"/>
        <v>-3.2</v>
      </c>
      <c r="P232" s="42">
        <f t="shared" si="28"/>
        <v>74.999999999999972</v>
      </c>
      <c r="Q232" s="55">
        <v>178</v>
      </c>
      <c r="R232">
        <f t="shared" si="24"/>
        <v>1.1499999999999999</v>
      </c>
      <c r="S232" s="45">
        <f t="shared" si="21"/>
        <v>3.6799999999999997</v>
      </c>
      <c r="T232" s="45">
        <f t="shared" si="22"/>
        <v>-3.6799999999999997</v>
      </c>
      <c r="U232" s="41">
        <f t="shared" si="27"/>
        <v>90.405380448475682</v>
      </c>
      <c r="W232" s="42">
        <v>1923.5</v>
      </c>
      <c r="Y232" s="42">
        <f t="shared" si="25"/>
        <v>127448.79999999994</v>
      </c>
      <c r="Z232" s="42">
        <f t="shared" si="26"/>
        <v>41320.500000000007</v>
      </c>
      <c r="AA232" s="42">
        <v>11.69052732184643</v>
      </c>
    </row>
    <row r="233" spans="1:28" x14ac:dyDescent="0.25">
      <c r="A233">
        <v>5080</v>
      </c>
      <c r="B233">
        <v>18650</v>
      </c>
      <c r="C233" s="1">
        <v>42811</v>
      </c>
      <c r="D233" s="1" t="s">
        <v>9</v>
      </c>
      <c r="E233" s="16"/>
      <c r="F233" s="65" t="s">
        <v>47</v>
      </c>
      <c r="G233">
        <v>12.4</v>
      </c>
      <c r="H233">
        <v>6.1</v>
      </c>
      <c r="I233">
        <v>17.7</v>
      </c>
      <c r="J233" s="14">
        <f t="shared" si="23"/>
        <v>1722.1</v>
      </c>
      <c r="K233" s="14">
        <f>G233</f>
        <v>12.4</v>
      </c>
      <c r="L233" s="25" t="s">
        <v>37</v>
      </c>
      <c r="M233">
        <v>0</v>
      </c>
      <c r="N233">
        <v>3</v>
      </c>
      <c r="O233" s="14">
        <f t="shared" si="20"/>
        <v>-3</v>
      </c>
      <c r="P233">
        <f t="shared" si="28"/>
        <v>71.999999999999972</v>
      </c>
      <c r="Q233" s="31">
        <v>179</v>
      </c>
      <c r="R233">
        <v>1.1499999999999999</v>
      </c>
      <c r="S233" s="41">
        <f t="shared" si="21"/>
        <v>3.4499999999999997</v>
      </c>
      <c r="T233" s="41">
        <f t="shared" si="22"/>
        <v>-3.4499999999999997</v>
      </c>
      <c r="U233" s="41">
        <f t="shared" si="27"/>
        <v>86.95538044847568</v>
      </c>
      <c r="V233" s="35" t="s">
        <v>50</v>
      </c>
      <c r="W233">
        <v>1891.4</v>
      </c>
      <c r="Y233">
        <f t="shared" si="25"/>
        <v>129340.19999999994</v>
      </c>
      <c r="Z233">
        <f>W233</f>
        <v>1891.4</v>
      </c>
      <c r="AA233">
        <v>11.74203411726481</v>
      </c>
      <c r="AB233" s="35" t="s">
        <v>56</v>
      </c>
    </row>
    <row r="234" spans="1:28" s="50" customFormat="1" x14ac:dyDescent="0.25">
      <c r="A234" s="50">
        <v>5080</v>
      </c>
      <c r="B234" s="50">
        <v>18650</v>
      </c>
      <c r="C234" s="51">
        <v>42812</v>
      </c>
      <c r="D234" s="51"/>
      <c r="E234" s="52"/>
      <c r="F234" s="65"/>
      <c r="G234" s="50">
        <v>10.4</v>
      </c>
      <c r="H234" s="50">
        <v>9.1</v>
      </c>
      <c r="I234" s="50">
        <v>11.7</v>
      </c>
      <c r="J234" s="53">
        <f t="shared" si="23"/>
        <v>1732.5</v>
      </c>
      <c r="K234" s="53">
        <f t="shared" si="29"/>
        <v>22.8</v>
      </c>
      <c r="L234" s="8">
        <v>238.1</v>
      </c>
      <c r="M234" s="50">
        <v>0</v>
      </c>
      <c r="N234" s="50">
        <v>1.5</v>
      </c>
      <c r="O234" s="53">
        <f t="shared" si="20"/>
        <v>-1.5</v>
      </c>
      <c r="P234" s="50">
        <f t="shared" si="28"/>
        <v>70.499999999999972</v>
      </c>
      <c r="Q234" s="50">
        <v>180</v>
      </c>
      <c r="R234" s="50">
        <v>1.1499999999999999</v>
      </c>
      <c r="S234" s="54">
        <f t="shared" si="21"/>
        <v>1.7249999999999999</v>
      </c>
      <c r="T234" s="54">
        <f t="shared" si="22"/>
        <v>-1.7249999999999999</v>
      </c>
      <c r="U234" s="41">
        <f t="shared" si="27"/>
        <v>85.230380448475685</v>
      </c>
      <c r="V234">
        <v>0</v>
      </c>
      <c r="W234" s="50">
        <v>640.79999999999995</v>
      </c>
      <c r="Y234" s="50">
        <f t="shared" si="25"/>
        <v>129980.99999999994</v>
      </c>
      <c r="Z234" s="50">
        <f t="shared" si="26"/>
        <v>2532.1999999999998</v>
      </c>
      <c r="AA234" s="50">
        <v>11.793580250465467</v>
      </c>
      <c r="AB234">
        <v>26903</v>
      </c>
    </row>
    <row r="235" spans="1:28" ht="15" customHeight="1" x14ac:dyDescent="0.25">
      <c r="A235">
        <v>5080</v>
      </c>
      <c r="B235">
        <v>18650</v>
      </c>
      <c r="C235" s="1">
        <v>42813</v>
      </c>
      <c r="E235" s="16"/>
      <c r="F235" s="65"/>
      <c r="G235">
        <v>10.5</v>
      </c>
      <c r="H235">
        <v>5</v>
      </c>
      <c r="I235">
        <v>14</v>
      </c>
      <c r="J235" s="14">
        <f t="shared" si="23"/>
        <v>1743</v>
      </c>
      <c r="K235" s="53">
        <f t="shared" si="29"/>
        <v>33.299999999999997</v>
      </c>
      <c r="L235" s="25" t="s">
        <v>38</v>
      </c>
      <c r="M235">
        <v>0</v>
      </c>
      <c r="N235">
        <v>2</v>
      </c>
      <c r="O235" s="14">
        <f t="shared" si="20"/>
        <v>-2</v>
      </c>
      <c r="P235">
        <f t="shared" si="28"/>
        <v>68.499999999999972</v>
      </c>
      <c r="Q235" s="31">
        <v>181</v>
      </c>
      <c r="R235">
        <v>1.1499999999999999</v>
      </c>
      <c r="S235" s="41">
        <f t="shared" si="21"/>
        <v>2.2999999999999998</v>
      </c>
      <c r="T235" s="41">
        <f t="shared" si="22"/>
        <v>-2.2999999999999998</v>
      </c>
      <c r="U235" s="41">
        <f t="shared" si="27"/>
        <v>82.930380448475688</v>
      </c>
      <c r="V235" s="35" t="s">
        <v>51</v>
      </c>
      <c r="W235">
        <v>1483.4</v>
      </c>
      <c r="Y235">
        <f t="shared" si="25"/>
        <v>131464.39999999994</v>
      </c>
      <c r="Z235" s="50">
        <f t="shared" si="26"/>
        <v>4015.6</v>
      </c>
      <c r="AA235">
        <v>11.845157780282259</v>
      </c>
      <c r="AB235" s="35" t="s">
        <v>57</v>
      </c>
    </row>
    <row r="236" spans="1:28" x14ac:dyDescent="0.25">
      <c r="A236">
        <v>5080</v>
      </c>
      <c r="B236">
        <v>18650</v>
      </c>
      <c r="C236" s="1">
        <v>42814</v>
      </c>
      <c r="D236" s="1"/>
      <c r="E236" s="16"/>
      <c r="F236" s="65"/>
      <c r="G236">
        <v>10.9</v>
      </c>
      <c r="H236">
        <v>8.8000000000000007</v>
      </c>
      <c r="I236">
        <v>13.2</v>
      </c>
      <c r="J236" s="14">
        <f t="shared" si="23"/>
        <v>1753.9</v>
      </c>
      <c r="K236" s="53">
        <f t="shared" si="29"/>
        <v>44.199999999999996</v>
      </c>
      <c r="L236" s="26">
        <f>AVERAGE(G233:G253)</f>
        <v>11.338095238095239</v>
      </c>
      <c r="M236">
        <v>0</v>
      </c>
      <c r="N236">
        <v>1.1000000000000001</v>
      </c>
      <c r="O236" s="14">
        <f t="shared" si="20"/>
        <v>-1.1000000000000001</v>
      </c>
      <c r="P236">
        <f t="shared" si="28"/>
        <v>67.399999999999977</v>
      </c>
      <c r="Q236" s="31">
        <v>182</v>
      </c>
      <c r="R236">
        <v>1.1499999999999999</v>
      </c>
      <c r="S236" s="41">
        <f t="shared" si="21"/>
        <v>1.2649999999999999</v>
      </c>
      <c r="T236" s="41">
        <f t="shared" si="22"/>
        <v>-1.2649999999999999</v>
      </c>
      <c r="U236" s="41">
        <f t="shared" si="27"/>
        <v>81.665380448475688</v>
      </c>
      <c r="V236">
        <v>0</v>
      </c>
      <c r="W236">
        <v>506.8</v>
      </c>
      <c r="Y236">
        <f t="shared" si="25"/>
        <v>131971.19999999992</v>
      </c>
      <c r="Z236" s="50">
        <f t="shared" si="26"/>
        <v>4522.3999999999996</v>
      </c>
      <c r="AA236">
        <v>11.896758814586057</v>
      </c>
      <c r="AB236" s="41">
        <f>(AB234/100)/L234</f>
        <v>1.1299034019319614</v>
      </c>
    </row>
    <row r="237" spans="1:28" x14ac:dyDescent="0.25">
      <c r="A237">
        <v>5080</v>
      </c>
      <c r="B237">
        <v>18650</v>
      </c>
      <c r="C237" s="1">
        <v>42815</v>
      </c>
      <c r="D237" s="1"/>
      <c r="E237" s="1"/>
      <c r="F237" s="65"/>
      <c r="G237">
        <v>9.3000000000000007</v>
      </c>
      <c r="H237">
        <v>8.1999999999999993</v>
      </c>
      <c r="I237">
        <v>12.7</v>
      </c>
      <c r="J237" s="14">
        <f t="shared" si="23"/>
        <v>1763.2</v>
      </c>
      <c r="K237" s="53">
        <f t="shared" si="29"/>
        <v>53.5</v>
      </c>
      <c r="L237" s="25" t="s">
        <v>39</v>
      </c>
      <c r="M237">
        <v>0.6</v>
      </c>
      <c r="N237">
        <v>1.7</v>
      </c>
      <c r="O237" s="14">
        <f t="shared" si="20"/>
        <v>-1.1000000000000001</v>
      </c>
      <c r="P237">
        <f t="shared" si="28"/>
        <v>66.299999999999983</v>
      </c>
      <c r="Q237" s="31">
        <v>183</v>
      </c>
      <c r="R237">
        <v>1.1499999999999999</v>
      </c>
      <c r="S237" s="41">
        <f t="shared" si="21"/>
        <v>1.9549999999999998</v>
      </c>
      <c r="T237" s="41">
        <f t="shared" si="22"/>
        <v>-1.355</v>
      </c>
      <c r="U237" s="41">
        <f t="shared" si="27"/>
        <v>80.310380448475684</v>
      </c>
      <c r="V237" s="35" t="s">
        <v>52</v>
      </c>
      <c r="W237">
        <v>674.8</v>
      </c>
      <c r="Y237">
        <f t="shared" si="25"/>
        <v>132645.99999999991</v>
      </c>
      <c r="Z237" s="50">
        <f t="shared" si="26"/>
        <v>5197.2</v>
      </c>
      <c r="AA237">
        <v>11.948375498070684</v>
      </c>
      <c r="AB237" s="35" t="s">
        <v>58</v>
      </c>
    </row>
    <row r="238" spans="1:28" x14ac:dyDescent="0.25">
      <c r="A238">
        <v>5080</v>
      </c>
      <c r="B238">
        <v>18650</v>
      </c>
      <c r="C238" s="1">
        <v>42816</v>
      </c>
      <c r="D238" s="1"/>
      <c r="E238" s="1"/>
      <c r="F238" s="65"/>
      <c r="G238">
        <v>9.1</v>
      </c>
      <c r="H238">
        <v>4.5999999999999996</v>
      </c>
      <c r="I238">
        <v>13.4</v>
      </c>
      <c r="J238" s="14">
        <f t="shared" si="23"/>
        <v>1772.3</v>
      </c>
      <c r="K238" s="53">
        <f t="shared" si="29"/>
        <v>62.6</v>
      </c>
      <c r="L238" s="9">
        <f>MIN(H233:H253)</f>
        <v>3.3</v>
      </c>
      <c r="M238">
        <v>4.2</v>
      </c>
      <c r="N238">
        <v>2</v>
      </c>
      <c r="O238" s="14">
        <f t="shared" si="20"/>
        <v>2.2000000000000002</v>
      </c>
      <c r="P238">
        <f t="shared" si="28"/>
        <v>68.499999999999986</v>
      </c>
      <c r="Q238" s="31">
        <v>184</v>
      </c>
      <c r="R238">
        <v>1.1499999999999999</v>
      </c>
      <c r="S238" s="41">
        <f t="shared" si="21"/>
        <v>2.2999999999999998</v>
      </c>
      <c r="T238" s="41">
        <f t="shared" si="22"/>
        <v>1.9000000000000004</v>
      </c>
      <c r="U238" s="41">
        <f t="shared" si="27"/>
        <v>82.210380448475689</v>
      </c>
      <c r="V238" s="41">
        <f>MIN(U233:U253)</f>
        <v>72.930380448475688</v>
      </c>
      <c r="W238">
        <v>1535.4</v>
      </c>
      <c r="Y238">
        <f t="shared" si="25"/>
        <v>134181.39999999991</v>
      </c>
      <c r="Z238" s="50">
        <f t="shared" si="26"/>
        <v>6732.6</v>
      </c>
      <c r="AA238">
        <v>12</v>
      </c>
      <c r="AB238">
        <v>6</v>
      </c>
    </row>
    <row r="239" spans="1:28" x14ac:dyDescent="0.25">
      <c r="A239">
        <v>5080</v>
      </c>
      <c r="B239">
        <v>18650</v>
      </c>
      <c r="C239" s="1">
        <v>42817</v>
      </c>
      <c r="D239" s="1"/>
      <c r="E239" s="1"/>
      <c r="F239" s="65"/>
      <c r="G239">
        <v>7.7</v>
      </c>
      <c r="H239">
        <v>5</v>
      </c>
      <c r="I239">
        <v>11.2</v>
      </c>
      <c r="J239" s="14">
        <f t="shared" si="23"/>
        <v>1780</v>
      </c>
      <c r="K239" s="53">
        <f t="shared" si="29"/>
        <v>70.3</v>
      </c>
      <c r="L239" s="25" t="s">
        <v>40</v>
      </c>
      <c r="M239">
        <v>1.7</v>
      </c>
      <c r="N239">
        <v>1.6</v>
      </c>
      <c r="O239" s="14">
        <f t="shared" si="20"/>
        <v>9.9999999999999867E-2</v>
      </c>
      <c r="P239">
        <f t="shared" si="28"/>
        <v>68.59999999999998</v>
      </c>
      <c r="Q239" s="31">
        <v>185</v>
      </c>
      <c r="R239">
        <v>1.1499999999999999</v>
      </c>
      <c r="S239" s="41">
        <f t="shared" si="21"/>
        <v>1.8399999999999999</v>
      </c>
      <c r="T239" s="41">
        <f t="shared" si="22"/>
        <v>-0.1399999999999999</v>
      </c>
      <c r="U239" s="41">
        <f t="shared" si="27"/>
        <v>82.070380448475689</v>
      </c>
      <c r="V239" s="35" t="s">
        <v>53</v>
      </c>
      <c r="W239">
        <v>1065.3</v>
      </c>
      <c r="Y239">
        <f t="shared" si="25"/>
        <v>135246.6999999999</v>
      </c>
      <c r="Z239" s="50">
        <f t="shared" si="26"/>
        <v>7797.9000000000005</v>
      </c>
      <c r="AA239">
        <v>12.051624501929316</v>
      </c>
    </row>
    <row r="240" spans="1:28" x14ac:dyDescent="0.25">
      <c r="A240">
        <v>5080</v>
      </c>
      <c r="B240">
        <v>18650</v>
      </c>
      <c r="C240" s="1">
        <v>42818</v>
      </c>
      <c r="D240" s="1"/>
      <c r="E240" s="1"/>
      <c r="F240" s="65"/>
      <c r="G240">
        <v>6.6</v>
      </c>
      <c r="H240">
        <v>3.3</v>
      </c>
      <c r="I240">
        <v>10.199999999999999</v>
      </c>
      <c r="J240" s="14">
        <f t="shared" si="23"/>
        <v>1786.6</v>
      </c>
      <c r="K240" s="53">
        <f t="shared" si="29"/>
        <v>76.899999999999991</v>
      </c>
      <c r="L240" s="8">
        <f>MAX(I233:I253)</f>
        <v>21.8</v>
      </c>
      <c r="M240">
        <v>9.1</v>
      </c>
      <c r="N240">
        <v>0.8</v>
      </c>
      <c r="O240" s="14">
        <f t="shared" si="20"/>
        <v>8.2999999999999989</v>
      </c>
      <c r="P240">
        <f t="shared" si="28"/>
        <v>76.899999999999977</v>
      </c>
      <c r="Q240" s="31">
        <v>186</v>
      </c>
      <c r="R240">
        <v>1.1499999999999999</v>
      </c>
      <c r="S240" s="41">
        <f t="shared" si="21"/>
        <v>0.91999999999999993</v>
      </c>
      <c r="T240" s="41">
        <f t="shared" si="22"/>
        <v>8.18</v>
      </c>
      <c r="U240" s="41">
        <f t="shared" si="27"/>
        <v>90.250380448475681</v>
      </c>
      <c r="V240" s="41">
        <f>MAX(U233:U253)</f>
        <v>90.440380448475679</v>
      </c>
      <c r="W240">
        <v>681</v>
      </c>
      <c r="Y240">
        <f t="shared" si="25"/>
        <v>135927.6999999999</v>
      </c>
      <c r="Z240" s="50">
        <f t="shared" si="26"/>
        <v>8478.9000000000015</v>
      </c>
      <c r="AA240">
        <v>12.103241185413941</v>
      </c>
    </row>
    <row r="241" spans="1:28" x14ac:dyDescent="0.25">
      <c r="A241">
        <v>5080</v>
      </c>
      <c r="B241">
        <v>18650</v>
      </c>
      <c r="C241" s="1">
        <v>42819</v>
      </c>
      <c r="D241" s="1"/>
      <c r="E241" s="1"/>
      <c r="F241" s="65"/>
      <c r="G241">
        <v>8.4</v>
      </c>
      <c r="H241">
        <v>5.6</v>
      </c>
      <c r="I241">
        <v>12.9</v>
      </c>
      <c r="J241" s="14">
        <f t="shared" si="23"/>
        <v>1795</v>
      </c>
      <c r="K241" s="53">
        <f t="shared" si="29"/>
        <v>85.3</v>
      </c>
      <c r="L241" s="25" t="s">
        <v>41</v>
      </c>
      <c r="M241">
        <v>1.8</v>
      </c>
      <c r="N241">
        <v>1.4</v>
      </c>
      <c r="O241" s="14">
        <f t="shared" si="20"/>
        <v>0.40000000000000013</v>
      </c>
      <c r="P241">
        <f t="shared" si="28"/>
        <v>77.299999999999983</v>
      </c>
      <c r="Q241" s="31">
        <v>187</v>
      </c>
      <c r="R241">
        <v>1.1499999999999999</v>
      </c>
      <c r="S241" s="41">
        <f t="shared" si="21"/>
        <v>1.6099999999999999</v>
      </c>
      <c r="T241" s="41">
        <f t="shared" si="22"/>
        <v>0.19000000000000017</v>
      </c>
      <c r="U241" s="41">
        <f t="shared" si="27"/>
        <v>90.440380448475679</v>
      </c>
      <c r="V241" s="35" t="s">
        <v>54</v>
      </c>
      <c r="W241">
        <v>792.5</v>
      </c>
      <c r="Y241">
        <f t="shared" si="25"/>
        <v>136720.1999999999</v>
      </c>
      <c r="Z241" s="50">
        <f t="shared" si="26"/>
        <v>9271.4000000000015</v>
      </c>
      <c r="AA241">
        <v>12.154842219717739</v>
      </c>
    </row>
    <row r="242" spans="1:28" x14ac:dyDescent="0.25">
      <c r="A242">
        <v>5080</v>
      </c>
      <c r="B242">
        <v>18650</v>
      </c>
      <c r="C242" s="1">
        <v>42820</v>
      </c>
      <c r="D242" s="1"/>
      <c r="E242" s="1"/>
      <c r="F242" s="65"/>
      <c r="G242">
        <v>11.2</v>
      </c>
      <c r="H242">
        <v>4.9000000000000004</v>
      </c>
      <c r="I242">
        <v>16.5</v>
      </c>
      <c r="J242" s="14">
        <f t="shared" si="23"/>
        <v>1806.2</v>
      </c>
      <c r="K242" s="53">
        <f t="shared" si="29"/>
        <v>96.5</v>
      </c>
      <c r="L242" s="8">
        <v>0</v>
      </c>
      <c r="M242">
        <v>0</v>
      </c>
      <c r="N242">
        <v>2.6</v>
      </c>
      <c r="O242" s="14">
        <f t="shared" si="20"/>
        <v>-2.6</v>
      </c>
      <c r="P242">
        <f t="shared" si="28"/>
        <v>74.699999999999989</v>
      </c>
      <c r="Q242" s="31">
        <v>188</v>
      </c>
      <c r="R242">
        <v>1.1499999999999999</v>
      </c>
      <c r="S242" s="41">
        <f t="shared" si="21"/>
        <v>2.9899999999999998</v>
      </c>
      <c r="T242" s="41">
        <f t="shared" si="22"/>
        <v>-2.9899999999999998</v>
      </c>
      <c r="U242" s="41">
        <f t="shared" si="27"/>
        <v>87.450380448475684</v>
      </c>
      <c r="V242" s="41">
        <f>AVERAGE(U233:U253)</f>
        <v>82.77561854371379</v>
      </c>
      <c r="W242">
        <v>1745.2</v>
      </c>
      <c r="Y242">
        <f t="shared" si="25"/>
        <v>138465.39999999991</v>
      </c>
      <c r="Z242" s="50">
        <f t="shared" si="26"/>
        <v>11016.600000000002</v>
      </c>
      <c r="AA242">
        <v>12.206419749534533</v>
      </c>
    </row>
    <row r="243" spans="1:28" x14ac:dyDescent="0.25">
      <c r="A243">
        <v>5080</v>
      </c>
      <c r="B243">
        <v>18650</v>
      </c>
      <c r="C243" s="1">
        <v>42821</v>
      </c>
      <c r="D243" s="1"/>
      <c r="E243" s="1"/>
      <c r="F243" s="65"/>
      <c r="G243">
        <v>12.4</v>
      </c>
      <c r="H243">
        <v>8.4</v>
      </c>
      <c r="I243">
        <v>16.100000000000001</v>
      </c>
      <c r="J243" s="14">
        <f t="shared" si="23"/>
        <v>1818.6000000000001</v>
      </c>
      <c r="K243" s="53">
        <f t="shared" si="29"/>
        <v>108.9</v>
      </c>
      <c r="L243" s="25" t="s">
        <v>42</v>
      </c>
      <c r="M243">
        <v>0</v>
      </c>
      <c r="N243">
        <v>2.4</v>
      </c>
      <c r="O243" s="14">
        <f t="shared" si="20"/>
        <v>-2.4</v>
      </c>
      <c r="P243">
        <f t="shared" si="28"/>
        <v>72.299999999999983</v>
      </c>
      <c r="Q243" s="31">
        <v>189</v>
      </c>
      <c r="R243">
        <v>1.1499999999999999</v>
      </c>
      <c r="S243" s="41">
        <f t="shared" si="21"/>
        <v>2.76</v>
      </c>
      <c r="T243" s="41">
        <f t="shared" si="22"/>
        <v>-2.76</v>
      </c>
      <c r="U243" s="41">
        <f t="shared" si="27"/>
        <v>84.690380448475679</v>
      </c>
      <c r="V243" t="s">
        <v>62</v>
      </c>
      <c r="W243">
        <v>1402.5</v>
      </c>
      <c r="Y243">
        <f t="shared" si="25"/>
        <v>139867.89999999991</v>
      </c>
      <c r="Z243" s="50">
        <f t="shared" si="26"/>
        <v>12419.100000000002</v>
      </c>
      <c r="AA243">
        <v>12.25796588273519</v>
      </c>
    </row>
    <row r="244" spans="1:28" x14ac:dyDescent="0.25">
      <c r="A244">
        <v>5080</v>
      </c>
      <c r="B244">
        <v>18650</v>
      </c>
      <c r="C244" s="1">
        <v>42822</v>
      </c>
      <c r="D244" s="1"/>
      <c r="E244" s="1"/>
      <c r="F244" s="65"/>
      <c r="G244">
        <v>13.6</v>
      </c>
      <c r="H244">
        <v>8.1</v>
      </c>
      <c r="I244">
        <v>18.3</v>
      </c>
      <c r="J244" s="14">
        <f t="shared" si="23"/>
        <v>1832.2</v>
      </c>
      <c r="K244" s="53">
        <f t="shared" si="29"/>
        <v>122.5</v>
      </c>
      <c r="L244" s="8">
        <v>5</v>
      </c>
      <c r="M244">
        <v>0.2</v>
      </c>
      <c r="N244">
        <v>2.7</v>
      </c>
      <c r="O244" s="14">
        <f t="shared" si="20"/>
        <v>-2.5</v>
      </c>
      <c r="P244">
        <f t="shared" si="28"/>
        <v>69.799999999999983</v>
      </c>
      <c r="Q244" s="31">
        <v>190</v>
      </c>
      <c r="R244">
        <v>1.1499999999999999</v>
      </c>
      <c r="S244" s="41">
        <f t="shared" si="21"/>
        <v>3.105</v>
      </c>
      <c r="T244" s="41">
        <f t="shared" si="22"/>
        <v>-2.9049999999999998</v>
      </c>
      <c r="U244" s="41">
        <f t="shared" si="27"/>
        <v>81.785380448475678</v>
      </c>
      <c r="V244" s="56">
        <f>(V242*100)/157.8</f>
        <v>52.456032030236869</v>
      </c>
      <c r="W244">
        <v>1528.2</v>
      </c>
      <c r="Y244">
        <f t="shared" si="25"/>
        <v>141396.09999999992</v>
      </c>
      <c r="Z244" s="50">
        <f t="shared" si="26"/>
        <v>13947.300000000003</v>
      </c>
      <c r="AA244">
        <v>12.30947267815357</v>
      </c>
    </row>
    <row r="245" spans="1:28" x14ac:dyDescent="0.25">
      <c r="A245">
        <v>5080</v>
      </c>
      <c r="B245">
        <v>18650</v>
      </c>
      <c r="C245" s="1">
        <v>42823</v>
      </c>
      <c r="D245" s="1"/>
      <c r="E245" s="1"/>
      <c r="F245" s="65"/>
      <c r="G245">
        <v>14.1</v>
      </c>
      <c r="H245">
        <v>7.3</v>
      </c>
      <c r="I245">
        <v>20.100000000000001</v>
      </c>
      <c r="J245" s="14">
        <f t="shared" si="23"/>
        <v>1846.3</v>
      </c>
      <c r="K245" s="53">
        <f t="shared" si="29"/>
        <v>136.6</v>
      </c>
      <c r="L245" s="25" t="s">
        <v>43</v>
      </c>
      <c r="M245">
        <v>0</v>
      </c>
      <c r="N245">
        <v>3.4</v>
      </c>
      <c r="O245" s="14">
        <f t="shared" si="20"/>
        <v>-3.4</v>
      </c>
      <c r="P245">
        <f t="shared" si="28"/>
        <v>66.399999999999977</v>
      </c>
      <c r="Q245" s="31">
        <v>191</v>
      </c>
      <c r="R245">
        <v>1.1499999999999999</v>
      </c>
      <c r="S245" s="41">
        <f t="shared" si="21"/>
        <v>3.9099999999999997</v>
      </c>
      <c r="T245" s="41">
        <f t="shared" si="22"/>
        <v>-3.9099999999999997</v>
      </c>
      <c r="U245" s="41">
        <f t="shared" si="27"/>
        <v>77.875380448475681</v>
      </c>
      <c r="W245">
        <v>1902.7</v>
      </c>
      <c r="Y245">
        <f t="shared" si="25"/>
        <v>143298.79999999993</v>
      </c>
      <c r="Z245" s="50">
        <f t="shared" si="26"/>
        <v>15850.000000000004</v>
      </c>
      <c r="AA245">
        <v>12.360932133424578</v>
      </c>
    </row>
    <row r="246" spans="1:28" x14ac:dyDescent="0.25">
      <c r="A246">
        <v>5080</v>
      </c>
      <c r="B246">
        <v>18650</v>
      </c>
      <c r="C246" s="1">
        <v>42824</v>
      </c>
      <c r="D246" s="1"/>
      <c r="E246" s="1"/>
      <c r="F246" s="65"/>
      <c r="G246">
        <v>15</v>
      </c>
      <c r="H246">
        <v>6.6</v>
      </c>
      <c r="I246">
        <v>21.8</v>
      </c>
      <c r="J246" s="14">
        <f t="shared" si="23"/>
        <v>1861.3</v>
      </c>
      <c r="K246" s="53">
        <f t="shared" si="29"/>
        <v>151.6</v>
      </c>
      <c r="L246" s="27">
        <v>0</v>
      </c>
      <c r="M246">
        <v>0</v>
      </c>
      <c r="N246">
        <v>4.3</v>
      </c>
      <c r="O246" s="14">
        <f t="shared" si="20"/>
        <v>-4.3</v>
      </c>
      <c r="P246">
        <f t="shared" si="28"/>
        <v>62.09999999999998</v>
      </c>
      <c r="Q246" s="31">
        <v>192</v>
      </c>
      <c r="R246">
        <v>1.1499999999999999</v>
      </c>
      <c r="S246" s="41">
        <f t="shared" si="21"/>
        <v>4.9449999999999994</v>
      </c>
      <c r="T246" s="41">
        <f t="shared" si="22"/>
        <v>-4.9449999999999994</v>
      </c>
      <c r="U246" s="41">
        <f t="shared" si="27"/>
        <v>72.930380448475688</v>
      </c>
      <c r="W246">
        <v>2176</v>
      </c>
      <c r="Y246">
        <f t="shared" si="25"/>
        <v>145474.79999999993</v>
      </c>
      <c r="Z246" s="50">
        <f t="shared" si="26"/>
        <v>18026.000000000004</v>
      </c>
      <c r="AA246">
        <v>12.41233617288805</v>
      </c>
    </row>
    <row r="247" spans="1:28" x14ac:dyDescent="0.25">
      <c r="A247">
        <v>5080</v>
      </c>
      <c r="B247">
        <v>18650</v>
      </c>
      <c r="C247" s="1">
        <v>42825</v>
      </c>
      <c r="D247" s="1"/>
      <c r="E247" s="1"/>
      <c r="F247" s="65"/>
      <c r="G247">
        <v>13.4</v>
      </c>
      <c r="H247">
        <v>11.1</v>
      </c>
      <c r="I247">
        <v>18.3</v>
      </c>
      <c r="J247" s="14">
        <f t="shared" si="23"/>
        <v>1874.7</v>
      </c>
      <c r="K247" s="53">
        <f t="shared" si="29"/>
        <v>165</v>
      </c>
      <c r="M247">
        <v>16.5</v>
      </c>
      <c r="N247">
        <v>2.8</v>
      </c>
      <c r="O247" s="14">
        <f t="shared" si="20"/>
        <v>13.7</v>
      </c>
      <c r="P247">
        <f t="shared" si="28"/>
        <v>75.799999999999983</v>
      </c>
      <c r="Q247" s="31">
        <v>193</v>
      </c>
      <c r="R247">
        <v>1.1499999999999999</v>
      </c>
      <c r="S247" s="41">
        <f t="shared" si="21"/>
        <v>3.2199999999999998</v>
      </c>
      <c r="T247" s="41">
        <f t="shared" si="22"/>
        <v>13.280000000000001</v>
      </c>
      <c r="U247" s="41">
        <f t="shared" si="27"/>
        <v>86.210380448475689</v>
      </c>
      <c r="W247">
        <v>1301.2</v>
      </c>
      <c r="Y247">
        <f t="shared" si="25"/>
        <v>146775.99999999994</v>
      </c>
      <c r="Z247" s="50">
        <f t="shared" si="26"/>
        <v>19327.200000000004</v>
      </c>
      <c r="AA247">
        <v>12.463676635572581</v>
      </c>
    </row>
    <row r="248" spans="1:28" x14ac:dyDescent="0.25">
      <c r="A248">
        <v>5080</v>
      </c>
      <c r="B248">
        <v>18650</v>
      </c>
      <c r="C248" s="1">
        <v>42826</v>
      </c>
      <c r="D248" s="1"/>
      <c r="E248" s="1"/>
      <c r="F248" s="65"/>
      <c r="G248">
        <v>10.8</v>
      </c>
      <c r="H248">
        <v>8.8000000000000007</v>
      </c>
      <c r="I248">
        <v>13.5</v>
      </c>
      <c r="J248" s="14">
        <f t="shared" si="23"/>
        <v>1885.5</v>
      </c>
      <c r="K248" s="53">
        <f t="shared" si="29"/>
        <v>175.8</v>
      </c>
      <c r="M248">
        <v>2.7</v>
      </c>
      <c r="N248">
        <v>1.4</v>
      </c>
      <c r="O248" s="14">
        <f t="shared" ref="O248:O311" si="30">M248-N248</f>
        <v>1.3000000000000003</v>
      </c>
      <c r="P248">
        <f t="shared" si="28"/>
        <v>77.09999999999998</v>
      </c>
      <c r="Q248" s="31">
        <v>194</v>
      </c>
      <c r="R248">
        <v>1.1499999999999999</v>
      </c>
      <c r="S248" s="41">
        <f t="shared" ref="S248:S311" si="31">R248*N248</f>
        <v>1.6099999999999999</v>
      </c>
      <c r="T248" s="41">
        <f t="shared" ref="T248:T311" si="32">M248-S248</f>
        <v>1.0900000000000003</v>
      </c>
      <c r="U248" s="41">
        <f t="shared" si="27"/>
        <v>87.300380448475693</v>
      </c>
      <c r="W248">
        <v>591.4</v>
      </c>
      <c r="Y248">
        <f t="shared" si="25"/>
        <v>147367.39999999994</v>
      </c>
      <c r="Z248" s="50">
        <f t="shared" si="26"/>
        <v>19918.600000000006</v>
      </c>
      <c r="AA248">
        <v>12.514945263273869</v>
      </c>
    </row>
    <row r="249" spans="1:28" x14ac:dyDescent="0.25">
      <c r="A249">
        <v>5080</v>
      </c>
      <c r="B249">
        <v>18650</v>
      </c>
      <c r="C249" s="1">
        <v>42827</v>
      </c>
      <c r="D249" s="1"/>
      <c r="E249" s="1"/>
      <c r="F249" s="65"/>
      <c r="G249">
        <v>11.1</v>
      </c>
      <c r="H249">
        <v>9.1</v>
      </c>
      <c r="I249">
        <v>13.2</v>
      </c>
      <c r="J249" s="14">
        <f t="shared" ref="J249:J312" si="33">J248+G249</f>
        <v>1896.6</v>
      </c>
      <c r="K249" s="53">
        <f t="shared" si="29"/>
        <v>186.9</v>
      </c>
      <c r="L249" s="1"/>
      <c r="M249">
        <v>0.7</v>
      </c>
      <c r="N249">
        <v>2.1</v>
      </c>
      <c r="O249" s="14">
        <f t="shared" si="30"/>
        <v>-1.4000000000000001</v>
      </c>
      <c r="P249">
        <f t="shared" si="28"/>
        <v>75.699999999999974</v>
      </c>
      <c r="Q249" s="31">
        <v>195</v>
      </c>
      <c r="R249">
        <v>1.1499999999999999</v>
      </c>
      <c r="S249" s="41">
        <f t="shared" si="31"/>
        <v>2.415</v>
      </c>
      <c r="T249" s="41">
        <f t="shared" si="32"/>
        <v>-1.7150000000000001</v>
      </c>
      <c r="U249" s="41">
        <f t="shared" si="27"/>
        <v>85.585380448475689</v>
      </c>
      <c r="W249">
        <v>1069.7</v>
      </c>
      <c r="Y249">
        <f t="shared" ref="Y249:Y312" si="34">Y248+W249</f>
        <v>148437.09999999995</v>
      </c>
      <c r="Z249" s="50">
        <f t="shared" si="26"/>
        <v>20988.300000000007</v>
      </c>
      <c r="AA249">
        <v>12.566133688742832</v>
      </c>
    </row>
    <row r="250" spans="1:28" x14ac:dyDescent="0.25">
      <c r="A250">
        <v>5080</v>
      </c>
      <c r="B250">
        <v>18650</v>
      </c>
      <c r="C250" s="1">
        <v>42828</v>
      </c>
      <c r="D250" s="1"/>
      <c r="E250" s="1"/>
      <c r="F250" s="65"/>
      <c r="G250">
        <v>12.9</v>
      </c>
      <c r="H250">
        <v>8.3000000000000007</v>
      </c>
      <c r="I250">
        <v>16.100000000000001</v>
      </c>
      <c r="J250" s="14">
        <f t="shared" si="33"/>
        <v>1909.5</v>
      </c>
      <c r="K250" s="53">
        <f t="shared" si="29"/>
        <v>199.8</v>
      </c>
      <c r="L250" s="1"/>
      <c r="M250">
        <v>0</v>
      </c>
      <c r="N250">
        <v>2.2999999999999998</v>
      </c>
      <c r="O250" s="14">
        <f t="shared" si="30"/>
        <v>-2.2999999999999998</v>
      </c>
      <c r="P250">
        <f t="shared" si="28"/>
        <v>73.399999999999977</v>
      </c>
      <c r="Q250" s="31">
        <v>196</v>
      </c>
      <c r="R250">
        <v>1.1499999999999999</v>
      </c>
      <c r="S250" s="41">
        <f t="shared" si="31"/>
        <v>2.6449999999999996</v>
      </c>
      <c r="T250" s="41">
        <f t="shared" si="32"/>
        <v>-2.6449999999999996</v>
      </c>
      <c r="U250" s="41">
        <f t="shared" si="27"/>
        <v>82.940380448475693</v>
      </c>
      <c r="W250">
        <v>1474.3</v>
      </c>
      <c r="Y250">
        <f t="shared" si="34"/>
        <v>149911.39999999994</v>
      </c>
      <c r="Z250" s="50">
        <f t="shared" ref="Z250:Z313" si="35">Z249+W250</f>
        <v>22462.600000000006</v>
      </c>
      <c r="AA250">
        <v>12.617233423999314</v>
      </c>
    </row>
    <row r="251" spans="1:28" x14ac:dyDescent="0.25">
      <c r="A251">
        <v>5080</v>
      </c>
      <c r="B251">
        <v>18650</v>
      </c>
      <c r="C251" s="1">
        <v>42829</v>
      </c>
      <c r="D251" s="1"/>
      <c r="E251" s="1"/>
      <c r="F251" s="65"/>
      <c r="G251">
        <v>14.2</v>
      </c>
      <c r="H251">
        <v>10.5</v>
      </c>
      <c r="I251">
        <v>18.600000000000001</v>
      </c>
      <c r="J251" s="14">
        <f t="shared" si="33"/>
        <v>1923.7</v>
      </c>
      <c r="K251" s="53">
        <f t="shared" si="29"/>
        <v>214</v>
      </c>
      <c r="L251" s="1"/>
      <c r="M251">
        <v>0.1</v>
      </c>
      <c r="N251">
        <v>3.3</v>
      </c>
      <c r="O251" s="14">
        <f t="shared" si="30"/>
        <v>-3.1999999999999997</v>
      </c>
      <c r="P251">
        <f t="shared" si="28"/>
        <v>70.199999999999974</v>
      </c>
      <c r="Q251" s="31">
        <v>197</v>
      </c>
      <c r="R251">
        <v>1.1499999999999999</v>
      </c>
      <c r="S251" s="41">
        <f t="shared" si="31"/>
        <v>3.7949999999999995</v>
      </c>
      <c r="T251" s="41">
        <f t="shared" si="32"/>
        <v>-3.6949999999999994</v>
      </c>
      <c r="U251" s="41">
        <f t="shared" si="27"/>
        <v>79.2453804484757</v>
      </c>
      <c r="W251">
        <v>1537.4</v>
      </c>
      <c r="Y251">
        <f t="shared" si="34"/>
        <v>151448.79999999993</v>
      </c>
      <c r="Z251" s="50">
        <f t="shared" si="35"/>
        <v>24000.000000000007</v>
      </c>
      <c r="AA251">
        <v>12.668235848788054</v>
      </c>
    </row>
    <row r="252" spans="1:28" x14ac:dyDescent="0.25">
      <c r="A252">
        <v>5080</v>
      </c>
      <c r="B252">
        <v>18650</v>
      </c>
      <c r="C252" s="1">
        <v>42830</v>
      </c>
      <c r="D252" s="1"/>
      <c r="E252" s="1"/>
      <c r="F252" s="65"/>
      <c r="G252">
        <v>12.4</v>
      </c>
      <c r="H252">
        <v>9.4</v>
      </c>
      <c r="I252">
        <v>15.7</v>
      </c>
      <c r="J252" s="14">
        <f t="shared" si="33"/>
        <v>1936.1000000000001</v>
      </c>
      <c r="K252" s="53">
        <f t="shared" si="29"/>
        <v>226.4</v>
      </c>
      <c r="L252" s="1"/>
      <c r="M252">
        <v>0</v>
      </c>
      <c r="N252">
        <v>2</v>
      </c>
      <c r="O252" s="14">
        <f t="shared" si="30"/>
        <v>-2</v>
      </c>
      <c r="P252">
        <f t="shared" si="28"/>
        <v>68.199999999999974</v>
      </c>
      <c r="Q252" s="31">
        <v>198</v>
      </c>
      <c r="R252">
        <v>1.1499999999999999</v>
      </c>
      <c r="S252" s="41">
        <f t="shared" si="31"/>
        <v>2.2999999999999998</v>
      </c>
      <c r="T252" s="41">
        <f t="shared" si="32"/>
        <v>-2.2999999999999998</v>
      </c>
      <c r="U252" s="41">
        <f t="shared" si="27"/>
        <v>76.945380448475703</v>
      </c>
      <c r="W252">
        <v>1005.3</v>
      </c>
      <c r="Y252">
        <f t="shared" si="34"/>
        <v>152454.09999999992</v>
      </c>
      <c r="Z252" s="50">
        <f t="shared" si="35"/>
        <v>25005.300000000007</v>
      </c>
      <c r="AA252">
        <v>12.719132199194338</v>
      </c>
    </row>
    <row r="253" spans="1:28" s="42" customFormat="1" ht="15.75" thickBot="1" x14ac:dyDescent="0.3">
      <c r="A253" s="42">
        <v>5080</v>
      </c>
      <c r="B253" s="42">
        <v>18650</v>
      </c>
      <c r="C253" s="43">
        <v>42831</v>
      </c>
      <c r="D253" s="43" t="s">
        <v>34</v>
      </c>
      <c r="E253" s="43"/>
      <c r="F253" s="65"/>
      <c r="G253" s="42">
        <v>11.7</v>
      </c>
      <c r="H253" s="42">
        <v>7.6</v>
      </c>
      <c r="I253" s="42">
        <v>16.100000000000001</v>
      </c>
      <c r="J253" s="44">
        <f t="shared" si="33"/>
        <v>1947.8000000000002</v>
      </c>
      <c r="K253" s="44">
        <f t="shared" si="29"/>
        <v>238.1</v>
      </c>
      <c r="L253" s="43"/>
      <c r="M253" s="42">
        <v>0</v>
      </c>
      <c r="N253" s="42">
        <v>3.2</v>
      </c>
      <c r="O253" s="44">
        <f t="shared" si="30"/>
        <v>-3.2</v>
      </c>
      <c r="P253" s="42">
        <f t="shared" si="28"/>
        <v>64.999999999999972</v>
      </c>
      <c r="Q253" s="55">
        <v>199</v>
      </c>
      <c r="R253" s="42">
        <v>1.1499999999999999</v>
      </c>
      <c r="S253" s="45">
        <f t="shared" si="31"/>
        <v>3.6799999999999997</v>
      </c>
      <c r="T253" s="45">
        <f t="shared" si="32"/>
        <v>-3.6799999999999997</v>
      </c>
      <c r="U253" s="41">
        <f t="shared" si="27"/>
        <v>73.265380448475696</v>
      </c>
      <c r="W253" s="42">
        <v>1897.7</v>
      </c>
      <c r="Y253" s="42">
        <f t="shared" si="34"/>
        <v>154351.79999999993</v>
      </c>
      <c r="Z253" s="42">
        <f t="shared" si="35"/>
        <v>26903.000000000007</v>
      </c>
      <c r="AA253" s="42">
        <v>12.76991355643767</v>
      </c>
    </row>
    <row r="254" spans="1:28" x14ac:dyDescent="0.25">
      <c r="A254">
        <v>5080</v>
      </c>
      <c r="B254">
        <v>18650</v>
      </c>
      <c r="C254" s="1">
        <v>42832</v>
      </c>
      <c r="D254" s="1"/>
      <c r="E254" s="1"/>
      <c r="F254" s="66" t="s">
        <v>46</v>
      </c>
      <c r="G254">
        <v>12</v>
      </c>
      <c r="H254">
        <v>4.5999999999999996</v>
      </c>
      <c r="I254">
        <v>18</v>
      </c>
      <c r="J254" s="14">
        <f t="shared" si="33"/>
        <v>1959.8000000000002</v>
      </c>
      <c r="K254" s="53">
        <f>G254</f>
        <v>12</v>
      </c>
      <c r="L254" s="28" t="s">
        <v>37</v>
      </c>
      <c r="M254">
        <v>0</v>
      </c>
      <c r="N254">
        <v>3.5</v>
      </c>
      <c r="O254" s="14">
        <f t="shared" si="30"/>
        <v>-3.5</v>
      </c>
      <c r="P254">
        <f t="shared" si="28"/>
        <v>61.499999999999972</v>
      </c>
      <c r="Q254" s="31">
        <v>200</v>
      </c>
      <c r="R254">
        <v>1.1499999999999999</v>
      </c>
      <c r="S254" s="41">
        <f t="shared" si="31"/>
        <v>4.0249999999999995</v>
      </c>
      <c r="T254" s="41">
        <f t="shared" si="32"/>
        <v>-4.0249999999999995</v>
      </c>
      <c r="U254" s="41">
        <f t="shared" si="27"/>
        <v>69.24038044847569</v>
      </c>
      <c r="V254" s="36" t="s">
        <v>50</v>
      </c>
      <c r="W254">
        <v>2443</v>
      </c>
      <c r="Y254">
        <f t="shared" si="34"/>
        <v>156794.79999999993</v>
      </c>
      <c r="Z254" s="50">
        <f>W254</f>
        <v>2443</v>
      </c>
      <c r="AA254">
        <v>12.820570835862819</v>
      </c>
      <c r="AB254" s="36" t="s">
        <v>56</v>
      </c>
    </row>
    <row r="255" spans="1:28" s="50" customFormat="1" x14ac:dyDescent="0.25">
      <c r="A255" s="50">
        <v>5080</v>
      </c>
      <c r="B255" s="50">
        <v>18650</v>
      </c>
      <c r="C255" s="51">
        <v>42833</v>
      </c>
      <c r="E255" s="51"/>
      <c r="F255" s="66"/>
      <c r="G255" s="50">
        <v>14.8</v>
      </c>
      <c r="H255" s="50">
        <v>5.8</v>
      </c>
      <c r="I255" s="50">
        <v>21.5</v>
      </c>
      <c r="J255" s="53">
        <f t="shared" si="33"/>
        <v>1974.6000000000001</v>
      </c>
      <c r="K255" s="53">
        <f t="shared" si="29"/>
        <v>26.8</v>
      </c>
      <c r="L255" s="8">
        <v>307</v>
      </c>
      <c r="M255" s="50">
        <v>0</v>
      </c>
      <c r="N255" s="50">
        <v>4.3</v>
      </c>
      <c r="O255" s="53">
        <f t="shared" si="30"/>
        <v>-4.3</v>
      </c>
      <c r="P255" s="50">
        <f t="shared" si="28"/>
        <v>57.199999999999974</v>
      </c>
      <c r="Q255" s="50">
        <v>201</v>
      </c>
      <c r="R255" s="50">
        <v>1.1499999999999999</v>
      </c>
      <c r="S255" s="54">
        <f t="shared" si="31"/>
        <v>4.9449999999999994</v>
      </c>
      <c r="T255" s="54">
        <f t="shared" si="32"/>
        <v>-4.9449999999999994</v>
      </c>
      <c r="U255" s="41">
        <f t="shared" si="27"/>
        <v>64.295380448475697</v>
      </c>
      <c r="V255">
        <v>4</v>
      </c>
      <c r="W255" s="50">
        <v>2400.8000000000002</v>
      </c>
      <c r="Y255" s="50">
        <f t="shared" si="34"/>
        <v>159195.59999999992</v>
      </c>
      <c r="Z255" s="50">
        <f>Z254+W255</f>
        <v>4843.8</v>
      </c>
      <c r="AA255" s="50">
        <v>12.87109477614853</v>
      </c>
      <c r="AB255">
        <v>50463.4</v>
      </c>
    </row>
    <row r="256" spans="1:28" ht="15" customHeight="1" x14ac:dyDescent="0.25">
      <c r="A256">
        <v>5080</v>
      </c>
      <c r="B256">
        <v>18650</v>
      </c>
      <c r="C256" s="1">
        <v>42834</v>
      </c>
      <c r="D256" s="1"/>
      <c r="E256" s="1"/>
      <c r="F256" s="66"/>
      <c r="G256">
        <v>15.9</v>
      </c>
      <c r="H256">
        <v>11.4</v>
      </c>
      <c r="I256">
        <v>21.3</v>
      </c>
      <c r="J256" s="14">
        <f t="shared" si="33"/>
        <v>1990.5000000000002</v>
      </c>
      <c r="K256" s="53">
        <f t="shared" si="29"/>
        <v>42.7</v>
      </c>
      <c r="L256" s="28" t="s">
        <v>38</v>
      </c>
      <c r="M256">
        <v>0</v>
      </c>
      <c r="N256">
        <v>4.8</v>
      </c>
      <c r="O256" s="14">
        <f t="shared" si="30"/>
        <v>-4.8</v>
      </c>
      <c r="P256">
        <f t="shared" si="28"/>
        <v>52.399999999999977</v>
      </c>
      <c r="Q256" s="31">
        <v>202</v>
      </c>
      <c r="R256" s="31">
        <v>1.1499999999999999</v>
      </c>
      <c r="S256" s="41">
        <f t="shared" si="31"/>
        <v>5.52</v>
      </c>
      <c r="T256" s="41">
        <f t="shared" si="32"/>
        <v>-5.52</v>
      </c>
      <c r="U256" s="41">
        <f t="shared" si="27"/>
        <v>58.775380448475701</v>
      </c>
      <c r="V256" s="36" t="s">
        <v>51</v>
      </c>
      <c r="W256">
        <v>2469.8000000000002</v>
      </c>
      <c r="Y256">
        <f t="shared" si="34"/>
        <v>161665.39999999991</v>
      </c>
      <c r="Z256" s="50">
        <f t="shared" si="35"/>
        <v>7313.6</v>
      </c>
      <c r="AA256">
        <v>12.921475928755392</v>
      </c>
      <c r="AB256" s="36" t="s">
        <v>57</v>
      </c>
    </row>
    <row r="257" spans="1:28" x14ac:dyDescent="0.25">
      <c r="A257">
        <v>5080</v>
      </c>
      <c r="B257">
        <v>18650</v>
      </c>
      <c r="C257" s="1">
        <v>42835</v>
      </c>
      <c r="D257" s="1"/>
      <c r="E257" s="1"/>
      <c r="F257" s="66"/>
      <c r="G257">
        <v>16.3</v>
      </c>
      <c r="H257">
        <v>10.199999999999999</v>
      </c>
      <c r="I257">
        <v>22.5</v>
      </c>
      <c r="J257" s="14">
        <f t="shared" si="33"/>
        <v>2006.8000000000002</v>
      </c>
      <c r="K257" s="53">
        <f t="shared" si="29"/>
        <v>59</v>
      </c>
      <c r="L257" s="26">
        <f>AVERAGE(G254:G277)</f>
        <v>12.791666666666664</v>
      </c>
      <c r="M257">
        <v>0</v>
      </c>
      <c r="N257">
        <v>3.9</v>
      </c>
      <c r="O257" s="14">
        <f t="shared" si="30"/>
        <v>-3.9</v>
      </c>
      <c r="P257">
        <f t="shared" si="28"/>
        <v>48.499999999999979</v>
      </c>
      <c r="Q257" s="31">
        <v>203</v>
      </c>
      <c r="R257" s="31">
        <v>1.1499999999999999</v>
      </c>
      <c r="S257" s="41">
        <f t="shared" si="31"/>
        <v>4.4849999999999994</v>
      </c>
      <c r="T257" s="41">
        <f t="shared" si="32"/>
        <v>-4.4849999999999994</v>
      </c>
      <c r="U257" s="41">
        <f t="shared" si="27"/>
        <v>54.290380448475702</v>
      </c>
      <c r="V257">
        <v>16</v>
      </c>
      <c r="W257">
        <v>2087.8000000000002</v>
      </c>
      <c r="Y257">
        <f t="shared" si="34"/>
        <v>163753.1999999999</v>
      </c>
      <c r="Z257" s="50">
        <f t="shared" si="35"/>
        <v>9401.4000000000015</v>
      </c>
      <c r="AA257">
        <v>12.971704647635443</v>
      </c>
      <c r="AB257">
        <f>(AB255/100)/L255</f>
        <v>1.6437589576547231</v>
      </c>
    </row>
    <row r="258" spans="1:28" x14ac:dyDescent="0.25">
      <c r="A258">
        <v>5080</v>
      </c>
      <c r="B258">
        <v>18650</v>
      </c>
      <c r="C258" s="1">
        <v>42836</v>
      </c>
      <c r="D258" s="1"/>
      <c r="E258" s="1"/>
      <c r="F258" s="66"/>
      <c r="G258">
        <v>14.2</v>
      </c>
      <c r="H258">
        <v>11.3</v>
      </c>
      <c r="I258">
        <v>17.2</v>
      </c>
      <c r="J258" s="14">
        <f t="shared" si="33"/>
        <v>2021.0000000000002</v>
      </c>
      <c r="K258" s="53">
        <f t="shared" si="29"/>
        <v>73.2</v>
      </c>
      <c r="L258" s="28" t="s">
        <v>39</v>
      </c>
      <c r="M258">
        <v>0</v>
      </c>
      <c r="N258">
        <v>2.8</v>
      </c>
      <c r="O258" s="14">
        <f t="shared" si="30"/>
        <v>-2.8</v>
      </c>
      <c r="P258">
        <f t="shared" si="28"/>
        <v>45.699999999999982</v>
      </c>
      <c r="Q258" s="31">
        <v>204</v>
      </c>
      <c r="R258" s="31">
        <v>1.1499999999999999</v>
      </c>
      <c r="S258" s="41">
        <f t="shared" si="31"/>
        <v>3.2199999999999998</v>
      </c>
      <c r="T258" s="41">
        <f t="shared" si="32"/>
        <v>-3.2199999999999998</v>
      </c>
      <c r="U258" s="41">
        <f t="shared" ref="U258:U321" si="36">MIN(U257+T258,157.8)</f>
        <v>51.070380448475703</v>
      </c>
      <c r="V258" s="36" t="s">
        <v>52</v>
      </c>
      <c r="W258">
        <v>1176.2</v>
      </c>
      <c r="Y258">
        <f t="shared" si="34"/>
        <v>164929.39999999991</v>
      </c>
      <c r="Z258" s="50">
        <f t="shared" si="35"/>
        <v>10577.600000000002</v>
      </c>
      <c r="AA258">
        <v>13.021771079227335</v>
      </c>
      <c r="AB258" s="36" t="s">
        <v>58</v>
      </c>
    </row>
    <row r="259" spans="1:28" x14ac:dyDescent="0.25">
      <c r="A259">
        <v>5080</v>
      </c>
      <c r="B259">
        <v>18650</v>
      </c>
      <c r="C259" s="1">
        <v>42837</v>
      </c>
      <c r="D259" s="1"/>
      <c r="E259" s="1"/>
      <c r="F259" s="66"/>
      <c r="G259">
        <v>14.3</v>
      </c>
      <c r="H259">
        <v>7.8</v>
      </c>
      <c r="I259">
        <v>19.8</v>
      </c>
      <c r="J259" s="14">
        <f t="shared" si="33"/>
        <v>2035.3000000000002</v>
      </c>
      <c r="K259" s="53">
        <f t="shared" si="29"/>
        <v>87.5</v>
      </c>
      <c r="L259" s="9">
        <v>1.7</v>
      </c>
      <c r="M259">
        <v>0</v>
      </c>
      <c r="N259">
        <v>4.2</v>
      </c>
      <c r="O259" s="14">
        <f t="shared" si="30"/>
        <v>-4.2</v>
      </c>
      <c r="P259">
        <f t="shared" si="28"/>
        <v>41.499999999999979</v>
      </c>
      <c r="Q259" s="31">
        <v>205</v>
      </c>
      <c r="R259" s="31">
        <v>1.1499999999999999</v>
      </c>
      <c r="S259" s="41">
        <f t="shared" si="31"/>
        <v>4.83</v>
      </c>
      <c r="T259" s="41">
        <f t="shared" si="32"/>
        <v>-4.83</v>
      </c>
      <c r="U259" s="41">
        <f t="shared" si="36"/>
        <v>46.240380448475705</v>
      </c>
      <c r="V259">
        <v>0</v>
      </c>
      <c r="W259">
        <v>2525.1</v>
      </c>
      <c r="Y259">
        <f t="shared" si="34"/>
        <v>167454.49999999991</v>
      </c>
      <c r="Z259" s="50">
        <f t="shared" si="35"/>
        <v>13102.700000000003</v>
      </c>
      <c r="AA259">
        <v>13.071665152762108</v>
      </c>
      <c r="AB259">
        <v>2</v>
      </c>
    </row>
    <row r="260" spans="1:28" x14ac:dyDescent="0.25">
      <c r="A260">
        <v>5080</v>
      </c>
      <c r="B260">
        <v>18650</v>
      </c>
      <c r="C260" s="1">
        <v>42838</v>
      </c>
      <c r="D260" s="1"/>
      <c r="E260" s="1"/>
      <c r="F260" s="66"/>
      <c r="G260">
        <v>15.4</v>
      </c>
      <c r="H260">
        <v>9.8000000000000007</v>
      </c>
      <c r="I260">
        <v>20.9</v>
      </c>
      <c r="J260" s="14">
        <f t="shared" si="33"/>
        <v>2050.7000000000003</v>
      </c>
      <c r="K260" s="53">
        <f t="shared" si="29"/>
        <v>102.9</v>
      </c>
      <c r="L260" s="28" t="s">
        <v>40</v>
      </c>
      <c r="M260">
        <v>0</v>
      </c>
      <c r="N260">
        <v>4.2</v>
      </c>
      <c r="O260" s="14">
        <f t="shared" si="30"/>
        <v>-4.2</v>
      </c>
      <c r="P260">
        <f t="shared" si="28"/>
        <v>37.299999999999976</v>
      </c>
      <c r="Q260" s="31">
        <v>206</v>
      </c>
      <c r="R260" s="31">
        <v>1.1499999999999999</v>
      </c>
      <c r="S260" s="41">
        <f t="shared" si="31"/>
        <v>4.83</v>
      </c>
      <c r="T260" s="41">
        <f t="shared" si="32"/>
        <v>-4.83</v>
      </c>
      <c r="U260" s="41">
        <f t="shared" si="36"/>
        <v>41.410380448475706</v>
      </c>
      <c r="V260" s="36" t="s">
        <v>53</v>
      </c>
      <c r="W260">
        <v>2308.1</v>
      </c>
      <c r="Y260">
        <f t="shared" si="34"/>
        <v>169762.59999999992</v>
      </c>
      <c r="Z260" s="50">
        <f t="shared" si="35"/>
        <v>15410.800000000003</v>
      </c>
      <c r="AA260">
        <v>13.121376570905975</v>
      </c>
    </row>
    <row r="261" spans="1:28" x14ac:dyDescent="0.25">
      <c r="A261">
        <v>5080</v>
      </c>
      <c r="B261">
        <v>18650</v>
      </c>
      <c r="C261" s="1">
        <v>42839</v>
      </c>
      <c r="D261" s="1"/>
      <c r="E261" s="1"/>
      <c r="F261" s="66"/>
      <c r="G261">
        <v>14.5</v>
      </c>
      <c r="H261">
        <v>10.9</v>
      </c>
      <c r="I261">
        <v>18.899999999999999</v>
      </c>
      <c r="J261" s="14">
        <f t="shared" si="33"/>
        <v>2065.2000000000003</v>
      </c>
      <c r="K261" s="53">
        <f t="shared" si="29"/>
        <v>117.4</v>
      </c>
      <c r="L261" s="8">
        <f>MAX(I254:I277)</f>
        <v>22.9</v>
      </c>
      <c r="M261">
        <v>0</v>
      </c>
      <c r="N261">
        <v>4.4000000000000004</v>
      </c>
      <c r="O261" s="14">
        <f t="shared" si="30"/>
        <v>-4.4000000000000004</v>
      </c>
      <c r="P261">
        <f t="shared" si="28"/>
        <v>32.899999999999977</v>
      </c>
      <c r="Q261" s="31">
        <v>207</v>
      </c>
      <c r="R261" s="31">
        <v>1.1499999999999999</v>
      </c>
      <c r="S261" s="41">
        <f t="shared" si="31"/>
        <v>5.0599999999999996</v>
      </c>
      <c r="T261" s="41">
        <f t="shared" si="32"/>
        <v>-5.0599999999999996</v>
      </c>
      <c r="U261" s="41">
        <f t="shared" si="36"/>
        <v>36.350380448475704</v>
      </c>
      <c r="V261" s="41">
        <f>MAX(U254:U277)</f>
        <v>69.24038044847569</v>
      </c>
      <c r="W261">
        <v>2448.6</v>
      </c>
      <c r="Y261">
        <f t="shared" si="34"/>
        <v>172211.19999999992</v>
      </c>
      <c r="Z261" s="50">
        <f t="shared" si="35"/>
        <v>17859.400000000001</v>
      </c>
      <c r="AA261">
        <v>13.170894800767774</v>
      </c>
    </row>
    <row r="262" spans="1:28" x14ac:dyDescent="0.25">
      <c r="A262">
        <v>5080</v>
      </c>
      <c r="B262">
        <v>18650</v>
      </c>
      <c r="C262" s="1">
        <v>42840</v>
      </c>
      <c r="D262" s="1"/>
      <c r="E262" s="1"/>
      <c r="F262" s="66"/>
      <c r="G262">
        <v>11.7</v>
      </c>
      <c r="H262">
        <v>10.3</v>
      </c>
      <c r="I262">
        <v>13.3</v>
      </c>
      <c r="J262" s="14">
        <f t="shared" si="33"/>
        <v>2076.9</v>
      </c>
      <c r="K262" s="53">
        <f t="shared" si="29"/>
        <v>129.1</v>
      </c>
      <c r="L262" s="28" t="s">
        <v>41</v>
      </c>
      <c r="M262">
        <v>0</v>
      </c>
      <c r="N262">
        <v>1.3</v>
      </c>
      <c r="O262" s="14">
        <f t="shared" si="30"/>
        <v>-1.3</v>
      </c>
      <c r="P262">
        <f t="shared" si="28"/>
        <v>31.599999999999977</v>
      </c>
      <c r="Q262" s="31">
        <v>208</v>
      </c>
      <c r="R262" s="31">
        <v>1.1499999999999999</v>
      </c>
      <c r="S262" s="41">
        <f t="shared" si="31"/>
        <v>1.4949999999999999</v>
      </c>
      <c r="T262" s="41">
        <f t="shared" si="32"/>
        <v>-1.4949999999999999</v>
      </c>
      <c r="U262" s="41">
        <f t="shared" si="36"/>
        <v>34.855380448475707</v>
      </c>
      <c r="V262" s="36" t="s">
        <v>54</v>
      </c>
      <c r="W262">
        <v>540.9</v>
      </c>
      <c r="Y262">
        <f t="shared" si="34"/>
        <v>172752.09999999992</v>
      </c>
      <c r="Z262" s="50">
        <f t="shared" si="35"/>
        <v>18400.300000000003</v>
      </c>
      <c r="AA262">
        <v>13.220209065300207</v>
      </c>
    </row>
    <row r="263" spans="1:28" x14ac:dyDescent="0.25">
      <c r="A263">
        <v>5080</v>
      </c>
      <c r="B263">
        <v>18650</v>
      </c>
      <c r="C263" s="1">
        <v>42841</v>
      </c>
      <c r="D263" s="1"/>
      <c r="E263" s="1"/>
      <c r="F263" s="66"/>
      <c r="G263">
        <v>11.8</v>
      </c>
      <c r="H263">
        <v>7.9</v>
      </c>
      <c r="I263">
        <v>15.4</v>
      </c>
      <c r="J263" s="14">
        <f t="shared" si="33"/>
        <v>2088.7000000000003</v>
      </c>
      <c r="K263" s="53">
        <f t="shared" si="29"/>
        <v>140.9</v>
      </c>
      <c r="L263" s="8">
        <v>0</v>
      </c>
      <c r="M263">
        <v>0</v>
      </c>
      <c r="N263">
        <v>2</v>
      </c>
      <c r="O263" s="14">
        <f t="shared" si="30"/>
        <v>-2</v>
      </c>
      <c r="P263">
        <f t="shared" si="28"/>
        <v>29.599999999999977</v>
      </c>
      <c r="Q263" s="31">
        <v>209</v>
      </c>
      <c r="R263" s="31">
        <v>1.1499999999999999</v>
      </c>
      <c r="S263" s="41">
        <f t="shared" si="31"/>
        <v>2.2999999999999998</v>
      </c>
      <c r="T263" s="41">
        <f t="shared" si="32"/>
        <v>-2.2999999999999998</v>
      </c>
      <c r="U263" s="41">
        <f t="shared" si="36"/>
        <v>32.555380448475709</v>
      </c>
      <c r="V263" s="41">
        <f>AVERAGE(U254:U277)</f>
        <v>24.572128632317135</v>
      </c>
      <c r="W263">
        <v>959.9</v>
      </c>
      <c r="Y263">
        <f t="shared" si="34"/>
        <v>173711.99999999991</v>
      </c>
      <c r="Z263" s="50">
        <f t="shared" si="35"/>
        <v>19360.200000000004</v>
      </c>
      <c r="AA263">
        <v>13.269308335125217</v>
      </c>
    </row>
    <row r="264" spans="1:28" x14ac:dyDescent="0.25">
      <c r="A264">
        <v>5080</v>
      </c>
      <c r="B264">
        <v>18650</v>
      </c>
      <c r="C264" s="1">
        <v>42842</v>
      </c>
      <c r="D264" s="1"/>
      <c r="E264" s="1"/>
      <c r="F264" s="66"/>
      <c r="G264">
        <v>13.2</v>
      </c>
      <c r="H264">
        <v>6.8</v>
      </c>
      <c r="I264">
        <v>18.3</v>
      </c>
      <c r="J264" s="14">
        <f t="shared" si="33"/>
        <v>2101.9</v>
      </c>
      <c r="K264" s="53">
        <f t="shared" si="29"/>
        <v>154.1</v>
      </c>
      <c r="L264" s="28" t="s">
        <v>42</v>
      </c>
      <c r="M264">
        <v>0</v>
      </c>
      <c r="N264">
        <v>4</v>
      </c>
      <c r="O264" s="14">
        <f t="shared" si="30"/>
        <v>-4</v>
      </c>
      <c r="P264">
        <f t="shared" si="28"/>
        <v>25.599999999999977</v>
      </c>
      <c r="Q264" s="31">
        <v>210</v>
      </c>
      <c r="R264" s="31">
        <v>1.1499999999999999</v>
      </c>
      <c r="S264" s="41">
        <f t="shared" si="31"/>
        <v>4.5999999999999996</v>
      </c>
      <c r="T264" s="41">
        <f t="shared" si="32"/>
        <v>-4.5999999999999996</v>
      </c>
      <c r="U264" s="41">
        <f t="shared" si="36"/>
        <v>27.955380448475708</v>
      </c>
      <c r="W264">
        <v>2528.6999999999998</v>
      </c>
      <c r="Y264">
        <f t="shared" si="34"/>
        <v>176240.69999999992</v>
      </c>
      <c r="Z264" s="50">
        <f t="shared" si="35"/>
        <v>21888.900000000005</v>
      </c>
      <c r="AA264">
        <v>13.318181320815427</v>
      </c>
    </row>
    <row r="265" spans="1:28" x14ac:dyDescent="0.25">
      <c r="A265">
        <v>5080</v>
      </c>
      <c r="B265">
        <v>18650</v>
      </c>
      <c r="C265" s="1">
        <v>42843</v>
      </c>
      <c r="D265" s="1"/>
      <c r="E265" s="1"/>
      <c r="F265" s="66"/>
      <c r="G265">
        <v>12.4</v>
      </c>
      <c r="H265">
        <v>8.4</v>
      </c>
      <c r="I265">
        <v>16.8</v>
      </c>
      <c r="J265" s="14">
        <f t="shared" si="33"/>
        <v>2114.3000000000002</v>
      </c>
      <c r="K265" s="53">
        <f t="shared" si="29"/>
        <v>166.5</v>
      </c>
      <c r="L265" s="8">
        <v>6</v>
      </c>
      <c r="M265">
        <v>0</v>
      </c>
      <c r="N265">
        <v>4.8</v>
      </c>
      <c r="O265" s="14">
        <f t="shared" si="30"/>
        <v>-4.8</v>
      </c>
      <c r="P265">
        <f t="shared" si="28"/>
        <v>20.799999999999976</v>
      </c>
      <c r="Q265" s="31">
        <v>211</v>
      </c>
      <c r="R265" s="31">
        <v>1.1499999999999999</v>
      </c>
      <c r="S265" s="41">
        <f t="shared" si="31"/>
        <v>5.52</v>
      </c>
      <c r="T265" s="41">
        <f t="shared" si="32"/>
        <v>-5.52</v>
      </c>
      <c r="U265" s="41">
        <f t="shared" si="36"/>
        <v>22.435380448475708</v>
      </c>
      <c r="V265" s="56">
        <f>(V263*100)/157.8</f>
        <v>15.571691148489945</v>
      </c>
      <c r="W265">
        <v>2672.7</v>
      </c>
      <c r="Y265">
        <f t="shared" si="34"/>
        <v>178913.39999999994</v>
      </c>
      <c r="Z265" s="50">
        <f t="shared" si="35"/>
        <v>24561.600000000006</v>
      </c>
      <c r="AA265">
        <v>13.366816465664748</v>
      </c>
    </row>
    <row r="266" spans="1:28" x14ac:dyDescent="0.25">
      <c r="A266">
        <v>5080</v>
      </c>
      <c r="B266">
        <v>18650</v>
      </c>
      <c r="C266" s="1">
        <v>42844</v>
      </c>
      <c r="D266" s="1"/>
      <c r="E266" s="1"/>
      <c r="F266" s="66"/>
      <c r="G266">
        <v>10.199999999999999</v>
      </c>
      <c r="H266">
        <v>4.4000000000000004</v>
      </c>
      <c r="I266">
        <v>14.9</v>
      </c>
      <c r="J266" s="14">
        <f t="shared" si="33"/>
        <v>2124.5</v>
      </c>
      <c r="K266" s="53">
        <f t="shared" si="29"/>
        <v>176.7</v>
      </c>
      <c r="L266" s="28" t="s">
        <v>43</v>
      </c>
      <c r="M266">
        <v>0</v>
      </c>
      <c r="N266">
        <v>4.5999999999999996</v>
      </c>
      <c r="O266" s="14">
        <f t="shared" si="30"/>
        <v>-4.5999999999999996</v>
      </c>
      <c r="P266">
        <f t="shared" si="28"/>
        <v>16.199999999999974</v>
      </c>
      <c r="Q266" s="31">
        <v>212</v>
      </c>
      <c r="R266" s="31">
        <v>1.1499999999999999</v>
      </c>
      <c r="S266" s="41">
        <f t="shared" si="31"/>
        <v>5.2899999999999991</v>
      </c>
      <c r="T266" s="41">
        <f t="shared" si="32"/>
        <v>-5.2899999999999991</v>
      </c>
      <c r="U266" s="41">
        <f t="shared" si="36"/>
        <v>17.145380448475709</v>
      </c>
      <c r="W266">
        <v>2782.9</v>
      </c>
      <c r="Y266">
        <f t="shared" si="34"/>
        <v>181696.29999999993</v>
      </c>
      <c r="Z266" s="50">
        <f t="shared" si="35"/>
        <v>27344.500000000007</v>
      </c>
      <c r="AA266">
        <v>13.415201938982792</v>
      </c>
    </row>
    <row r="267" spans="1:28" x14ac:dyDescent="0.25">
      <c r="A267">
        <v>5080</v>
      </c>
      <c r="B267">
        <v>18650</v>
      </c>
      <c r="C267" s="1">
        <v>42845</v>
      </c>
      <c r="D267" s="1"/>
      <c r="E267" s="1"/>
      <c r="F267" s="66"/>
      <c r="G267">
        <v>9.5</v>
      </c>
      <c r="H267">
        <v>3</v>
      </c>
      <c r="I267">
        <v>15.7</v>
      </c>
      <c r="J267" s="14">
        <f t="shared" si="33"/>
        <v>2134</v>
      </c>
      <c r="K267" s="53">
        <f t="shared" si="29"/>
        <v>186.2</v>
      </c>
      <c r="L267" s="27">
        <v>0</v>
      </c>
      <c r="M267">
        <v>0</v>
      </c>
      <c r="N267">
        <v>4.5</v>
      </c>
      <c r="O267" s="14">
        <f t="shared" si="30"/>
        <v>-4.5</v>
      </c>
      <c r="P267">
        <f t="shared" si="28"/>
        <v>11.699999999999974</v>
      </c>
      <c r="Q267" s="31">
        <v>213</v>
      </c>
      <c r="R267" s="31">
        <v>1.1499999999999999</v>
      </c>
      <c r="S267" s="41">
        <f t="shared" si="31"/>
        <v>5.1749999999999998</v>
      </c>
      <c r="T267" s="41">
        <f t="shared" si="32"/>
        <v>-5.1749999999999998</v>
      </c>
      <c r="U267" s="41">
        <f t="shared" si="36"/>
        <v>11.970380448475709</v>
      </c>
      <c r="W267">
        <v>2797.6</v>
      </c>
      <c r="Y267">
        <f t="shared" si="34"/>
        <v>184493.89999999994</v>
      </c>
      <c r="Z267" s="50">
        <f t="shared" si="35"/>
        <v>30142.100000000006</v>
      </c>
      <c r="AA267">
        <v>13.463325629948958</v>
      </c>
    </row>
    <row r="268" spans="1:28" x14ac:dyDescent="0.25">
      <c r="A268">
        <v>5080</v>
      </c>
      <c r="B268">
        <v>18650</v>
      </c>
      <c r="C268" s="1">
        <v>42846</v>
      </c>
      <c r="D268" s="1"/>
      <c r="E268" s="1"/>
      <c r="F268" s="66"/>
      <c r="G268">
        <v>12</v>
      </c>
      <c r="H268">
        <v>1.7</v>
      </c>
      <c r="I268">
        <v>19.100000000000001</v>
      </c>
      <c r="J268" s="14">
        <f t="shared" si="33"/>
        <v>2146</v>
      </c>
      <c r="K268" s="53">
        <f t="shared" si="29"/>
        <v>198.2</v>
      </c>
      <c r="M268">
        <v>0</v>
      </c>
      <c r="N268">
        <v>4.4000000000000004</v>
      </c>
      <c r="O268" s="14">
        <f t="shared" si="30"/>
        <v>-4.4000000000000004</v>
      </c>
      <c r="P268">
        <f t="shared" si="28"/>
        <v>7.2999999999999741</v>
      </c>
      <c r="Q268" s="31">
        <v>214</v>
      </c>
      <c r="R268" s="31">
        <v>1.1499999999999999</v>
      </c>
      <c r="S268" s="41">
        <f t="shared" si="31"/>
        <v>5.0599999999999996</v>
      </c>
      <c r="T268" s="41">
        <f t="shared" si="32"/>
        <v>-5.0599999999999996</v>
      </c>
      <c r="U268" s="41">
        <f t="shared" si="36"/>
        <v>6.910380448475709</v>
      </c>
      <c r="W268">
        <v>2740.5</v>
      </c>
      <c r="Y268">
        <f t="shared" si="34"/>
        <v>187234.39999999994</v>
      </c>
      <c r="Z268" s="50">
        <f t="shared" si="35"/>
        <v>32882.600000000006</v>
      </c>
      <c r="AA268">
        <v>13.511175142063429</v>
      </c>
    </row>
    <row r="269" spans="1:28" x14ac:dyDescent="0.25">
      <c r="A269">
        <v>5080</v>
      </c>
      <c r="B269">
        <v>18650</v>
      </c>
      <c r="C269" s="1">
        <v>42847</v>
      </c>
      <c r="D269" s="1"/>
      <c r="E269" s="1"/>
      <c r="F269" s="66"/>
      <c r="G269">
        <v>15.2</v>
      </c>
      <c r="H269">
        <v>6.9</v>
      </c>
      <c r="I269">
        <v>22.3</v>
      </c>
      <c r="J269" s="14">
        <f t="shared" si="33"/>
        <v>2161.1999999999998</v>
      </c>
      <c r="K269" s="53">
        <f t="shared" si="29"/>
        <v>213.39999999999998</v>
      </c>
      <c r="M269">
        <v>0</v>
      </c>
      <c r="N269">
        <v>5.4</v>
      </c>
      <c r="O269" s="14">
        <f t="shared" si="30"/>
        <v>-5.4</v>
      </c>
      <c r="P269">
        <f t="shared" si="28"/>
        <v>1.8999999999999737</v>
      </c>
      <c r="Q269" s="31">
        <v>215</v>
      </c>
      <c r="R269" s="31">
        <v>1.1499999999999999</v>
      </c>
      <c r="S269" s="41">
        <f t="shared" si="31"/>
        <v>6.21</v>
      </c>
      <c r="T269" s="41">
        <f t="shared" si="32"/>
        <v>-6.21</v>
      </c>
      <c r="U269" s="41">
        <f t="shared" si="36"/>
        <v>0.70038044847570902</v>
      </c>
      <c r="W269">
        <v>2798.5</v>
      </c>
      <c r="Y269">
        <f t="shared" si="34"/>
        <v>190032.89999999994</v>
      </c>
      <c r="Z269" s="50">
        <f t="shared" si="35"/>
        <v>35681.100000000006</v>
      </c>
      <c r="AA269">
        <v>13.558737788233485</v>
      </c>
    </row>
    <row r="270" spans="1:28" x14ac:dyDescent="0.25">
      <c r="A270">
        <v>5080</v>
      </c>
      <c r="B270">
        <v>18650</v>
      </c>
      <c r="C270" s="1">
        <v>42848</v>
      </c>
      <c r="D270" s="1"/>
      <c r="E270" s="1"/>
      <c r="F270" s="66"/>
      <c r="G270">
        <v>15.8</v>
      </c>
      <c r="H270">
        <v>7.5</v>
      </c>
      <c r="I270">
        <v>22.5</v>
      </c>
      <c r="J270" s="14">
        <f t="shared" si="33"/>
        <v>2177</v>
      </c>
      <c r="K270" s="53">
        <f t="shared" si="29"/>
        <v>229.2</v>
      </c>
      <c r="L270" s="1"/>
      <c r="M270">
        <v>0</v>
      </c>
      <c r="N270">
        <v>4.5999999999999996</v>
      </c>
      <c r="O270" s="14">
        <f t="shared" si="30"/>
        <v>-4.5999999999999996</v>
      </c>
      <c r="P270">
        <v>0</v>
      </c>
      <c r="Q270" s="31">
        <v>216</v>
      </c>
      <c r="R270" s="31">
        <v>1.1499999999999999</v>
      </c>
      <c r="S270" s="41">
        <f t="shared" si="31"/>
        <v>5.2899999999999991</v>
      </c>
      <c r="T270" s="41">
        <f t="shared" si="32"/>
        <v>-5.2899999999999991</v>
      </c>
      <c r="U270" s="41">
        <v>0</v>
      </c>
      <c r="W270">
        <v>2425.1999999999998</v>
      </c>
      <c r="Y270">
        <f t="shared" si="34"/>
        <v>192458.09999999995</v>
      </c>
      <c r="Z270" s="50">
        <f t="shared" si="35"/>
        <v>38106.300000000003</v>
      </c>
      <c r="AA270">
        <v>13.60600058653481</v>
      </c>
    </row>
    <row r="271" spans="1:28" x14ac:dyDescent="0.25">
      <c r="A271">
        <v>5080</v>
      </c>
      <c r="B271">
        <v>18650</v>
      </c>
      <c r="C271" s="1">
        <v>42849</v>
      </c>
      <c r="D271" s="1"/>
      <c r="E271" s="1"/>
      <c r="F271" s="66"/>
      <c r="G271">
        <v>16.5</v>
      </c>
      <c r="H271">
        <v>10.8</v>
      </c>
      <c r="I271">
        <v>22.9</v>
      </c>
      <c r="J271" s="14">
        <f t="shared" si="33"/>
        <v>2193.5</v>
      </c>
      <c r="K271" s="53">
        <f t="shared" si="29"/>
        <v>245.7</v>
      </c>
      <c r="L271" s="1"/>
      <c r="M271">
        <v>0</v>
      </c>
      <c r="N271">
        <v>5.7</v>
      </c>
      <c r="O271" s="14">
        <f t="shared" si="30"/>
        <v>-5.7</v>
      </c>
      <c r="P271">
        <v>0</v>
      </c>
      <c r="Q271" s="31">
        <v>217</v>
      </c>
      <c r="R271" s="31">
        <v>1.1499999999999999</v>
      </c>
      <c r="S271" s="41">
        <f t="shared" si="31"/>
        <v>6.5549999999999997</v>
      </c>
      <c r="T271" s="41">
        <f t="shared" si="32"/>
        <v>-6.5549999999999997</v>
      </c>
      <c r="U271" s="41">
        <v>0</v>
      </c>
      <c r="W271">
        <v>2695.3</v>
      </c>
      <c r="Y271">
        <f t="shared" si="34"/>
        <v>195153.39999999994</v>
      </c>
      <c r="Z271" s="50">
        <f t="shared" si="35"/>
        <v>40801.600000000006</v>
      </c>
      <c r="AA271">
        <v>13.652950256688428</v>
      </c>
    </row>
    <row r="272" spans="1:28" x14ac:dyDescent="0.25">
      <c r="A272">
        <v>5080</v>
      </c>
      <c r="B272">
        <v>18650</v>
      </c>
      <c r="C272" s="1">
        <v>42850</v>
      </c>
      <c r="D272" s="1"/>
      <c r="E272" s="1"/>
      <c r="F272" s="66"/>
      <c r="G272">
        <v>14.4</v>
      </c>
      <c r="H272">
        <v>12.9</v>
      </c>
      <c r="I272">
        <v>19</v>
      </c>
      <c r="J272" s="14">
        <f t="shared" si="33"/>
        <v>2207.9</v>
      </c>
      <c r="K272" s="53">
        <f t="shared" si="29"/>
        <v>260.09999999999997</v>
      </c>
      <c r="L272" s="1"/>
      <c r="M272">
        <v>8.3000000000000007</v>
      </c>
      <c r="N272">
        <v>2.8</v>
      </c>
      <c r="O272" s="14">
        <f t="shared" si="30"/>
        <v>5.5000000000000009</v>
      </c>
      <c r="P272">
        <f t="shared" ref="P272:P318" si="37">P271+O272</f>
        <v>5.5000000000000009</v>
      </c>
      <c r="Q272" s="31">
        <v>218</v>
      </c>
      <c r="R272" s="31">
        <v>1.1499999999999999</v>
      </c>
      <c r="S272" s="41">
        <f t="shared" si="31"/>
        <v>3.2199999999999998</v>
      </c>
      <c r="T272" s="41">
        <f t="shared" si="32"/>
        <v>5.080000000000001</v>
      </c>
      <c r="U272" s="41">
        <f t="shared" si="36"/>
        <v>5.080000000000001</v>
      </c>
      <c r="W272">
        <v>1311.5</v>
      </c>
      <c r="Y272">
        <f t="shared" si="34"/>
        <v>196464.89999999994</v>
      </c>
      <c r="Z272" s="50">
        <f t="shared" si="35"/>
        <v>42113.100000000006</v>
      </c>
      <c r="AA272">
        <v>13.699573217294992</v>
      </c>
    </row>
    <row r="273" spans="1:28" x14ac:dyDescent="0.25">
      <c r="A273">
        <v>5080</v>
      </c>
      <c r="B273">
        <v>18650</v>
      </c>
      <c r="C273" s="1">
        <v>42851</v>
      </c>
      <c r="D273" s="1"/>
      <c r="E273" s="1"/>
      <c r="F273" s="66"/>
      <c r="G273">
        <v>7.7</v>
      </c>
      <c r="H273">
        <v>7.6</v>
      </c>
      <c r="I273">
        <v>7.9</v>
      </c>
      <c r="J273" s="14">
        <f t="shared" si="33"/>
        <v>2215.6</v>
      </c>
      <c r="K273" s="53">
        <f t="shared" si="29"/>
        <v>267.79999999999995</v>
      </c>
      <c r="L273" s="1"/>
      <c r="M273">
        <v>0.2</v>
      </c>
      <c r="N273">
        <v>1.1000000000000001</v>
      </c>
      <c r="O273" s="14">
        <f t="shared" si="30"/>
        <v>-0.90000000000000013</v>
      </c>
      <c r="P273">
        <f t="shared" si="37"/>
        <v>4.6000000000000005</v>
      </c>
      <c r="Q273" s="31">
        <v>219</v>
      </c>
      <c r="R273" s="31">
        <v>1.1499999999999999</v>
      </c>
      <c r="S273" s="41">
        <f t="shared" si="31"/>
        <v>1.2649999999999999</v>
      </c>
      <c r="T273" s="41">
        <f t="shared" si="32"/>
        <v>-1.0649999999999999</v>
      </c>
      <c r="U273" s="41">
        <f t="shared" si="36"/>
        <v>4.0150000000000006</v>
      </c>
      <c r="W273">
        <v>634.79999999999995</v>
      </c>
      <c r="Y273">
        <f t="shared" si="34"/>
        <v>197099.69999999992</v>
      </c>
      <c r="Z273" s="50">
        <f t="shared" si="35"/>
        <v>42747.900000000009</v>
      </c>
      <c r="AA273">
        <v>13.745855583868915</v>
      </c>
    </row>
    <row r="274" spans="1:28" x14ac:dyDescent="0.25">
      <c r="A274">
        <v>5080</v>
      </c>
      <c r="B274">
        <v>18650</v>
      </c>
      <c r="C274" s="1">
        <v>42852</v>
      </c>
      <c r="D274" s="1"/>
      <c r="E274" s="1"/>
      <c r="F274" s="66"/>
      <c r="G274">
        <v>7.7</v>
      </c>
      <c r="H274">
        <v>5.0999999999999996</v>
      </c>
      <c r="I274">
        <v>10.8</v>
      </c>
      <c r="J274" s="14">
        <f t="shared" si="33"/>
        <v>2223.2999999999997</v>
      </c>
      <c r="K274" s="53">
        <f t="shared" ref="K274:K335" si="38">K273+G274</f>
        <v>275.49999999999994</v>
      </c>
      <c r="L274" s="1"/>
      <c r="M274">
        <v>0.1</v>
      </c>
      <c r="N274">
        <v>2.9</v>
      </c>
      <c r="O274" s="14">
        <f t="shared" si="30"/>
        <v>-2.8</v>
      </c>
      <c r="P274">
        <f t="shared" si="37"/>
        <v>1.8000000000000007</v>
      </c>
      <c r="Q274" s="31">
        <v>220</v>
      </c>
      <c r="R274" s="31">
        <v>1.1499999999999999</v>
      </c>
      <c r="S274" s="41">
        <f t="shared" si="31"/>
        <v>3.3349999999999995</v>
      </c>
      <c r="T274" s="41">
        <f t="shared" si="32"/>
        <v>-3.2349999999999994</v>
      </c>
      <c r="U274" s="41">
        <f t="shared" si="36"/>
        <v>0.78000000000000114</v>
      </c>
      <c r="W274">
        <v>1794.3</v>
      </c>
      <c r="Y274">
        <f t="shared" si="34"/>
        <v>198893.99999999991</v>
      </c>
      <c r="Z274" s="50">
        <f t="shared" si="35"/>
        <v>44542.200000000012</v>
      </c>
      <c r="AA274">
        <v>13.791783167715518</v>
      </c>
    </row>
    <row r="275" spans="1:28" x14ac:dyDescent="0.25">
      <c r="A275">
        <v>5080</v>
      </c>
      <c r="B275">
        <v>18650</v>
      </c>
      <c r="C275" s="1">
        <v>42853</v>
      </c>
      <c r="D275" s="1"/>
      <c r="E275" s="1"/>
      <c r="F275" s="66"/>
      <c r="G275">
        <v>8.5</v>
      </c>
      <c r="H275">
        <v>4</v>
      </c>
      <c r="I275">
        <v>13.3</v>
      </c>
      <c r="J275" s="14">
        <f t="shared" si="33"/>
        <v>2231.7999999999997</v>
      </c>
      <c r="K275" s="53">
        <f t="shared" si="38"/>
        <v>283.99999999999994</v>
      </c>
      <c r="L275" s="1"/>
      <c r="M275">
        <v>0</v>
      </c>
      <c r="N275">
        <v>2.6</v>
      </c>
      <c r="O275" s="14">
        <f t="shared" si="30"/>
        <v>-2.6</v>
      </c>
      <c r="P275">
        <v>0</v>
      </c>
      <c r="Q275" s="31">
        <v>221</v>
      </c>
      <c r="R275" s="31">
        <v>1.1499999999999999</v>
      </c>
      <c r="S275" s="41">
        <f t="shared" si="31"/>
        <v>2.9899999999999998</v>
      </c>
      <c r="T275" s="41">
        <f t="shared" si="32"/>
        <v>-2.9899999999999998</v>
      </c>
      <c r="U275" s="41">
        <v>0</v>
      </c>
      <c r="W275">
        <v>1521.6</v>
      </c>
      <c r="Y275">
        <f t="shared" si="34"/>
        <v>200415.59999999992</v>
      </c>
      <c r="Z275" s="50">
        <f t="shared" si="35"/>
        <v>46063.80000000001</v>
      </c>
      <c r="AA275">
        <v>13.837341475695036</v>
      </c>
    </row>
    <row r="276" spans="1:28" x14ac:dyDescent="0.25">
      <c r="A276">
        <v>5080</v>
      </c>
      <c r="B276">
        <v>18650</v>
      </c>
      <c r="C276" s="1">
        <v>42854</v>
      </c>
      <c r="D276" s="1"/>
      <c r="E276" s="1"/>
      <c r="F276" s="66"/>
      <c r="G276">
        <v>11.1</v>
      </c>
      <c r="H276">
        <v>3.4</v>
      </c>
      <c r="I276">
        <v>18.100000000000001</v>
      </c>
      <c r="J276" s="14">
        <f t="shared" si="33"/>
        <v>2242.8999999999996</v>
      </c>
      <c r="K276" s="53">
        <f t="shared" si="38"/>
        <v>295.09999999999997</v>
      </c>
      <c r="L276" s="1"/>
      <c r="M276">
        <v>0</v>
      </c>
      <c r="N276">
        <v>4.2</v>
      </c>
      <c r="O276" s="14">
        <f t="shared" si="30"/>
        <v>-4.2</v>
      </c>
      <c r="P276">
        <v>0</v>
      </c>
      <c r="Q276" s="31">
        <v>222</v>
      </c>
      <c r="R276" s="31">
        <v>1.1499999999999999</v>
      </c>
      <c r="S276" s="41">
        <f t="shared" si="31"/>
        <v>4.83</v>
      </c>
      <c r="T276" s="41">
        <f t="shared" si="32"/>
        <v>-4.83</v>
      </c>
      <c r="U276" s="41">
        <v>0</v>
      </c>
      <c r="W276">
        <v>2494.9</v>
      </c>
      <c r="Y276">
        <f t="shared" si="34"/>
        <v>202910.49999999991</v>
      </c>
      <c r="Z276" s="50">
        <f t="shared" si="35"/>
        <v>48558.700000000012</v>
      </c>
      <c r="AA276">
        <v>13.882515710917405</v>
      </c>
    </row>
    <row r="277" spans="1:28" s="42" customFormat="1" ht="15.75" thickBot="1" x14ac:dyDescent="0.3">
      <c r="A277" s="42">
        <v>5080</v>
      </c>
      <c r="B277" s="42">
        <v>18650</v>
      </c>
      <c r="C277" s="43">
        <v>42855</v>
      </c>
      <c r="D277" s="43"/>
      <c r="E277" s="43"/>
      <c r="F277" s="66"/>
      <c r="G277" s="42">
        <v>11.9</v>
      </c>
      <c r="H277" s="42">
        <v>6.5</v>
      </c>
      <c r="I277" s="42">
        <v>22</v>
      </c>
      <c r="J277" s="44">
        <f t="shared" si="33"/>
        <v>2254.7999999999997</v>
      </c>
      <c r="K277" s="44">
        <f t="shared" si="38"/>
        <v>306.99999999999994</v>
      </c>
      <c r="L277" s="43"/>
      <c r="M277" s="42">
        <v>8.6</v>
      </c>
      <c r="N277" s="42">
        <v>4.3</v>
      </c>
      <c r="O277" s="44">
        <f t="shared" si="30"/>
        <v>4.3</v>
      </c>
      <c r="P277" s="42">
        <f t="shared" si="37"/>
        <v>4.3</v>
      </c>
      <c r="Q277" s="55">
        <v>223</v>
      </c>
      <c r="R277" s="55">
        <v>1.1499999999999999</v>
      </c>
      <c r="S277" s="45">
        <f t="shared" si="31"/>
        <v>4.9449999999999994</v>
      </c>
      <c r="T277" s="45">
        <f t="shared" si="32"/>
        <v>3.6550000000000002</v>
      </c>
      <c r="U277" s="41">
        <f t="shared" si="36"/>
        <v>3.6550000000000002</v>
      </c>
      <c r="W277" s="42">
        <v>1904.7</v>
      </c>
      <c r="Y277" s="42">
        <f t="shared" si="34"/>
        <v>204815.19999999992</v>
      </c>
      <c r="Z277" s="42">
        <f t="shared" si="35"/>
        <v>50463.400000000009</v>
      </c>
      <c r="AA277" s="42">
        <v>13.927290774412137</v>
      </c>
    </row>
    <row r="278" spans="1:28" x14ac:dyDescent="0.25">
      <c r="A278">
        <v>5080</v>
      </c>
      <c r="B278">
        <v>18650</v>
      </c>
      <c r="C278" s="1">
        <v>42856</v>
      </c>
      <c r="D278" s="1"/>
      <c r="E278" s="1"/>
      <c r="F278" s="67" t="s">
        <v>45</v>
      </c>
      <c r="G278">
        <v>10.6</v>
      </c>
      <c r="H278">
        <v>6.5</v>
      </c>
      <c r="I278">
        <v>14.1</v>
      </c>
      <c r="J278" s="14">
        <f t="shared" si="33"/>
        <v>2265.3999999999996</v>
      </c>
      <c r="K278" s="53">
        <f>G278</f>
        <v>10.6</v>
      </c>
      <c r="L278" s="29" t="s">
        <v>37</v>
      </c>
      <c r="M278">
        <v>5.7</v>
      </c>
      <c r="N278">
        <v>2.2000000000000002</v>
      </c>
      <c r="O278" s="14">
        <f t="shared" si="30"/>
        <v>3.5</v>
      </c>
      <c r="P278">
        <f t="shared" si="37"/>
        <v>7.8</v>
      </c>
      <c r="Q278" s="31">
        <v>224</v>
      </c>
      <c r="R278">
        <f>1.15+((Q278-223)/58)*(0.35-1.15)</f>
        <v>1.136206896551724</v>
      </c>
      <c r="S278" s="41">
        <f t="shared" si="31"/>
        <v>2.4996551724137932</v>
      </c>
      <c r="T278" s="41">
        <f t="shared" si="32"/>
        <v>3.200344827586207</v>
      </c>
      <c r="U278" s="41">
        <f t="shared" si="36"/>
        <v>6.8553448275862072</v>
      </c>
      <c r="V278" s="37" t="s">
        <v>50</v>
      </c>
      <c r="W278">
        <v>1049.5999999999999</v>
      </c>
      <c r="Y278">
        <f t="shared" si="34"/>
        <v>205864.79999999993</v>
      </c>
      <c r="Z278" s="50">
        <f>W278</f>
        <v>1049.5999999999999</v>
      </c>
      <c r="AA278">
        <v>13.971651267817258</v>
      </c>
      <c r="AB278" s="37" t="s">
        <v>56</v>
      </c>
    </row>
    <row r="279" spans="1:28" s="50" customFormat="1" x14ac:dyDescent="0.25">
      <c r="A279" s="50">
        <v>5080</v>
      </c>
      <c r="B279" s="50">
        <v>18650</v>
      </c>
      <c r="C279" s="51">
        <v>42857</v>
      </c>
      <c r="D279" s="51"/>
      <c r="E279" s="51"/>
      <c r="F279" s="67"/>
      <c r="G279" s="50">
        <v>12.3</v>
      </c>
      <c r="H279" s="50">
        <v>10.1</v>
      </c>
      <c r="I279" s="50">
        <v>13.8</v>
      </c>
      <c r="J279" s="53">
        <f t="shared" si="33"/>
        <v>2277.6999999999998</v>
      </c>
      <c r="K279" s="53">
        <f t="shared" si="38"/>
        <v>22.9</v>
      </c>
      <c r="L279" s="8">
        <v>310.3</v>
      </c>
      <c r="M279" s="50">
        <v>6.2</v>
      </c>
      <c r="N279" s="50">
        <v>1.7</v>
      </c>
      <c r="O279" s="53">
        <f t="shared" si="30"/>
        <v>4.5</v>
      </c>
      <c r="P279" s="50">
        <f t="shared" si="37"/>
        <v>12.3</v>
      </c>
      <c r="Q279" s="50">
        <v>225</v>
      </c>
      <c r="R279">
        <f t="shared" ref="R279:R335" si="39">1.15+((Q279-223)/58)*(0.35-1.15)</f>
        <v>1.1224137931034481</v>
      </c>
      <c r="S279" s="54">
        <f t="shared" si="31"/>
        <v>1.9081034482758619</v>
      </c>
      <c r="T279" s="54">
        <f t="shared" si="32"/>
        <v>4.2918965517241379</v>
      </c>
      <c r="U279" s="41">
        <f t="shared" si="36"/>
        <v>11.147241379310344</v>
      </c>
      <c r="V279">
        <v>2</v>
      </c>
      <c r="W279" s="50">
        <v>1047.9000000000001</v>
      </c>
      <c r="Y279" s="50">
        <f t="shared" si="34"/>
        <v>206912.69999999992</v>
      </c>
      <c r="Z279" s="50">
        <f t="shared" si="35"/>
        <v>2097.5</v>
      </c>
      <c r="AA279" s="50">
        <v>14.015581497131009</v>
      </c>
      <c r="AB279">
        <v>33809.9</v>
      </c>
    </row>
    <row r="280" spans="1:28" ht="15" customHeight="1" x14ac:dyDescent="0.25">
      <c r="A280">
        <v>5080</v>
      </c>
      <c r="B280">
        <v>18650</v>
      </c>
      <c r="C280" s="1">
        <v>42858</v>
      </c>
      <c r="D280" s="1"/>
      <c r="E280" s="1"/>
      <c r="F280" s="67"/>
      <c r="G280">
        <v>13.6</v>
      </c>
      <c r="H280">
        <v>10.6</v>
      </c>
      <c r="I280">
        <v>16.8</v>
      </c>
      <c r="J280" s="14">
        <f t="shared" si="33"/>
        <v>2291.2999999999997</v>
      </c>
      <c r="K280" s="53">
        <f t="shared" si="38"/>
        <v>36.5</v>
      </c>
      <c r="L280" s="29" t="s">
        <v>38</v>
      </c>
      <c r="M280">
        <v>0</v>
      </c>
      <c r="N280">
        <v>2</v>
      </c>
      <c r="O280" s="14">
        <f t="shared" si="30"/>
        <v>-2</v>
      </c>
      <c r="P280">
        <f t="shared" si="37"/>
        <v>10.3</v>
      </c>
      <c r="Q280" s="31">
        <v>226</v>
      </c>
      <c r="R280">
        <f t="shared" si="39"/>
        <v>1.1086206896551722</v>
      </c>
      <c r="S280" s="41">
        <f t="shared" si="31"/>
        <v>2.2172413793103445</v>
      </c>
      <c r="T280" s="41">
        <f t="shared" si="32"/>
        <v>-2.2172413793103445</v>
      </c>
      <c r="U280" s="41">
        <f t="shared" si="36"/>
        <v>8.93</v>
      </c>
      <c r="V280" s="37" t="s">
        <v>51</v>
      </c>
      <c r="W280">
        <v>1321.1</v>
      </c>
      <c r="Y280">
        <f t="shared" si="34"/>
        <v>208233.79999999993</v>
      </c>
      <c r="Z280" s="50">
        <f t="shared" si="35"/>
        <v>3418.6</v>
      </c>
      <c r="AA280">
        <v>14.059065477569259</v>
      </c>
      <c r="AB280" s="37" t="s">
        <v>57</v>
      </c>
    </row>
    <row r="281" spans="1:28" x14ac:dyDescent="0.25">
      <c r="A281">
        <v>5080</v>
      </c>
      <c r="B281">
        <v>18650</v>
      </c>
      <c r="C281" s="1">
        <v>42859</v>
      </c>
      <c r="D281" s="1"/>
      <c r="E281" s="1"/>
      <c r="F281" s="67"/>
      <c r="G281">
        <v>15.6</v>
      </c>
      <c r="H281">
        <v>10</v>
      </c>
      <c r="I281">
        <v>20</v>
      </c>
      <c r="J281" s="14">
        <f t="shared" si="33"/>
        <v>2306.8999999999996</v>
      </c>
      <c r="K281" s="53">
        <f t="shared" si="38"/>
        <v>52.1</v>
      </c>
      <c r="L281" s="26">
        <f>AVERAGE(G278:G297)</f>
        <v>15.515000000000004</v>
      </c>
      <c r="M281">
        <v>0</v>
      </c>
      <c r="N281">
        <v>2.2999999999999998</v>
      </c>
      <c r="O281" s="14">
        <f t="shared" si="30"/>
        <v>-2.2999999999999998</v>
      </c>
      <c r="P281">
        <f t="shared" si="37"/>
        <v>8</v>
      </c>
      <c r="Q281" s="31">
        <v>227</v>
      </c>
      <c r="R281">
        <f t="shared" si="39"/>
        <v>1.0948275862068966</v>
      </c>
      <c r="S281" s="41">
        <f t="shared" si="31"/>
        <v>2.5181034482758617</v>
      </c>
      <c r="T281" s="41">
        <f t="shared" si="32"/>
        <v>-2.5181034482758617</v>
      </c>
      <c r="U281" s="41">
        <f t="shared" si="36"/>
        <v>6.411896551724138</v>
      </c>
      <c r="V281">
        <v>18</v>
      </c>
      <c r="W281">
        <v>1341.5</v>
      </c>
      <c r="Y281">
        <f t="shared" si="34"/>
        <v>209575.29999999993</v>
      </c>
      <c r="Z281" s="50">
        <f t="shared" si="35"/>
        <v>4760.1000000000004</v>
      </c>
      <c r="AA281">
        <v>14.10208693957062</v>
      </c>
      <c r="AB281">
        <f>(AB279/100)/L279</f>
        <v>1.0895874959716403</v>
      </c>
    </row>
    <row r="282" spans="1:28" x14ac:dyDescent="0.25">
      <c r="A282">
        <v>5080</v>
      </c>
      <c r="B282">
        <v>18650</v>
      </c>
      <c r="C282" s="1">
        <v>42860</v>
      </c>
      <c r="D282" s="1"/>
      <c r="E282" s="1"/>
      <c r="F282" s="67"/>
      <c r="G282">
        <v>14</v>
      </c>
      <c r="H282">
        <v>11.9</v>
      </c>
      <c r="I282">
        <v>16.100000000000001</v>
      </c>
      <c r="J282" s="14">
        <f t="shared" si="33"/>
        <v>2320.8999999999996</v>
      </c>
      <c r="K282" s="53">
        <f t="shared" si="38"/>
        <v>66.099999999999994</v>
      </c>
      <c r="L282" s="29" t="s">
        <v>39</v>
      </c>
      <c r="M282">
        <v>11.4</v>
      </c>
      <c r="N282">
        <v>2.2000000000000002</v>
      </c>
      <c r="O282" s="14">
        <f t="shared" si="30"/>
        <v>9.1999999999999993</v>
      </c>
      <c r="P282">
        <f t="shared" si="37"/>
        <v>17.2</v>
      </c>
      <c r="Q282" s="31">
        <v>228</v>
      </c>
      <c r="R282">
        <f t="shared" si="39"/>
        <v>1.0810344827586207</v>
      </c>
      <c r="S282" s="41">
        <f t="shared" si="31"/>
        <v>2.3782758620689659</v>
      </c>
      <c r="T282" s="41">
        <f t="shared" si="32"/>
        <v>9.0217241379310344</v>
      </c>
      <c r="U282" s="41">
        <f t="shared" si="36"/>
        <v>15.433620689655172</v>
      </c>
      <c r="V282" s="37" t="s">
        <v>52</v>
      </c>
      <c r="W282">
        <v>835.8</v>
      </c>
      <c r="Y282">
        <f t="shared" si="34"/>
        <v>210411.09999999992</v>
      </c>
      <c r="Z282" s="50">
        <f t="shared" si="35"/>
        <v>5595.9000000000005</v>
      </c>
      <c r="AA282">
        <v>14.14462933598988</v>
      </c>
      <c r="AB282" s="37" t="s">
        <v>58</v>
      </c>
    </row>
    <row r="283" spans="1:28" x14ac:dyDescent="0.25">
      <c r="A283">
        <v>5080</v>
      </c>
      <c r="B283">
        <v>18650</v>
      </c>
      <c r="C283" s="1">
        <v>42861</v>
      </c>
      <c r="D283" s="1"/>
      <c r="E283" s="1"/>
      <c r="F283" s="67"/>
      <c r="G283">
        <v>14.3</v>
      </c>
      <c r="H283">
        <v>11.9</v>
      </c>
      <c r="I283">
        <v>18.100000000000001</v>
      </c>
      <c r="J283" s="14">
        <f t="shared" si="33"/>
        <v>2335.1999999999998</v>
      </c>
      <c r="K283" s="53">
        <f t="shared" si="38"/>
        <v>80.399999999999991</v>
      </c>
      <c r="L283" s="9">
        <f>MIN(H278:H297)</f>
        <v>6.5</v>
      </c>
      <c r="M283">
        <v>3.3</v>
      </c>
      <c r="N283">
        <v>3</v>
      </c>
      <c r="O283" s="14">
        <f t="shared" si="30"/>
        <v>0.29999999999999982</v>
      </c>
      <c r="P283">
        <f t="shared" si="37"/>
        <v>17.5</v>
      </c>
      <c r="Q283" s="31">
        <v>229</v>
      </c>
      <c r="R283">
        <f t="shared" si="39"/>
        <v>1.0672413793103448</v>
      </c>
      <c r="S283" s="41">
        <f t="shared" si="31"/>
        <v>3.2017241379310342</v>
      </c>
      <c r="T283" s="41">
        <f t="shared" si="32"/>
        <v>9.8275862068965658E-2</v>
      </c>
      <c r="U283" s="41">
        <f t="shared" si="36"/>
        <v>15.531896551724138</v>
      </c>
      <c r="V283">
        <v>0</v>
      </c>
      <c r="W283">
        <v>1458.8</v>
      </c>
      <c r="Y283">
        <f t="shared" si="34"/>
        <v>211869.89999999991</v>
      </c>
      <c r="Z283" s="50">
        <f t="shared" si="35"/>
        <v>7054.7000000000007</v>
      </c>
      <c r="AA283">
        <v>14.186675850518627</v>
      </c>
      <c r="AB283">
        <v>2</v>
      </c>
    </row>
    <row r="284" spans="1:28" x14ac:dyDescent="0.25">
      <c r="A284">
        <v>5080</v>
      </c>
      <c r="B284">
        <v>18650</v>
      </c>
      <c r="C284" s="1">
        <v>42862</v>
      </c>
      <c r="D284" s="1"/>
      <c r="E284" s="1"/>
      <c r="F284" s="67"/>
      <c r="G284">
        <v>14.2</v>
      </c>
      <c r="H284">
        <v>8.8000000000000007</v>
      </c>
      <c r="I284">
        <v>18.3</v>
      </c>
      <c r="J284" s="14">
        <f t="shared" si="33"/>
        <v>2349.3999999999996</v>
      </c>
      <c r="K284" s="53">
        <f t="shared" si="38"/>
        <v>94.6</v>
      </c>
      <c r="L284" s="29" t="s">
        <v>40</v>
      </c>
      <c r="M284">
        <v>0</v>
      </c>
      <c r="N284">
        <v>3.8</v>
      </c>
      <c r="O284" s="14">
        <f t="shared" si="30"/>
        <v>-3.8</v>
      </c>
      <c r="P284">
        <f t="shared" si="37"/>
        <v>13.7</v>
      </c>
      <c r="Q284" s="31">
        <v>230</v>
      </c>
      <c r="R284">
        <f t="shared" si="39"/>
        <v>1.0534482758620689</v>
      </c>
      <c r="S284" s="41">
        <f t="shared" si="31"/>
        <v>4.0031034482758621</v>
      </c>
      <c r="T284" s="41">
        <f t="shared" si="32"/>
        <v>-4.0031034482758621</v>
      </c>
      <c r="U284" s="41">
        <f t="shared" si="36"/>
        <v>11.528793103448276</v>
      </c>
      <c r="V284" s="37" t="s">
        <v>53</v>
      </c>
      <c r="W284">
        <v>2431.6</v>
      </c>
      <c r="Y284">
        <f t="shared" si="34"/>
        <v>214301.49999999991</v>
      </c>
      <c r="Z284" s="50">
        <f t="shared" si="35"/>
        <v>9486.3000000000011</v>
      </c>
      <c r="AA284">
        <v>14.228209407369905</v>
      </c>
    </row>
    <row r="285" spans="1:28" x14ac:dyDescent="0.25">
      <c r="A285">
        <v>5080</v>
      </c>
      <c r="B285">
        <v>18650</v>
      </c>
      <c r="C285" s="1">
        <v>42863</v>
      </c>
      <c r="D285" s="1"/>
      <c r="E285" s="1"/>
      <c r="F285" s="67"/>
      <c r="G285">
        <v>14.8</v>
      </c>
      <c r="H285">
        <v>10.3</v>
      </c>
      <c r="I285">
        <v>18.600000000000001</v>
      </c>
      <c r="J285" s="14">
        <f t="shared" si="33"/>
        <v>2364.1999999999998</v>
      </c>
      <c r="K285" s="53">
        <f t="shared" si="38"/>
        <v>109.39999999999999</v>
      </c>
      <c r="L285" s="8">
        <v>27.4</v>
      </c>
      <c r="M285">
        <v>0</v>
      </c>
      <c r="N285">
        <v>3.6</v>
      </c>
      <c r="O285" s="14">
        <f t="shared" si="30"/>
        <v>-3.6</v>
      </c>
      <c r="P285">
        <f t="shared" si="37"/>
        <v>10.1</v>
      </c>
      <c r="Q285" s="31">
        <v>231</v>
      </c>
      <c r="R285">
        <f t="shared" si="39"/>
        <v>1.039655172413793</v>
      </c>
      <c r="S285" s="41">
        <f t="shared" si="31"/>
        <v>3.742758620689655</v>
      </c>
      <c r="T285" s="41">
        <f t="shared" si="32"/>
        <v>-3.742758620689655</v>
      </c>
      <c r="U285" s="41">
        <f t="shared" si="36"/>
        <v>7.7860344827586214</v>
      </c>
      <c r="V285" s="41">
        <f>MAX(U278:U297)</f>
        <v>22.488448275862069</v>
      </c>
      <c r="W285">
        <v>2059</v>
      </c>
      <c r="Y285">
        <f t="shared" si="34"/>
        <v>216360.49999999991</v>
      </c>
      <c r="Z285" s="50">
        <f t="shared" si="35"/>
        <v>11545.300000000001</v>
      </c>
      <c r="AA285">
        <v>14.269212682261124</v>
      </c>
    </row>
    <row r="286" spans="1:28" x14ac:dyDescent="0.25">
      <c r="A286">
        <v>5080</v>
      </c>
      <c r="B286">
        <v>18650</v>
      </c>
      <c r="C286" s="1">
        <v>42864</v>
      </c>
      <c r="D286" s="1"/>
      <c r="E286" s="1"/>
      <c r="F286" s="67"/>
      <c r="G286">
        <v>14.8</v>
      </c>
      <c r="H286">
        <v>8.1999999999999993</v>
      </c>
      <c r="I286">
        <v>19.3</v>
      </c>
      <c r="J286" s="14">
        <f t="shared" si="33"/>
        <v>2379</v>
      </c>
      <c r="K286" s="53">
        <f t="shared" si="38"/>
        <v>124.19999999999999</v>
      </c>
      <c r="L286" s="29" t="s">
        <v>41</v>
      </c>
      <c r="M286">
        <v>0</v>
      </c>
      <c r="N286">
        <v>4.2</v>
      </c>
      <c r="O286" s="14">
        <f t="shared" si="30"/>
        <v>-4.2</v>
      </c>
      <c r="P286">
        <f t="shared" si="37"/>
        <v>5.8999999999999995</v>
      </c>
      <c r="Q286" s="31">
        <v>232</v>
      </c>
      <c r="R286">
        <f t="shared" si="39"/>
        <v>1.0258620689655171</v>
      </c>
      <c r="S286" s="41">
        <f t="shared" si="31"/>
        <v>4.3086206896551724</v>
      </c>
      <c r="T286" s="41">
        <f t="shared" si="32"/>
        <v>-4.3086206896551724</v>
      </c>
      <c r="U286" s="41">
        <f t="shared" si="36"/>
        <v>3.477413793103449</v>
      </c>
      <c r="V286" s="37" t="s">
        <v>54</v>
      </c>
      <c r="W286">
        <v>2546.1</v>
      </c>
      <c r="Y286">
        <f t="shared" si="34"/>
        <v>218906.59999999992</v>
      </c>
      <c r="Z286" s="50">
        <f t="shared" si="35"/>
        <v>14091.400000000001</v>
      </c>
      <c r="AA286">
        <v>14.309668114726525</v>
      </c>
    </row>
    <row r="287" spans="1:28" x14ac:dyDescent="0.25">
      <c r="A287">
        <v>5080</v>
      </c>
      <c r="B287">
        <v>18650</v>
      </c>
      <c r="C287" s="1">
        <v>42865</v>
      </c>
      <c r="D287" s="1"/>
      <c r="E287" s="1"/>
      <c r="F287" s="67"/>
      <c r="G287">
        <v>16</v>
      </c>
      <c r="H287">
        <v>13.2</v>
      </c>
      <c r="I287">
        <v>19.8</v>
      </c>
      <c r="J287" s="14">
        <f t="shared" si="33"/>
        <v>2395</v>
      </c>
      <c r="K287" s="53">
        <f t="shared" si="38"/>
        <v>140.19999999999999</v>
      </c>
      <c r="L287" s="8">
        <v>3</v>
      </c>
      <c r="M287">
        <v>3.3</v>
      </c>
      <c r="N287">
        <v>3.4</v>
      </c>
      <c r="O287" s="14">
        <f t="shared" si="30"/>
        <v>-0.10000000000000009</v>
      </c>
      <c r="P287">
        <f t="shared" si="37"/>
        <v>5.7999999999999989</v>
      </c>
      <c r="Q287" s="31">
        <v>233</v>
      </c>
      <c r="R287">
        <f t="shared" si="39"/>
        <v>1.0120689655172412</v>
      </c>
      <c r="S287" s="41">
        <f t="shared" si="31"/>
        <v>3.4410344827586199</v>
      </c>
      <c r="T287" s="41">
        <f t="shared" si="32"/>
        <v>-0.14103448275862007</v>
      </c>
      <c r="U287" s="41">
        <f t="shared" si="36"/>
        <v>3.3363793103448289</v>
      </c>
      <c r="V287" s="41">
        <f>AVERAGE(U278:U297)</f>
        <v>10.547862068965518</v>
      </c>
      <c r="W287">
        <v>1317.9</v>
      </c>
      <c r="Y287">
        <f t="shared" si="34"/>
        <v>220224.49999999991</v>
      </c>
      <c r="Z287" s="50">
        <f t="shared" si="35"/>
        <v>15409.300000000001</v>
      </c>
      <c r="AA287">
        <v>14.349557921787078</v>
      </c>
    </row>
    <row r="288" spans="1:28" x14ac:dyDescent="0.25">
      <c r="A288">
        <v>5080</v>
      </c>
      <c r="B288">
        <v>18650</v>
      </c>
      <c r="C288" s="1">
        <v>42866</v>
      </c>
      <c r="D288" s="1"/>
      <c r="E288" s="1"/>
      <c r="F288" s="67"/>
      <c r="G288">
        <v>16.3</v>
      </c>
      <c r="H288">
        <v>14</v>
      </c>
      <c r="I288">
        <v>19</v>
      </c>
      <c r="J288" s="14">
        <f t="shared" si="33"/>
        <v>2411.3000000000002</v>
      </c>
      <c r="K288" s="53">
        <f t="shared" si="38"/>
        <v>156.5</v>
      </c>
      <c r="L288" s="29" t="s">
        <v>42</v>
      </c>
      <c r="M288">
        <v>11.7</v>
      </c>
      <c r="N288">
        <v>2.1</v>
      </c>
      <c r="O288" s="14">
        <f t="shared" si="30"/>
        <v>9.6</v>
      </c>
      <c r="P288">
        <f t="shared" si="37"/>
        <v>15.399999999999999</v>
      </c>
      <c r="Q288" s="31">
        <v>234</v>
      </c>
      <c r="R288">
        <f t="shared" si="39"/>
        <v>0.99827586206896546</v>
      </c>
      <c r="S288" s="41">
        <f t="shared" si="31"/>
        <v>2.0963793103448274</v>
      </c>
      <c r="T288" s="41">
        <f t="shared" si="32"/>
        <v>9.6036206896551715</v>
      </c>
      <c r="U288" s="41">
        <f t="shared" si="36"/>
        <v>12.940000000000001</v>
      </c>
      <c r="W288">
        <v>1034.2</v>
      </c>
      <c r="Y288">
        <f t="shared" si="34"/>
        <v>221258.69999999992</v>
      </c>
      <c r="Z288" s="50">
        <f t="shared" si="35"/>
        <v>16443.5</v>
      </c>
      <c r="AA288">
        <v>14.388864113001706</v>
      </c>
    </row>
    <row r="289" spans="1:28" x14ac:dyDescent="0.25">
      <c r="A289">
        <v>5080</v>
      </c>
      <c r="B289">
        <v>18650</v>
      </c>
      <c r="C289" s="1">
        <v>42867</v>
      </c>
      <c r="D289" s="1"/>
      <c r="E289" s="1"/>
      <c r="F289" s="67"/>
      <c r="G289">
        <v>17.7</v>
      </c>
      <c r="H289">
        <v>12.9</v>
      </c>
      <c r="I289">
        <v>21.6</v>
      </c>
      <c r="J289" s="14">
        <f t="shared" si="33"/>
        <v>2429</v>
      </c>
      <c r="K289" s="53">
        <f t="shared" si="38"/>
        <v>174.2</v>
      </c>
      <c r="L289" s="8">
        <v>0</v>
      </c>
      <c r="M289">
        <v>7.3</v>
      </c>
      <c r="N289">
        <v>3.4</v>
      </c>
      <c r="O289" s="14">
        <f t="shared" si="30"/>
        <v>3.9</v>
      </c>
      <c r="P289">
        <f t="shared" si="37"/>
        <v>19.299999999999997</v>
      </c>
      <c r="Q289" s="31">
        <v>235</v>
      </c>
      <c r="R289">
        <f t="shared" si="39"/>
        <v>0.98448275862068957</v>
      </c>
      <c r="S289" s="41">
        <f t="shared" si="31"/>
        <v>3.3472413793103444</v>
      </c>
      <c r="T289" s="41">
        <f t="shared" si="32"/>
        <v>3.9527586206896554</v>
      </c>
      <c r="U289" s="41">
        <f t="shared" si="36"/>
        <v>16.892758620689655</v>
      </c>
      <c r="V289" s="56">
        <f>(V287*100)/157.8</f>
        <v>6.6843232376207338</v>
      </c>
      <c r="W289">
        <v>1881.1</v>
      </c>
      <c r="Y289">
        <f t="shared" si="34"/>
        <v>223139.79999999993</v>
      </c>
      <c r="Z289" s="50">
        <f t="shared" si="35"/>
        <v>18324.599999999999</v>
      </c>
      <c r="AA289">
        <v>14.427568506919494</v>
      </c>
    </row>
    <row r="290" spans="1:28" x14ac:dyDescent="0.25">
      <c r="A290">
        <v>5080</v>
      </c>
      <c r="B290">
        <v>18650</v>
      </c>
      <c r="C290" s="1">
        <v>42868</v>
      </c>
      <c r="D290" s="1"/>
      <c r="E290" s="1"/>
      <c r="F290" s="67"/>
      <c r="G290">
        <v>16.399999999999999</v>
      </c>
      <c r="H290">
        <v>13.8</v>
      </c>
      <c r="I290">
        <v>20.3</v>
      </c>
      <c r="J290" s="14">
        <f t="shared" si="33"/>
        <v>2445.4</v>
      </c>
      <c r="K290" s="53">
        <f t="shared" si="38"/>
        <v>190.6</v>
      </c>
      <c r="L290" s="29" t="s">
        <v>43</v>
      </c>
      <c r="M290">
        <v>0.1</v>
      </c>
      <c r="N290">
        <v>3.3</v>
      </c>
      <c r="O290" s="14">
        <f t="shared" si="30"/>
        <v>-3.1999999999999997</v>
      </c>
      <c r="P290">
        <f t="shared" si="37"/>
        <v>16.099999999999998</v>
      </c>
      <c r="Q290" s="31">
        <v>236</v>
      </c>
      <c r="R290">
        <f t="shared" si="39"/>
        <v>0.97068965517241368</v>
      </c>
      <c r="S290" s="41">
        <f t="shared" si="31"/>
        <v>3.2032758620689648</v>
      </c>
      <c r="T290" s="41">
        <f t="shared" si="32"/>
        <v>-3.1032758620689647</v>
      </c>
      <c r="U290" s="41">
        <f t="shared" si="36"/>
        <v>13.789482758620689</v>
      </c>
      <c r="W290">
        <v>1723.5</v>
      </c>
      <c r="Y290">
        <f t="shared" si="34"/>
        <v>224863.29999999993</v>
      </c>
      <c r="Z290" s="50">
        <f t="shared" si="35"/>
        <v>20048.099999999999</v>
      </c>
      <c r="AA290">
        <v>14.46565274894742</v>
      </c>
    </row>
    <row r="291" spans="1:28" x14ac:dyDescent="0.25">
      <c r="A291">
        <v>5080</v>
      </c>
      <c r="B291">
        <v>18650</v>
      </c>
      <c r="C291" s="1">
        <v>42869</v>
      </c>
      <c r="D291" s="1"/>
      <c r="E291" s="1"/>
      <c r="F291" s="67"/>
      <c r="G291">
        <v>17.899999999999999</v>
      </c>
      <c r="H291">
        <v>11.8</v>
      </c>
      <c r="I291">
        <v>22.9</v>
      </c>
      <c r="J291" s="14">
        <f t="shared" si="33"/>
        <v>2463.3000000000002</v>
      </c>
      <c r="K291" s="53">
        <f t="shared" si="38"/>
        <v>208.5</v>
      </c>
      <c r="L291" s="27">
        <v>0</v>
      </c>
      <c r="M291">
        <v>0.1</v>
      </c>
      <c r="N291">
        <v>3.8</v>
      </c>
      <c r="O291" s="14">
        <f t="shared" si="30"/>
        <v>-3.6999999999999997</v>
      </c>
      <c r="P291">
        <f t="shared" si="37"/>
        <v>12.399999999999999</v>
      </c>
      <c r="Q291" s="31">
        <v>237</v>
      </c>
      <c r="R291">
        <f t="shared" si="39"/>
        <v>0.9568965517241379</v>
      </c>
      <c r="S291" s="41">
        <f t="shared" si="31"/>
        <v>3.636206896551724</v>
      </c>
      <c r="T291" s="41">
        <f t="shared" si="32"/>
        <v>-3.5362068965517239</v>
      </c>
      <c r="U291" s="41">
        <f t="shared" si="36"/>
        <v>10.253275862068966</v>
      </c>
      <c r="W291">
        <v>2021.6</v>
      </c>
      <c r="Y291">
        <f t="shared" si="34"/>
        <v>226884.89999999994</v>
      </c>
      <c r="Z291" s="50">
        <f t="shared" si="35"/>
        <v>22069.699999999997</v>
      </c>
      <c r="AA291">
        <v>14.503098330642915</v>
      </c>
    </row>
    <row r="292" spans="1:28" x14ac:dyDescent="0.25">
      <c r="A292">
        <v>5080</v>
      </c>
      <c r="B292">
        <v>18650</v>
      </c>
      <c r="C292" s="1">
        <v>42870</v>
      </c>
      <c r="D292" s="1"/>
      <c r="E292" s="1"/>
      <c r="F292" s="67"/>
      <c r="G292">
        <v>19.899999999999999</v>
      </c>
      <c r="H292">
        <v>13.7</v>
      </c>
      <c r="I292">
        <v>25.8</v>
      </c>
      <c r="J292" s="14">
        <f t="shared" si="33"/>
        <v>2483.2000000000003</v>
      </c>
      <c r="K292" s="53">
        <f t="shared" si="38"/>
        <v>228.4</v>
      </c>
      <c r="M292">
        <v>0</v>
      </c>
      <c r="N292">
        <v>4.9000000000000004</v>
      </c>
      <c r="O292" s="14">
        <f t="shared" si="30"/>
        <v>-4.9000000000000004</v>
      </c>
      <c r="P292">
        <f t="shared" si="37"/>
        <v>7.4999999999999982</v>
      </c>
      <c r="Q292" s="31">
        <v>238</v>
      </c>
      <c r="R292">
        <f t="shared" si="39"/>
        <v>0.94310344827586201</v>
      </c>
      <c r="S292" s="41">
        <f t="shared" si="31"/>
        <v>4.6212068965517243</v>
      </c>
      <c r="T292" s="41">
        <f t="shared" si="32"/>
        <v>-4.6212068965517243</v>
      </c>
      <c r="U292" s="41">
        <f t="shared" si="36"/>
        <v>5.6320689655172416</v>
      </c>
      <c r="W292">
        <v>2493.5</v>
      </c>
      <c r="Y292">
        <f t="shared" si="34"/>
        <v>229378.39999999994</v>
      </c>
      <c r="Z292" s="50">
        <f t="shared" si="35"/>
        <v>24563.199999999997</v>
      </c>
      <c r="AA292">
        <v>14.53988661043452</v>
      </c>
    </row>
    <row r="293" spans="1:28" x14ac:dyDescent="0.25">
      <c r="A293">
        <v>5080</v>
      </c>
      <c r="B293">
        <v>18650</v>
      </c>
      <c r="C293" s="1">
        <v>42871</v>
      </c>
      <c r="D293" s="1"/>
      <c r="E293" s="1"/>
      <c r="F293" s="67"/>
      <c r="G293">
        <v>21.9</v>
      </c>
      <c r="H293">
        <v>16.100000000000001</v>
      </c>
      <c r="I293">
        <v>27.4</v>
      </c>
      <c r="J293" s="14">
        <f t="shared" si="33"/>
        <v>2505.1000000000004</v>
      </c>
      <c r="K293" s="53">
        <f t="shared" si="38"/>
        <v>250.3</v>
      </c>
      <c r="M293">
        <v>0</v>
      </c>
      <c r="N293">
        <v>6.3</v>
      </c>
      <c r="O293" s="14">
        <f t="shared" si="30"/>
        <v>-6.3</v>
      </c>
      <c r="P293">
        <f t="shared" si="37"/>
        <v>1.1999999999999984</v>
      </c>
      <c r="Q293" s="31">
        <v>239</v>
      </c>
      <c r="R293">
        <f t="shared" si="39"/>
        <v>0.92931034482758612</v>
      </c>
      <c r="S293" s="41">
        <f t="shared" si="31"/>
        <v>5.8546551724137927</v>
      </c>
      <c r="T293" s="41">
        <f t="shared" si="32"/>
        <v>-5.8546551724137927</v>
      </c>
      <c r="U293" s="41">
        <v>0</v>
      </c>
      <c r="W293">
        <v>2803</v>
      </c>
      <c r="Y293">
        <f t="shared" si="34"/>
        <v>232181.39999999994</v>
      </c>
      <c r="Z293" s="50">
        <f t="shared" si="35"/>
        <v>27366.199999999997</v>
      </c>
      <c r="AA293">
        <v>14.575998835767544</v>
      </c>
    </row>
    <row r="294" spans="1:28" x14ac:dyDescent="0.25">
      <c r="A294">
        <v>5080</v>
      </c>
      <c r="B294">
        <v>18650</v>
      </c>
      <c r="C294" s="1">
        <v>42872</v>
      </c>
      <c r="D294" s="1"/>
      <c r="E294" s="1"/>
      <c r="F294" s="67"/>
      <c r="G294">
        <v>20.7</v>
      </c>
      <c r="H294">
        <v>17.3</v>
      </c>
      <c r="I294">
        <v>26.4</v>
      </c>
      <c r="J294" s="14">
        <f t="shared" si="33"/>
        <v>2525.8000000000002</v>
      </c>
      <c r="K294" s="53">
        <f t="shared" si="38"/>
        <v>271</v>
      </c>
      <c r="L294" s="1"/>
      <c r="M294">
        <v>0.7</v>
      </c>
      <c r="N294">
        <v>6.5</v>
      </c>
      <c r="O294" s="14">
        <f t="shared" si="30"/>
        <v>-5.8</v>
      </c>
      <c r="P294">
        <v>0</v>
      </c>
      <c r="Q294" s="31">
        <v>240</v>
      </c>
      <c r="R294">
        <f t="shared" si="39"/>
        <v>0.91551724137931023</v>
      </c>
      <c r="S294" s="41">
        <f t="shared" si="31"/>
        <v>5.9508620689655167</v>
      </c>
      <c r="T294" s="41">
        <f t="shared" si="32"/>
        <v>-5.2508620689655165</v>
      </c>
      <c r="U294" s="41">
        <v>0</v>
      </c>
      <c r="W294">
        <v>2615.6</v>
      </c>
      <c r="Y294">
        <f t="shared" si="34"/>
        <v>234796.99999999994</v>
      </c>
      <c r="Z294" s="50">
        <f t="shared" si="35"/>
        <v>29981.799999999996</v>
      </c>
      <c r="AA294">
        <v>14.611416166664613</v>
      </c>
    </row>
    <row r="295" spans="1:28" x14ac:dyDescent="0.25">
      <c r="A295">
        <v>5080</v>
      </c>
      <c r="B295">
        <v>18650</v>
      </c>
      <c r="C295" s="1">
        <v>42873</v>
      </c>
      <c r="D295" s="1"/>
      <c r="E295" s="1"/>
      <c r="F295" s="67"/>
      <c r="G295">
        <v>13.1</v>
      </c>
      <c r="H295">
        <v>10.199999999999999</v>
      </c>
      <c r="I295">
        <v>15.9</v>
      </c>
      <c r="J295" s="14">
        <f t="shared" si="33"/>
        <v>2538.9</v>
      </c>
      <c r="K295" s="53">
        <f t="shared" si="38"/>
        <v>284.10000000000002</v>
      </c>
      <c r="L295" s="1"/>
      <c r="M295">
        <v>23.3</v>
      </c>
      <c r="N295">
        <v>0.9</v>
      </c>
      <c r="O295" s="14">
        <f t="shared" si="30"/>
        <v>22.400000000000002</v>
      </c>
      <c r="P295">
        <f t="shared" si="37"/>
        <v>22.400000000000002</v>
      </c>
      <c r="Q295" s="31">
        <v>241</v>
      </c>
      <c r="R295">
        <f t="shared" si="39"/>
        <v>0.90172413793103434</v>
      </c>
      <c r="S295" s="41">
        <f t="shared" si="31"/>
        <v>0.81155172413793097</v>
      </c>
      <c r="T295" s="41">
        <f t="shared" si="32"/>
        <v>22.488448275862069</v>
      </c>
      <c r="U295" s="41">
        <f t="shared" si="36"/>
        <v>22.488448275862069</v>
      </c>
      <c r="W295">
        <v>521.79999999999995</v>
      </c>
      <c r="Y295">
        <f t="shared" si="34"/>
        <v>235318.79999999993</v>
      </c>
      <c r="Z295" s="50">
        <f t="shared" si="35"/>
        <v>30503.599999999995</v>
      </c>
      <c r="AA295">
        <v>14.646119700683645</v>
      </c>
    </row>
    <row r="296" spans="1:28" x14ac:dyDescent="0.25">
      <c r="A296">
        <v>5080</v>
      </c>
      <c r="B296">
        <v>18650</v>
      </c>
      <c r="C296" s="1">
        <v>42874</v>
      </c>
      <c r="D296" s="1"/>
      <c r="E296" s="1"/>
      <c r="F296" s="67"/>
      <c r="G296">
        <v>12.1</v>
      </c>
      <c r="H296">
        <v>8.1999999999999993</v>
      </c>
      <c r="I296">
        <v>16.100000000000001</v>
      </c>
      <c r="J296" s="14">
        <f t="shared" si="33"/>
        <v>2551</v>
      </c>
      <c r="K296" s="53">
        <f t="shared" si="38"/>
        <v>296.20000000000005</v>
      </c>
      <c r="L296" s="1"/>
      <c r="M296">
        <v>0.7</v>
      </c>
      <c r="N296">
        <v>2.7</v>
      </c>
      <c r="O296" s="14">
        <f t="shared" si="30"/>
        <v>-2</v>
      </c>
      <c r="P296">
        <f t="shared" si="37"/>
        <v>20.400000000000002</v>
      </c>
      <c r="Q296" s="31">
        <v>242</v>
      </c>
      <c r="R296">
        <f t="shared" si="39"/>
        <v>0.88793103448275856</v>
      </c>
      <c r="S296" s="41">
        <f t="shared" si="31"/>
        <v>2.3974137931034485</v>
      </c>
      <c r="T296" s="41">
        <f t="shared" si="32"/>
        <v>-1.6974137931034485</v>
      </c>
      <c r="U296" s="41">
        <f t="shared" si="36"/>
        <v>20.791034482758622</v>
      </c>
      <c r="W296">
        <v>1484.5</v>
      </c>
      <c r="Y296">
        <f t="shared" si="34"/>
        <v>236803.29999999993</v>
      </c>
      <c r="Z296" s="50">
        <f t="shared" si="35"/>
        <v>31988.099999999995</v>
      </c>
      <c r="AA296">
        <v>14.680090499247854</v>
      </c>
    </row>
    <row r="297" spans="1:28" s="42" customFormat="1" ht="15.75" thickBot="1" x14ac:dyDescent="0.3">
      <c r="A297" s="42">
        <v>5080</v>
      </c>
      <c r="B297" s="42">
        <v>18650</v>
      </c>
      <c r="C297" s="43">
        <v>42875</v>
      </c>
      <c r="D297" s="43"/>
      <c r="E297" s="43"/>
      <c r="F297" s="67"/>
      <c r="G297" s="42">
        <v>14.1</v>
      </c>
      <c r="H297" s="42">
        <v>9.3000000000000007</v>
      </c>
      <c r="I297" s="42">
        <v>19.2</v>
      </c>
      <c r="J297" s="44">
        <f t="shared" si="33"/>
        <v>2565.1</v>
      </c>
      <c r="K297" s="44">
        <f t="shared" si="38"/>
        <v>310.30000000000007</v>
      </c>
      <c r="L297" s="43"/>
      <c r="M297" s="42">
        <v>0</v>
      </c>
      <c r="N297" s="42">
        <v>3.5</v>
      </c>
      <c r="O297" s="44">
        <f t="shared" si="30"/>
        <v>-3.5</v>
      </c>
      <c r="P297" s="42">
        <f t="shared" si="37"/>
        <v>16.900000000000002</v>
      </c>
      <c r="Q297" s="55">
        <v>243</v>
      </c>
      <c r="R297">
        <f t="shared" si="39"/>
        <v>0.87413793103448267</v>
      </c>
      <c r="S297" s="45">
        <f t="shared" si="31"/>
        <v>3.0594827586206894</v>
      </c>
      <c r="T297" s="45">
        <f t="shared" si="32"/>
        <v>-3.0594827586206894</v>
      </c>
      <c r="U297" s="41">
        <f t="shared" si="36"/>
        <v>17.731551724137933</v>
      </c>
      <c r="W297" s="42">
        <v>1821.8</v>
      </c>
      <c r="Y297" s="42">
        <f t="shared" si="34"/>
        <v>238625.09999999992</v>
      </c>
      <c r="Z297" s="42">
        <f t="shared" si="35"/>
        <v>33809.899999999994</v>
      </c>
      <c r="AA297" s="42">
        <v>14.713309615314085</v>
      </c>
    </row>
    <row r="298" spans="1:28" s="50" customFormat="1" x14ac:dyDescent="0.25">
      <c r="A298" s="50">
        <v>5080</v>
      </c>
      <c r="B298" s="50">
        <v>18650</v>
      </c>
      <c r="C298" s="51">
        <v>42876</v>
      </c>
      <c r="D298" s="51"/>
      <c r="E298" s="51"/>
      <c r="F298" s="62" t="s">
        <v>44</v>
      </c>
      <c r="G298" s="50">
        <v>17.399999999999999</v>
      </c>
      <c r="H298" s="50">
        <v>10.5</v>
      </c>
      <c r="I298" s="50">
        <v>23</v>
      </c>
      <c r="J298" s="53">
        <f t="shared" si="33"/>
        <v>2582.5</v>
      </c>
      <c r="K298" s="53">
        <f>G298</f>
        <v>17.399999999999999</v>
      </c>
      <c r="L298" s="30" t="s">
        <v>37</v>
      </c>
      <c r="M298" s="50">
        <v>0</v>
      </c>
      <c r="N298" s="50">
        <v>4.2</v>
      </c>
      <c r="O298" s="53">
        <f t="shared" si="30"/>
        <v>-4.2</v>
      </c>
      <c r="P298" s="50">
        <f t="shared" si="37"/>
        <v>12.700000000000003</v>
      </c>
      <c r="Q298" s="50">
        <v>244</v>
      </c>
      <c r="R298">
        <f t="shared" si="39"/>
        <v>0.8603448275862069</v>
      </c>
      <c r="S298" s="54">
        <f t="shared" si="31"/>
        <v>3.6134482758620692</v>
      </c>
      <c r="T298" s="54">
        <f t="shared" si="32"/>
        <v>-3.6134482758620692</v>
      </c>
      <c r="U298" s="41">
        <f t="shared" si="36"/>
        <v>14.118103448275864</v>
      </c>
      <c r="V298" s="38" t="s">
        <v>50</v>
      </c>
      <c r="W298" s="50">
        <v>2007.3</v>
      </c>
      <c r="Y298" s="50">
        <f t="shared" si="34"/>
        <v>240632.39999999991</v>
      </c>
      <c r="Z298" s="50">
        <f>W298</f>
        <v>2007.3</v>
      </c>
      <c r="AA298" s="50">
        <v>14.74575812233704</v>
      </c>
      <c r="AB298" s="38" t="s">
        <v>56</v>
      </c>
    </row>
    <row r="299" spans="1:28" ht="15" customHeight="1" x14ac:dyDescent="0.25">
      <c r="A299">
        <v>5080</v>
      </c>
      <c r="B299">
        <v>18650</v>
      </c>
      <c r="C299" s="1">
        <v>42877</v>
      </c>
      <c r="D299" s="1"/>
      <c r="E299" s="1"/>
      <c r="F299" s="62"/>
      <c r="G299">
        <v>18.7</v>
      </c>
      <c r="H299">
        <v>15.4</v>
      </c>
      <c r="I299">
        <v>24.5</v>
      </c>
      <c r="J299" s="14">
        <f t="shared" si="33"/>
        <v>2601.1999999999998</v>
      </c>
      <c r="K299" s="53">
        <f t="shared" si="38"/>
        <v>36.099999999999994</v>
      </c>
      <c r="L299" s="8">
        <v>411</v>
      </c>
      <c r="M299">
        <v>9</v>
      </c>
      <c r="N299">
        <v>4.8</v>
      </c>
      <c r="O299" s="14">
        <f t="shared" si="30"/>
        <v>4.2</v>
      </c>
      <c r="P299">
        <f t="shared" si="37"/>
        <v>16.900000000000002</v>
      </c>
      <c r="Q299" s="31">
        <v>245</v>
      </c>
      <c r="R299">
        <f t="shared" si="39"/>
        <v>0.84655172413793101</v>
      </c>
      <c r="S299" s="41">
        <f t="shared" si="31"/>
        <v>4.0634482758620685</v>
      </c>
      <c r="T299" s="41">
        <f t="shared" si="32"/>
        <v>4.9365517241379315</v>
      </c>
      <c r="U299" s="41">
        <f t="shared" si="36"/>
        <v>19.054655172413796</v>
      </c>
      <c r="V299">
        <v>3</v>
      </c>
      <c r="W299">
        <v>1817.1</v>
      </c>
      <c r="Y299">
        <f t="shared" si="34"/>
        <v>242449.49999999991</v>
      </c>
      <c r="Z299" s="50">
        <f t="shared" si="35"/>
        <v>3824.3999999999996</v>
      </c>
      <c r="AA299">
        <v>14.77741714447793</v>
      </c>
      <c r="AB299">
        <v>41399.300000000003</v>
      </c>
    </row>
    <row r="300" spans="1:28" x14ac:dyDescent="0.25">
      <c r="A300">
        <v>5080</v>
      </c>
      <c r="B300">
        <v>18650</v>
      </c>
      <c r="C300" s="1">
        <v>42878</v>
      </c>
      <c r="D300" s="1"/>
      <c r="E300" s="1"/>
      <c r="F300" s="62"/>
      <c r="G300">
        <v>15.6</v>
      </c>
      <c r="H300">
        <v>13.6</v>
      </c>
      <c r="I300">
        <v>18</v>
      </c>
      <c r="J300" s="14">
        <f t="shared" si="33"/>
        <v>2616.7999999999997</v>
      </c>
      <c r="K300" s="53">
        <f t="shared" si="38"/>
        <v>51.699999999999996</v>
      </c>
      <c r="L300" s="30" t="s">
        <v>38</v>
      </c>
      <c r="M300">
        <v>0</v>
      </c>
      <c r="N300">
        <v>1.9</v>
      </c>
      <c r="O300" s="14">
        <f t="shared" si="30"/>
        <v>-1.9</v>
      </c>
      <c r="P300">
        <f t="shared" si="37"/>
        <v>15.000000000000002</v>
      </c>
      <c r="Q300" s="31">
        <v>246</v>
      </c>
      <c r="R300">
        <f t="shared" si="39"/>
        <v>0.83275862068965512</v>
      </c>
      <c r="S300" s="41">
        <f t="shared" si="31"/>
        <v>1.5822413793103447</v>
      </c>
      <c r="T300" s="41">
        <f t="shared" si="32"/>
        <v>-1.5822413793103447</v>
      </c>
      <c r="U300" s="41">
        <f t="shared" si="36"/>
        <v>17.472413793103449</v>
      </c>
      <c r="V300" s="38" t="s">
        <v>51</v>
      </c>
      <c r="W300">
        <v>885.7</v>
      </c>
      <c r="Y300">
        <f t="shared" si="34"/>
        <v>243335.19999999992</v>
      </c>
      <c r="Z300" s="50">
        <f t="shared" si="35"/>
        <v>4710.0999999999995</v>
      </c>
      <c r="AA300">
        <v>14.808267887996662</v>
      </c>
      <c r="AB300" s="38" t="s">
        <v>57</v>
      </c>
    </row>
    <row r="301" spans="1:28" x14ac:dyDescent="0.25">
      <c r="A301">
        <v>5080</v>
      </c>
      <c r="B301">
        <v>18650</v>
      </c>
      <c r="C301" s="1">
        <v>42879</v>
      </c>
      <c r="D301" s="1"/>
      <c r="E301" s="1"/>
      <c r="F301" s="62"/>
      <c r="G301">
        <v>19.2</v>
      </c>
      <c r="H301">
        <v>13.4</v>
      </c>
      <c r="I301">
        <v>25.1</v>
      </c>
      <c r="J301" s="14">
        <f t="shared" si="33"/>
        <v>2635.9999999999995</v>
      </c>
      <c r="K301" s="53">
        <f t="shared" si="38"/>
        <v>70.899999999999991</v>
      </c>
      <c r="L301" s="8">
        <f>AVERAGE(G298:G318)</f>
        <v>19.571428571428569</v>
      </c>
      <c r="M301">
        <v>0</v>
      </c>
      <c r="N301">
        <v>4.5</v>
      </c>
      <c r="O301" s="14">
        <f t="shared" si="30"/>
        <v>-4.5</v>
      </c>
      <c r="P301">
        <f t="shared" si="37"/>
        <v>10.500000000000002</v>
      </c>
      <c r="Q301" s="31">
        <v>247</v>
      </c>
      <c r="R301">
        <f t="shared" si="39"/>
        <v>0.81896551724137923</v>
      </c>
      <c r="S301" s="41">
        <f t="shared" si="31"/>
        <v>3.6853448275862064</v>
      </c>
      <c r="T301" s="41">
        <f t="shared" si="32"/>
        <v>-3.6853448275862064</v>
      </c>
      <c r="U301" s="41">
        <f t="shared" si="36"/>
        <v>13.787068965517243</v>
      </c>
      <c r="V301">
        <v>18</v>
      </c>
      <c r="W301">
        <v>2300.4</v>
      </c>
      <c r="Y301">
        <f t="shared" si="34"/>
        <v>245635.59999999992</v>
      </c>
      <c r="Z301" s="50">
        <f t="shared" si="35"/>
        <v>7010.5</v>
      </c>
      <c r="AA301">
        <v>14.83829167375716</v>
      </c>
      <c r="AB301">
        <f>(AB299/100)/L299</f>
        <v>1.0072822384428226</v>
      </c>
    </row>
    <row r="302" spans="1:28" x14ac:dyDescent="0.25">
      <c r="A302">
        <v>5080</v>
      </c>
      <c r="B302">
        <v>18650</v>
      </c>
      <c r="C302" s="1">
        <v>42880</v>
      </c>
      <c r="D302" s="1"/>
      <c r="E302" s="1"/>
      <c r="F302" s="62"/>
      <c r="G302">
        <v>22.7</v>
      </c>
      <c r="H302">
        <v>15.7</v>
      </c>
      <c r="I302">
        <v>28.7</v>
      </c>
      <c r="J302" s="14">
        <f t="shared" si="33"/>
        <v>2658.6999999999994</v>
      </c>
      <c r="K302" s="53">
        <f t="shared" si="38"/>
        <v>93.6</v>
      </c>
      <c r="L302" s="30" t="s">
        <v>39</v>
      </c>
      <c r="M302">
        <v>0</v>
      </c>
      <c r="N302">
        <v>6.5</v>
      </c>
      <c r="O302" s="14">
        <f t="shared" si="30"/>
        <v>-6.5</v>
      </c>
      <c r="P302">
        <f t="shared" si="37"/>
        <v>4.0000000000000018</v>
      </c>
      <c r="Q302" s="31">
        <v>248</v>
      </c>
      <c r="R302">
        <f t="shared" si="39"/>
        <v>0.80517241379310334</v>
      </c>
      <c r="S302" s="41">
        <f t="shared" si="31"/>
        <v>5.2336206896551714</v>
      </c>
      <c r="T302" s="41">
        <f t="shared" si="32"/>
        <v>-5.2336206896551714</v>
      </c>
      <c r="U302" s="41">
        <f t="shared" si="36"/>
        <v>8.5534482758620705</v>
      </c>
      <c r="V302" s="38" t="s">
        <v>52</v>
      </c>
      <c r="W302">
        <v>3007.4</v>
      </c>
      <c r="Y302">
        <f t="shared" si="34"/>
        <v>248642.99999999991</v>
      </c>
      <c r="Z302" s="50">
        <f t="shared" si="35"/>
        <v>10017.9</v>
      </c>
      <c r="AA302">
        <v>14.867469970765571</v>
      </c>
      <c r="AB302" s="38" t="s">
        <v>58</v>
      </c>
    </row>
    <row r="303" spans="1:28" x14ac:dyDescent="0.25">
      <c r="A303">
        <v>5080</v>
      </c>
      <c r="B303">
        <v>18650</v>
      </c>
      <c r="C303" s="1">
        <v>42881</v>
      </c>
      <c r="D303" s="1"/>
      <c r="E303" s="1"/>
      <c r="F303" s="62"/>
      <c r="G303">
        <v>22.3</v>
      </c>
      <c r="H303">
        <v>18.399999999999999</v>
      </c>
      <c r="I303">
        <v>28.1</v>
      </c>
      <c r="J303" s="14">
        <f t="shared" si="33"/>
        <v>2680.9999999999995</v>
      </c>
      <c r="K303" s="53">
        <f t="shared" si="38"/>
        <v>115.89999999999999</v>
      </c>
      <c r="L303" s="8">
        <f>MIN(H298:H318)</f>
        <v>10.5</v>
      </c>
      <c r="M303">
        <v>0</v>
      </c>
      <c r="N303">
        <v>7.8</v>
      </c>
      <c r="O303" s="14">
        <f t="shared" si="30"/>
        <v>-7.8</v>
      </c>
      <c r="P303">
        <v>0</v>
      </c>
      <c r="Q303" s="31">
        <v>249</v>
      </c>
      <c r="R303">
        <f t="shared" si="39"/>
        <v>0.79137931034482745</v>
      </c>
      <c r="S303" s="41">
        <f t="shared" si="31"/>
        <v>6.1727586206896543</v>
      </c>
      <c r="T303" s="41">
        <f t="shared" si="32"/>
        <v>-6.1727586206896543</v>
      </c>
      <c r="U303" s="41">
        <f t="shared" si="36"/>
        <v>2.3806896551724162</v>
      </c>
      <c r="V303">
        <v>0</v>
      </c>
      <c r="W303">
        <v>2772.6</v>
      </c>
      <c r="Y303">
        <f t="shared" si="34"/>
        <v>251415.59999999992</v>
      </c>
      <c r="Z303" s="50">
        <f t="shared" si="35"/>
        <v>12790.5</v>
      </c>
      <c r="AA303">
        <v>14.895784430651334</v>
      </c>
      <c r="AB303">
        <v>3</v>
      </c>
    </row>
    <row r="304" spans="1:28" x14ac:dyDescent="0.25">
      <c r="A304">
        <v>5080</v>
      </c>
      <c r="B304">
        <v>18650</v>
      </c>
      <c r="C304" s="1">
        <v>42882</v>
      </c>
      <c r="D304" s="1"/>
      <c r="E304" s="1"/>
      <c r="F304" s="62"/>
      <c r="G304">
        <v>21.5</v>
      </c>
      <c r="H304">
        <v>17.5</v>
      </c>
      <c r="I304">
        <v>25.7</v>
      </c>
      <c r="J304" s="14">
        <f t="shared" si="33"/>
        <v>2702.4999999999995</v>
      </c>
      <c r="K304" s="53">
        <f t="shared" si="38"/>
        <v>137.39999999999998</v>
      </c>
      <c r="L304" s="30" t="s">
        <v>40</v>
      </c>
      <c r="M304">
        <v>0</v>
      </c>
      <c r="N304">
        <v>6.3</v>
      </c>
      <c r="O304" s="14">
        <f t="shared" si="30"/>
        <v>-6.3</v>
      </c>
      <c r="P304">
        <v>0</v>
      </c>
      <c r="Q304" s="31">
        <v>250</v>
      </c>
      <c r="R304">
        <f t="shared" si="39"/>
        <v>0.77758620689655167</v>
      </c>
      <c r="S304" s="41">
        <f t="shared" si="31"/>
        <v>4.8987931034482752</v>
      </c>
      <c r="T304" s="41">
        <f t="shared" si="32"/>
        <v>-4.8987931034482752</v>
      </c>
      <c r="U304" s="41">
        <v>0</v>
      </c>
      <c r="V304" s="38" t="s">
        <v>53</v>
      </c>
      <c r="W304">
        <v>2600.6999999999998</v>
      </c>
      <c r="Y304">
        <f t="shared" si="34"/>
        <v>254016.29999999993</v>
      </c>
      <c r="Z304" s="50">
        <f t="shared" si="35"/>
        <v>15391.2</v>
      </c>
      <c r="AA304">
        <v>14.923216922991257</v>
      </c>
    </row>
    <row r="305" spans="1:27" x14ac:dyDescent="0.25">
      <c r="A305">
        <v>5080</v>
      </c>
      <c r="B305">
        <v>18650</v>
      </c>
      <c r="C305" s="1">
        <v>42883</v>
      </c>
      <c r="D305" s="1"/>
      <c r="E305" s="1"/>
      <c r="F305" s="62"/>
      <c r="G305">
        <v>22.4</v>
      </c>
      <c r="H305">
        <v>17.3</v>
      </c>
      <c r="I305">
        <v>27.2</v>
      </c>
      <c r="J305" s="14">
        <f t="shared" si="33"/>
        <v>2724.8999999999996</v>
      </c>
      <c r="K305" s="53">
        <f t="shared" si="38"/>
        <v>159.79999999999998</v>
      </c>
      <c r="L305" s="8">
        <f>MAX(I298:I318)</f>
        <v>29.3</v>
      </c>
      <c r="M305">
        <v>0</v>
      </c>
      <c r="N305">
        <v>8.1</v>
      </c>
      <c r="O305" s="14">
        <f t="shared" si="30"/>
        <v>-8.1</v>
      </c>
      <c r="P305">
        <v>0</v>
      </c>
      <c r="Q305" s="31">
        <v>251</v>
      </c>
      <c r="R305">
        <f t="shared" si="39"/>
        <v>0.76379310344827578</v>
      </c>
      <c r="S305" s="41">
        <f t="shared" si="31"/>
        <v>6.1867241379310336</v>
      </c>
      <c r="T305" s="41">
        <f t="shared" si="32"/>
        <v>-6.1867241379310336</v>
      </c>
      <c r="U305" s="41">
        <v>0</v>
      </c>
      <c r="V305" s="41">
        <f>MAX(U298:U318)</f>
        <v>34.165000000000006</v>
      </c>
      <c r="W305">
        <v>2903.2</v>
      </c>
      <c r="Y305">
        <f t="shared" si="34"/>
        <v>256919.49999999994</v>
      </c>
      <c r="Z305" s="50">
        <f t="shared" si="35"/>
        <v>18294.400000000001</v>
      </c>
      <c r="AA305">
        <v>14.949749571366993</v>
      </c>
    </row>
    <row r="306" spans="1:27" x14ac:dyDescent="0.25">
      <c r="A306">
        <v>5080</v>
      </c>
      <c r="B306">
        <v>18650</v>
      </c>
      <c r="C306" s="1">
        <v>42884</v>
      </c>
      <c r="D306" s="1"/>
      <c r="E306" s="1"/>
      <c r="F306" s="62"/>
      <c r="G306">
        <v>19.8</v>
      </c>
      <c r="H306">
        <v>18.5</v>
      </c>
      <c r="I306">
        <v>22.2</v>
      </c>
      <c r="J306" s="14">
        <f t="shared" si="33"/>
        <v>2744.7</v>
      </c>
      <c r="K306" s="53">
        <f t="shared" si="38"/>
        <v>179.6</v>
      </c>
      <c r="L306" s="30" t="s">
        <v>41</v>
      </c>
      <c r="M306">
        <v>0.4</v>
      </c>
      <c r="N306">
        <v>2.1</v>
      </c>
      <c r="O306" s="14">
        <f t="shared" si="30"/>
        <v>-1.7000000000000002</v>
      </c>
      <c r="P306">
        <v>0</v>
      </c>
      <c r="Q306" s="31">
        <v>252</v>
      </c>
      <c r="R306">
        <f t="shared" si="39"/>
        <v>0.75</v>
      </c>
      <c r="S306" s="41">
        <f t="shared" si="31"/>
        <v>1.5750000000000002</v>
      </c>
      <c r="T306" s="41">
        <f t="shared" si="32"/>
        <v>-1.1750000000000003</v>
      </c>
      <c r="U306" s="41">
        <v>0</v>
      </c>
      <c r="V306" s="38" t="s">
        <v>54</v>
      </c>
      <c r="W306">
        <v>803.1</v>
      </c>
      <c r="Y306">
        <f t="shared" si="34"/>
        <v>257722.59999999995</v>
      </c>
      <c r="Z306" s="50">
        <f t="shared" si="35"/>
        <v>19097.5</v>
      </c>
      <c r="AA306">
        <v>14.975364790036835</v>
      </c>
    </row>
    <row r="307" spans="1:27" x14ac:dyDescent="0.25">
      <c r="A307">
        <v>5080</v>
      </c>
      <c r="B307">
        <v>18650</v>
      </c>
      <c r="C307" s="1">
        <v>42885</v>
      </c>
      <c r="D307" s="1"/>
      <c r="E307" s="1"/>
      <c r="F307" s="62"/>
      <c r="G307">
        <v>18.2</v>
      </c>
      <c r="H307">
        <v>17.399999999999999</v>
      </c>
      <c r="I307">
        <v>19.5</v>
      </c>
      <c r="J307" s="14">
        <f t="shared" si="33"/>
        <v>2762.8999999999996</v>
      </c>
      <c r="K307" s="53">
        <f t="shared" si="38"/>
        <v>197.79999999999998</v>
      </c>
      <c r="L307" s="8">
        <v>9</v>
      </c>
      <c r="M307">
        <v>28.5</v>
      </c>
      <c r="N307">
        <v>1.6</v>
      </c>
      <c r="O307" s="14">
        <f t="shared" si="30"/>
        <v>26.9</v>
      </c>
      <c r="P307">
        <f t="shared" si="37"/>
        <v>26.9</v>
      </c>
      <c r="Q307" s="31">
        <v>253</v>
      </c>
      <c r="R307">
        <f t="shared" si="39"/>
        <v>0.73620689655172411</v>
      </c>
      <c r="S307" s="41">
        <f t="shared" si="31"/>
        <v>1.1779310344827587</v>
      </c>
      <c r="T307" s="41">
        <f t="shared" si="32"/>
        <v>27.322068965517243</v>
      </c>
      <c r="U307" s="41">
        <f t="shared" si="36"/>
        <v>27.322068965517243</v>
      </c>
      <c r="V307" s="41">
        <f>AVERAGE(U298:U318)</f>
        <v>19.320714285714295</v>
      </c>
      <c r="W307">
        <v>977.4</v>
      </c>
      <c r="Y307">
        <f t="shared" si="34"/>
        <v>258699.99999999994</v>
      </c>
      <c r="Z307" s="50">
        <f t="shared" si="35"/>
        <v>20074.900000000001</v>
      </c>
      <c r="AA307">
        <v>15.000045321093475</v>
      </c>
    </row>
    <row r="308" spans="1:27" x14ac:dyDescent="0.25">
      <c r="A308">
        <v>5080</v>
      </c>
      <c r="B308">
        <v>18650</v>
      </c>
      <c r="C308" s="1">
        <v>42886</v>
      </c>
      <c r="D308" s="1"/>
      <c r="E308" s="1"/>
      <c r="F308" s="62"/>
      <c r="G308">
        <v>19</v>
      </c>
      <c r="H308">
        <v>16.399999999999999</v>
      </c>
      <c r="I308">
        <v>22.5</v>
      </c>
      <c r="J308" s="14">
        <f t="shared" si="33"/>
        <v>2781.8999999999996</v>
      </c>
      <c r="K308" s="53">
        <f t="shared" si="38"/>
        <v>216.79999999999998</v>
      </c>
      <c r="L308" s="30" t="s">
        <v>42</v>
      </c>
      <c r="M308">
        <v>7.9</v>
      </c>
      <c r="N308">
        <v>2.7</v>
      </c>
      <c r="O308" s="14">
        <f t="shared" si="30"/>
        <v>5.2</v>
      </c>
      <c r="P308">
        <f t="shared" si="37"/>
        <v>32.1</v>
      </c>
      <c r="Q308" s="31">
        <v>254</v>
      </c>
      <c r="R308">
        <f t="shared" si="39"/>
        <v>0.72241379310344822</v>
      </c>
      <c r="S308" s="41">
        <f t="shared" si="31"/>
        <v>1.9505172413793104</v>
      </c>
      <c r="T308" s="41">
        <f t="shared" si="32"/>
        <v>5.9494827586206895</v>
      </c>
      <c r="U308" s="41">
        <f t="shared" si="36"/>
        <v>33.271551724137936</v>
      </c>
      <c r="W308">
        <v>1307.3</v>
      </c>
      <c r="Y308">
        <f t="shared" si="34"/>
        <v>260007.29999999993</v>
      </c>
      <c r="Z308" s="50">
        <f t="shared" si="35"/>
        <v>21382.2</v>
      </c>
      <c r="AA308">
        <v>15.023774271970721</v>
      </c>
    </row>
    <row r="309" spans="1:27" x14ac:dyDescent="0.25">
      <c r="A309">
        <v>5080</v>
      </c>
      <c r="B309">
        <v>18650</v>
      </c>
      <c r="C309" s="1">
        <v>42887</v>
      </c>
      <c r="D309" s="1"/>
      <c r="E309" s="1"/>
      <c r="F309" s="62"/>
      <c r="G309">
        <v>21.6</v>
      </c>
      <c r="H309">
        <v>16.2</v>
      </c>
      <c r="I309">
        <v>26.3</v>
      </c>
      <c r="J309" s="14">
        <f t="shared" si="33"/>
        <v>2803.4999999999995</v>
      </c>
      <c r="K309" s="53">
        <f t="shared" si="38"/>
        <v>238.39999999999998</v>
      </c>
      <c r="L309" s="8">
        <v>0</v>
      </c>
      <c r="M309">
        <v>0</v>
      </c>
      <c r="N309">
        <v>4.4000000000000004</v>
      </c>
      <c r="O309" s="14">
        <f t="shared" si="30"/>
        <v>-4.4000000000000004</v>
      </c>
      <c r="P309">
        <f t="shared" si="37"/>
        <v>27.700000000000003</v>
      </c>
      <c r="Q309" s="31">
        <v>255</v>
      </c>
      <c r="R309">
        <f t="shared" si="39"/>
        <v>0.70862068965517233</v>
      </c>
      <c r="S309" s="41">
        <f t="shared" si="31"/>
        <v>3.1179310344827584</v>
      </c>
      <c r="T309" s="41">
        <f t="shared" si="32"/>
        <v>-3.1179310344827584</v>
      </c>
      <c r="U309" s="41">
        <f t="shared" si="36"/>
        <v>30.153620689655178</v>
      </c>
      <c r="V309" s="56">
        <f>(V307*100)/157.8</f>
        <v>12.243798660148476</v>
      </c>
      <c r="W309">
        <v>2143</v>
      </c>
      <c r="Y309">
        <f t="shared" si="34"/>
        <v>262150.29999999993</v>
      </c>
      <c r="Z309" s="50">
        <f t="shared" si="35"/>
        <v>23525.200000000001</v>
      </c>
      <c r="AA309">
        <v>15.046535153153778</v>
      </c>
    </row>
    <row r="310" spans="1:27" x14ac:dyDescent="0.25">
      <c r="A310">
        <v>5080</v>
      </c>
      <c r="B310">
        <v>18650</v>
      </c>
      <c r="C310" s="1">
        <v>42888</v>
      </c>
      <c r="D310" s="1"/>
      <c r="E310" s="1"/>
      <c r="F310" s="62"/>
      <c r="G310">
        <v>22.5</v>
      </c>
      <c r="H310">
        <v>17.5</v>
      </c>
      <c r="I310">
        <v>27.3</v>
      </c>
      <c r="J310" s="14">
        <f t="shared" si="33"/>
        <v>2825.9999999999995</v>
      </c>
      <c r="K310" s="53">
        <f t="shared" si="38"/>
        <v>260.89999999999998</v>
      </c>
      <c r="L310" s="30" t="s">
        <v>43</v>
      </c>
      <c r="M310">
        <v>0.1</v>
      </c>
      <c r="N310">
        <v>4.8</v>
      </c>
      <c r="O310" s="14">
        <f t="shared" si="30"/>
        <v>-4.7</v>
      </c>
      <c r="P310">
        <f t="shared" si="37"/>
        <v>23.000000000000004</v>
      </c>
      <c r="Q310" s="31">
        <v>256</v>
      </c>
      <c r="R310">
        <f t="shared" si="39"/>
        <v>0.69482758620689644</v>
      </c>
      <c r="S310" s="41">
        <f t="shared" si="31"/>
        <v>3.3351724137931029</v>
      </c>
      <c r="T310" s="41">
        <f t="shared" si="32"/>
        <v>-3.2351724137931028</v>
      </c>
      <c r="U310" s="41">
        <f t="shared" si="36"/>
        <v>26.918448275862076</v>
      </c>
      <c r="W310">
        <v>2334.1</v>
      </c>
      <c r="Y310">
        <f t="shared" si="34"/>
        <v>264484.39999999991</v>
      </c>
      <c r="Z310" s="50">
        <f t="shared" si="35"/>
        <v>25859.3</v>
      </c>
      <c r="AA310">
        <v>15.06831191594029</v>
      </c>
    </row>
    <row r="311" spans="1:27" x14ac:dyDescent="0.25">
      <c r="A311">
        <v>5080</v>
      </c>
      <c r="B311">
        <v>18650</v>
      </c>
      <c r="C311" s="1">
        <v>42889</v>
      </c>
      <c r="D311" s="1"/>
      <c r="E311" s="1"/>
      <c r="F311" s="62"/>
      <c r="G311">
        <v>17.5</v>
      </c>
      <c r="H311">
        <v>17.100000000000001</v>
      </c>
      <c r="I311">
        <v>18.3</v>
      </c>
      <c r="J311" s="14">
        <f t="shared" si="33"/>
        <v>2843.4999999999995</v>
      </c>
      <c r="K311" s="53">
        <f t="shared" si="38"/>
        <v>278.39999999999998</v>
      </c>
      <c r="L311" s="8">
        <v>0</v>
      </c>
      <c r="M311">
        <v>8.1999999999999993</v>
      </c>
      <c r="N311">
        <v>1.4</v>
      </c>
      <c r="O311" s="14">
        <f t="shared" si="30"/>
        <v>6.7999999999999989</v>
      </c>
      <c r="P311">
        <f t="shared" si="37"/>
        <v>29.800000000000004</v>
      </c>
      <c r="Q311" s="31">
        <v>257</v>
      </c>
      <c r="R311">
        <f t="shared" si="39"/>
        <v>0.68103448275862066</v>
      </c>
      <c r="S311" s="41">
        <f t="shared" si="31"/>
        <v>0.95344827586206882</v>
      </c>
      <c r="T311" s="41">
        <f t="shared" si="32"/>
        <v>7.2465517241379303</v>
      </c>
      <c r="U311" s="41">
        <f t="shared" si="36"/>
        <v>34.165000000000006</v>
      </c>
      <c r="W311">
        <v>610.70000000000005</v>
      </c>
      <c r="Y311">
        <f t="shared" si="34"/>
        <v>265095.09999999992</v>
      </c>
      <c r="Z311" s="50">
        <f t="shared" si="35"/>
        <v>26470</v>
      </c>
      <c r="AA311">
        <v>15.089088990092426</v>
      </c>
    </row>
    <row r="312" spans="1:27" x14ac:dyDescent="0.25">
      <c r="A312">
        <v>5080</v>
      </c>
      <c r="B312">
        <v>18650</v>
      </c>
      <c r="C312" s="1">
        <v>42890</v>
      </c>
      <c r="D312" s="1"/>
      <c r="E312" s="1"/>
      <c r="F312" s="62"/>
      <c r="G312">
        <v>15.6</v>
      </c>
      <c r="H312">
        <v>14</v>
      </c>
      <c r="I312">
        <v>17.7</v>
      </c>
      <c r="J312" s="14">
        <f t="shared" si="33"/>
        <v>2859.0999999999995</v>
      </c>
      <c r="K312" s="53">
        <f t="shared" si="38"/>
        <v>294</v>
      </c>
      <c r="M312">
        <v>0</v>
      </c>
      <c r="N312">
        <v>3</v>
      </c>
      <c r="O312" s="14">
        <f t="shared" ref="O312:O335" si="40">M312-N312</f>
        <v>-3</v>
      </c>
      <c r="P312">
        <f t="shared" si="37"/>
        <v>26.800000000000004</v>
      </c>
      <c r="Q312" s="31">
        <v>258</v>
      </c>
      <c r="R312">
        <f t="shared" si="39"/>
        <v>0.66724137931034477</v>
      </c>
      <c r="S312" s="41">
        <f t="shared" ref="S312:S335" si="41">R312*N312</f>
        <v>2.0017241379310344</v>
      </c>
      <c r="T312" s="41">
        <f t="shared" ref="T312:T335" si="42">M312-S312</f>
        <v>-2.0017241379310344</v>
      </c>
      <c r="U312" s="41">
        <f t="shared" si="36"/>
        <v>32.163275862068971</v>
      </c>
      <c r="W312">
        <v>1819.6</v>
      </c>
      <c r="Y312">
        <f t="shared" si="34"/>
        <v>266914.6999999999</v>
      </c>
      <c r="Z312" s="50">
        <f t="shared" si="35"/>
        <v>28289.599999999999</v>
      </c>
      <c r="AA312">
        <v>15.108851321214477</v>
      </c>
    </row>
    <row r="313" spans="1:27" x14ac:dyDescent="0.25">
      <c r="A313">
        <v>5080</v>
      </c>
      <c r="B313">
        <v>18650</v>
      </c>
      <c r="C313" s="1">
        <v>42891</v>
      </c>
      <c r="D313" s="1"/>
      <c r="E313" s="1"/>
      <c r="F313" s="62"/>
      <c r="G313">
        <v>17.399999999999999</v>
      </c>
      <c r="H313">
        <v>13.7</v>
      </c>
      <c r="I313">
        <v>21.7</v>
      </c>
      <c r="J313" s="14">
        <f t="shared" ref="J313:J335" si="43">J312+G313</f>
        <v>2876.4999999999995</v>
      </c>
      <c r="K313" s="53">
        <f t="shared" si="38"/>
        <v>311.39999999999998</v>
      </c>
      <c r="L313" s="1"/>
      <c r="M313">
        <v>0.2</v>
      </c>
      <c r="N313">
        <v>3.7</v>
      </c>
      <c r="O313" s="14">
        <f t="shared" si="40"/>
        <v>-3.5</v>
      </c>
      <c r="P313">
        <f t="shared" si="37"/>
        <v>23.300000000000004</v>
      </c>
      <c r="Q313" s="31">
        <v>259</v>
      </c>
      <c r="R313">
        <f t="shared" si="39"/>
        <v>0.65344827586206888</v>
      </c>
      <c r="S313" s="41">
        <f t="shared" si="41"/>
        <v>2.4177586206896549</v>
      </c>
      <c r="T313" s="41">
        <f t="shared" si="42"/>
        <v>-2.2177586206896547</v>
      </c>
      <c r="U313" s="41">
        <f t="shared" si="36"/>
        <v>29.945517241379317</v>
      </c>
      <c r="W313">
        <v>1782.2</v>
      </c>
      <c r="Y313">
        <f t="shared" ref="Y313:Y335" si="44">Y312+W313</f>
        <v>268696.89999999991</v>
      </c>
      <c r="Z313" s="50">
        <f t="shared" si="35"/>
        <v>30071.8</v>
      </c>
      <c r="AA313">
        <v>15.127584407685513</v>
      </c>
    </row>
    <row r="314" spans="1:27" x14ac:dyDescent="0.25">
      <c r="A314">
        <v>5080</v>
      </c>
      <c r="B314">
        <v>18650</v>
      </c>
      <c r="C314" s="1">
        <v>42892</v>
      </c>
      <c r="D314" s="1"/>
      <c r="E314" s="1"/>
      <c r="F314" s="62"/>
      <c r="G314">
        <v>17.2</v>
      </c>
      <c r="H314">
        <v>14.5</v>
      </c>
      <c r="I314">
        <v>20.100000000000001</v>
      </c>
      <c r="J314" s="14">
        <f t="shared" si="43"/>
        <v>2893.6999999999994</v>
      </c>
      <c r="K314" s="53">
        <f t="shared" si="38"/>
        <v>328.59999999999997</v>
      </c>
      <c r="L314" s="1"/>
      <c r="M314">
        <v>0</v>
      </c>
      <c r="N314">
        <v>4.4000000000000004</v>
      </c>
      <c r="O314" s="14">
        <f t="shared" si="40"/>
        <v>-4.4000000000000004</v>
      </c>
      <c r="P314">
        <f t="shared" si="37"/>
        <v>18.900000000000006</v>
      </c>
      <c r="Q314" s="31">
        <v>260</v>
      </c>
      <c r="R314">
        <f t="shared" si="39"/>
        <v>0.63965517241379299</v>
      </c>
      <c r="S314" s="41">
        <f t="shared" si="41"/>
        <v>2.8144827586206893</v>
      </c>
      <c r="T314" s="41">
        <f t="shared" si="42"/>
        <v>-2.8144827586206893</v>
      </c>
      <c r="U314" s="41">
        <f t="shared" si="36"/>
        <v>27.131034482758629</v>
      </c>
      <c r="W314">
        <v>1989.9</v>
      </c>
      <c r="Y314">
        <f t="shared" si="44"/>
        <v>270686.79999999993</v>
      </c>
      <c r="Z314" s="50">
        <f t="shared" ref="Z314:Z335" si="45">Z313+W314</f>
        <v>32061.7</v>
      </c>
      <c r="AA314">
        <v>15.145274336972918</v>
      </c>
    </row>
    <row r="315" spans="1:27" x14ac:dyDescent="0.25">
      <c r="A315">
        <v>5080</v>
      </c>
      <c r="B315">
        <v>18650</v>
      </c>
      <c r="C315" s="1">
        <v>42893</v>
      </c>
      <c r="D315" s="1"/>
      <c r="E315" s="1"/>
      <c r="F315" s="62"/>
      <c r="G315">
        <v>17</v>
      </c>
      <c r="H315">
        <v>12.1</v>
      </c>
      <c r="I315">
        <v>20.7</v>
      </c>
      <c r="J315" s="14">
        <f t="shared" si="43"/>
        <v>2910.6999999999994</v>
      </c>
      <c r="K315" s="53">
        <f t="shared" si="38"/>
        <v>345.59999999999997</v>
      </c>
      <c r="L315" s="1"/>
      <c r="M315">
        <v>0</v>
      </c>
      <c r="N315">
        <v>4.2</v>
      </c>
      <c r="O315" s="14">
        <f t="shared" si="40"/>
        <v>-4.2</v>
      </c>
      <c r="P315">
        <f t="shared" si="37"/>
        <v>14.700000000000006</v>
      </c>
      <c r="Q315" s="31">
        <v>261</v>
      </c>
      <c r="R315">
        <f t="shared" si="39"/>
        <v>0.62586206896551722</v>
      </c>
      <c r="S315" s="41">
        <f t="shared" si="41"/>
        <v>2.6286206896551723</v>
      </c>
      <c r="T315" s="41">
        <f t="shared" si="42"/>
        <v>-2.6286206896551723</v>
      </c>
      <c r="U315" s="41">
        <f t="shared" si="36"/>
        <v>24.502413793103457</v>
      </c>
      <c r="W315">
        <v>2109</v>
      </c>
      <c r="Y315">
        <f t="shared" si="44"/>
        <v>272795.79999999993</v>
      </c>
      <c r="Z315" s="50">
        <f t="shared" si="45"/>
        <v>34170.699999999997</v>
      </c>
      <c r="AA315">
        <v>15.161907821150026</v>
      </c>
    </row>
    <row r="316" spans="1:27" x14ac:dyDescent="0.25">
      <c r="A316">
        <v>5080</v>
      </c>
      <c r="B316">
        <v>18650</v>
      </c>
      <c r="C316" s="1">
        <v>42894</v>
      </c>
      <c r="D316" s="1"/>
      <c r="E316" s="1"/>
      <c r="F316" s="62"/>
      <c r="G316">
        <v>20.9</v>
      </c>
      <c r="H316">
        <v>14.5</v>
      </c>
      <c r="I316">
        <v>27.9</v>
      </c>
      <c r="J316" s="14">
        <f t="shared" si="43"/>
        <v>2931.5999999999995</v>
      </c>
      <c r="K316" s="53">
        <f t="shared" si="38"/>
        <v>366.49999999999994</v>
      </c>
      <c r="L316" s="1"/>
      <c r="M316">
        <v>3.8</v>
      </c>
      <c r="N316">
        <v>6.9</v>
      </c>
      <c r="O316" s="14">
        <f t="shared" si="40"/>
        <v>-3.1000000000000005</v>
      </c>
      <c r="P316">
        <f t="shared" si="37"/>
        <v>11.600000000000005</v>
      </c>
      <c r="Q316" s="31">
        <v>262</v>
      </c>
      <c r="R316">
        <f t="shared" si="39"/>
        <v>0.61206896551724133</v>
      </c>
      <c r="S316" s="41">
        <f t="shared" si="41"/>
        <v>4.2232758620689657</v>
      </c>
      <c r="T316" s="41">
        <f t="shared" si="42"/>
        <v>-0.42327586206896584</v>
      </c>
      <c r="U316" s="41">
        <f t="shared" si="36"/>
        <v>24.079137931034492</v>
      </c>
      <c r="W316">
        <v>2874.2</v>
      </c>
      <c r="Y316">
        <f t="shared" si="44"/>
        <v>275669.99999999994</v>
      </c>
      <c r="Z316" s="50">
        <f t="shared" si="45"/>
        <v>37044.899999999994</v>
      </c>
      <c r="AA316">
        <v>15.177472231439845</v>
      </c>
    </row>
    <row r="317" spans="1:27" x14ac:dyDescent="0.25">
      <c r="A317">
        <v>5080</v>
      </c>
      <c r="B317">
        <v>18650</v>
      </c>
      <c r="C317" s="1">
        <v>42895</v>
      </c>
      <c r="D317" s="1"/>
      <c r="E317" s="1"/>
      <c r="F317" s="62"/>
      <c r="G317">
        <v>20.399999999999999</v>
      </c>
      <c r="H317">
        <v>17.600000000000001</v>
      </c>
      <c r="I317">
        <v>23.3</v>
      </c>
      <c r="J317" s="14">
        <f t="shared" si="43"/>
        <v>2951.9999999999995</v>
      </c>
      <c r="K317" s="53">
        <f t="shared" si="38"/>
        <v>386.89999999999992</v>
      </c>
      <c r="L317" s="1"/>
      <c r="M317">
        <v>0</v>
      </c>
      <c r="N317">
        <v>2.8</v>
      </c>
      <c r="O317" s="14">
        <f t="shared" si="40"/>
        <v>-2.8</v>
      </c>
      <c r="P317">
        <f t="shared" si="37"/>
        <v>8.8000000000000043</v>
      </c>
      <c r="Q317" s="31">
        <v>263</v>
      </c>
      <c r="R317">
        <f t="shared" si="39"/>
        <v>0.59827586206896544</v>
      </c>
      <c r="S317" s="41">
        <f t="shared" si="41"/>
        <v>1.6751724137931032</v>
      </c>
      <c r="T317" s="41">
        <f t="shared" si="42"/>
        <v>-1.6751724137931032</v>
      </c>
      <c r="U317" s="41">
        <f t="shared" si="36"/>
        <v>22.403965517241389</v>
      </c>
      <c r="W317">
        <v>1214.4000000000001</v>
      </c>
      <c r="Y317">
        <f t="shared" si="44"/>
        <v>276884.39999999997</v>
      </c>
      <c r="Z317" s="50">
        <f t="shared" si="45"/>
        <v>38259.299999999996</v>
      </c>
      <c r="AA317">
        <v>15.191955631607014</v>
      </c>
    </row>
    <row r="318" spans="1:27" s="42" customFormat="1" ht="15.75" thickBot="1" x14ac:dyDescent="0.3">
      <c r="A318" s="42">
        <v>5080</v>
      </c>
      <c r="B318" s="42">
        <v>18650</v>
      </c>
      <c r="C318" s="43">
        <v>42896</v>
      </c>
      <c r="D318" s="43"/>
      <c r="E318" s="43"/>
      <c r="F318" s="62"/>
      <c r="G318" s="42">
        <v>24.1</v>
      </c>
      <c r="H318" s="42">
        <v>18.399999999999999</v>
      </c>
      <c r="I318" s="42">
        <v>29.3</v>
      </c>
      <c r="J318" s="44">
        <f t="shared" si="43"/>
        <v>2976.0999999999995</v>
      </c>
      <c r="K318" s="44">
        <f t="shared" si="38"/>
        <v>410.99999999999994</v>
      </c>
      <c r="L318" s="43"/>
      <c r="M318" s="42">
        <v>0</v>
      </c>
      <c r="N318" s="42">
        <v>7</v>
      </c>
      <c r="O318" s="44">
        <f t="shared" si="40"/>
        <v>-7</v>
      </c>
      <c r="P318" s="42">
        <f t="shared" si="37"/>
        <v>1.8000000000000043</v>
      </c>
      <c r="Q318" s="55">
        <v>264</v>
      </c>
      <c r="R318">
        <f t="shared" si="39"/>
        <v>0.58448275862068966</v>
      </c>
      <c r="S318" s="45">
        <f t="shared" si="41"/>
        <v>4.0913793103448279</v>
      </c>
      <c r="T318" s="45">
        <f t="shared" si="42"/>
        <v>-4.0913793103448279</v>
      </c>
      <c r="U318" s="41">
        <f t="shared" si="36"/>
        <v>18.312586206896562</v>
      </c>
      <c r="W318" s="42">
        <v>3140</v>
      </c>
      <c r="Y318" s="42">
        <f t="shared" si="44"/>
        <v>280024.39999999997</v>
      </c>
      <c r="Z318" s="42">
        <f t="shared" si="45"/>
        <v>41399.299999999996</v>
      </c>
      <c r="AA318" s="42">
        <v>15.205346810021654</v>
      </c>
    </row>
    <row r="319" spans="1:27" s="50" customFormat="1" x14ac:dyDescent="0.25">
      <c r="A319" s="50">
        <v>5080</v>
      </c>
      <c r="B319" s="50">
        <v>18650</v>
      </c>
      <c r="C319" s="51">
        <v>42897</v>
      </c>
      <c r="D319" s="63" t="s">
        <v>49</v>
      </c>
      <c r="E319" s="63"/>
      <c r="F319" s="63"/>
      <c r="G319" s="50">
        <v>25.7</v>
      </c>
      <c r="H319" s="50">
        <v>19.600000000000001</v>
      </c>
      <c r="I319" s="50">
        <v>31.7</v>
      </c>
      <c r="J319" s="53">
        <f t="shared" si="43"/>
        <v>3001.7999999999993</v>
      </c>
      <c r="K319" s="53">
        <f t="shared" si="38"/>
        <v>436.69999999999993</v>
      </c>
      <c r="L319" s="51"/>
      <c r="M319" s="50">
        <v>0</v>
      </c>
      <c r="N319" s="50">
        <v>6.1</v>
      </c>
      <c r="O319" s="53">
        <f t="shared" si="40"/>
        <v>-6.1</v>
      </c>
      <c r="P319" s="50">
        <v>0</v>
      </c>
      <c r="Q319" s="50">
        <v>265</v>
      </c>
      <c r="R319">
        <f t="shared" si="39"/>
        <v>0.57068965517241377</v>
      </c>
      <c r="S319" s="54">
        <f t="shared" si="41"/>
        <v>3.4812068965517238</v>
      </c>
      <c r="T319" s="54">
        <f t="shared" si="42"/>
        <v>-3.4812068965517238</v>
      </c>
      <c r="U319" s="41">
        <f t="shared" si="36"/>
        <v>14.831379310344838</v>
      </c>
      <c r="W319" s="50">
        <v>2491.9</v>
      </c>
      <c r="Y319" s="50">
        <f t="shared" si="44"/>
        <v>282516.3</v>
      </c>
      <c r="Z319" s="50">
        <f t="shared" si="45"/>
        <v>43891.199999999997</v>
      </c>
      <c r="AA319" s="50">
        <v>15.217635310221848</v>
      </c>
    </row>
    <row r="320" spans="1:27" x14ac:dyDescent="0.25">
      <c r="A320">
        <v>5080</v>
      </c>
      <c r="B320">
        <v>18650</v>
      </c>
      <c r="C320" s="1">
        <v>42898</v>
      </c>
      <c r="G320">
        <v>22.6</v>
      </c>
      <c r="H320">
        <v>18.7</v>
      </c>
      <c r="I320">
        <v>26.2</v>
      </c>
      <c r="J320" s="14">
        <f t="shared" si="43"/>
        <v>3024.3999999999992</v>
      </c>
      <c r="K320" s="53">
        <f t="shared" si="38"/>
        <v>459.29999999999995</v>
      </c>
      <c r="L320" s="1"/>
      <c r="M320">
        <v>0</v>
      </c>
      <c r="N320">
        <v>3.9</v>
      </c>
      <c r="O320" s="14">
        <f t="shared" si="40"/>
        <v>-3.9</v>
      </c>
      <c r="P320">
        <v>0</v>
      </c>
      <c r="Q320" s="31">
        <v>266</v>
      </c>
      <c r="R320">
        <f t="shared" si="39"/>
        <v>0.55689655172413788</v>
      </c>
      <c r="S320" s="41">
        <f t="shared" si="41"/>
        <v>2.1718965517241378</v>
      </c>
      <c r="T320" s="41">
        <f t="shared" si="42"/>
        <v>-2.1718965517241378</v>
      </c>
      <c r="U320" s="41">
        <f t="shared" si="36"/>
        <v>12.659482758620701</v>
      </c>
      <c r="W320">
        <v>1551.6</v>
      </c>
      <c r="Y320">
        <f t="shared" si="44"/>
        <v>284067.89999999997</v>
      </c>
      <c r="Z320" s="50">
        <f t="shared" si="45"/>
        <v>45442.799999999996</v>
      </c>
      <c r="AA320">
        <v>15.228811459806087</v>
      </c>
    </row>
    <row r="321" spans="1:27" x14ac:dyDescent="0.25">
      <c r="A321">
        <v>5080</v>
      </c>
      <c r="B321">
        <v>18650</v>
      </c>
      <c r="C321" s="1">
        <v>42899</v>
      </c>
      <c r="D321" s="1"/>
      <c r="E321" s="1"/>
      <c r="F321" s="1"/>
      <c r="G321">
        <v>26.5</v>
      </c>
      <c r="H321">
        <v>20.8</v>
      </c>
      <c r="I321">
        <v>31.3</v>
      </c>
      <c r="J321" s="14">
        <f t="shared" si="43"/>
        <v>3050.8999999999992</v>
      </c>
      <c r="K321" s="53">
        <f t="shared" si="38"/>
        <v>485.79999999999995</v>
      </c>
      <c r="L321" s="1"/>
      <c r="M321">
        <v>0</v>
      </c>
      <c r="N321">
        <v>5.7</v>
      </c>
      <c r="O321" s="14">
        <f t="shared" si="40"/>
        <v>-5.7</v>
      </c>
      <c r="P321">
        <v>0</v>
      </c>
      <c r="Q321" s="31">
        <v>267</v>
      </c>
      <c r="R321">
        <f t="shared" si="39"/>
        <v>0.5431034482758621</v>
      </c>
      <c r="S321" s="41">
        <f t="shared" si="41"/>
        <v>3.0956896551724142</v>
      </c>
      <c r="T321" s="41">
        <f t="shared" si="42"/>
        <v>-3.0956896551724142</v>
      </c>
      <c r="U321" s="41">
        <f t="shared" si="36"/>
        <v>9.5637931034482868</v>
      </c>
      <c r="W321">
        <v>2521.1</v>
      </c>
      <c r="Y321">
        <f t="shared" si="44"/>
        <v>286588.99999999994</v>
      </c>
      <c r="Z321" s="50">
        <f t="shared" si="45"/>
        <v>47963.899999999994</v>
      </c>
      <c r="AA321">
        <v>15.238866397492993</v>
      </c>
    </row>
    <row r="322" spans="1:27" x14ac:dyDescent="0.25">
      <c r="A322">
        <v>5080</v>
      </c>
      <c r="B322">
        <v>18650</v>
      </c>
      <c r="C322" s="1">
        <v>42900</v>
      </c>
      <c r="D322" s="1"/>
      <c r="E322" s="1"/>
      <c r="F322" s="1"/>
      <c r="G322">
        <v>27.4</v>
      </c>
      <c r="H322">
        <v>21.7</v>
      </c>
      <c r="I322">
        <v>32.299999999999997</v>
      </c>
      <c r="J322" s="14">
        <f t="shared" si="43"/>
        <v>3078.2999999999993</v>
      </c>
      <c r="K322" s="53">
        <f t="shared" si="38"/>
        <v>513.19999999999993</v>
      </c>
      <c r="L322" s="1"/>
      <c r="M322">
        <v>0</v>
      </c>
      <c r="N322">
        <v>6.7</v>
      </c>
      <c r="O322" s="14">
        <f t="shared" si="40"/>
        <v>-6.7</v>
      </c>
      <c r="P322">
        <v>0</v>
      </c>
      <c r="Q322" s="31">
        <v>268</v>
      </c>
      <c r="R322">
        <f t="shared" si="39"/>
        <v>0.52931034482758621</v>
      </c>
      <c r="S322" s="41">
        <f t="shared" si="41"/>
        <v>3.5463793103448276</v>
      </c>
      <c r="T322" s="41">
        <f t="shared" si="42"/>
        <v>-3.5463793103448276</v>
      </c>
      <c r="U322" s="41">
        <f t="shared" ref="U322:U335" si="46">MIN(U321+T322,157.8)</f>
        <v>6.0174137931034597</v>
      </c>
      <c r="W322">
        <v>2718.1</v>
      </c>
      <c r="Y322">
        <f t="shared" si="44"/>
        <v>289307.09999999992</v>
      </c>
      <c r="Z322" s="50">
        <f t="shared" si="45"/>
        <v>50681.999999999993</v>
      </c>
      <c r="AA322">
        <v>15.247792098193392</v>
      </c>
    </row>
    <row r="323" spans="1:27" x14ac:dyDescent="0.25">
      <c r="A323">
        <v>5080</v>
      </c>
      <c r="B323">
        <v>18650</v>
      </c>
      <c r="C323" s="1">
        <v>42901</v>
      </c>
      <c r="D323" s="1"/>
      <c r="E323" s="1"/>
      <c r="F323" s="1"/>
      <c r="G323">
        <v>23.1</v>
      </c>
      <c r="H323">
        <v>19.2</v>
      </c>
      <c r="I323">
        <v>26.9</v>
      </c>
      <c r="J323" s="14">
        <f t="shared" si="43"/>
        <v>3101.3999999999992</v>
      </c>
      <c r="K323" s="53">
        <f t="shared" si="38"/>
        <v>536.29999999999995</v>
      </c>
      <c r="L323" s="1"/>
      <c r="M323">
        <v>0</v>
      </c>
      <c r="N323">
        <v>3.2</v>
      </c>
      <c r="O323" s="14">
        <f t="shared" si="40"/>
        <v>-3.2</v>
      </c>
      <c r="P323">
        <v>0</v>
      </c>
      <c r="Q323" s="31">
        <v>269</v>
      </c>
      <c r="R323">
        <f t="shared" si="39"/>
        <v>0.51551724137931032</v>
      </c>
      <c r="S323" s="41">
        <f t="shared" si="41"/>
        <v>1.6496551724137931</v>
      </c>
      <c r="T323" s="41">
        <f t="shared" si="42"/>
        <v>-1.6496551724137931</v>
      </c>
      <c r="U323" s="41">
        <f t="shared" si="46"/>
        <v>4.367758620689667</v>
      </c>
      <c r="W323">
        <v>877.3</v>
      </c>
      <c r="Y323">
        <f t="shared" si="44"/>
        <v>290184.39999999991</v>
      </c>
      <c r="Z323" s="50">
        <f t="shared" si="45"/>
        <v>51559.299999999996</v>
      </c>
      <c r="AA323">
        <v>15.255581395948669</v>
      </c>
    </row>
    <row r="324" spans="1:27" x14ac:dyDescent="0.25">
      <c r="A324">
        <v>5080</v>
      </c>
      <c r="B324">
        <v>18650</v>
      </c>
      <c r="C324" s="1">
        <v>42902</v>
      </c>
      <c r="D324" s="1"/>
      <c r="E324" s="1"/>
      <c r="F324" s="1"/>
      <c r="G324">
        <v>23.4</v>
      </c>
      <c r="H324">
        <v>19.399999999999999</v>
      </c>
      <c r="I324">
        <v>27.7</v>
      </c>
      <c r="J324" s="14">
        <f t="shared" si="43"/>
        <v>3124.7999999999993</v>
      </c>
      <c r="K324" s="53">
        <f t="shared" si="38"/>
        <v>559.69999999999993</v>
      </c>
      <c r="L324" s="1"/>
      <c r="M324">
        <v>0</v>
      </c>
      <c r="N324">
        <v>6.8</v>
      </c>
      <c r="O324" s="14">
        <f t="shared" si="40"/>
        <v>-6.8</v>
      </c>
      <c r="P324">
        <v>0</v>
      </c>
      <c r="Q324" s="31">
        <v>270</v>
      </c>
      <c r="R324">
        <f t="shared" si="39"/>
        <v>0.50172413793103443</v>
      </c>
      <c r="S324" s="41">
        <f t="shared" si="41"/>
        <v>3.4117241379310341</v>
      </c>
      <c r="T324" s="41">
        <f t="shared" si="42"/>
        <v>-3.4117241379310341</v>
      </c>
      <c r="U324" s="41">
        <f t="shared" si="46"/>
        <v>0.9560344827586329</v>
      </c>
      <c r="W324">
        <v>2430.5</v>
      </c>
      <c r="Y324">
        <f t="shared" si="44"/>
        <v>292614.89999999991</v>
      </c>
      <c r="Z324" s="50">
        <f t="shared" si="45"/>
        <v>53989.799999999996</v>
      </c>
      <c r="AA324">
        <v>15.262228004600038</v>
      </c>
    </row>
    <row r="325" spans="1:27" x14ac:dyDescent="0.25">
      <c r="A325">
        <v>5080</v>
      </c>
      <c r="B325">
        <v>18650</v>
      </c>
      <c r="C325" s="1">
        <v>42903</v>
      </c>
      <c r="D325" s="1"/>
      <c r="E325" s="1"/>
      <c r="F325" s="1"/>
      <c r="G325">
        <v>24.4</v>
      </c>
      <c r="H325">
        <v>18.5</v>
      </c>
      <c r="I325">
        <v>29.9</v>
      </c>
      <c r="J325" s="14">
        <f t="shared" si="43"/>
        <v>3149.1999999999994</v>
      </c>
      <c r="K325" s="53">
        <f t="shared" si="38"/>
        <v>584.09999999999991</v>
      </c>
      <c r="L325" s="1"/>
      <c r="M325">
        <v>0</v>
      </c>
      <c r="N325">
        <v>8</v>
      </c>
      <c r="O325" s="14">
        <f t="shared" si="40"/>
        <v>-8</v>
      </c>
      <c r="P325">
        <v>0</v>
      </c>
      <c r="Q325" s="31">
        <v>271</v>
      </c>
      <c r="R325">
        <f t="shared" si="39"/>
        <v>0.48793103448275854</v>
      </c>
      <c r="S325" s="41">
        <f t="shared" si="41"/>
        <v>3.9034482758620683</v>
      </c>
      <c r="T325" s="41">
        <f t="shared" si="42"/>
        <v>-3.9034482758620683</v>
      </c>
      <c r="U325" s="41">
        <v>0</v>
      </c>
      <c r="W325">
        <v>3298.8</v>
      </c>
      <c r="Y325">
        <f t="shared" si="44"/>
        <v>295913.6999999999</v>
      </c>
      <c r="Z325" s="50">
        <f t="shared" si="45"/>
        <v>57288.6</v>
      </c>
      <c r="AA325">
        <v>15.267726536065039</v>
      </c>
    </row>
    <row r="326" spans="1:27" x14ac:dyDescent="0.25">
      <c r="A326">
        <v>5080</v>
      </c>
      <c r="B326">
        <v>18650</v>
      </c>
      <c r="C326" s="1">
        <v>42904</v>
      </c>
      <c r="D326" s="1"/>
      <c r="E326" s="1"/>
      <c r="F326" s="1"/>
      <c r="G326">
        <v>25.3</v>
      </c>
      <c r="H326">
        <v>19.7</v>
      </c>
      <c r="I326">
        <v>31.1</v>
      </c>
      <c r="J326" s="14">
        <f t="shared" si="43"/>
        <v>3174.4999999999995</v>
      </c>
      <c r="K326" s="53">
        <f t="shared" si="38"/>
        <v>609.39999999999986</v>
      </c>
      <c r="L326" s="1"/>
      <c r="M326">
        <v>0</v>
      </c>
      <c r="N326">
        <v>8.1999999999999993</v>
      </c>
      <c r="O326" s="14">
        <f t="shared" si="40"/>
        <v>-8.1999999999999993</v>
      </c>
      <c r="P326">
        <v>0</v>
      </c>
      <c r="Q326" s="31">
        <v>272</v>
      </c>
      <c r="R326">
        <f t="shared" si="39"/>
        <v>0.47413793103448276</v>
      </c>
      <c r="S326" s="41">
        <f t="shared" si="41"/>
        <v>3.8879310344827585</v>
      </c>
      <c r="T326" s="41">
        <f t="shared" si="42"/>
        <v>-3.8879310344827585</v>
      </c>
      <c r="U326" s="41">
        <v>0</v>
      </c>
      <c r="W326">
        <v>3299</v>
      </c>
      <c r="Y326">
        <f t="shared" si="44"/>
        <v>299212.6999999999</v>
      </c>
      <c r="Z326" s="50">
        <f t="shared" si="45"/>
        <v>60587.6</v>
      </c>
      <c r="AA326">
        <v>15.272072516110727</v>
      </c>
    </row>
    <row r="327" spans="1:27" x14ac:dyDescent="0.25">
      <c r="A327">
        <v>5080</v>
      </c>
      <c r="B327">
        <v>18650</v>
      </c>
      <c r="C327" s="1">
        <v>42905</v>
      </c>
      <c r="D327" s="1"/>
      <c r="E327" s="1"/>
      <c r="F327" s="1"/>
      <c r="G327">
        <v>26</v>
      </c>
      <c r="H327">
        <v>20.5</v>
      </c>
      <c r="I327">
        <v>30.5</v>
      </c>
      <c r="J327" s="14">
        <f t="shared" si="43"/>
        <v>3200.4999999999995</v>
      </c>
      <c r="K327" s="53">
        <f t="shared" si="38"/>
        <v>635.39999999999986</v>
      </c>
      <c r="L327" s="1"/>
      <c r="M327">
        <v>0</v>
      </c>
      <c r="N327">
        <v>8.8000000000000007</v>
      </c>
      <c r="O327" s="14">
        <f t="shared" si="40"/>
        <v>-8.8000000000000007</v>
      </c>
      <c r="P327">
        <v>0</v>
      </c>
      <c r="Q327" s="31">
        <v>273</v>
      </c>
      <c r="R327">
        <f t="shared" si="39"/>
        <v>0.46034482758620687</v>
      </c>
      <c r="S327" s="41">
        <f t="shared" si="41"/>
        <v>4.0510344827586211</v>
      </c>
      <c r="T327" s="41">
        <f t="shared" si="42"/>
        <v>-4.0510344827586211</v>
      </c>
      <c r="U327" s="41">
        <v>0</v>
      </c>
      <c r="W327">
        <v>3263.4</v>
      </c>
      <c r="Y327">
        <f t="shared" si="44"/>
        <v>302476.09999999992</v>
      </c>
      <c r="Z327" s="50">
        <f t="shared" si="45"/>
        <v>63851</v>
      </c>
      <c r="AA327">
        <v>15.275262397527273</v>
      </c>
    </row>
    <row r="328" spans="1:27" x14ac:dyDescent="0.25">
      <c r="A328">
        <v>5080</v>
      </c>
      <c r="B328">
        <v>18650</v>
      </c>
      <c r="C328" s="1">
        <v>42906</v>
      </c>
      <c r="D328" s="1"/>
      <c r="E328" s="1"/>
      <c r="F328" s="1"/>
      <c r="G328">
        <v>27.6</v>
      </c>
      <c r="H328">
        <v>22.8</v>
      </c>
      <c r="I328">
        <v>32.5</v>
      </c>
      <c r="J328" s="14">
        <f t="shared" si="43"/>
        <v>3228.0999999999995</v>
      </c>
      <c r="K328" s="53">
        <f t="shared" si="38"/>
        <v>662.99999999999989</v>
      </c>
      <c r="L328" s="1"/>
      <c r="M328">
        <v>0</v>
      </c>
      <c r="N328">
        <v>7.2</v>
      </c>
      <c r="O328" s="14">
        <f t="shared" si="40"/>
        <v>-7.2</v>
      </c>
      <c r="P328">
        <v>0</v>
      </c>
      <c r="Q328" s="31">
        <v>274</v>
      </c>
      <c r="R328">
        <f t="shared" si="39"/>
        <v>0.44655172413793098</v>
      </c>
      <c r="S328" s="41">
        <f t="shared" si="41"/>
        <v>3.2151724137931033</v>
      </c>
      <c r="T328" s="41">
        <f t="shared" si="42"/>
        <v>-3.2151724137931033</v>
      </c>
      <c r="U328" s="41">
        <v>0</v>
      </c>
      <c r="W328">
        <v>2650.5</v>
      </c>
      <c r="Y328">
        <f t="shared" si="44"/>
        <v>305126.59999999992</v>
      </c>
      <c r="Z328" s="50">
        <f t="shared" si="45"/>
        <v>66501.5</v>
      </c>
      <c r="AA328">
        <v>15.277293570620845</v>
      </c>
    </row>
    <row r="329" spans="1:27" x14ac:dyDescent="0.25">
      <c r="A329">
        <v>5080</v>
      </c>
      <c r="B329">
        <v>18650</v>
      </c>
      <c r="C329" s="1">
        <v>42907</v>
      </c>
      <c r="D329" s="1"/>
      <c r="E329" s="1"/>
      <c r="F329" s="1"/>
      <c r="G329">
        <v>28.5</v>
      </c>
      <c r="H329">
        <v>22.4</v>
      </c>
      <c r="I329">
        <v>34.299999999999997</v>
      </c>
      <c r="J329" s="14">
        <f t="shared" si="43"/>
        <v>3256.5999999999995</v>
      </c>
      <c r="K329" s="53">
        <f t="shared" si="38"/>
        <v>691.49999999999989</v>
      </c>
      <c r="L329" s="1"/>
      <c r="M329">
        <v>0</v>
      </c>
      <c r="N329">
        <v>8.1999999999999993</v>
      </c>
      <c r="O329" s="14">
        <f t="shared" si="40"/>
        <v>-8.1999999999999993</v>
      </c>
      <c r="P329">
        <v>0</v>
      </c>
      <c r="Q329" s="31">
        <v>275</v>
      </c>
      <c r="R329">
        <f t="shared" si="39"/>
        <v>0.43275862068965509</v>
      </c>
      <c r="S329" s="41">
        <f t="shared" si="41"/>
        <v>3.5486206896551713</v>
      </c>
      <c r="T329" s="41">
        <f t="shared" si="42"/>
        <v>-3.5486206896551713</v>
      </c>
      <c r="U329" s="41">
        <v>0</v>
      </c>
      <c r="W329">
        <v>3234.9</v>
      </c>
      <c r="Y329">
        <f t="shared" si="44"/>
        <v>308361.49999999994</v>
      </c>
      <c r="Z329" s="50">
        <f t="shared" si="45"/>
        <v>69736.399999999994</v>
      </c>
      <c r="AA329">
        <v>15.278164370960791</v>
      </c>
    </row>
    <row r="330" spans="1:27" x14ac:dyDescent="0.25">
      <c r="A330">
        <v>5080</v>
      </c>
      <c r="B330">
        <v>18650</v>
      </c>
      <c r="C330" s="1">
        <v>42908</v>
      </c>
      <c r="D330" s="1"/>
      <c r="E330" s="1"/>
      <c r="F330" s="1"/>
      <c r="G330">
        <v>29.1</v>
      </c>
      <c r="H330">
        <v>22.5</v>
      </c>
      <c r="I330">
        <v>35.700000000000003</v>
      </c>
      <c r="J330" s="14">
        <f t="shared" si="43"/>
        <v>3285.6999999999994</v>
      </c>
      <c r="K330" s="53">
        <f t="shared" si="38"/>
        <v>720.59999999999991</v>
      </c>
      <c r="L330" s="1"/>
      <c r="M330">
        <v>0</v>
      </c>
      <c r="N330">
        <v>8.1999999999999993</v>
      </c>
      <c r="O330" s="14">
        <f t="shared" si="40"/>
        <v>-8.1999999999999993</v>
      </c>
      <c r="P330">
        <v>0</v>
      </c>
      <c r="Q330" s="31">
        <v>276</v>
      </c>
      <c r="R330">
        <f t="shared" si="39"/>
        <v>0.4189655172413792</v>
      </c>
      <c r="S330" s="41">
        <f t="shared" si="41"/>
        <v>3.4355172413793094</v>
      </c>
      <c r="T330" s="41">
        <f t="shared" si="42"/>
        <v>-3.4355172413793094</v>
      </c>
      <c r="U330" s="41">
        <v>0</v>
      </c>
      <c r="W330">
        <v>2987</v>
      </c>
      <c r="Y330">
        <f t="shared" si="44"/>
        <v>311348.49999999994</v>
      </c>
      <c r="Z330" s="50">
        <f t="shared" si="45"/>
        <v>72723.399999999994</v>
      </c>
      <c r="AA330">
        <v>15.277874084332893</v>
      </c>
    </row>
    <row r="331" spans="1:27" x14ac:dyDescent="0.25">
      <c r="A331">
        <v>5080</v>
      </c>
      <c r="B331">
        <v>18650</v>
      </c>
      <c r="C331" s="1">
        <v>42909</v>
      </c>
      <c r="D331" s="1"/>
      <c r="E331" s="1"/>
      <c r="F331" s="1"/>
      <c r="G331">
        <v>22.1</v>
      </c>
      <c r="H331">
        <v>20.3</v>
      </c>
      <c r="I331">
        <v>24</v>
      </c>
      <c r="J331" s="14">
        <f t="shared" si="43"/>
        <v>3307.7999999999993</v>
      </c>
      <c r="K331" s="53">
        <f t="shared" si="38"/>
        <v>742.69999999999993</v>
      </c>
      <c r="L331" s="1"/>
      <c r="M331">
        <v>0</v>
      </c>
      <c r="N331">
        <v>2.5</v>
      </c>
      <c r="O331" s="14">
        <f t="shared" si="40"/>
        <v>-2.5</v>
      </c>
      <c r="P331">
        <v>0</v>
      </c>
      <c r="Q331" s="31">
        <v>277</v>
      </c>
      <c r="R331">
        <f t="shared" si="39"/>
        <v>0.40517241379310343</v>
      </c>
      <c r="S331" s="41">
        <f t="shared" si="41"/>
        <v>1.0129310344827585</v>
      </c>
      <c r="T331" s="41">
        <f t="shared" si="42"/>
        <v>-1.0129310344827585</v>
      </c>
      <c r="U331" s="41">
        <v>0</v>
      </c>
      <c r="W331">
        <v>742.5</v>
      </c>
      <c r="Y331">
        <f t="shared" si="44"/>
        <v>312090.99999999994</v>
      </c>
      <c r="Z331" s="50">
        <f t="shared" si="45"/>
        <v>73465.899999999994</v>
      </c>
      <c r="AA331">
        <v>15.276422948867735</v>
      </c>
    </row>
    <row r="332" spans="1:27" x14ac:dyDescent="0.25">
      <c r="A332">
        <v>5080</v>
      </c>
      <c r="B332">
        <v>18650</v>
      </c>
      <c r="C332" s="1">
        <v>42910</v>
      </c>
      <c r="D332" s="1"/>
      <c r="E332" s="1"/>
      <c r="F332" s="1"/>
      <c r="G332">
        <v>21.8</v>
      </c>
      <c r="H332">
        <v>19.7</v>
      </c>
      <c r="I332">
        <v>23.4</v>
      </c>
      <c r="J332" s="14">
        <f t="shared" si="43"/>
        <v>3329.5999999999995</v>
      </c>
      <c r="K332" s="53">
        <f t="shared" si="38"/>
        <v>764.49999999999989</v>
      </c>
      <c r="L332" s="1"/>
      <c r="M332">
        <v>0</v>
      </c>
      <c r="N332">
        <v>3.1</v>
      </c>
      <c r="O332" s="14">
        <f t="shared" si="40"/>
        <v>-3.1</v>
      </c>
      <c r="P332">
        <v>0</v>
      </c>
      <c r="Q332" s="31">
        <v>278</v>
      </c>
      <c r="R332">
        <f t="shared" si="39"/>
        <v>0.39137931034482754</v>
      </c>
      <c r="S332" s="41">
        <f t="shared" si="41"/>
        <v>1.2132758620689654</v>
      </c>
      <c r="T332" s="41">
        <f t="shared" si="42"/>
        <v>-1.2132758620689654</v>
      </c>
      <c r="U332" s="41">
        <v>0</v>
      </c>
      <c r="W332">
        <v>796.5</v>
      </c>
      <c r="Y332">
        <f t="shared" si="44"/>
        <v>312887.49999999994</v>
      </c>
      <c r="Z332" s="50">
        <f t="shared" si="45"/>
        <v>74262.399999999994</v>
      </c>
      <c r="AA332">
        <v>15.273812154330868</v>
      </c>
    </row>
    <row r="333" spans="1:27" x14ac:dyDescent="0.25">
      <c r="A333">
        <v>5080</v>
      </c>
      <c r="B333">
        <v>18650</v>
      </c>
      <c r="C333" s="1">
        <v>42911</v>
      </c>
      <c r="D333" s="1"/>
      <c r="E333" s="1"/>
      <c r="F333" s="1"/>
      <c r="G333">
        <v>22.6</v>
      </c>
      <c r="H333">
        <v>17.399999999999999</v>
      </c>
      <c r="I333">
        <v>26.8</v>
      </c>
      <c r="J333" s="14">
        <f t="shared" si="43"/>
        <v>3352.1999999999994</v>
      </c>
      <c r="K333" s="53">
        <f t="shared" si="38"/>
        <v>787.09999999999991</v>
      </c>
      <c r="L333" s="1"/>
      <c r="M333">
        <v>0.6</v>
      </c>
      <c r="N333">
        <v>4.5999999999999996</v>
      </c>
      <c r="O333" s="14">
        <f t="shared" si="40"/>
        <v>-3.9999999999999996</v>
      </c>
      <c r="P333">
        <v>0</v>
      </c>
      <c r="Q333" s="31">
        <v>279</v>
      </c>
      <c r="R333">
        <f t="shared" si="39"/>
        <v>0.37758620689655165</v>
      </c>
      <c r="S333" s="41">
        <f t="shared" si="41"/>
        <v>1.7368965517241375</v>
      </c>
      <c r="T333" s="41">
        <f t="shared" si="42"/>
        <v>-1.1368965517241376</v>
      </c>
      <c r="U333" s="41">
        <v>0</v>
      </c>
      <c r="W333">
        <v>2058.8000000000002</v>
      </c>
      <c r="Y333">
        <f t="shared" si="44"/>
        <v>314946.29999999993</v>
      </c>
      <c r="Z333" s="50">
        <f t="shared" si="45"/>
        <v>76321.2</v>
      </c>
      <c r="AA333">
        <v>15.270043838579245</v>
      </c>
    </row>
    <row r="334" spans="1:27" x14ac:dyDescent="0.25">
      <c r="A334">
        <v>5080</v>
      </c>
      <c r="B334">
        <v>18650</v>
      </c>
      <c r="C334" s="1">
        <v>42912</v>
      </c>
      <c r="D334" s="1"/>
      <c r="E334" s="1"/>
      <c r="F334" s="1"/>
      <c r="G334">
        <v>22.5</v>
      </c>
      <c r="H334">
        <v>19</v>
      </c>
      <c r="I334">
        <v>27.1</v>
      </c>
      <c r="J334" s="14">
        <f t="shared" si="43"/>
        <v>3374.6999999999994</v>
      </c>
      <c r="K334" s="53">
        <f t="shared" si="38"/>
        <v>809.59999999999991</v>
      </c>
      <c r="L334" s="1"/>
      <c r="M334">
        <v>0.2</v>
      </c>
      <c r="N334">
        <v>3.4</v>
      </c>
      <c r="O334" s="14">
        <f t="shared" si="40"/>
        <v>-3.1999999999999997</v>
      </c>
      <c r="P334">
        <v>0</v>
      </c>
      <c r="Q334" s="31">
        <v>280</v>
      </c>
      <c r="R334">
        <f t="shared" si="39"/>
        <v>0.36379310344827587</v>
      </c>
      <c r="S334" s="41">
        <f t="shared" si="41"/>
        <v>1.2368965517241379</v>
      </c>
      <c r="T334" s="41">
        <f t="shared" si="42"/>
        <v>-1.036896551724138</v>
      </c>
      <c r="U334" s="41">
        <v>0</v>
      </c>
      <c r="W334">
        <v>1492.3</v>
      </c>
      <c r="Y334">
        <f t="shared" si="44"/>
        <v>316438.59999999992</v>
      </c>
      <c r="Z334" s="50">
        <f t="shared" si="45"/>
        <v>77813.5</v>
      </c>
      <c r="AA334">
        <v>15.265121081206027</v>
      </c>
    </row>
    <row r="335" spans="1:27" x14ac:dyDescent="0.25">
      <c r="A335">
        <v>5080</v>
      </c>
      <c r="B335">
        <v>18650</v>
      </c>
      <c r="C335" s="1">
        <v>42913</v>
      </c>
      <c r="D335" s="1"/>
      <c r="E335" s="1"/>
      <c r="F335" s="1"/>
      <c r="G335">
        <v>20.9</v>
      </c>
      <c r="H335">
        <v>18.399999999999999</v>
      </c>
      <c r="I335">
        <v>27.7</v>
      </c>
      <c r="J335" s="14">
        <f t="shared" si="43"/>
        <v>3395.5999999999995</v>
      </c>
      <c r="K335" s="53">
        <f t="shared" si="38"/>
        <v>830.49999999999989</v>
      </c>
      <c r="L335" s="1"/>
      <c r="M335">
        <v>16.5</v>
      </c>
      <c r="N335">
        <v>4.9000000000000004</v>
      </c>
      <c r="O335" s="14">
        <f t="shared" si="40"/>
        <v>11.6</v>
      </c>
      <c r="P335">
        <f t="shared" ref="P335" si="47">P334+O335</f>
        <v>11.6</v>
      </c>
      <c r="Q335" s="31">
        <v>281</v>
      </c>
      <c r="R335">
        <f t="shared" si="39"/>
        <v>0.35</v>
      </c>
      <c r="S335" s="41">
        <f t="shared" si="41"/>
        <v>1.7150000000000001</v>
      </c>
      <c r="T335" s="41">
        <f t="shared" si="42"/>
        <v>14.785</v>
      </c>
      <c r="U335" s="41">
        <f t="shared" si="46"/>
        <v>14.785</v>
      </c>
      <c r="W335">
        <v>2109.1</v>
      </c>
      <c r="Y335">
        <f t="shared" si="44"/>
        <v>318547.6999999999</v>
      </c>
      <c r="Z335" s="50">
        <f t="shared" si="45"/>
        <v>79922.600000000006</v>
      </c>
      <c r="AA335">
        <v>15.259047894413476</v>
      </c>
    </row>
    <row r="336" spans="1:27" s="11" customFormat="1" x14ac:dyDescent="0.25">
      <c r="A336" s="59" t="s">
        <v>32</v>
      </c>
      <c r="B336" s="59"/>
      <c r="C336" s="59"/>
      <c r="D336" s="59"/>
      <c r="E336" s="59"/>
      <c r="F336" s="59"/>
      <c r="J336" s="15"/>
      <c r="K336" s="15"/>
      <c r="L336" s="12"/>
      <c r="O336" s="15"/>
      <c r="P336"/>
      <c r="T336" s="15"/>
    </row>
    <row r="337" spans="1:23" x14ac:dyDescent="0.25">
      <c r="A337">
        <v>5080</v>
      </c>
      <c r="B337">
        <v>18650</v>
      </c>
      <c r="C337" s="1">
        <v>42914</v>
      </c>
      <c r="D337" s="1"/>
      <c r="E337" s="1"/>
      <c r="F337" s="1"/>
      <c r="G337">
        <v>19.3</v>
      </c>
      <c r="H337">
        <v>16.8</v>
      </c>
      <c r="I337">
        <v>25</v>
      </c>
      <c r="L337" s="1"/>
      <c r="M337">
        <v>4.5999999999999996</v>
      </c>
      <c r="N337">
        <v>4.5</v>
      </c>
      <c r="W337">
        <v>1686.2</v>
      </c>
    </row>
    <row r="338" spans="1:23" x14ac:dyDescent="0.25">
      <c r="A338">
        <v>5080</v>
      </c>
      <c r="B338">
        <v>18650</v>
      </c>
      <c r="C338" s="1">
        <v>42915</v>
      </c>
      <c r="D338" s="1"/>
      <c r="E338" s="1"/>
      <c r="F338" s="1"/>
      <c r="G338">
        <v>17.600000000000001</v>
      </c>
      <c r="H338">
        <v>14.9</v>
      </c>
      <c r="I338">
        <v>20.5</v>
      </c>
      <c r="L338" s="1"/>
      <c r="M338">
        <v>0</v>
      </c>
      <c r="N338">
        <v>5.8</v>
      </c>
      <c r="W338">
        <v>2589.4</v>
      </c>
    </row>
    <row r="339" spans="1:23" x14ac:dyDescent="0.25">
      <c r="A339">
        <v>5080</v>
      </c>
      <c r="B339">
        <v>18650</v>
      </c>
      <c r="C339" s="1">
        <v>42916</v>
      </c>
      <c r="D339" s="1"/>
      <c r="E339" s="1"/>
      <c r="F339" s="1"/>
      <c r="G339">
        <v>15</v>
      </c>
      <c r="H339">
        <v>13.9</v>
      </c>
      <c r="I339">
        <v>17.600000000000001</v>
      </c>
      <c r="L339" s="1"/>
      <c r="M339">
        <v>3.4</v>
      </c>
      <c r="N339">
        <v>2.9</v>
      </c>
      <c r="W339">
        <v>1121.2</v>
      </c>
    </row>
    <row r="340" spans="1:23" x14ac:dyDescent="0.25">
      <c r="A340">
        <v>5080</v>
      </c>
      <c r="B340">
        <v>18650</v>
      </c>
      <c r="C340" s="1">
        <v>42917</v>
      </c>
      <c r="D340" s="1"/>
      <c r="E340" s="1"/>
      <c r="F340" s="1"/>
      <c r="G340">
        <v>15.5</v>
      </c>
      <c r="H340">
        <v>13.4</v>
      </c>
      <c r="I340">
        <v>17.899999999999999</v>
      </c>
      <c r="L340" s="1"/>
      <c r="M340">
        <v>7.5</v>
      </c>
      <c r="N340">
        <v>2.1</v>
      </c>
      <c r="W340">
        <v>795.7</v>
      </c>
    </row>
    <row r="341" spans="1:23" x14ac:dyDescent="0.25">
      <c r="A341">
        <v>5080</v>
      </c>
      <c r="B341">
        <v>18650</v>
      </c>
      <c r="C341" s="1">
        <v>42918</v>
      </c>
      <c r="D341" s="1"/>
      <c r="E341" s="1"/>
      <c r="F341" s="1"/>
      <c r="G341">
        <v>18.100000000000001</v>
      </c>
      <c r="H341">
        <v>14.4</v>
      </c>
      <c r="I341">
        <v>21.3</v>
      </c>
      <c r="L341" s="1"/>
      <c r="M341">
        <v>0</v>
      </c>
      <c r="N341">
        <v>3</v>
      </c>
      <c r="W341">
        <v>1122.5999999999999</v>
      </c>
    </row>
    <row r="342" spans="1:23" x14ac:dyDescent="0.25">
      <c r="A342">
        <v>5080</v>
      </c>
      <c r="B342">
        <v>18650</v>
      </c>
      <c r="C342" s="1">
        <v>42919</v>
      </c>
      <c r="D342" s="1"/>
      <c r="E342" s="1"/>
      <c r="F342" s="1"/>
      <c r="G342">
        <v>21.3</v>
      </c>
      <c r="H342">
        <v>18.100000000000001</v>
      </c>
      <c r="I342">
        <v>25.4</v>
      </c>
      <c r="L342" s="1"/>
      <c r="M342">
        <v>0.2</v>
      </c>
      <c r="N342">
        <v>4.5</v>
      </c>
      <c r="W342">
        <v>2048.1</v>
      </c>
    </row>
    <row r="343" spans="1:23" x14ac:dyDescent="0.25">
      <c r="A343">
        <v>5080</v>
      </c>
      <c r="B343">
        <v>18650</v>
      </c>
      <c r="C343" s="1">
        <v>42920</v>
      </c>
      <c r="D343" s="1"/>
      <c r="E343" s="1"/>
      <c r="F343" s="1"/>
      <c r="G343">
        <v>24.2</v>
      </c>
      <c r="H343">
        <v>17.399999999999999</v>
      </c>
      <c r="I343">
        <v>31.1</v>
      </c>
      <c r="L343" s="1"/>
      <c r="M343">
        <v>0</v>
      </c>
      <c r="N343">
        <v>7.1</v>
      </c>
      <c r="W343">
        <v>2794.8</v>
      </c>
    </row>
    <row r="344" spans="1:23" x14ac:dyDescent="0.25">
      <c r="A344">
        <v>5080</v>
      </c>
      <c r="B344">
        <v>18650</v>
      </c>
      <c r="C344" s="1">
        <v>42921</v>
      </c>
      <c r="D344" s="1"/>
      <c r="E344" s="1"/>
      <c r="F344" s="1"/>
      <c r="G344">
        <v>24.3</v>
      </c>
      <c r="H344">
        <v>20.399999999999999</v>
      </c>
      <c r="I344">
        <v>28.5</v>
      </c>
      <c r="L344" s="1"/>
      <c r="M344">
        <v>0</v>
      </c>
      <c r="N344">
        <v>8.9</v>
      </c>
      <c r="W344">
        <v>3266.4</v>
      </c>
    </row>
    <row r="345" spans="1:23" x14ac:dyDescent="0.25">
      <c r="A345">
        <v>5080</v>
      </c>
      <c r="B345">
        <v>18650</v>
      </c>
      <c r="C345" s="1">
        <v>42922</v>
      </c>
      <c r="D345" s="1"/>
      <c r="E345" s="1"/>
      <c r="F345" s="1"/>
      <c r="G345">
        <v>24</v>
      </c>
      <c r="H345">
        <v>19.899999999999999</v>
      </c>
      <c r="I345">
        <v>27.6</v>
      </c>
      <c r="L345" s="1"/>
      <c r="M345">
        <v>0</v>
      </c>
      <c r="N345">
        <v>5.5</v>
      </c>
      <c r="W345">
        <v>2201</v>
      </c>
    </row>
    <row r="346" spans="1:23" x14ac:dyDescent="0.25">
      <c r="A346">
        <v>5080</v>
      </c>
      <c r="B346">
        <v>18650</v>
      </c>
      <c r="C346" s="1">
        <v>42923</v>
      </c>
      <c r="D346" s="1"/>
      <c r="E346" s="1"/>
      <c r="F346" s="1"/>
      <c r="G346">
        <v>27.8</v>
      </c>
      <c r="H346">
        <v>20.5</v>
      </c>
      <c r="I346">
        <v>33.799999999999997</v>
      </c>
      <c r="L346" s="1"/>
      <c r="M346">
        <v>0</v>
      </c>
      <c r="N346">
        <v>7</v>
      </c>
      <c r="W346">
        <v>2500</v>
      </c>
    </row>
    <row r="347" spans="1:23" x14ac:dyDescent="0.25">
      <c r="A347">
        <v>5080</v>
      </c>
      <c r="B347">
        <v>18650</v>
      </c>
      <c r="C347" s="1">
        <v>42924</v>
      </c>
      <c r="D347" s="1"/>
      <c r="E347" s="1"/>
      <c r="F347" s="1"/>
      <c r="G347">
        <v>23.6</v>
      </c>
      <c r="H347">
        <v>21.3</v>
      </c>
      <c r="I347">
        <v>27</v>
      </c>
      <c r="L347" s="1"/>
      <c r="M347">
        <v>12.9</v>
      </c>
      <c r="N347">
        <v>1.8</v>
      </c>
      <c r="W347">
        <v>953.9</v>
      </c>
    </row>
    <row r="348" spans="1:23" x14ac:dyDescent="0.25">
      <c r="A348">
        <v>5080</v>
      </c>
      <c r="B348">
        <v>18650</v>
      </c>
      <c r="C348" s="1">
        <v>42925</v>
      </c>
      <c r="D348" s="1"/>
      <c r="E348" s="1"/>
      <c r="F348" s="1"/>
      <c r="G348">
        <v>20.399999999999999</v>
      </c>
      <c r="H348">
        <v>17.7</v>
      </c>
      <c r="I348">
        <v>24.8</v>
      </c>
      <c r="L348" s="1"/>
      <c r="M348">
        <v>1.8</v>
      </c>
      <c r="N348">
        <v>2.7</v>
      </c>
      <c r="W348">
        <v>888.1</v>
      </c>
    </row>
    <row r="349" spans="1:23" x14ac:dyDescent="0.25">
      <c r="A349">
        <v>5080</v>
      </c>
      <c r="B349">
        <v>18650</v>
      </c>
      <c r="C349" s="1">
        <v>42926</v>
      </c>
      <c r="D349" s="1"/>
      <c r="E349" s="1"/>
      <c r="F349" s="1"/>
      <c r="G349">
        <v>19.899999999999999</v>
      </c>
      <c r="H349">
        <v>17.399999999999999</v>
      </c>
      <c r="I349">
        <v>22.3</v>
      </c>
      <c r="L349" s="1"/>
      <c r="M349">
        <v>0</v>
      </c>
      <c r="N349">
        <v>2.5</v>
      </c>
      <c r="W349">
        <v>1174.8</v>
      </c>
    </row>
    <row r="350" spans="1:23" x14ac:dyDescent="0.25">
      <c r="A350">
        <v>5080</v>
      </c>
      <c r="B350">
        <v>18650</v>
      </c>
      <c r="C350" s="1">
        <v>42927</v>
      </c>
      <c r="D350" s="1"/>
      <c r="E350" s="1"/>
      <c r="F350" s="1"/>
      <c r="G350">
        <v>21.4</v>
      </c>
      <c r="H350">
        <v>18</v>
      </c>
      <c r="I350">
        <v>25.4</v>
      </c>
      <c r="L350" s="1"/>
      <c r="M350">
        <v>0</v>
      </c>
      <c r="N350">
        <v>2.2999999999999998</v>
      </c>
      <c r="W350">
        <v>893.3</v>
      </c>
    </row>
    <row r="351" spans="1:23" x14ac:dyDescent="0.25">
      <c r="A351">
        <v>5080</v>
      </c>
      <c r="B351">
        <v>18650</v>
      </c>
      <c r="C351" s="1">
        <v>42928</v>
      </c>
      <c r="D351" s="1"/>
      <c r="E351" s="1"/>
      <c r="F351" s="1"/>
      <c r="G351">
        <v>21.3</v>
      </c>
      <c r="H351">
        <v>18.899999999999999</v>
      </c>
      <c r="I351">
        <v>23.9</v>
      </c>
      <c r="L351" s="1"/>
      <c r="M351">
        <v>0</v>
      </c>
      <c r="N351">
        <v>2.5</v>
      </c>
      <c r="W351">
        <v>874.5</v>
      </c>
    </row>
    <row r="352" spans="1:23" x14ac:dyDescent="0.25">
      <c r="A352">
        <v>5080</v>
      </c>
      <c r="B352">
        <v>18650</v>
      </c>
      <c r="C352" s="1">
        <v>42929</v>
      </c>
      <c r="D352" s="1"/>
      <c r="E352" s="1"/>
      <c r="F352" s="1"/>
      <c r="G352">
        <v>21.5</v>
      </c>
      <c r="H352">
        <v>18.899999999999999</v>
      </c>
      <c r="I352">
        <v>25.5</v>
      </c>
      <c r="L352" s="1"/>
      <c r="M352">
        <v>0</v>
      </c>
      <c r="N352">
        <v>3.4</v>
      </c>
      <c r="W352">
        <v>1178.2</v>
      </c>
    </row>
    <row r="353" spans="1:23" x14ac:dyDescent="0.25">
      <c r="A353">
        <v>5080</v>
      </c>
      <c r="B353">
        <v>18650</v>
      </c>
      <c r="C353" s="1">
        <v>42930</v>
      </c>
      <c r="D353" s="1"/>
      <c r="E353" s="1"/>
      <c r="F353" s="1"/>
      <c r="G353">
        <v>21.4</v>
      </c>
      <c r="H353">
        <v>18.600000000000001</v>
      </c>
      <c r="I353">
        <v>24.5</v>
      </c>
      <c r="L353" s="1"/>
      <c r="M353">
        <v>0</v>
      </c>
      <c r="N353">
        <v>4.5999999999999996</v>
      </c>
      <c r="W353">
        <v>1658.7</v>
      </c>
    </row>
    <row r="354" spans="1:23" x14ac:dyDescent="0.25">
      <c r="A354">
        <v>5080</v>
      </c>
      <c r="B354">
        <v>18650</v>
      </c>
      <c r="C354" s="1">
        <v>42931</v>
      </c>
      <c r="D354" s="1"/>
      <c r="E354" s="1"/>
      <c r="F354" s="1"/>
      <c r="G354">
        <v>22.9</v>
      </c>
      <c r="H354">
        <v>18</v>
      </c>
      <c r="I354">
        <v>28</v>
      </c>
      <c r="L354" s="1"/>
      <c r="M354">
        <v>0</v>
      </c>
      <c r="N354">
        <v>7.3</v>
      </c>
      <c r="W354">
        <v>3116.1</v>
      </c>
    </row>
    <row r="355" spans="1:23" x14ac:dyDescent="0.25">
      <c r="A355">
        <v>5080</v>
      </c>
      <c r="B355">
        <v>18650</v>
      </c>
      <c r="C355" s="1">
        <v>42932</v>
      </c>
      <c r="D355" s="1"/>
      <c r="E355" s="1"/>
      <c r="F355" s="1"/>
      <c r="G355">
        <v>25.4</v>
      </c>
      <c r="H355">
        <v>18.100000000000001</v>
      </c>
      <c r="I355">
        <v>32.5</v>
      </c>
      <c r="L355" s="1"/>
      <c r="M355">
        <v>0</v>
      </c>
      <c r="N355">
        <v>7.7</v>
      </c>
      <c r="W355">
        <v>3206.6</v>
      </c>
    </row>
    <row r="356" spans="1:23" x14ac:dyDescent="0.25">
      <c r="A356">
        <v>5080</v>
      </c>
      <c r="B356">
        <v>18650</v>
      </c>
      <c r="C356" s="1">
        <v>42933</v>
      </c>
      <c r="D356" s="1"/>
      <c r="E356" s="1"/>
      <c r="F356" s="1"/>
      <c r="G356">
        <v>25.4</v>
      </c>
      <c r="H356">
        <v>20.8</v>
      </c>
      <c r="I356">
        <v>31.8</v>
      </c>
      <c r="L356" s="1"/>
      <c r="M356">
        <v>0</v>
      </c>
      <c r="N356">
        <v>9</v>
      </c>
      <c r="W356">
        <v>2863.6</v>
      </c>
    </row>
    <row r="357" spans="1:23" x14ac:dyDescent="0.25">
      <c r="A357">
        <v>5080</v>
      </c>
      <c r="B357">
        <v>18650</v>
      </c>
      <c r="C357" s="1">
        <v>42934</v>
      </c>
      <c r="D357" s="1"/>
      <c r="E357" s="1"/>
      <c r="F357" s="1"/>
      <c r="G357">
        <v>25.5</v>
      </c>
      <c r="H357">
        <v>20</v>
      </c>
      <c r="I357">
        <v>30.3</v>
      </c>
      <c r="L357" s="1"/>
      <c r="M357">
        <v>0</v>
      </c>
      <c r="N357">
        <v>7.3</v>
      </c>
      <c r="W357">
        <v>2493.4</v>
      </c>
    </row>
    <row r="358" spans="1:23" x14ac:dyDescent="0.25">
      <c r="A358">
        <v>5080</v>
      </c>
      <c r="B358">
        <v>18650</v>
      </c>
      <c r="C358" s="1">
        <v>42935</v>
      </c>
      <c r="D358" s="1"/>
      <c r="E358" s="1"/>
      <c r="F358" s="1"/>
      <c r="G358">
        <v>24.3</v>
      </c>
      <c r="H358">
        <v>22.7</v>
      </c>
      <c r="I358">
        <v>26.8</v>
      </c>
      <c r="L358" s="1"/>
      <c r="M358">
        <v>24.7</v>
      </c>
      <c r="N358">
        <v>3.9</v>
      </c>
      <c r="W358">
        <v>1679</v>
      </c>
    </row>
    <row r="359" spans="1:23" x14ac:dyDescent="0.25">
      <c r="A359">
        <v>5080</v>
      </c>
      <c r="B359">
        <v>18650</v>
      </c>
      <c r="C359" s="1">
        <v>42936</v>
      </c>
      <c r="D359" s="1"/>
      <c r="E359" s="1"/>
      <c r="F359" s="1"/>
      <c r="G359">
        <v>20</v>
      </c>
      <c r="H359">
        <v>19.3</v>
      </c>
      <c r="I359">
        <v>21.5</v>
      </c>
      <c r="L359" s="1"/>
      <c r="M359">
        <v>0.8</v>
      </c>
      <c r="N359">
        <v>1.9</v>
      </c>
      <c r="W359">
        <v>787.9</v>
      </c>
    </row>
    <row r="360" spans="1:23" x14ac:dyDescent="0.25">
      <c r="A360">
        <v>5080</v>
      </c>
      <c r="B360">
        <v>18650</v>
      </c>
      <c r="C360" s="1">
        <v>42937</v>
      </c>
      <c r="D360" s="1"/>
      <c r="E360" s="1"/>
      <c r="F360" s="1"/>
      <c r="G360">
        <v>20.100000000000001</v>
      </c>
      <c r="H360">
        <v>17.600000000000001</v>
      </c>
      <c r="I360">
        <v>23.3</v>
      </c>
      <c r="L360" s="1"/>
      <c r="M360">
        <v>2.7</v>
      </c>
      <c r="N360">
        <v>3.8</v>
      </c>
      <c r="W360">
        <v>1814.6</v>
      </c>
    </row>
    <row r="361" spans="1:23" x14ac:dyDescent="0.25">
      <c r="A361">
        <v>5080</v>
      </c>
      <c r="B361">
        <v>18650</v>
      </c>
      <c r="C361" s="1">
        <v>42938</v>
      </c>
      <c r="D361" s="1"/>
      <c r="E361" s="1"/>
      <c r="F361" s="1"/>
      <c r="G361">
        <v>21.4</v>
      </c>
      <c r="H361">
        <v>17.100000000000001</v>
      </c>
      <c r="I361">
        <v>24.7</v>
      </c>
      <c r="L361" s="1"/>
      <c r="M361">
        <v>0</v>
      </c>
      <c r="N361">
        <v>2.9</v>
      </c>
      <c r="W361">
        <v>1074.5999999999999</v>
      </c>
    </row>
    <row r="362" spans="1:23" x14ac:dyDescent="0.25">
      <c r="A362">
        <v>5080</v>
      </c>
      <c r="B362">
        <v>18650</v>
      </c>
      <c r="C362" s="1">
        <v>42939</v>
      </c>
      <c r="D362" s="1"/>
      <c r="E362" s="1"/>
      <c r="F362" s="1"/>
      <c r="G362">
        <v>20.2</v>
      </c>
      <c r="H362">
        <v>18.399999999999999</v>
      </c>
      <c r="I362">
        <v>22.3</v>
      </c>
      <c r="L362" s="1"/>
      <c r="M362">
        <v>1.1000000000000001</v>
      </c>
      <c r="N362">
        <v>2.7</v>
      </c>
      <c r="W362">
        <v>819.7</v>
      </c>
    </row>
    <row r="363" spans="1:23" x14ac:dyDescent="0.25">
      <c r="A363">
        <v>5080</v>
      </c>
      <c r="B363">
        <v>18650</v>
      </c>
      <c r="C363" s="1">
        <v>42940</v>
      </c>
      <c r="D363" s="1"/>
      <c r="E363" s="1"/>
      <c r="F363" s="1"/>
      <c r="G363">
        <v>19.3</v>
      </c>
      <c r="H363">
        <v>17.7</v>
      </c>
      <c r="I363">
        <v>22.6</v>
      </c>
      <c r="L363" s="1"/>
      <c r="M363">
        <v>2.1</v>
      </c>
      <c r="N363">
        <v>3.2</v>
      </c>
      <c r="W363">
        <v>1071.5999999999999</v>
      </c>
    </row>
    <row r="364" spans="1:23" x14ac:dyDescent="0.25">
      <c r="A364">
        <v>5080</v>
      </c>
      <c r="B364">
        <v>18650</v>
      </c>
      <c r="C364" s="1">
        <v>42941</v>
      </c>
      <c r="D364" s="1"/>
      <c r="E364" s="1"/>
      <c r="F364" s="1"/>
      <c r="G364">
        <v>19.5</v>
      </c>
      <c r="H364">
        <v>15.9</v>
      </c>
      <c r="I364">
        <v>23</v>
      </c>
      <c r="L364" s="1"/>
      <c r="M364">
        <v>0.1</v>
      </c>
      <c r="N364">
        <v>4.2</v>
      </c>
      <c r="W364">
        <v>2001.6</v>
      </c>
    </row>
    <row r="365" spans="1:23" x14ac:dyDescent="0.25">
      <c r="A365">
        <v>5080</v>
      </c>
      <c r="B365">
        <v>18650</v>
      </c>
      <c r="C365" s="1">
        <v>42942</v>
      </c>
      <c r="D365" s="1"/>
      <c r="E365" s="1"/>
      <c r="F365" s="1"/>
      <c r="G365">
        <v>19.8</v>
      </c>
      <c r="H365">
        <v>15.7</v>
      </c>
      <c r="I365">
        <v>24.1</v>
      </c>
      <c r="L365" s="1"/>
      <c r="M365">
        <v>0</v>
      </c>
      <c r="N365">
        <v>3</v>
      </c>
      <c r="W365">
        <v>1222.5999999999999</v>
      </c>
    </row>
    <row r="366" spans="1:23" x14ac:dyDescent="0.25">
      <c r="A366">
        <v>5080</v>
      </c>
      <c r="B366">
        <v>18650</v>
      </c>
      <c r="C366" s="1">
        <v>42943</v>
      </c>
      <c r="D366" s="1"/>
      <c r="E366" s="1"/>
      <c r="F366" s="1"/>
      <c r="G366">
        <v>22.9</v>
      </c>
      <c r="H366">
        <v>17.7</v>
      </c>
      <c r="I366">
        <v>27.4</v>
      </c>
      <c r="L366" s="1"/>
      <c r="M366">
        <v>0</v>
      </c>
      <c r="N366">
        <v>4.5</v>
      </c>
      <c r="W366">
        <v>1985.5</v>
      </c>
    </row>
    <row r="367" spans="1:23" x14ac:dyDescent="0.25">
      <c r="A367">
        <v>5080</v>
      </c>
      <c r="B367">
        <v>18650</v>
      </c>
      <c r="C367" s="1">
        <v>42944</v>
      </c>
      <c r="D367" s="1"/>
      <c r="E367" s="1"/>
      <c r="F367" s="1"/>
      <c r="G367">
        <v>22.8</v>
      </c>
      <c r="H367">
        <v>19.600000000000001</v>
      </c>
      <c r="I367">
        <v>26.3</v>
      </c>
      <c r="L367" s="1"/>
      <c r="M367">
        <v>0</v>
      </c>
      <c r="N367">
        <v>2.7</v>
      </c>
      <c r="W367">
        <v>1145</v>
      </c>
    </row>
    <row r="368" spans="1:23" x14ac:dyDescent="0.25">
      <c r="A368">
        <v>5080</v>
      </c>
      <c r="B368">
        <v>18650</v>
      </c>
      <c r="C368" s="1">
        <v>42945</v>
      </c>
      <c r="D368" s="1"/>
      <c r="E368" s="1"/>
      <c r="F368" s="1"/>
      <c r="G368">
        <v>24.9</v>
      </c>
      <c r="H368">
        <v>17.600000000000001</v>
      </c>
      <c r="I368">
        <v>31.9</v>
      </c>
      <c r="L368" s="1"/>
      <c r="M368">
        <v>0</v>
      </c>
      <c r="N368">
        <v>3.3</v>
      </c>
      <c r="W368">
        <v>1280.9000000000001</v>
      </c>
    </row>
    <row r="369" spans="1:23" x14ac:dyDescent="0.25">
      <c r="A369">
        <v>5080</v>
      </c>
      <c r="B369">
        <v>18650</v>
      </c>
      <c r="C369" s="1">
        <v>42946</v>
      </c>
      <c r="D369" s="1"/>
      <c r="E369" s="1"/>
      <c r="F369" s="1"/>
      <c r="G369">
        <v>23.9</v>
      </c>
      <c r="H369">
        <v>20.3</v>
      </c>
      <c r="I369">
        <v>26.6</v>
      </c>
      <c r="L369" s="1"/>
      <c r="M369">
        <v>0</v>
      </c>
      <c r="N369">
        <v>3.2</v>
      </c>
      <c r="W369">
        <v>1102.5999999999999</v>
      </c>
    </row>
    <row r="370" spans="1:23" x14ac:dyDescent="0.25">
      <c r="A370">
        <v>5080</v>
      </c>
      <c r="B370">
        <v>18650</v>
      </c>
      <c r="C370" s="1">
        <v>42947</v>
      </c>
      <c r="D370" s="1"/>
      <c r="E370" s="1"/>
      <c r="F370" s="1"/>
      <c r="G370">
        <v>23.4</v>
      </c>
      <c r="H370">
        <v>20.2</v>
      </c>
      <c r="I370">
        <v>25.9</v>
      </c>
      <c r="L370" s="1"/>
      <c r="M370">
        <v>0</v>
      </c>
      <c r="N370">
        <v>3.8</v>
      </c>
      <c r="W370">
        <v>1580.1</v>
      </c>
    </row>
    <row r="371" spans="1:23" x14ac:dyDescent="0.25">
      <c r="A371">
        <v>5080</v>
      </c>
      <c r="B371">
        <v>18650</v>
      </c>
      <c r="C371" s="1">
        <v>42948</v>
      </c>
      <c r="D371" s="1"/>
      <c r="E371" s="1"/>
      <c r="F371" s="1"/>
      <c r="G371">
        <v>24.1</v>
      </c>
      <c r="H371">
        <v>19.3</v>
      </c>
      <c r="I371">
        <v>27.7</v>
      </c>
      <c r="L371" s="1"/>
      <c r="M371">
        <v>0</v>
      </c>
      <c r="N371">
        <v>3.7</v>
      </c>
      <c r="W371">
        <v>1768.5</v>
      </c>
    </row>
    <row r="372" spans="1:23" x14ac:dyDescent="0.25">
      <c r="A372">
        <v>5080</v>
      </c>
      <c r="B372">
        <v>18650</v>
      </c>
      <c r="C372" s="1">
        <v>42949</v>
      </c>
      <c r="D372" s="1"/>
      <c r="E372" s="1"/>
      <c r="F372" s="1"/>
      <c r="G372">
        <v>26.7</v>
      </c>
      <c r="H372">
        <v>19.100000000000001</v>
      </c>
      <c r="I372">
        <v>33.299999999999997</v>
      </c>
      <c r="L372" s="1"/>
      <c r="M372">
        <v>0</v>
      </c>
      <c r="N372">
        <v>4.0999999999999996</v>
      </c>
      <c r="W372">
        <v>1644.4</v>
      </c>
    </row>
    <row r="373" spans="1:23" x14ac:dyDescent="0.25">
      <c r="A373">
        <v>5080</v>
      </c>
      <c r="B373">
        <v>18650</v>
      </c>
      <c r="C373" s="1">
        <v>42950</v>
      </c>
      <c r="D373" s="1"/>
      <c r="E373" s="1"/>
      <c r="F373" s="1"/>
      <c r="G373">
        <v>25.6</v>
      </c>
      <c r="H373">
        <v>19.5</v>
      </c>
      <c r="I373">
        <v>30.3</v>
      </c>
      <c r="L373" s="1"/>
      <c r="M373">
        <v>0</v>
      </c>
      <c r="N373">
        <v>7.3</v>
      </c>
      <c r="W373">
        <v>2905.3</v>
      </c>
    </row>
    <row r="374" spans="1:23" x14ac:dyDescent="0.25">
      <c r="A374">
        <v>5080</v>
      </c>
      <c r="B374">
        <v>18650</v>
      </c>
      <c r="C374" s="1">
        <v>42951</v>
      </c>
      <c r="D374" s="1"/>
      <c r="E374" s="1"/>
      <c r="F374" s="1"/>
      <c r="G374">
        <v>26.3</v>
      </c>
      <c r="H374">
        <v>20.9</v>
      </c>
      <c r="I374">
        <v>31.2</v>
      </c>
      <c r="L374" s="1"/>
      <c r="M374">
        <v>0</v>
      </c>
      <c r="N374">
        <v>6.3</v>
      </c>
      <c r="W374">
        <v>2381.9</v>
      </c>
    </row>
    <row r="375" spans="1:23" x14ac:dyDescent="0.25">
      <c r="A375">
        <v>5080</v>
      </c>
      <c r="B375">
        <v>18650</v>
      </c>
      <c r="C375" s="1">
        <v>42952</v>
      </c>
      <c r="D375" s="1"/>
      <c r="E375" s="1"/>
      <c r="F375" s="1"/>
      <c r="G375">
        <v>22.6</v>
      </c>
      <c r="H375">
        <v>21.4</v>
      </c>
      <c r="I375">
        <v>24.7</v>
      </c>
      <c r="L375" s="1"/>
      <c r="M375">
        <v>0.9</v>
      </c>
      <c r="N375">
        <v>3</v>
      </c>
      <c r="W375">
        <v>731.2</v>
      </c>
    </row>
    <row r="376" spans="1:23" x14ac:dyDescent="0.25">
      <c r="A376">
        <v>5080</v>
      </c>
      <c r="B376">
        <v>18650</v>
      </c>
      <c r="C376" s="1">
        <v>42953</v>
      </c>
      <c r="D376" s="1"/>
      <c r="E376" s="1"/>
      <c r="F376" s="1"/>
      <c r="G376">
        <v>21.4</v>
      </c>
      <c r="H376">
        <v>16.5</v>
      </c>
      <c r="I376">
        <v>26.6</v>
      </c>
      <c r="L376" s="1"/>
      <c r="M376">
        <v>0</v>
      </c>
      <c r="N376">
        <v>4.3</v>
      </c>
      <c r="W376">
        <v>1256.9000000000001</v>
      </c>
    </row>
    <row r="377" spans="1:23" x14ac:dyDescent="0.25">
      <c r="A377">
        <v>5080</v>
      </c>
      <c r="B377">
        <v>18650</v>
      </c>
      <c r="C377" s="1">
        <v>42954</v>
      </c>
      <c r="D377" s="1"/>
      <c r="E377" s="1"/>
      <c r="F377" s="1"/>
      <c r="G377">
        <v>23.1</v>
      </c>
      <c r="H377">
        <v>15.7</v>
      </c>
      <c r="I377">
        <v>29.3</v>
      </c>
      <c r="L377" s="1"/>
      <c r="M377">
        <v>8.5</v>
      </c>
      <c r="N377">
        <v>5.3</v>
      </c>
      <c r="W377">
        <v>2231.3000000000002</v>
      </c>
    </row>
    <row r="378" spans="1:23" x14ac:dyDescent="0.25">
      <c r="A378">
        <v>5080</v>
      </c>
      <c r="B378">
        <v>18650</v>
      </c>
      <c r="C378" s="1">
        <v>42955</v>
      </c>
      <c r="D378" s="1"/>
      <c r="E378" s="1"/>
      <c r="F378" s="1"/>
      <c r="G378">
        <v>18.8</v>
      </c>
      <c r="H378">
        <v>16.5</v>
      </c>
      <c r="I378">
        <v>21.5</v>
      </c>
      <c r="L378" s="1"/>
      <c r="M378">
        <v>0</v>
      </c>
      <c r="N378">
        <v>3.8</v>
      </c>
      <c r="W378">
        <v>1568.2</v>
      </c>
    </row>
    <row r="379" spans="1:23" x14ac:dyDescent="0.25">
      <c r="A379">
        <v>5080</v>
      </c>
      <c r="B379">
        <v>18650</v>
      </c>
      <c r="C379" s="1">
        <v>42956</v>
      </c>
      <c r="D379" s="1"/>
      <c r="E379" s="1"/>
      <c r="F379" s="1"/>
      <c r="G379">
        <v>16.8</v>
      </c>
      <c r="H379">
        <v>14</v>
      </c>
      <c r="I379">
        <v>19.399999999999999</v>
      </c>
      <c r="L379" s="1"/>
      <c r="M379">
        <v>0</v>
      </c>
      <c r="N379">
        <v>3.3</v>
      </c>
      <c r="W379">
        <v>1812.3</v>
      </c>
    </row>
    <row r="380" spans="1:23" x14ac:dyDescent="0.25">
      <c r="A380">
        <v>5080</v>
      </c>
      <c r="B380">
        <v>18650</v>
      </c>
      <c r="C380" s="1">
        <v>42957</v>
      </c>
      <c r="D380" s="1"/>
      <c r="E380" s="1"/>
      <c r="F380" s="1"/>
      <c r="G380">
        <v>17.100000000000001</v>
      </c>
      <c r="H380">
        <v>13.6</v>
      </c>
      <c r="I380">
        <v>21.7</v>
      </c>
      <c r="L380" s="1"/>
      <c r="M380">
        <v>1.8</v>
      </c>
      <c r="N380">
        <v>3</v>
      </c>
      <c r="W380">
        <v>1251.4000000000001</v>
      </c>
    </row>
    <row r="381" spans="1:23" x14ac:dyDescent="0.25">
      <c r="A381">
        <v>5080</v>
      </c>
      <c r="B381">
        <v>18650</v>
      </c>
      <c r="C381" s="1">
        <v>42958</v>
      </c>
      <c r="D381" s="1"/>
      <c r="E381" s="1"/>
      <c r="F381" s="1"/>
      <c r="G381">
        <v>17.600000000000001</v>
      </c>
      <c r="H381">
        <v>14.1</v>
      </c>
      <c r="I381">
        <v>21</v>
      </c>
      <c r="L381" s="1"/>
      <c r="M381">
        <v>0.2</v>
      </c>
      <c r="N381">
        <v>4.3</v>
      </c>
      <c r="W381">
        <v>2028.3</v>
      </c>
    </row>
    <row r="382" spans="1:23" x14ac:dyDescent="0.25">
      <c r="A382">
        <v>5080</v>
      </c>
      <c r="B382">
        <v>18650</v>
      </c>
      <c r="C382" s="1">
        <v>42959</v>
      </c>
      <c r="D382" s="1"/>
      <c r="E382" s="1"/>
      <c r="F382" s="1"/>
      <c r="G382">
        <v>18.8</v>
      </c>
      <c r="H382">
        <v>12.9</v>
      </c>
      <c r="I382">
        <v>23.6</v>
      </c>
      <c r="L382" s="1"/>
      <c r="M382">
        <v>0</v>
      </c>
      <c r="N382">
        <v>4.3</v>
      </c>
      <c r="W382">
        <v>2135.8000000000002</v>
      </c>
    </row>
    <row r="383" spans="1:23" x14ac:dyDescent="0.25">
      <c r="A383">
        <v>5080</v>
      </c>
      <c r="B383">
        <v>18650</v>
      </c>
      <c r="C383" s="1">
        <v>42960</v>
      </c>
      <c r="D383" s="1"/>
      <c r="E383" s="1"/>
      <c r="F383" s="1"/>
      <c r="G383">
        <v>21.2</v>
      </c>
      <c r="H383">
        <v>14</v>
      </c>
      <c r="I383">
        <v>26.9</v>
      </c>
      <c r="L383" s="1"/>
      <c r="M383">
        <v>0</v>
      </c>
      <c r="N383">
        <v>4.5999999999999996</v>
      </c>
      <c r="W383">
        <v>2367.6</v>
      </c>
    </row>
    <row r="384" spans="1:23" x14ac:dyDescent="0.25">
      <c r="A384">
        <v>5080</v>
      </c>
      <c r="B384">
        <v>18650</v>
      </c>
      <c r="C384" s="1">
        <v>42961</v>
      </c>
      <c r="D384" s="1"/>
      <c r="E384" s="1"/>
      <c r="F384" s="1"/>
      <c r="G384">
        <v>25</v>
      </c>
      <c r="H384">
        <v>18.2</v>
      </c>
      <c r="I384">
        <v>32.4</v>
      </c>
      <c r="L384" s="1"/>
      <c r="M384">
        <v>0.3</v>
      </c>
      <c r="N384">
        <v>7</v>
      </c>
      <c r="W384">
        <v>2308.1999999999998</v>
      </c>
    </row>
    <row r="385" spans="1:23" x14ac:dyDescent="0.25">
      <c r="A385">
        <v>5080</v>
      </c>
      <c r="B385">
        <v>18650</v>
      </c>
      <c r="C385" s="1">
        <v>42962</v>
      </c>
      <c r="D385" s="1"/>
      <c r="E385" s="1"/>
      <c r="F385" s="1"/>
      <c r="G385">
        <v>22.7</v>
      </c>
      <c r="H385">
        <v>20.7</v>
      </c>
      <c r="I385">
        <v>24.8</v>
      </c>
      <c r="L385" s="1"/>
      <c r="M385">
        <v>1.8</v>
      </c>
      <c r="N385">
        <v>2.2000000000000002</v>
      </c>
      <c r="W385">
        <v>1059</v>
      </c>
    </row>
    <row r="386" spans="1:23" x14ac:dyDescent="0.25">
      <c r="A386">
        <v>5080</v>
      </c>
      <c r="B386">
        <v>18650</v>
      </c>
      <c r="C386" s="1">
        <v>42963</v>
      </c>
      <c r="D386" s="1"/>
      <c r="E386" s="1"/>
      <c r="F386" s="1"/>
      <c r="G386">
        <v>22.7</v>
      </c>
      <c r="H386">
        <v>19.899999999999999</v>
      </c>
      <c r="I386">
        <v>26</v>
      </c>
      <c r="L386" s="1"/>
      <c r="M386">
        <v>0</v>
      </c>
      <c r="N386">
        <v>2</v>
      </c>
      <c r="W386">
        <v>721.1</v>
      </c>
    </row>
    <row r="387" spans="1:23" x14ac:dyDescent="0.25">
      <c r="A387">
        <v>5080</v>
      </c>
      <c r="B387">
        <v>18650</v>
      </c>
      <c r="C387" s="1">
        <v>42964</v>
      </c>
      <c r="D387" s="1"/>
      <c r="E387" s="1"/>
      <c r="F387" s="1"/>
      <c r="G387">
        <v>23.6</v>
      </c>
      <c r="H387">
        <v>17.399999999999999</v>
      </c>
      <c r="I387">
        <v>29.3</v>
      </c>
      <c r="L387" s="1"/>
      <c r="M387">
        <v>0</v>
      </c>
      <c r="N387">
        <v>5.4</v>
      </c>
      <c r="W387">
        <v>2315.3000000000002</v>
      </c>
    </row>
    <row r="388" spans="1:23" x14ac:dyDescent="0.25">
      <c r="A388">
        <v>5080</v>
      </c>
      <c r="B388">
        <v>18650</v>
      </c>
      <c r="C388" s="1">
        <v>42965</v>
      </c>
      <c r="D388" s="1"/>
      <c r="E388" s="1"/>
      <c r="F388" s="1"/>
      <c r="G388">
        <v>22.3</v>
      </c>
      <c r="H388">
        <v>19.3</v>
      </c>
      <c r="I388">
        <v>27.5</v>
      </c>
      <c r="L388" s="1"/>
      <c r="M388">
        <v>0.1</v>
      </c>
      <c r="N388">
        <v>4.2</v>
      </c>
      <c r="W388">
        <v>1206.4000000000001</v>
      </c>
    </row>
    <row r="389" spans="1:23" x14ac:dyDescent="0.25">
      <c r="A389">
        <v>5080</v>
      </c>
      <c r="B389">
        <v>18650</v>
      </c>
      <c r="C389" s="1">
        <v>42966</v>
      </c>
      <c r="D389" s="1"/>
      <c r="E389" s="1"/>
      <c r="F389" s="1"/>
      <c r="G389">
        <v>20.2</v>
      </c>
      <c r="H389">
        <v>17.5</v>
      </c>
      <c r="I389">
        <v>23.4</v>
      </c>
      <c r="L389" s="1"/>
      <c r="M389">
        <v>0</v>
      </c>
      <c r="N389">
        <v>4.5999999999999996</v>
      </c>
      <c r="W389">
        <v>1873.1</v>
      </c>
    </row>
    <row r="390" spans="1:23" x14ac:dyDescent="0.25">
      <c r="A390">
        <v>5080</v>
      </c>
      <c r="B390">
        <v>18650</v>
      </c>
      <c r="C390" s="1">
        <v>42967</v>
      </c>
      <c r="D390" s="1"/>
      <c r="E390" s="1"/>
      <c r="F390" s="1"/>
      <c r="G390">
        <v>19.2</v>
      </c>
      <c r="H390">
        <v>12.5</v>
      </c>
      <c r="I390">
        <v>24.9</v>
      </c>
      <c r="L390" s="1"/>
      <c r="M390">
        <v>0</v>
      </c>
      <c r="N390">
        <v>6.4</v>
      </c>
      <c r="W390">
        <v>2772.1</v>
      </c>
    </row>
    <row r="391" spans="1:23" x14ac:dyDescent="0.25">
      <c r="A391">
        <v>5080</v>
      </c>
      <c r="B391">
        <v>18650</v>
      </c>
      <c r="C391" s="1">
        <v>42968</v>
      </c>
      <c r="D391" s="1"/>
      <c r="E391" s="1"/>
      <c r="F391" s="1"/>
      <c r="G391">
        <v>22.8</v>
      </c>
      <c r="H391">
        <v>12.7</v>
      </c>
      <c r="I391">
        <v>31.5</v>
      </c>
      <c r="L391" s="1"/>
      <c r="M391">
        <v>0</v>
      </c>
      <c r="N391">
        <v>6.8</v>
      </c>
      <c r="W391">
        <v>2629.9</v>
      </c>
    </row>
    <row r="392" spans="1:23" x14ac:dyDescent="0.25">
      <c r="A392">
        <v>5080</v>
      </c>
      <c r="B392">
        <v>18650</v>
      </c>
      <c r="C392" s="1">
        <v>42969</v>
      </c>
      <c r="D392" s="1"/>
      <c r="E392" s="1"/>
      <c r="F392" s="1"/>
      <c r="G392">
        <v>26.6</v>
      </c>
      <c r="H392">
        <v>19.2</v>
      </c>
      <c r="I392">
        <v>33.6</v>
      </c>
      <c r="L392" s="1"/>
      <c r="M392">
        <v>0.6</v>
      </c>
      <c r="N392">
        <v>8</v>
      </c>
      <c r="W392">
        <v>2559.1</v>
      </c>
    </row>
    <row r="393" spans="1:23" x14ac:dyDescent="0.25">
      <c r="A393">
        <v>5080</v>
      </c>
      <c r="B393">
        <v>18650</v>
      </c>
      <c r="C393" s="1">
        <v>42970</v>
      </c>
      <c r="D393" s="1"/>
      <c r="E393" s="1"/>
      <c r="F393" s="1"/>
      <c r="G393">
        <v>23.3</v>
      </c>
      <c r="H393">
        <v>19.8</v>
      </c>
      <c r="I393">
        <v>26.1</v>
      </c>
      <c r="L393" s="1"/>
      <c r="M393">
        <v>0</v>
      </c>
      <c r="N393">
        <v>3.9</v>
      </c>
      <c r="W393">
        <v>1707.7</v>
      </c>
    </row>
    <row r="394" spans="1:23" x14ac:dyDescent="0.25">
      <c r="A394">
        <v>5080</v>
      </c>
      <c r="B394">
        <v>18650</v>
      </c>
      <c r="C394" s="1">
        <v>42971</v>
      </c>
      <c r="D394" s="1"/>
      <c r="E394" s="1"/>
      <c r="F394" s="1"/>
      <c r="G394">
        <v>25.6</v>
      </c>
      <c r="H394">
        <v>19.600000000000001</v>
      </c>
      <c r="I394">
        <v>30.2</v>
      </c>
      <c r="L394" s="1"/>
      <c r="M394">
        <v>0.1</v>
      </c>
      <c r="N394">
        <v>4.9000000000000004</v>
      </c>
      <c r="W394">
        <v>1977.3</v>
      </c>
    </row>
    <row r="395" spans="1:23" x14ac:dyDescent="0.25">
      <c r="A395">
        <v>5080</v>
      </c>
      <c r="B395">
        <v>18650</v>
      </c>
      <c r="C395" s="1">
        <v>42972</v>
      </c>
      <c r="D395" s="1"/>
      <c r="E395" s="1"/>
      <c r="F395" s="1"/>
      <c r="G395">
        <v>24.8</v>
      </c>
      <c r="H395">
        <v>19.600000000000001</v>
      </c>
      <c r="I395">
        <v>28.9</v>
      </c>
      <c r="L395" s="1"/>
      <c r="M395">
        <v>0</v>
      </c>
      <c r="N395">
        <v>4.3</v>
      </c>
      <c r="W395">
        <v>1598.4</v>
      </c>
    </row>
    <row r="396" spans="1:23" x14ac:dyDescent="0.25">
      <c r="A396">
        <v>5080</v>
      </c>
      <c r="B396">
        <v>18650</v>
      </c>
      <c r="C396" s="1">
        <v>42973</v>
      </c>
      <c r="D396" s="1"/>
      <c r="E396" s="1"/>
      <c r="F396" s="1"/>
      <c r="G396">
        <v>26.1</v>
      </c>
      <c r="H396">
        <v>21.8</v>
      </c>
      <c r="I396">
        <v>31.4</v>
      </c>
      <c r="L396" s="1"/>
      <c r="M396">
        <v>0</v>
      </c>
      <c r="N396">
        <v>6.2</v>
      </c>
      <c r="W396">
        <v>2063.6999999999998</v>
      </c>
    </row>
    <row r="397" spans="1:23" x14ac:dyDescent="0.25">
      <c r="A397">
        <v>5080</v>
      </c>
      <c r="B397">
        <v>18650</v>
      </c>
      <c r="C397" s="1">
        <v>42974</v>
      </c>
      <c r="D397" s="1"/>
      <c r="E397" s="1"/>
      <c r="F397" s="1"/>
      <c r="G397">
        <v>25.6</v>
      </c>
      <c r="H397">
        <v>22.5</v>
      </c>
      <c r="I397">
        <v>32.5</v>
      </c>
      <c r="L397" s="1"/>
      <c r="M397">
        <v>1.3</v>
      </c>
      <c r="N397">
        <v>4.5</v>
      </c>
      <c r="W397">
        <v>1488.2</v>
      </c>
    </row>
    <row r="398" spans="1:23" x14ac:dyDescent="0.25">
      <c r="A398">
        <v>5080</v>
      </c>
      <c r="B398">
        <v>18650</v>
      </c>
      <c r="C398" s="1">
        <v>42975</v>
      </c>
      <c r="D398" s="1"/>
      <c r="E398" s="1"/>
      <c r="F398" s="1"/>
      <c r="G398">
        <v>25.9</v>
      </c>
      <c r="H398">
        <v>18.5</v>
      </c>
      <c r="I398">
        <v>32.299999999999997</v>
      </c>
      <c r="L398" s="1"/>
      <c r="M398">
        <v>0</v>
      </c>
      <c r="N398">
        <v>5.4</v>
      </c>
      <c r="W398">
        <v>2166.5</v>
      </c>
    </row>
    <row r="399" spans="1:23" x14ac:dyDescent="0.25">
      <c r="A399">
        <v>5080</v>
      </c>
      <c r="B399">
        <v>18650</v>
      </c>
      <c r="C399" s="1">
        <v>42976</v>
      </c>
      <c r="D399" s="1"/>
      <c r="E399" s="1"/>
      <c r="F399" s="1"/>
      <c r="G399">
        <v>25.6</v>
      </c>
      <c r="H399">
        <v>22.2</v>
      </c>
      <c r="I399">
        <v>30</v>
      </c>
      <c r="L399" s="1"/>
      <c r="M399">
        <v>0</v>
      </c>
      <c r="N399">
        <v>5.3</v>
      </c>
      <c r="W399">
        <v>2119.4</v>
      </c>
    </row>
    <row r="400" spans="1:23" x14ac:dyDescent="0.25">
      <c r="A400">
        <v>5080</v>
      </c>
      <c r="B400">
        <v>18650</v>
      </c>
      <c r="C400" s="1">
        <v>42977</v>
      </c>
      <c r="D400" s="1"/>
      <c r="E400" s="1"/>
      <c r="F400" s="1"/>
      <c r="G400">
        <v>22.4</v>
      </c>
      <c r="H400">
        <v>20.100000000000001</v>
      </c>
      <c r="I400">
        <v>27.6</v>
      </c>
      <c r="L400" s="1"/>
      <c r="M400">
        <v>26</v>
      </c>
      <c r="N400">
        <v>3.1</v>
      </c>
      <c r="W400">
        <v>1311.2</v>
      </c>
    </row>
    <row r="401" spans="1:23" x14ac:dyDescent="0.25">
      <c r="A401">
        <v>5080</v>
      </c>
      <c r="B401">
        <v>18650</v>
      </c>
      <c r="C401" s="1">
        <v>42978</v>
      </c>
      <c r="D401" s="1"/>
      <c r="E401" s="1"/>
      <c r="F401" s="1"/>
      <c r="G401">
        <v>17.600000000000001</v>
      </c>
      <c r="H401">
        <v>15.7</v>
      </c>
      <c r="I401">
        <v>19.7</v>
      </c>
      <c r="L401" s="1"/>
      <c r="M401">
        <v>0.6</v>
      </c>
      <c r="N401">
        <v>2.6</v>
      </c>
      <c r="W401">
        <v>1226.4000000000001</v>
      </c>
    </row>
  </sheetData>
  <mergeCells count="14">
    <mergeCell ref="D319:F319"/>
    <mergeCell ref="A336:F336"/>
    <mergeCell ref="F184:F232"/>
    <mergeCell ref="F233:F253"/>
    <mergeCell ref="F254:F277"/>
    <mergeCell ref="F278:F297"/>
    <mergeCell ref="F298:F318"/>
    <mergeCell ref="F144:F183"/>
    <mergeCell ref="G1:L1"/>
    <mergeCell ref="M1:P1"/>
    <mergeCell ref="Q1:U1"/>
    <mergeCell ref="W1:AB1"/>
    <mergeCell ref="A54:F54"/>
    <mergeCell ref="F55:F143"/>
  </mergeCells>
  <conditionalFormatting sqref="O2">
    <cfRule type="cellIs" dxfId="21" priority="22" operator="lessThan">
      <formula>0</formula>
    </cfRule>
  </conditionalFormatting>
  <conditionalFormatting sqref="O1:O2">
    <cfRule type="cellIs" dxfId="20" priority="21" operator="lessThan">
      <formula>0</formula>
    </cfRule>
  </conditionalFormatting>
  <conditionalFormatting sqref="L145 L153 L157 L155">
    <cfRule type="cellIs" dxfId="19" priority="19" operator="lessThanOrEqual">
      <formula>0</formula>
    </cfRule>
    <cfRule type="cellIs" dxfId="18" priority="20" operator="lessThanOrEqual">
      <formula>5</formula>
    </cfRule>
  </conditionalFormatting>
  <conditionalFormatting sqref="L56 L64 L68 L66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G1:I1048576">
    <cfRule type="cellIs" dxfId="15" priority="6" operator="greaterThanOrEqual">
      <formula>25</formula>
    </cfRule>
    <cfRule type="cellIs" dxfId="14" priority="15" operator="between">
      <formula>0</formula>
      <formula>5</formula>
    </cfRule>
    <cfRule type="cellIs" dxfId="13" priority="16" operator="lessThan">
      <formula>0</formula>
    </cfRule>
  </conditionalFormatting>
  <conditionalFormatting sqref="L185 L193 L197 L195">
    <cfRule type="cellIs" dxfId="12" priority="13" operator="lessThanOrEqual">
      <formula>0</formula>
    </cfRule>
    <cfRule type="cellIs" dxfId="11" priority="14" operator="lessThanOrEqual">
      <formula>5</formula>
    </cfRule>
  </conditionalFormatting>
  <conditionalFormatting sqref="L234 L246 L244 L242">
    <cfRule type="cellIs" dxfId="10" priority="11" operator="lessThanOrEqual">
      <formula>0</formula>
    </cfRule>
    <cfRule type="cellIs" dxfId="9" priority="12" operator="lessThanOrEqual">
      <formula>5</formula>
    </cfRule>
  </conditionalFormatting>
  <conditionalFormatting sqref="L255 L263 L265 L267">
    <cfRule type="cellIs" dxfId="8" priority="9" operator="lessThanOrEqual">
      <formula>0</formula>
    </cfRule>
    <cfRule type="cellIs" dxfId="7" priority="10" operator="lessThanOrEqual">
      <formula>5</formula>
    </cfRule>
  </conditionalFormatting>
  <conditionalFormatting sqref="L279 L289">
    <cfRule type="cellIs" dxfId="6" priority="7" operator="lessThanOrEqual">
      <formula>0</formula>
    </cfRule>
    <cfRule type="cellIs" dxfId="5" priority="8" operator="lessThanOrEqual">
      <formula>5</formula>
    </cfRule>
  </conditionalFormatting>
  <conditionalFormatting sqref="O1:O1048576 P56 P64:P65">
    <cfRule type="cellIs" dxfId="4" priority="5" operator="lessThan">
      <formula>0</formula>
    </cfRule>
  </conditionalFormatting>
  <conditionalFormatting sqref="T55:T335">
    <cfRule type="cellIs" dxfId="3" priority="4" operator="lessThan">
      <formula>0</formula>
    </cfRule>
  </conditionalFormatting>
  <conditionalFormatting sqref="W1:W1048576">
    <cfRule type="cellIs" dxfId="2" priority="3" operator="lessThan">
      <formula>900</formula>
    </cfRule>
  </conditionalFormatting>
  <conditionalFormatting sqref="U55:U335">
    <cfRule type="cellIs" dxfId="1" priority="1" operator="equal">
      <formula>0</formula>
    </cfRule>
    <cfRule type="cellIs" dxfId="0" priority="2" operator="lessThan">
      <formula>52.6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2018-11-09T10:01:07Z</dcterms:created>
  <dcterms:modified xsi:type="dcterms:W3CDTF">2019-11-27T10:27:57Z</dcterms:modified>
</cp:coreProperties>
</file>